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ink/ink1.xml" ContentType="application/inkml+xml"/>
  <Override PartName="/xl/ink/ink2.xml" ContentType="application/inkml+xml"/>
  <Override PartName="/xl/drawings/drawing5.xml" ContentType="application/vnd.openxmlformats-officedocument.drawing+xml"/>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drawings/drawing7.xml" ContentType="application/vnd.openxmlformats-officedocument.drawing+xml"/>
  <Override PartName="/xl/activeX/activeX6.xml" ContentType="application/vnd.ms-office.activeX+xml"/>
  <Override PartName="/xl/activeX/activeX6.bin" ContentType="application/vnd.ms-office.activeX"/>
  <Override PartName="/xl/drawings/drawing8.xml" ContentType="application/vnd.openxmlformats-officedocument.drawing+xml"/>
  <Override PartName="/xl/activeX/activeX7.xml" ContentType="application/vnd.ms-office.activeX+xml"/>
  <Override PartName="/xl/activeX/activeX7.bin" ContentType="application/vnd.ms-office.activeX"/>
  <Override PartName="/xl/drawings/drawing9.xml" ContentType="application/vnd.openxmlformats-officedocument.drawing+xml"/>
  <Override PartName="/xl/activeX/activeX8.xml" ContentType="application/vnd.ms-office.activeX+xml"/>
  <Override PartName="/xl/activeX/activeX8.bin" ContentType="application/vnd.ms-office.activeX"/>
  <Override PartName="/xl/drawings/drawing10.xml" ContentType="application/vnd.openxmlformats-officedocument.drawing+xml"/>
  <Override PartName="/xl/activeX/activeX9.xml" ContentType="application/vnd.ms-office.activeX+xml"/>
  <Override PartName="/xl/activeX/activeX9.bin" ContentType="application/vnd.ms-office.activeX"/>
  <Override PartName="/xl/drawings/drawing11.xml" ContentType="application/vnd.openxmlformats-officedocument.drawing+xml"/>
  <Override PartName="/xl/activeX/activeX10.xml" ContentType="application/vnd.ms-office.activeX+xml"/>
  <Override PartName="/xl/activeX/activeX10.bin" ContentType="application/vnd.ms-office.activeX"/>
  <Override PartName="/xl/drawings/drawing12.xml" ContentType="application/vnd.openxmlformats-officedocument.drawing+xml"/>
  <Override PartName="/xl/activeX/activeX11.xml" ContentType="application/vnd.ms-office.activeX+xml"/>
  <Override PartName="/xl/activeX/activeX11.bin" ContentType="application/vnd.ms-office.activeX"/>
  <Override PartName="/xl/drawings/drawing13.xml" ContentType="application/vnd.openxmlformats-officedocument.drawing+xml"/>
  <Override PartName="/xl/activeX/activeX12.xml" ContentType="application/vnd.ms-office.activeX+xml"/>
  <Override PartName="/xl/activeX/activeX12.bin" ContentType="application/vnd.ms-office.activeX"/>
  <Override PartName="/xl/drawings/drawing14.xml" ContentType="application/vnd.openxmlformats-officedocument.drawing+xml"/>
  <Override PartName="/xl/activeX/activeX13.xml" ContentType="application/vnd.ms-office.activeX+xml"/>
  <Override PartName="/xl/activeX/activeX13.bin" ContentType="application/vnd.ms-office.activeX"/>
  <Override PartName="/xl/drawings/drawing15.xml" ContentType="application/vnd.openxmlformats-officedocument.drawing+xml"/>
  <Override PartName="/xl/activeX/activeX14.xml" ContentType="application/vnd.ms-office.activeX+xml"/>
  <Override PartName="/xl/activeX/activeX14.bin" ContentType="application/vnd.ms-office.activeX"/>
  <Override PartName="/xl/drawings/drawing16.xml" ContentType="application/vnd.openxmlformats-officedocument.drawing+xml"/>
  <Override PartName="/xl/activeX/activeX15.xml" ContentType="application/vnd.ms-office.activeX+xml"/>
  <Override PartName="/xl/activeX/activeX15.bin" ContentType="application/vnd.ms-office.activeX"/>
  <Override PartName="/xl/drawings/drawing17.xml" ContentType="application/vnd.openxmlformats-officedocument.drawing+xml"/>
  <Override PartName="/xl/activeX/activeX16.xml" ContentType="application/vnd.ms-office.activeX+xml"/>
  <Override PartName="/xl/activeX/activeX16.bin" ContentType="application/vnd.ms-office.activeX"/>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3.xml" ContentType="application/vnd.openxmlformats-officedocument.drawing+xml"/>
  <Override PartName="/xl/ctrlProps/ctrlProp1.xml" ContentType="application/vnd.ms-excel.controlproperties+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328" codeName="{DD97A8EA-9A9A-E61F-A557-7D5A7D7259CE}"/>
  <workbookPr codeName="Thisworkbook"/>
  <mc:AlternateContent xmlns:mc="http://schemas.openxmlformats.org/markup-compatibility/2006">
    <mc:Choice Requires="x15">
      <x15ac:absPath xmlns:x15ac="http://schemas.microsoft.com/office/spreadsheetml/2010/11/ac" url="D:\Personal\WebApi\WebApp\DocumentTemplates\"/>
    </mc:Choice>
  </mc:AlternateContent>
  <xr:revisionPtr revIDLastSave="0" documentId="13_ncr:1_{DD42C35B-D1CE-40DF-B151-761A8D2CB314}" xr6:coauthVersionLast="47" xr6:coauthVersionMax="47" xr10:uidLastSave="{00000000-0000-0000-0000-000000000000}"/>
  <bookViews>
    <workbookView xWindow="-98" yWindow="-98" windowWidth="23236" windowHeight="13875" tabRatio="835" firstSheet="1" activeTab="2" xr2:uid="{00000000-000D-0000-FFFF-FFFF00000000}"/>
  </bookViews>
  <sheets>
    <sheet name="Protect" sheetId="37" state="veryHidden" r:id="rId1"/>
    <sheet name="Info" sheetId="2" r:id="rId2"/>
    <sheet name="Danh_Sach" sheetId="1" r:id="rId3"/>
    <sheet name="Cham_Cong" sheetId="3" r:id="rId4"/>
    <sheet name="BaoHiem" sheetId="6" r:id="rId5"/>
    <sheet name="NPT" sheetId="4" r:id="rId6"/>
    <sheet name="1" sheetId="5" r:id="rId7"/>
    <sheet name="2" sheetId="8" r:id="rId8"/>
    <sheet name="3" sheetId="9" r:id="rId9"/>
    <sheet name="4" sheetId="10" r:id="rId10"/>
    <sheet name="5" sheetId="11" r:id="rId11"/>
    <sheet name="6" sheetId="12" r:id="rId12"/>
    <sheet name="7" sheetId="13" r:id="rId13"/>
    <sheet name="8" sheetId="14" r:id="rId14"/>
    <sheet name="9" sheetId="15" r:id="rId15"/>
    <sheet name="10" sheetId="16" r:id="rId16"/>
    <sheet name="11" sheetId="17" r:id="rId17"/>
    <sheet name="12" sheetId="18" r:id="rId18"/>
    <sheet name="Thuong_Quy" sheetId="31" state="hidden" r:id="rId19"/>
    <sheet name="CTP" sheetId="39" r:id="rId20"/>
    <sheet name="ThemGio" sheetId="30" state="hidden" r:id="rId21"/>
    <sheet name="Thuong" sheetId="40" r:id="rId22"/>
    <sheet name="In_BL" sheetId="24" r:id="rId23"/>
    <sheet name="In_BCC" sheetId="23" r:id="rId24"/>
    <sheet name="Tong_Hop" sheetId="36" r:id="rId25"/>
    <sheet name="Thong_Ke" sheetId="29" state="hidden" r:id="rId26"/>
    <sheet name="05KK" sheetId="28" r:id="rId27"/>
    <sheet name="QTTNCN" sheetId="34" r:id="rId28"/>
    <sheet name="PL05_1" sheetId="20" r:id="rId29"/>
    <sheet name="PL05_2" sheetId="33" r:id="rId30"/>
    <sheet name="Thue_Ngoai" sheetId="22" r:id="rId31"/>
    <sheet name="DS_Thue_Ngoai" sheetId="26" r:id="rId32"/>
    <sheet name="TAXRATE" sheetId="7" r:id="rId33"/>
  </sheets>
  <externalReferences>
    <externalReference r:id="rId34"/>
  </externalReferences>
  <definedNames>
    <definedName name="_xlnm._FilterDatabase" localSheetId="6" hidden="1">'1'!$A$13:$AO$50</definedName>
    <definedName name="_xlnm._FilterDatabase" localSheetId="15" hidden="1">'10'!$A$13:$AO$36</definedName>
    <definedName name="_xlnm._FilterDatabase" localSheetId="16" hidden="1">'11'!$A$13:$AO$36</definedName>
    <definedName name="_xlnm._FilterDatabase" localSheetId="17" hidden="1">'12'!$A$13:$AO$36</definedName>
    <definedName name="_xlnm._FilterDatabase" localSheetId="7" hidden="1">'2'!$A$13:$AO$50</definedName>
    <definedName name="_xlnm._FilterDatabase" localSheetId="8" hidden="1">'3'!$A$13:$AO$50</definedName>
    <definedName name="_xlnm._FilterDatabase" localSheetId="9" hidden="1">'4'!$A$13:$AO$50</definedName>
    <definedName name="_xlnm._FilterDatabase" localSheetId="10" hidden="1">'5'!$A$13:$AO$50</definedName>
    <definedName name="_xlnm._FilterDatabase" localSheetId="11" hidden="1">'6'!$A$13:$AO$50</definedName>
    <definedName name="_xlnm._FilterDatabase" localSheetId="12" hidden="1">'7'!$A$13:$AO$36</definedName>
    <definedName name="_xlnm._FilterDatabase" localSheetId="13" hidden="1">'8'!$A$13:$AO$36</definedName>
    <definedName name="_xlnm._FilterDatabase" localSheetId="14" hidden="1">'9'!$A$13:$AO$36</definedName>
    <definedName name="_xlnm._FilterDatabase" localSheetId="19" hidden="1">CTP!$A$9:$U$9</definedName>
    <definedName name="_xlnm._FilterDatabase" localSheetId="2" hidden="1">Danh_Sach!$B$12:$N$709</definedName>
    <definedName name="_xlnm._FilterDatabase" localSheetId="23" hidden="1">In_BCC!$A$9:$AL$33</definedName>
    <definedName name="_xlnm._FilterDatabase" localSheetId="22" hidden="1">In_BL!$A$17:$Z$27</definedName>
    <definedName name="_xlnm._FilterDatabase" localSheetId="5" hidden="1">NPT!$A$9:$U$9</definedName>
    <definedName name="_xlnm._FilterDatabase" localSheetId="21" hidden="1">Thuong!$A$9:$U$9</definedName>
    <definedName name="baohiem">[1]Bao_hiem!$C$4:TY$412</definedName>
    <definedName name="BieuThue">[1]Bieu_Thue!$A$3:$C$9</definedName>
    <definedName name="BieuThueNam">[1]Bieu_Thue!$A$11:$C$17</definedName>
    <definedName name="chamcong">[1]Cham_cong!$B$4:$O$53</definedName>
    <definedName name="chinhthuc">'[1]TN chịu thuế'!$C$53:$R$59</definedName>
    <definedName name="chinhthuc_col">'[1]TN chịu thuế'!$C$53:$R$53</definedName>
    <definedName name="ChiTietThueNgoai">Thue_Ngoai!$I$3:$T$13</definedName>
    <definedName name="_xlnm.Criteria" localSheetId="23">In_BCC!$AU$1:$AU$2</definedName>
    <definedName name="_xlnm.Criteria" localSheetId="22">In_BL!$J$1:$J$2</definedName>
    <definedName name="luongTN">[1]L_Thue_Ngoai!$B$7:$W$29</definedName>
    <definedName name="PhuThuoc">[1]Nguoi_PT!$C$3:$P$45</definedName>
    <definedName name="_xlnm.Print_Area" localSheetId="31">DS_Thue_Ngoai!$A$1:$G$39</definedName>
    <definedName name="_xlnm.Print_Area" localSheetId="28">PL05_1!$A$3:$T$19</definedName>
    <definedName name="_xlnm.Print_Area" localSheetId="20">ThemGio!$B$9:$H$32</definedName>
    <definedName name="TC">[1]Cham_cong!$T$4:$AE$1301</definedName>
    <definedName name="Thang">[1]Cham_cong!$T$3:$AE$3</definedName>
    <definedName name="Thuengoai">[1]L_Thue_Ngoai!$A$38:$F$45</definedName>
    <definedName name="thuengoai_col">[1]L_Thue_Ngoai!$A$38:$F$38</definedName>
    <definedName name="TK02_col">'[1]Ke khai quy'!$A$2:$F$2</definedName>
    <definedName name="TK05KK">'[1]Ke khai quy'!$A$2:$F$17</definedName>
    <definedName name="TNCN">'[1]Thuế TNCN'!$B$4:$R$530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16" i="22" l="1"/>
  <c r="V16" i="22"/>
  <c r="W16" i="22"/>
  <c r="X16" i="22"/>
  <c r="Y16" i="22"/>
  <c r="Z16" i="22"/>
  <c r="AA16" i="22"/>
  <c r="AB16" i="22"/>
  <c r="AC16" i="22"/>
  <c r="AD16" i="22"/>
  <c r="AE16" i="22"/>
  <c r="AF16" i="22"/>
  <c r="AG16" i="22"/>
  <c r="AH16" i="22"/>
  <c r="H16" i="22"/>
  <c r="A16" i="22"/>
  <c r="U15" i="34"/>
  <c r="A19" i="1"/>
  <c r="U16" i="34" l="1"/>
  <c r="U17" i="34"/>
  <c r="U18" i="34"/>
  <c r="U19" i="34"/>
  <c r="U20" i="34"/>
  <c r="U21" i="34"/>
  <c r="U22" i="34"/>
  <c r="U23" i="34"/>
  <c r="U24" i="34"/>
  <c r="U25" i="34"/>
  <c r="U26" i="34"/>
  <c r="U27" i="34"/>
  <c r="U28" i="34"/>
  <c r="U29" i="34"/>
  <c r="AB30" i="34"/>
  <c r="AC30" i="34"/>
  <c r="AB31" i="34"/>
  <c r="AC31" i="34"/>
  <c r="AB32" i="34"/>
  <c r="AC32" i="34"/>
  <c r="AB33" i="34"/>
  <c r="AC33" i="34"/>
  <c r="AB34" i="34"/>
  <c r="AC34" i="34"/>
  <c r="AB35" i="34"/>
  <c r="AC35" i="34"/>
  <c r="AB36" i="34"/>
  <c r="AC36" i="34"/>
  <c r="AB37" i="34"/>
  <c r="AC37" i="34"/>
  <c r="AB38" i="34"/>
  <c r="AC38" i="34"/>
  <c r="A35" i="20"/>
  <c r="B35" i="20"/>
  <c r="C35" i="20"/>
  <c r="E35" i="20"/>
  <c r="U35" i="20"/>
  <c r="A36" i="20"/>
  <c r="B36" i="20"/>
  <c r="U36" i="20" s="1"/>
  <c r="C36" i="20"/>
  <c r="E36" i="20"/>
  <c r="A37" i="20"/>
  <c r="B37" i="20"/>
  <c r="U37" i="20" s="1"/>
  <c r="C37" i="20"/>
  <c r="E37" i="20"/>
  <c r="A38" i="20"/>
  <c r="B38" i="20"/>
  <c r="U38" i="20" s="1"/>
  <c r="C38" i="20"/>
  <c r="E38" i="20"/>
  <c r="A26" i="20"/>
  <c r="E26" i="20"/>
  <c r="A27" i="20"/>
  <c r="E27" i="20"/>
  <c r="A28" i="20"/>
  <c r="E28" i="20"/>
  <c r="A29" i="20"/>
  <c r="E29" i="20"/>
  <c r="A30" i="20"/>
  <c r="E30" i="20"/>
  <c r="A31" i="20"/>
  <c r="E31" i="20"/>
  <c r="A32" i="20"/>
  <c r="E32" i="20"/>
  <c r="A33" i="20"/>
  <c r="E33" i="20"/>
  <c r="A34" i="20"/>
  <c r="E34" i="20"/>
  <c r="Z38" i="40"/>
  <c r="Z37" i="40"/>
  <c r="Z36" i="40"/>
  <c r="Z35" i="40"/>
  <c r="Z34" i="40"/>
  <c r="Z33" i="40"/>
  <c r="Z32" i="40"/>
  <c r="Z31" i="40"/>
  <c r="Z30" i="40"/>
  <c r="Z29" i="40"/>
  <c r="Z28" i="40"/>
  <c r="Z27" i="40"/>
  <c r="Z26" i="40"/>
  <c r="Z25" i="40"/>
  <c r="Z24" i="40"/>
  <c r="Z23" i="40"/>
  <c r="Z22" i="40"/>
  <c r="Z21" i="40"/>
  <c r="Z20" i="40"/>
  <c r="Z19" i="40"/>
  <c r="Z18" i="40"/>
  <c r="Z17" i="40"/>
  <c r="Z16" i="40"/>
  <c r="Z15" i="40"/>
  <c r="Z14" i="40"/>
  <c r="Z13" i="40"/>
  <c r="Z12" i="40"/>
  <c r="Z11" i="40"/>
  <c r="U11" i="40"/>
  <c r="T11" i="40"/>
  <c r="S11" i="40"/>
  <c r="R11" i="40"/>
  <c r="C11" i="40"/>
  <c r="D11" i="40" s="1"/>
  <c r="B11" i="40"/>
  <c r="Z10" i="40"/>
  <c r="U10" i="40"/>
  <c r="T10" i="40"/>
  <c r="S10" i="40"/>
  <c r="R10" i="40"/>
  <c r="C10" i="40"/>
  <c r="D10" i="40" s="1"/>
  <c r="B10" i="40"/>
  <c r="A10" i="40" s="1"/>
  <c r="P9" i="40"/>
  <c r="O9" i="40"/>
  <c r="N9" i="40"/>
  <c r="M9" i="40"/>
  <c r="L9" i="40"/>
  <c r="K9" i="40"/>
  <c r="J9" i="40"/>
  <c r="I9" i="40"/>
  <c r="H9" i="40"/>
  <c r="G9" i="40"/>
  <c r="F9" i="40"/>
  <c r="E9" i="40"/>
  <c r="C6" i="40"/>
  <c r="Z38" i="39"/>
  <c r="Z37" i="39"/>
  <c r="Z36" i="39"/>
  <c r="Z35" i="39"/>
  <c r="Z34" i="39"/>
  <c r="U11" i="39"/>
  <c r="T11" i="39"/>
  <c r="S11" i="39"/>
  <c r="R11" i="39"/>
  <c r="C11" i="39"/>
  <c r="D11" i="39" s="1"/>
  <c r="B11" i="39"/>
  <c r="Z10" i="39"/>
  <c r="U10" i="39"/>
  <c r="T10" i="39"/>
  <c r="S10" i="39"/>
  <c r="R10" i="39"/>
  <c r="Q10" i="39"/>
  <c r="C10" i="39"/>
  <c r="D10" i="39" s="1"/>
  <c r="B10" i="39"/>
  <c r="P9" i="39"/>
  <c r="O9" i="39"/>
  <c r="N9" i="39"/>
  <c r="M9" i="39"/>
  <c r="L9" i="39"/>
  <c r="K9" i="39"/>
  <c r="J9" i="39"/>
  <c r="I9" i="39"/>
  <c r="H9" i="39"/>
  <c r="G9" i="39"/>
  <c r="F9" i="39"/>
  <c r="E9" i="39"/>
  <c r="C6" i="39"/>
  <c r="H36" i="20" a="1"/>
  <c r="T28" i="20" a="1"/>
  <c r="H29" i="20" a="1"/>
  <c r="K34" i="20" a="1"/>
  <c r="H33" i="20" a="1"/>
  <c r="T27" i="20" a="1"/>
  <c r="M36" i="20" a="1"/>
  <c r="K35" i="20" a="1"/>
  <c r="M31" i="20" a="1"/>
  <c r="J37" i="20" a="1"/>
  <c r="Q26" i="20" a="1"/>
  <c r="K29" i="20" a="1"/>
  <c r="K33" i="20" a="1"/>
  <c r="H27" i="20" a="1"/>
  <c r="M35" i="20" a="1"/>
  <c r="R38" i="20" a="1"/>
  <c r="G27" i="20" a="1"/>
  <c r="I38" i="20" a="1"/>
  <c r="F35" i="20" a="1"/>
  <c r="G33" i="20" a="1"/>
  <c r="O35" i="20" a="1"/>
  <c r="H31" i="20" a="1"/>
  <c r="P29" i="20" a="1"/>
  <c r="K32" i="20" a="1"/>
  <c r="S27" i="20" a="1"/>
  <c r="H26" i="20" a="1"/>
  <c r="K38" i="20" a="1"/>
  <c r="S34" i="20" a="1"/>
  <c r="H35" i="20" a="1"/>
  <c r="J35" i="20" a="1"/>
  <c r="S37" i="20" a="1"/>
  <c r="P31" i="20" a="1"/>
  <c r="P28" i="20" a="1"/>
  <c r="K28" i="20" a="1"/>
  <c r="T31" i="20" a="1"/>
  <c r="P36" i="20" a="1"/>
  <c r="Q37" i="20" a="1"/>
  <c r="T33" i="20" a="1"/>
  <c r="M32" i="20" a="1"/>
  <c r="Q30" i="20" a="1"/>
  <c r="G30" i="20" a="1"/>
  <c r="N38" i="20" a="1"/>
  <c r="L36" i="20" a="1"/>
  <c r="S36" i="20" a="1"/>
  <c r="K26" i="20" a="1"/>
  <c r="F36" i="20" a="1"/>
  <c r="M38" i="20" a="1"/>
  <c r="M30" i="20" a="1"/>
  <c r="K27" i="20" a="1"/>
  <c r="L37" i="20" a="1"/>
  <c r="Q27" i="20" a="1"/>
  <c r="M33" i="20" a="1"/>
  <c r="R36" i="20" a="1"/>
  <c r="H30" i="20" a="1"/>
  <c r="T29" i="20" a="1"/>
  <c r="H32" i="20" a="1"/>
  <c r="S30" i="20" a="1"/>
  <c r="T32" i="20" a="1"/>
  <c r="K30" i="20" a="1"/>
  <c r="S32" i="20" a="1"/>
  <c r="L35" i="20" a="1"/>
  <c r="G28" i="20" a="1"/>
  <c r="G34" i="20" a="1"/>
  <c r="G32" i="20" a="1"/>
  <c r="Q28" i="20" a="1"/>
  <c r="K36" i="20" a="1"/>
  <c r="S33" i="20" a="1"/>
  <c r="H38" i="20" a="1"/>
  <c r="O36" i="20" a="1"/>
  <c r="M28" i="20" a="1"/>
  <c r="Q32" i="20" a="1"/>
  <c r="Q33" i="20" a="1"/>
  <c r="Q31" i="20" a="1"/>
  <c r="O38" i="20" a="1"/>
  <c r="P37" i="20" a="1"/>
  <c r="T30" i="20" a="1"/>
  <c r="Q29" i="20" a="1"/>
  <c r="I37" i="20" a="1"/>
  <c r="S31" i="20" a="1"/>
  <c r="P33" i="20" a="1"/>
  <c r="P27" i="20" a="1"/>
  <c r="J38" i="20" a="1"/>
  <c r="P30" i="20" a="1"/>
  <c r="T36" i="20" a="1"/>
  <c r="L38" i="20" a="1"/>
  <c r="P35" i="20" a="1"/>
  <c r="G26" i="20" a="1"/>
  <c r="M37" i="20" a="1"/>
  <c r="G36" i="20" a="1"/>
  <c r="S29" i="20" a="1"/>
  <c r="I36" i="20" a="1"/>
  <c r="M27" i="20" a="1"/>
  <c r="T37" i="20" a="1"/>
  <c r="G37" i="20" a="1"/>
  <c r="T35" i="20" a="1"/>
  <c r="T34" i="20" a="1"/>
  <c r="R37" i="20" a="1"/>
  <c r="M26" i="20" a="1"/>
  <c r="Q35" i="20" a="1"/>
  <c r="S38" i="20" a="1"/>
  <c r="P34" i="20" a="1"/>
  <c r="G31" i="20" a="1"/>
  <c r="N36" i="20" a="1"/>
  <c r="J36" i="20" a="1"/>
  <c r="G29" i="20" a="1"/>
  <c r="S28" i="20" a="1"/>
  <c r="G38" i="20" a="1"/>
  <c r="K31" i="20" a="1"/>
  <c r="H37" i="20" a="1"/>
  <c r="N35" i="20" a="1"/>
  <c r="T26" i="20" a="1"/>
  <c r="P26" i="20" a="1"/>
  <c r="H34" i="20" a="1"/>
  <c r="Q36" i="20" a="1"/>
  <c r="F37" i="20" a="1"/>
  <c r="Q34" i="20" a="1"/>
  <c r="S35" i="20" a="1"/>
  <c r="M34" i="20" a="1"/>
  <c r="G35" i="20" a="1"/>
  <c r="F38" i="20" a="1"/>
  <c r="N37" i="20" a="1"/>
  <c r="H28" i="20" a="1"/>
  <c r="S26" i="20" a="1"/>
  <c r="I35" i="20" a="1"/>
  <c r="P32" i="20" a="1"/>
  <c r="O37" i="20" a="1"/>
  <c r="T38" i="20" a="1"/>
  <c r="K37" i="20" a="1"/>
  <c r="R35" i="20" a="1"/>
  <c r="M29" i="20" a="1"/>
  <c r="P38" i="20" a="1"/>
  <c r="Q38" i="20" a="1"/>
  <c r="O38" i="20" l="1"/>
  <c r="O37" i="20"/>
  <c r="G37" i="20"/>
  <c r="R35" i="20"/>
  <c r="J35" i="20"/>
  <c r="S35" i="20"/>
  <c r="M38" i="20"/>
  <c r="P36" i="20"/>
  <c r="H36" i="20"/>
  <c r="G38" i="20"/>
  <c r="Q36" i="20"/>
  <c r="N37" i="20"/>
  <c r="F37" i="20"/>
  <c r="Q35" i="20"/>
  <c r="I35" i="20"/>
  <c r="P37" i="20"/>
  <c r="I36" i="20"/>
  <c r="T38" i="20"/>
  <c r="L38" i="20"/>
  <c r="O36" i="20"/>
  <c r="G36" i="20"/>
  <c r="H37" i="20"/>
  <c r="M37" i="20"/>
  <c r="P35" i="20"/>
  <c r="H35" i="20"/>
  <c r="K35" i="20"/>
  <c r="S38" i="20"/>
  <c r="K38" i="20"/>
  <c r="N36" i="20"/>
  <c r="F36" i="20"/>
  <c r="N38" i="20"/>
  <c r="T37" i="20"/>
  <c r="L37" i="20"/>
  <c r="O35" i="20"/>
  <c r="G35" i="20"/>
  <c r="R38" i="20"/>
  <c r="J38" i="20"/>
  <c r="M36" i="20"/>
  <c r="S37" i="20"/>
  <c r="K37" i="20"/>
  <c r="N35" i="20"/>
  <c r="F35" i="20"/>
  <c r="F38" i="20"/>
  <c r="Q38" i="20"/>
  <c r="I38" i="20"/>
  <c r="T36" i="20"/>
  <c r="L36" i="20"/>
  <c r="R36" i="20"/>
  <c r="R37" i="20"/>
  <c r="J37" i="20"/>
  <c r="M35" i="20"/>
  <c r="P38" i="20"/>
  <c r="H38" i="20"/>
  <c r="S36" i="20"/>
  <c r="K36" i="20"/>
  <c r="J36" i="20"/>
  <c r="Q37" i="20"/>
  <c r="I37" i="20"/>
  <c r="T35" i="20"/>
  <c r="L35" i="20"/>
  <c r="G29" i="20"/>
  <c r="G34" i="20"/>
  <c r="M30" i="20"/>
  <c r="P28" i="20"/>
  <c r="H28" i="20"/>
  <c r="S26" i="20"/>
  <c r="K26" i="20"/>
  <c r="Q32" i="20"/>
  <c r="T30" i="20"/>
  <c r="G28" i="20"/>
  <c r="G33" i="20"/>
  <c r="M29" i="20"/>
  <c r="P27" i="20"/>
  <c r="H27" i="20"/>
  <c r="K31" i="20"/>
  <c r="M34" i="20"/>
  <c r="P32" i="20"/>
  <c r="H32" i="20"/>
  <c r="S30" i="20"/>
  <c r="K30" i="20"/>
  <c r="Q26" i="20"/>
  <c r="T31" i="20"/>
  <c r="Q27" i="20"/>
  <c r="Q31" i="20"/>
  <c r="T29" i="20"/>
  <c r="G27" i="20"/>
  <c r="T34" i="20"/>
  <c r="G32" i="20"/>
  <c r="M28" i="20"/>
  <c r="P26" i="20"/>
  <c r="H26" i="20"/>
  <c r="Q33" i="20"/>
  <c r="M33" i="20"/>
  <c r="P31" i="20"/>
  <c r="H31" i="20"/>
  <c r="S29" i="20"/>
  <c r="K29" i="20"/>
  <c r="H33" i="20"/>
  <c r="S34" i="20"/>
  <c r="K34" i="20"/>
  <c r="Q30" i="20"/>
  <c r="T28" i="20"/>
  <c r="G26" i="20"/>
  <c r="T33" i="20"/>
  <c r="G31" i="20"/>
  <c r="M27" i="20"/>
  <c r="M32" i="20"/>
  <c r="P30" i="20"/>
  <c r="H30" i="20"/>
  <c r="S28" i="20"/>
  <c r="K28" i="20"/>
  <c r="S33" i="20"/>
  <c r="K33" i="20"/>
  <c r="Q29" i="20"/>
  <c r="T27" i="20"/>
  <c r="P33" i="20"/>
  <c r="Q34" i="20"/>
  <c r="T32" i="20"/>
  <c r="G30" i="20"/>
  <c r="M26" i="20"/>
  <c r="M31" i="20"/>
  <c r="P29" i="20"/>
  <c r="H29" i="20"/>
  <c r="S27" i="20"/>
  <c r="K27" i="20"/>
  <c r="S31" i="20"/>
  <c r="P34" i="20"/>
  <c r="H34" i="20"/>
  <c r="S32" i="20"/>
  <c r="K32" i="20"/>
  <c r="Q28" i="20"/>
  <c r="T26" i="20"/>
  <c r="Z33" i="39"/>
  <c r="Z32" i="39"/>
  <c r="Z30" i="39"/>
  <c r="Z29" i="39"/>
  <c r="Z27" i="39"/>
  <c r="Z26" i="39"/>
  <c r="Z28" i="39"/>
  <c r="Z31" i="39"/>
  <c r="A11" i="39"/>
  <c r="A10" i="39"/>
  <c r="A11" i="40"/>
  <c r="Z24" i="39"/>
  <c r="Z22" i="39"/>
  <c r="Z23" i="39"/>
  <c r="Z16" i="39"/>
  <c r="Z20" i="39"/>
  <c r="Z14" i="39"/>
  <c r="Z12" i="39"/>
  <c r="Z18" i="39"/>
  <c r="Z25" i="39"/>
  <c r="Z15" i="39"/>
  <c r="Z17" i="39"/>
  <c r="Z19" i="39"/>
  <c r="Z21" i="39"/>
  <c r="Z13" i="39"/>
  <c r="Z11" i="39"/>
  <c r="Q11" i="39"/>
  <c r="J10" i="28"/>
  <c r="J11" i="28"/>
  <c r="J12" i="28"/>
  <c r="J13" i="28"/>
  <c r="J14" i="28"/>
  <c r="J15" i="28"/>
  <c r="J16" i="28"/>
  <c r="J17" i="28"/>
  <c r="J18" i="28"/>
  <c r="J19" i="28"/>
  <c r="J20" i="28"/>
  <c r="W3" i="40" l="1"/>
  <c r="W3" i="39"/>
  <c r="W1" i="39"/>
  <c r="W1" i="40"/>
  <c r="Q7" i="39"/>
  <c r="A20" i="33"/>
  <c r="B20" i="33" a="1"/>
  <c r="B20" i="33" s="1"/>
  <c r="C20" i="33" a="1"/>
  <c r="C20" i="33" s="1"/>
  <c r="D20" i="33" a="1"/>
  <c r="D20" i="33" s="1"/>
  <c r="E20" i="33" a="1"/>
  <c r="E20" i="33" s="1"/>
  <c r="J20" i="33" a="1"/>
  <c r="J20" i="33" s="1"/>
  <c r="M20" i="33" a="1"/>
  <c r="M20" i="33" s="1"/>
  <c r="F20" i="33" s="1" a="1"/>
  <c r="F20" i="33" s="1"/>
  <c r="A21" i="33"/>
  <c r="B21" i="33" a="1"/>
  <c r="B21" i="33" s="1"/>
  <c r="C21" i="33" a="1"/>
  <c r="C21" i="33" s="1"/>
  <c r="D21" i="33" a="1"/>
  <c r="D21" i="33" s="1"/>
  <c r="E21" i="33" a="1"/>
  <c r="E21" i="33" s="1"/>
  <c r="J21" i="33" a="1"/>
  <c r="J21" i="33" s="1"/>
  <c r="M21" i="33" a="1"/>
  <c r="M21" i="33" s="1"/>
  <c r="F21" i="33" s="1" a="1"/>
  <c r="F21" i="33" s="1"/>
  <c r="U17" i="22" l="1"/>
  <c r="V17" i="22"/>
  <c r="W17" i="22"/>
  <c r="X17" i="22"/>
  <c r="Y17" i="22"/>
  <c r="Z17" i="22"/>
  <c r="AA17" i="22"/>
  <c r="AB17" i="22"/>
  <c r="AC17" i="22"/>
  <c r="AD17" i="22"/>
  <c r="AE17" i="22"/>
  <c r="AF17" i="22"/>
  <c r="AG17" i="22"/>
  <c r="U18" i="22"/>
  <c r="V18" i="22"/>
  <c r="W18" i="22"/>
  <c r="X18" i="22"/>
  <c r="Y18" i="22"/>
  <c r="Z18" i="22"/>
  <c r="AA18" i="22"/>
  <c r="AB18" i="22"/>
  <c r="AC18" i="22"/>
  <c r="AD18" i="22"/>
  <c r="AE18" i="22"/>
  <c r="AF18" i="22"/>
  <c r="AG18" i="22"/>
  <c r="U19" i="22"/>
  <c r="V19" i="22"/>
  <c r="W19" i="22"/>
  <c r="X19" i="22"/>
  <c r="Y19" i="22"/>
  <c r="Z19" i="22"/>
  <c r="AA19" i="22"/>
  <c r="AB19" i="22"/>
  <c r="AC19" i="22"/>
  <c r="AD19" i="22"/>
  <c r="AE19" i="22"/>
  <c r="AF19" i="22"/>
  <c r="AG19" i="22"/>
  <c r="U20" i="22"/>
  <c r="V20" i="22"/>
  <c r="W20" i="22"/>
  <c r="X20" i="22"/>
  <c r="Y20" i="22"/>
  <c r="Z20" i="22"/>
  <c r="AA20" i="22"/>
  <c r="AB20" i="22"/>
  <c r="AC20" i="22"/>
  <c r="AD20" i="22"/>
  <c r="AE20" i="22"/>
  <c r="AF20" i="22"/>
  <c r="AG20" i="22"/>
  <c r="H17" i="22"/>
  <c r="H18" i="22"/>
  <c r="H19" i="22"/>
  <c r="H20" i="22"/>
  <c r="A17" i="22"/>
  <c r="A18" i="22"/>
  <c r="A19" i="22"/>
  <c r="A20" i="22"/>
  <c r="F11" i="2"/>
  <c r="F12" i="2"/>
  <c r="F13" i="2"/>
  <c r="F10" i="2"/>
  <c r="M10" i="2"/>
  <c r="AH20" i="22" l="1"/>
  <c r="AH19" i="22"/>
  <c r="AH18" i="22"/>
  <c r="AH17" i="22"/>
  <c r="C12" i="7" l="1"/>
  <c r="C13" i="7" s="1"/>
  <c r="C14" i="7" s="1"/>
  <c r="C15" i="7" s="1"/>
  <c r="C16" i="7" s="1"/>
  <c r="C17" i="7" s="1"/>
  <c r="C4" i="7"/>
  <c r="C5" i="7" s="1"/>
  <c r="C6" i="7" s="1"/>
  <c r="C7" i="7" s="1"/>
  <c r="C8" i="7" s="1"/>
  <c r="C9" i="7" s="1"/>
  <c r="A188" i="22"/>
  <c r="A187" i="22"/>
  <c r="A186" i="22"/>
  <c r="A185" i="22"/>
  <c r="A184" i="22"/>
  <c r="A183" i="22"/>
  <c r="A182" i="22"/>
  <c r="A181" i="22"/>
  <c r="A180" i="22"/>
  <c r="AH179" i="22"/>
  <c r="A179" i="22"/>
  <c r="AH178" i="22"/>
  <c r="A178" i="22"/>
  <c r="AH177" i="22"/>
  <c r="A177" i="22"/>
  <c r="AH176" i="22"/>
  <c r="A176" i="22"/>
  <c r="AH175" i="22"/>
  <c r="A175" i="22"/>
  <c r="AH174" i="22"/>
  <c r="A174" i="22"/>
  <c r="AH173" i="22"/>
  <c r="A173" i="22"/>
  <c r="AH172" i="22"/>
  <c r="A172" i="22"/>
  <c r="AH171" i="22"/>
  <c r="A171" i="22"/>
  <c r="AH170" i="22"/>
  <c r="A170" i="22"/>
  <c r="AH169" i="22"/>
  <c r="A169" i="22"/>
  <c r="AH168" i="22"/>
  <c r="A168" i="22"/>
  <c r="AH167" i="22"/>
  <c r="A167" i="22"/>
  <c r="AH166" i="22"/>
  <c r="A166" i="22"/>
  <c r="AH165" i="22"/>
  <c r="A165" i="22"/>
  <c r="AH164" i="22"/>
  <c r="A164" i="22"/>
  <c r="AH163" i="22"/>
  <c r="A163" i="22"/>
  <c r="AH162" i="22"/>
  <c r="A162" i="22"/>
  <c r="AH161" i="22"/>
  <c r="A161" i="22"/>
  <c r="AH160" i="22"/>
  <c r="A160" i="22"/>
  <c r="AH159" i="22"/>
  <c r="A159" i="22"/>
  <c r="AH158" i="22"/>
  <c r="A158" i="22"/>
  <c r="AH157" i="22"/>
  <c r="A157" i="22"/>
  <c r="AH156" i="22"/>
  <c r="A156" i="22"/>
  <c r="AH155" i="22"/>
  <c r="A155" i="22"/>
  <c r="AH154" i="22"/>
  <c r="A154" i="22"/>
  <c r="AH153" i="22"/>
  <c r="A153" i="22"/>
  <c r="AH152" i="22"/>
  <c r="A152" i="22"/>
  <c r="AH151" i="22"/>
  <c r="A151" i="22"/>
  <c r="AH150" i="22"/>
  <c r="A150" i="22"/>
  <c r="AH149" i="22"/>
  <c r="A149" i="22"/>
  <c r="AH148" i="22"/>
  <c r="A148" i="22"/>
  <c r="AH147" i="22"/>
  <c r="A147" i="22"/>
  <c r="AH146" i="22"/>
  <c r="A146" i="22"/>
  <c r="AH145" i="22"/>
  <c r="A145" i="22"/>
  <c r="AH144" i="22"/>
  <c r="A144" i="22"/>
  <c r="AH143" i="22"/>
  <c r="A143" i="22"/>
  <c r="AH142" i="22"/>
  <c r="A142" i="22"/>
  <c r="AH141" i="22"/>
  <c r="A141" i="22"/>
  <c r="AH140" i="22"/>
  <c r="A140" i="22"/>
  <c r="AH139" i="22"/>
  <c r="A139" i="22"/>
  <c r="AH138" i="22"/>
  <c r="A138" i="22"/>
  <c r="AH137" i="22"/>
  <c r="A137" i="22"/>
  <c r="AH136" i="22"/>
  <c r="A136" i="22"/>
  <c r="AH135" i="22"/>
  <c r="A135" i="22"/>
  <c r="AH134" i="22"/>
  <c r="A134" i="22"/>
  <c r="AH133" i="22"/>
  <c r="A133" i="22"/>
  <c r="AH132" i="22"/>
  <c r="A132" i="22"/>
  <c r="AH131" i="22"/>
  <c r="A131" i="22"/>
  <c r="AH130" i="22"/>
  <c r="A130" i="22"/>
  <c r="AH129" i="22"/>
  <c r="A129" i="22"/>
  <c r="AH128" i="22"/>
  <c r="A128" i="22"/>
  <c r="AH127" i="22"/>
  <c r="A127" i="22"/>
  <c r="AH126" i="22"/>
  <c r="A126" i="22"/>
  <c r="AH125" i="22"/>
  <c r="A125" i="22"/>
  <c r="AH124" i="22"/>
  <c r="A124" i="22"/>
  <c r="AH123" i="22"/>
  <c r="A123" i="22"/>
  <c r="AH122" i="22"/>
  <c r="A122" i="22"/>
  <c r="AH121" i="22"/>
  <c r="A121" i="22"/>
  <c r="AH120" i="22"/>
  <c r="A120" i="22"/>
  <c r="AH119" i="22"/>
  <c r="A119" i="22"/>
  <c r="AH118" i="22"/>
  <c r="A118" i="22"/>
  <c r="AH117" i="22"/>
  <c r="A117" i="22"/>
  <c r="AH116" i="22"/>
  <c r="A116" i="22"/>
  <c r="AH115" i="22"/>
  <c r="A115" i="22"/>
  <c r="AH114" i="22"/>
  <c r="A114" i="22"/>
  <c r="AH113" i="22"/>
  <c r="A113" i="22"/>
  <c r="AH112" i="22"/>
  <c r="A112" i="22"/>
  <c r="AH111" i="22"/>
  <c r="A111" i="22"/>
  <c r="AH110" i="22"/>
  <c r="A110" i="22"/>
  <c r="AH109" i="22"/>
  <c r="A109" i="22"/>
  <c r="AH108" i="22"/>
  <c r="A108" i="22"/>
  <c r="AH107" i="22"/>
  <c r="A107" i="22"/>
  <c r="AH106" i="22"/>
  <c r="A106" i="22"/>
  <c r="AH105" i="22"/>
  <c r="A105" i="22"/>
  <c r="AH104" i="22"/>
  <c r="A104" i="22"/>
  <c r="AH103" i="22"/>
  <c r="A103" i="22"/>
  <c r="AH102" i="22"/>
  <c r="A102" i="22"/>
  <c r="AH101" i="22"/>
  <c r="A101" i="22"/>
  <c r="AH100" i="22"/>
  <c r="A100" i="22"/>
  <c r="AH99" i="22"/>
  <c r="A99" i="22"/>
  <c r="A98" i="22"/>
  <c r="A97" i="22"/>
  <c r="A96" i="22"/>
  <c r="A95" i="22"/>
  <c r="A94" i="22"/>
  <c r="A93" i="22"/>
  <c r="A92" i="22"/>
  <c r="A91" i="22"/>
  <c r="A90" i="22"/>
  <c r="A89" i="22"/>
  <c r="A88" i="22"/>
  <c r="A87" i="22"/>
  <c r="A86" i="22"/>
  <c r="A85" i="22"/>
  <c r="A84" i="22"/>
  <c r="A83" i="22"/>
  <c r="A82" i="22"/>
  <c r="A81" i="22"/>
  <c r="A80" i="22"/>
  <c r="A79" i="22"/>
  <c r="A78" i="22"/>
  <c r="A77" i="22"/>
  <c r="A76" i="22"/>
  <c r="A75" i="22"/>
  <c r="A74" i="22"/>
  <c r="A73" i="22"/>
  <c r="A72" i="22"/>
  <c r="A71" i="22"/>
  <c r="A70" i="22"/>
  <c r="A69" i="22"/>
  <c r="A68" i="22"/>
  <c r="A67" i="22"/>
  <c r="A66" i="22"/>
  <c r="A65" i="22"/>
  <c r="A64" i="22"/>
  <c r="A63" i="22"/>
  <c r="A62" i="22"/>
  <c r="A61" i="22"/>
  <c r="A60" i="22"/>
  <c r="A59" i="22"/>
  <c r="A58" i="22"/>
  <c r="A57" i="22"/>
  <c r="A56" i="22"/>
  <c r="A55" i="22"/>
  <c r="A54" i="22"/>
  <c r="A53" i="22"/>
  <c r="A52" i="22"/>
  <c r="A51" i="22"/>
  <c r="A50" i="22"/>
  <c r="A49" i="22"/>
  <c r="A48" i="22"/>
  <c r="A47" i="22"/>
  <c r="A46" i="22"/>
  <c r="A45" i="22"/>
  <c r="A44" i="22"/>
  <c r="A43" i="22"/>
  <c r="A42" i="22"/>
  <c r="A41" i="22"/>
  <c r="A40" i="22"/>
  <c r="A39" i="22"/>
  <c r="A38" i="22"/>
  <c r="A37" i="22"/>
  <c r="A36" i="22"/>
  <c r="A35" i="22"/>
  <c r="A34" i="22"/>
  <c r="A33" i="22"/>
  <c r="A32" i="22"/>
  <c r="J13" i="33" a="1"/>
  <c r="J13" i="33" s="1"/>
  <c r="J12" i="33" a="1"/>
  <c r="J12" i="33" s="1"/>
  <c r="AG15" i="22"/>
  <c r="AG9" i="22" s="1"/>
  <c r="AF15" i="22"/>
  <c r="AF9" i="22" s="1"/>
  <c r="AE15" i="22"/>
  <c r="AD15" i="22"/>
  <c r="AD9" i="22" s="1"/>
  <c r="AC15" i="22"/>
  <c r="AC9" i="22" s="1"/>
  <c r="P3" i="22" s="1"/>
  <c r="AB15" i="22"/>
  <c r="AB9" i="22" s="1"/>
  <c r="AA15" i="22"/>
  <c r="Z15" i="22"/>
  <c r="Y15" i="22"/>
  <c r="Y9" i="22" s="1"/>
  <c r="X15" i="22"/>
  <c r="X9" i="22" s="1"/>
  <c r="W15" i="22"/>
  <c r="V15" i="22"/>
  <c r="V9" i="22" s="1"/>
  <c r="U15" i="22"/>
  <c r="H15" i="22"/>
  <c r="A15" i="22"/>
  <c r="AG10" i="22"/>
  <c r="T4" i="22" s="1"/>
  <c r="AF10" i="22"/>
  <c r="S4" i="22" s="1"/>
  <c r="AE10" i="22"/>
  <c r="R4" i="22" s="1"/>
  <c r="AD10" i="22"/>
  <c r="Q4" i="22" s="1"/>
  <c r="AC10" i="22"/>
  <c r="P4" i="22" s="1"/>
  <c r="AB10" i="22"/>
  <c r="O4" i="22" s="1"/>
  <c r="AA10" i="22"/>
  <c r="N4" i="22" s="1"/>
  <c r="Z10" i="22"/>
  <c r="M4" i="22" s="1"/>
  <c r="Y10" i="22"/>
  <c r="L4" i="22" s="1"/>
  <c r="X10" i="22"/>
  <c r="K4" i="22" s="1"/>
  <c r="W10" i="22"/>
  <c r="J4" i="22" s="1"/>
  <c r="V10" i="22"/>
  <c r="I4" i="22" s="1"/>
  <c r="T10" i="22"/>
  <c r="X11" i="28" s="1"/>
  <c r="J9" i="28" s="1"/>
  <c r="S10" i="22"/>
  <c r="W11" i="28" s="1"/>
  <c r="J8" i="28" s="1"/>
  <c r="R10" i="22"/>
  <c r="V11" i="28" s="1"/>
  <c r="J7" i="28" s="1"/>
  <c r="Q10" i="22"/>
  <c r="U11" i="28" s="1"/>
  <c r="P10" i="22"/>
  <c r="T11" i="28" s="1"/>
  <c r="O10" i="22"/>
  <c r="S11" i="28" s="1"/>
  <c r="N10" i="22"/>
  <c r="R11" i="28" s="1"/>
  <c r="M10" i="22"/>
  <c r="Q11" i="28" s="1"/>
  <c r="L10" i="22"/>
  <c r="P11" i="28" s="1"/>
  <c r="K10" i="22"/>
  <c r="O11" i="28" s="1"/>
  <c r="J10" i="22"/>
  <c r="N11" i="28" s="1"/>
  <c r="I10" i="22"/>
  <c r="M11" i="28" s="1"/>
  <c r="AE9" i="22"/>
  <c r="R3" i="22" s="1"/>
  <c r="AA9" i="22"/>
  <c r="N3" i="22" s="1"/>
  <c r="W9" i="22"/>
  <c r="W11" i="22" s="1"/>
  <c r="J5" i="22" s="1"/>
  <c r="N20" i="28" s="1"/>
  <c r="T9" i="22"/>
  <c r="S9" i="22"/>
  <c r="R9" i="22"/>
  <c r="Q9" i="22"/>
  <c r="Q11" i="22" s="1"/>
  <c r="P9" i="22"/>
  <c r="O9" i="22"/>
  <c r="N9" i="22"/>
  <c r="M9" i="22"/>
  <c r="L9" i="22"/>
  <c r="K9" i="22"/>
  <c r="J9" i="22"/>
  <c r="I9" i="22"/>
  <c r="B8" i="22"/>
  <c r="T7" i="22"/>
  <c r="X17" i="28" s="1"/>
  <c r="S7" i="22"/>
  <c r="R7" i="22"/>
  <c r="V14" i="28" s="1"/>
  <c r="Q7" i="22"/>
  <c r="P7" i="22"/>
  <c r="T14" i="28" s="1"/>
  <c r="O7" i="22"/>
  <c r="S17" i="28" s="1"/>
  <c r="N7" i="22"/>
  <c r="R14" i="28" s="1"/>
  <c r="M7" i="22"/>
  <c r="L7" i="22"/>
  <c r="K7" i="22"/>
  <c r="O17" i="28" s="1"/>
  <c r="J7" i="22"/>
  <c r="I7" i="22"/>
  <c r="T6" i="22"/>
  <c r="S6" i="22"/>
  <c r="R6" i="22"/>
  <c r="Q6" i="22"/>
  <c r="P6" i="22"/>
  <c r="O6" i="22"/>
  <c r="N6" i="22"/>
  <c r="M6" i="22"/>
  <c r="L6" i="22"/>
  <c r="L8" i="22" s="1"/>
  <c r="K6" i="22"/>
  <c r="K8" i="22" s="1"/>
  <c r="J6" i="22"/>
  <c r="J8" i="22" s="1"/>
  <c r="I6" i="22"/>
  <c r="AH2" i="22"/>
  <c r="M19" i="33" a="1"/>
  <c r="M19" i="33" s="1"/>
  <c r="F19" i="33" s="1" a="1"/>
  <c r="F19" i="33" s="1"/>
  <c r="J19" i="33" a="1"/>
  <c r="J19" i="33" s="1"/>
  <c r="E19" i="33" a="1"/>
  <c r="E19" i="33" s="1"/>
  <c r="D19" i="33" a="1"/>
  <c r="D19" i="33" s="1"/>
  <c r="C19" i="33" a="1"/>
  <c r="C19" i="33" s="1"/>
  <c r="B19" i="33" a="1"/>
  <c r="B19" i="33" s="1"/>
  <c r="A19" i="33"/>
  <c r="M18" i="33" a="1"/>
  <c r="M18" i="33" s="1"/>
  <c r="F18" i="33" s="1" a="1"/>
  <c r="F18" i="33" s="1"/>
  <c r="J18" i="33" a="1"/>
  <c r="J18" i="33" s="1"/>
  <c r="E18" i="33" a="1"/>
  <c r="E18" i="33" s="1"/>
  <c r="D18" i="33" a="1"/>
  <c r="D18" i="33" s="1"/>
  <c r="C18" i="33" a="1"/>
  <c r="C18" i="33" s="1"/>
  <c r="B18" i="33" a="1"/>
  <c r="B18" i="33" s="1"/>
  <c r="A18" i="33"/>
  <c r="M17" i="33" a="1"/>
  <c r="M17" i="33" s="1"/>
  <c r="F17" i="33" s="1" a="1"/>
  <c r="F17" i="33" s="1"/>
  <c r="J17" i="33" a="1"/>
  <c r="J17" i="33" s="1"/>
  <c r="E17" i="33" a="1"/>
  <c r="E17" i="33" s="1"/>
  <c r="D17" i="33" a="1"/>
  <c r="D17" i="33" s="1"/>
  <c r="C17" i="33" a="1"/>
  <c r="C17" i="33" s="1"/>
  <c r="B17" i="33" a="1"/>
  <c r="B17" i="33" s="1"/>
  <c r="A17" i="33"/>
  <c r="M16" i="33" a="1"/>
  <c r="M16" i="33" s="1"/>
  <c r="F16" i="33" s="1" a="1"/>
  <c r="F16" i="33" s="1"/>
  <c r="J16" i="33" a="1"/>
  <c r="J16" i="33" s="1"/>
  <c r="E16" i="33" a="1"/>
  <c r="E16" i="33" s="1"/>
  <c r="D16" i="33" a="1"/>
  <c r="D16" i="33" s="1"/>
  <c r="C16" i="33" a="1"/>
  <c r="C16" i="33" s="1"/>
  <c r="B16" i="33" a="1"/>
  <c r="B16" i="33" s="1"/>
  <c r="A16" i="33"/>
  <c r="M15" i="33" a="1"/>
  <c r="M15" i="33" s="1"/>
  <c r="F15" i="33" s="1" a="1"/>
  <c r="F15" i="33" s="1"/>
  <c r="J15" i="33" a="1"/>
  <c r="J15" i="33" s="1"/>
  <c r="E15" i="33" a="1"/>
  <c r="E15" i="33" s="1"/>
  <c r="D15" i="33" a="1"/>
  <c r="D15" i="33" s="1"/>
  <c r="C15" i="33" a="1"/>
  <c r="C15" i="33" s="1"/>
  <c r="B15" i="33" a="1"/>
  <c r="B15" i="33" s="1"/>
  <c r="A15" i="33"/>
  <c r="M14" i="33" a="1"/>
  <c r="M14" i="33" s="1"/>
  <c r="F14" i="33" s="1" a="1"/>
  <c r="F14" i="33" s="1"/>
  <c r="J14" i="33" a="1"/>
  <c r="J14" i="33" s="1"/>
  <c r="E14" i="33" a="1"/>
  <c r="E14" i="33" s="1"/>
  <c r="D14" i="33" a="1"/>
  <c r="D14" i="33" s="1"/>
  <c r="C14" i="33" a="1"/>
  <c r="C14" i="33" s="1"/>
  <c r="B14" i="33" a="1"/>
  <c r="B14" i="33" s="1"/>
  <c r="A14" i="33"/>
  <c r="M13" i="33" a="1"/>
  <c r="M13" i="33" s="1"/>
  <c r="F13" i="33" s="1" a="1"/>
  <c r="F13" i="33" s="1"/>
  <c r="E13" i="33" a="1"/>
  <c r="E13" i="33" s="1"/>
  <c r="D13" i="33" a="1"/>
  <c r="D13" i="33" s="1"/>
  <c r="C13" i="33" a="1"/>
  <c r="C13" i="33" s="1"/>
  <c r="B13" i="33" a="1"/>
  <c r="B13" i="33" s="1"/>
  <c r="A13" i="33"/>
  <c r="M12" i="33" a="1"/>
  <c r="M12" i="33" s="1"/>
  <c r="F12" i="33" s="1" a="1"/>
  <c r="F12" i="33" s="1"/>
  <c r="E12" i="33" a="1"/>
  <c r="E12" i="33" s="1"/>
  <c r="D12" i="33" a="1"/>
  <c r="D12" i="33" s="1"/>
  <c r="C12" i="33" a="1"/>
  <c r="C12" i="33" s="1"/>
  <c r="B12" i="33" a="1"/>
  <c r="B12" i="33" s="1"/>
  <c r="A12" i="33"/>
  <c r="M11" i="33" a="1"/>
  <c r="M11" i="33" s="1"/>
  <c r="F11" i="33" s="1" a="1"/>
  <c r="F11" i="33" s="1"/>
  <c r="E11" i="33" a="1"/>
  <c r="E11" i="33" s="1"/>
  <c r="D11" i="33" a="1"/>
  <c r="D11" i="33" s="1"/>
  <c r="C11" i="33" a="1"/>
  <c r="C11" i="33" s="1"/>
  <c r="B11" i="33" a="1"/>
  <c r="B11" i="33" s="1"/>
  <c r="A11" i="33"/>
  <c r="M10" i="33" a="1"/>
  <c r="M10" i="33" s="1"/>
  <c r="F10" i="33" s="1" a="1"/>
  <c r="F10" i="33" s="1"/>
  <c r="E10" i="33" a="1"/>
  <c r="E10" i="33" s="1"/>
  <c r="D10" i="33" a="1"/>
  <c r="D10" i="33" s="1"/>
  <c r="C10" i="33" a="1"/>
  <c r="C10" i="33" s="1"/>
  <c r="B10" i="33" a="1"/>
  <c r="B10" i="33" s="1"/>
  <c r="A10" i="33"/>
  <c r="M9" i="33" a="1"/>
  <c r="M9" i="33" s="1"/>
  <c r="E9" i="33" a="1"/>
  <c r="E9" i="33" s="1"/>
  <c r="D9" i="33" a="1"/>
  <c r="D9" i="33" s="1"/>
  <c r="C9" i="33" a="1"/>
  <c r="C9" i="33" s="1"/>
  <c r="B9" i="33" a="1"/>
  <c r="B9" i="33" s="1"/>
  <c r="A9" i="33"/>
  <c r="E25" i="20"/>
  <c r="A25" i="20"/>
  <c r="E24" i="20"/>
  <c r="A24" i="20"/>
  <c r="E23" i="20"/>
  <c r="A23" i="20"/>
  <c r="E22" i="20"/>
  <c r="A22" i="20"/>
  <c r="E21" i="20"/>
  <c r="A21" i="20"/>
  <c r="E20" i="20"/>
  <c r="A20" i="20"/>
  <c r="E19" i="20"/>
  <c r="A19" i="20"/>
  <c r="E18" i="20"/>
  <c r="A18" i="20"/>
  <c r="E17" i="20"/>
  <c r="A17" i="20"/>
  <c r="E16" i="20"/>
  <c r="A16" i="20"/>
  <c r="E15" i="20"/>
  <c r="A15" i="20"/>
  <c r="E14" i="20"/>
  <c r="A14" i="20"/>
  <c r="E13" i="20"/>
  <c r="A13" i="20"/>
  <c r="E12" i="20"/>
  <c r="A12" i="20"/>
  <c r="E11" i="20"/>
  <c r="A11" i="20"/>
  <c r="E10" i="20"/>
  <c r="A10" i="20"/>
  <c r="U14" i="34"/>
  <c r="G13" i="34"/>
  <c r="D38" i="28"/>
  <c r="D25" i="28"/>
  <c r="X4" i="28"/>
  <c r="W4" i="28"/>
  <c r="V4" i="28"/>
  <c r="U4" i="28"/>
  <c r="T4" i="28"/>
  <c r="S4" i="28"/>
  <c r="R4" i="28"/>
  <c r="Q4" i="28"/>
  <c r="P4" i="28"/>
  <c r="O4" i="28"/>
  <c r="N4" i="28"/>
  <c r="M4" i="28"/>
  <c r="O27" i="29"/>
  <c r="N27" i="29"/>
  <c r="M27" i="29"/>
  <c r="L27" i="29"/>
  <c r="K27" i="29"/>
  <c r="J27" i="29"/>
  <c r="I27" i="29"/>
  <c r="H27" i="29"/>
  <c r="G27" i="29"/>
  <c r="F27" i="29"/>
  <c r="E27" i="29"/>
  <c r="D27" i="29"/>
  <c r="C27" i="29"/>
  <c r="O26" i="29"/>
  <c r="N26" i="29"/>
  <c r="M26" i="29"/>
  <c r="L26" i="29"/>
  <c r="K26" i="29"/>
  <c r="J26" i="29"/>
  <c r="I26" i="29"/>
  <c r="H26" i="29"/>
  <c r="G26" i="29"/>
  <c r="F26" i="29"/>
  <c r="E26" i="29"/>
  <c r="D26" i="29"/>
  <c r="C26" i="29"/>
  <c r="A21" i="36"/>
  <c r="CT12" i="36"/>
  <c r="AR11" i="23"/>
  <c r="AQ11" i="23"/>
  <c r="AP11" i="23"/>
  <c r="AO11" i="23"/>
  <c r="AN11" i="23"/>
  <c r="AM11" i="23"/>
  <c r="AJ11" i="23"/>
  <c r="D11" i="23"/>
  <c r="C11" i="23"/>
  <c r="B11" i="23"/>
  <c r="AR10" i="23"/>
  <c r="AQ10" i="23"/>
  <c r="AP10" i="23"/>
  <c r="AO10" i="23"/>
  <c r="AN10" i="23"/>
  <c r="AM10" i="23"/>
  <c r="AJ10" i="23"/>
  <c r="D10" i="23"/>
  <c r="C10" i="23"/>
  <c r="B10" i="23"/>
  <c r="C1" i="23"/>
  <c r="AB7" i="23" s="1"/>
  <c r="A6" i="24"/>
  <c r="C1" i="24"/>
  <c r="B9" i="24" s="1"/>
  <c r="A17" i="31"/>
  <c r="G13" i="31"/>
  <c r="Y15" i="18"/>
  <c r="Y14" i="18"/>
  <c r="Q12" i="18"/>
  <c r="G12" i="18"/>
  <c r="AG8" i="18"/>
  <c r="AF8" i="18"/>
  <c r="U8" i="18"/>
  <c r="S8" i="18"/>
  <c r="Q8" i="18"/>
  <c r="O8" i="18"/>
  <c r="L8" i="18"/>
  <c r="Y15" i="17"/>
  <c r="Y14" i="17"/>
  <c r="G12" i="17"/>
  <c r="AG8" i="17"/>
  <c r="AF8" i="17"/>
  <c r="U8" i="17"/>
  <c r="T8" i="17"/>
  <c r="S8" i="17"/>
  <c r="R8" i="17"/>
  <c r="Q8" i="17"/>
  <c r="O8" i="17"/>
  <c r="L8" i="17"/>
  <c r="Y15" i="16"/>
  <c r="Y14" i="16"/>
  <c r="G12" i="16"/>
  <c r="AG8" i="16"/>
  <c r="AF8" i="16"/>
  <c r="U8" i="16"/>
  <c r="T8" i="16"/>
  <c r="S8" i="16"/>
  <c r="R8" i="16"/>
  <c r="Q8" i="16"/>
  <c r="O8" i="16"/>
  <c r="L8" i="16"/>
  <c r="Y15" i="15"/>
  <c r="Y14" i="15"/>
  <c r="Q12" i="15"/>
  <c r="G12" i="15"/>
  <c r="AG8" i="15"/>
  <c r="AF8" i="15"/>
  <c r="U8" i="15"/>
  <c r="T8" i="15"/>
  <c r="S8" i="15"/>
  <c r="Q8" i="15"/>
  <c r="O8" i="15"/>
  <c r="L8" i="15"/>
  <c r="Y15" i="14"/>
  <c r="Y14" i="14"/>
  <c r="G12" i="14"/>
  <c r="AG8" i="14"/>
  <c r="AF8" i="14"/>
  <c r="U8" i="14"/>
  <c r="T8" i="14"/>
  <c r="S8" i="14"/>
  <c r="R8" i="14"/>
  <c r="Q8" i="14"/>
  <c r="O8" i="14"/>
  <c r="L8" i="14"/>
  <c r="Y15" i="13"/>
  <c r="Y14" i="13"/>
  <c r="G12" i="13"/>
  <c r="AG8" i="13"/>
  <c r="AF8" i="13"/>
  <c r="U8" i="13"/>
  <c r="T8" i="13"/>
  <c r="S8" i="13"/>
  <c r="R8" i="13"/>
  <c r="Q8" i="13"/>
  <c r="O8" i="13"/>
  <c r="L8" i="13"/>
  <c r="Y15" i="12"/>
  <c r="Y14" i="12"/>
  <c r="Q12" i="12"/>
  <c r="G12" i="12"/>
  <c r="AG8" i="12"/>
  <c r="AF8" i="12"/>
  <c r="U8" i="12"/>
  <c r="T8" i="12"/>
  <c r="S8" i="12"/>
  <c r="Q8" i="12"/>
  <c r="O8" i="12"/>
  <c r="L8" i="12"/>
  <c r="Y15" i="11"/>
  <c r="Y14" i="11"/>
  <c r="G12" i="11"/>
  <c r="AG8" i="11"/>
  <c r="AF8" i="11"/>
  <c r="U8" i="11"/>
  <c r="T8" i="11"/>
  <c r="S8" i="11"/>
  <c r="R8" i="11"/>
  <c r="Q8" i="11"/>
  <c r="O8" i="11"/>
  <c r="L8" i="11"/>
  <c r="Y15" i="10"/>
  <c r="Y14" i="10"/>
  <c r="G12" i="10"/>
  <c r="AG8" i="10"/>
  <c r="AF8" i="10"/>
  <c r="U8" i="10"/>
  <c r="T8" i="10"/>
  <c r="S8" i="10"/>
  <c r="R8" i="10"/>
  <c r="Q8" i="10"/>
  <c r="O8" i="10"/>
  <c r="L8" i="10"/>
  <c r="Y15" i="9"/>
  <c r="Y14" i="9"/>
  <c r="Q12" i="9"/>
  <c r="G12" i="9"/>
  <c r="AG8" i="9"/>
  <c r="AF8" i="9"/>
  <c r="U8" i="9"/>
  <c r="T8" i="9"/>
  <c r="S8" i="9"/>
  <c r="Q8" i="9"/>
  <c r="O8" i="9"/>
  <c r="L8" i="9"/>
  <c r="Y15" i="8"/>
  <c r="Y14" i="8"/>
  <c r="G12" i="8"/>
  <c r="AG8" i="8"/>
  <c r="AF8" i="8"/>
  <c r="U8" i="8"/>
  <c r="T8" i="8"/>
  <c r="S8" i="8"/>
  <c r="R8" i="8"/>
  <c r="Q8" i="8"/>
  <c r="O8" i="8"/>
  <c r="L8" i="8"/>
  <c r="Y15" i="5"/>
  <c r="Y14" i="5"/>
  <c r="BC13" i="5"/>
  <c r="AU9" i="5"/>
  <c r="AG8" i="5"/>
  <c r="AF8" i="5"/>
  <c r="U8" i="5"/>
  <c r="S8" i="5"/>
  <c r="Q8" i="5"/>
  <c r="O8" i="5"/>
  <c r="L8" i="5"/>
  <c r="Z38" i="4"/>
  <c r="Z37" i="4"/>
  <c r="Z36" i="4"/>
  <c r="Z35" i="4"/>
  <c r="Z34" i="4"/>
  <c r="T38" i="34" s="1"/>
  <c r="Z33" i="4"/>
  <c r="T37" i="34" s="1"/>
  <c r="Z32" i="4"/>
  <c r="T36" i="34" s="1"/>
  <c r="Z31" i="4"/>
  <c r="T35" i="34" s="1"/>
  <c r="Z30" i="4"/>
  <c r="T34" i="34" s="1"/>
  <c r="Z29" i="4"/>
  <c r="T33" i="34" s="1"/>
  <c r="Z28" i="4"/>
  <c r="T32" i="34" s="1"/>
  <c r="Z27" i="4"/>
  <c r="T31" i="34" s="1"/>
  <c r="Z26" i="4"/>
  <c r="T30" i="34" s="1"/>
  <c r="Z25" i="4"/>
  <c r="T29" i="34" s="1"/>
  <c r="V29" i="34" s="1"/>
  <c r="W29" i="34" s="1"/>
  <c r="Z24" i="4"/>
  <c r="T28" i="34" s="1"/>
  <c r="V28" i="34" s="1"/>
  <c r="W28" i="34" s="1"/>
  <c r="Z23" i="4"/>
  <c r="T27" i="34" s="1"/>
  <c r="V27" i="34" s="1"/>
  <c r="W27" i="34" s="1"/>
  <c r="Z22" i="4"/>
  <c r="T26" i="34" s="1"/>
  <c r="V26" i="34" s="1"/>
  <c r="W26" i="34" s="1"/>
  <c r="Z21" i="4"/>
  <c r="T25" i="34" s="1"/>
  <c r="V25" i="34" s="1"/>
  <c r="W25" i="34" s="1"/>
  <c r="Z20" i="4"/>
  <c r="T24" i="34" s="1"/>
  <c r="V24" i="34" s="1"/>
  <c r="W24" i="34" s="1"/>
  <c r="Z19" i="4"/>
  <c r="T23" i="34" s="1"/>
  <c r="V23" i="34" s="1"/>
  <c r="W23" i="34" s="1"/>
  <c r="Z18" i="4"/>
  <c r="T22" i="34" s="1"/>
  <c r="V22" i="34" s="1"/>
  <c r="W22" i="34" s="1"/>
  <c r="Z17" i="4"/>
  <c r="T21" i="34" s="1"/>
  <c r="V21" i="34" s="1"/>
  <c r="W21" i="34" s="1"/>
  <c r="Z16" i="4"/>
  <c r="T20" i="34" s="1"/>
  <c r="V20" i="34" s="1"/>
  <c r="W20" i="34" s="1"/>
  <c r="Z15" i="4"/>
  <c r="T19" i="34" s="1"/>
  <c r="V19" i="34" s="1"/>
  <c r="W19" i="34" s="1"/>
  <c r="Z14" i="4"/>
  <c r="T18" i="34" s="1"/>
  <c r="V18" i="34" s="1"/>
  <c r="W18" i="34" s="1"/>
  <c r="Z13" i="4"/>
  <c r="T17" i="34" s="1"/>
  <c r="V17" i="34" s="1"/>
  <c r="W17" i="34" s="1"/>
  <c r="Z12" i="4"/>
  <c r="T16" i="34" s="1"/>
  <c r="V16" i="34" s="1"/>
  <c r="W16" i="34" s="1"/>
  <c r="Z11" i="4"/>
  <c r="T15" i="34" s="1"/>
  <c r="V15" i="34" s="1"/>
  <c r="W15" i="34" s="1"/>
  <c r="U11" i="4"/>
  <c r="T11" i="4"/>
  <c r="S11" i="4"/>
  <c r="R11" i="4"/>
  <c r="Q11" i="4"/>
  <c r="C11" i="4"/>
  <c r="D11" i="4" s="1"/>
  <c r="B11" i="4"/>
  <c r="Z10" i="4"/>
  <c r="T14" i="34" s="1"/>
  <c r="U10" i="4"/>
  <c r="T10" i="4"/>
  <c r="S10" i="4"/>
  <c r="R10" i="4"/>
  <c r="Q10" i="4"/>
  <c r="C10" i="4"/>
  <c r="D10" i="4" s="1"/>
  <c r="B10" i="4"/>
  <c r="P9" i="4"/>
  <c r="O9" i="4"/>
  <c r="N9" i="4"/>
  <c r="M9" i="4"/>
  <c r="L9" i="4"/>
  <c r="K9" i="4"/>
  <c r="J9" i="4"/>
  <c r="I9" i="4"/>
  <c r="H9" i="4"/>
  <c r="G9" i="4"/>
  <c r="F9" i="4"/>
  <c r="E9" i="4"/>
  <c r="C6" i="4"/>
  <c r="U22" i="6"/>
  <c r="U21" i="6"/>
  <c r="P20" i="6"/>
  <c r="O20" i="6"/>
  <c r="N20" i="6"/>
  <c r="M20" i="6"/>
  <c r="L20" i="6"/>
  <c r="K20" i="6"/>
  <c r="J20" i="6"/>
  <c r="I20" i="6"/>
  <c r="H20" i="6"/>
  <c r="G20" i="6"/>
  <c r="F20" i="6"/>
  <c r="E20" i="6"/>
  <c r="P18" i="6"/>
  <c r="P17" i="6" s="1"/>
  <c r="O18" i="6"/>
  <c r="O17" i="6" s="1"/>
  <c r="N18" i="6"/>
  <c r="N17" i="6" s="1"/>
  <c r="M18" i="6"/>
  <c r="M17" i="6" s="1"/>
  <c r="L18" i="6"/>
  <c r="L17" i="6" s="1"/>
  <c r="K18" i="6"/>
  <c r="K17" i="6" s="1"/>
  <c r="J18" i="6"/>
  <c r="J17" i="6" s="1"/>
  <c r="I18" i="6"/>
  <c r="I17" i="6" s="1"/>
  <c r="H18" i="6"/>
  <c r="H17" i="6" s="1"/>
  <c r="G18" i="6"/>
  <c r="G17" i="6" s="1"/>
  <c r="F18" i="6"/>
  <c r="F17" i="6" s="1"/>
  <c r="E18" i="6"/>
  <c r="E17" i="6" s="1"/>
  <c r="P8" i="6"/>
  <c r="AO8" i="6" s="1"/>
  <c r="O8" i="6"/>
  <c r="AN8" i="6" s="1"/>
  <c r="N8" i="6"/>
  <c r="AM8" i="6" s="1"/>
  <c r="M8" i="6"/>
  <c r="L8" i="6"/>
  <c r="K8" i="6"/>
  <c r="AJ8" i="6" s="1"/>
  <c r="J8" i="6"/>
  <c r="AI8" i="6" s="1"/>
  <c r="I8" i="6"/>
  <c r="H8" i="6"/>
  <c r="G8" i="6"/>
  <c r="AF8" i="6" s="1"/>
  <c r="F8" i="6"/>
  <c r="AE8" i="6" s="1"/>
  <c r="E8" i="6"/>
  <c r="AO7" i="6"/>
  <c r="AN7" i="6"/>
  <c r="AM7" i="6"/>
  <c r="AL7" i="6"/>
  <c r="AK7" i="6"/>
  <c r="AJ7" i="6"/>
  <c r="AI7" i="6"/>
  <c r="AH7" i="6"/>
  <c r="AG7" i="6"/>
  <c r="AF7" i="6"/>
  <c r="AE7" i="6"/>
  <c r="AD7" i="6"/>
  <c r="AO6" i="6"/>
  <c r="AN6" i="6"/>
  <c r="AM6" i="6"/>
  <c r="AL6" i="6"/>
  <c r="AK6" i="6"/>
  <c r="AJ6" i="6"/>
  <c r="AI6" i="6"/>
  <c r="AH6" i="6"/>
  <c r="AG6" i="6"/>
  <c r="AF6" i="6"/>
  <c r="AE6" i="6"/>
  <c r="AD6" i="6"/>
  <c r="AO5" i="6"/>
  <c r="AN5" i="6"/>
  <c r="AM5" i="6"/>
  <c r="AL5" i="6"/>
  <c r="AK5" i="6"/>
  <c r="AJ5" i="6"/>
  <c r="AI5" i="6"/>
  <c r="AH5" i="6"/>
  <c r="AG5" i="6"/>
  <c r="AF5" i="6"/>
  <c r="AE5" i="6"/>
  <c r="AD5" i="6"/>
  <c r="AO4" i="6"/>
  <c r="AN4" i="6"/>
  <c r="AM4" i="6"/>
  <c r="AL4" i="6"/>
  <c r="AK4" i="6"/>
  <c r="AJ4" i="6"/>
  <c r="AI4" i="6"/>
  <c r="AH4" i="6"/>
  <c r="AG4" i="6"/>
  <c r="AF4" i="6"/>
  <c r="AE4" i="6"/>
  <c r="AD4" i="6"/>
  <c r="U11" i="3"/>
  <c r="V11" i="3" s="1"/>
  <c r="T11" i="3"/>
  <c r="S11" i="3"/>
  <c r="R11" i="3"/>
  <c r="Q11" i="3"/>
  <c r="D11" i="3"/>
  <c r="C11" i="3"/>
  <c r="B11" i="3"/>
  <c r="A11" i="3" s="1"/>
  <c r="Z10" i="3"/>
  <c r="Z9" i="3" s="1"/>
  <c r="Y10" i="3"/>
  <c r="Y9" i="3" s="1"/>
  <c r="X10" i="3"/>
  <c r="X9" i="3" s="1"/>
  <c r="W10" i="3"/>
  <c r="W9" i="3" s="1"/>
  <c r="U10" i="3"/>
  <c r="V10" i="3" s="1"/>
  <c r="T10" i="3"/>
  <c r="S10" i="3"/>
  <c r="R10" i="3"/>
  <c r="Q10" i="3"/>
  <c r="D10" i="3"/>
  <c r="C10" i="3"/>
  <c r="B10" i="3"/>
  <c r="A10" i="3" s="1"/>
  <c r="P9" i="3"/>
  <c r="O9" i="3"/>
  <c r="N9" i="3"/>
  <c r="M9" i="3"/>
  <c r="L9" i="3"/>
  <c r="K9" i="3"/>
  <c r="J9" i="3"/>
  <c r="I9" i="3"/>
  <c r="H9" i="3"/>
  <c r="G9" i="3"/>
  <c r="F9" i="3"/>
  <c r="E9" i="3"/>
  <c r="P7" i="3"/>
  <c r="J12" i="18" s="1"/>
  <c r="O7" i="3"/>
  <c r="J12" i="17" s="1"/>
  <c r="N7" i="3"/>
  <c r="J12" i="16" s="1"/>
  <c r="M7" i="3"/>
  <c r="J12" i="15" s="1"/>
  <c r="L7" i="3"/>
  <c r="J12" i="14" s="1"/>
  <c r="K7" i="3"/>
  <c r="J12" i="13" s="1"/>
  <c r="J7" i="3"/>
  <c r="J12" i="12" s="1"/>
  <c r="I7" i="3"/>
  <c r="J12" i="11" s="1"/>
  <c r="H7" i="3"/>
  <c r="J12" i="10" s="1"/>
  <c r="G7" i="3"/>
  <c r="J12" i="9" s="1"/>
  <c r="F7" i="3"/>
  <c r="J12" i="8" s="1"/>
  <c r="E7" i="3"/>
  <c r="J12" i="5" s="1"/>
  <c r="A709" i="1"/>
  <c r="A708" i="1"/>
  <c r="A707" i="1"/>
  <c r="A706" i="1"/>
  <c r="A705" i="1"/>
  <c r="A704" i="1"/>
  <c r="A703" i="1"/>
  <c r="A702" i="1"/>
  <c r="A701" i="1"/>
  <c r="A700" i="1"/>
  <c r="A699" i="1"/>
  <c r="A698" i="1"/>
  <c r="A697" i="1"/>
  <c r="A696" i="1"/>
  <c r="A695" i="1"/>
  <c r="A694" i="1"/>
  <c r="A693" i="1"/>
  <c r="A692" i="1"/>
  <c r="A691" i="1"/>
  <c r="A690" i="1"/>
  <c r="A689"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9"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9"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9" i="1"/>
  <c r="A598" i="1"/>
  <c r="A597" i="1"/>
  <c r="A596" i="1"/>
  <c r="A595" i="1"/>
  <c r="A594" i="1"/>
  <c r="A593" i="1"/>
  <c r="A592" i="1"/>
  <c r="A591" i="1"/>
  <c r="A590" i="1"/>
  <c r="A589" i="1"/>
  <c r="A588" i="1"/>
  <c r="A587" i="1"/>
  <c r="A586" i="1"/>
  <c r="A585" i="1"/>
  <c r="A584" i="1"/>
  <c r="A583" i="1"/>
  <c r="A582" i="1"/>
  <c r="A581" i="1"/>
  <c r="A580" i="1"/>
  <c r="A579" i="1"/>
  <c r="A578" i="1"/>
  <c r="A577" i="1"/>
  <c r="A576" i="1"/>
  <c r="A575" i="1"/>
  <c r="A574" i="1"/>
  <c r="A573" i="1"/>
  <c r="A572" i="1"/>
  <c r="A571" i="1"/>
  <c r="A570" i="1"/>
  <c r="A569"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9"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8" i="1"/>
  <c r="A17" i="1"/>
  <c r="A16" i="1"/>
  <c r="A15" i="1"/>
  <c r="A14" i="1"/>
  <c r="A13" i="1"/>
  <c r="C10" i="1"/>
  <c r="C1" i="3" s="1"/>
  <c r="N1" i="1"/>
  <c r="B5" i="2"/>
  <c r="K3" i="37"/>
  <c r="K4" i="37" s="1"/>
  <c r="K5" i="37" s="1"/>
  <c r="K6" i="37" s="1"/>
  <c r="K7" i="37" s="1"/>
  <c r="K8" i="37" s="1"/>
  <c r="K9" i="37" s="1"/>
  <c r="K10" i="37" s="1"/>
  <c r="B31" i="34"/>
  <c r="D38" i="34"/>
  <c r="D24" i="34"/>
  <c r="D35" i="34"/>
  <c r="D30" i="34"/>
  <c r="B26" i="34"/>
  <c r="B17" i="34"/>
  <c r="C26" i="34"/>
  <c r="C24" i="34"/>
  <c r="C27" i="34"/>
  <c r="D33" i="34"/>
  <c r="B22" i="34"/>
  <c r="D16" i="34"/>
  <c r="C38" i="34"/>
  <c r="B24" i="34"/>
  <c r="C29" i="34"/>
  <c r="B21" i="34"/>
  <c r="D22" i="34"/>
  <c r="C35" i="34"/>
  <c r="D27" i="34"/>
  <c r="E23" i="34"/>
  <c r="B38" i="34"/>
  <c r="D20" i="34"/>
  <c r="I34" i="20" a="1"/>
  <c r="E22" i="34"/>
  <c r="E30" i="34"/>
  <c r="B27" i="34"/>
  <c r="D17" i="34"/>
  <c r="B35" i="34"/>
  <c r="C23" i="34"/>
  <c r="E27" i="34"/>
  <c r="D32" i="34"/>
  <c r="C21" i="34"/>
  <c r="C18" i="34"/>
  <c r="C28" i="34"/>
  <c r="D29" i="34"/>
  <c r="C32" i="34"/>
  <c r="E32" i="34"/>
  <c r="C16" i="34"/>
  <c r="B33" i="34"/>
  <c r="D37" i="34"/>
  <c r="B37" i="34"/>
  <c r="C31" i="34"/>
  <c r="E18" i="34"/>
  <c r="D19" i="34"/>
  <c r="C34" i="34"/>
  <c r="I28" i="20" a="1"/>
  <c r="B34" i="34"/>
  <c r="I27" i="20" a="1"/>
  <c r="B29" i="34"/>
  <c r="E20" i="34"/>
  <c r="D25" i="34"/>
  <c r="I29" i="20" a="1"/>
  <c r="E31" i="34"/>
  <c r="E19" i="34"/>
  <c r="B32" i="34"/>
  <c r="E33" i="34"/>
  <c r="E38" i="34"/>
  <c r="C25" i="34"/>
  <c r="E17" i="34"/>
  <c r="E21" i="34"/>
  <c r="D18" i="34"/>
  <c r="C36" i="34"/>
  <c r="E35" i="34"/>
  <c r="D31" i="34"/>
  <c r="E28" i="34"/>
  <c r="D26" i="34"/>
  <c r="C33" i="34"/>
  <c r="B36" i="34"/>
  <c r="B19" i="34"/>
  <c r="E16" i="34"/>
  <c r="E24" i="34"/>
  <c r="E26" i="34"/>
  <c r="B23" i="34"/>
  <c r="D28" i="34"/>
  <c r="D21" i="34"/>
  <c r="I26" i="20" a="1"/>
  <c r="E34" i="34"/>
  <c r="D34" i="34"/>
  <c r="B25" i="34"/>
  <c r="E29" i="34"/>
  <c r="C30" i="34"/>
  <c r="E36" i="34"/>
  <c r="C20" i="34"/>
  <c r="E37" i="34"/>
  <c r="E25" i="34"/>
  <c r="C37" i="34"/>
  <c r="I31" i="20" a="1"/>
  <c r="B20" i="34"/>
  <c r="C19" i="34"/>
  <c r="B16" i="34"/>
  <c r="B30" i="34"/>
  <c r="D36" i="34"/>
  <c r="B28" i="34"/>
  <c r="I32" i="20" a="1"/>
  <c r="C22" i="34"/>
  <c r="I33" i="20" a="1"/>
  <c r="I30" i="20" a="1"/>
  <c r="D23" i="34"/>
  <c r="C17" i="34"/>
  <c r="B18" i="34"/>
  <c r="Q17" i="28" l="1"/>
  <c r="Q14" i="28"/>
  <c r="P17" i="28"/>
  <c r="P14" i="28"/>
  <c r="T8" i="22"/>
  <c r="I11" i="22"/>
  <c r="U17" i="28"/>
  <c r="U14" i="28"/>
  <c r="N17" i="28"/>
  <c r="N14" i="28"/>
  <c r="M17" i="28"/>
  <c r="M14" i="28"/>
  <c r="V14" i="34"/>
  <c r="W14" i="34" s="1"/>
  <c r="E15" i="34"/>
  <c r="B15" i="34"/>
  <c r="C15" i="34"/>
  <c r="D15" i="34"/>
  <c r="Q8" i="22"/>
  <c r="T17" i="28"/>
  <c r="M11" i="22"/>
  <c r="I26" i="20"/>
  <c r="I27" i="20"/>
  <c r="I28" i="20"/>
  <c r="I29" i="20"/>
  <c r="I30" i="20"/>
  <c r="I31" i="20"/>
  <c r="I32" i="20"/>
  <c r="I33" i="20"/>
  <c r="I34" i="20"/>
  <c r="V30" i="34"/>
  <c r="V31" i="34"/>
  <c r="V32" i="34"/>
  <c r="V33" i="34"/>
  <c r="V34" i="34"/>
  <c r="V35" i="34"/>
  <c r="V36" i="34"/>
  <c r="V37" i="34"/>
  <c r="V38" i="34"/>
  <c r="B30" i="20"/>
  <c r="U30" i="20" s="1"/>
  <c r="C33" i="20"/>
  <c r="B27" i="20"/>
  <c r="U27" i="20" s="1"/>
  <c r="C30" i="20"/>
  <c r="C27" i="20"/>
  <c r="B34" i="20"/>
  <c r="U34" i="20" s="1"/>
  <c r="B31" i="20"/>
  <c r="U31" i="20" s="1"/>
  <c r="C34" i="20"/>
  <c r="B28" i="20"/>
  <c r="U28" i="20" s="1"/>
  <c r="C31" i="20"/>
  <c r="C28" i="20"/>
  <c r="B33" i="20"/>
  <c r="U33" i="20" s="1"/>
  <c r="B32" i="20"/>
  <c r="U32" i="20" s="1"/>
  <c r="B29" i="20"/>
  <c r="U29" i="20" s="1"/>
  <c r="C32" i="20"/>
  <c r="B26" i="20"/>
  <c r="U26" i="20" s="1"/>
  <c r="C29" i="20"/>
  <c r="C26" i="20"/>
  <c r="M8" i="22"/>
  <c r="N8" i="22"/>
  <c r="O8" i="22"/>
  <c r="F9" i="33" a="1"/>
  <c r="F9" i="33" s="1"/>
  <c r="P8" i="22"/>
  <c r="I8" i="22"/>
  <c r="N11" i="22"/>
  <c r="Y11" i="22"/>
  <c r="L5" i="22" s="1"/>
  <c r="P20" i="28" s="1"/>
  <c r="R17" i="28"/>
  <c r="B2" i="37"/>
  <c r="D2" i="37"/>
  <c r="O14" i="28"/>
  <c r="L11" i="22"/>
  <c r="P11" i="22"/>
  <c r="L13" i="34"/>
  <c r="Q13" i="34"/>
  <c r="H13" i="34"/>
  <c r="R13" i="34"/>
  <c r="J11" i="22"/>
  <c r="J13" i="34"/>
  <c r="K13" i="34"/>
  <c r="I7" i="23"/>
  <c r="E7" i="23"/>
  <c r="Q7" i="23"/>
  <c r="AC7" i="23"/>
  <c r="C3" i="24"/>
  <c r="K11" i="22"/>
  <c r="AG11" i="22"/>
  <c r="T5" i="22" s="1"/>
  <c r="X20" i="28" s="1"/>
  <c r="T11" i="22"/>
  <c r="X14" i="28"/>
  <c r="A11" i="4"/>
  <c r="B7" i="23"/>
  <c r="T3" i="3"/>
  <c r="T3" i="22"/>
  <c r="S11" i="22"/>
  <c r="V17" i="28"/>
  <c r="R8" i="22"/>
  <c r="R11" i="22"/>
  <c r="S14" i="28"/>
  <c r="O11" i="22"/>
  <c r="U4" i="22"/>
  <c r="AA11" i="22"/>
  <c r="N5" i="22" s="1"/>
  <c r="R20" i="28" s="1"/>
  <c r="J3" i="22"/>
  <c r="L3" i="22"/>
  <c r="T5" i="3"/>
  <c r="C1" i="6"/>
  <c r="AD8" i="6"/>
  <c r="T10" i="34"/>
  <c r="AG8" i="6"/>
  <c r="AH8" i="6"/>
  <c r="A10" i="4"/>
  <c r="AK8" i="6"/>
  <c r="AL8" i="6"/>
  <c r="D1" i="3"/>
  <c r="F7" i="23"/>
  <c r="R7" i="23"/>
  <c r="AD7" i="23"/>
  <c r="G7" i="23"/>
  <c r="S7" i="23"/>
  <c r="AE7" i="23"/>
  <c r="H7" i="23"/>
  <c r="T7" i="23"/>
  <c r="AF7" i="23"/>
  <c r="U7" i="23"/>
  <c r="AG7" i="23"/>
  <c r="J7" i="23"/>
  <c r="V7" i="23"/>
  <c r="AH7" i="23"/>
  <c r="K7" i="23"/>
  <c r="W7" i="23"/>
  <c r="AI7" i="23"/>
  <c r="L7" i="23"/>
  <c r="X7" i="23"/>
  <c r="C3" i="23"/>
  <c r="M7" i="23"/>
  <c r="Y7" i="23"/>
  <c r="A10" i="23"/>
  <c r="C4" i="23"/>
  <c r="N7" i="23"/>
  <c r="Z7" i="23"/>
  <c r="B6" i="23"/>
  <c r="O7" i="23"/>
  <c r="AA7" i="23"/>
  <c r="A11" i="23"/>
  <c r="P7" i="23"/>
  <c r="S3" i="22"/>
  <c r="AF11" i="22"/>
  <c r="S5" i="22" s="1"/>
  <c r="W20" i="28" s="1"/>
  <c r="X11" i="22"/>
  <c r="K5" i="22" s="1"/>
  <c r="O20" i="28" s="1"/>
  <c r="K3" i="22"/>
  <c r="AB11" i="22"/>
  <c r="O5" i="22" s="1"/>
  <c r="S20" i="28" s="1"/>
  <c r="O3" i="22"/>
  <c r="W17" i="28"/>
  <c r="S8" i="22"/>
  <c r="W14" i="28"/>
  <c r="U7" i="22"/>
  <c r="AC11" i="22"/>
  <c r="P5" i="22" s="1"/>
  <c r="T20" i="28" s="1"/>
  <c r="J11" i="33" a="1"/>
  <c r="J11" i="33" s="1"/>
  <c r="M13" i="34"/>
  <c r="AE11" i="22"/>
  <c r="R5" i="22" s="1"/>
  <c r="V20" i="28" s="1"/>
  <c r="N13" i="34"/>
  <c r="O13" i="34"/>
  <c r="P13" i="34"/>
  <c r="AH15" i="22"/>
  <c r="J9" i="33" s="1" a="1"/>
  <c r="J9" i="33" s="1"/>
  <c r="I3" i="22"/>
  <c r="V11" i="22"/>
  <c r="I5" i="22" s="1"/>
  <c r="J10" i="33" a="1"/>
  <c r="J10" i="33" s="1"/>
  <c r="Q3" i="22"/>
  <c r="AD11" i="22"/>
  <c r="Q5" i="22" s="1"/>
  <c r="U20" i="28" s="1"/>
  <c r="I13" i="34"/>
  <c r="Z9" i="22"/>
  <c r="U6" i="22"/>
  <c r="F14" i="28" l="1"/>
  <c r="AL11" i="23"/>
  <c r="D23" i="20"/>
  <c r="B24" i="20"/>
  <c r="U24" i="20" s="1"/>
  <c r="C24" i="20"/>
  <c r="B25" i="20"/>
  <c r="U25" i="20" s="1"/>
  <c r="C25" i="20"/>
  <c r="C22" i="20"/>
  <c r="D24" i="20"/>
  <c r="C23" i="20"/>
  <c r="D22" i="20"/>
  <c r="B22" i="20"/>
  <c r="U22" i="20" s="1"/>
  <c r="B23" i="20"/>
  <c r="U23" i="20" s="1"/>
  <c r="F17" i="28"/>
  <c r="U8" i="22"/>
  <c r="F20" i="28"/>
  <c r="AL10" i="23"/>
  <c r="V10" i="34"/>
  <c r="Z11" i="22"/>
  <c r="M5" i="22" s="1"/>
  <c r="Q20" i="28" s="1"/>
  <c r="M3" i="22"/>
  <c r="U3" i="22" s="1"/>
  <c r="M20" i="28"/>
  <c r="U5" i="22"/>
  <c r="W3" i="4"/>
  <c r="W1" i="4"/>
  <c r="D14" i="20" l="1"/>
  <c r="B13" i="20"/>
  <c r="U13" i="20" s="1"/>
  <c r="C13" i="20"/>
  <c r="D13" i="20"/>
  <c r="B12" i="20"/>
  <c r="U12" i="20" s="1"/>
  <c r="C12" i="20"/>
  <c r="C14" i="20"/>
  <c r="B11" i="20"/>
  <c r="U11" i="20" s="1"/>
  <c r="D11" i="20"/>
  <c r="B14" i="20"/>
  <c r="U14" i="20" s="1"/>
  <c r="D12" i="20"/>
  <c r="C11" i="20"/>
  <c r="B15" i="20" l="1"/>
  <c r="U15" i="20" s="1"/>
  <c r="C15" i="20"/>
  <c r="D15" i="20"/>
  <c r="R8" i="5" l="1"/>
  <c r="T8" i="18" l="1"/>
  <c r="B17" i="20" l="1"/>
  <c r="U17" i="20" s="1"/>
  <c r="D17" i="20"/>
  <c r="B20" i="20"/>
  <c r="U20" i="20" s="1"/>
  <c r="C18" i="20"/>
  <c r="B21" i="20"/>
  <c r="U21" i="20" s="1"/>
  <c r="C16" i="20"/>
  <c r="C20" i="20"/>
  <c r="D19" i="20"/>
  <c r="B18" i="20"/>
  <c r="U18" i="20" s="1"/>
  <c r="C17" i="20"/>
  <c r="D18" i="20"/>
  <c r="D16" i="20"/>
  <c r="B16" i="20"/>
  <c r="U16" i="20" s="1"/>
  <c r="D20" i="20"/>
  <c r="D21" i="20"/>
  <c r="B19" i="20"/>
  <c r="U19" i="20" s="1"/>
  <c r="C19" i="20"/>
  <c r="C21" i="20"/>
  <c r="T8" i="5" l="1"/>
  <c r="J6" i="28" l="1"/>
  <c r="X19" i="34" l="1"/>
  <c r="E14" i="14"/>
  <c r="H10" i="20" a="1"/>
  <c r="L19" i="24"/>
  <c r="I14" i="5" a="1"/>
  <c r="K23" i="20" a="1"/>
  <c r="I17" i="20" a="1"/>
  <c r="AL14" i="12"/>
  <c r="Q18" i="20" a="1"/>
  <c r="E15" i="16"/>
  <c r="AM15" i="13"/>
  <c r="D14" i="11"/>
  <c r="P23" i="20" a="1"/>
  <c r="B21" i="6"/>
  <c r="C15" i="13"/>
  <c r="C14" i="18"/>
  <c r="AM14" i="13"/>
  <c r="AM15" i="14"/>
  <c r="AL14" i="16"/>
  <c r="I14" i="8" a="1"/>
  <c r="AO14" i="10"/>
  <c r="F18" i="24"/>
  <c r="L23" i="34" a="1"/>
  <c r="Q19" i="24"/>
  <c r="AO14" i="8"/>
  <c r="B14" i="18"/>
  <c r="D14" i="17"/>
  <c r="P10" i="20" a="1"/>
  <c r="J24" i="34" a="1"/>
  <c r="I28" i="34" a="1"/>
  <c r="M28" i="34" a="1"/>
  <c r="K20" i="34" a="1"/>
  <c r="N30" i="34" a="1"/>
  <c r="G17" i="34" a="1"/>
  <c r="K16" i="34" a="1"/>
  <c r="P22" i="34" a="1"/>
  <c r="M32" i="34" a="1"/>
  <c r="H17" i="34" a="1"/>
  <c r="N21" i="34" a="1"/>
  <c r="K35" i="34" a="1"/>
  <c r="Q26" i="34" a="1"/>
  <c r="G20" i="34" a="1"/>
  <c r="G32" i="34" a="1"/>
  <c r="I22" i="34" a="1"/>
  <c r="I24" i="20" a="1"/>
  <c r="O26" i="34" a="1"/>
  <c r="P20" i="34" a="1"/>
  <c r="I29" i="34" a="1"/>
  <c r="O17" i="34" a="1"/>
  <c r="Q24" i="34" a="1"/>
  <c r="M19" i="34" a="1"/>
  <c r="Q23" i="34" a="1"/>
  <c r="G18" i="34" a="1"/>
  <c r="C14" i="15"/>
  <c r="K18" i="34" a="1"/>
  <c r="G34" i="34" a="1"/>
  <c r="I15" i="8" a="1"/>
  <c r="M37" i="34" a="1"/>
  <c r="N26" i="34" a="1"/>
  <c r="O35" i="34" a="1"/>
  <c r="I18" i="20" a="1"/>
  <c r="G24" i="20" a="1"/>
  <c r="B14" i="12"/>
  <c r="C14" i="12"/>
  <c r="C18" i="24"/>
  <c r="J13" i="20" a="1"/>
  <c r="B14" i="16"/>
  <c r="AL15" i="15"/>
  <c r="AN15" i="14"/>
  <c r="AN15" i="17"/>
  <c r="C15" i="14"/>
  <c r="AO14" i="17"/>
  <c r="D15" i="11"/>
  <c r="K16" i="20" a="1"/>
  <c r="L27" i="34" a="1"/>
  <c r="B15" i="15"/>
  <c r="D15" i="8"/>
  <c r="R22" i="6"/>
  <c r="F14" i="8" a="1"/>
  <c r="B22" i="6"/>
  <c r="B15" i="12"/>
  <c r="S22" i="6"/>
  <c r="K29" i="34" a="1"/>
  <c r="I15" i="5" a="1"/>
  <c r="Q10" i="20" a="1"/>
  <c r="P24" i="20" a="1"/>
  <c r="I14" i="14" a="1"/>
  <c r="J11" i="20" a="1"/>
  <c r="O28" i="34" a="1"/>
  <c r="Q37" i="34" a="1"/>
  <c r="M25" i="34" a="1"/>
  <c r="M29" i="34" a="1"/>
  <c r="N32" i="34" a="1"/>
  <c r="H19" i="34" a="1"/>
  <c r="N34" i="34" a="1"/>
  <c r="O33" i="34" a="1"/>
  <c r="Q17" i="34" a="1"/>
  <c r="P32" i="34" a="1"/>
  <c r="I21" i="34" a="1"/>
  <c r="M30" i="34" a="1"/>
  <c r="R35" i="34"/>
  <c r="R28" i="34"/>
  <c r="R32" i="34"/>
  <c r="R30" i="34"/>
  <c r="I24" i="34" a="1"/>
  <c r="L19" i="34" a="1"/>
  <c r="H32" i="34" a="1"/>
  <c r="O22" i="34" a="1"/>
  <c r="G33" i="34" a="1"/>
  <c r="K11" i="20" a="1"/>
  <c r="L34" i="34" a="1"/>
  <c r="I30" i="34" a="1"/>
  <c r="J25" i="34" a="1"/>
  <c r="M22" i="34" a="1"/>
  <c r="O18" i="34" a="1"/>
  <c r="I15" i="18" a="1"/>
  <c r="Q29" i="34" a="1"/>
  <c r="H37" i="34" a="1"/>
  <c r="R25" i="34"/>
  <c r="Q28" i="34" a="1"/>
  <c r="N31" i="34" a="1"/>
  <c r="N19" i="34" a="1"/>
  <c r="H38" i="34" a="1"/>
  <c r="L17" i="34" a="1"/>
  <c r="C15" i="15"/>
  <c r="J30" i="34" a="1"/>
  <c r="K31" i="34" a="1"/>
  <c r="L15" i="20" a="1"/>
  <c r="AL15" i="10"/>
  <c r="D14" i="9"/>
  <c r="C19" i="24"/>
  <c r="B14" i="14"/>
  <c r="F15" i="8" a="1"/>
  <c r="E15" i="8"/>
  <c r="D15" i="17"/>
  <c r="F14" i="12" a="1"/>
  <c r="I14" i="15" a="1"/>
  <c r="I23" i="20" a="1"/>
  <c r="C21" i="6"/>
  <c r="M25" i="20" a="1"/>
  <c r="AN15" i="18"/>
  <c r="K15" i="20" a="1"/>
  <c r="G28" i="34" a="1"/>
  <c r="P22" i="20" a="1"/>
  <c r="D19" i="24"/>
  <c r="F14" i="14" a="1"/>
  <c r="E14" i="10"/>
  <c r="I15" i="12" a="1"/>
  <c r="F15" i="5" a="1"/>
  <c r="G27" i="34" a="1"/>
  <c r="F15" i="16" a="1"/>
  <c r="E18" i="24"/>
  <c r="P12" i="20" a="1"/>
  <c r="L18" i="34" a="1"/>
  <c r="Q20" i="34" a="1"/>
  <c r="P27" i="34" a="1"/>
  <c r="O23" i="34" a="1"/>
  <c r="M26" i="34" a="1"/>
  <c r="J16" i="34" a="1"/>
  <c r="G37" i="34" a="1"/>
  <c r="I36" i="34" a="1"/>
  <c r="O37" i="34" a="1"/>
  <c r="P30" i="34" a="1"/>
  <c r="I32" i="34" a="1"/>
  <c r="N17" i="34" a="1"/>
  <c r="N38" i="34" a="1"/>
  <c r="G38" i="34" a="1"/>
  <c r="O34" i="34" a="1"/>
  <c r="L30" i="34" a="1"/>
  <c r="O31" i="34" a="1"/>
  <c r="R22" i="34"/>
  <c r="T18" i="24"/>
  <c r="J26" i="34" a="1"/>
  <c r="M31" i="34" a="1"/>
  <c r="H18" i="34" a="1"/>
  <c r="L36" i="34" a="1"/>
  <c r="N23" i="34" a="1"/>
  <c r="K23" i="34" a="1"/>
  <c r="Q25" i="34" a="1"/>
  <c r="K30" i="34" a="1"/>
  <c r="B15" i="18"/>
  <c r="Q32" i="34" a="1"/>
  <c r="R17" i="34"/>
  <c r="AN14" i="9"/>
  <c r="P35" i="34" a="1"/>
  <c r="B14" i="9"/>
  <c r="D15" i="15"/>
  <c r="Q13" i="20" a="1"/>
  <c r="B14" i="34"/>
  <c r="B14" i="8"/>
  <c r="D14" i="14"/>
  <c r="I15" i="14" a="1"/>
  <c r="B18" i="24"/>
  <c r="AN15" i="15"/>
  <c r="F14" i="15" a="1"/>
  <c r="I14" i="18" a="1"/>
  <c r="AN15" i="11"/>
  <c r="D14" i="8"/>
  <c r="G25" i="20" a="1"/>
  <c r="R20" i="34"/>
  <c r="C14" i="10"/>
  <c r="AL14" i="17"/>
  <c r="K25" i="20" a="1"/>
  <c r="J10" i="20" a="1"/>
  <c r="M17" i="20" a="1"/>
  <c r="R21" i="6"/>
  <c r="J18" i="20" a="1"/>
  <c r="Q24" i="20" a="1"/>
  <c r="AO15" i="12"/>
  <c r="H21" i="20" a="1"/>
  <c r="C14" i="13"/>
  <c r="M27" i="34" a="1"/>
  <c r="J18" i="34" a="1"/>
  <c r="H28" i="34" a="1"/>
  <c r="M24" i="34" a="1"/>
  <c r="P33" i="34" a="1"/>
  <c r="O38" i="34" a="1"/>
  <c r="H22" i="34" a="1"/>
  <c r="J19" i="34" a="1"/>
  <c r="P26" i="34" a="1"/>
  <c r="L35" i="34" a="1"/>
  <c r="N33" i="34" a="1"/>
  <c r="K32" i="34" a="1"/>
  <c r="R29" i="34"/>
  <c r="R18" i="34"/>
  <c r="R36" i="34"/>
  <c r="R38" i="34"/>
  <c r="K33" i="34" a="1"/>
  <c r="O21" i="34" a="1"/>
  <c r="AN15" i="16"/>
  <c r="N29" i="34" a="1"/>
  <c r="O19" i="34" a="1"/>
  <c r="H20" i="20" a="1"/>
  <c r="I35" i="34" a="1"/>
  <c r="J32" i="34" a="1"/>
  <c r="R21" i="34"/>
  <c r="E15" i="11"/>
  <c r="F14" i="11" a="1"/>
  <c r="D21" i="6"/>
  <c r="L38" i="34" a="1"/>
  <c r="R19" i="34"/>
  <c r="M23" i="34" a="1"/>
  <c r="M35" i="34" a="1"/>
  <c r="H16" i="34" a="1"/>
  <c r="F14" i="16" a="1"/>
  <c r="AM14" i="18"/>
  <c r="C14" i="8"/>
  <c r="B14" i="11"/>
  <c r="AO14" i="14"/>
  <c r="E15" i="12"/>
  <c r="K21" i="20" a="1"/>
  <c r="AM14" i="10"/>
  <c r="B15" i="5"/>
  <c r="AL14" i="15"/>
  <c r="D14" i="34"/>
  <c r="F15" i="15" a="1"/>
  <c r="AO14" i="16"/>
  <c r="H15" i="20" a="1"/>
  <c r="J20" i="34" a="1"/>
  <c r="AN15" i="8"/>
  <c r="B15" i="9"/>
  <c r="AL15" i="9"/>
  <c r="E14" i="5"/>
  <c r="D15" i="5"/>
  <c r="H22" i="20" a="1"/>
  <c r="M19" i="20" a="1"/>
  <c r="P15" i="20" a="1"/>
  <c r="R23" i="34"/>
  <c r="AM15" i="12"/>
  <c r="AO14" i="5"/>
  <c r="AM14" i="9"/>
  <c r="P23" i="34" a="1"/>
  <c r="I25" i="34" a="1"/>
  <c r="J27" i="34" a="1"/>
  <c r="K27" i="34" a="1"/>
  <c r="Q35" i="34" a="1"/>
  <c r="J22" i="34" a="1"/>
  <c r="Q38" i="34" a="1"/>
  <c r="K17" i="34" a="1"/>
  <c r="M17" i="34" a="1"/>
  <c r="Q34" i="34" a="1"/>
  <c r="O30" i="34" a="1"/>
  <c r="H33" i="34" a="1"/>
  <c r="G30" i="34" a="1"/>
  <c r="R31" i="34"/>
  <c r="I23" i="34" a="1"/>
  <c r="L21" i="34" a="1"/>
  <c r="P28" i="34" a="1"/>
  <c r="K24" i="34" a="1"/>
  <c r="L24" i="34" a="1"/>
  <c r="J36" i="34" a="1"/>
  <c r="P31" i="34" a="1"/>
  <c r="Q31" i="34" a="1"/>
  <c r="I33" i="34" a="1"/>
  <c r="M34" i="34" a="1"/>
  <c r="G23" i="34" a="1"/>
  <c r="AN14" i="14"/>
  <c r="D15" i="9"/>
  <c r="N16" i="34" a="1"/>
  <c r="AL14" i="13"/>
  <c r="D14" i="16"/>
  <c r="I26" i="34" a="1"/>
  <c r="M21" i="34" a="1"/>
  <c r="G16" i="34" a="1"/>
  <c r="P18" i="34" a="1"/>
  <c r="Q36" i="34" a="1"/>
  <c r="Q30" i="34" a="1"/>
  <c r="L33" i="34" a="1"/>
  <c r="I22" i="20" a="1"/>
  <c r="H27" i="34" a="1"/>
  <c r="K37" i="34" a="1"/>
  <c r="K21" i="34" a="1"/>
  <c r="H36" i="34" a="1"/>
  <c r="N37" i="34" a="1"/>
  <c r="R26" i="34"/>
  <c r="G31" i="34" a="1"/>
  <c r="I34" i="34" a="1"/>
  <c r="K25" i="34" a="1"/>
  <c r="J21" i="34" a="1"/>
  <c r="Q16" i="34" a="1"/>
  <c r="R24" i="34"/>
  <c r="M16" i="20" a="1"/>
  <c r="L25" i="34" a="1"/>
  <c r="R33" i="34"/>
  <c r="K26" i="34" a="1"/>
  <c r="P19" i="34" a="1"/>
  <c r="G22" i="34" a="1"/>
  <c r="AO14" i="12"/>
  <c r="I16" i="20" a="1"/>
  <c r="K22" i="20" a="1"/>
  <c r="J14" i="20" a="1"/>
  <c r="AM14" i="14"/>
  <c r="B14" i="10"/>
  <c r="Q17" i="20" a="1"/>
  <c r="H11" i="20" a="1"/>
  <c r="E14" i="12"/>
  <c r="M13" i="20" a="1"/>
  <c r="AM15" i="10"/>
  <c r="F14" i="17" a="1"/>
  <c r="J12" i="20" a="1"/>
  <c r="K13" i="20" a="1"/>
  <c r="J23" i="20" a="1"/>
  <c r="AL14" i="11"/>
  <c r="AO15" i="10"/>
  <c r="AO15" i="11"/>
  <c r="E19" i="24"/>
  <c r="AL15" i="18"/>
  <c r="T19" i="24"/>
  <c r="D22" i="6"/>
  <c r="C15" i="10"/>
  <c r="J24" i="20" a="1"/>
  <c r="C14" i="9"/>
  <c r="G10" i="20" a="1"/>
  <c r="AN14" i="17"/>
  <c r="N28" i="34" a="1"/>
  <c r="L26" i="34" a="1"/>
  <c r="N20" i="34" a="1"/>
  <c r="O24" i="34" a="1"/>
  <c r="H30" i="34" a="1"/>
  <c r="J31" i="34" a="1"/>
  <c r="P25" i="34" a="1"/>
  <c r="M33" i="34" a="1"/>
  <c r="I38" i="34" a="1"/>
  <c r="I31" i="34" a="1"/>
  <c r="P13" i="20" a="1"/>
  <c r="M18" i="34" a="1"/>
  <c r="H21" i="34" a="1"/>
  <c r="P36" i="34" a="1"/>
  <c r="Q33" i="34" a="1"/>
  <c r="B14" i="13"/>
  <c r="B15" i="8"/>
  <c r="AL14" i="8"/>
  <c r="I14" i="13" a="1"/>
  <c r="AN14" i="10"/>
  <c r="H13" i="20" a="1"/>
  <c r="AO15" i="13"/>
  <c r="G29" i="34" a="1"/>
  <c r="G21" i="20" a="1"/>
  <c r="C15" i="11"/>
  <c r="Q16" i="20" a="1"/>
  <c r="AL15" i="14"/>
  <c r="D14" i="18"/>
  <c r="K14" i="20" a="1"/>
  <c r="P21" i="20" a="1"/>
  <c r="J25" i="20" a="1"/>
  <c r="C14" i="11"/>
  <c r="I15" i="20" a="1"/>
  <c r="I15" i="15" a="1"/>
  <c r="C15" i="5"/>
  <c r="G11" i="20" a="1"/>
  <c r="H18" i="20" a="1"/>
  <c r="AM15" i="9"/>
  <c r="C15" i="16"/>
  <c r="S18" i="24"/>
  <c r="D18" i="24"/>
  <c r="G12" i="20" a="1"/>
  <c r="J29" i="34" a="1"/>
  <c r="H26" i="34" a="1"/>
  <c r="L28" i="34" a="1"/>
  <c r="M20" i="34" a="1"/>
  <c r="P24" i="34" a="1"/>
  <c r="J23" i="34" a="1"/>
  <c r="K34" i="34" a="1"/>
  <c r="J17" i="34" a="1"/>
  <c r="N22" i="34" a="1"/>
  <c r="J38" i="34" a="1"/>
  <c r="Q19" i="34" a="1"/>
  <c r="P38" i="34" a="1"/>
  <c r="O25" i="34" a="1"/>
  <c r="G21" i="34" a="1"/>
  <c r="O16" i="34" a="1"/>
  <c r="R34" i="34"/>
  <c r="AO14" i="11"/>
  <c r="M23" i="20" a="1"/>
  <c r="K19" i="34" a="1"/>
  <c r="K36" i="34" a="1"/>
  <c r="R37" i="34"/>
  <c r="AO15" i="17"/>
  <c r="AO15" i="18"/>
  <c r="N18" i="34" a="1"/>
  <c r="J33" i="34" a="1"/>
  <c r="L16" i="34" a="1"/>
  <c r="R16" i="34"/>
  <c r="E14" i="17"/>
  <c r="D15" i="10"/>
  <c r="D15" i="13"/>
  <c r="AM14" i="12"/>
  <c r="Q22" i="6"/>
  <c r="AM14" i="8"/>
  <c r="AM14" i="16"/>
  <c r="G26" i="34" a="1"/>
  <c r="E15" i="14"/>
  <c r="AL15" i="8"/>
  <c r="C15" i="17"/>
  <c r="G17" i="20" a="1"/>
  <c r="D14" i="10"/>
  <c r="P25" i="20" a="1"/>
  <c r="C14" i="5"/>
  <c r="I15" i="17" a="1"/>
  <c r="AN15" i="10"/>
  <c r="H14" i="20" a="1"/>
  <c r="P16" i="20" a="1"/>
  <c r="F14" i="5" a="1"/>
  <c r="D14" i="12"/>
  <c r="I14" i="12" a="1"/>
  <c r="G18" i="20" a="1"/>
  <c r="AM15" i="15"/>
  <c r="P18" i="20" a="1"/>
  <c r="F15" i="11" a="1"/>
  <c r="L18" i="24"/>
  <c r="G24" i="34" a="1"/>
  <c r="Q18" i="24"/>
  <c r="S21" i="6"/>
  <c r="Q23" i="20" a="1"/>
  <c r="I19" i="20" a="1"/>
  <c r="U18" i="24"/>
  <c r="G22" i="20" a="1"/>
  <c r="AO14" i="18"/>
  <c r="G14" i="20" a="1"/>
  <c r="AL15" i="12"/>
  <c r="C15" i="12"/>
  <c r="O19" i="24"/>
  <c r="AL14" i="14"/>
  <c r="I12" i="20" a="1"/>
  <c r="E14" i="11"/>
  <c r="AN14" i="12"/>
  <c r="E14" i="9"/>
  <c r="M24" i="20" a="1"/>
  <c r="D15" i="18"/>
  <c r="E14" i="8"/>
  <c r="P11" i="20" a="1"/>
  <c r="L29" i="34" a="1"/>
  <c r="AN14" i="18"/>
  <c r="I15" i="9" a="1"/>
  <c r="AN14" i="13"/>
  <c r="AO15" i="15"/>
  <c r="H25" i="20" a="1"/>
  <c r="D14" i="15"/>
  <c r="K24" i="20" a="1"/>
  <c r="AL15" i="5"/>
  <c r="I15" i="16" a="1"/>
  <c r="AL14" i="18"/>
  <c r="Q20" i="20" a="1"/>
  <c r="AM15" i="5"/>
  <c r="AO14" i="13"/>
  <c r="M10" i="20" a="1"/>
  <c r="K18" i="20" a="1"/>
  <c r="M14" i="20" a="1"/>
  <c r="U19" i="24"/>
  <c r="AL15" i="16"/>
  <c r="N27" i="34" a="1"/>
  <c r="D15" i="12"/>
  <c r="F15" i="17" a="1"/>
  <c r="C14" i="17"/>
  <c r="D15" i="16"/>
  <c r="Q15" i="20" a="1"/>
  <c r="B15" i="14"/>
  <c r="G25" i="34" a="1"/>
  <c r="E15" i="13"/>
  <c r="M18" i="20" a="1"/>
  <c r="F15" i="18" a="1"/>
  <c r="AO14" i="15"/>
  <c r="I14" i="11" a="1"/>
  <c r="AN15" i="12"/>
  <c r="M22" i="20" a="1"/>
  <c r="P20" i="20" a="1"/>
  <c r="AL15" i="17"/>
  <c r="E14" i="13"/>
  <c r="Q21" i="20" a="1"/>
  <c r="G13" i="20" a="1"/>
  <c r="I21" i="20" a="1"/>
  <c r="P17" i="20" a="1"/>
  <c r="B14" i="15"/>
  <c r="AM15" i="16"/>
  <c r="E15" i="5"/>
  <c r="I14" i="16" a="1"/>
  <c r="E14" i="15"/>
  <c r="AM15" i="18"/>
  <c r="J20" i="20" a="1"/>
  <c r="P29" i="34" a="1"/>
  <c r="K28" i="34" a="1"/>
  <c r="H29" i="34" a="1"/>
  <c r="I20" i="34" a="1"/>
  <c r="P34" i="34" a="1"/>
  <c r="Q22" i="34" a="1"/>
  <c r="H35" i="34" a="1"/>
  <c r="P37" i="34" a="1"/>
  <c r="L32" i="34" a="1"/>
  <c r="H31" i="34" a="1"/>
  <c r="K38" i="34" a="1"/>
  <c r="M16" i="34" a="1"/>
  <c r="G36" i="34" a="1"/>
  <c r="L31" i="34" a="1"/>
  <c r="I18" i="34" a="1"/>
  <c r="O32" i="34" a="1"/>
  <c r="Q25" i="20" a="1"/>
  <c r="AO15" i="16"/>
  <c r="H16" i="20" a="1"/>
  <c r="H17" i="20" a="1"/>
  <c r="Q22" i="20" a="1"/>
  <c r="T21" i="6"/>
  <c r="I37" i="34" a="1"/>
  <c r="AM15" i="8"/>
  <c r="S19" i="24"/>
  <c r="G19" i="34" a="1"/>
  <c r="C15" i="8"/>
  <c r="O36" i="34" a="1"/>
  <c r="I14" i="17" a="1"/>
  <c r="E14" i="16"/>
  <c r="O18" i="24"/>
  <c r="AN14" i="11"/>
  <c r="I15" i="11" a="1"/>
  <c r="O29" i="34" a="1"/>
  <c r="C15" i="18"/>
  <c r="M15" i="20" a="1"/>
  <c r="F15" i="14" a="1"/>
  <c r="AM14" i="17"/>
  <c r="D14" i="5"/>
  <c r="C14" i="14"/>
  <c r="C14" i="34"/>
  <c r="J22" i="20" a="1"/>
  <c r="J37" i="34" a="1"/>
  <c r="B15" i="13"/>
  <c r="I27" i="34" a="1"/>
  <c r="M38" i="34" a="1"/>
  <c r="F15" i="10" a="1"/>
  <c r="L22" i="34" a="1"/>
  <c r="AO15" i="9"/>
  <c r="G19" i="20" a="1"/>
  <c r="AO15" i="14"/>
  <c r="K19" i="20" a="1"/>
  <c r="G16" i="20" a="1"/>
  <c r="K10" i="20" a="1"/>
  <c r="J17" i="20" a="1"/>
  <c r="AO15" i="5"/>
  <c r="AL14" i="10"/>
  <c r="E15" i="15"/>
  <c r="Q19" i="20" a="1"/>
  <c r="M21" i="20" a="1"/>
  <c r="B15" i="10"/>
  <c r="D14" i="13"/>
  <c r="I14" i="10" a="1"/>
  <c r="B14" i="5"/>
  <c r="B15" i="17"/>
  <c r="AM14" i="15"/>
  <c r="F19" i="24"/>
  <c r="AO15" i="8"/>
  <c r="Q11" i="20" a="1"/>
  <c r="F14" i="13" a="1"/>
  <c r="AL14" i="5"/>
  <c r="P19" i="20" a="1"/>
  <c r="O20" i="34" a="1"/>
  <c r="O27" i="34" a="1"/>
  <c r="T22" i="6"/>
  <c r="J19" i="20" a="1"/>
  <c r="L20" i="34" a="1"/>
  <c r="Q27" i="34" a="1"/>
  <c r="J35" i="34" a="1"/>
  <c r="I17" i="34" a="1"/>
  <c r="P16" i="34" a="1"/>
  <c r="N25" i="34" a="1"/>
  <c r="K22" i="34" a="1"/>
  <c r="H34" i="34" a="1"/>
  <c r="I19" i="34" a="1"/>
  <c r="N36" i="34" a="1"/>
  <c r="H23" i="34" a="1"/>
  <c r="M36" i="34" a="1"/>
  <c r="I16" i="34" a="1"/>
  <c r="L37" i="34" a="1"/>
  <c r="G35" i="34" a="1"/>
  <c r="R27" i="34"/>
  <c r="M12" i="20" a="1"/>
  <c r="E14" i="34"/>
  <c r="J16" i="20" a="1"/>
  <c r="H20" i="34" a="1"/>
  <c r="J21" i="20" a="1"/>
  <c r="Q21" i="34" a="1"/>
  <c r="P17" i="34" a="1"/>
  <c r="F15" i="12" a="1"/>
  <c r="J34" i="34" a="1"/>
  <c r="AM14" i="11"/>
  <c r="I25" i="20" a="1"/>
  <c r="K20" i="20" a="1"/>
  <c r="I14" i="9" a="1"/>
  <c r="F14" i="18" a="1"/>
  <c r="AN14" i="8"/>
  <c r="AO14" i="9"/>
  <c r="H12" i="20" a="1"/>
  <c r="AL14" i="9"/>
  <c r="I20" i="20" a="1"/>
  <c r="C22" i="6"/>
  <c r="B15" i="11"/>
  <c r="I15" i="10" a="1"/>
  <c r="I14" i="20" a="1"/>
  <c r="M20" i="20" a="1"/>
  <c r="AL15" i="13"/>
  <c r="AM15" i="11"/>
  <c r="AN15" i="5"/>
  <c r="AM14" i="5"/>
  <c r="G15" i="20" a="1"/>
  <c r="F15" i="13" a="1"/>
  <c r="H19" i="20" a="1"/>
  <c r="Q12" i="20" a="1"/>
  <c r="C15" i="9"/>
  <c r="J28" i="34" a="1"/>
  <c r="N35" i="34" a="1"/>
  <c r="G20" i="20" a="1"/>
  <c r="M11" i="20" a="1"/>
  <c r="I11" i="20" a="1"/>
  <c r="B14" i="17"/>
  <c r="B19" i="24"/>
  <c r="AN14" i="15"/>
  <c r="E15" i="17"/>
  <c r="P14" i="20" a="1"/>
  <c r="F15" i="9" a="1"/>
  <c r="I15" i="13" a="1"/>
  <c r="H23" i="20" a="1"/>
  <c r="K12" i="20" a="1"/>
  <c r="AN15" i="13"/>
  <c r="H24" i="34" a="1"/>
  <c r="P21" i="34" a="1"/>
  <c r="N24" i="34" a="1"/>
  <c r="F14" i="10" a="1"/>
  <c r="AM15" i="17"/>
  <c r="B15" i="16"/>
  <c r="Q14" i="20" a="1"/>
  <c r="AN14" i="5"/>
  <c r="E15" i="10"/>
  <c r="I13" i="20" a="1"/>
  <c r="E15" i="18"/>
  <c r="AN14" i="16"/>
  <c r="I10" i="20" a="1"/>
  <c r="G23" i="20" a="1"/>
  <c r="D15" i="14"/>
  <c r="AL15" i="11"/>
  <c r="E14" i="18"/>
  <c r="D5" i="30"/>
  <c r="K17" i="20" a="1"/>
  <c r="C14" i="16"/>
  <c r="AN15" i="9"/>
  <c r="Q21" i="6"/>
  <c r="H24" i="20" a="1"/>
  <c r="E15" i="9"/>
  <c r="Q18" i="34" a="1"/>
  <c r="F14" i="9" a="1"/>
  <c r="H25" i="34" a="1"/>
  <c r="S7" i="28" l="1"/>
  <c r="R7" i="28"/>
  <c r="O7" i="28"/>
  <c r="N8" i="28"/>
  <c r="S8" i="28"/>
  <c r="AS11" i="23"/>
  <c r="T8" i="28"/>
  <c r="T7" i="28"/>
  <c r="R8" i="28"/>
  <c r="O8" i="28"/>
  <c r="N7" i="28"/>
  <c r="V8" i="28"/>
  <c r="V7" i="28"/>
  <c r="X8" i="28"/>
  <c r="X7" i="28"/>
  <c r="AK11" i="23"/>
  <c r="AK10" i="23"/>
  <c r="AQ8" i="23" s="1"/>
  <c r="AS10" i="23"/>
  <c r="U8" i="28"/>
  <c r="U7" i="28"/>
  <c r="P8" i="28"/>
  <c r="P7" i="28"/>
  <c r="M8" i="28"/>
  <c r="M7" i="28"/>
  <c r="Q7" i="28"/>
  <c r="Q8" i="28"/>
  <c r="W7" i="28"/>
  <c r="W8" i="28"/>
  <c r="A15" i="34"/>
  <c r="I34" i="34"/>
  <c r="O32" i="34"/>
  <c r="G18" i="34"/>
  <c r="G16" i="34"/>
  <c r="O26" i="34"/>
  <c r="O21" i="34"/>
  <c r="L21" i="34"/>
  <c r="O31" i="34"/>
  <c r="I22" i="34"/>
  <c r="O36" i="34"/>
  <c r="L17" i="34"/>
  <c r="G35" i="34"/>
  <c r="I18" i="34"/>
  <c r="I35" i="34"/>
  <c r="L34" i="34"/>
  <c r="O16" i="34"/>
  <c r="G33" i="34"/>
  <c r="I23" i="34"/>
  <c r="L30" i="34"/>
  <c r="G32" i="34"/>
  <c r="O35" i="34"/>
  <c r="L16" i="34"/>
  <c r="L37" i="34"/>
  <c r="G31" i="34"/>
  <c r="L31" i="34"/>
  <c r="O18" i="34"/>
  <c r="L36" i="34"/>
  <c r="I31" i="34"/>
  <c r="G21" i="34"/>
  <c r="G23" i="34"/>
  <c r="O34" i="34"/>
  <c r="G20" i="34"/>
  <c r="G22" i="34"/>
  <c r="I16" i="34"/>
  <c r="G36" i="34"/>
  <c r="L33" i="34"/>
  <c r="I30" i="34"/>
  <c r="O25" i="34"/>
  <c r="O22" i="34"/>
  <c r="G30" i="34"/>
  <c r="G38" i="34"/>
  <c r="Q26" i="34"/>
  <c r="H16" i="34"/>
  <c r="P17" i="34"/>
  <c r="H20" i="34"/>
  <c r="M36" i="34"/>
  <c r="H37" i="34"/>
  <c r="M16" i="34"/>
  <c r="K30" i="34"/>
  <c r="P36" i="34"/>
  <c r="I38" i="34"/>
  <c r="P38" i="34"/>
  <c r="M34" i="34"/>
  <c r="H33" i="34"/>
  <c r="K32" i="34"/>
  <c r="N38" i="34"/>
  <c r="M30" i="34"/>
  <c r="K35" i="34"/>
  <c r="J34" i="34"/>
  <c r="M38" i="34"/>
  <c r="H38" i="34"/>
  <c r="H23" i="34"/>
  <c r="N37" i="34"/>
  <c r="K38" i="34"/>
  <c r="Q33" i="34"/>
  <c r="M19" i="34"/>
  <c r="O19" i="34"/>
  <c r="Q19" i="34"/>
  <c r="H32" i="34"/>
  <c r="O30" i="34"/>
  <c r="N33" i="34"/>
  <c r="N17" i="34"/>
  <c r="I21" i="34"/>
  <c r="N21" i="34"/>
  <c r="N24" i="34"/>
  <c r="J33" i="34"/>
  <c r="Q16" i="34"/>
  <c r="N36" i="34"/>
  <c r="H36" i="34"/>
  <c r="H31" i="34"/>
  <c r="J32" i="34"/>
  <c r="H18" i="34"/>
  <c r="N16" i="34"/>
  <c r="J38" i="34"/>
  <c r="K33" i="34"/>
  <c r="Q34" i="34"/>
  <c r="L35" i="34"/>
  <c r="I32" i="34"/>
  <c r="P32" i="34"/>
  <c r="H17" i="34"/>
  <c r="L22" i="34"/>
  <c r="J30" i="34"/>
  <c r="G34" i="34"/>
  <c r="I19" i="34"/>
  <c r="Q32" i="34"/>
  <c r="L32" i="34"/>
  <c r="Q30" i="34"/>
  <c r="M21" i="34"/>
  <c r="M33" i="34"/>
  <c r="N22" i="34"/>
  <c r="I33" i="34"/>
  <c r="M17" i="34"/>
  <c r="P26" i="34"/>
  <c r="P30" i="34"/>
  <c r="Q17" i="34"/>
  <c r="M32" i="34"/>
  <c r="P19" i="34"/>
  <c r="G19" i="34"/>
  <c r="N35" i="34"/>
  <c r="H34" i="34"/>
  <c r="K21" i="34"/>
  <c r="P37" i="34"/>
  <c r="M22" i="34"/>
  <c r="H21" i="34"/>
  <c r="P25" i="34"/>
  <c r="J17" i="34"/>
  <c r="Q31" i="34"/>
  <c r="K17" i="34"/>
  <c r="J19" i="34"/>
  <c r="O37" i="34"/>
  <c r="O33" i="34"/>
  <c r="P22" i="34"/>
  <c r="M35" i="34"/>
  <c r="L38" i="34"/>
  <c r="K36" i="34"/>
  <c r="K22" i="34"/>
  <c r="J37" i="34"/>
  <c r="H35" i="34"/>
  <c r="Q25" i="34"/>
  <c r="Q24" i="34"/>
  <c r="J31" i="34"/>
  <c r="K34" i="34"/>
  <c r="L19" i="34"/>
  <c r="Q38" i="34"/>
  <c r="H22" i="34"/>
  <c r="I36" i="34"/>
  <c r="N34" i="34"/>
  <c r="K16" i="34"/>
  <c r="N26" i="34"/>
  <c r="P35" i="34"/>
  <c r="N19" i="34"/>
  <c r="N25" i="34"/>
  <c r="K19" i="34"/>
  <c r="Q22" i="34"/>
  <c r="Q36" i="34"/>
  <c r="M31" i="34"/>
  <c r="H30" i="34"/>
  <c r="J23" i="34"/>
  <c r="P31" i="34"/>
  <c r="J22" i="34"/>
  <c r="O38" i="34"/>
  <c r="G37" i="34"/>
  <c r="H19" i="34"/>
  <c r="G17" i="34"/>
  <c r="K31" i="34"/>
  <c r="Q21" i="34"/>
  <c r="J21" i="34"/>
  <c r="P16" i="34"/>
  <c r="K37" i="34"/>
  <c r="P34" i="34"/>
  <c r="K23" i="34"/>
  <c r="O17" i="34"/>
  <c r="O24" i="34"/>
  <c r="P24" i="34"/>
  <c r="J36" i="34"/>
  <c r="Q35" i="34"/>
  <c r="P33" i="34"/>
  <c r="J16" i="34"/>
  <c r="N32" i="34"/>
  <c r="N30" i="34"/>
  <c r="P21" i="34"/>
  <c r="M37" i="34"/>
  <c r="N31" i="34"/>
  <c r="I17" i="34"/>
  <c r="I37" i="34"/>
  <c r="I20" i="34"/>
  <c r="Q23" i="34"/>
  <c r="I29" i="34"/>
  <c r="N20" i="34"/>
  <c r="M20" i="34"/>
  <c r="L24" i="34"/>
  <c r="K27" i="34"/>
  <c r="M24" i="34"/>
  <c r="M26" i="34"/>
  <c r="M29" i="34"/>
  <c r="K20" i="34"/>
  <c r="N27" i="34"/>
  <c r="N18" i="34"/>
  <c r="J28" i="34"/>
  <c r="J35" i="34"/>
  <c r="Q29" i="34"/>
  <c r="H29" i="34"/>
  <c r="P18" i="34"/>
  <c r="M18" i="34"/>
  <c r="L26" i="34"/>
  <c r="L28" i="34"/>
  <c r="K24" i="34"/>
  <c r="J27" i="34"/>
  <c r="H28" i="34"/>
  <c r="O23" i="34"/>
  <c r="M25" i="34"/>
  <c r="M28" i="34"/>
  <c r="K26" i="34"/>
  <c r="H24" i="34"/>
  <c r="K25" i="34"/>
  <c r="Q27" i="34"/>
  <c r="K18" i="34"/>
  <c r="K28" i="34"/>
  <c r="N23" i="34"/>
  <c r="J26" i="34"/>
  <c r="N28" i="34"/>
  <c r="H26" i="34"/>
  <c r="I24" i="34"/>
  <c r="I25" i="34"/>
  <c r="J18" i="34"/>
  <c r="P27" i="34"/>
  <c r="Q37" i="34"/>
  <c r="I28" i="34"/>
  <c r="M23" i="34"/>
  <c r="I27" i="34"/>
  <c r="Q28" i="34"/>
  <c r="L20" i="34"/>
  <c r="H27" i="34"/>
  <c r="P29" i="34"/>
  <c r="J25" i="34"/>
  <c r="I26" i="34"/>
  <c r="N29" i="34"/>
  <c r="J29" i="34"/>
  <c r="P28" i="34"/>
  <c r="P23" i="34"/>
  <c r="M27" i="34"/>
  <c r="Q20" i="34"/>
  <c r="O28" i="34"/>
  <c r="J24" i="34"/>
  <c r="H25" i="34"/>
  <c r="J21" i="20"/>
  <c r="J16" i="20"/>
  <c r="J19" i="20"/>
  <c r="J22" i="20"/>
  <c r="J20" i="20"/>
  <c r="P20" i="34"/>
  <c r="G12" i="20"/>
  <c r="L18" i="34"/>
  <c r="J11" i="20"/>
  <c r="P10" i="20"/>
  <c r="E11" i="34"/>
  <c r="G10" i="20"/>
  <c r="P12" i="20"/>
  <c r="I14" i="14"/>
  <c r="E8" i="17"/>
  <c r="O27" i="34"/>
  <c r="M23" i="20"/>
  <c r="E8" i="15"/>
  <c r="I24" i="20"/>
  <c r="H21" i="20"/>
  <c r="P24" i="20"/>
  <c r="A14" i="18"/>
  <c r="F15" i="10"/>
  <c r="AD15" i="10" s="1"/>
  <c r="O20" i="34"/>
  <c r="I14" i="16"/>
  <c r="M14" i="20"/>
  <c r="J24" i="20"/>
  <c r="Q10" i="20"/>
  <c r="F15" i="12"/>
  <c r="AD15" i="12" s="1"/>
  <c r="Q12" i="20"/>
  <c r="P19" i="20"/>
  <c r="C10" i="20"/>
  <c r="K18" i="20"/>
  <c r="P13" i="20"/>
  <c r="K11" i="20"/>
  <c r="P15" i="20"/>
  <c r="Q24" i="20"/>
  <c r="F15" i="16"/>
  <c r="AD15" i="16" s="1"/>
  <c r="I15" i="5"/>
  <c r="F14" i="9"/>
  <c r="S5" i="6" a="1"/>
  <c r="S5" i="6" s="1"/>
  <c r="M12" i="20"/>
  <c r="Q22" i="20"/>
  <c r="M10" i="20"/>
  <c r="H20" i="20"/>
  <c r="J18" i="20"/>
  <c r="G27" i="34"/>
  <c r="K29" i="34"/>
  <c r="L23" i="34"/>
  <c r="Q18" i="34"/>
  <c r="L25" i="34"/>
  <c r="H19" i="20"/>
  <c r="F14" i="13"/>
  <c r="A14" i="15"/>
  <c r="E8" i="11"/>
  <c r="M19" i="20"/>
  <c r="F14" i="11"/>
  <c r="F15" i="13"/>
  <c r="AD15" i="13" s="1"/>
  <c r="Q11" i="20"/>
  <c r="A15" i="18"/>
  <c r="P17" i="20"/>
  <c r="I12" i="20"/>
  <c r="F14" i="5"/>
  <c r="H18" i="20"/>
  <c r="H22" i="20"/>
  <c r="F15" i="5"/>
  <c r="AD15" i="5" s="1"/>
  <c r="A15" i="12"/>
  <c r="H24" i="20"/>
  <c r="A15" i="13"/>
  <c r="G15" i="20"/>
  <c r="A14" i="13"/>
  <c r="I21" i="20"/>
  <c r="G11" i="20"/>
  <c r="AX15" i="5"/>
  <c r="M17" i="20"/>
  <c r="I15" i="12"/>
  <c r="A22" i="6"/>
  <c r="I14" i="8"/>
  <c r="G13" i="20"/>
  <c r="Q20" i="20"/>
  <c r="P16" i="20"/>
  <c r="AW15" i="5"/>
  <c r="E8" i="5"/>
  <c r="J10" i="20"/>
  <c r="E8" i="10"/>
  <c r="F14" i="8"/>
  <c r="K12" i="20"/>
  <c r="I15" i="18"/>
  <c r="Q21" i="20"/>
  <c r="H14" i="20"/>
  <c r="I15" i="15"/>
  <c r="K25" i="20"/>
  <c r="F14" i="14"/>
  <c r="A15" i="17"/>
  <c r="E8" i="13"/>
  <c r="I15" i="16"/>
  <c r="I15" i="20"/>
  <c r="A15" i="9"/>
  <c r="K17" i="20"/>
  <c r="G20" i="20"/>
  <c r="A14" i="5"/>
  <c r="AU14" i="5" s="1"/>
  <c r="AV14" i="5"/>
  <c r="I22" i="20"/>
  <c r="G14" i="20"/>
  <c r="I15" i="17"/>
  <c r="P22" i="20"/>
  <c r="A15" i="15"/>
  <c r="M16" i="20"/>
  <c r="M20" i="20"/>
  <c r="I14" i="10"/>
  <c r="H17" i="20"/>
  <c r="P20" i="20"/>
  <c r="J25" i="20"/>
  <c r="J23" i="20"/>
  <c r="J20" i="34"/>
  <c r="G28" i="34"/>
  <c r="L27" i="34"/>
  <c r="E8" i="18"/>
  <c r="I14" i="20"/>
  <c r="AX14" i="5"/>
  <c r="M22" i="20"/>
  <c r="K24" i="20"/>
  <c r="AW14" i="5"/>
  <c r="P21" i="20"/>
  <c r="K13" i="20"/>
  <c r="H15" i="20"/>
  <c r="G25" i="20"/>
  <c r="K15" i="20"/>
  <c r="K16" i="20"/>
  <c r="A21" i="6"/>
  <c r="A5" i="6"/>
  <c r="A3" i="6"/>
  <c r="I15" i="10"/>
  <c r="A15" i="10"/>
  <c r="G22" i="20"/>
  <c r="P25" i="20"/>
  <c r="K14" i="20"/>
  <c r="J12" i="20"/>
  <c r="P23" i="20"/>
  <c r="A15" i="11"/>
  <c r="M21" i="20"/>
  <c r="H16" i="20"/>
  <c r="I14" i="11"/>
  <c r="H25" i="20"/>
  <c r="F14" i="17"/>
  <c r="F15" i="15"/>
  <c r="AD15" i="15" s="1"/>
  <c r="M25" i="20"/>
  <c r="G23" i="20"/>
  <c r="I15" i="8"/>
  <c r="W22" i="6"/>
  <c r="V22" i="6" s="1"/>
  <c r="Q19" i="20"/>
  <c r="F15" i="14"/>
  <c r="AD15" i="14" s="1"/>
  <c r="I19" i="20"/>
  <c r="G17" i="20"/>
  <c r="D10" i="20"/>
  <c r="I14" i="18"/>
  <c r="W21" i="6"/>
  <c r="I10" i="20"/>
  <c r="H23" i="20"/>
  <c r="I20" i="20"/>
  <c r="F15" i="18"/>
  <c r="AD15" i="18" s="1"/>
  <c r="Q23" i="20"/>
  <c r="Q16" i="20"/>
  <c r="M13" i="20"/>
  <c r="F14" i="15"/>
  <c r="I23" i="20"/>
  <c r="I15" i="13"/>
  <c r="M15" i="20"/>
  <c r="M18" i="20"/>
  <c r="I15" i="9"/>
  <c r="E8" i="12"/>
  <c r="AV15" i="5"/>
  <c r="A15" i="5"/>
  <c r="AU15" i="5" s="1"/>
  <c r="I14" i="15"/>
  <c r="Q18" i="20"/>
  <c r="F15" i="9"/>
  <c r="AD15" i="9" s="1"/>
  <c r="H12" i="20"/>
  <c r="G21" i="20"/>
  <c r="H11" i="20"/>
  <c r="A18" i="24"/>
  <c r="F14" i="12"/>
  <c r="I13" i="20"/>
  <c r="P14" i="20"/>
  <c r="J17" i="20"/>
  <c r="O29" i="34"/>
  <c r="G25" i="34"/>
  <c r="L29" i="34"/>
  <c r="G24" i="34"/>
  <c r="G26" i="34"/>
  <c r="G29" i="34"/>
  <c r="Q17" i="20"/>
  <c r="K21" i="20"/>
  <c r="I15" i="14"/>
  <c r="A14" i="16"/>
  <c r="I17" i="20"/>
  <c r="K10" i="20"/>
  <c r="I15" i="11"/>
  <c r="A15" i="14"/>
  <c r="P11" i="20"/>
  <c r="A14" i="10"/>
  <c r="J13" i="20"/>
  <c r="K23" i="20"/>
  <c r="F14" i="18"/>
  <c r="G16" i="20"/>
  <c r="Q15" i="20"/>
  <c r="E8" i="8"/>
  <c r="F15" i="11"/>
  <c r="AD15" i="11" s="1"/>
  <c r="H13" i="20"/>
  <c r="A14" i="8"/>
  <c r="F15" i="8"/>
  <c r="AD15" i="8" s="1"/>
  <c r="I14" i="5"/>
  <c r="Q14" i="20"/>
  <c r="A19" i="24"/>
  <c r="I14" i="9"/>
  <c r="K19" i="20"/>
  <c r="P18" i="20"/>
  <c r="J14" i="20"/>
  <c r="A14" i="11"/>
  <c r="A29" i="34"/>
  <c r="A20" i="34"/>
  <c r="B10" i="20"/>
  <c r="U10" i="20" s="1"/>
  <c r="A37" i="34"/>
  <c r="A28" i="34"/>
  <c r="A21" i="34"/>
  <c r="A32" i="34"/>
  <c r="A24" i="34"/>
  <c r="A35" i="34"/>
  <c r="A26" i="34"/>
  <c r="A36" i="34"/>
  <c r="A16" i="34"/>
  <c r="A23" i="34"/>
  <c r="A33" i="34"/>
  <c r="A14" i="34"/>
  <c r="A18" i="34"/>
  <c r="A25" i="34"/>
  <c r="A22" i="34"/>
  <c r="A34" i="34"/>
  <c r="A30" i="34"/>
  <c r="A27" i="34"/>
  <c r="A17" i="34"/>
  <c r="A31" i="34"/>
  <c r="A38" i="34"/>
  <c r="A19" i="34"/>
  <c r="A14" i="14"/>
  <c r="A15" i="16"/>
  <c r="A14" i="17"/>
  <c r="K20" i="20"/>
  <c r="Q25" i="20"/>
  <c r="M24" i="20"/>
  <c r="I14" i="13"/>
  <c r="K22" i="20"/>
  <c r="Q13" i="20"/>
  <c r="A14" i="12"/>
  <c r="H10" i="20"/>
  <c r="I11" i="20"/>
  <c r="I25" i="20"/>
  <c r="G19" i="20"/>
  <c r="E8" i="16"/>
  <c r="F15" i="17"/>
  <c r="AD15" i="17" s="1"/>
  <c r="E8" i="9"/>
  <c r="G18" i="20"/>
  <c r="I16" i="20"/>
  <c r="G24" i="20"/>
  <c r="E8" i="14"/>
  <c r="E2" i="14" s="1" a="1"/>
  <c r="F14" i="10"/>
  <c r="M11" i="20"/>
  <c r="I14" i="17"/>
  <c r="I14" i="12"/>
  <c r="A15" i="8"/>
  <c r="F14" i="16"/>
  <c r="A14" i="9"/>
  <c r="I18" i="20"/>
  <c r="X25" i="34"/>
  <c r="X31" i="34"/>
  <c r="X34" i="34"/>
  <c r="X16" i="34"/>
  <c r="X37" i="34"/>
  <c r="U37" i="34"/>
  <c r="W37" i="34" s="1"/>
  <c r="U31" i="34"/>
  <c r="W31" i="34" s="1"/>
  <c r="L15" i="20"/>
  <c r="X21" i="34"/>
  <c r="X22" i="34"/>
  <c r="U34" i="34"/>
  <c r="W34" i="34" s="1"/>
  <c r="X36" i="34"/>
  <c r="X17" i="34"/>
  <c r="U36" i="34"/>
  <c r="W36" i="34" s="1"/>
  <c r="X28" i="34"/>
  <c r="X32" i="34"/>
  <c r="X26" i="34"/>
  <c r="X18" i="34"/>
  <c r="U32" i="34"/>
  <c r="W32" i="34" s="1"/>
  <c r="X29" i="34"/>
  <c r="X35" i="34"/>
  <c r="X38" i="34"/>
  <c r="X27" i="34"/>
  <c r="X33" i="34"/>
  <c r="X23" i="34"/>
  <c r="X20" i="34"/>
  <c r="U33" i="34"/>
  <c r="W33" i="34" s="1"/>
  <c r="X24" i="34"/>
  <c r="X30" i="34"/>
  <c r="U30" i="34"/>
  <c r="W30" i="34" s="1"/>
  <c r="U35" i="34"/>
  <c r="W35" i="34" s="1"/>
  <c r="U38" i="34"/>
  <c r="W38" i="34" s="1"/>
  <c r="L32" i="20" a="1"/>
  <c r="L14" i="20" a="1"/>
  <c r="L26" i="20" a="1"/>
  <c r="L18" i="20" a="1"/>
  <c r="L20" i="20" a="1"/>
  <c r="J27" i="20" a="1"/>
  <c r="L12" i="20" a="1"/>
  <c r="J28" i="20" a="1"/>
  <c r="J34" i="20" a="1"/>
  <c r="J31" i="20" a="1"/>
  <c r="J30" i="20" a="1"/>
  <c r="I19" i="24"/>
  <c r="J29" i="20" a="1"/>
  <c r="L22" i="20" a="1"/>
  <c r="L28" i="20" a="1"/>
  <c r="L29" i="20" a="1"/>
  <c r="J33" i="20" a="1"/>
  <c r="L19" i="20" a="1"/>
  <c r="L30" i="20" a="1"/>
  <c r="L31" i="20" a="1"/>
  <c r="J32" i="20" a="1"/>
  <c r="E2" i="11" a="1"/>
  <c r="L25" i="20" a="1"/>
  <c r="L23" i="20" a="1"/>
  <c r="L24" i="20" a="1"/>
  <c r="E2" i="12" a="1"/>
  <c r="L13" i="20" a="1"/>
  <c r="L34" i="20" a="1"/>
  <c r="L21" i="20" a="1"/>
  <c r="E2" i="13" a="1"/>
  <c r="L33" i="20" a="1"/>
  <c r="L16" i="20" a="1"/>
  <c r="I18" i="24"/>
  <c r="L27" i="20" a="1"/>
  <c r="L17" i="20" a="1"/>
  <c r="J26" i="20" a="1"/>
  <c r="E2" i="18" a="1"/>
  <c r="E2" i="15" a="1"/>
  <c r="E2" i="5" a="1"/>
  <c r="E2" i="16" a="1"/>
  <c r="S21" i="34" l="1"/>
  <c r="Y21" i="34" s="1"/>
  <c r="N17" i="20" s="1" a="1"/>
  <c r="S24" i="34"/>
  <c r="Y24" i="34" s="1"/>
  <c r="S28" i="34"/>
  <c r="Y28" i="34" s="1"/>
  <c r="S33" i="34"/>
  <c r="Y33" i="34" s="1"/>
  <c r="N29" i="20" s="1" a="1"/>
  <c r="S19" i="34"/>
  <c r="Y19" i="34" s="1"/>
  <c r="AA19" i="34" s="1"/>
  <c r="S18" i="34"/>
  <c r="Y18" i="34" s="1"/>
  <c r="N14" i="20" s="1" a="1"/>
  <c r="S16" i="34"/>
  <c r="Y16" i="34" s="1"/>
  <c r="S36" i="34"/>
  <c r="Y36" i="34" s="1"/>
  <c r="N32" i="20" s="1" a="1"/>
  <c r="S34" i="34"/>
  <c r="Y34" i="34" s="1"/>
  <c r="N30" i="20" s="1" a="1"/>
  <c r="S22" i="34"/>
  <c r="Y22" i="34" s="1"/>
  <c r="N18" i="20" s="1" a="1"/>
  <c r="S30" i="34"/>
  <c r="Y30" i="34" s="1"/>
  <c r="AA30" i="34" s="1"/>
  <c r="S32" i="34"/>
  <c r="Y32" i="34" s="1"/>
  <c r="AA32" i="34" s="1"/>
  <c r="S35" i="34"/>
  <c r="Y35" i="34" s="1"/>
  <c r="N31" i="20" s="1" a="1"/>
  <c r="S27" i="34"/>
  <c r="Y27" i="34" s="1"/>
  <c r="N23" i="20" s="1" a="1"/>
  <c r="S23" i="34"/>
  <c r="Y23" i="34" s="1"/>
  <c r="AA23" i="34" s="1"/>
  <c r="S31" i="34"/>
  <c r="Y31" i="34" s="1"/>
  <c r="AA31" i="34" s="1"/>
  <c r="E2" i="16"/>
  <c r="E2" i="12"/>
  <c r="E2" i="13"/>
  <c r="E2" i="5"/>
  <c r="E2" i="11"/>
  <c r="E2" i="18"/>
  <c r="E2" i="14"/>
  <c r="E2" i="15"/>
  <c r="K4" i="20"/>
  <c r="M14" i="18"/>
  <c r="C7" i="18"/>
  <c r="G13" i="2" s="1"/>
  <c r="N14" i="18"/>
  <c r="K14" i="18"/>
  <c r="D1" i="6"/>
  <c r="N15" i="16"/>
  <c r="M15" i="16"/>
  <c r="K15" i="16"/>
  <c r="W15" i="16" s="1"/>
  <c r="K15" i="12"/>
  <c r="W15" i="12" s="1"/>
  <c r="N15" i="12"/>
  <c r="M15" i="12"/>
  <c r="M4" i="20"/>
  <c r="N14" i="17"/>
  <c r="K14" i="17"/>
  <c r="C7" i="17"/>
  <c r="M14" i="17"/>
  <c r="K15" i="18"/>
  <c r="M15" i="18"/>
  <c r="N15" i="18"/>
  <c r="AD14" i="16"/>
  <c r="AD8" i="16" s="1"/>
  <c r="F8" i="16"/>
  <c r="H4" i="20"/>
  <c r="N14" i="13"/>
  <c r="M14" i="13"/>
  <c r="K14" i="13"/>
  <c r="C7" i="13"/>
  <c r="C7" i="5"/>
  <c r="M14" i="5"/>
  <c r="K14" i="5"/>
  <c r="N14" i="5"/>
  <c r="F8" i="18"/>
  <c r="AD14" i="18"/>
  <c r="AD8" i="18" s="1"/>
  <c r="N15" i="13"/>
  <c r="K15" i="13"/>
  <c r="W15" i="13" s="1"/>
  <c r="M15" i="13"/>
  <c r="M14" i="11"/>
  <c r="C7" i="11"/>
  <c r="N14" i="11"/>
  <c r="K14" i="11"/>
  <c r="M15" i="15"/>
  <c r="K15" i="15"/>
  <c r="W15" i="15" s="1"/>
  <c r="N15" i="15"/>
  <c r="AD14" i="5"/>
  <c r="AD8" i="5" s="1"/>
  <c r="F8" i="5"/>
  <c r="F8" i="10"/>
  <c r="AD14" i="10"/>
  <c r="AD8" i="10" s="1"/>
  <c r="N14" i="9"/>
  <c r="M14" i="9"/>
  <c r="K14" i="9"/>
  <c r="C7" i="9"/>
  <c r="G10" i="2" s="1"/>
  <c r="S29" i="34"/>
  <c r="M14" i="15"/>
  <c r="C7" i="15"/>
  <c r="G12" i="2" s="1"/>
  <c r="K14" i="15"/>
  <c r="N14" i="15"/>
  <c r="N15" i="9"/>
  <c r="K15" i="9"/>
  <c r="W15" i="9" s="1"/>
  <c r="M15" i="9"/>
  <c r="I4" i="20"/>
  <c r="N14" i="10"/>
  <c r="C7" i="10"/>
  <c r="K14" i="10"/>
  <c r="M14" i="10"/>
  <c r="AD14" i="8"/>
  <c r="AD8" i="8" s="1"/>
  <c r="F8" i="8"/>
  <c r="C7" i="8"/>
  <c r="N14" i="8"/>
  <c r="K14" i="8"/>
  <c r="M14" i="8"/>
  <c r="AD14" i="9"/>
  <c r="AD8" i="9" s="1"/>
  <c r="F8" i="9"/>
  <c r="Q4" i="20"/>
  <c r="G4" i="20"/>
  <c r="S20" i="34"/>
  <c r="M14" i="12"/>
  <c r="N14" i="12"/>
  <c r="C7" i="12"/>
  <c r="G11" i="2" s="1"/>
  <c r="K14" i="12"/>
  <c r="N15" i="11"/>
  <c r="K15" i="11"/>
  <c r="W15" i="11" s="1"/>
  <c r="M15" i="11"/>
  <c r="K15" i="14"/>
  <c r="W15" i="14" s="1"/>
  <c r="N15" i="14"/>
  <c r="M15" i="14"/>
  <c r="AD14" i="12"/>
  <c r="AD8" i="12" s="1"/>
  <c r="F8" i="12"/>
  <c r="F8" i="15"/>
  <c r="AD14" i="15"/>
  <c r="AD8" i="15" s="1"/>
  <c r="AO22" i="6"/>
  <c r="AL21" i="6"/>
  <c r="AF23" i="6"/>
  <c r="AE21" i="6"/>
  <c r="AJ22" i="6"/>
  <c r="CT16" i="36" s="1"/>
  <c r="CU41" i="36" s="1"/>
  <c r="AG21" i="6"/>
  <c r="AD23" i="6"/>
  <c r="AM22" i="6"/>
  <c r="AG23" i="6"/>
  <c r="AI21" i="6"/>
  <c r="V21" i="6"/>
  <c r="AH22" i="6"/>
  <c r="AF21" i="6"/>
  <c r="AN23" i="6"/>
  <c r="AE22" i="6"/>
  <c r="AI23" i="6"/>
  <c r="AD21" i="6"/>
  <c r="AJ21" i="6"/>
  <c r="AO21" i="6"/>
  <c r="AJ23" i="6"/>
  <c r="CT17" i="36" s="1"/>
  <c r="CU53" i="36" s="1"/>
  <c r="AI22" i="6"/>
  <c r="AK21" i="6"/>
  <c r="AM23" i="6"/>
  <c r="AK22" i="6"/>
  <c r="AF22" i="6"/>
  <c r="AH21" i="6"/>
  <c r="AN21" i="6"/>
  <c r="AM21" i="6"/>
  <c r="AL22" i="6"/>
  <c r="AH23" i="6"/>
  <c r="AD22" i="6"/>
  <c r="AE23" i="6"/>
  <c r="AG22" i="6"/>
  <c r="AO23" i="6"/>
  <c r="AN22" i="6"/>
  <c r="AL23" i="6"/>
  <c r="AK23" i="6"/>
  <c r="K15" i="8"/>
  <c r="W15" i="8" s="1"/>
  <c r="M15" i="8"/>
  <c r="N15" i="8"/>
  <c r="F8" i="17"/>
  <c r="AD14" i="17"/>
  <c r="AD8" i="17" s="1"/>
  <c r="N15" i="10"/>
  <c r="K15" i="10"/>
  <c r="W15" i="10" s="1"/>
  <c r="M15" i="10"/>
  <c r="N15" i="17"/>
  <c r="K15" i="17"/>
  <c r="W15" i="17" s="1"/>
  <c r="M15" i="17"/>
  <c r="AD14" i="14"/>
  <c r="AD8" i="14" s="1"/>
  <c r="F8" i="14"/>
  <c r="F8" i="11"/>
  <c r="AD14" i="11"/>
  <c r="AD8" i="11" s="1"/>
  <c r="AD14" i="13"/>
  <c r="AD8" i="13" s="1"/>
  <c r="F8" i="13"/>
  <c r="M15" i="5"/>
  <c r="K15" i="5"/>
  <c r="W15" i="5" s="1"/>
  <c r="N15" i="5"/>
  <c r="S37" i="34"/>
  <c r="Y37" i="34" s="1"/>
  <c r="AA37" i="34" s="1"/>
  <c r="S17" i="34"/>
  <c r="Y17" i="34" s="1"/>
  <c r="N14" i="14"/>
  <c r="C7" i="14"/>
  <c r="M14" i="14"/>
  <c r="K14" i="14"/>
  <c r="P4" i="20"/>
  <c r="S25" i="34"/>
  <c r="Y25" i="34" s="1"/>
  <c r="AA25" i="34" s="1"/>
  <c r="S6" i="6" a="1"/>
  <c r="S6" i="6" s="1"/>
  <c r="Z32" i="6" s="1"/>
  <c r="Z28" i="6"/>
  <c r="C7" i="16"/>
  <c r="K14" i="16"/>
  <c r="N14" i="16"/>
  <c r="M14" i="16"/>
  <c r="S38" i="34"/>
  <c r="S26" i="34"/>
  <c r="Y26" i="34" s="1"/>
  <c r="Z26" i="34"/>
  <c r="Z38" i="34"/>
  <c r="L21" i="20"/>
  <c r="Z19" i="34"/>
  <c r="Z20" i="34"/>
  <c r="Z28" i="34"/>
  <c r="Z23" i="34"/>
  <c r="Z16" i="34"/>
  <c r="Z17" i="34"/>
  <c r="Z24" i="34"/>
  <c r="L27" i="20"/>
  <c r="Z29" i="34"/>
  <c r="Z36" i="34"/>
  <c r="Z21" i="34"/>
  <c r="Z37" i="34"/>
  <c r="Z22" i="34"/>
  <c r="Z27" i="34"/>
  <c r="L30" i="20"/>
  <c r="Z25" i="34"/>
  <c r="Z31" i="34"/>
  <c r="Z18" i="34"/>
  <c r="Z34" i="34"/>
  <c r="Z32" i="34"/>
  <c r="Z30" i="34"/>
  <c r="Z33" i="34"/>
  <c r="J27" i="20"/>
  <c r="L12" i="20"/>
  <c r="J33" i="20"/>
  <c r="L33" i="20"/>
  <c r="L14" i="20"/>
  <c r="L13" i="20"/>
  <c r="L26" i="20"/>
  <c r="L24" i="20"/>
  <c r="J29" i="20"/>
  <c r="J26" i="20"/>
  <c r="L29" i="20"/>
  <c r="L22" i="20"/>
  <c r="L31" i="20"/>
  <c r="L23" i="20"/>
  <c r="L28" i="20"/>
  <c r="L32" i="20"/>
  <c r="L18" i="20"/>
  <c r="J31" i="20"/>
  <c r="L25" i="20"/>
  <c r="L34" i="20"/>
  <c r="L16" i="20"/>
  <c r="L19" i="20"/>
  <c r="J28" i="20"/>
  <c r="J30" i="20"/>
  <c r="L17" i="20"/>
  <c r="J32" i="20"/>
  <c r="J34" i="20"/>
  <c r="L20" i="20"/>
  <c r="Z35" i="34"/>
  <c r="F17" i="20" a="1"/>
  <c r="F20" i="20" a="1"/>
  <c r="F24" i="20" a="1"/>
  <c r="F29" i="20" a="1"/>
  <c r="H14" i="5"/>
  <c r="N26" i="20" a="1"/>
  <c r="H14" i="13"/>
  <c r="E3" i="12" a="1"/>
  <c r="F14" i="20" a="1"/>
  <c r="F12" i="20" a="1"/>
  <c r="F32" i="20" a="1"/>
  <c r="F30" i="20" a="1"/>
  <c r="E2" i="9" a="1"/>
  <c r="N21" i="20" a="1"/>
  <c r="O17" i="20" a="1"/>
  <c r="E2" i="17" a="1"/>
  <c r="H14" i="17"/>
  <c r="H15" i="16"/>
  <c r="O21" i="20" a="1"/>
  <c r="N19" i="20" a="1"/>
  <c r="F31" i="20" a="1"/>
  <c r="E2" i="10" a="1"/>
  <c r="O31" i="20" a="1"/>
  <c r="F13" i="20" a="1"/>
  <c r="H14" i="18"/>
  <c r="H18" i="24" s="1"/>
  <c r="F23" i="20" a="1"/>
  <c r="F16" i="20" a="1"/>
  <c r="R33" i="20" a="1"/>
  <c r="F28" i="20" a="1"/>
  <c r="F33" i="20" a="1"/>
  <c r="O15" i="20" a="1"/>
  <c r="O26" i="20" a="1"/>
  <c r="F21" i="20" a="1"/>
  <c r="N22" i="20" a="1"/>
  <c r="F18" i="20" a="1"/>
  <c r="F22" i="20" a="1"/>
  <c r="O27" i="20" a="1"/>
  <c r="O16" i="20" a="1"/>
  <c r="O33" i="20" a="1"/>
  <c r="O34" i="20" a="1"/>
  <c r="H14" i="10"/>
  <c r="K18" i="24"/>
  <c r="N19" i="24"/>
  <c r="H14" i="16"/>
  <c r="F26" i="20" a="1"/>
  <c r="O13" i="20" a="1"/>
  <c r="O32" i="20" a="1"/>
  <c r="N33" i="20" a="1"/>
  <c r="O20" i="20" a="1"/>
  <c r="O25" i="20" a="1"/>
  <c r="H15" i="5"/>
  <c r="R21" i="20" a="1"/>
  <c r="E3" i="11" a="1"/>
  <c r="O19" i="20" a="1"/>
  <c r="F19" i="20" a="1"/>
  <c r="R28" i="20" a="1"/>
  <c r="H14" i="14"/>
  <c r="M18" i="24"/>
  <c r="N13" i="20" a="1"/>
  <c r="O22" i="20" a="1"/>
  <c r="O29" i="20" a="1"/>
  <c r="O23" i="20" a="1"/>
  <c r="F27" i="20" a="1"/>
  <c r="F34" i="20" a="1"/>
  <c r="H14" i="8"/>
  <c r="O24" i="20" a="1"/>
  <c r="H15" i="10"/>
  <c r="O30" i="20" a="1"/>
  <c r="N28" i="20" a="1"/>
  <c r="N18" i="24"/>
  <c r="R26" i="20" a="1"/>
  <c r="N27" i="20" a="1"/>
  <c r="H15" i="11"/>
  <c r="H15" i="17"/>
  <c r="H14" i="9"/>
  <c r="H15" i="14"/>
  <c r="H15" i="8"/>
  <c r="M19" i="24"/>
  <c r="H15" i="13"/>
  <c r="O12" i="20" a="1"/>
  <c r="R19" i="20" a="1"/>
  <c r="H15" i="18"/>
  <c r="H19" i="24" s="1"/>
  <c r="O28" i="20" a="1"/>
  <c r="H14" i="12"/>
  <c r="H15" i="9"/>
  <c r="H15" i="12"/>
  <c r="H14" i="15"/>
  <c r="H14" i="11"/>
  <c r="K19" i="24"/>
  <c r="E2" i="8" a="1"/>
  <c r="F25" i="20" a="1"/>
  <c r="O14" i="20" a="1"/>
  <c r="H15" i="15"/>
  <c r="O18" i="20" a="1"/>
  <c r="R27" i="20" a="1"/>
  <c r="AB19" i="34" l="1"/>
  <c r="S15" i="20" s="1" a="1"/>
  <c r="S15" i="20" s="1"/>
  <c r="N20" i="20" a="1"/>
  <c r="N20" i="20" s="1"/>
  <c r="AA24" i="34"/>
  <c r="N24" i="20" a="1"/>
  <c r="N24" i="20" s="1"/>
  <c r="AA28" i="34"/>
  <c r="N12" i="20" a="1"/>
  <c r="N12" i="20" s="1"/>
  <c r="AA16" i="34"/>
  <c r="N8" i="12"/>
  <c r="F17" i="20"/>
  <c r="F20" i="20"/>
  <c r="X15" i="17"/>
  <c r="F29" i="20"/>
  <c r="F24" i="20"/>
  <c r="N8" i="16"/>
  <c r="F32" i="20"/>
  <c r="F12" i="20"/>
  <c r="F14" i="20"/>
  <c r="X15" i="9"/>
  <c r="F26" i="20"/>
  <c r="F18" i="20"/>
  <c r="F28" i="20"/>
  <c r="F31" i="20"/>
  <c r="F30" i="20"/>
  <c r="X15" i="10"/>
  <c r="X15" i="11"/>
  <c r="N8" i="9"/>
  <c r="X15" i="13"/>
  <c r="N8" i="14"/>
  <c r="AM24" i="6"/>
  <c r="F27" i="20"/>
  <c r="F19" i="20"/>
  <c r="F23" i="20"/>
  <c r="AO24" i="6"/>
  <c r="X15" i="16"/>
  <c r="N13" i="20"/>
  <c r="H8" i="10"/>
  <c r="H8" i="18"/>
  <c r="H8" i="17"/>
  <c r="H8" i="16"/>
  <c r="F25" i="20"/>
  <c r="H8" i="11"/>
  <c r="H8" i="12"/>
  <c r="F16" i="20"/>
  <c r="F21" i="20"/>
  <c r="F13" i="20"/>
  <c r="E2" i="17"/>
  <c r="E3" i="11"/>
  <c r="H8" i="13"/>
  <c r="H8" i="9"/>
  <c r="H8" i="8"/>
  <c r="H8" i="14"/>
  <c r="F34" i="20"/>
  <c r="N21" i="20"/>
  <c r="F22" i="20"/>
  <c r="F33" i="20"/>
  <c r="E2" i="10"/>
  <c r="E2" i="9"/>
  <c r="E2" i="8"/>
  <c r="H8" i="15"/>
  <c r="H8" i="5"/>
  <c r="AA17" i="34"/>
  <c r="S7" i="6" a="1"/>
  <c r="S7" i="6" s="1"/>
  <c r="Z36" i="6" s="1"/>
  <c r="N8" i="17"/>
  <c r="P7" i="40"/>
  <c r="R12" i="18"/>
  <c r="AF2" i="14"/>
  <c r="Q2" i="14"/>
  <c r="T2" i="14"/>
  <c r="S2" i="14"/>
  <c r="R2" i="14"/>
  <c r="L2" i="14"/>
  <c r="AD2" i="14"/>
  <c r="H2" i="14"/>
  <c r="N2" i="14"/>
  <c r="K2" i="14"/>
  <c r="F2" i="14"/>
  <c r="AG2" i="14"/>
  <c r="M2" i="14"/>
  <c r="U2" i="14"/>
  <c r="O2" i="14"/>
  <c r="K2" i="5"/>
  <c r="U2" i="5"/>
  <c r="N2" i="5"/>
  <c r="H2" i="5"/>
  <c r="S2" i="5"/>
  <c r="Q2" i="5"/>
  <c r="M2" i="5"/>
  <c r="R2" i="5"/>
  <c r="AF2" i="5"/>
  <c r="AG2" i="5"/>
  <c r="L2" i="5"/>
  <c r="T2" i="5"/>
  <c r="O2" i="5"/>
  <c r="AD2" i="5"/>
  <c r="F2" i="5"/>
  <c r="A16" i="36"/>
  <c r="M8" i="12"/>
  <c r="X14" i="12"/>
  <c r="N8" i="8"/>
  <c r="N8" i="15"/>
  <c r="X14" i="9"/>
  <c r="M8" i="9"/>
  <c r="Y29" i="34"/>
  <c r="W14" i="11"/>
  <c r="W2" i="11" s="1"/>
  <c r="K8" i="11"/>
  <c r="W14" i="13"/>
  <c r="W2" i="13" s="1"/>
  <c r="K8" i="13"/>
  <c r="X15" i="18"/>
  <c r="M8" i="17"/>
  <c r="X14" i="17"/>
  <c r="X14" i="18"/>
  <c r="M8" i="18"/>
  <c r="T2" i="18"/>
  <c r="M2" i="18"/>
  <c r="AF2" i="18"/>
  <c r="H2" i="18"/>
  <c r="F2" i="18"/>
  <c r="Q2" i="18"/>
  <c r="K2" i="18"/>
  <c r="S2" i="18"/>
  <c r="AG2" i="18"/>
  <c r="N2" i="18"/>
  <c r="O2" i="18"/>
  <c r="U2" i="18"/>
  <c r="AD2" i="18"/>
  <c r="L2" i="18"/>
  <c r="S2" i="13"/>
  <c r="U2" i="13"/>
  <c r="AF2" i="13"/>
  <c r="L2" i="13"/>
  <c r="K2" i="13"/>
  <c r="F2" i="13"/>
  <c r="Q2" i="13"/>
  <c r="O2" i="13"/>
  <c r="R2" i="13"/>
  <c r="T2" i="13"/>
  <c r="N2" i="13"/>
  <c r="AG2" i="13"/>
  <c r="AD2" i="13"/>
  <c r="H2" i="13"/>
  <c r="W14" i="10"/>
  <c r="K8" i="10"/>
  <c r="M8" i="11"/>
  <c r="X14" i="11"/>
  <c r="M8" i="5"/>
  <c r="X14" i="5"/>
  <c r="W14" i="16"/>
  <c r="K8" i="16"/>
  <c r="AN24" i="6"/>
  <c r="W14" i="14"/>
  <c r="W2" i="14" s="1"/>
  <c r="K8" i="14"/>
  <c r="S10" i="7"/>
  <c r="AH24" i="6"/>
  <c r="S8" i="7"/>
  <c r="AK24" i="6"/>
  <c r="CT15" i="36"/>
  <c r="CU29" i="36" s="1"/>
  <c r="AJ24" i="6"/>
  <c r="AI24" i="6"/>
  <c r="AG24" i="6"/>
  <c r="AL24" i="6"/>
  <c r="X15" i="14"/>
  <c r="W14" i="12"/>
  <c r="W2" i="12" s="1"/>
  <c r="K8" i="12"/>
  <c r="N8" i="10"/>
  <c r="K8" i="15"/>
  <c r="W14" i="15"/>
  <c r="W2" i="15" s="1"/>
  <c r="X15" i="15"/>
  <c r="N8" i="11"/>
  <c r="N8" i="5"/>
  <c r="M2" i="13"/>
  <c r="M8" i="13"/>
  <c r="X14" i="13"/>
  <c r="W15" i="18"/>
  <c r="X15" i="12"/>
  <c r="W14" i="18"/>
  <c r="K8" i="18"/>
  <c r="Q2" i="12"/>
  <c r="H2" i="12"/>
  <c r="N2" i="12"/>
  <c r="U2" i="12"/>
  <c r="AG2" i="12"/>
  <c r="K2" i="12"/>
  <c r="AD2" i="12"/>
  <c r="F2" i="12"/>
  <c r="O2" i="12"/>
  <c r="M2" i="12"/>
  <c r="S2" i="12"/>
  <c r="L2" i="12"/>
  <c r="T2" i="12"/>
  <c r="AF2" i="12"/>
  <c r="AE34" i="6"/>
  <c r="AI33" i="6"/>
  <c r="AD34" i="6"/>
  <c r="AL32" i="6"/>
  <c r="AG33" i="6"/>
  <c r="AN34" i="6"/>
  <c r="AF34" i="6"/>
  <c r="AI34" i="6"/>
  <c r="AN32" i="6"/>
  <c r="AD32" i="6"/>
  <c r="AF33" i="6"/>
  <c r="AM34" i="6"/>
  <c r="AJ32" i="6"/>
  <c r="AJ34" i="6"/>
  <c r="CU56" i="36" s="1"/>
  <c r="AL34" i="6"/>
  <c r="AO34" i="6"/>
  <c r="AM33" i="6"/>
  <c r="AM32" i="6"/>
  <c r="AH34" i="6"/>
  <c r="AK34" i="6"/>
  <c r="AG34" i="6"/>
  <c r="AF32" i="6"/>
  <c r="AO32" i="6"/>
  <c r="AD33" i="6"/>
  <c r="AH32" i="6"/>
  <c r="AJ33" i="6"/>
  <c r="CU44" i="36" s="1"/>
  <c r="AK32" i="6"/>
  <c r="AH33" i="6"/>
  <c r="AO33" i="6"/>
  <c r="AK33" i="6"/>
  <c r="AL33" i="6"/>
  <c r="AE33" i="6"/>
  <c r="AI32" i="6"/>
  <c r="AE32" i="6"/>
  <c r="AN33" i="6"/>
  <c r="AG32" i="6"/>
  <c r="S9" i="7"/>
  <c r="AE24" i="6"/>
  <c r="W14" i="8"/>
  <c r="K8" i="8"/>
  <c r="X14" i="15"/>
  <c r="M8" i="15"/>
  <c r="K8" i="9"/>
  <c r="W14" i="9"/>
  <c r="Y38" i="34"/>
  <c r="AA38" i="34" s="1"/>
  <c r="X15" i="8"/>
  <c r="M8" i="16"/>
  <c r="X14" i="16"/>
  <c r="X8" i="16" s="1"/>
  <c r="AG29" i="6"/>
  <c r="AE29" i="6"/>
  <c r="AF30" i="6"/>
  <c r="AN29" i="6"/>
  <c r="AF28" i="6"/>
  <c r="AO28" i="6"/>
  <c r="AJ29" i="6"/>
  <c r="AF29" i="6"/>
  <c r="AL29" i="6"/>
  <c r="AJ30" i="6"/>
  <c r="AM29" i="6"/>
  <c r="AL28" i="6"/>
  <c r="AH28" i="6"/>
  <c r="AI28" i="6"/>
  <c r="AJ28" i="6"/>
  <c r="AE28" i="6"/>
  <c r="AK29" i="6"/>
  <c r="AH29" i="6"/>
  <c r="AK28" i="6"/>
  <c r="AD30" i="6"/>
  <c r="AG28" i="6"/>
  <c r="AI30" i="6"/>
  <c r="AN30" i="6"/>
  <c r="AO30" i="6"/>
  <c r="AL30" i="6"/>
  <c r="AK30" i="6"/>
  <c r="AO29" i="6"/>
  <c r="AM28" i="6"/>
  <c r="AE30" i="6"/>
  <c r="AI29" i="6"/>
  <c r="AG30" i="6"/>
  <c r="AN28" i="6"/>
  <c r="AH30" i="6"/>
  <c r="AD29" i="6"/>
  <c r="AM30" i="6"/>
  <c r="AD28" i="6"/>
  <c r="X14" i="14"/>
  <c r="M8" i="14"/>
  <c r="X15" i="5"/>
  <c r="AD24" i="6"/>
  <c r="AF24" i="6"/>
  <c r="J7" i="40"/>
  <c r="R12" i="12"/>
  <c r="X14" i="8"/>
  <c r="M8" i="8"/>
  <c r="X14" i="10"/>
  <c r="M8" i="10"/>
  <c r="M7" i="40"/>
  <c r="R12" i="15"/>
  <c r="R12" i="9"/>
  <c r="G7" i="40"/>
  <c r="W14" i="5"/>
  <c r="K8" i="5"/>
  <c r="N8" i="13"/>
  <c r="Y20" i="34"/>
  <c r="K8" i="17"/>
  <c r="W14" i="17"/>
  <c r="N8" i="18"/>
  <c r="O2" i="15"/>
  <c r="H2" i="15"/>
  <c r="U2" i="15"/>
  <c r="S2" i="15"/>
  <c r="AD2" i="15"/>
  <c r="K2" i="15"/>
  <c r="L2" i="15"/>
  <c r="Q2" i="15"/>
  <c r="AF2" i="15"/>
  <c r="T2" i="15"/>
  <c r="F2" i="15"/>
  <c r="M2" i="15"/>
  <c r="N2" i="15"/>
  <c r="AG2" i="15"/>
  <c r="N2" i="11"/>
  <c r="AF2" i="11"/>
  <c r="U2" i="11"/>
  <c r="K2" i="11"/>
  <c r="AD2" i="11"/>
  <c r="F2" i="11"/>
  <c r="AG2" i="11"/>
  <c r="R2" i="11"/>
  <c r="T2" i="11"/>
  <c r="O2" i="11"/>
  <c r="H2" i="11"/>
  <c r="S2" i="11"/>
  <c r="M2" i="11"/>
  <c r="Q2" i="11"/>
  <c r="L2" i="11"/>
  <c r="L2" i="16"/>
  <c r="R2" i="16"/>
  <c r="AG2" i="16"/>
  <c r="Q2" i="16"/>
  <c r="AD2" i="16"/>
  <c r="M2" i="16"/>
  <c r="AF2" i="16"/>
  <c r="S2" i="16"/>
  <c r="U2" i="16"/>
  <c r="K2" i="16"/>
  <c r="H2" i="16"/>
  <c r="N2" i="16"/>
  <c r="T2" i="16"/>
  <c r="O2" i="16"/>
  <c r="F2" i="16"/>
  <c r="N33" i="20"/>
  <c r="N27" i="20"/>
  <c r="O22" i="20"/>
  <c r="O34" i="20"/>
  <c r="N28" i="20"/>
  <c r="N19" i="20"/>
  <c r="AB25" i="34"/>
  <c r="O32" i="20"/>
  <c r="O12" i="20"/>
  <c r="O17" i="20"/>
  <c r="O25" i="20"/>
  <c r="N17" i="20"/>
  <c r="O24" i="20"/>
  <c r="O20" i="20"/>
  <c r="O16" i="20"/>
  <c r="O19" i="20"/>
  <c r="O15" i="20"/>
  <c r="O13" i="20"/>
  <c r="AB23" i="34"/>
  <c r="AA21" i="34"/>
  <c r="AB21" i="34" s="1"/>
  <c r="AC19" i="34"/>
  <c r="O23" i="20"/>
  <c r="N26" i="20"/>
  <c r="O27" i="20"/>
  <c r="O18" i="20"/>
  <c r="O21" i="20"/>
  <c r="O33" i="20"/>
  <c r="O28" i="20"/>
  <c r="O30" i="20"/>
  <c r="O14" i="20"/>
  <c r="O29" i="20"/>
  <c r="O26" i="20"/>
  <c r="N30" i="20"/>
  <c r="R33" i="20"/>
  <c r="AC16" i="34"/>
  <c r="N18" i="20"/>
  <c r="R19" i="20"/>
  <c r="N31" i="20"/>
  <c r="R21" i="20"/>
  <c r="N14" i="20"/>
  <c r="N22" i="20"/>
  <c r="R26" i="20"/>
  <c r="O31" i="20"/>
  <c r="N29" i="20"/>
  <c r="R28" i="20"/>
  <c r="N23" i="20"/>
  <c r="N32" i="20"/>
  <c r="R27" i="20"/>
  <c r="AA34" i="34"/>
  <c r="AC23" i="34"/>
  <c r="AA35" i="34"/>
  <c r="AC25" i="34"/>
  <c r="AA18" i="34"/>
  <c r="AA26" i="34"/>
  <c r="AA33" i="34"/>
  <c r="AA27" i="34"/>
  <c r="AA36" i="34"/>
  <c r="E3" i="12"/>
  <c r="AA22" i="34"/>
  <c r="T15" i="20" a="1"/>
  <c r="G15" i="18"/>
  <c r="G19" i="24" s="1"/>
  <c r="G15" i="13"/>
  <c r="R34" i="20" a="1"/>
  <c r="G14" i="16"/>
  <c r="R31" i="20" a="1"/>
  <c r="G14" i="18"/>
  <c r="R32" i="20" a="1"/>
  <c r="G15" i="17"/>
  <c r="G15" i="11"/>
  <c r="G18" i="24"/>
  <c r="N34" i="20" a="1"/>
  <c r="G14" i="14"/>
  <c r="T12" i="20" a="1"/>
  <c r="S17" i="20" a="1"/>
  <c r="G15" i="12"/>
  <c r="R23" i="20" a="1"/>
  <c r="G15" i="16"/>
  <c r="R29" i="20" a="1"/>
  <c r="G14" i="17"/>
  <c r="S19" i="20" a="1"/>
  <c r="T19" i="20" a="1"/>
  <c r="G15" i="14"/>
  <c r="S21" i="20" a="1"/>
  <c r="R18" i="20" a="1"/>
  <c r="R14" i="20" a="1"/>
  <c r="G14" i="11"/>
  <c r="R22" i="20" a="1"/>
  <c r="G14" i="9"/>
  <c r="G14" i="10"/>
  <c r="T21" i="20" a="1"/>
  <c r="G14" i="12" a="1"/>
  <c r="R30" i="20" a="1"/>
  <c r="G15" i="5"/>
  <c r="G14" i="8"/>
  <c r="G15" i="8"/>
  <c r="N25" i="20" a="1"/>
  <c r="R17" i="20" a="1"/>
  <c r="G14" i="13"/>
  <c r="E3" i="5" a="1"/>
  <c r="G15" i="15"/>
  <c r="G14" i="5"/>
  <c r="R13" i="20" a="1"/>
  <c r="G15" i="10"/>
  <c r="G14" i="15"/>
  <c r="N16" i="20" a="1"/>
  <c r="G15" i="9"/>
  <c r="X8" i="9" l="1"/>
  <c r="X8" i="17"/>
  <c r="R20" i="20" a="1"/>
  <c r="R20" i="20" s="1"/>
  <c r="AC24" i="34"/>
  <c r="T20" i="20" s="1" a="1"/>
  <c r="T20" i="20" s="1"/>
  <c r="AB24" i="34"/>
  <c r="S20" i="20" s="1" a="1"/>
  <c r="S20" i="20" s="1"/>
  <c r="R24" i="20" a="1"/>
  <c r="R24" i="20" s="1"/>
  <c r="AC28" i="34"/>
  <c r="T24" i="20" s="1" a="1"/>
  <c r="T24" i="20" s="1"/>
  <c r="AB28" i="34"/>
  <c r="S24" i="20" s="1" a="1"/>
  <c r="S24" i="20" s="1"/>
  <c r="R12" i="20" a="1"/>
  <c r="R12" i="20" s="1"/>
  <c r="AB16" i="34"/>
  <c r="S12" i="20" s="1" a="1"/>
  <c r="S12" i="20" s="1"/>
  <c r="M3" i="11"/>
  <c r="L3" i="11"/>
  <c r="AC17" i="34"/>
  <c r="T13" i="20" s="1" a="1"/>
  <c r="T13" i="20" s="1"/>
  <c r="AB17" i="34"/>
  <c r="S13" i="20" s="1" a="1"/>
  <c r="S13" i="20" s="1"/>
  <c r="AI44" i="6"/>
  <c r="AI45" i="6"/>
  <c r="AH44" i="6"/>
  <c r="X8" i="10"/>
  <c r="AK45" i="6"/>
  <c r="AG45" i="6"/>
  <c r="AE45" i="6"/>
  <c r="AM44" i="6"/>
  <c r="AO45" i="6"/>
  <c r="X2" i="16"/>
  <c r="AG35" i="6"/>
  <c r="AE17" i="36" s="1"/>
  <c r="AD44" i="6"/>
  <c r="AE44" i="6"/>
  <c r="AE35" i="6"/>
  <c r="AC17" i="36" s="1"/>
  <c r="AM35" i="6"/>
  <c r="AK17" i="36" s="1"/>
  <c r="X8" i="11"/>
  <c r="AO44" i="6"/>
  <c r="X2" i="5"/>
  <c r="AH45" i="6"/>
  <c r="AG44" i="6"/>
  <c r="X2" i="12"/>
  <c r="X8" i="13"/>
  <c r="AM45" i="6"/>
  <c r="AO35" i="6"/>
  <c r="AM17" i="36" s="1"/>
  <c r="AO31" i="6"/>
  <c r="X2" i="18"/>
  <c r="X8" i="14"/>
  <c r="AG31" i="6"/>
  <c r="AK44" i="6"/>
  <c r="AF31" i="6"/>
  <c r="AD16" i="36" s="1"/>
  <c r="AN31" i="6"/>
  <c r="AL16" i="36" s="1"/>
  <c r="X2" i="13"/>
  <c r="J15" i="15"/>
  <c r="P15" i="15"/>
  <c r="Z15" i="15" s="1"/>
  <c r="AA15" i="15" s="1"/>
  <c r="G8" i="8"/>
  <c r="J14" i="8"/>
  <c r="P14" i="8"/>
  <c r="G8" i="9"/>
  <c r="J14" i="9"/>
  <c r="P14" i="9"/>
  <c r="J15" i="14"/>
  <c r="P15" i="14"/>
  <c r="Z15" i="14" s="1"/>
  <c r="AA15" i="14" s="1"/>
  <c r="J15" i="17"/>
  <c r="P15" i="17"/>
  <c r="Z15" i="17" s="1"/>
  <c r="AA15" i="17" s="1"/>
  <c r="J15" i="12"/>
  <c r="P15" i="12"/>
  <c r="Z15" i="12" s="1"/>
  <c r="AA15" i="12" s="1"/>
  <c r="G8" i="16"/>
  <c r="J14" i="16"/>
  <c r="P14" i="16"/>
  <c r="G2" i="16"/>
  <c r="J14" i="18"/>
  <c r="G8" i="18"/>
  <c r="P14" i="18"/>
  <c r="G2" i="18"/>
  <c r="N25" i="20"/>
  <c r="J14" i="5"/>
  <c r="G8" i="5"/>
  <c r="P14" i="5"/>
  <c r="G2" i="5"/>
  <c r="J15" i="8"/>
  <c r="P15" i="8"/>
  <c r="Z15" i="8" s="1"/>
  <c r="AA15" i="8" s="1"/>
  <c r="J15" i="5"/>
  <c r="P15" i="5"/>
  <c r="Z15" i="5" s="1"/>
  <c r="AA15" i="5" s="1"/>
  <c r="J15" i="13"/>
  <c r="P15" i="13"/>
  <c r="Z15" i="13" s="1"/>
  <c r="AA15" i="13" s="1"/>
  <c r="J14" i="15"/>
  <c r="G8" i="15"/>
  <c r="P14" i="15"/>
  <c r="G2" i="15"/>
  <c r="J15" i="18"/>
  <c r="P15" i="18"/>
  <c r="J15" i="10"/>
  <c r="P15" i="10"/>
  <c r="Z15" i="10" s="1"/>
  <c r="AA15" i="10" s="1"/>
  <c r="J15" i="9"/>
  <c r="P15" i="9"/>
  <c r="Z15" i="9" s="1"/>
  <c r="AA15" i="9" s="1"/>
  <c r="J14" i="10"/>
  <c r="G8" i="10"/>
  <c r="P14" i="10"/>
  <c r="N34" i="20"/>
  <c r="N16" i="20"/>
  <c r="R13" i="20"/>
  <c r="G8" i="14"/>
  <c r="J14" i="14"/>
  <c r="P14" i="14"/>
  <c r="G2" i="14"/>
  <c r="J15" i="11"/>
  <c r="P15" i="11"/>
  <c r="Z15" i="11" s="1"/>
  <c r="AA15" i="11" s="1"/>
  <c r="G8" i="13"/>
  <c r="J14" i="13"/>
  <c r="P14" i="13"/>
  <c r="G2" i="13"/>
  <c r="G14" i="12"/>
  <c r="J14" i="11"/>
  <c r="G8" i="11"/>
  <c r="P14" i="11"/>
  <c r="G2" i="11"/>
  <c r="G8" i="17"/>
  <c r="J14" i="17"/>
  <c r="P14" i="17"/>
  <c r="J15" i="16"/>
  <c r="P15" i="16"/>
  <c r="Z15" i="16" s="1"/>
  <c r="AA15" i="16" s="1"/>
  <c r="AM36" i="6"/>
  <c r="AL38" i="6"/>
  <c r="AJ38" i="6"/>
  <c r="CU57" i="36" s="1"/>
  <c r="AF38" i="6"/>
  <c r="AJ36" i="6"/>
  <c r="AG38" i="6"/>
  <c r="AM38" i="6"/>
  <c r="AL37" i="6"/>
  <c r="AN36" i="6"/>
  <c r="AE36" i="6"/>
  <c r="AK37" i="6"/>
  <c r="AM37" i="6"/>
  <c r="AH36" i="6"/>
  <c r="AO37" i="6"/>
  <c r="AI36" i="6"/>
  <c r="AN37" i="6"/>
  <c r="AD38" i="6"/>
  <c r="AI38" i="6"/>
  <c r="AI37" i="6"/>
  <c r="AG37" i="6"/>
  <c r="AH37" i="6"/>
  <c r="AJ37" i="6"/>
  <c r="CU45" i="36" s="1"/>
  <c r="AK38" i="6"/>
  <c r="AL36" i="6"/>
  <c r="AF37" i="6"/>
  <c r="AO38" i="6"/>
  <c r="AN38" i="6"/>
  <c r="AK36" i="6"/>
  <c r="AE38" i="6"/>
  <c r="AE37" i="6"/>
  <c r="AH38" i="6"/>
  <c r="AG36" i="6"/>
  <c r="AO36" i="6"/>
  <c r="AD36" i="6"/>
  <c r="AF36" i="6"/>
  <c r="AD37" i="6"/>
  <c r="T2" i="9"/>
  <c r="F2" i="9"/>
  <c r="O2" i="9"/>
  <c r="L2" i="9"/>
  <c r="S2" i="9"/>
  <c r="U2" i="9"/>
  <c r="AF2" i="9"/>
  <c r="N2" i="9"/>
  <c r="Q2" i="9"/>
  <c r="H2" i="9"/>
  <c r="AD2" i="9"/>
  <c r="K2" i="9"/>
  <c r="AG2" i="9"/>
  <c r="M2" i="9"/>
  <c r="X2" i="9"/>
  <c r="G2" i="9"/>
  <c r="W2" i="9"/>
  <c r="S8" i="6" a="1"/>
  <c r="S8" i="6" s="1"/>
  <c r="W8" i="5"/>
  <c r="X8" i="8"/>
  <c r="AD31" i="6"/>
  <c r="AB16" i="36" s="1"/>
  <c r="AM31" i="6"/>
  <c r="AD45" i="6"/>
  <c r="AE31" i="6"/>
  <c r="AC16" i="36" s="1"/>
  <c r="AL31" i="6"/>
  <c r="AJ16" i="36" s="1"/>
  <c r="AF44" i="6"/>
  <c r="AN44" i="6"/>
  <c r="W8" i="9"/>
  <c r="AI35" i="6"/>
  <c r="AG17" i="36" s="1"/>
  <c r="AH35" i="6"/>
  <c r="AF17" i="36" s="1"/>
  <c r="CU32" i="36"/>
  <c r="AJ35" i="6"/>
  <c r="AH17" i="36" s="1"/>
  <c r="AN35" i="6"/>
  <c r="AL17" i="36" s="1"/>
  <c r="W8" i="14"/>
  <c r="X8" i="5"/>
  <c r="X8" i="18"/>
  <c r="AA29" i="34"/>
  <c r="X2" i="14"/>
  <c r="R15" i="18"/>
  <c r="R14" i="18"/>
  <c r="AD2" i="10"/>
  <c r="N2" i="10"/>
  <c r="M2" i="10"/>
  <c r="O2" i="10"/>
  <c r="U2" i="10"/>
  <c r="L2" i="10"/>
  <c r="K2" i="10"/>
  <c r="T2" i="10"/>
  <c r="F2" i="10"/>
  <c r="Q2" i="10"/>
  <c r="R2" i="10"/>
  <c r="S2" i="10"/>
  <c r="AG2" i="10"/>
  <c r="H2" i="10"/>
  <c r="AF2" i="10"/>
  <c r="G2" i="10"/>
  <c r="X2" i="10"/>
  <c r="W2" i="10"/>
  <c r="R15" i="9"/>
  <c r="R14" i="9"/>
  <c r="AI31" i="6"/>
  <c r="AJ45" i="6"/>
  <c r="CU55" i="36"/>
  <c r="AM16" i="36"/>
  <c r="AL35" i="6"/>
  <c r="AJ17" i="36" s="1"/>
  <c r="W8" i="18"/>
  <c r="CV15" i="36"/>
  <c r="Q2" i="17"/>
  <c r="N2" i="17"/>
  <c r="F2" i="17"/>
  <c r="AF2" i="17"/>
  <c r="U2" i="17"/>
  <c r="L2" i="17"/>
  <c r="AG2" i="17"/>
  <c r="H2" i="17"/>
  <c r="AD2" i="17"/>
  <c r="S2" i="17"/>
  <c r="O2" i="17"/>
  <c r="R2" i="17"/>
  <c r="K2" i="17"/>
  <c r="M2" i="17"/>
  <c r="T2" i="17"/>
  <c r="G2" i="17"/>
  <c r="W2" i="17"/>
  <c r="X2" i="17"/>
  <c r="X2" i="11"/>
  <c r="W8" i="17"/>
  <c r="R14" i="15"/>
  <c r="R15" i="15"/>
  <c r="AL45" i="6"/>
  <c r="AE16" i="36"/>
  <c r="AH31" i="6"/>
  <c r="AL44" i="6"/>
  <c r="X8" i="15"/>
  <c r="AF35" i="6"/>
  <c r="AD17" i="36" s="1"/>
  <c r="W8" i="15"/>
  <c r="W8" i="12"/>
  <c r="W8" i="16"/>
  <c r="W2" i="18"/>
  <c r="W8" i="11"/>
  <c r="W2" i="16"/>
  <c r="X2" i="15"/>
  <c r="AA20" i="34"/>
  <c r="Q10" i="40"/>
  <c r="Q11" i="40"/>
  <c r="R15" i="12"/>
  <c r="R14" i="12"/>
  <c r="AN45" i="6"/>
  <c r="AK31" i="6"/>
  <c r="AJ31" i="6"/>
  <c r="AH16" i="36" s="1"/>
  <c r="CU31" i="36"/>
  <c r="AJ44" i="6"/>
  <c r="CU43" i="36"/>
  <c r="AF45" i="6"/>
  <c r="W8" i="8"/>
  <c r="AD35" i="6"/>
  <c r="AB17" i="36" s="1"/>
  <c r="AK35" i="6"/>
  <c r="AI17" i="36" s="1"/>
  <c r="W8" i="10"/>
  <c r="W8" i="13"/>
  <c r="X8" i="12"/>
  <c r="W2" i="5"/>
  <c r="AD2" i="8"/>
  <c r="T2" i="8"/>
  <c r="S2" i="8"/>
  <c r="K2" i="8"/>
  <c r="L2" i="8"/>
  <c r="AG2" i="8"/>
  <c r="N2" i="8"/>
  <c r="F2" i="8"/>
  <c r="M2" i="8"/>
  <c r="U2" i="8"/>
  <c r="AF2" i="8"/>
  <c r="Q2" i="8"/>
  <c r="H2" i="8"/>
  <c r="O2" i="8"/>
  <c r="R2" i="8"/>
  <c r="W2" i="8"/>
  <c r="X2" i="8"/>
  <c r="G2" i="8"/>
  <c r="AC21" i="34"/>
  <c r="S21" i="20"/>
  <c r="S19" i="20"/>
  <c r="T15" i="20"/>
  <c r="R17" i="20"/>
  <c r="R18" i="20"/>
  <c r="R22" i="20"/>
  <c r="R32" i="20"/>
  <c r="R23" i="20"/>
  <c r="T12" i="20"/>
  <c r="AC22" i="34"/>
  <c r="AB22" i="34"/>
  <c r="T19" i="20"/>
  <c r="R14" i="20"/>
  <c r="T21" i="20"/>
  <c r="R34" i="20"/>
  <c r="R29" i="20"/>
  <c r="R30" i="20"/>
  <c r="S17" i="20"/>
  <c r="R31" i="20"/>
  <c r="AC26" i="34"/>
  <c r="AB26" i="34"/>
  <c r="AC27" i="34"/>
  <c r="AB27" i="34"/>
  <c r="AC18" i="34"/>
  <c r="AB18" i="34"/>
  <c r="R3" i="12"/>
  <c r="U3" i="12"/>
  <c r="X3" i="12"/>
  <c r="O3" i="12"/>
  <c r="L3" i="12"/>
  <c r="T3" i="12"/>
  <c r="AG3" i="12"/>
  <c r="AD3" i="12"/>
  <c r="N3" i="12"/>
  <c r="G3" i="12"/>
  <c r="H3" i="12"/>
  <c r="S3" i="12"/>
  <c r="F3" i="12"/>
  <c r="M3" i="12"/>
  <c r="K3" i="12"/>
  <c r="W3" i="12"/>
  <c r="AF3" i="12"/>
  <c r="Q3" i="12"/>
  <c r="E3" i="5"/>
  <c r="P3" i="5" s="1"/>
  <c r="P19" i="24"/>
  <c r="T23" i="20" a="1"/>
  <c r="R18" i="24"/>
  <c r="S22" i="20" a="1"/>
  <c r="T17" i="20" a="1"/>
  <c r="T18" i="20" a="1"/>
  <c r="R25" i="20" a="1"/>
  <c r="S23" i="20" a="1"/>
  <c r="S14" i="20" a="1"/>
  <c r="E3" i="14" a="1"/>
  <c r="T14" i="20" a="1"/>
  <c r="R19" i="24"/>
  <c r="J18" i="24"/>
  <c r="P18" i="24"/>
  <c r="S18" i="20" a="1"/>
  <c r="J19" i="24"/>
  <c r="T22" i="20" a="1"/>
  <c r="R16" i="20" a="1"/>
  <c r="J2" i="8" l="1"/>
  <c r="P2" i="9"/>
  <c r="AL39" i="6"/>
  <c r="AJ18" i="36" s="1"/>
  <c r="J2" i="9"/>
  <c r="V15" i="5"/>
  <c r="AO39" i="6"/>
  <c r="AM18" i="36" s="1"/>
  <c r="V15" i="11"/>
  <c r="AB15" i="11" s="1"/>
  <c r="AG39" i="6"/>
  <c r="AE18" i="36" s="1"/>
  <c r="J2" i="17"/>
  <c r="P2" i="17"/>
  <c r="V15" i="14"/>
  <c r="AB15" i="14" s="1"/>
  <c r="R8" i="9"/>
  <c r="P2" i="8"/>
  <c r="Q7" i="40"/>
  <c r="AF39" i="6"/>
  <c r="AD18" i="36" s="1"/>
  <c r="V15" i="16"/>
  <c r="AB15" i="16" s="1"/>
  <c r="V15" i="10"/>
  <c r="AB15" i="10" s="1"/>
  <c r="V15" i="13"/>
  <c r="AB15" i="13" s="1"/>
  <c r="V15" i="8"/>
  <c r="AB15" i="8" s="1"/>
  <c r="P2" i="10"/>
  <c r="R25" i="20"/>
  <c r="R16" i="20"/>
  <c r="R8" i="12"/>
  <c r="R2" i="12"/>
  <c r="AF16" i="36"/>
  <c r="AG16" i="36"/>
  <c r="AK16" i="36"/>
  <c r="AC29" i="34"/>
  <c r="AB29" i="34"/>
  <c r="AI39" i="6"/>
  <c r="AG18" i="36" s="1"/>
  <c r="J14" i="12"/>
  <c r="J3" i="12" s="1"/>
  <c r="G8" i="12"/>
  <c r="P14" i="12"/>
  <c r="P3" i="12" s="1"/>
  <c r="G2" i="12"/>
  <c r="J8" i="8"/>
  <c r="V14" i="8"/>
  <c r="AI16" i="36"/>
  <c r="R8" i="15"/>
  <c r="R2" i="15"/>
  <c r="R8" i="18"/>
  <c r="R2" i="18"/>
  <c r="AD39" i="6"/>
  <c r="AB18" i="36" s="1"/>
  <c r="AE39" i="6"/>
  <c r="AC18" i="36" s="1"/>
  <c r="Z14" i="17"/>
  <c r="P8" i="17"/>
  <c r="Z14" i="11"/>
  <c r="P8" i="11"/>
  <c r="P2" i="11"/>
  <c r="J8" i="14"/>
  <c r="V14" i="14"/>
  <c r="J2" i="14"/>
  <c r="Z15" i="18"/>
  <c r="AA15" i="18" s="1"/>
  <c r="J8" i="18"/>
  <c r="V14" i="18"/>
  <c r="J2" i="18"/>
  <c r="V15" i="17"/>
  <c r="AB15" i="17" s="1"/>
  <c r="J8" i="9"/>
  <c r="V14" i="9"/>
  <c r="AB20" i="34"/>
  <c r="AC20" i="34"/>
  <c r="CV55" i="36"/>
  <c r="CV31" i="36"/>
  <c r="CV43" i="36"/>
  <c r="P8" i="14"/>
  <c r="Z14" i="14"/>
  <c r="P2" i="14"/>
  <c r="J8" i="10"/>
  <c r="V14" i="10"/>
  <c r="P8" i="15"/>
  <c r="Z14" i="15"/>
  <c r="P2" i="15"/>
  <c r="J8" i="5"/>
  <c r="V14" i="5"/>
  <c r="J2" i="5"/>
  <c r="J8" i="16"/>
  <c r="V14" i="16"/>
  <c r="J2" i="16"/>
  <c r="P8" i="9"/>
  <c r="Z14" i="9"/>
  <c r="AN17" i="36"/>
  <c r="J2" i="10"/>
  <c r="AH39" i="6"/>
  <c r="AF18" i="36" s="1"/>
  <c r="AN39" i="6"/>
  <c r="AL18" i="36" s="1"/>
  <c r="CU33" i="36"/>
  <c r="AJ39" i="6"/>
  <c r="AH18" i="36" s="1"/>
  <c r="AM39" i="6"/>
  <c r="AK18" i="36" s="1"/>
  <c r="J8" i="17"/>
  <c r="V14" i="17"/>
  <c r="Z14" i="13"/>
  <c r="P8" i="13"/>
  <c r="P2" i="13"/>
  <c r="Z14" i="10"/>
  <c r="P8" i="10"/>
  <c r="V15" i="9"/>
  <c r="AB15" i="9" s="1"/>
  <c r="V15" i="18"/>
  <c r="J8" i="15"/>
  <c r="V14" i="15"/>
  <c r="J2" i="15"/>
  <c r="AZ15" i="5"/>
  <c r="AB15" i="5"/>
  <c r="Z14" i="5"/>
  <c r="P8" i="5"/>
  <c r="P2" i="5"/>
  <c r="S9" i="6" a="1"/>
  <c r="S9" i="6" s="1"/>
  <c r="S10" i="6" s="1" a="1"/>
  <c r="S10" i="6" s="1"/>
  <c r="Z40" i="6"/>
  <c r="R2" i="9"/>
  <c r="AK39" i="6"/>
  <c r="AI18" i="36" s="1"/>
  <c r="J8" i="11"/>
  <c r="V14" i="11"/>
  <c r="J2" i="11"/>
  <c r="J8" i="13"/>
  <c r="V14" i="13"/>
  <c r="J2" i="13"/>
  <c r="Z14" i="18"/>
  <c r="P8" i="18"/>
  <c r="P2" i="18"/>
  <c r="Z14" i="16"/>
  <c r="P8" i="16"/>
  <c r="P2" i="16"/>
  <c r="V15" i="12"/>
  <c r="AC15" i="14"/>
  <c r="AE15" i="14"/>
  <c r="P8" i="8"/>
  <c r="Z14" i="8"/>
  <c r="V15" i="15"/>
  <c r="T17" i="20"/>
  <c r="S22" i="20"/>
  <c r="T22" i="20"/>
  <c r="S14" i="20"/>
  <c r="T14" i="20"/>
  <c r="S18" i="20"/>
  <c r="S23" i="20"/>
  <c r="T18" i="20"/>
  <c r="T23" i="20"/>
  <c r="O3" i="5"/>
  <c r="AD3" i="5"/>
  <c r="J3" i="5"/>
  <c r="AG3" i="5"/>
  <c r="R3" i="5"/>
  <c r="Q3" i="5"/>
  <c r="F3" i="5"/>
  <c r="V3" i="5"/>
  <c r="K3" i="5"/>
  <c r="N3" i="5"/>
  <c r="A17" i="36"/>
  <c r="M3" i="5"/>
  <c r="U3" i="5"/>
  <c r="Z3" i="5"/>
  <c r="X3" i="5"/>
  <c r="G3" i="5"/>
  <c r="S3" i="5"/>
  <c r="T3" i="5"/>
  <c r="H3" i="5"/>
  <c r="W3" i="5"/>
  <c r="AF3" i="5"/>
  <c r="L3" i="5"/>
  <c r="E3" i="14"/>
  <c r="M15" i="34" a="1"/>
  <c r="H15" i="34" a="1"/>
  <c r="G15" i="34" a="1"/>
  <c r="Q15" i="34" a="1"/>
  <c r="K15" i="34" a="1"/>
  <c r="N15" i="34" a="1"/>
  <c r="P15" i="34" a="1"/>
  <c r="I15" i="34" a="1"/>
  <c r="J15" i="34" a="1"/>
  <c r="T16" i="20" a="1"/>
  <c r="V19" i="24"/>
  <c r="E3" i="18" a="1"/>
  <c r="S25" i="20" a="1"/>
  <c r="T25" i="20" a="1"/>
  <c r="S16" i="20" a="1"/>
  <c r="V18" i="24"/>
  <c r="AE15" i="11" l="1"/>
  <c r="AC15" i="11"/>
  <c r="AH15" i="11" s="1"/>
  <c r="AI15" i="11" s="1"/>
  <c r="AJ15" i="11" s="1"/>
  <c r="J15" i="34"/>
  <c r="I15" i="34"/>
  <c r="P15" i="34"/>
  <c r="N15" i="34"/>
  <c r="K15" i="34"/>
  <c r="Q15" i="34"/>
  <c r="G15" i="34"/>
  <c r="H15" i="34"/>
  <c r="M15" i="34"/>
  <c r="AC15" i="10"/>
  <c r="AC15" i="8"/>
  <c r="AC15" i="13"/>
  <c r="AE15" i="10"/>
  <c r="AE15" i="8"/>
  <c r="AE15" i="13"/>
  <c r="AN16" i="36"/>
  <c r="AH15" i="14"/>
  <c r="AI15" i="14" s="1"/>
  <c r="AJ15" i="14" s="1"/>
  <c r="AC15" i="16"/>
  <c r="AE15" i="16"/>
  <c r="T16" i="20"/>
  <c r="S16" i="20"/>
  <c r="S25" i="20"/>
  <c r="T25" i="20"/>
  <c r="Z8" i="10"/>
  <c r="AA14" i="10"/>
  <c r="AB14" i="10" s="1"/>
  <c r="Z2" i="10"/>
  <c r="AB15" i="18"/>
  <c r="Z8" i="9"/>
  <c r="AA14" i="9"/>
  <c r="AB14" i="9" s="1"/>
  <c r="Z2" i="9"/>
  <c r="Z8" i="15"/>
  <c r="Z2" i="15"/>
  <c r="AA14" i="15"/>
  <c r="AB14" i="15" s="1"/>
  <c r="AE15" i="17"/>
  <c r="AC15" i="17"/>
  <c r="Z8" i="17"/>
  <c r="AA14" i="17"/>
  <c r="Z2" i="17"/>
  <c r="V14" i="12"/>
  <c r="V3" i="12" s="1"/>
  <c r="J8" i="12"/>
  <c r="J2" i="12"/>
  <c r="AB15" i="12"/>
  <c r="V8" i="13"/>
  <c r="V2" i="13"/>
  <c r="AE15" i="5"/>
  <c r="AC15" i="5"/>
  <c r="V8" i="16"/>
  <c r="V2" i="16"/>
  <c r="AB15" i="15"/>
  <c r="Z8" i="18"/>
  <c r="Z2" i="18"/>
  <c r="AA14" i="18"/>
  <c r="AE15" i="9"/>
  <c r="AC15" i="9"/>
  <c r="Z8" i="13"/>
  <c r="Z2" i="13"/>
  <c r="AA14" i="13"/>
  <c r="AB14" i="13" s="1"/>
  <c r="Z8" i="14"/>
  <c r="Z2" i="14"/>
  <c r="AA14" i="14"/>
  <c r="V8" i="8"/>
  <c r="V2" i="8"/>
  <c r="Z8" i="8"/>
  <c r="AA14" i="8"/>
  <c r="AB14" i="8" s="1"/>
  <c r="Z2" i="8"/>
  <c r="Z8" i="16"/>
  <c r="Z2" i="16"/>
  <c r="AA14" i="16"/>
  <c r="AB14" i="16" s="1"/>
  <c r="V8" i="11"/>
  <c r="V2" i="11"/>
  <c r="AF40" i="6"/>
  <c r="AL40" i="6"/>
  <c r="AH40" i="6"/>
  <c r="AN42" i="6"/>
  <c r="AM41" i="6"/>
  <c r="AF41" i="6"/>
  <c r="AN41" i="6"/>
  <c r="AK42" i="6"/>
  <c r="AI42" i="6"/>
  <c r="AJ41" i="6"/>
  <c r="CU46" i="36" s="1"/>
  <c r="CU49" i="36" s="1"/>
  <c r="CT41" i="36" s="1"/>
  <c r="CT49" i="36" s="1"/>
  <c r="AI41" i="6"/>
  <c r="AH42" i="6"/>
  <c r="AM42" i="6"/>
  <c r="AE42" i="6"/>
  <c r="AJ42" i="6"/>
  <c r="CU58" i="36" s="1"/>
  <c r="CU61" i="36" s="1"/>
  <c r="CT53" i="36" s="1"/>
  <c r="CT61" i="36" s="1"/>
  <c r="AD41" i="6"/>
  <c r="AG40" i="6"/>
  <c r="AF42" i="6"/>
  <c r="AO41" i="6"/>
  <c r="AK40" i="6"/>
  <c r="AE41" i="6"/>
  <c r="AG41" i="6"/>
  <c r="AG42" i="6"/>
  <c r="AO40" i="6"/>
  <c r="AH41" i="6"/>
  <c r="AD40" i="6"/>
  <c r="AL41" i="6"/>
  <c r="AI40" i="6"/>
  <c r="AJ40" i="6"/>
  <c r="AK41" i="6"/>
  <c r="AN40" i="6"/>
  <c r="AO42" i="6"/>
  <c r="AL42" i="6"/>
  <c r="AD42" i="6"/>
  <c r="AE40" i="6"/>
  <c r="AM40" i="6"/>
  <c r="Z8" i="5"/>
  <c r="Z2" i="5"/>
  <c r="AA14" i="5"/>
  <c r="V8" i="15"/>
  <c r="V2" i="15"/>
  <c r="V8" i="17"/>
  <c r="AB14" i="17"/>
  <c r="V2" i="17"/>
  <c r="AZ14" i="5"/>
  <c r="AZ13" i="5" s="1"/>
  <c r="V8" i="5"/>
  <c r="V2" i="5"/>
  <c r="B17" i="36" s="1" a="1"/>
  <c r="B17" i="36" s="1"/>
  <c r="V8" i="10"/>
  <c r="V2" i="10"/>
  <c r="V8" i="9"/>
  <c r="V2" i="9"/>
  <c r="V8" i="18"/>
  <c r="V2" i="18"/>
  <c r="V8" i="14"/>
  <c r="V2" i="14"/>
  <c r="Z8" i="11"/>
  <c r="Z2" i="11"/>
  <c r="AA14" i="11"/>
  <c r="AN18" i="36"/>
  <c r="P8" i="12"/>
  <c r="Z14" i="12"/>
  <c r="Z3" i="12" s="1"/>
  <c r="P2" i="12"/>
  <c r="V3" i="14"/>
  <c r="E3" i="18"/>
  <c r="V3" i="18" s="1"/>
  <c r="V3" i="11"/>
  <c r="CV16" i="36"/>
  <c r="O15" i="34" a="1"/>
  <c r="L15" i="34" a="1"/>
  <c r="R15" i="34"/>
  <c r="E3" i="16" a="1"/>
  <c r="F17" i="36" a="1"/>
  <c r="I17" i="36" a="1"/>
  <c r="L16" i="36" a="1"/>
  <c r="B16" i="36" a="1"/>
  <c r="K16" i="36" a="1"/>
  <c r="F16" i="36" a="1"/>
  <c r="U8" i="7" a="1"/>
  <c r="D16" i="36" a="1"/>
  <c r="O14" i="34" a="1"/>
  <c r="P14" i="34" a="1"/>
  <c r="E16" i="36" a="1"/>
  <c r="M17" i="36" a="1"/>
  <c r="I16" i="36" a="1"/>
  <c r="H16" i="36" a="1"/>
  <c r="Q14" i="34" a="1"/>
  <c r="M16" i="36" a="1"/>
  <c r="M14" i="34" a="1"/>
  <c r="C16" i="36" a="1"/>
  <c r="J16" i="36" a="1"/>
  <c r="J14" i="34" a="1"/>
  <c r="H14" i="34" a="1"/>
  <c r="I14" i="34" a="1"/>
  <c r="AB14" i="5" l="1"/>
  <c r="AA3" i="5"/>
  <c r="AB14" i="11"/>
  <c r="AA3" i="11"/>
  <c r="AH15" i="10"/>
  <c r="AI15" i="10" s="1"/>
  <c r="AJ15" i="10" s="1"/>
  <c r="AH15" i="16"/>
  <c r="AI15" i="16" s="1"/>
  <c r="AJ15" i="16" s="1"/>
  <c r="L15" i="34"/>
  <c r="O15" i="34"/>
  <c r="AH15" i="13"/>
  <c r="AI15" i="13" s="1"/>
  <c r="AJ15" i="13" s="1"/>
  <c r="AH15" i="8"/>
  <c r="AI15" i="8" s="1"/>
  <c r="AJ15" i="8" s="1"/>
  <c r="AM43" i="6"/>
  <c r="AI43" i="6"/>
  <c r="AG19" i="36" s="1"/>
  <c r="AG21" i="36" s="1"/>
  <c r="AK43" i="6"/>
  <c r="AE43" i="6"/>
  <c r="AH15" i="5"/>
  <c r="AI15" i="5" s="1"/>
  <c r="AH15" i="17"/>
  <c r="AI15" i="17" s="1"/>
  <c r="AJ15" i="17" s="1"/>
  <c r="AH15" i="9"/>
  <c r="AI15" i="9" s="1"/>
  <c r="AJ15" i="9" s="1"/>
  <c r="M14" i="34"/>
  <c r="M10" i="34" s="1"/>
  <c r="E16" i="36"/>
  <c r="U8" i="7"/>
  <c r="F16" i="36"/>
  <c r="I14" i="34"/>
  <c r="I10" i="34" s="1"/>
  <c r="J14" i="34"/>
  <c r="J10" i="34" s="1"/>
  <c r="C16" i="36"/>
  <c r="H16" i="36"/>
  <c r="CU15" i="36" s="1" a="1"/>
  <c r="CU15" i="36" s="1"/>
  <c r="D16" i="36"/>
  <c r="P14" i="34"/>
  <c r="P10" i="34" s="1"/>
  <c r="I16" i="36"/>
  <c r="M16" i="36"/>
  <c r="J16" i="36"/>
  <c r="H14" i="34"/>
  <c r="H10" i="34" s="1"/>
  <c r="Q14" i="34"/>
  <c r="Q10" i="34" s="1"/>
  <c r="B16" i="36"/>
  <c r="L16" i="36"/>
  <c r="O14" i="34"/>
  <c r="K16" i="36"/>
  <c r="AE14" i="13"/>
  <c r="AC14" i="13"/>
  <c r="AB2" i="13"/>
  <c r="AB8" i="13"/>
  <c r="AO43" i="6"/>
  <c r="AA2" i="14"/>
  <c r="AA8" i="14"/>
  <c r="BA15" i="5"/>
  <c r="AC14" i="9"/>
  <c r="AE14" i="9"/>
  <c r="AB8" i="9"/>
  <c r="AB2" i="9"/>
  <c r="AB8" i="10"/>
  <c r="AC14" i="10"/>
  <c r="AB2" i="10"/>
  <c r="AE14" i="10"/>
  <c r="AA8" i="5"/>
  <c r="AA2" i="5"/>
  <c r="AE26" i="6"/>
  <c r="AC19" i="36"/>
  <c r="AC21" i="36" s="1"/>
  <c r="AN43" i="6"/>
  <c r="AH43" i="6"/>
  <c r="AB14" i="18"/>
  <c r="AA2" i="18"/>
  <c r="AA8" i="18"/>
  <c r="AE15" i="15"/>
  <c r="AC15" i="15"/>
  <c r="AC15" i="12"/>
  <c r="AE15" i="12"/>
  <c r="AE15" i="18"/>
  <c r="AC15" i="18"/>
  <c r="Z2" i="12"/>
  <c r="Z8" i="12"/>
  <c r="AA14" i="12"/>
  <c r="AA3" i="12" s="1"/>
  <c r="AI26" i="6"/>
  <c r="AE14" i="16"/>
  <c r="AB8" i="16"/>
  <c r="AC14" i="16"/>
  <c r="AB2" i="16"/>
  <c r="AD43" i="6"/>
  <c r="AL43" i="6"/>
  <c r="AB2" i="8"/>
  <c r="AB8" i="8"/>
  <c r="AC14" i="8"/>
  <c r="AE14" i="8"/>
  <c r="AA8" i="17"/>
  <c r="AA2" i="17"/>
  <c r="AA2" i="15"/>
  <c r="AA8" i="15"/>
  <c r="AA8" i="9"/>
  <c r="AA2" i="9"/>
  <c r="AE14" i="17"/>
  <c r="AC14" i="17"/>
  <c r="AB8" i="17"/>
  <c r="AB2" i="17"/>
  <c r="AI19" i="36"/>
  <c r="AI21" i="36" s="1"/>
  <c r="AK26" i="6"/>
  <c r="V2" i="12"/>
  <c r="G17" i="36" s="1" a="1"/>
  <c r="G17" i="36" s="1"/>
  <c r="V8" i="12"/>
  <c r="AA2" i="11"/>
  <c r="AA8" i="11"/>
  <c r="AB14" i="14"/>
  <c r="AB3" i="14" s="1"/>
  <c r="AC14" i="15"/>
  <c r="AE14" i="15"/>
  <c r="AB2" i="15"/>
  <c r="AB8" i="15"/>
  <c r="CU34" i="36"/>
  <c r="CU37" i="36" s="1"/>
  <c r="CT29" i="36" s="1"/>
  <c r="CT37" i="36" s="1"/>
  <c r="AJ43" i="6"/>
  <c r="AG43" i="6"/>
  <c r="AF43" i="6"/>
  <c r="AA2" i="16"/>
  <c r="AA8" i="16"/>
  <c r="AA8" i="8"/>
  <c r="AA2" i="8"/>
  <c r="AA8" i="13"/>
  <c r="AA2" i="13"/>
  <c r="AA8" i="10"/>
  <c r="AA2" i="10"/>
  <c r="I17" i="36"/>
  <c r="F17" i="36"/>
  <c r="M17" i="36"/>
  <c r="E3" i="16"/>
  <c r="L3" i="16" s="1"/>
  <c r="AB3" i="18"/>
  <c r="CV44" i="36"/>
  <c r="CV56" i="36"/>
  <c r="CV32" i="36"/>
  <c r="AP16" i="36" a="1"/>
  <c r="R14" i="34"/>
  <c r="AY16" i="36" a="1"/>
  <c r="N14" i="34" a="1"/>
  <c r="W19" i="24"/>
  <c r="AW16" i="36" a="1"/>
  <c r="G16" i="36" a="1"/>
  <c r="AX16" i="36" a="1"/>
  <c r="AR16" i="36" a="1"/>
  <c r="E4" i="18" a="1"/>
  <c r="AQ16" i="36" a="1"/>
  <c r="AU16" i="36" a="1"/>
  <c r="O10" i="34" l="1"/>
  <c r="AM26" i="6"/>
  <c r="AK19" i="36"/>
  <c r="AK21" i="36" s="1"/>
  <c r="AC14" i="5"/>
  <c r="AE14" i="5"/>
  <c r="AB2" i="5"/>
  <c r="AC14" i="11"/>
  <c r="AB8" i="11"/>
  <c r="AE14" i="11"/>
  <c r="AB2" i="11"/>
  <c r="S15" i="34"/>
  <c r="AB3" i="5"/>
  <c r="G14" i="34" a="1"/>
  <c r="G14" i="34" s="1"/>
  <c r="K14" i="34" a="1"/>
  <c r="K14" i="34" s="1"/>
  <c r="K10" i="34" s="1"/>
  <c r="AB3" i="11"/>
  <c r="X15" i="34"/>
  <c r="BB15" i="5"/>
  <c r="BD15" i="5" s="1"/>
  <c r="AH14" i="9"/>
  <c r="AJ15" i="5"/>
  <c r="AH14" i="8"/>
  <c r="AH2" i="8" s="1"/>
  <c r="AH15" i="12"/>
  <c r="AI15" i="12" s="1"/>
  <c r="AJ15" i="12" s="1"/>
  <c r="AH15" i="15"/>
  <c r="AI15" i="15" s="1"/>
  <c r="AJ15" i="15" s="1"/>
  <c r="AW16" i="36"/>
  <c r="G16" i="36"/>
  <c r="N16" i="36" s="1"/>
  <c r="R10" i="34"/>
  <c r="AP16" i="36"/>
  <c r="AR16" i="36"/>
  <c r="AQ16" i="36"/>
  <c r="AU16" i="36"/>
  <c r="AX16" i="36"/>
  <c r="N14" i="34"/>
  <c r="N10" i="34" s="1"/>
  <c r="AY16" i="36"/>
  <c r="H19" i="29"/>
  <c r="H33" i="29" s="1"/>
  <c r="J14" i="6"/>
  <c r="J13" i="6" s="1"/>
  <c r="AI14" i="6"/>
  <c r="AI13" i="6" s="1"/>
  <c r="AE14" i="18"/>
  <c r="AE3" i="18" s="1"/>
  <c r="AC14" i="18"/>
  <c r="AC8" i="18" s="1"/>
  <c r="AB8" i="18"/>
  <c r="AB2" i="18"/>
  <c r="AZ17" i="36" s="1" a="1"/>
  <c r="AZ17" i="36" s="1"/>
  <c r="AE8" i="15"/>
  <c r="AE2" i="15"/>
  <c r="J19" i="29"/>
  <c r="J33" i="29" s="1"/>
  <c r="L14" i="6"/>
  <c r="L13" i="6" s="1"/>
  <c r="AK14" i="6"/>
  <c r="AK13" i="6" s="1"/>
  <c r="AC8" i="17"/>
  <c r="AC2" i="17"/>
  <c r="AC2" i="16"/>
  <c r="AC8" i="16"/>
  <c r="AF19" i="36"/>
  <c r="AF21" i="36" s="1"/>
  <c r="AH26" i="6"/>
  <c r="AM19" i="36"/>
  <c r="AM21" i="36" s="1"/>
  <c r="AO26" i="6"/>
  <c r="AD19" i="36"/>
  <c r="AD21" i="36" s="1"/>
  <c r="AF26" i="6"/>
  <c r="AH14" i="15"/>
  <c r="AC8" i="15"/>
  <c r="AC2" i="15"/>
  <c r="AH14" i="17"/>
  <c r="AE2" i="17"/>
  <c r="AE8" i="17"/>
  <c r="AE8" i="8"/>
  <c r="AE2" i="8"/>
  <c r="AL26" i="6"/>
  <c r="AJ19" i="36"/>
  <c r="AJ21" i="36" s="1"/>
  <c r="AA2" i="12"/>
  <c r="AA8" i="12"/>
  <c r="AH15" i="18"/>
  <c r="AI15" i="18" s="1"/>
  <c r="AL19" i="36"/>
  <c r="AL21" i="36" s="1"/>
  <c r="AN26" i="6"/>
  <c r="AC2" i="10"/>
  <c r="AC8" i="10"/>
  <c r="AC2" i="13"/>
  <c r="AC8" i="13"/>
  <c r="AJ26" i="6"/>
  <c r="AH19" i="36"/>
  <c r="AH21" i="36" s="1"/>
  <c r="F14" i="6"/>
  <c r="F13" i="6" s="1"/>
  <c r="D19" i="29"/>
  <c r="D33" i="29" s="1"/>
  <c r="AE14" i="6"/>
  <c r="AE13" i="6" s="1"/>
  <c r="AE8" i="10"/>
  <c r="AE2" i="10"/>
  <c r="AC2" i="9"/>
  <c r="AC8" i="9"/>
  <c r="AE19" i="36"/>
  <c r="AE21" i="36" s="1"/>
  <c r="AG26" i="6"/>
  <c r="AE14" i="14"/>
  <c r="AE3" i="14" s="1"/>
  <c r="AB8" i="14"/>
  <c r="AC14" i="14"/>
  <c r="AB2" i="14"/>
  <c r="AV17" i="36" s="1" a="1"/>
  <c r="AV17" i="36" s="1"/>
  <c r="AB14" i="12"/>
  <c r="AB3" i="12" s="1"/>
  <c r="AC2" i="8"/>
  <c r="AC8" i="8"/>
  <c r="AD26" i="6"/>
  <c r="AB19" i="36"/>
  <c r="AH14" i="16"/>
  <c r="AE8" i="16"/>
  <c r="AE2" i="16"/>
  <c r="AH14" i="10"/>
  <c r="AE2" i="9"/>
  <c r="AE8" i="9"/>
  <c r="AH14" i="13"/>
  <c r="AE2" i="13"/>
  <c r="AE8" i="13"/>
  <c r="O3" i="16"/>
  <c r="G3" i="16"/>
  <c r="AC3" i="16"/>
  <c r="AH3" i="16"/>
  <c r="N3" i="16"/>
  <c r="AE3" i="16"/>
  <c r="V3" i="16"/>
  <c r="AA3" i="16"/>
  <c r="AF3" i="16"/>
  <c r="J3" i="16"/>
  <c r="Q3" i="16"/>
  <c r="X3" i="16"/>
  <c r="T3" i="16"/>
  <c r="S3" i="16"/>
  <c r="K3" i="16"/>
  <c r="P3" i="16"/>
  <c r="R3" i="16"/>
  <c r="W3" i="16"/>
  <c r="AB3" i="16"/>
  <c r="M3" i="16"/>
  <c r="AG3" i="16"/>
  <c r="AD3" i="16"/>
  <c r="U3" i="16"/>
  <c r="Z3" i="16"/>
  <c r="H3" i="16"/>
  <c r="F3" i="16"/>
  <c r="E4" i="18"/>
  <c r="X4" i="18" s="1"/>
  <c r="X16" i="36" a="1"/>
  <c r="U16" i="36" a="1"/>
  <c r="Q16" i="36" a="1"/>
  <c r="AX17" i="36" a="1"/>
  <c r="AZ16" i="36" a="1"/>
  <c r="F11" i="20" a="1"/>
  <c r="X17" i="36" a="1"/>
  <c r="L11" i="20" a="1"/>
  <c r="R16" i="36" a="1"/>
  <c r="Y16" i="36" a="1"/>
  <c r="X19" i="24"/>
  <c r="L14" i="34" a="1"/>
  <c r="P16" i="36" a="1"/>
  <c r="K17" i="36" a="1"/>
  <c r="AV16" i="36" a="1"/>
  <c r="W18" i="24"/>
  <c r="W16" i="36" a="1"/>
  <c r="L19" i="29" l="1"/>
  <c r="L33" i="29" s="1"/>
  <c r="N14" i="6"/>
  <c r="N13" i="6" s="1"/>
  <c r="AM14" i="6"/>
  <c r="AM13" i="6" s="1"/>
  <c r="AC2" i="5"/>
  <c r="AC3" i="5"/>
  <c r="AE3" i="5"/>
  <c r="BA14" i="5"/>
  <c r="BA13" i="5" s="1"/>
  <c r="AE8" i="5"/>
  <c r="AE2" i="5"/>
  <c r="AC3" i="11"/>
  <c r="AC2" i="11"/>
  <c r="AC8" i="11"/>
  <c r="AE2" i="11"/>
  <c r="AE8" i="11"/>
  <c r="AH14" i="5"/>
  <c r="AE3" i="11"/>
  <c r="AH14" i="11"/>
  <c r="AO16" i="36" a="1"/>
  <c r="AO16" i="36" s="1"/>
  <c r="AO17" i="36" a="1"/>
  <c r="AO17" i="36" s="1"/>
  <c r="AS16" i="36" a="1"/>
  <c r="AS16" i="36" s="1"/>
  <c r="AS17" i="36" a="1"/>
  <c r="AS17" i="36" s="1"/>
  <c r="Y15" i="34"/>
  <c r="AA15" i="34" s="1"/>
  <c r="AH8" i="9"/>
  <c r="AI14" i="9"/>
  <c r="Z15" i="34"/>
  <c r="AI14" i="8"/>
  <c r="AH8" i="8"/>
  <c r="AH2" i="9"/>
  <c r="AH14" i="14"/>
  <c r="AH8" i="14" s="1"/>
  <c r="L11" i="20"/>
  <c r="F11" i="20"/>
  <c r="U16" i="36"/>
  <c r="W16" i="36"/>
  <c r="Q16" i="36"/>
  <c r="R16" i="36"/>
  <c r="AZ16" i="36"/>
  <c r="X16" i="36"/>
  <c r="P16" i="36"/>
  <c r="AV16" i="36"/>
  <c r="L14" i="34"/>
  <c r="Y16" i="36"/>
  <c r="C19" i="29"/>
  <c r="E14" i="6"/>
  <c r="E13" i="6" s="1"/>
  <c r="AD14" i="6"/>
  <c r="AD13" i="6" s="1"/>
  <c r="AE2" i="14"/>
  <c r="V17" i="36" s="1" a="1"/>
  <c r="V17" i="36" s="1"/>
  <c r="AE8" i="14"/>
  <c r="G14" i="6"/>
  <c r="G13" i="6" s="1"/>
  <c r="E19" i="29"/>
  <c r="E33" i="29" s="1"/>
  <c r="AF14" i="6"/>
  <c r="AF13" i="6" s="1"/>
  <c r="G19" i="29"/>
  <c r="G33" i="29" s="1"/>
  <c r="I14" i="6"/>
  <c r="I13" i="6" s="1"/>
  <c r="AH14" i="6"/>
  <c r="AH13" i="6" s="1"/>
  <c r="F19" i="29"/>
  <c r="F33" i="29" s="1"/>
  <c r="H14" i="6"/>
  <c r="H13" i="6" s="1"/>
  <c r="AG14" i="6"/>
  <c r="AG13" i="6" s="1"/>
  <c r="AH14" i="18"/>
  <c r="AE2" i="18"/>
  <c r="Z17" i="36" s="1" a="1"/>
  <c r="Z17" i="36" s="1"/>
  <c r="AE8" i="18"/>
  <c r="AI14" i="10"/>
  <c r="AH8" i="10"/>
  <c r="AH2" i="10"/>
  <c r="AH8" i="16"/>
  <c r="AH2" i="16"/>
  <c r="AI14" i="16"/>
  <c r="AI3" i="16" s="1"/>
  <c r="AC2" i="14"/>
  <c r="AC8" i="14"/>
  <c r="N19" i="29"/>
  <c r="N33" i="29" s="1"/>
  <c r="P14" i="6"/>
  <c r="P13" i="6" s="1"/>
  <c r="AO14" i="6"/>
  <c r="AO13" i="6" s="1"/>
  <c r="I19" i="29"/>
  <c r="I33" i="29" s="1"/>
  <c r="K14" i="6"/>
  <c r="K13" i="6" s="1"/>
  <c r="AJ14" i="6"/>
  <c r="AJ13" i="6" s="1"/>
  <c r="AH8" i="17"/>
  <c r="AH2" i="17"/>
  <c r="AI14" i="17"/>
  <c r="AH2" i="13"/>
  <c r="AH8" i="13"/>
  <c r="AI14" i="13"/>
  <c r="O14" i="6"/>
  <c r="O13" i="6" s="1"/>
  <c r="M19" i="29"/>
  <c r="M33" i="29" s="1"/>
  <c r="AN14" i="6"/>
  <c r="AN13" i="6" s="1"/>
  <c r="AC2" i="18"/>
  <c r="AB21" i="36"/>
  <c r="AN19" i="36"/>
  <c r="AN21" i="36" s="1"/>
  <c r="AB2" i="12"/>
  <c r="AT17" i="36" s="1" a="1"/>
  <c r="AT17" i="36" s="1"/>
  <c r="AC14" i="12"/>
  <c r="AC3" i="12" s="1"/>
  <c r="AE14" i="12"/>
  <c r="AE3" i="12" s="1"/>
  <c r="AB8" i="12"/>
  <c r="AJ15" i="18"/>
  <c r="M14" i="6"/>
  <c r="M13" i="6" s="1"/>
  <c r="K19" i="29"/>
  <c r="K33" i="29" s="1"/>
  <c r="AL14" i="6"/>
  <c r="AL13" i="6" s="1"/>
  <c r="AH8" i="15"/>
  <c r="AH2" i="15"/>
  <c r="AI14" i="15"/>
  <c r="Q4" i="18"/>
  <c r="V4" i="18"/>
  <c r="AF4" i="18"/>
  <c r="H4" i="18"/>
  <c r="N4" i="18"/>
  <c r="AC4" i="18"/>
  <c r="T4" i="18"/>
  <c r="M4" i="18"/>
  <c r="R4" i="18"/>
  <c r="Z4" i="18"/>
  <c r="AH4" i="18"/>
  <c r="AA4" i="18"/>
  <c r="AG4" i="18"/>
  <c r="K17" i="36"/>
  <c r="X17" i="36"/>
  <c r="P4" i="18"/>
  <c r="F4" i="18"/>
  <c r="AX17" i="36"/>
  <c r="W4" i="18"/>
  <c r="AE4" i="18"/>
  <c r="S4" i="18"/>
  <c r="K4" i="18"/>
  <c r="J4" i="18"/>
  <c r="AB4" i="18"/>
  <c r="O4" i="18"/>
  <c r="AD4" i="18"/>
  <c r="U4" i="18"/>
  <c r="G4" i="18"/>
  <c r="L4" i="18"/>
  <c r="N15" i="28"/>
  <c r="N9" i="28"/>
  <c r="N11" i="20" a="1"/>
  <c r="P9" i="28"/>
  <c r="U15" i="28"/>
  <c r="V16" i="36" a="1"/>
  <c r="R11" i="20" a="1"/>
  <c r="W9" i="28"/>
  <c r="E4" i="5" a="1"/>
  <c r="Z16" i="36" a="1"/>
  <c r="S15" i="28"/>
  <c r="V9" i="28"/>
  <c r="O11" i="20" a="1"/>
  <c r="P15" i="28"/>
  <c r="S9" i="28"/>
  <c r="V15" i="28"/>
  <c r="Y19" i="24"/>
  <c r="W15" i="28"/>
  <c r="AT16" i="36" a="1"/>
  <c r="U9" i="28"/>
  <c r="O16" i="36" l="1" a="1"/>
  <c r="O16" i="36" s="1"/>
  <c r="O17" i="36" a="1"/>
  <c r="O17" i="36" s="1"/>
  <c r="S16" i="36" a="1"/>
  <c r="S16" i="36" s="1"/>
  <c r="S17" i="36" a="1"/>
  <c r="S17" i="36" s="1"/>
  <c r="AH8" i="5"/>
  <c r="AH3" i="5"/>
  <c r="AI14" i="11"/>
  <c r="AH8" i="11"/>
  <c r="AH2" i="11"/>
  <c r="AH2" i="5"/>
  <c r="AI14" i="5"/>
  <c r="AB15" i="34"/>
  <c r="AJ14" i="9"/>
  <c r="AI8" i="9"/>
  <c r="AI2" i="9"/>
  <c r="BD16" i="36" s="1" a="1"/>
  <c r="BD16" i="36" s="1"/>
  <c r="Q15" i="28"/>
  <c r="Q16" i="28" s="1"/>
  <c r="Q9" i="28"/>
  <c r="Q10" i="28" s="1"/>
  <c r="O9" i="28"/>
  <c r="O10" i="28" s="1"/>
  <c r="O15" i="28"/>
  <c r="O16" i="28" s="1"/>
  <c r="AI8" i="8"/>
  <c r="AJ14" i="8"/>
  <c r="AI2" i="8"/>
  <c r="BC16" i="36" s="1" a="1"/>
  <c r="BC16" i="36" s="1"/>
  <c r="AH2" i="14"/>
  <c r="AC15" i="34"/>
  <c r="AI14" i="14"/>
  <c r="AI2" i="14" s="1"/>
  <c r="N10" i="28"/>
  <c r="N16" i="28"/>
  <c r="N11" i="20"/>
  <c r="AH14" i="12"/>
  <c r="S10" i="28"/>
  <c r="S16" i="28"/>
  <c r="P16" i="28"/>
  <c r="P10" i="28"/>
  <c r="O11" i="20"/>
  <c r="R11" i="20"/>
  <c r="U16" i="28"/>
  <c r="U10" i="28"/>
  <c r="AT16" i="36"/>
  <c r="BA16" i="36" s="1"/>
  <c r="W10" i="28"/>
  <c r="W16" i="28"/>
  <c r="V16" i="28"/>
  <c r="V10" i="28"/>
  <c r="Z16" i="36"/>
  <c r="V16" i="36"/>
  <c r="AI8" i="13"/>
  <c r="AI2" i="13"/>
  <c r="AJ14" i="13"/>
  <c r="AI2" i="10"/>
  <c r="AI8" i="10"/>
  <c r="AJ14" i="10"/>
  <c r="AC2" i="12"/>
  <c r="AC8" i="12"/>
  <c r="L10" i="34"/>
  <c r="S14" i="34"/>
  <c r="AI2" i="15"/>
  <c r="AI8" i="15"/>
  <c r="AJ14" i="15"/>
  <c r="AJ2" i="8"/>
  <c r="AJ8" i="8"/>
  <c r="C33" i="29"/>
  <c r="O19" i="29"/>
  <c r="O33" i="29" s="1"/>
  <c r="AE8" i="12"/>
  <c r="AE2" i="12"/>
  <c r="T17" i="36" s="1" a="1"/>
  <c r="T17" i="36" s="1"/>
  <c r="X14" i="34"/>
  <c r="AI14" i="18"/>
  <c r="AH8" i="18"/>
  <c r="AH2" i="18"/>
  <c r="AI8" i="17"/>
  <c r="AJ14" i="17"/>
  <c r="AI2" i="17"/>
  <c r="AI8" i="14"/>
  <c r="AJ14" i="16"/>
  <c r="AJ3" i="16" s="1"/>
  <c r="AI8" i="16"/>
  <c r="AI2" i="16"/>
  <c r="BK17" i="36" s="1" a="1"/>
  <c r="BK17" i="36" s="1"/>
  <c r="E4" i="5"/>
  <c r="AF4" i="5" s="1"/>
  <c r="T15" i="28"/>
  <c r="T9" i="28"/>
  <c r="S11" i="20" a="1"/>
  <c r="X15" i="28"/>
  <c r="T11" i="20" a="1"/>
  <c r="BJ16" i="36" a="1"/>
  <c r="X9" i="28"/>
  <c r="BE16" i="36" a="1"/>
  <c r="T16" i="36" a="1"/>
  <c r="L10" i="20" a="1"/>
  <c r="BK16" i="36" a="1"/>
  <c r="BH16" i="36" a="1"/>
  <c r="BL16" i="36" a="1"/>
  <c r="F10" i="20" a="1"/>
  <c r="X18" i="24"/>
  <c r="BP16" i="36" a="1"/>
  <c r="AJ8" i="9" l="1"/>
  <c r="AJ2" i="9"/>
  <c r="BQ16" i="36" s="1" a="1"/>
  <c r="BQ16" i="36" s="1"/>
  <c r="AI3" i="5"/>
  <c r="AI2" i="5"/>
  <c r="AI2" i="11"/>
  <c r="AI3" i="11"/>
  <c r="AI8" i="11"/>
  <c r="AJ14" i="11"/>
  <c r="BB14" i="5"/>
  <c r="AJ14" i="5"/>
  <c r="AI8" i="5"/>
  <c r="M15" i="28"/>
  <c r="M16" i="28" s="1"/>
  <c r="M9" i="28"/>
  <c r="M10" i="28" s="1"/>
  <c r="AH3" i="12"/>
  <c r="AH8" i="12"/>
  <c r="AH2" i="12"/>
  <c r="AI14" i="12"/>
  <c r="Z14" i="34" s="1"/>
  <c r="O10" i="20" s="1" a="1"/>
  <c r="BI16" i="36" a="1"/>
  <c r="BI16" i="36" s="1"/>
  <c r="BI17" i="36" a="1"/>
  <c r="BI17" i="36" s="1"/>
  <c r="BB16" i="36" a="1"/>
  <c r="BB16" i="36" s="1"/>
  <c r="BB17" i="36" a="1"/>
  <c r="BB17" i="36" s="1"/>
  <c r="AJ14" i="14"/>
  <c r="AJ3" i="14" s="1"/>
  <c r="AI3" i="14"/>
  <c r="AI3" i="18"/>
  <c r="AI4" i="18"/>
  <c r="T10" i="28"/>
  <c r="T16" i="28"/>
  <c r="X16" i="28"/>
  <c r="F15" i="28"/>
  <c r="X10" i="28"/>
  <c r="T16" i="36"/>
  <c r="AA16" i="36" s="1"/>
  <c r="BJ16" i="36"/>
  <c r="S11" i="20"/>
  <c r="BL16" i="36"/>
  <c r="BP16" i="36"/>
  <c r="T11" i="20"/>
  <c r="BH16" i="36"/>
  <c r="BK16" i="36"/>
  <c r="F10" i="20"/>
  <c r="L10" i="20"/>
  <c r="L4" i="20" s="1"/>
  <c r="BE16" i="36"/>
  <c r="AI8" i="18"/>
  <c r="AI2" i="18"/>
  <c r="BM17" i="36" s="1" a="1"/>
  <c r="BM17" i="36" s="1"/>
  <c r="AJ14" i="18"/>
  <c r="AJ8" i="10"/>
  <c r="AJ2" i="10"/>
  <c r="F16" i="28"/>
  <c r="AJ8" i="16"/>
  <c r="AJ2" i="16"/>
  <c r="BX17" i="36" s="1" a="1"/>
  <c r="BX17" i="36" s="1"/>
  <c r="AJ2" i="13"/>
  <c r="AJ8" i="13"/>
  <c r="AJ2" i="14"/>
  <c r="BV17" i="36" s="1" a="1"/>
  <c r="BV17" i="36" s="1"/>
  <c r="AJ8" i="14"/>
  <c r="AJ8" i="17"/>
  <c r="AJ2" i="17"/>
  <c r="AJ8" i="15"/>
  <c r="AJ2" i="15"/>
  <c r="Y14" i="34"/>
  <c r="X10" i="34"/>
  <c r="AB4" i="5"/>
  <c r="G4" i="5"/>
  <c r="Z4" i="5"/>
  <c r="W4" i="5"/>
  <c r="S4" i="5"/>
  <c r="J4" i="5"/>
  <c r="R4" i="5"/>
  <c r="N4" i="5"/>
  <c r="L4" i="5"/>
  <c r="H4" i="5"/>
  <c r="O4" i="5"/>
  <c r="M4" i="5"/>
  <c r="A18" i="36"/>
  <c r="AI4" i="5"/>
  <c r="F4" i="5"/>
  <c r="K4" i="5"/>
  <c r="AH4" i="5"/>
  <c r="T4" i="5"/>
  <c r="AG4" i="5"/>
  <c r="AE4" i="5"/>
  <c r="Q4" i="5"/>
  <c r="U4" i="5"/>
  <c r="V4" i="5"/>
  <c r="AA4" i="5"/>
  <c r="P4" i="5"/>
  <c r="AD4" i="5"/>
  <c r="AC4" i="5"/>
  <c r="X4" i="5"/>
  <c r="BR16" i="36" a="1"/>
  <c r="BV16" i="36" a="1"/>
  <c r="N10" i="20" a="1"/>
  <c r="BY16" i="36" a="1"/>
  <c r="Y18" i="24"/>
  <c r="BU16" i="36" a="1"/>
  <c r="BM16" i="36" a="1"/>
  <c r="BW16" i="36" a="1"/>
  <c r="BX16" i="36" a="1"/>
  <c r="BF16" i="36" l="1" a="1"/>
  <c r="BF16" i="36" s="1"/>
  <c r="BF17" i="36" a="1"/>
  <c r="BF17" i="36" s="1"/>
  <c r="BD14" i="5"/>
  <c r="BD13" i="5" s="1"/>
  <c r="BB13" i="5"/>
  <c r="AJ3" i="11"/>
  <c r="AJ8" i="11"/>
  <c r="AJ2" i="11"/>
  <c r="AJ3" i="5"/>
  <c r="AJ8" i="5"/>
  <c r="AJ2" i="5"/>
  <c r="AJ4" i="5"/>
  <c r="AI8" i="12"/>
  <c r="AJ14" i="12"/>
  <c r="AI2" i="12"/>
  <c r="R9" i="28"/>
  <c r="R10" i="28" s="1"/>
  <c r="R15" i="28"/>
  <c r="R16" i="28" s="1"/>
  <c r="AI3" i="12"/>
  <c r="BS16" i="36" a="1"/>
  <c r="BS16" i="36" s="1"/>
  <c r="BS17" i="36" a="1"/>
  <c r="BS17" i="36" s="1"/>
  <c r="BO16" i="36" a="1"/>
  <c r="BO16" i="36" s="1"/>
  <c r="BO17" i="36" a="1"/>
  <c r="BO17" i="36" s="1"/>
  <c r="AJ3" i="18"/>
  <c r="AJ4" i="18"/>
  <c r="BV16" i="36"/>
  <c r="O10" i="20"/>
  <c r="O4" i="20" s="1"/>
  <c r="BX16" i="36"/>
  <c r="BY16" i="36"/>
  <c r="BM16" i="36"/>
  <c r="BW16" i="36"/>
  <c r="N10" i="20"/>
  <c r="BU16" i="36"/>
  <c r="BR16" i="36"/>
  <c r="Z10" i="34"/>
  <c r="AJ2" i="18"/>
  <c r="BZ17" i="36" s="1" a="1"/>
  <c r="BZ17" i="36" s="1"/>
  <c r="AJ8" i="18"/>
  <c r="AA14" i="34"/>
  <c r="AB14" i="34" s="1"/>
  <c r="CV17" i="36"/>
  <c r="B18" i="36" a="1"/>
  <c r="Z18" i="36" a="1"/>
  <c r="O18" i="36" a="1"/>
  <c r="BZ16" i="36" a="1"/>
  <c r="BB18" i="36" a="1"/>
  <c r="M18" i="36" a="1"/>
  <c r="AO18" i="36" a="1"/>
  <c r="S10" i="20" a="1"/>
  <c r="BO18" i="36" a="1"/>
  <c r="R10" i="20" a="1"/>
  <c r="BZ18" i="36" a="1"/>
  <c r="BM18" i="36" a="1"/>
  <c r="AZ18" i="36" a="1"/>
  <c r="BG16" i="36" l="1" a="1"/>
  <c r="BG16" i="36" s="1"/>
  <c r="BN16" i="36" s="1"/>
  <c r="BG17" i="36" a="1"/>
  <c r="BG17" i="36" s="1"/>
  <c r="AJ3" i="12"/>
  <c r="AJ8" i="12"/>
  <c r="AJ2" i="12"/>
  <c r="S10" i="20"/>
  <c r="S4" i="20" s="1"/>
  <c r="R10" i="20"/>
  <c r="BZ16" i="36"/>
  <c r="AB10" i="34"/>
  <c r="AC14" i="34"/>
  <c r="B18" i="36"/>
  <c r="Z18" i="36"/>
  <c r="AZ18" i="36"/>
  <c r="O18" i="36"/>
  <c r="AO18" i="36"/>
  <c r="BM18" i="36"/>
  <c r="BZ18" i="36"/>
  <c r="BB18" i="36"/>
  <c r="M18" i="36"/>
  <c r="BO18" i="36"/>
  <c r="CV57" i="36"/>
  <c r="CV45" i="36"/>
  <c r="CV33" i="36"/>
  <c r="G3" i="11"/>
  <c r="AH3" i="11"/>
  <c r="X3" i="11"/>
  <c r="P3" i="11"/>
  <c r="W3" i="11"/>
  <c r="N3" i="11"/>
  <c r="R3" i="11"/>
  <c r="O3" i="11"/>
  <c r="U3" i="11"/>
  <c r="H3" i="11"/>
  <c r="AD3" i="11"/>
  <c r="T3" i="11"/>
  <c r="F3" i="11"/>
  <c r="Z3" i="11"/>
  <c r="J3" i="11"/>
  <c r="K3" i="11"/>
  <c r="Q3" i="11"/>
  <c r="AF3" i="11"/>
  <c r="S3" i="11"/>
  <c r="AG3" i="11"/>
  <c r="E5" i="5" a="1"/>
  <c r="U9" i="7" a="1"/>
  <c r="T10" i="20" a="1"/>
  <c r="BT16" i="36" l="1" a="1"/>
  <c r="BT16" i="36" s="1"/>
  <c r="CA16" i="36" s="1"/>
  <c r="BT17" i="36" a="1"/>
  <c r="BT17" i="36" s="1"/>
  <c r="T10" i="20"/>
  <c r="T4" i="20" s="1"/>
  <c r="AC10" i="34"/>
  <c r="E5" i="5"/>
  <c r="U9" i="7"/>
  <c r="U18" i="7" s="1"/>
  <c r="AF5" i="5" l="1"/>
  <c r="AG5" i="5"/>
  <c r="R5" i="5"/>
  <c r="M5" i="5"/>
  <c r="G5" i="5"/>
  <c r="N5" i="5"/>
  <c r="V5" i="5"/>
  <c r="AE5" i="5"/>
  <c r="AJ5" i="5"/>
  <c r="K5" i="5"/>
  <c r="H5" i="5"/>
  <c r="Q5" i="5"/>
  <c r="F5" i="5"/>
  <c r="J5" i="5"/>
  <c r="AC5" i="5"/>
  <c r="AI5" i="5"/>
  <c r="S5" i="5"/>
  <c r="W5" i="5"/>
  <c r="X5" i="5"/>
  <c r="L5" i="5"/>
  <c r="AA5" i="5"/>
  <c r="AB5" i="5"/>
  <c r="A19" i="36"/>
  <c r="U5" i="5"/>
  <c r="AD5" i="5"/>
  <c r="O5" i="5"/>
  <c r="T5" i="5"/>
  <c r="P5" i="5"/>
  <c r="Z5" i="5"/>
  <c r="AH5" i="5"/>
  <c r="CV18" i="36" l="1"/>
  <c r="BM19" i="36" a="1"/>
  <c r="BO19" i="36" a="1"/>
  <c r="O19" i="36" a="1"/>
  <c r="B19" i="36" a="1"/>
  <c r="M19" i="36" a="1"/>
  <c r="AO19" i="36" a="1"/>
  <c r="BB19" i="36" a="1"/>
  <c r="Z19" i="36" a="1"/>
  <c r="BZ19" i="36" a="1"/>
  <c r="AZ19" i="36" a="1"/>
  <c r="BZ19" i="36" l="1"/>
  <c r="AZ19" i="36"/>
  <c r="BO19" i="36"/>
  <c r="AO19" i="36"/>
  <c r="B19" i="36"/>
  <c r="M19" i="36"/>
  <c r="BM19" i="36"/>
  <c r="BB19" i="36"/>
  <c r="O19" i="36"/>
  <c r="Z19" i="36"/>
  <c r="CV58" i="36"/>
  <c r="CV46" i="36"/>
  <c r="CV34" i="36"/>
  <c r="AD3" i="18" l="1"/>
  <c r="N3" i="18"/>
  <c r="U3" i="18"/>
  <c r="R3" i="18"/>
  <c r="Q3" i="18"/>
  <c r="J3" i="18"/>
  <c r="H3" i="18"/>
  <c r="F3" i="18"/>
  <c r="K3" i="18"/>
  <c r="AA3" i="18"/>
  <c r="S3" i="18"/>
  <c r="X3" i="18"/>
  <c r="AC3" i="18"/>
  <c r="M3" i="18"/>
  <c r="O3" i="18"/>
  <c r="P3" i="18"/>
  <c r="G3" i="18"/>
  <c r="L3" i="18"/>
  <c r="Z3" i="18"/>
  <c r="W3" i="18"/>
  <c r="AF3" i="18"/>
  <c r="AG3" i="18"/>
  <c r="AH3" i="18"/>
  <c r="T3" i="18"/>
  <c r="AA3" i="14"/>
  <c r="AH3" i="14"/>
  <c r="S3" i="14"/>
  <c r="F3" i="14"/>
  <c r="Q3" i="14"/>
  <c r="R3" i="14"/>
  <c r="K3" i="14"/>
  <c r="P3" i="14"/>
  <c r="H3" i="14"/>
  <c r="O3" i="14"/>
  <c r="AC3" i="14"/>
  <c r="N3" i="14"/>
  <c r="T3" i="14"/>
  <c r="Z3" i="14"/>
  <c r="AF3" i="14"/>
  <c r="J3" i="14"/>
  <c r="AD3" i="14"/>
  <c r="X3" i="14"/>
  <c r="G3" i="14"/>
  <c r="W3" i="14"/>
  <c r="L3" i="14"/>
  <c r="U3" i="14"/>
  <c r="M3" i="14"/>
  <c r="AG3" i="14"/>
  <c r="AC8" i="5" l="1"/>
  <c r="U10" i="34"/>
  <c r="I18" i="36" a="1"/>
  <c r="AT19" i="36" a="1"/>
  <c r="I19" i="36" a="1"/>
  <c r="E5" i="18" a="1"/>
  <c r="BG18" i="36" a="1"/>
  <c r="BG19" i="36" a="1"/>
  <c r="BT19" i="36" a="1"/>
  <c r="BX18" i="36" a="1"/>
  <c r="BV19" i="36" a="1"/>
  <c r="K18" i="36" a="1"/>
  <c r="AV19" i="36" a="1"/>
  <c r="BV18" i="36" a="1"/>
  <c r="BX19" i="36" a="1"/>
  <c r="E4" i="16" a="1"/>
  <c r="T19" i="36" a="1"/>
  <c r="G19" i="36" a="1"/>
  <c r="BI18" i="36" a="1"/>
  <c r="AX19" i="36" a="1"/>
  <c r="E4" i="14" a="1"/>
  <c r="K19" i="36" a="1"/>
  <c r="BK19" i="36" a="1"/>
  <c r="BK18" i="36" a="1"/>
  <c r="G18" i="36" a="1"/>
  <c r="X19" i="36" a="1"/>
  <c r="V19" i="36" a="1"/>
  <c r="AV18" i="36" a="1"/>
  <c r="T18" i="36" a="1"/>
  <c r="AX18" i="36" a="1"/>
  <c r="AT18" i="36" a="1"/>
  <c r="E4" i="12" a="1"/>
  <c r="BI19" i="36" a="1"/>
  <c r="X18" i="36" a="1"/>
  <c r="BT18" i="36" a="1"/>
  <c r="V18" i="36" a="1"/>
  <c r="J15" i="20" a="1"/>
  <c r="BX19" i="36" l="1"/>
  <c r="BV18" i="36"/>
  <c r="AV19" i="36"/>
  <c r="AT19" i="36"/>
  <c r="AX19" i="36"/>
  <c r="BV19" i="36"/>
  <c r="BT18" i="36"/>
  <c r="BX18" i="36"/>
  <c r="T18" i="36"/>
  <c r="AV18" i="36"/>
  <c r="BT19" i="36"/>
  <c r="T19" i="36"/>
  <c r="BG19" i="36"/>
  <c r="G18" i="36"/>
  <c r="BK18" i="36"/>
  <c r="BK19" i="36"/>
  <c r="I19" i="36"/>
  <c r="K19" i="36"/>
  <c r="K18" i="36"/>
  <c r="I18" i="36"/>
  <c r="V18" i="36"/>
  <c r="AT18" i="36"/>
  <c r="AX18" i="36"/>
  <c r="BI18" i="36"/>
  <c r="X18" i="36"/>
  <c r="G19" i="36"/>
  <c r="V19" i="36"/>
  <c r="X19" i="36"/>
  <c r="BI19" i="36"/>
  <c r="BG18" i="36"/>
  <c r="E4" i="16"/>
  <c r="E5" i="18"/>
  <c r="E4" i="12"/>
  <c r="E4" i="14"/>
  <c r="J15" i="20"/>
  <c r="J4" i="20" s="1"/>
  <c r="W10" i="34"/>
  <c r="AB8" i="5"/>
  <c r="H5" i="18" l="1"/>
  <c r="G5" i="18"/>
  <c r="Q5" i="18"/>
  <c r="AG5" i="18"/>
  <c r="U5" i="18"/>
  <c r="AD5" i="18"/>
  <c r="F5" i="18"/>
  <c r="T5" i="18"/>
  <c r="L5" i="18"/>
  <c r="S5" i="18"/>
  <c r="AF5" i="18"/>
  <c r="O5" i="18"/>
  <c r="K5" i="18"/>
  <c r="AC5" i="18"/>
  <c r="AA5" i="18"/>
  <c r="AH5" i="18"/>
  <c r="M5" i="18"/>
  <c r="Z5" i="18"/>
  <c r="N5" i="18"/>
  <c r="AE5" i="18"/>
  <c r="J5" i="18"/>
  <c r="AJ5" i="18"/>
  <c r="X5" i="18"/>
  <c r="R5" i="18"/>
  <c r="V5" i="18"/>
  <c r="AB5" i="18"/>
  <c r="AI5" i="18"/>
  <c r="W5" i="18"/>
  <c r="P5" i="18"/>
  <c r="H4" i="16"/>
  <c r="G4" i="16"/>
  <c r="AD4" i="16"/>
  <c r="R4" i="16"/>
  <c r="T4" i="16"/>
  <c r="AH4" i="16"/>
  <c r="AB4" i="16"/>
  <c r="M4" i="16"/>
  <c r="W4" i="16"/>
  <c r="AF4" i="16"/>
  <c r="U4" i="16"/>
  <c r="AA4" i="16"/>
  <c r="N4" i="16"/>
  <c r="K4" i="16"/>
  <c r="J4" i="16"/>
  <c r="Q4" i="16"/>
  <c r="O4" i="16"/>
  <c r="AG4" i="16"/>
  <c r="AE4" i="16"/>
  <c r="P4" i="16"/>
  <c r="X4" i="16"/>
  <c r="AJ4" i="16"/>
  <c r="L4" i="16"/>
  <c r="S4" i="16"/>
  <c r="F4" i="16"/>
  <c r="Z4" i="16"/>
  <c r="AI4" i="16"/>
  <c r="V4" i="16"/>
  <c r="AC4" i="16"/>
  <c r="L4" i="14"/>
  <c r="AG4" i="14"/>
  <c r="G4" i="14"/>
  <c r="T4" i="14"/>
  <c r="S4" i="14"/>
  <c r="Q4" i="14"/>
  <c r="AF4" i="14"/>
  <c r="H4" i="14"/>
  <c r="F4" i="14"/>
  <c r="O4" i="14"/>
  <c r="R4" i="14"/>
  <c r="U4" i="14"/>
  <c r="AD4" i="14"/>
  <c r="AI4" i="14"/>
  <c r="AB4" i="14"/>
  <c r="Z4" i="14"/>
  <c r="P4" i="14"/>
  <c r="V4" i="14"/>
  <c r="AJ4" i="14"/>
  <c r="AC4" i="14"/>
  <c r="J4" i="14"/>
  <c r="N4" i="14"/>
  <c r="AE4" i="14"/>
  <c r="M4" i="14"/>
  <c r="W4" i="14"/>
  <c r="AH4" i="14"/>
  <c r="AA4" i="14"/>
  <c r="X4" i="14"/>
  <c r="K4" i="14"/>
  <c r="H4" i="12"/>
  <c r="G4" i="12"/>
  <c r="AD4" i="12"/>
  <c r="Q4" i="12"/>
  <c r="L4" i="12"/>
  <c r="AI4" i="12"/>
  <c r="AH4" i="12"/>
  <c r="P4" i="12"/>
  <c r="N4" i="12"/>
  <c r="AG4" i="12"/>
  <c r="J4" i="12"/>
  <c r="M4" i="12"/>
  <c r="R4" i="12"/>
  <c r="T4" i="12"/>
  <c r="F4" i="12"/>
  <c r="U4" i="12"/>
  <c r="AJ4" i="12"/>
  <c r="Z4" i="12"/>
  <c r="K4" i="12"/>
  <c r="X4" i="12"/>
  <c r="AF4" i="12"/>
  <c r="AA4" i="12"/>
  <c r="AB4" i="12"/>
  <c r="O4" i="12"/>
  <c r="S4" i="12"/>
  <c r="W4" i="12"/>
  <c r="V4" i="12"/>
  <c r="AE4" i="12"/>
  <c r="AC4" i="12"/>
  <c r="G10" i="34"/>
  <c r="S10" i="34" l="1"/>
  <c r="F15" i="20" a="1"/>
  <c r="F15" i="20" l="1"/>
  <c r="F4" i="20" s="1"/>
  <c r="N15" i="20" a="1"/>
  <c r="N15" i="20" l="1"/>
  <c r="N4" i="20" s="1"/>
  <c r="Y10" i="34"/>
  <c r="R15" i="20" a="1"/>
  <c r="R15" i="20" l="1"/>
  <c r="R4" i="20" s="1"/>
  <c r="AA10" i="34"/>
  <c r="E6" i="5" a="1"/>
  <c r="S19" i="36" a="1"/>
  <c r="BF18" i="36" a="1"/>
  <c r="S18" i="36" a="1"/>
  <c r="BF19" i="36" a="1"/>
  <c r="AS18" i="36" a="1"/>
  <c r="F19" i="36" a="1"/>
  <c r="AS19" i="36" a="1"/>
  <c r="E3" i="13" a="1"/>
  <c r="E4" i="11" a="1"/>
  <c r="F18" i="36" a="1"/>
  <c r="E6" i="18" a="1"/>
  <c r="BS19" i="36" a="1"/>
  <c r="E5" i="16" a="1"/>
  <c r="BS18" i="36" a="1"/>
  <c r="E3" i="13" l="1"/>
  <c r="BF19" i="36"/>
  <c r="BF18" i="36"/>
  <c r="AS18" i="36"/>
  <c r="S18" i="36"/>
  <c r="BS19" i="36"/>
  <c r="S19" i="36"/>
  <c r="F18" i="36"/>
  <c r="F19" i="36"/>
  <c r="BS18" i="36"/>
  <c r="E6" i="18"/>
  <c r="E5" i="16"/>
  <c r="AS19" i="36"/>
  <c r="E6" i="5"/>
  <c r="E4" i="11"/>
  <c r="H5" i="16" l="1"/>
  <c r="J5" i="16"/>
  <c r="AI5" i="16"/>
  <c r="O5" i="16"/>
  <c r="P5" i="16"/>
  <c r="M5" i="16"/>
  <c r="AB5" i="16"/>
  <c r="S5" i="16"/>
  <c r="U5" i="16"/>
  <c r="AD5" i="16"/>
  <c r="W5" i="16"/>
  <c r="X5" i="16"/>
  <c r="AG5" i="16"/>
  <c r="AJ5" i="16"/>
  <c r="L5" i="16"/>
  <c r="R5" i="16"/>
  <c r="N5" i="16"/>
  <c r="F5" i="16"/>
  <c r="AC5" i="16"/>
  <c r="Q5" i="16"/>
  <c r="K5" i="16"/>
  <c r="Z5" i="16"/>
  <c r="AF5" i="16"/>
  <c r="V5" i="16"/>
  <c r="AE5" i="16"/>
  <c r="AA5" i="16"/>
  <c r="G5" i="16"/>
  <c r="AH5" i="16"/>
  <c r="T5" i="16"/>
  <c r="W4" i="11"/>
  <c r="N4" i="11"/>
  <c r="R4" i="11"/>
  <c r="AI4" i="11"/>
  <c r="T4" i="11"/>
  <c r="AB4" i="11"/>
  <c r="Z4" i="11"/>
  <c r="AC4" i="11"/>
  <c r="M4" i="11"/>
  <c r="O4" i="11"/>
  <c r="U4" i="11"/>
  <c r="F4" i="11"/>
  <c r="AG4" i="11"/>
  <c r="L4" i="11"/>
  <c r="K4" i="11"/>
  <c r="Q4" i="11"/>
  <c r="AH4" i="11"/>
  <c r="J4" i="11"/>
  <c r="S4" i="11"/>
  <c r="AE4" i="11"/>
  <c r="AD4" i="11"/>
  <c r="V4" i="11"/>
  <c r="AF4" i="11"/>
  <c r="H4" i="11"/>
  <c r="AA4" i="11"/>
  <c r="G4" i="11"/>
  <c r="AJ4" i="11"/>
  <c r="X4" i="11"/>
  <c r="P4" i="11"/>
  <c r="H6" i="18"/>
  <c r="H7" i="18" s="1"/>
  <c r="P6" i="18"/>
  <c r="P7" i="18" s="1"/>
  <c r="L6" i="18"/>
  <c r="L7" i="18" s="1"/>
  <c r="AJ6" i="18"/>
  <c r="AJ7" i="18" s="1"/>
  <c r="F6" i="18"/>
  <c r="F7" i="18" s="1"/>
  <c r="AB6" i="18"/>
  <c r="AB7" i="18" s="1"/>
  <c r="U6" i="18"/>
  <c r="U7" i="18" s="1"/>
  <c r="AF6" i="18"/>
  <c r="AF7" i="18" s="1"/>
  <c r="V6" i="18"/>
  <c r="V7" i="18" s="1"/>
  <c r="T6" i="18"/>
  <c r="T7" i="18" s="1"/>
  <c r="O6" i="18"/>
  <c r="O7" i="18" s="1"/>
  <c r="G6" i="18"/>
  <c r="G7" i="18" s="1"/>
  <c r="AI6" i="18"/>
  <c r="AI7" i="18" s="1"/>
  <c r="Z6" i="18"/>
  <c r="Z7" i="18" s="1"/>
  <c r="N6" i="18"/>
  <c r="N7" i="18" s="1"/>
  <c r="R6" i="18"/>
  <c r="R7" i="18" s="1"/>
  <c r="Q6" i="18"/>
  <c r="Q7" i="18" s="1"/>
  <c r="AC6" i="18"/>
  <c r="AC7" i="18" s="1"/>
  <c r="AA6" i="18"/>
  <c r="AA7" i="18" s="1"/>
  <c r="M6" i="18"/>
  <c r="M7" i="18" s="1"/>
  <c r="J6" i="18"/>
  <c r="J7" i="18" s="1"/>
  <c r="AD6" i="18"/>
  <c r="AD7" i="18" s="1"/>
  <c r="X6" i="18"/>
  <c r="X7" i="18" s="1"/>
  <c r="K6" i="18"/>
  <c r="K7" i="18" s="1"/>
  <c r="W6" i="18"/>
  <c r="W7" i="18" s="1"/>
  <c r="S6" i="18"/>
  <c r="S7" i="18" s="1"/>
  <c r="AE6" i="18"/>
  <c r="AE7" i="18" s="1"/>
  <c r="AG6" i="18"/>
  <c r="AG7" i="18" s="1"/>
  <c r="AH6" i="18"/>
  <c r="AH7" i="18" s="1"/>
  <c r="AI6" i="5"/>
  <c r="AI7" i="5" s="1"/>
  <c r="W6" i="5"/>
  <c r="W7" i="5" s="1"/>
  <c r="AJ6" i="5"/>
  <c r="AJ7" i="5" s="1"/>
  <c r="N6" i="5"/>
  <c r="N7" i="5" s="1"/>
  <c r="AA6" i="5"/>
  <c r="AA7" i="5" s="1"/>
  <c r="S6" i="5"/>
  <c r="S7" i="5" s="1"/>
  <c r="AB6" i="5"/>
  <c r="AB7" i="5" s="1"/>
  <c r="Z6" i="5"/>
  <c r="Z7" i="5" s="1"/>
  <c r="O6" i="5"/>
  <c r="O7" i="5" s="1"/>
  <c r="F6" i="5"/>
  <c r="F7" i="5" s="1"/>
  <c r="AC6" i="5"/>
  <c r="AC7" i="5" s="1"/>
  <c r="AF6" i="5"/>
  <c r="AF7" i="5" s="1"/>
  <c r="L6" i="5"/>
  <c r="L7" i="5" s="1"/>
  <c r="AG6" i="5"/>
  <c r="AG7" i="5" s="1"/>
  <c r="J6" i="5"/>
  <c r="J7" i="5" s="1"/>
  <c r="AD6" i="5"/>
  <c r="AD7" i="5" s="1"/>
  <c r="P6" i="5"/>
  <c r="P7" i="5" s="1"/>
  <c r="Q6" i="5"/>
  <c r="Q7" i="5" s="1"/>
  <c r="V6" i="5"/>
  <c r="V7" i="5" s="1"/>
  <c r="T6" i="5"/>
  <c r="T7" i="5" s="1"/>
  <c r="X6" i="5"/>
  <c r="X7" i="5" s="1"/>
  <c r="G6" i="5"/>
  <c r="G7" i="5" s="1"/>
  <c r="H6" i="5"/>
  <c r="H7" i="5" s="1"/>
  <c r="M6" i="5"/>
  <c r="M7" i="5" s="1"/>
  <c r="R6" i="5"/>
  <c r="R7" i="5" s="1"/>
  <c r="AH6" i="5"/>
  <c r="AH7" i="5" s="1"/>
  <c r="A20" i="36"/>
  <c r="U6" i="5"/>
  <c r="U7" i="5" s="1"/>
  <c r="K6" i="5"/>
  <c r="K7" i="5" s="1"/>
  <c r="AE6" i="5"/>
  <c r="AE7" i="5" s="1"/>
  <c r="AJ3" i="13"/>
  <c r="AE3" i="13"/>
  <c r="P3" i="13"/>
  <c r="AC3" i="13"/>
  <c r="F3" i="13"/>
  <c r="L3" i="13"/>
  <c r="T3" i="13"/>
  <c r="S3" i="13"/>
  <c r="G3" i="13"/>
  <c r="H3" i="13"/>
  <c r="M3" i="13"/>
  <c r="AF3" i="13"/>
  <c r="Q3" i="13"/>
  <c r="U3" i="13"/>
  <c r="W3" i="13"/>
  <c r="K3" i="13"/>
  <c r="AD3" i="13"/>
  <c r="O3" i="13"/>
  <c r="R3" i="13"/>
  <c r="AA3" i="13"/>
  <c r="J3" i="13"/>
  <c r="AH3" i="13"/>
  <c r="Z3" i="13"/>
  <c r="V3" i="13"/>
  <c r="AB3" i="13"/>
  <c r="X3" i="13"/>
  <c r="AI3" i="13"/>
  <c r="N3" i="13"/>
  <c r="AG3" i="13"/>
  <c r="X12" i="28"/>
  <c r="C18" i="29" a="1"/>
  <c r="N18" i="29" a="1"/>
  <c r="BH19" i="36" a="1"/>
  <c r="BU17" i="36" a="1"/>
  <c r="BH18" i="36" a="1"/>
  <c r="C14" i="29" a="1"/>
  <c r="H19" i="36" a="1"/>
  <c r="C17" i="29" a="1"/>
  <c r="BZ21" i="36" a="1"/>
  <c r="N21" i="29" a="1"/>
  <c r="C21" i="29" a="1"/>
  <c r="U18" i="36" a="1"/>
  <c r="N16" i="29" a="1"/>
  <c r="N20" i="29" a="1"/>
  <c r="BU18" i="36" a="1"/>
  <c r="H17" i="36" a="1"/>
  <c r="H18" i="36" a="1"/>
  <c r="X18" i="28"/>
  <c r="C22" i="29" a="1"/>
  <c r="BH17" i="36" a="1"/>
  <c r="BO21" i="36" a="1"/>
  <c r="C15" i="29" a="1"/>
  <c r="N22" i="29" a="1"/>
  <c r="U17" i="36" a="1"/>
  <c r="AU18" i="36" a="1"/>
  <c r="M18" i="28"/>
  <c r="N15" i="29" a="1"/>
  <c r="C16" i="29" a="1"/>
  <c r="N17" i="29" a="1"/>
  <c r="M12" i="28"/>
  <c r="U19" i="36" a="1"/>
  <c r="AU17" i="36" a="1"/>
  <c r="BU19" i="36" a="1"/>
  <c r="C20" i="29" a="1"/>
  <c r="AU19" i="36" a="1"/>
  <c r="N14" i="29" a="1"/>
  <c r="C16" i="29" l="1"/>
  <c r="BO21" i="36"/>
  <c r="N17" i="29"/>
  <c r="N31" i="29" s="1"/>
  <c r="AU18" i="36"/>
  <c r="AU19" i="36"/>
  <c r="AU17" i="36"/>
  <c r="U19" i="36"/>
  <c r="U18" i="36"/>
  <c r="U17" i="36"/>
  <c r="C17" i="29"/>
  <c r="C31" i="29" s="1"/>
  <c r="M13" i="28"/>
  <c r="N16" i="29"/>
  <c r="N30" i="29" s="1"/>
  <c r="N22" i="29"/>
  <c r="N36" i="29" s="1"/>
  <c r="X19" i="28"/>
  <c r="N15" i="29"/>
  <c r="N29" i="29" s="1"/>
  <c r="C21" i="29"/>
  <c r="N14" i="29"/>
  <c r="N28" i="29" s="1"/>
  <c r="H19" i="36"/>
  <c r="H18" i="36"/>
  <c r="H17" i="36"/>
  <c r="C20" i="29"/>
  <c r="C22" i="29"/>
  <c r="M19" i="28"/>
  <c r="N20" i="29"/>
  <c r="N34" i="29" s="1"/>
  <c r="C15" i="29"/>
  <c r="C29" i="29" s="1"/>
  <c r="N21" i="29"/>
  <c r="N35" i="29" s="1"/>
  <c r="BU19" i="36"/>
  <c r="BU18" i="36"/>
  <c r="BU17" i="36"/>
  <c r="C14" i="29"/>
  <c r="BZ21" i="36"/>
  <c r="BH19" i="36"/>
  <c r="BH18" i="36"/>
  <c r="BH17" i="36"/>
  <c r="C18" i="29"/>
  <c r="N18" i="29"/>
  <c r="N32" i="29" s="1"/>
  <c r="X13" i="28"/>
  <c r="CV19" i="36"/>
  <c r="CU19" i="36" s="1" a="1"/>
  <c r="CU19" i="36" s="1"/>
  <c r="Z20" i="36" a="1"/>
  <c r="B20" i="36" a="1"/>
  <c r="BH20" i="36" a="1"/>
  <c r="AS20" i="36" a="1"/>
  <c r="BM20" i="36" a="1"/>
  <c r="BZ20" i="36" a="1"/>
  <c r="BB20" i="36" a="1"/>
  <c r="T20" i="36" a="1"/>
  <c r="AT20" i="36" a="1"/>
  <c r="K20" i="36" a="1"/>
  <c r="O20" i="36" a="1"/>
  <c r="V20" i="36" a="1"/>
  <c r="BI20" i="36" a="1"/>
  <c r="BO20" i="36" a="1"/>
  <c r="AU20" i="36" a="1"/>
  <c r="BF20" i="36" a="1"/>
  <c r="BK20" i="36" a="1"/>
  <c r="S20" i="36" a="1"/>
  <c r="U20" i="36" a="1"/>
  <c r="AO20" i="36" a="1"/>
  <c r="BX20" i="36" a="1"/>
  <c r="BU20" i="36" a="1"/>
  <c r="AZ20" i="36" a="1"/>
  <c r="AV20" i="36" a="1"/>
  <c r="BG20" i="36" a="1"/>
  <c r="BV20" i="36" a="1"/>
  <c r="F20" i="36" a="1"/>
  <c r="M20" i="36" a="1"/>
  <c r="BT20" i="36" a="1"/>
  <c r="AX20" i="36" a="1"/>
  <c r="I20" i="36" a="1"/>
  <c r="X20" i="36" a="1"/>
  <c r="G20" i="36" a="1"/>
  <c r="BS20" i="36" a="1"/>
  <c r="H20" i="36" a="1"/>
  <c r="BV20" i="36" l="1"/>
  <c r="K20" i="36"/>
  <c r="K21" i="36" s="1"/>
  <c r="H20" i="36"/>
  <c r="H21" i="36" s="1"/>
  <c r="BU20" i="36"/>
  <c r="F20" i="36"/>
  <c r="F21" i="36" s="1"/>
  <c r="AS20" i="36"/>
  <c r="AS21" i="36" s="1"/>
  <c r="V20" i="36"/>
  <c r="V21" i="36" s="1"/>
  <c r="BX20" i="36"/>
  <c r="B20" i="36"/>
  <c r="B21" i="36" s="1"/>
  <c r="BF20" i="36"/>
  <c r="BF21" i="36" s="1"/>
  <c r="AX20" i="36"/>
  <c r="AX21" i="36" s="1"/>
  <c r="AO20" i="36"/>
  <c r="AO21" i="36" s="1"/>
  <c r="AU20" i="36"/>
  <c r="AU21" i="36" s="1"/>
  <c r="T20" i="36"/>
  <c r="T21" i="36" s="1"/>
  <c r="BG20" i="36"/>
  <c r="BG21" i="36" s="1"/>
  <c r="BS20" i="36"/>
  <c r="I20" i="36"/>
  <c r="I21" i="36" s="1"/>
  <c r="BH20" i="36"/>
  <c r="BM20" i="36"/>
  <c r="BM21" i="36" s="1"/>
  <c r="AZ20" i="36"/>
  <c r="AZ21" i="36" s="1"/>
  <c r="M20" i="36"/>
  <c r="M21" i="36" s="1"/>
  <c r="BO20" i="36"/>
  <c r="BT20" i="36"/>
  <c r="BK20" i="36"/>
  <c r="BK21" i="36" s="1"/>
  <c r="AT20" i="36"/>
  <c r="AT21" i="36" s="1"/>
  <c r="BI20" i="36"/>
  <c r="BI21" i="36" s="1"/>
  <c r="BB20" i="36"/>
  <c r="BB21" i="36" s="1"/>
  <c r="U20" i="36"/>
  <c r="U21" i="36" s="1"/>
  <c r="G20" i="36"/>
  <c r="G21" i="36" s="1"/>
  <c r="S20" i="36"/>
  <c r="S21" i="36" s="1"/>
  <c r="BZ20" i="36"/>
  <c r="AV20" i="36"/>
  <c r="AV21" i="36" s="1"/>
  <c r="O20" i="36"/>
  <c r="Z20" i="36"/>
  <c r="Z21" i="36" s="1"/>
  <c r="X20" i="36"/>
  <c r="X21" i="36" s="1"/>
  <c r="C34" i="29"/>
  <c r="C36" i="29"/>
  <c r="C32" i="29"/>
  <c r="C28" i="29"/>
  <c r="CU16" i="36" a="1"/>
  <c r="CU16" i="36" s="1"/>
  <c r="CU18" i="36" a="1"/>
  <c r="CU18" i="36" s="1"/>
  <c r="CU17" i="36" a="1"/>
  <c r="CU17" i="36" s="1"/>
  <c r="C35" i="29"/>
  <c r="C30" i="29"/>
  <c r="CU23" i="36" l="1"/>
  <c r="BH21" i="36"/>
  <c r="CT19" i="36" s="1" a="1"/>
  <c r="CT19" i="36" s="1"/>
  <c r="O21" i="36"/>
  <c r="E3" i="15" a="1"/>
  <c r="E3" i="15" l="1"/>
  <c r="AI3" i="15" s="1"/>
  <c r="AH3" i="15"/>
  <c r="L3" i="15"/>
  <c r="AB3" i="15"/>
  <c r="S3" i="15"/>
  <c r="V3" i="15"/>
  <c r="Q3" i="15"/>
  <c r="J17" i="36" a="1"/>
  <c r="BJ17" i="36" a="1"/>
  <c r="AW17" i="36" a="1"/>
  <c r="AF3" i="15" l="1"/>
  <c r="AD3" i="15"/>
  <c r="M3" i="15"/>
  <c r="G3" i="15"/>
  <c r="AJ3" i="15"/>
  <c r="N3" i="15"/>
  <c r="O3" i="15"/>
  <c r="J3" i="15"/>
  <c r="X3" i="15"/>
  <c r="AE3" i="15"/>
  <c r="AC3" i="15"/>
  <c r="F3" i="15"/>
  <c r="AG3" i="15"/>
  <c r="U3" i="15"/>
  <c r="R3" i="15"/>
  <c r="W3" i="15"/>
  <c r="AA3" i="15"/>
  <c r="K3" i="15"/>
  <c r="H3" i="15"/>
  <c r="T3" i="15"/>
  <c r="Z3" i="15"/>
  <c r="P3" i="15"/>
  <c r="AW17" i="36"/>
  <c r="J17" i="36"/>
  <c r="BJ17" i="36"/>
  <c r="E4" i="15" a="1"/>
  <c r="W17" i="36" a="1"/>
  <c r="BW17" i="36" a="1"/>
  <c r="W17" i="36" l="1"/>
  <c r="BW17" i="36"/>
  <c r="E4" i="15"/>
  <c r="AH4" i="15" s="1"/>
  <c r="L4" i="15"/>
  <c r="J4" i="15"/>
  <c r="G4" i="15"/>
  <c r="AJ4" i="15"/>
  <c r="Q4" i="15"/>
  <c r="R4" i="15"/>
  <c r="AI4" i="15"/>
  <c r="AF4" i="15"/>
  <c r="M4" i="15"/>
  <c r="O4" i="15"/>
  <c r="AB4" i="15"/>
  <c r="BW19" i="36" a="1"/>
  <c r="AD4" i="15" l="1"/>
  <c r="K4" i="15"/>
  <c r="Z4" i="15"/>
  <c r="AG4" i="15"/>
  <c r="X4" i="15"/>
  <c r="U4" i="15"/>
  <c r="F4" i="15"/>
  <c r="H4" i="15"/>
  <c r="V4" i="15"/>
  <c r="AA4" i="15"/>
  <c r="T4" i="15"/>
  <c r="P4" i="15"/>
  <c r="W4" i="15"/>
  <c r="N4" i="15"/>
  <c r="S4" i="15"/>
  <c r="AE4" i="15"/>
  <c r="AC4" i="15"/>
  <c r="BW19" i="36"/>
  <c r="BJ18" i="36" a="1"/>
  <c r="BJ19" i="36" a="1"/>
  <c r="E5" i="11" a="1"/>
  <c r="W18" i="36" a="1"/>
  <c r="J19" i="36" a="1"/>
  <c r="AW19" i="36" a="1"/>
  <c r="BW18" i="36" a="1"/>
  <c r="AW18" i="36" a="1"/>
  <c r="J18" i="36" a="1"/>
  <c r="W19" i="36" a="1"/>
  <c r="J18" i="36" l="1"/>
  <c r="AW19" i="36"/>
  <c r="AW18" i="36"/>
  <c r="J19" i="36"/>
  <c r="BJ19" i="36"/>
  <c r="BJ18" i="36"/>
  <c r="BW18" i="36"/>
  <c r="W19" i="36"/>
  <c r="W18" i="36"/>
  <c r="E5" i="11"/>
  <c r="Q5" i="11" s="1"/>
  <c r="S5" i="11"/>
  <c r="L5" i="11"/>
  <c r="AG5" i="11"/>
  <c r="E6" i="11" a="1"/>
  <c r="X5" i="11" l="1"/>
  <c r="O5" i="11"/>
  <c r="Z5" i="11"/>
  <c r="M5" i="11"/>
  <c r="AB5" i="11"/>
  <c r="AD5" i="11"/>
  <c r="AJ5" i="11"/>
  <c r="AE5" i="11"/>
  <c r="K5" i="11"/>
  <c r="AC5" i="11"/>
  <c r="W5" i="11"/>
  <c r="R5" i="11"/>
  <c r="E6" i="11"/>
  <c r="AE6" i="11" s="1"/>
  <c r="V5" i="11"/>
  <c r="F5" i="11"/>
  <c r="H5" i="11"/>
  <c r="P5" i="11"/>
  <c r="N5" i="11"/>
  <c r="T5" i="11"/>
  <c r="AI5" i="11"/>
  <c r="AA5" i="11"/>
  <c r="G5" i="11"/>
  <c r="AF5" i="11"/>
  <c r="J5" i="11"/>
  <c r="AH5" i="11"/>
  <c r="U5" i="11"/>
  <c r="AE7" i="11" l="1"/>
  <c r="AA6" i="11"/>
  <c r="AA7" i="11" s="1"/>
  <c r="W6" i="11"/>
  <c r="W7" i="11" s="1"/>
  <c r="AJ6" i="11"/>
  <c r="AJ7" i="11" s="1"/>
  <c r="K6" i="11"/>
  <c r="K7" i="11" s="1"/>
  <c r="O6" i="11"/>
  <c r="O7" i="11" s="1"/>
  <c r="AC6" i="11"/>
  <c r="AC7" i="11" s="1"/>
  <c r="AF6" i="11"/>
  <c r="AF7" i="11" s="1"/>
  <c r="H6" i="11"/>
  <c r="H7" i="11" s="1"/>
  <c r="T6" i="11"/>
  <c r="T7" i="11" s="1"/>
  <c r="AD6" i="11"/>
  <c r="S6" i="11"/>
  <c r="S7" i="11" s="1"/>
  <c r="J6" i="11"/>
  <c r="J7" i="11" s="1"/>
  <c r="AI6" i="11"/>
  <c r="AI7" i="11" s="1"/>
  <c r="G6" i="11"/>
  <c r="G7" i="11" s="1"/>
  <c r="P6" i="11"/>
  <c r="P7" i="11" s="1"/>
  <c r="Q6" i="11"/>
  <c r="Q7" i="11" s="1"/>
  <c r="R6" i="11"/>
  <c r="R7" i="11" s="1"/>
  <c r="V6" i="11"/>
  <c r="V7" i="11" s="1"/>
  <c r="AG6" i="11"/>
  <c r="AG7" i="11" s="1"/>
  <c r="U6" i="11"/>
  <c r="U7" i="11" s="1"/>
  <c r="AH6" i="11"/>
  <c r="AH7" i="11" s="1"/>
  <c r="F6" i="11"/>
  <c r="F7" i="11" s="1"/>
  <c r="L6" i="11"/>
  <c r="L7" i="11" s="1"/>
  <c r="M6" i="11"/>
  <c r="M7" i="11" s="1"/>
  <c r="X6" i="11"/>
  <c r="X7" i="11" s="1"/>
  <c r="AB6" i="11"/>
  <c r="AB7" i="11" s="1"/>
  <c r="Z6" i="11"/>
  <c r="Z7" i="11" s="1"/>
  <c r="N6" i="11"/>
  <c r="N7" i="11" s="1"/>
  <c r="G20" i="29" a="1"/>
  <c r="G16" i="29" a="1"/>
  <c r="S12" i="7" a="1"/>
  <c r="S14" i="7" a="1"/>
  <c r="G17" i="29" a="1"/>
  <c r="G15" i="29" a="1"/>
  <c r="Q12" i="28"/>
  <c r="E6" i="16" a="1"/>
  <c r="G21" i="29" a="1"/>
  <c r="Q18" i="28"/>
  <c r="G22" i="29" a="1"/>
  <c r="G14" i="29" a="1"/>
  <c r="G20" i="29" l="1"/>
  <c r="G34" i="29" s="1"/>
  <c r="G17" i="29"/>
  <c r="G31" i="29" s="1"/>
  <c r="G16" i="29"/>
  <c r="G30" i="29" s="1"/>
  <c r="S14" i="7"/>
  <c r="Q19" i="28"/>
  <c r="G22" i="29"/>
  <c r="G36" i="29" s="1"/>
  <c r="G14" i="29"/>
  <c r="G28" i="29" s="1"/>
  <c r="S12" i="7"/>
  <c r="S18" i="7" s="1"/>
  <c r="G21" i="29"/>
  <c r="G35" i="29" s="1"/>
  <c r="Q13" i="28"/>
  <c r="G15" i="29"/>
  <c r="G29" i="29" s="1"/>
  <c r="E6" i="16"/>
  <c r="M6" i="16"/>
  <c r="M7" i="16" s="1"/>
  <c r="W6" i="16"/>
  <c r="W7" i="16" s="1"/>
  <c r="AG6" i="16"/>
  <c r="AG7" i="16" s="1"/>
  <c r="AD7" i="11"/>
  <c r="W20" i="36" a="1"/>
  <c r="AW20" i="36" a="1"/>
  <c r="BW20" i="36" a="1"/>
  <c r="G18" i="29" a="1"/>
  <c r="J20" i="36" a="1"/>
  <c r="E4" i="13" a="1"/>
  <c r="BS21" i="36" a="1"/>
  <c r="BJ20" i="36" a="1"/>
  <c r="AI6" i="16" l="1"/>
  <c r="AI7" i="16" s="1"/>
  <c r="O6" i="16"/>
  <c r="O7" i="16" s="1"/>
  <c r="AB6" i="16"/>
  <c r="AB7" i="16" s="1"/>
  <c r="K6" i="16"/>
  <c r="K7" i="16" s="1"/>
  <c r="AF6" i="16"/>
  <c r="AF7" i="16" s="1"/>
  <c r="X6" i="16"/>
  <c r="X7" i="16" s="1"/>
  <c r="S6" i="16"/>
  <c r="S7" i="16" s="1"/>
  <c r="AA6" i="16"/>
  <c r="AA7" i="16" s="1"/>
  <c r="AJ6" i="16"/>
  <c r="AJ7" i="16" s="1"/>
  <c r="AD6" i="16"/>
  <c r="AD7" i="16" s="1"/>
  <c r="G6" i="16"/>
  <c r="G7" i="16" s="1"/>
  <c r="AE6" i="16"/>
  <c r="AE7" i="16" s="1"/>
  <c r="T6" i="16"/>
  <c r="T7" i="16" s="1"/>
  <c r="AC6" i="16"/>
  <c r="AC7" i="16" s="1"/>
  <c r="AH6" i="16"/>
  <c r="AH7" i="16" s="1"/>
  <c r="L6" i="16"/>
  <c r="L7" i="16" s="1"/>
  <c r="P6" i="16"/>
  <c r="P7" i="16" s="1"/>
  <c r="J6" i="16"/>
  <c r="J7" i="16" s="1"/>
  <c r="H6" i="16"/>
  <c r="H7" i="16" s="1"/>
  <c r="U6" i="16"/>
  <c r="U7" i="16" s="1"/>
  <c r="Z6" i="16"/>
  <c r="Z7" i="16" s="1"/>
  <c r="F6" i="16"/>
  <c r="F7" i="16" s="1"/>
  <c r="N6" i="16"/>
  <c r="N7" i="16" s="1"/>
  <c r="R6" i="16"/>
  <c r="R7" i="16" s="1"/>
  <c r="Q6" i="16"/>
  <c r="Q7" i="16" s="1"/>
  <c r="V6" i="16"/>
  <c r="V7" i="16" s="1"/>
  <c r="W20" i="36"/>
  <c r="W21" i="36" s="1"/>
  <c r="BJ20" i="36"/>
  <c r="BJ21" i="36" s="1"/>
  <c r="G18" i="29"/>
  <c r="G32" i="29" s="1"/>
  <c r="E4" i="13"/>
  <c r="AW20" i="36"/>
  <c r="AW21" i="36" s="1"/>
  <c r="BW20" i="36"/>
  <c r="J20" i="36"/>
  <c r="J21" i="36" s="1"/>
  <c r="BS21" i="36"/>
  <c r="V12" i="28"/>
  <c r="L20" i="29" a="1"/>
  <c r="BX21" i="36" a="1"/>
  <c r="L18" i="29" a="1"/>
  <c r="L14" i="29" a="1"/>
  <c r="L17" i="29" a="1"/>
  <c r="L21" i="29" a="1"/>
  <c r="L16" i="29" a="1"/>
  <c r="L15" i="29" a="1"/>
  <c r="V18" i="28" l="1"/>
  <c r="V19" i="28" s="1"/>
  <c r="L22" i="29" a="1"/>
  <c r="L22" i="29" s="1"/>
  <c r="L36" i="29" s="1"/>
  <c r="V13" i="28"/>
  <c r="BX21" i="36"/>
  <c r="L20" i="29"/>
  <c r="L34" i="29" s="1"/>
  <c r="L15" i="29"/>
  <c r="L29" i="29" s="1"/>
  <c r="L16" i="29"/>
  <c r="L30" i="29" s="1"/>
  <c r="L21" i="29"/>
  <c r="L35" i="29" s="1"/>
  <c r="L14" i="29"/>
  <c r="L28" i="29" s="1"/>
  <c r="L18" i="29"/>
  <c r="L32" i="29" s="1"/>
  <c r="L17" i="29"/>
  <c r="L31" i="29" s="1"/>
  <c r="H4" i="13"/>
  <c r="V4" i="13"/>
  <c r="Z4" i="13"/>
  <c r="Q4" i="13"/>
  <c r="F4" i="13"/>
  <c r="AI4" i="13"/>
  <c r="AC4" i="13"/>
  <c r="AG4" i="13"/>
  <c r="R4" i="13"/>
  <c r="X4" i="13"/>
  <c r="L4" i="13"/>
  <c r="G4" i="13"/>
  <c r="U4" i="13"/>
  <c r="T4" i="13"/>
  <c r="AJ4" i="13"/>
  <c r="AA4" i="13"/>
  <c r="O4" i="13"/>
  <c r="AE4" i="13"/>
  <c r="AF4" i="13"/>
  <c r="S4" i="13"/>
  <c r="P4" i="13"/>
  <c r="K4" i="13"/>
  <c r="AB4" i="13"/>
  <c r="W4" i="13"/>
  <c r="M4" i="13"/>
  <c r="AD4" i="13"/>
  <c r="AH4" i="13"/>
  <c r="J4" i="13"/>
  <c r="N4" i="13"/>
  <c r="E3" i="8" l="1" a="1"/>
  <c r="E3" i="9" a="1"/>
  <c r="E3" i="10" a="1"/>
  <c r="E3" i="17" a="1"/>
  <c r="E5" i="14" a="1"/>
  <c r="E5" i="12" a="1"/>
  <c r="E5" i="15" a="1"/>
  <c r="E5" i="13" a="1"/>
  <c r="E5" i="13" l="1"/>
  <c r="E5" i="15"/>
  <c r="E5" i="12"/>
  <c r="E5" i="14"/>
  <c r="E3" i="17"/>
  <c r="E3" i="10"/>
  <c r="E3" i="9"/>
  <c r="E3" i="8"/>
  <c r="S5" i="15" l="1"/>
  <c r="U5" i="15"/>
  <c r="R5" i="15"/>
  <c r="K5" i="15"/>
  <c r="AF5" i="15"/>
  <c r="AE5" i="15"/>
  <c r="AJ5" i="15"/>
  <c r="AI5" i="15"/>
  <c r="J5" i="15"/>
  <c r="AG5" i="15"/>
  <c r="M5" i="15"/>
  <c r="AC5" i="15"/>
  <c r="P5" i="15"/>
  <c r="AA5" i="15"/>
  <c r="AD5" i="15"/>
  <c r="H5" i="15"/>
  <c r="Z5" i="15"/>
  <c r="G5" i="15"/>
  <c r="O5" i="15"/>
  <c r="W5" i="15"/>
  <c r="Q5" i="15"/>
  <c r="V5" i="15"/>
  <c r="N5" i="15"/>
  <c r="L5" i="15"/>
  <c r="X5" i="15"/>
  <c r="F5" i="15"/>
  <c r="T5" i="15"/>
  <c r="AB5" i="15"/>
  <c r="AH5" i="15"/>
  <c r="V3" i="8"/>
  <c r="U3" i="8"/>
  <c r="AC3" i="8"/>
  <c r="P3" i="8"/>
  <c r="AG3" i="8"/>
  <c r="O3" i="8"/>
  <c r="X3" i="8"/>
  <c r="K3" i="8"/>
  <c r="L3" i="8"/>
  <c r="G3" i="8"/>
  <c r="T3" i="8"/>
  <c r="W3" i="8"/>
  <c r="R3" i="8"/>
  <c r="AA3" i="8"/>
  <c r="J3" i="8"/>
  <c r="S3" i="8"/>
  <c r="F3" i="8"/>
  <c r="AF3" i="8"/>
  <c r="AH3" i="8"/>
  <c r="H3" i="8"/>
  <c r="AB3" i="8"/>
  <c r="AI3" i="8"/>
  <c r="AJ3" i="8"/>
  <c r="N3" i="8"/>
  <c r="AE3" i="8"/>
  <c r="M3" i="8"/>
  <c r="Z3" i="8"/>
  <c r="AD3" i="8"/>
  <c r="Q3" i="8"/>
  <c r="V3" i="9"/>
  <c r="F3" i="9"/>
  <c r="AE3" i="9"/>
  <c r="U3" i="9"/>
  <c r="AC3" i="9"/>
  <c r="AG3" i="9"/>
  <c r="R3" i="9"/>
  <c r="O3" i="9"/>
  <c r="P3" i="9"/>
  <c r="X3" i="9"/>
  <c r="AA3" i="9"/>
  <c r="AD3" i="9"/>
  <c r="J3" i="9"/>
  <c r="M3" i="9"/>
  <c r="W3" i="9"/>
  <c r="AH3" i="9"/>
  <c r="Z3" i="9"/>
  <c r="G3" i="9"/>
  <c r="N3" i="9"/>
  <c r="H3" i="9"/>
  <c r="T3" i="9"/>
  <c r="AB3" i="9"/>
  <c r="K3" i="9"/>
  <c r="Q3" i="9"/>
  <c r="S3" i="9"/>
  <c r="AF3" i="9"/>
  <c r="L3" i="9"/>
  <c r="AJ3" i="9"/>
  <c r="AI3" i="9"/>
  <c r="Z3" i="10"/>
  <c r="X3" i="10"/>
  <c r="H3" i="10"/>
  <c r="V3" i="10"/>
  <c r="R3" i="10"/>
  <c r="S3" i="10"/>
  <c r="U3" i="10"/>
  <c r="AD3" i="10"/>
  <c r="O3" i="10"/>
  <c r="L3" i="10"/>
  <c r="F3" i="10"/>
  <c r="T3" i="10"/>
  <c r="Q3" i="10"/>
  <c r="AE3" i="10"/>
  <c r="N3" i="10"/>
  <c r="AG3" i="10"/>
  <c r="AI3" i="10"/>
  <c r="AA3" i="10"/>
  <c r="AH3" i="10"/>
  <c r="M3" i="10"/>
  <c r="G3" i="10"/>
  <c r="AF3" i="10"/>
  <c r="AC3" i="10"/>
  <c r="AJ3" i="10"/>
  <c r="J3" i="10"/>
  <c r="P3" i="10"/>
  <c r="W3" i="10"/>
  <c r="AB3" i="10"/>
  <c r="K3" i="10"/>
  <c r="G3" i="17"/>
  <c r="T3" i="17"/>
  <c r="L3" i="17"/>
  <c r="X3" i="17"/>
  <c r="W3" i="17"/>
  <c r="AB3" i="17"/>
  <c r="AG3" i="17"/>
  <c r="F3" i="17"/>
  <c r="M3" i="17"/>
  <c r="AI3" i="17"/>
  <c r="AF3" i="17"/>
  <c r="AJ3" i="17"/>
  <c r="O3" i="17"/>
  <c r="AH3" i="17"/>
  <c r="N3" i="17"/>
  <c r="Z3" i="17"/>
  <c r="AC3" i="17"/>
  <c r="K3" i="17"/>
  <c r="V3" i="17"/>
  <c r="AE3" i="17"/>
  <c r="H3" i="17"/>
  <c r="AA3" i="17"/>
  <c r="S3" i="17"/>
  <c r="J3" i="17"/>
  <c r="P3" i="17"/>
  <c r="R3" i="17"/>
  <c r="AD3" i="17"/>
  <c r="Q3" i="17"/>
  <c r="U3" i="17"/>
  <c r="X5" i="14"/>
  <c r="Q5" i="14"/>
  <c r="G5" i="14"/>
  <c r="AE5" i="14"/>
  <c r="AH5" i="14"/>
  <c r="F5" i="14"/>
  <c r="S5" i="14"/>
  <c r="AG5" i="14"/>
  <c r="W5" i="14"/>
  <c r="AI5" i="14"/>
  <c r="K5" i="14"/>
  <c r="P5" i="14"/>
  <c r="N5" i="14"/>
  <c r="AJ5" i="14"/>
  <c r="AD5" i="14"/>
  <c r="U5" i="14"/>
  <c r="L5" i="14"/>
  <c r="AF5" i="14"/>
  <c r="O5" i="14"/>
  <c r="Z5" i="14"/>
  <c r="AB5" i="14"/>
  <c r="AC5" i="14"/>
  <c r="V5" i="14"/>
  <c r="T5" i="14"/>
  <c r="H5" i="14"/>
  <c r="R5" i="14"/>
  <c r="M5" i="14"/>
  <c r="AA5" i="14"/>
  <c r="J5" i="14"/>
  <c r="AE5" i="12"/>
  <c r="AG5" i="12"/>
  <c r="O5" i="12"/>
  <c r="R5" i="12"/>
  <c r="M5" i="12"/>
  <c r="J5" i="12"/>
  <c r="Z5" i="12"/>
  <c r="F5" i="12"/>
  <c r="AH5" i="12"/>
  <c r="L5" i="12"/>
  <c r="H5" i="12"/>
  <c r="V5" i="12"/>
  <c r="AI5" i="12"/>
  <c r="N5" i="12"/>
  <c r="P5" i="12"/>
  <c r="AC5" i="12"/>
  <c r="AD5" i="12"/>
  <c r="AF5" i="12"/>
  <c r="S5" i="12"/>
  <c r="W5" i="12"/>
  <c r="T5" i="12"/>
  <c r="U5" i="12"/>
  <c r="AJ5" i="12"/>
  <c r="K5" i="12"/>
  <c r="Q5" i="12"/>
  <c r="AA5" i="12"/>
  <c r="X5" i="12"/>
  <c r="AB5" i="12"/>
  <c r="G5" i="12"/>
  <c r="AB5" i="13"/>
  <c r="O5" i="13"/>
  <c r="R5" i="13"/>
  <c r="M5" i="13"/>
  <c r="AF5" i="13"/>
  <c r="S5" i="13"/>
  <c r="F5" i="13"/>
  <c r="AC5" i="13"/>
  <c r="AH5" i="13"/>
  <c r="U5" i="13"/>
  <c r="AG5" i="13"/>
  <c r="G5" i="13"/>
  <c r="AE5" i="13"/>
  <c r="AI5" i="13"/>
  <c r="L5" i="13"/>
  <c r="T5" i="13"/>
  <c r="J5" i="13"/>
  <c r="Q5" i="13"/>
  <c r="V5" i="13"/>
  <c r="AD5" i="13"/>
  <c r="AJ5" i="13"/>
  <c r="H5" i="13"/>
  <c r="K5" i="13"/>
  <c r="AA5" i="13"/>
  <c r="P5" i="13"/>
  <c r="Z5" i="13"/>
  <c r="N5" i="13"/>
  <c r="W5" i="13"/>
  <c r="X5" i="13"/>
  <c r="AP17" i="36" a="1"/>
  <c r="AP19" i="36" a="1"/>
  <c r="AP20" i="36" a="1"/>
  <c r="AP18" i="36" a="1"/>
  <c r="BR19" i="36" a="1"/>
  <c r="BR17" i="36" a="1"/>
  <c r="BR18" i="36" a="1"/>
  <c r="BR20" i="36" a="1"/>
  <c r="BC17" i="36" a="1"/>
  <c r="BC18" i="36" a="1"/>
  <c r="BC20" i="36" a="1"/>
  <c r="BC19" i="36" a="1"/>
  <c r="AR17" i="36" a="1"/>
  <c r="AR19" i="36" a="1"/>
  <c r="AR18" i="36" a="1"/>
  <c r="AR20" i="36" a="1"/>
  <c r="L17" i="36" a="1"/>
  <c r="L18" i="36" a="1"/>
  <c r="L19" i="36" a="1"/>
  <c r="L20" i="36" a="1"/>
  <c r="BP17" i="36" a="1"/>
  <c r="BP18" i="36" a="1"/>
  <c r="BP19" i="36" a="1"/>
  <c r="BP20" i="36" a="1"/>
  <c r="BD18" i="36" a="1"/>
  <c r="BD19" i="36" a="1"/>
  <c r="BD17" i="36" a="1"/>
  <c r="BD20" i="36" a="1"/>
  <c r="R18" i="36" a="1"/>
  <c r="R19" i="36" a="1"/>
  <c r="R17" i="36" a="1"/>
  <c r="R20" i="36" a="1"/>
  <c r="P17" i="36" a="1"/>
  <c r="P18" i="36" a="1"/>
  <c r="P20" i="36" a="1"/>
  <c r="P19" i="36" a="1"/>
  <c r="BQ17" i="36" a="1"/>
  <c r="BQ18" i="36" a="1"/>
  <c r="BQ19" i="36" a="1"/>
  <c r="BQ20" i="36" a="1"/>
  <c r="BE19" i="36" a="1"/>
  <c r="BE17" i="36" a="1"/>
  <c r="BE18" i="36" a="1"/>
  <c r="BE20" i="36" a="1"/>
  <c r="Y17" i="36" a="1"/>
  <c r="Y19" i="36" a="1"/>
  <c r="Y18" i="36" a="1"/>
  <c r="Y20" i="36" a="1"/>
  <c r="AY19" i="36" a="1"/>
  <c r="AY17" i="36" a="1"/>
  <c r="AY18" i="36" a="1"/>
  <c r="AY20" i="36" a="1"/>
  <c r="D19" i="36" a="1"/>
  <c r="D17" i="36" a="1"/>
  <c r="D18" i="36" a="1"/>
  <c r="D20" i="36" a="1"/>
  <c r="E18" i="36" a="1"/>
  <c r="E17" i="36" a="1"/>
  <c r="E19" i="36" a="1"/>
  <c r="E20" i="36" a="1"/>
  <c r="Q19" i="36" a="1"/>
  <c r="Q17" i="36" a="1"/>
  <c r="Q18" i="36" a="1"/>
  <c r="Q20" i="36" a="1"/>
  <c r="C17" i="36" a="1"/>
  <c r="C19" i="36" a="1"/>
  <c r="C18" i="36" a="1"/>
  <c r="C20" i="36" a="1"/>
  <c r="BL18" i="36" a="1"/>
  <c r="BL17" i="36" a="1"/>
  <c r="BL19" i="36" a="1"/>
  <c r="BL20" i="36" a="1"/>
  <c r="AQ19" i="36" a="1"/>
  <c r="AQ17" i="36" a="1"/>
  <c r="AQ18" i="36" a="1"/>
  <c r="AQ20" i="36" a="1"/>
  <c r="BY19" i="36" a="1"/>
  <c r="BY17" i="36" a="1"/>
  <c r="BY18" i="36" a="1"/>
  <c r="BY20" i="36" a="1"/>
  <c r="BY20" i="36" l="1"/>
  <c r="BY18" i="36"/>
  <c r="BY17" i="36"/>
  <c r="BY19" i="36"/>
  <c r="AQ20" i="36"/>
  <c r="AQ18" i="36"/>
  <c r="AQ17" i="36"/>
  <c r="AQ19" i="36"/>
  <c r="BL20" i="36"/>
  <c r="BL19" i="36"/>
  <c r="BL17" i="36"/>
  <c r="BL18" i="36"/>
  <c r="C20" i="36"/>
  <c r="C18" i="36"/>
  <c r="C19" i="36"/>
  <c r="C17" i="36"/>
  <c r="Q20" i="36"/>
  <c r="Q18" i="36"/>
  <c r="Q17" i="36"/>
  <c r="Q19" i="36"/>
  <c r="E20" i="36"/>
  <c r="E19" i="36"/>
  <c r="E17" i="36"/>
  <c r="E18" i="36"/>
  <c r="D20" i="36"/>
  <c r="D18" i="36"/>
  <c r="D17" i="36"/>
  <c r="D19" i="36"/>
  <c r="AY20" i="36"/>
  <c r="AY18" i="36"/>
  <c r="AY17" i="36"/>
  <c r="AY19" i="36"/>
  <c r="Y20" i="36"/>
  <c r="Y18" i="36"/>
  <c r="Y19" i="36"/>
  <c r="Y17" i="36"/>
  <c r="BE20" i="36"/>
  <c r="BE18" i="36"/>
  <c r="BE17" i="36"/>
  <c r="BE19" i="36"/>
  <c r="BQ20" i="36"/>
  <c r="BQ19" i="36"/>
  <c r="BQ18" i="36"/>
  <c r="BQ17" i="36"/>
  <c r="P19" i="36"/>
  <c r="P20" i="36"/>
  <c r="P18" i="36"/>
  <c r="P17" i="36"/>
  <c r="R20" i="36"/>
  <c r="R17" i="36"/>
  <c r="R19" i="36"/>
  <c r="R18" i="36"/>
  <c r="BD20" i="36"/>
  <c r="BD17" i="36"/>
  <c r="BD19" i="36"/>
  <c r="BD18" i="36"/>
  <c r="BP20" i="36"/>
  <c r="BP19" i="36"/>
  <c r="BP18" i="36"/>
  <c r="BP17" i="36"/>
  <c r="L20" i="36"/>
  <c r="L19" i="36"/>
  <c r="L18" i="36"/>
  <c r="L17" i="36"/>
  <c r="AR20" i="36"/>
  <c r="AR18" i="36"/>
  <c r="AR19" i="36"/>
  <c r="AR17" i="36"/>
  <c r="BC19" i="36"/>
  <c r="BC20" i="36"/>
  <c r="BC18" i="36"/>
  <c r="BC17" i="36"/>
  <c r="BR20" i="36"/>
  <c r="BR18" i="36"/>
  <c r="BR17" i="36"/>
  <c r="BR19" i="36"/>
  <c r="AP18" i="36"/>
  <c r="AP20" i="36"/>
  <c r="AP19" i="36"/>
  <c r="AP17" i="36"/>
  <c r="BA17" i="36" l="1"/>
  <c r="AA19" i="36"/>
  <c r="AA20" i="36"/>
  <c r="CA18" i="36"/>
  <c r="AA18" i="36"/>
  <c r="N19" i="36"/>
  <c r="CA20" i="36"/>
  <c r="AR21" i="36"/>
  <c r="Y21" i="36"/>
  <c r="E21" i="36"/>
  <c r="BA19" i="36"/>
  <c r="CA17" i="36"/>
  <c r="N17" i="36"/>
  <c r="BA18" i="36"/>
  <c r="P21" i="36"/>
  <c r="AA17" i="36"/>
  <c r="AP21" i="36"/>
  <c r="BA20" i="36"/>
  <c r="BL21" i="36"/>
  <c r="AY21" i="36"/>
  <c r="L21" i="36"/>
  <c r="BN18" i="36"/>
  <c r="AQ21" i="36"/>
  <c r="N18" i="36"/>
  <c r="C21" i="36"/>
  <c r="N20" i="36"/>
  <c r="BE21" i="36"/>
  <c r="BN20" i="36"/>
  <c r="BN19" i="36"/>
  <c r="Q21" i="36"/>
  <c r="D21" i="36"/>
  <c r="CA19" i="36"/>
  <c r="BN17" i="36"/>
  <c r="BC21" i="36"/>
  <c r="BD21" i="36"/>
  <c r="R21" i="36"/>
  <c r="CA21" i="36" l="1"/>
  <c r="AA21" i="36"/>
  <c r="N21" i="36"/>
  <c r="BN21" i="36"/>
  <c r="BA21" i="36"/>
  <c r="E4" i="10" l="1" a="1"/>
  <c r="E4" i="10" s="1"/>
  <c r="E4" i="8" a="1"/>
  <c r="E5" i="10" l="1" a="1"/>
  <c r="E5" i="10" s="1"/>
  <c r="E6" i="10" s="1" a="1"/>
  <c r="E6" i="10" s="1"/>
  <c r="X4" i="10"/>
  <c r="AF4" i="10"/>
  <c r="AD4" i="10"/>
  <c r="AB4" i="10"/>
  <c r="T4" i="10"/>
  <c r="W4" i="10"/>
  <c r="AA4" i="10"/>
  <c r="AI4" i="10"/>
  <c r="Z4" i="10"/>
  <c r="P4" i="10"/>
  <c r="H4" i="10"/>
  <c r="J4" i="10"/>
  <c r="AC4" i="10"/>
  <c r="S4" i="10"/>
  <c r="R4" i="10"/>
  <c r="G4" i="10"/>
  <c r="AJ4" i="10"/>
  <c r="AG4" i="10"/>
  <c r="AE4" i="10"/>
  <c r="N4" i="10"/>
  <c r="O4" i="10"/>
  <c r="U4" i="10"/>
  <c r="F4" i="10"/>
  <c r="V4" i="10"/>
  <c r="Q4" i="10"/>
  <c r="AH4" i="10"/>
  <c r="M4" i="10"/>
  <c r="K4" i="10"/>
  <c r="L4" i="10"/>
  <c r="E4" i="8"/>
  <c r="T4" i="8"/>
  <c r="E6" i="12" a="1"/>
  <c r="AI4" i="8" l="1"/>
  <c r="Q4" i="8"/>
  <c r="P4" i="8"/>
  <c r="AI6" i="10"/>
  <c r="P6" i="10"/>
  <c r="G6" i="10"/>
  <c r="Z6" i="10"/>
  <c r="AF6" i="10"/>
  <c r="AC6" i="10"/>
  <c r="AB6" i="10"/>
  <c r="U6" i="10"/>
  <c r="M6" i="10"/>
  <c r="N6" i="10"/>
  <c r="K6" i="10"/>
  <c r="Q6" i="10"/>
  <c r="AE6" i="10"/>
  <c r="L6" i="10"/>
  <c r="O6" i="10"/>
  <c r="AJ6" i="10"/>
  <c r="AA6" i="10"/>
  <c r="AH6" i="10"/>
  <c r="V6" i="10"/>
  <c r="W6" i="10"/>
  <c r="AG6" i="10"/>
  <c r="X6" i="10"/>
  <c r="T6" i="10"/>
  <c r="F6" i="10"/>
  <c r="J6" i="10"/>
  <c r="H6" i="10"/>
  <c r="R6" i="10"/>
  <c r="AD6" i="10"/>
  <c r="S6" i="10"/>
  <c r="L5" i="10"/>
  <c r="H5" i="10"/>
  <c r="G5" i="10"/>
  <c r="G7" i="10" s="1"/>
  <c r="X5" i="10"/>
  <c r="X7" i="10" s="1"/>
  <c r="K5" i="10"/>
  <c r="T5" i="10"/>
  <c r="T7" i="10" s="1"/>
  <c r="AI5" i="10"/>
  <c r="AI7" i="10" s="1"/>
  <c r="AH5" i="10"/>
  <c r="AJ5" i="10"/>
  <c r="AJ7" i="10" s="1"/>
  <c r="R5" i="10"/>
  <c r="R7" i="10" s="1"/>
  <c r="Z5" i="10"/>
  <c r="AB5" i="10"/>
  <c r="AE5" i="10"/>
  <c r="AF5" i="10"/>
  <c r="M5" i="10"/>
  <c r="W5" i="10"/>
  <c r="W7" i="10" s="1"/>
  <c r="F5" i="10"/>
  <c r="F7" i="10" s="1"/>
  <c r="AA5" i="10"/>
  <c r="AA7" i="10" s="1"/>
  <c r="O5" i="10"/>
  <c r="N5" i="10"/>
  <c r="U5" i="10"/>
  <c r="J5" i="10"/>
  <c r="J7" i="10" s="1"/>
  <c r="AG5" i="10"/>
  <c r="AG7" i="10" s="1"/>
  <c r="P5" i="10"/>
  <c r="P7" i="10" s="1"/>
  <c r="AC5" i="10"/>
  <c r="V5" i="10"/>
  <c r="Q5" i="10"/>
  <c r="AD5" i="10"/>
  <c r="S5" i="10"/>
  <c r="AA4" i="8"/>
  <c r="AE4" i="8"/>
  <c r="W4" i="8"/>
  <c r="AG4" i="8"/>
  <c r="K4" i="8"/>
  <c r="G4" i="8"/>
  <c r="F4" i="8"/>
  <c r="AF4" i="8"/>
  <c r="AC4" i="8"/>
  <c r="AH4" i="8"/>
  <c r="M4" i="8"/>
  <c r="AB4" i="8"/>
  <c r="H4" i="8"/>
  <c r="V4" i="8"/>
  <c r="N4" i="8"/>
  <c r="O4" i="8"/>
  <c r="Z4" i="8"/>
  <c r="L4" i="8"/>
  <c r="X4" i="8"/>
  <c r="J4" i="8"/>
  <c r="S4" i="8"/>
  <c r="U4" i="8"/>
  <c r="AD4" i="8"/>
  <c r="AJ4" i="8"/>
  <c r="R4" i="8"/>
  <c r="E6" i="12"/>
  <c r="H7" i="10" l="1"/>
  <c r="AF7" i="10"/>
  <c r="AD7" i="10"/>
  <c r="S7" i="10"/>
  <c r="Z7" i="10"/>
  <c r="AA6" i="12"/>
  <c r="AA7" i="12" s="1"/>
  <c r="H6" i="12"/>
  <c r="H7" i="12" s="1"/>
  <c r="H15" i="29" s="1" a="1"/>
  <c r="H15" i="29" s="1"/>
  <c r="H29" i="29" s="1"/>
  <c r="T6" i="12"/>
  <c r="T7" i="12" s="1"/>
  <c r="AE6" i="12"/>
  <c r="AE7" i="12" s="1"/>
  <c r="U6" i="12"/>
  <c r="U7" i="12" s="1"/>
  <c r="Z6" i="12"/>
  <c r="Z7" i="12" s="1"/>
  <c r="W6" i="12"/>
  <c r="W7" i="12" s="1"/>
  <c r="Q6" i="12"/>
  <c r="Q7" i="12" s="1"/>
  <c r="AF6" i="12"/>
  <c r="AF7" i="12" s="1"/>
  <c r="G6" i="12"/>
  <c r="G7" i="12" s="1"/>
  <c r="J6" i="12"/>
  <c r="O6" i="12"/>
  <c r="O7" i="12" s="1"/>
  <c r="AC6" i="12"/>
  <c r="AC7" i="12" s="1"/>
  <c r="R6" i="12"/>
  <c r="R7" i="12" s="1"/>
  <c r="AB6" i="12"/>
  <c r="AB7" i="12" s="1"/>
  <c r="AD6" i="12"/>
  <c r="AD7" i="12" s="1"/>
  <c r="AJ6" i="12"/>
  <c r="AJ7" i="12" s="1"/>
  <c r="L6" i="12"/>
  <c r="L7" i="12" s="1"/>
  <c r="K6" i="12"/>
  <c r="K7" i="12" s="1"/>
  <c r="X6" i="12"/>
  <c r="X7" i="12" s="1"/>
  <c r="AH6" i="12"/>
  <c r="AH7" i="12" s="1"/>
  <c r="M6" i="12"/>
  <c r="M7" i="12" s="1"/>
  <c r="AI6" i="12"/>
  <c r="AI7" i="12" s="1"/>
  <c r="N6" i="12"/>
  <c r="N7" i="12" s="1"/>
  <c r="AG6" i="12"/>
  <c r="AG7" i="12" s="1"/>
  <c r="P6" i="12"/>
  <c r="P7" i="12" s="1"/>
  <c r="F6" i="12"/>
  <c r="F7" i="12" s="1"/>
  <c r="V6" i="12"/>
  <c r="V7" i="12" s="1"/>
  <c r="S6" i="12"/>
  <c r="S7" i="12" s="1"/>
  <c r="E5" i="8" a="1"/>
  <c r="E5" i="8" s="1"/>
  <c r="F22" i="29" a="1"/>
  <c r="F22" i="29" s="1"/>
  <c r="F36" i="29" s="1"/>
  <c r="R18" i="28"/>
  <c r="R19" i="28" s="1"/>
  <c r="F14" i="29" a="1"/>
  <c r="F14" i="29" s="1"/>
  <c r="F28" i="29" s="1"/>
  <c r="R12" i="28"/>
  <c r="R13" i="28" s="1"/>
  <c r="H20" i="29" a="1"/>
  <c r="H20" i="29" s="1"/>
  <c r="H34" i="29" s="1"/>
  <c r="F15" i="29" a="1"/>
  <c r="F15" i="29" s="1"/>
  <c r="F29" i="29" s="1"/>
  <c r="F16" i="29" a="1"/>
  <c r="F16" i="29" s="1"/>
  <c r="F30" i="29" s="1"/>
  <c r="P18" i="28"/>
  <c r="P19" i="28" s="1"/>
  <c r="E6" i="15" a="1"/>
  <c r="E6" i="15" s="1"/>
  <c r="AG6" i="15" s="1"/>
  <c r="AG7" i="15" s="1"/>
  <c r="U5" i="8" l="1"/>
  <c r="L5" i="8"/>
  <c r="AD5" i="8"/>
  <c r="K5" i="8"/>
  <c r="AC5" i="8"/>
  <c r="AB5" i="8"/>
  <c r="Z5" i="8"/>
  <c r="N5" i="8"/>
  <c r="J5" i="8"/>
  <c r="AI5" i="8"/>
  <c r="Q5" i="8"/>
  <c r="V5" i="8"/>
  <c r="AH5" i="8"/>
  <c r="AE5" i="8"/>
  <c r="P5" i="8"/>
  <c r="G5" i="8"/>
  <c r="AA5" i="8"/>
  <c r="AJ5" i="8"/>
  <c r="AI6" i="15"/>
  <c r="AI7" i="15" s="1"/>
  <c r="O6" i="15"/>
  <c r="O7" i="15" s="1"/>
  <c r="P6" i="15"/>
  <c r="P7" i="15" s="1"/>
  <c r="N6" i="15"/>
  <c r="N7" i="15" s="1"/>
  <c r="AJ6" i="15"/>
  <c r="AJ7" i="15" s="1"/>
  <c r="AF6" i="15"/>
  <c r="AF7" i="15" s="1"/>
  <c r="U18" i="28"/>
  <c r="K22" i="29" a="1"/>
  <c r="U19" i="28" l="1"/>
  <c r="K22" i="29"/>
  <c r="K36" i="29"/>
  <c r="R6" i="15"/>
  <c r="R7" i="15" s="1"/>
  <c r="X6" i="15"/>
  <c r="X7" i="15" s="1"/>
  <c r="AC6" i="15"/>
  <c r="AC7" i="15" s="1"/>
  <c r="F6" i="15"/>
  <c r="F7" i="15" s="1"/>
  <c r="AD6" i="15"/>
  <c r="AD7" i="15" s="1"/>
  <c r="AH6" i="15"/>
  <c r="AH7" i="15" s="1"/>
  <c r="H6" i="15"/>
  <c r="H7" i="15" s="1"/>
  <c r="K15" i="29" a="1"/>
  <c r="K15" i="29" s="1"/>
  <c r="K29" i="29" s="1"/>
  <c r="Z6" i="15"/>
  <c r="Z7" i="15" s="1"/>
  <c r="T6" i="15"/>
  <c r="T7" i="15" s="1"/>
  <c r="Q6" i="15"/>
  <c r="Q7" i="15" s="1"/>
  <c r="M6" i="15"/>
  <c r="M7" i="15" s="1"/>
  <c r="G6" i="15"/>
  <c r="G7" i="15" s="1"/>
  <c r="S6" i="15"/>
  <c r="S7" i="15" s="1"/>
  <c r="V6" i="15"/>
  <c r="V7" i="15" s="1"/>
  <c r="K17" i="29" a="1"/>
  <c r="K17" i="29" s="1"/>
  <c r="K31" i="29" s="1"/>
  <c r="AB6" i="15"/>
  <c r="AB7" i="15" s="1"/>
  <c r="AE6" i="15"/>
  <c r="AE7" i="15" s="1"/>
  <c r="W6" i="15"/>
  <c r="W7" i="15" s="1"/>
  <c r="J6" i="15"/>
  <c r="J7" i="15" s="1"/>
  <c r="K16" i="29" a="1"/>
  <c r="K16" i="29" s="1"/>
  <c r="K30" i="29" s="1"/>
  <c r="U6" i="15"/>
  <c r="U7" i="15" s="1"/>
  <c r="L6" i="15"/>
  <c r="L7" i="15" s="1"/>
  <c r="AA6" i="15"/>
  <c r="AA7" i="15" s="1"/>
  <c r="K6" i="15"/>
  <c r="K7" i="15" s="1"/>
  <c r="H18" i="29" a="1"/>
  <c r="H18" i="29" s="1"/>
  <c r="H32" i="29" s="1"/>
  <c r="M5" i="8"/>
  <c r="R5" i="8"/>
  <c r="F5" i="8"/>
  <c r="H5" i="8"/>
  <c r="T5" i="8"/>
  <c r="AG5" i="8"/>
  <c r="O5" i="8"/>
  <c r="S5" i="8"/>
  <c r="AF5" i="8"/>
  <c r="X5" i="8"/>
  <c r="W5" i="8"/>
  <c r="H21" i="29" a="1"/>
  <c r="H21" i="29" s="1"/>
  <c r="H35" i="29" s="1"/>
  <c r="H14" i="29" a="1"/>
  <c r="H14" i="29" s="1"/>
  <c r="H28" i="29" s="1"/>
  <c r="F20" i="29" a="1"/>
  <c r="F20" i="29" s="1"/>
  <c r="F34" i="29" s="1"/>
  <c r="H22" i="29" a="1"/>
  <c r="H22" i="29" s="1"/>
  <c r="H36" i="29" s="1"/>
  <c r="U12" i="28"/>
  <c r="U13" i="28" s="1"/>
  <c r="K18" i="29" a="1"/>
  <c r="K18" i="29" s="1"/>
  <c r="K32" i="29" s="1"/>
  <c r="K21" i="29" a="1"/>
  <c r="K21" i="29" s="1"/>
  <c r="K35" i="29" s="1"/>
  <c r="F18" i="29" a="1"/>
  <c r="F18" i="29" s="1"/>
  <c r="F32" i="29" s="1"/>
  <c r="H17" i="29" a="1"/>
  <c r="H17" i="29" s="1"/>
  <c r="H31" i="29" s="1"/>
  <c r="K20" i="29" a="1"/>
  <c r="K20" i="29" s="1"/>
  <c r="K34" i="29" s="1"/>
  <c r="E6" i="14" a="1"/>
  <c r="E6" i="14" s="1"/>
  <c r="K14" i="29" a="1"/>
  <c r="K14" i="29" s="1"/>
  <c r="K28" i="29" s="1"/>
  <c r="E4" i="17" a="1"/>
  <c r="E4" i="17" s="1"/>
  <c r="AJ6" i="14" l="1"/>
  <c r="AC6" i="14"/>
  <c r="AC7" i="14" s="1"/>
  <c r="T6" i="14"/>
  <c r="T7" i="14" s="1"/>
  <c r="AA6" i="14"/>
  <c r="AA7" i="14" s="1"/>
  <c r="J20" i="29" s="1" a="1"/>
  <c r="J20" i="29" s="1"/>
  <c r="J34" i="29" s="1"/>
  <c r="W6" i="14"/>
  <c r="W7" i="14" s="1"/>
  <c r="P6" i="14"/>
  <c r="P7" i="14" s="1"/>
  <c r="O6" i="14"/>
  <c r="O7" i="14" s="1"/>
  <c r="S6" i="14"/>
  <c r="S7" i="14" s="1"/>
  <c r="Q6" i="14"/>
  <c r="Q7" i="14" s="1"/>
  <c r="K6" i="14"/>
  <c r="K7" i="14" s="1"/>
  <c r="N6" i="14"/>
  <c r="N7" i="14" s="1"/>
  <c r="X6" i="14"/>
  <c r="X7" i="14" s="1"/>
  <c r="V6" i="14"/>
  <c r="V7" i="14" s="1"/>
  <c r="J17" i="29" s="1" a="1"/>
  <c r="J17" i="29" s="1"/>
  <c r="J31" i="29" s="1"/>
  <c r="AF6" i="14"/>
  <c r="AF7" i="14" s="1"/>
  <c r="AI6" i="14"/>
  <c r="AI7" i="14" s="1"/>
  <c r="Z6" i="14"/>
  <c r="Z7" i="14" s="1"/>
  <c r="R6" i="14"/>
  <c r="R7" i="14" s="1"/>
  <c r="J6" i="14"/>
  <c r="L6" i="14"/>
  <c r="F6" i="14"/>
  <c r="F7" i="14" s="1"/>
  <c r="M6" i="14"/>
  <c r="G6" i="14"/>
  <c r="G7" i="14" s="1"/>
  <c r="J14" i="29" s="1" a="1"/>
  <c r="J14" i="29" s="1"/>
  <c r="J28" i="29" s="1"/>
  <c r="AG6" i="14"/>
  <c r="H6" i="14"/>
  <c r="H7" i="14" s="1"/>
  <c r="J15" i="29" s="1" a="1"/>
  <c r="J15" i="29" s="1"/>
  <c r="J29" i="29" s="1"/>
  <c r="AB6" i="14"/>
  <c r="AB7" i="14" s="1"/>
  <c r="T12" i="28" s="1"/>
  <c r="T13" i="28" s="1"/>
  <c r="AH6" i="14"/>
  <c r="AH7" i="14" s="1"/>
  <c r="J21" i="29" s="1" a="1"/>
  <c r="J21" i="29" s="1"/>
  <c r="J35" i="29" s="1"/>
  <c r="AD6" i="14"/>
  <c r="AD7" i="14" s="1"/>
  <c r="J18" i="29" s="1" a="1"/>
  <c r="J18" i="29" s="1"/>
  <c r="J32" i="29" s="1"/>
  <c r="U6" i="14"/>
  <c r="U7" i="14" s="1"/>
  <c r="AE6" i="14"/>
  <c r="AE7" i="14" s="1"/>
  <c r="M4" i="17"/>
  <c r="AJ4" i="17"/>
  <c r="J4" i="17"/>
  <c r="AH4" i="17"/>
  <c r="AF4" i="17"/>
  <c r="R4" i="17"/>
  <c r="W4" i="17"/>
  <c r="K4" i="17"/>
  <c r="H4" i="17"/>
  <c r="G4" i="17"/>
  <c r="S4" i="17"/>
  <c r="E5" i="17" a="1"/>
  <c r="E5" i="17" s="1"/>
  <c r="AD4" i="17"/>
  <c r="P4" i="17"/>
  <c r="N4" i="17"/>
  <c r="AG4" i="17"/>
  <c r="AE4" i="17"/>
  <c r="F4" i="17"/>
  <c r="Q4" i="17"/>
  <c r="AC4" i="17"/>
  <c r="AB4" i="17"/>
  <c r="O4" i="17"/>
  <c r="V4" i="17"/>
  <c r="U4" i="17"/>
  <c r="AA4" i="17"/>
  <c r="X4" i="17"/>
  <c r="T4" i="17"/>
  <c r="Z4" i="17"/>
  <c r="L4" i="17"/>
  <c r="AI4" i="17"/>
  <c r="J22" i="29" l="1" a="1"/>
  <c r="J22" i="29" s="1"/>
  <c r="J36" i="29" s="1"/>
  <c r="T18" i="28"/>
  <c r="T19" i="28" s="1"/>
  <c r="W5" i="17"/>
  <c r="M5" i="17"/>
  <c r="J5" i="17"/>
  <c r="AG5" i="17"/>
  <c r="H5" i="17"/>
  <c r="AH5" i="17"/>
  <c r="S5" i="17"/>
  <c r="O5" i="17"/>
  <c r="AJ5" i="17"/>
  <c r="AA5" i="17"/>
  <c r="Z5" i="17"/>
  <c r="L5" i="17"/>
  <c r="E6" i="17" a="1"/>
  <c r="E6" i="17" s="1"/>
  <c r="AB5" i="17"/>
  <c r="E4" i="9" a="1"/>
  <c r="L6" i="17" l="1"/>
  <c r="L7" i="17" s="1"/>
  <c r="S6" i="17"/>
  <c r="S7" i="17" s="1"/>
  <c r="W6" i="17"/>
  <c r="W7" i="17" s="1"/>
  <c r="H6" i="17"/>
  <c r="H7" i="17" s="1"/>
  <c r="AJ6" i="17"/>
  <c r="AJ7" i="17" s="1"/>
  <c r="M6" i="17"/>
  <c r="M7" i="17" s="1"/>
  <c r="O6" i="17"/>
  <c r="O7" i="17" s="1"/>
  <c r="Z6" i="17"/>
  <c r="Z7" i="17" s="1"/>
  <c r="J6" i="17"/>
  <c r="J7" i="17" s="1"/>
  <c r="M16" i="29" s="1" a="1"/>
  <c r="M16" i="29" s="1"/>
  <c r="M30" i="29" s="1"/>
  <c r="AH6" i="17"/>
  <c r="AH7" i="17" s="1"/>
  <c r="AG6" i="17"/>
  <c r="AG7" i="17" s="1"/>
  <c r="AA6" i="17"/>
  <c r="AA7" i="17" s="1"/>
  <c r="AB6" i="17"/>
  <c r="AB7" i="17" s="1"/>
  <c r="W12" i="28" s="1"/>
  <c r="G6" i="17"/>
  <c r="AD6" i="17"/>
  <c r="R6" i="17"/>
  <c r="T6" i="17"/>
  <c r="AF6" i="17"/>
  <c r="K6" i="17"/>
  <c r="F6" i="17"/>
  <c r="Q6" i="17"/>
  <c r="AE6" i="17"/>
  <c r="X6" i="17"/>
  <c r="N6" i="17"/>
  <c r="AC6" i="17"/>
  <c r="P6" i="17"/>
  <c r="U6" i="17"/>
  <c r="V6" i="17"/>
  <c r="AI6" i="17"/>
  <c r="E4" i="9"/>
  <c r="E5" i="9" a="1"/>
  <c r="O4" i="9" l="1"/>
  <c r="K4" i="9"/>
  <c r="F12" i="28"/>
  <c r="W13" i="28"/>
  <c r="F13" i="28" s="1"/>
  <c r="AF4" i="9"/>
  <c r="Z4" i="9"/>
  <c r="E5" i="9"/>
  <c r="W5" i="9" s="1"/>
  <c r="E6" i="9" a="1"/>
  <c r="E6" i="9" s="1"/>
  <c r="AB4" i="9"/>
  <c r="T4" i="9"/>
  <c r="N4" i="9"/>
  <c r="F4" i="9"/>
  <c r="U4" i="9"/>
  <c r="Q4" i="9"/>
  <c r="X4" i="9"/>
  <c r="W4" i="9"/>
  <c r="S4" i="9"/>
  <c r="R4" i="9"/>
  <c r="P4" i="9"/>
  <c r="L4" i="9"/>
  <c r="M4" i="9"/>
  <c r="AG4" i="9"/>
  <c r="AC4" i="9"/>
  <c r="AE4" i="9"/>
  <c r="AJ4" i="9"/>
  <c r="AH4" i="9"/>
  <c r="AD4" i="9"/>
  <c r="AI4" i="9"/>
  <c r="G4" i="9"/>
  <c r="AA4" i="9"/>
  <c r="H4" i="9"/>
  <c r="J4" i="9"/>
  <c r="V4" i="9"/>
  <c r="V5" i="9"/>
  <c r="R5" i="9" l="1"/>
  <c r="L5" i="9"/>
  <c r="AF5" i="9"/>
  <c r="Q5" i="9"/>
  <c r="V6" i="9"/>
  <c r="V7" i="9" s="1"/>
  <c r="E17" i="29" s="1" a="1"/>
  <c r="E17" i="29" s="1"/>
  <c r="E31" i="29" s="1"/>
  <c r="L6" i="9"/>
  <c r="L7" i="9" s="1"/>
  <c r="Q6" i="9"/>
  <c r="R6" i="9"/>
  <c r="W6" i="9"/>
  <c r="W7" i="9" s="1"/>
  <c r="AF6" i="9"/>
  <c r="U5" i="17"/>
  <c r="U7" i="17" s="1"/>
  <c r="K5" i="17"/>
  <c r="AF5" i="17"/>
  <c r="AF7" i="17" s="1"/>
  <c r="T5" i="17"/>
  <c r="T7" i="17" s="1"/>
  <c r="AC5" i="17"/>
  <c r="AC7" i="17" s="1"/>
  <c r="N5" i="17"/>
  <c r="N7" i="17" s="1"/>
  <c r="P5" i="17"/>
  <c r="P7" i="17" s="1"/>
  <c r="R5" i="17"/>
  <c r="R7" i="17" s="1"/>
  <c r="X5" i="17"/>
  <c r="X7" i="17" s="1"/>
  <c r="F5" i="17"/>
  <c r="AE5" i="17"/>
  <c r="Q5" i="17"/>
  <c r="AD5" i="17"/>
  <c r="AD7" i="17" s="1"/>
  <c r="M18" i="29" s="1" a="1"/>
  <c r="M18" i="29" s="1"/>
  <c r="M32" i="29" s="1"/>
  <c r="G5" i="17"/>
  <c r="G7" i="17" s="1"/>
  <c r="M14" i="29" s="1" a="1"/>
  <c r="M14" i="29" s="1"/>
  <c r="M28" i="29" s="1"/>
  <c r="AI5" i="17"/>
  <c r="AI7" i="17" s="1"/>
  <c r="W18" i="28"/>
  <c r="V5" i="17"/>
  <c r="V7" i="17" s="1"/>
  <c r="M17" i="29" s="1" a="1"/>
  <c r="M17" i="29" s="1"/>
  <c r="M31" i="29" s="1"/>
  <c r="E6" i="13" a="1"/>
  <c r="E6" i="13" s="1"/>
  <c r="Z6" i="9"/>
  <c r="O6" i="9"/>
  <c r="K6" i="9"/>
  <c r="AB6" i="9"/>
  <c r="F6" i="9"/>
  <c r="X6" i="9"/>
  <c r="M6" i="9"/>
  <c r="S6" i="9"/>
  <c r="P6" i="9"/>
  <c r="AG6" i="9"/>
  <c r="T6" i="9"/>
  <c r="U6" i="9"/>
  <c r="N6" i="9"/>
  <c r="AJ6" i="9"/>
  <c r="AE6" i="9"/>
  <c r="AC6" i="9"/>
  <c r="AH6" i="9"/>
  <c r="AD6" i="9"/>
  <c r="AI6" i="9"/>
  <c r="G6" i="9"/>
  <c r="AA6" i="9"/>
  <c r="H6" i="9"/>
  <c r="J6" i="9"/>
  <c r="J5" i="9"/>
  <c r="K5" i="9"/>
  <c r="O5" i="9"/>
  <c r="Z5" i="9"/>
  <c r="AB5" i="9"/>
  <c r="N5" i="9"/>
  <c r="N7" i="9" s="1"/>
  <c r="F5" i="9"/>
  <c r="F7" i="9" s="1"/>
  <c r="X5" i="9"/>
  <c r="U5" i="9"/>
  <c r="U7" i="9" s="1"/>
  <c r="AG5" i="9"/>
  <c r="AG7" i="9" s="1"/>
  <c r="M5" i="9"/>
  <c r="M7" i="9" s="1"/>
  <c r="S5" i="9"/>
  <c r="T5" i="9"/>
  <c r="P5" i="9"/>
  <c r="AC5" i="9"/>
  <c r="AE5" i="9"/>
  <c r="AJ5" i="9"/>
  <c r="AH5" i="9"/>
  <c r="AD5" i="9"/>
  <c r="AI5" i="9"/>
  <c r="G5" i="9"/>
  <c r="AA5" i="9"/>
  <c r="H5" i="9"/>
  <c r="M15" i="29" a="1"/>
  <c r="M15" i="29" s="1"/>
  <c r="M29" i="29" s="1"/>
  <c r="M20" i="29" a="1"/>
  <c r="M20" i="29" s="1"/>
  <c r="M34" i="29" s="1"/>
  <c r="M22" i="29" a="1"/>
  <c r="M22" i="29" s="1"/>
  <c r="M36" i="29" s="1"/>
  <c r="M21" i="29" a="1"/>
  <c r="M21" i="29" s="1"/>
  <c r="M35" i="29" s="1"/>
  <c r="BT21" i="36" a="1"/>
  <c r="BT21" i="36" s="1"/>
  <c r="AJ7" i="14"/>
  <c r="BV21" i="36" a="1"/>
  <c r="BV21" i="36" s="1"/>
  <c r="BY21" i="36" a="1"/>
  <c r="BY21" i="36" s="1"/>
  <c r="BR21" i="36" a="1"/>
  <c r="BR21" i="36" s="1"/>
  <c r="BW21" i="36" a="1"/>
  <c r="BW21" i="36" s="1"/>
  <c r="L7" i="10"/>
  <c r="L7" i="14"/>
  <c r="Q7" i="10"/>
  <c r="K7" i="10"/>
  <c r="J7" i="12"/>
  <c r="H16" i="29" a="1"/>
  <c r="H16" i="29" s="1"/>
  <c r="H30" i="29" s="1"/>
  <c r="N7" i="10"/>
  <c r="K7" i="17"/>
  <c r="J7" i="14"/>
  <c r="J16" i="29" a="1"/>
  <c r="J16" i="29" s="1"/>
  <c r="J30" i="29" s="1"/>
  <c r="AG7" i="14"/>
  <c r="AH7" i="10"/>
  <c r="F21" i="29" a="1"/>
  <c r="F21" i="29" s="1"/>
  <c r="F35" i="29" s="1"/>
  <c r="M7" i="10"/>
  <c r="F7" i="17"/>
  <c r="M7" i="14"/>
  <c r="U7" i="10"/>
  <c r="AC7" i="10"/>
  <c r="O7" i="10"/>
  <c r="Q7" i="17"/>
  <c r="V7" i="10"/>
  <c r="F17" i="29" a="1"/>
  <c r="F17" i="29" s="1"/>
  <c r="F31" i="29" s="1"/>
  <c r="AE7" i="17"/>
  <c r="AB7" i="10"/>
  <c r="P12" i="28"/>
  <c r="P13" i="28" s="1"/>
  <c r="AE7" i="10"/>
  <c r="E6" i="8" a="1"/>
  <c r="E6" i="8" s="1"/>
  <c r="X7" i="9" l="1"/>
  <c r="Q7" i="9"/>
  <c r="Z7" i="9"/>
  <c r="AB7" i="9"/>
  <c r="O12" i="28" s="1"/>
  <c r="O13" i="28" s="1"/>
  <c r="T7" i="9"/>
  <c r="AC7" i="9"/>
  <c r="AE7" i="9"/>
  <c r="AH7" i="9"/>
  <c r="E21" i="29" s="1" a="1"/>
  <c r="E21" i="29" s="1"/>
  <c r="E35" i="29" s="1"/>
  <c r="AD7" i="9"/>
  <c r="E18" i="29" s="1" a="1"/>
  <c r="E18" i="29" s="1"/>
  <c r="E32" i="29" s="1"/>
  <c r="AI7" i="9"/>
  <c r="G7" i="9"/>
  <c r="E14" i="29" s="1" a="1"/>
  <c r="E14" i="29" s="1"/>
  <c r="E28" i="29" s="1"/>
  <c r="AA7" i="9"/>
  <c r="E20" i="29" s="1" a="1"/>
  <c r="E20" i="29" s="1"/>
  <c r="E34" i="29" s="1"/>
  <c r="H7" i="9"/>
  <c r="E15" i="29" s="1" a="1"/>
  <c r="E15" i="29" s="1"/>
  <c r="E29" i="29" s="1"/>
  <c r="J7" i="9"/>
  <c r="E16" i="29" s="1" a="1"/>
  <c r="E16" i="29" s="1"/>
  <c r="E30" i="29" s="1"/>
  <c r="R7" i="9"/>
  <c r="AF7" i="9"/>
  <c r="E22" i="29" a="1"/>
  <c r="E22" i="29" s="1"/>
  <c r="E36" i="29" s="1"/>
  <c r="O18" i="28"/>
  <c r="O19" i="28" s="1"/>
  <c r="S7" i="9"/>
  <c r="P7" i="9"/>
  <c r="AJ7" i="9"/>
  <c r="BQ21" i="36" s="1" a="1"/>
  <c r="BQ21" i="36" s="1"/>
  <c r="K7" i="9"/>
  <c r="O7" i="9"/>
  <c r="F18" i="28"/>
  <c r="W19" i="28"/>
  <c r="F19" i="28" s="1"/>
  <c r="S6" i="13"/>
  <c r="S7" i="13" s="1"/>
  <c r="AC6" i="13"/>
  <c r="AC7" i="13" s="1"/>
  <c r="AH6" i="13"/>
  <c r="AH7" i="13" s="1"/>
  <c r="I21" i="29" s="1" a="1"/>
  <c r="I21" i="29" s="1"/>
  <c r="I35" i="29" s="1"/>
  <c r="AF6" i="13"/>
  <c r="AF7" i="13" s="1"/>
  <c r="BU21" i="36" a="1"/>
  <c r="BU21" i="36" s="1"/>
  <c r="CT21" i="36" s="1" a="1"/>
  <c r="CT21" i="36" s="1"/>
  <c r="CT23" i="36" s="1"/>
  <c r="M6" i="13"/>
  <c r="M7" i="13" s="1"/>
  <c r="R6" i="13"/>
  <c r="R7" i="13" s="1"/>
  <c r="H6" i="13"/>
  <c r="H7" i="13" s="1"/>
  <c r="I15" i="29" s="1" a="1"/>
  <c r="I15" i="29" s="1"/>
  <c r="I29" i="29" s="1"/>
  <c r="U6" i="13"/>
  <c r="U7" i="13" s="1"/>
  <c r="Q6" i="13"/>
  <c r="Q7" i="13" s="1"/>
  <c r="Z6" i="13"/>
  <c r="Z7" i="13" s="1"/>
  <c r="AE6" i="13"/>
  <c r="AE7" i="13" s="1"/>
  <c r="F6" i="13"/>
  <c r="F7" i="13" s="1"/>
  <c r="P6" i="13"/>
  <c r="P7" i="13" s="1"/>
  <c r="V6" i="13"/>
  <c r="V7" i="13" s="1"/>
  <c r="I17" i="29" s="1" a="1"/>
  <c r="I17" i="29" s="1"/>
  <c r="I31" i="29" s="1"/>
  <c r="L6" i="13"/>
  <c r="L7" i="13" s="1"/>
  <c r="N6" i="13"/>
  <c r="N7" i="13" s="1"/>
  <c r="AB6" i="13"/>
  <c r="AB7" i="13" s="1"/>
  <c r="S12" i="28" s="1"/>
  <c r="S13" i="28" s="1"/>
  <c r="AG6" i="13"/>
  <c r="AG7" i="13" s="1"/>
  <c r="J6" i="13"/>
  <c r="J7" i="13" s="1"/>
  <c r="I16" i="29" s="1" a="1"/>
  <c r="I16" i="29" s="1"/>
  <c r="I30" i="29" s="1"/>
  <c r="AD6" i="13"/>
  <c r="AD7" i="13" s="1"/>
  <c r="I18" i="29" s="1" a="1"/>
  <c r="I18" i="29" s="1"/>
  <c r="I32" i="29" s="1"/>
  <c r="G6" i="13"/>
  <c r="G7" i="13" s="1"/>
  <c r="I14" i="29" s="1" a="1"/>
  <c r="I14" i="29" s="1"/>
  <c r="I28" i="29" s="1"/>
  <c r="AI6" i="13"/>
  <c r="AI7" i="13" s="1"/>
  <c r="O6" i="13"/>
  <c r="O7" i="13" s="1"/>
  <c r="W6" i="13"/>
  <c r="W7" i="13" s="1"/>
  <c r="AA6" i="13"/>
  <c r="AA7" i="13" s="1"/>
  <c r="I20" i="29" s="1" a="1"/>
  <c r="I20" i="29" s="1"/>
  <c r="I34" i="29" s="1"/>
  <c r="T6" i="13"/>
  <c r="T7" i="13" s="1"/>
  <c r="AJ6" i="13"/>
  <c r="AJ7" i="13" s="1"/>
  <c r="X6" i="13"/>
  <c r="X7" i="13" s="1"/>
  <c r="K6" i="13"/>
  <c r="K7" i="13" s="1"/>
  <c r="AJ6" i="8"/>
  <c r="AJ7" i="8" s="1"/>
  <c r="X6" i="8"/>
  <c r="X7" i="8" s="1"/>
  <c r="H6" i="8"/>
  <c r="H7" i="8" s="1"/>
  <c r="D15" i="29" s="1" a="1"/>
  <c r="D15" i="29" s="1"/>
  <c r="AF6" i="8"/>
  <c r="AF7" i="8" s="1"/>
  <c r="M6" i="8"/>
  <c r="M7" i="8" s="1"/>
  <c r="F6" i="8"/>
  <c r="F7" i="8" s="1"/>
  <c r="AB6" i="8"/>
  <c r="AB7" i="8" s="1"/>
  <c r="N12" i="28" s="1"/>
  <c r="N13" i="28" s="1"/>
  <c r="T6" i="8"/>
  <c r="T7" i="8" s="1"/>
  <c r="G6" i="8"/>
  <c r="G7" i="8" s="1"/>
  <c r="D14" i="29" s="1" a="1"/>
  <c r="D14" i="29" s="1"/>
  <c r="W6" i="8"/>
  <c r="W7" i="8" s="1"/>
  <c r="V6" i="8"/>
  <c r="V7" i="8" s="1"/>
  <c r="D17" i="29" s="1" a="1"/>
  <c r="D17" i="29" s="1"/>
  <c r="BP21" i="36" a="1"/>
  <c r="BP21" i="36" s="1"/>
  <c r="L6" i="8"/>
  <c r="L7" i="8" s="1"/>
  <c r="N6" i="8"/>
  <c r="N7" i="8" s="1"/>
  <c r="Q6" i="8"/>
  <c r="Q7" i="8" s="1"/>
  <c r="Z6" i="8"/>
  <c r="Z7" i="8" s="1"/>
  <c r="P6" i="8"/>
  <c r="P7" i="8" s="1"/>
  <c r="AE6" i="8"/>
  <c r="AE7" i="8" s="1"/>
  <c r="AC6" i="8"/>
  <c r="AC7" i="8" s="1"/>
  <c r="U6" i="8"/>
  <c r="U7" i="8" s="1"/>
  <c r="K6" i="8"/>
  <c r="K7" i="8" s="1"/>
  <c r="AH6" i="8"/>
  <c r="AH7" i="8" s="1"/>
  <c r="D21" i="29" s="1" a="1"/>
  <c r="D21" i="29" s="1"/>
  <c r="AI6" i="8"/>
  <c r="AI7" i="8" s="1"/>
  <c r="J6" i="8"/>
  <c r="J7" i="8" s="1"/>
  <c r="D16" i="29" s="1" a="1"/>
  <c r="D16" i="29" s="1"/>
  <c r="AA6" i="8"/>
  <c r="AA7" i="8" s="1"/>
  <c r="D20" i="29" s="1" a="1"/>
  <c r="D20" i="29" s="1"/>
  <c r="AG6" i="8"/>
  <c r="AG7" i="8" s="1"/>
  <c r="R6" i="8"/>
  <c r="R7" i="8" s="1"/>
  <c r="AD6" i="8"/>
  <c r="AD7" i="8" s="1"/>
  <c r="D18" i="29" s="1" a="1"/>
  <c r="D18" i="29" s="1"/>
  <c r="O6" i="8"/>
  <c r="O7" i="8" s="1"/>
  <c r="S6" i="8"/>
  <c r="S7" i="8" s="1"/>
  <c r="S18" i="28" l="1"/>
  <c r="S19" i="28" s="1"/>
  <c r="I22" i="29" a="1"/>
  <c r="I22" i="29" s="1"/>
  <c r="I36" i="29" s="1"/>
  <c r="O15" i="29"/>
  <c r="O29" i="29" s="1"/>
  <c r="D29" i="29"/>
  <c r="D28" i="29"/>
  <c r="O14" i="29"/>
  <c r="O28" i="29" s="1"/>
  <c r="O17" i="29"/>
  <c r="O31" i="29" s="1"/>
  <c r="D31" i="29"/>
  <c r="O21" i="29"/>
  <c r="O35" i="29" s="1"/>
  <c r="D35" i="29"/>
  <c r="D22" i="29" a="1"/>
  <c r="D22" i="29" s="1"/>
  <c r="N18" i="28"/>
  <c r="N19" i="28" s="1"/>
  <c r="D30" i="29"/>
  <c r="O16" i="29"/>
  <c r="O30" i="29" s="1"/>
  <c r="O20" i="29"/>
  <c r="O34" i="29" s="1"/>
  <c r="D34" i="29"/>
  <c r="O18" i="29"/>
  <c r="O32" i="29" s="1"/>
  <c r="D32" i="29"/>
  <c r="O22" i="29" l="1"/>
  <c r="O36" i="29" s="1"/>
  <c r="D36" i="29"/>
</calcChain>
</file>

<file path=xl/sharedStrings.xml><?xml version="1.0" encoding="utf-8"?>
<sst xmlns="http://schemas.openxmlformats.org/spreadsheetml/2006/main" count="1768" uniqueCount="397">
  <si>
    <t>DANH SÁCH NGƯỜI LAO ĐỘNG</t>
  </si>
  <si>
    <t>STT</t>
  </si>
  <si>
    <t>Họ và tên</t>
  </si>
  <si>
    <t>MST</t>
  </si>
  <si>
    <t>CMND</t>
  </si>
  <si>
    <t>Bộ phận tập hợp chi phí</t>
  </si>
  <si>
    <t>Số người PT</t>
  </si>
  <si>
    <t>Lương chính</t>
  </si>
  <si>
    <t>Theo dõi bảo hiểm</t>
  </si>
  <si>
    <t>Thời điểm tăng</t>
  </si>
  <si>
    <t>Thời điểm giảm</t>
  </si>
  <si>
    <t>Tạm nghỉ</t>
  </si>
  <si>
    <t>Đi làm lại</t>
  </si>
  <si>
    <t>Thời điểm vào làm trong năm</t>
  </si>
  <si>
    <t>Thời điểm thôi việc trong năm</t>
  </si>
  <si>
    <t>Ghi chú</t>
  </si>
  <si>
    <t>THÔNG TIN CƠ BẢN VỀ DOANH NGHIỆP</t>
  </si>
  <si>
    <t>Loại hình:</t>
  </si>
  <si>
    <t>Bộ phận chi phí:</t>
  </si>
  <si>
    <t>Năm:</t>
  </si>
  <si>
    <t>Total:</t>
  </si>
  <si>
    <t>Ngày nghỉ:</t>
  </si>
  <si>
    <t>CN</t>
  </si>
  <si>
    <t>T7,CN</t>
  </si>
  <si>
    <t>Ho_ten</t>
  </si>
  <si>
    <t>mst</t>
  </si>
  <si>
    <t>cmnd</t>
  </si>
  <si>
    <t>BP</t>
  </si>
  <si>
    <t>NPT</t>
  </si>
  <si>
    <t>Luong</t>
  </si>
  <si>
    <t>BH_In</t>
  </si>
  <si>
    <t>BH_Out</t>
  </si>
  <si>
    <t>IN</t>
  </si>
  <si>
    <t>OUT</t>
  </si>
  <si>
    <t>Suspend</t>
  </si>
  <si>
    <t>Return</t>
  </si>
  <si>
    <t>Ho_Ten</t>
  </si>
  <si>
    <t>Tổng giảm trừ</t>
  </si>
  <si>
    <t>THEO DÕI ĐĂNG KÝ NGƯỜI PHỤ THUỘC</t>
  </si>
  <si>
    <t>BP Chi phí</t>
  </si>
  <si>
    <t>Lương tính BH</t>
  </si>
  <si>
    <t>Lương theo ngày công</t>
  </si>
  <si>
    <t>Ngày công</t>
  </si>
  <si>
    <t>Ăn trưa</t>
  </si>
  <si>
    <t>Công tác phí khoán</t>
  </si>
  <si>
    <t>Số ngày</t>
  </si>
  <si>
    <t>Số tiền</t>
  </si>
  <si>
    <t>Số giờ làm thêm</t>
  </si>
  <si>
    <t>Tiền công làm thêm</t>
  </si>
  <si>
    <t>THƯỞNG</t>
  </si>
  <si>
    <t>Thưởng sáng kiến</t>
  </si>
  <si>
    <t>Điểm thưởng</t>
  </si>
  <si>
    <t>TỔNG THU NHẬP (GROSS)</t>
  </si>
  <si>
    <t>Các khoản không tính vào thu nhập chịu thuế</t>
  </si>
  <si>
    <t>Chênh lệch lương tăng ca</t>
  </si>
  <si>
    <t>Tổng cộng</t>
  </si>
  <si>
    <t>Các khoản giảm trừ trên thu nhập chịu thuế</t>
  </si>
  <si>
    <t>Thu nhập chịu thuế</t>
  </si>
  <si>
    <t>Giảm trừ gia cảnh</t>
  </si>
  <si>
    <t>Thu nhập tính thuế</t>
  </si>
  <si>
    <t>Thưởng lễ, tết</t>
  </si>
  <si>
    <t>Thuế TNCN</t>
  </si>
  <si>
    <t>Thực lĩnh</t>
  </si>
  <si>
    <t>Ký nhận</t>
  </si>
  <si>
    <t>TNCT</t>
  </si>
  <si>
    <t>TNCN</t>
  </si>
  <si>
    <t>GROSS</t>
  </si>
  <si>
    <t>NET</t>
  </si>
  <si>
    <t>Data range:</t>
  </si>
  <si>
    <t>Data Range:</t>
  </si>
  <si>
    <t>Danh_sach!B12:N12</t>
  </si>
  <si>
    <t>Index Range:</t>
  </si>
  <si>
    <t>Tháng</t>
  </si>
  <si>
    <t>Row range:</t>
  </si>
  <si>
    <t>Col Range:</t>
  </si>
  <si>
    <t>Row:</t>
  </si>
  <si>
    <t>NPT!B9:Q9</t>
  </si>
  <si>
    <t>Trang phục</t>
  </si>
  <si>
    <t>Số tiền thưởng</t>
  </si>
  <si>
    <t>Thưởng kết quả kinh doanh</t>
  </si>
  <si>
    <t>i_gross</t>
  </si>
  <si>
    <t>Bảo hiểm</t>
  </si>
  <si>
    <t>TOTAL</t>
  </si>
  <si>
    <t>Biểu thuế</t>
  </si>
  <si>
    <t>Thu nhập</t>
  </si>
  <si>
    <t>Thuế suất</t>
  </si>
  <si>
    <t>Lũy kế</t>
  </si>
  <si>
    <t>taxrate!A3:C9</t>
  </si>
  <si>
    <t>Bản thân</t>
  </si>
  <si>
    <t>QUỸ LƯƠNG ĐÓNG BẢO HIỂM</t>
  </si>
  <si>
    <t>Theo dõi trên thông báo</t>
  </si>
  <si>
    <t>Số NLĐ</t>
  </si>
  <si>
    <t>Số đã nộp</t>
  </si>
  <si>
    <t>Số phải nộp chuyển sang kì sau</t>
  </si>
  <si>
    <t>Số dự tính kỳ sau</t>
  </si>
  <si>
    <t>Số phát sinh kỳ hiện tại</t>
  </si>
  <si>
    <t>Tên giám đốc:</t>
  </si>
  <si>
    <t>Số lượng NLĐ đóng BH:</t>
  </si>
  <si>
    <t>KHÔNG SỬA CỘT A</t>
  </si>
  <si>
    <t>Ngày tối đa:</t>
  </si>
  <si>
    <t>Title:</t>
  </si>
  <si>
    <t>GTBT</t>
  </si>
  <si>
    <t>GTNPT</t>
  </si>
  <si>
    <t>T1</t>
  </si>
  <si>
    <t>T2</t>
  </si>
  <si>
    <t>T3</t>
  </si>
  <si>
    <t>T4</t>
  </si>
  <si>
    <t>T5</t>
  </si>
  <si>
    <t>T6</t>
  </si>
  <si>
    <t>T7</t>
  </si>
  <si>
    <t>T8</t>
  </si>
  <si>
    <t>Các khoản bổ sung</t>
  </si>
  <si>
    <t>Phụ cấp ăn trưa</t>
  </si>
  <si>
    <t>Phụ cấp điện thoại</t>
  </si>
  <si>
    <t>Họ và tên (*)</t>
  </si>
  <si>
    <t>Mã số thuế</t>
  </si>
  <si>
    <t>Số CMND/Hộ chiếu</t>
  </si>
  <si>
    <t>Cá nhân uỷ quyền quyết toán thay</t>
  </si>
  <si>
    <t>Các khoản giảm trừ</t>
  </si>
  <si>
    <t>Thu nhập tính
 thuế</t>
  </si>
  <si>
    <t>Số thuế TNCN đã khấu trừ</t>
  </si>
  <si>
    <t>Số thuế TNCN được giảm do làm việc trong KKT</t>
  </si>
  <si>
    <t>Chi tiết kết quả quyết toán thay cho cá nhân nộp thuế</t>
  </si>
  <si>
    <t>Tổng số</t>
  </si>
  <si>
    <t>Trong đó: TNCT làm căn cứ tính giảm thuế</t>
  </si>
  <si>
    <t>Tổng số tiền  giảm trừ gia cảnh</t>
  </si>
  <si>
    <t>Từ thiện, nhân đạo, khuyến học</t>
  </si>
  <si>
    <t>Bảo hiểm được trừ</t>
  </si>
  <si>
    <t>Quĩ hưu trí tự nguyện được trừ</t>
  </si>
  <si>
    <t>Tổng số thuế phải nộp</t>
  </si>
  <si>
    <t>Số thuế đã nộp thừa</t>
  </si>
  <si>
    <t>Số thuế còn phải nộp</t>
  </si>
  <si>
    <t>Làm việc trong KKT</t>
  </si>
  <si>
    <t>Theo Hiệp định</t>
  </si>
  <si>
    <t>[06]</t>
  </si>
  <si>
    <t>[07]</t>
  </si>
  <si>
    <t>[08]</t>
  </si>
  <si>
    <t>[09]</t>
  </si>
  <si>
    <t>[10]</t>
  </si>
  <si>
    <t>[11]</t>
  </si>
  <si>
    <t>[12]</t>
  </si>
  <si>
    <t>[13]</t>
  </si>
  <si>
    <t>[14]</t>
  </si>
  <si>
    <t>[15]</t>
  </si>
  <si>
    <t>[16]</t>
  </si>
  <si>
    <t>[17]</t>
  </si>
  <si>
    <t>[18]</t>
  </si>
  <si>
    <t>[19]</t>
  </si>
  <si>
    <t>[20]</t>
  </si>
  <si>
    <t>[21]</t>
  </si>
  <si>
    <t>[22]</t>
  </si>
  <si>
    <t>[23]</t>
  </si>
  <si>
    <t>TNTN</t>
  </si>
  <si>
    <t>Tổng</t>
  </si>
  <si>
    <t>TNTT</t>
  </si>
  <si>
    <t>Họ tên</t>
  </si>
  <si>
    <t>Bộ phận</t>
  </si>
  <si>
    <t>taxrate!A11:C17</t>
  </si>
  <si>
    <t>Tổng thu nhập</t>
  </si>
  <si>
    <t>Q1</t>
  </si>
  <si>
    <t>Q2</t>
  </si>
  <si>
    <t>Q3</t>
  </si>
  <si>
    <t>Q4</t>
  </si>
  <si>
    <t>TỔNG</t>
  </si>
  <si>
    <t>Sum_TNCT</t>
  </si>
  <si>
    <t>BH</t>
  </si>
  <si>
    <t>TỔNG L_BH</t>
  </si>
  <si>
    <t>Tổng BH (NLĐ)</t>
  </si>
  <si>
    <t>T_BH</t>
  </si>
  <si>
    <t>Month</t>
  </si>
  <si>
    <t>Year</t>
  </si>
  <si>
    <t xml:space="preserve"> </t>
  </si>
  <si>
    <t>Last day</t>
  </si>
  <si>
    <t>Helper</t>
  </si>
  <si>
    <t>Công tác</t>
  </si>
  <si>
    <t>Nghỉ</t>
  </si>
  <si>
    <t>Workday</t>
  </si>
  <si>
    <t>Total</t>
  </si>
  <si>
    <t>Trip</t>
  </si>
  <si>
    <t>Absent</t>
  </si>
  <si>
    <t>&gt;0</t>
  </si>
  <si>
    <t>Tên Doanh nghiệp:</t>
  </si>
  <si>
    <t>Thưởng</t>
  </si>
  <si>
    <t>Sign</t>
  </si>
  <si>
    <t>Tỉ lệ thưởng trên doanh thu:</t>
  </si>
  <si>
    <t>L_BH</t>
  </si>
  <si>
    <t>NC</t>
  </si>
  <si>
    <t>File name:</t>
  </si>
  <si>
    <t>TỔNG THU NHẬP</t>
  </si>
  <si>
    <t>Từ:</t>
  </si>
  <si>
    <t>Đến tháng:</t>
  </si>
  <si>
    <t>Đến:</t>
  </si>
  <si>
    <t>Doanh thu Q1:</t>
  </si>
  <si>
    <t>Doanh thu Q2:</t>
  </si>
  <si>
    <t>Doanh thu Q3:</t>
  </si>
  <si>
    <t>Doanh thu Q4:</t>
  </si>
  <si>
    <t>Từ tháng:</t>
  </si>
  <si>
    <t>Điểm tối đa:</t>
  </si>
  <si>
    <t>Hệ số thưởng theo thâm niên:</t>
  </si>
  <si>
    <t>Số tháng làm việc:</t>
  </si>
  <si>
    <t>Hệ số:</t>
  </si>
  <si>
    <t>Total_month</t>
  </si>
  <si>
    <t>Quy định thưởng tết cuối năm:</t>
  </si>
  <si>
    <t>Quy định thưởng doanh thu:</t>
  </si>
  <si>
    <t>n lần tháng lương cơ bản</t>
  </si>
  <si>
    <t>Tiền thưởng</t>
  </si>
  <si>
    <t>Cham_Cong!B9:U9</t>
  </si>
  <si>
    <t>Text:</t>
  </si>
  <si>
    <t>OT</t>
  </si>
  <si>
    <t>NGƯỜI LẬP BẢNG</t>
  </si>
  <si>
    <t>GIÁM ĐỐC</t>
  </si>
  <si>
    <t>Số ngày đi làm</t>
  </si>
  <si>
    <t>Số ngày công tác</t>
  </si>
  <si>
    <t>Số ngày nghỉ</t>
  </si>
  <si>
    <t>Số giờ tăng ca</t>
  </si>
  <si>
    <t>x</t>
  </si>
  <si>
    <t>DANH SÁCH NGƯỜI LAO ĐỘNG THEO THỜI VỤ; NGƯỜI LAO ĐỘNG LÀ NGƯỜI KHÔNG CƯ TRÚ</t>
  </si>
  <si>
    <t>Đối tượng không cư trú (đánh dấu x)</t>
  </si>
  <si>
    <t>Lương GROSS</t>
  </si>
  <si>
    <t>Lương NET</t>
  </si>
  <si>
    <t>SUM</t>
  </si>
  <si>
    <t>NGƯỜI LẬP BIỂU</t>
  </si>
  <si>
    <t>KẾ TOÁN</t>
  </si>
  <si>
    <t>Các vấn đề cần lưu ý khác</t>
  </si>
  <si>
    <t>BaoHiem!B20:U20</t>
  </si>
  <si>
    <t>Người NN</t>
  </si>
  <si>
    <t>Số tiền khoán</t>
  </si>
  <si>
    <t>Đơn vị thưởng</t>
  </si>
  <si>
    <t>Họ và tên người nộp thuế(*)</t>
  </si>
  <si>
    <t>MST của người nộp thuế</t>
  </si>
  <si>
    <t>Họ và tên người phụ thuộc</t>
  </si>
  <si>
    <t>Ngày sinh người phụ thuộc</t>
  </si>
  <si>
    <t>MST của người phụ thuộc</t>
  </si>
  <si>
    <t>Mã Quốc tịch của người phụ thuộc</t>
  </si>
  <si>
    <t>Quốc tịch của người phụ thuộc</t>
  </si>
  <si>
    <t>CMND/Hộ chiếu người phụ thuộc</t>
  </si>
  <si>
    <t>Mã Quan hệ với người nộp thuế</t>
  </si>
  <si>
    <t>Quan hệ với người nộp thuế</t>
  </si>
  <si>
    <t>Thông tin trên giấy khai sinh của người phụ thuộc (Nếu người phụ thuộc không có MST, CMND và Hộ chiếu)</t>
  </si>
  <si>
    <t>Thời gian tính giảm trừ</t>
  </si>
  <si>
    <t>Số</t>
  </si>
  <si>
    <t>Quyển số</t>
  </si>
  <si>
    <t>Nơi đăng ký</t>
  </si>
  <si>
    <t>Mã quốc gia</t>
  </si>
  <si>
    <t>Quốc gia</t>
  </si>
  <si>
    <t>Mã Tỉnh/Thành phố</t>
  </si>
  <si>
    <t>Tỉnh/Thành phố</t>
  </si>
  <si>
    <t>Mã Quận/Huyện</t>
  </si>
  <si>
    <t>Quận/Huyện</t>
  </si>
  <si>
    <t>Mã Phường/Xã</t>
  </si>
  <si>
    <t>Phường/Xã</t>
  </si>
  <si>
    <t>Từ tháng</t>
  </si>
  <si>
    <t>Đến tháng</t>
  </si>
  <si>
    <t>Passport</t>
  </si>
  <si>
    <t>Thêm giờ</t>
  </si>
  <si>
    <t>BHXH</t>
  </si>
  <si>
    <t>BHYT</t>
  </si>
  <si>
    <t>BHTN</t>
  </si>
  <si>
    <t>BH phải nộp của NLĐ</t>
  </si>
  <si>
    <t>NN</t>
  </si>
  <si>
    <t>VN</t>
  </si>
  <si>
    <t>BH phải nộp của DN</t>
  </si>
  <si>
    <t>Lao động là người nước ngoài:</t>
  </si>
  <si>
    <t>THEO DÕI TRÊN THÔNG BÁO BẢO HIỂM</t>
  </si>
  <si>
    <t>Điện thoại và CTP khoán</t>
  </si>
  <si>
    <t>Cư trú</t>
  </si>
  <si>
    <t>Không cư trú</t>
  </si>
  <si>
    <t>Loại thu nhập</t>
  </si>
  <si>
    <t>Tổng số người lao động</t>
  </si>
  <si>
    <t>Trong đó: Cá nhân cư trú có hợp đồng lao động</t>
  </si>
  <si>
    <t>Cá nhân cư trú</t>
  </si>
  <si>
    <t>Cá nhân không cư trú</t>
  </si>
  <si>
    <t>Tổng TNCT trả cho cá nhân</t>
  </si>
  <si>
    <t>Tổng số thuế TNCN đã khấu trừ</t>
  </si>
  <si>
    <t>Tổng TNCT từ tiền phí mua bảo hiểm nhân thọ, bảo hiểm không bắt buộc khác của doanh nghiệp bảo hiểm không thành lập tại Việt Nam cho người LĐ</t>
  </si>
  <si>
    <t>Tổng số Thuế TNCN đã khấu từ trên tiền phí mua bảo hiểm nhân thọ, bảo hiểm không bắt buộc khác của doanh nghiệp bảo hiểm không thành lập tại Việt Nam cho người LĐ</t>
  </si>
  <si>
    <t>Chỉ tiêu</t>
  </si>
  <si>
    <t>Mã chỉ tiêu</t>
  </si>
  <si>
    <t>ĐVT</t>
  </si>
  <si>
    <t>Tổng TNCT trả cho cá nhân thuộc diện khấu trừ thuế</t>
  </si>
  <si>
    <t>Tổng số cá nhân đã khấu trừ thuế</t>
  </si>
  <si>
    <t>Tổng lương ngày công</t>
  </si>
  <si>
    <t>Tổng lương cơ bản</t>
  </si>
  <si>
    <t>Tổng thu nhập chịu thuế</t>
  </si>
  <si>
    <t>Tổng thuế TNCN khấu trừ</t>
  </si>
  <si>
    <t>Tổng lương thực lĩnh</t>
  </si>
  <si>
    <t>Tổng bảo hiểm của NLĐ</t>
  </si>
  <si>
    <t>Tổng bảo hiểm của DN</t>
  </si>
  <si>
    <t>H7</t>
  </si>
  <si>
    <t>J7</t>
  </si>
  <si>
    <t>V7</t>
  </si>
  <si>
    <t>AD7</t>
  </si>
  <si>
    <t>AA7</t>
  </si>
  <si>
    <t>AH7</t>
  </si>
  <si>
    <t>AI7</t>
  </si>
  <si>
    <t>G7</t>
  </si>
  <si>
    <t>Address</t>
  </si>
  <si>
    <t>Tổng lương bảo hiểm</t>
  </si>
  <si>
    <t>Ăn trưa, ăn ca</t>
  </si>
  <si>
    <t>Điện thoại</t>
  </si>
  <si>
    <t>Tháng:</t>
  </si>
  <si>
    <t>Các khoản khấu trừ</t>
  </si>
  <si>
    <t>Tờ khai khấu trừ thuế TNCN 05KK-TNCN</t>
  </si>
  <si>
    <t>Kê khai theo:</t>
  </si>
  <si>
    <t>Kỳ kê khai:</t>
  </si>
  <si>
    <t>Quý</t>
  </si>
  <si>
    <t>Col_num</t>
  </si>
  <si>
    <t>PHỤ LỤC 05_1 TỜ KHAI QUYẾT TOÁN THUẾ TNCN</t>
  </si>
  <si>
    <t>PHỤ LỤC 05_2 TỜ KHAI QUYẾT TOÁN THUẾ TNCN</t>
  </si>
  <si>
    <t>Số CMND</t>
  </si>
  <si>
    <t>TNCT từ phí mua bảo hiểm nhân thọ của DNBH không thành lập tại Việt Nam</t>
  </si>
  <si>
    <t>TNCT được giảm thuế</t>
  </si>
  <si>
    <t>Làm việc tại KKT</t>
  </si>
  <si>
    <t>Theo hiệp định</t>
  </si>
  <si>
    <t>Số thuế TNCN đã khấu từ</t>
  </si>
  <si>
    <t>Tổng sổ</t>
  </si>
  <si>
    <t>Trong đó: TNCT từ phí mua bảo hiểm nhân thọ của DNBH không thành lập tại Việt Nam</t>
  </si>
  <si>
    <t>Số thuế TNCN được giảm do làm việc tại KKT</t>
  </si>
  <si>
    <t>Tổng thuế TNCN</t>
  </si>
  <si>
    <t>THUẾ TNCN</t>
  </si>
  <si>
    <t>BẢNG THANH TOÁN TIỀN THƯỞNG KẾT QUẢ KINH DOANH</t>
  </si>
  <si>
    <t>Doanh thu:</t>
  </si>
  <si>
    <t>Điểm</t>
  </si>
  <si>
    <t>Tỉ lệ:</t>
  </si>
  <si>
    <t>Quỹ thưởng:</t>
  </si>
  <si>
    <t>BẢNG LƯƠNG THUÊ NGOÀI</t>
  </si>
  <si>
    <t>Giảm trừ GC</t>
  </si>
  <si>
    <t>THEO DÕI QUYẾT TOÁN THUẾ TNCN</t>
  </si>
  <si>
    <t>Nợ</t>
  </si>
  <si>
    <t>Có</t>
  </si>
  <si>
    <t>Khấu trừ BH</t>
  </si>
  <si>
    <t>Ghi nhận CP lương</t>
  </si>
  <si>
    <t>Khấu trừ thuế TNCN</t>
  </si>
  <si>
    <t>Trả lương</t>
  </si>
  <si>
    <t>111, 112</t>
  </si>
  <si>
    <t>Loại chi phí</t>
  </si>
  <si>
    <t>BẢNG THANH TOÁN TIỀN LƯƠNG</t>
  </si>
  <si>
    <t>Khác</t>
  </si>
  <si>
    <t>Ngày thanh toán:</t>
  </si>
  <si>
    <t>Tổng TNCN</t>
  </si>
  <si>
    <t>Tổng TNCT</t>
  </si>
  <si>
    <t>Tổng số LĐ</t>
  </si>
  <si>
    <t>Tổng thu nhập trả cho người lao động</t>
  </si>
  <si>
    <t>Tổng Bảo hiểm bắt buộc của NLĐ</t>
  </si>
  <si>
    <t>Tài khoản chi phí đối ứng</t>
  </si>
  <si>
    <t>Thuế TNCN phát sinh</t>
  </si>
  <si>
    <t>Tài khoản 334</t>
  </si>
  <si>
    <t>Thực trả</t>
  </si>
  <si>
    <t>Tổng Bảo hiểm bắt buộc của doanh nghiệp</t>
  </si>
  <si>
    <t>Tài khoản 3383</t>
  </si>
  <si>
    <t>Tài khoản 3384</t>
  </si>
  <si>
    <t>Tài khoản 3385</t>
  </si>
  <si>
    <t>match</t>
  </si>
  <si>
    <t>Tháng thu nhập được chi trả trong kỳ:</t>
  </si>
  <si>
    <t>E26:E29</t>
  </si>
  <si>
    <t>Date:</t>
  </si>
  <si>
    <t>Key:</t>
  </si>
  <si>
    <t>KNKE-VZRR-OMOP-TBDV</t>
  </si>
  <si>
    <t>GUII-TKYK-QCCN-LUBO</t>
  </si>
  <si>
    <t>AWUG-FYSD-JTSL-MSCD</t>
  </si>
  <si>
    <t>URUW-NYLL-FPYY-HHJS</t>
  </si>
  <si>
    <t>VEMU-VQQE-JPLN-XYLY</t>
  </si>
  <si>
    <t>KJCN-FSRL-JBIF-LPQN</t>
  </si>
  <si>
    <t>UQXN-HLJC-FCDD-JFTH</t>
  </si>
  <si>
    <t>TSUU-YORM-IFYB-QWES</t>
  </si>
  <si>
    <t>TGSV-UDQY-TGJA-HGZZ</t>
  </si>
  <si>
    <t>ZFDN-DUNF-NHJN-QTQY</t>
  </si>
  <si>
    <t>Check date:</t>
  </si>
  <si>
    <t>Tiền công tăng ca</t>
  </si>
  <si>
    <t>Tăng ca</t>
  </si>
  <si>
    <t>Số giờ</t>
  </si>
  <si>
    <t>Tiền tăng ca</t>
  </si>
  <si>
    <t>Index:</t>
  </si>
  <si>
    <t>Giảm trừ NPT (cả năm)</t>
  </si>
  <si>
    <t>Số NLĐ đóng BH</t>
  </si>
  <si>
    <t>Ủy quyền QT</t>
  </si>
  <si>
    <t>BL</t>
  </si>
  <si>
    <t>Tổng GTGC</t>
  </si>
  <si>
    <t>Thuế TNCN đã khấu trừ</t>
  </si>
  <si>
    <t>Thuế TNCN phải nộp theo QT</t>
  </si>
  <si>
    <t>Số thuế nộp thừa</t>
  </si>
  <si>
    <t>Số còn phải nộp</t>
  </si>
  <si>
    <t>ỦY QUYỀN QUYẾT TOÁN THAY CÁ NHÂN</t>
  </si>
  <si>
    <t>Sum_GTGC</t>
  </si>
  <si>
    <t>TNCNKT</t>
  </si>
  <si>
    <t>PhaiNop</t>
  </si>
  <si>
    <t>NopThua</t>
  </si>
  <si>
    <t>ConPhaiNop</t>
  </si>
  <si>
    <t>TỔNG HỢP CÁC KHOẢN PHẢI TRẢ VÀ KHẤU TRỪ CỦA NGƯỜI LAO ĐỘNG (BAO GỒM LAO ĐỘNG CÓ HỢP ĐỒNG CHÍNH THỨC VÀ LAO ĐỘNG THUÊ NGOÀI)</t>
  </si>
  <si>
    <t>Công ty TNHH thương mại và dịch vụ tiếp vận Nguyên Minh</t>
  </si>
  <si>
    <t>Link</t>
  </si>
  <si>
    <t>CTP</t>
  </si>
  <si>
    <t>THEO DÕI CÔNG TÁC</t>
  </si>
  <si>
    <t>CTP!B9:Q9</t>
  </si>
  <si>
    <t>Thuong!B9:Q9</t>
  </si>
  <si>
    <t>ĐIỂM THƯỞNG</t>
  </si>
  <si>
    <t>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</si>
</sst>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_(* #,##0_);_(* \(#,##0\);_(* &quot;-&quot;??_);_(@_)"/>
    <numFmt numFmtId="165" formatCode="_(* #,##0.0_);_(* \(#,##0.0\);_(* &quot;-&quot;??_);_(@_)"/>
    <numFmt numFmtId="166" formatCode="0.0%"/>
    <numFmt numFmtId="167" formatCode="0.000000"/>
    <numFmt numFmtId="168" formatCode="_-* #,##0.00\ _₫_-;\-* #,##0.00\ _₫_-;_-* &quot;-&quot;??\ _₫_-;_-@_-"/>
  </numFmts>
  <fonts count="6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1"/>
      <color theme="1"/>
      <name val="Calibri"/>
      <family val="2"/>
      <scheme val="minor"/>
    </font>
    <font>
      <sz val="11"/>
      <color theme="0"/>
      <name val="Calibri"/>
      <family val="2"/>
      <scheme val="minor"/>
    </font>
    <font>
      <b/>
      <sz val="18"/>
      <color theme="3"/>
      <name val="Calibri"/>
      <family val="2"/>
      <scheme val="minor"/>
    </font>
    <font>
      <b/>
      <sz val="18"/>
      <color theme="3"/>
      <name val="Calibri Light"/>
      <family val="2"/>
      <scheme val="major"/>
    </font>
    <font>
      <sz val="11"/>
      <name val="Calibri"/>
      <family val="2"/>
      <scheme val="minor"/>
    </font>
    <font>
      <sz val="11"/>
      <color rgb="FF9C5700"/>
      <name val="Calibri"/>
      <family val="2"/>
      <scheme val="minor"/>
    </font>
    <font>
      <sz val="11"/>
      <color rgb="FF3F3F76"/>
      <name val="Calibri"/>
      <family val="2"/>
      <scheme val="minor"/>
    </font>
    <font>
      <b/>
      <sz val="11"/>
      <color theme="0"/>
      <name val="Calibri"/>
      <family val="2"/>
      <scheme val="minor"/>
    </font>
    <font>
      <sz val="11"/>
      <color rgb="FFFF0000"/>
      <name val="Calibri"/>
      <family val="2"/>
      <scheme val="minor"/>
    </font>
    <font>
      <sz val="11"/>
      <color rgb="FFC00000"/>
      <name val="Calibri"/>
      <family val="2"/>
      <scheme val="minor"/>
    </font>
    <font>
      <b/>
      <sz val="12"/>
      <color theme="0"/>
      <name val="Calibri"/>
      <family val="2"/>
      <scheme val="minor"/>
    </font>
    <font>
      <sz val="12"/>
      <color theme="1"/>
      <name val="Calibri"/>
      <family val="2"/>
      <scheme val="minor"/>
    </font>
    <font>
      <b/>
      <sz val="11"/>
      <name val="Calibri"/>
      <family val="2"/>
      <scheme val="minor"/>
    </font>
    <font>
      <b/>
      <sz val="13"/>
      <color theme="3"/>
      <name val="Calibri"/>
      <family val="2"/>
      <scheme val="minor"/>
    </font>
    <font>
      <b/>
      <sz val="9"/>
      <color theme="0"/>
      <name val="Calibri"/>
      <family val="2"/>
      <scheme val="minor"/>
    </font>
    <font>
      <b/>
      <sz val="9"/>
      <color theme="1"/>
      <name val="Calibri"/>
      <family val="2"/>
      <scheme val="minor"/>
    </font>
    <font>
      <b/>
      <sz val="10"/>
      <color theme="0"/>
      <name val="Calibri"/>
      <family val="2"/>
      <scheme val="minor"/>
    </font>
    <font>
      <sz val="8"/>
      <name val="Calibri"/>
      <family val="2"/>
      <scheme val="minor"/>
    </font>
    <font>
      <sz val="10"/>
      <color theme="1"/>
      <name val="Calibri"/>
      <family val="2"/>
      <scheme val="minor"/>
    </font>
    <font>
      <sz val="9"/>
      <color theme="1"/>
      <name val="Calibri"/>
      <family val="2"/>
      <scheme val="minor"/>
    </font>
    <font>
      <b/>
      <sz val="8"/>
      <name val="Arial"/>
      <family val="2"/>
    </font>
    <font>
      <b/>
      <sz val="8"/>
      <color theme="1"/>
      <name val="Calibri"/>
      <family val="2"/>
      <scheme val="minor"/>
    </font>
    <font>
      <sz val="8"/>
      <color theme="0" tint="-0.499984740745262"/>
      <name val="Calibri"/>
      <family val="2"/>
      <scheme val="minor"/>
    </font>
    <font>
      <b/>
      <sz val="14"/>
      <color theme="0"/>
      <name val="Calibri"/>
      <family val="2"/>
      <scheme val="minor"/>
    </font>
    <font>
      <b/>
      <sz val="8"/>
      <color theme="0" tint="-0.14999847407452621"/>
      <name val="Calibri"/>
      <family val="2"/>
      <scheme val="minor"/>
    </font>
    <font>
      <b/>
      <sz val="10"/>
      <color theme="1"/>
      <name val="Calibri"/>
      <family val="2"/>
      <scheme val="minor"/>
    </font>
    <font>
      <b/>
      <sz val="12"/>
      <color theme="1"/>
      <name val="Calibri"/>
      <family val="2"/>
      <scheme val="minor"/>
    </font>
    <font>
      <b/>
      <sz val="11"/>
      <color rgb="FFFF0000"/>
      <name val="Calibri"/>
      <family val="2"/>
      <scheme val="minor"/>
    </font>
    <font>
      <i/>
      <sz val="10"/>
      <color theme="1"/>
      <name val="Calibri"/>
      <family val="2"/>
      <scheme val="minor"/>
    </font>
    <font>
      <b/>
      <sz val="15"/>
      <color theme="2" tint="-9.9978637043366805E-2"/>
      <name val="Calibri"/>
      <family val="2"/>
      <scheme val="minor"/>
    </font>
    <font>
      <b/>
      <sz val="15"/>
      <color theme="0"/>
      <name val="Calibri"/>
      <family val="2"/>
      <scheme val="minor"/>
    </font>
    <font>
      <b/>
      <sz val="11"/>
      <color rgb="FFFF1D1D"/>
      <name val="Calibri"/>
      <family val="2"/>
      <scheme val="minor"/>
    </font>
    <font>
      <sz val="10"/>
      <color theme="0"/>
      <name val="Calibri"/>
      <family val="2"/>
      <scheme val="minor"/>
    </font>
    <font>
      <b/>
      <sz val="16"/>
      <color theme="3"/>
      <name val="Calibri"/>
      <family val="2"/>
      <scheme val="minor"/>
    </font>
    <font>
      <b/>
      <sz val="14"/>
      <color theme="1"/>
      <name val="Calibri"/>
      <family val="2"/>
      <scheme val="minor"/>
    </font>
    <font>
      <b/>
      <sz val="14"/>
      <name val="Calibri"/>
      <family val="2"/>
      <scheme val="minor"/>
    </font>
    <font>
      <b/>
      <sz val="10"/>
      <name val="Calibri"/>
      <family val="2"/>
      <scheme val="minor"/>
    </font>
    <font>
      <u/>
      <sz val="11"/>
      <color theme="10"/>
      <name val="Calibri"/>
      <family val="2"/>
      <scheme val="minor"/>
    </font>
    <font>
      <sz val="10"/>
      <name val="Calibri"/>
      <family val="2"/>
      <scheme val="minor"/>
    </font>
    <font>
      <b/>
      <sz val="14"/>
      <color theme="3"/>
      <name val="Calibri"/>
      <family val="2"/>
      <scheme val="minor"/>
    </font>
    <font>
      <b/>
      <sz val="8"/>
      <name val="Calibri"/>
      <family val="2"/>
      <scheme val="minor"/>
    </font>
    <font>
      <b/>
      <sz val="10"/>
      <color rgb="FFFF0000"/>
      <name val="Calibri"/>
      <family val="2"/>
      <scheme val="minor"/>
    </font>
    <font>
      <sz val="10"/>
      <color theme="4"/>
      <name val="Calibri"/>
      <family val="2"/>
      <scheme val="minor"/>
    </font>
    <font>
      <sz val="10"/>
      <color theme="9"/>
      <name val="Calibri"/>
      <family val="2"/>
      <scheme val="minor"/>
    </font>
    <font>
      <sz val="10"/>
      <color theme="5"/>
      <name val="Calibri"/>
      <family val="2"/>
      <scheme val="minor"/>
    </font>
    <font>
      <sz val="10"/>
      <color rgb="FF7030A0"/>
      <name val="Calibri"/>
      <family val="2"/>
      <scheme val="minor"/>
    </font>
    <font>
      <b/>
      <sz val="11"/>
      <color theme="8" tint="-0.499984740745262"/>
      <name val="Calibri"/>
      <family val="2"/>
      <scheme val="minor"/>
    </font>
    <font>
      <sz val="11"/>
      <color theme="5"/>
      <name val="Calibri"/>
      <family val="2"/>
      <scheme val="minor"/>
    </font>
    <font>
      <sz val="11"/>
      <color theme="9" tint="-0.249977111117893"/>
      <name val="Calibri"/>
      <family val="2"/>
      <scheme val="minor"/>
    </font>
    <font>
      <sz val="11"/>
      <color theme="8" tint="-0.249977111117893"/>
      <name val="Calibri"/>
      <family val="2"/>
      <scheme val="minor"/>
    </font>
    <font>
      <b/>
      <sz val="9"/>
      <color theme="0"/>
      <name val="tahoma"/>
      <family val="2"/>
    </font>
    <font>
      <sz val="9"/>
      <color theme="1"/>
      <name val="tahoma"/>
      <family val="2"/>
    </font>
    <font>
      <b/>
      <sz val="8"/>
      <color theme="0"/>
      <name val="tahoma"/>
      <family val="2"/>
    </font>
    <font>
      <sz val="9"/>
      <color theme="0"/>
      <name val="tahoma"/>
      <family val="2"/>
    </font>
    <font>
      <sz val="11"/>
      <color theme="1"/>
      <name val="Calibri"/>
      <family val="2"/>
      <charset val="163"/>
      <scheme val="minor"/>
    </font>
    <font>
      <i/>
      <sz val="11"/>
      <color theme="1"/>
      <name val="Calibri"/>
      <family val="2"/>
      <scheme val="minor"/>
    </font>
  </fonts>
  <fills count="34">
    <fill>
      <patternFill patternType="none"/>
    </fill>
    <fill>
      <patternFill patternType="gray125"/>
    </fill>
    <fill>
      <patternFill patternType="solid">
        <fgColor theme="4"/>
        <bgColor indexed="64"/>
      </patternFill>
    </fill>
    <fill>
      <patternFill patternType="solid">
        <fgColor theme="0" tint="-0.14999847407452621"/>
        <bgColor indexed="64"/>
      </patternFill>
    </fill>
    <fill>
      <patternFill patternType="solid">
        <fgColor rgb="FFFFEB9C"/>
      </patternFill>
    </fill>
    <fill>
      <patternFill patternType="solid">
        <fgColor rgb="FFFFCC99"/>
      </patternFill>
    </fill>
    <fill>
      <patternFill patternType="solid">
        <fgColor theme="4" tint="-0.249977111117893"/>
        <bgColor indexed="64"/>
      </patternFill>
    </fill>
    <fill>
      <patternFill patternType="solid">
        <fgColor rgb="FFC00000"/>
        <bgColor indexed="64"/>
      </patternFill>
    </fill>
    <fill>
      <patternFill patternType="solid">
        <fgColor theme="2"/>
        <bgColor indexed="64"/>
      </patternFill>
    </fill>
    <fill>
      <patternFill patternType="solid">
        <fgColor theme="9" tint="-0.249977111117893"/>
        <bgColor indexed="64"/>
      </patternFill>
    </fill>
    <fill>
      <patternFill patternType="solid">
        <fgColor theme="5"/>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9" tint="-0.499984740745262"/>
        <bgColor indexed="64"/>
      </patternFill>
    </fill>
    <fill>
      <patternFill patternType="solid">
        <fgColor theme="5" tint="-0.499984740745262"/>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theme="1" tint="0.34998626667073579"/>
        <bgColor indexed="64"/>
      </patternFill>
    </fill>
    <fill>
      <patternFill patternType="solid">
        <fgColor theme="2" tint="-0.499984740745262"/>
        <bgColor indexed="64"/>
      </patternFill>
    </fill>
    <fill>
      <patternFill patternType="solid">
        <fgColor theme="2" tint="-0.749992370372631"/>
        <bgColor indexed="64"/>
      </patternFill>
    </fill>
    <fill>
      <patternFill patternType="solid">
        <fgColor theme="7" tint="0.59999389629810485"/>
        <bgColor indexed="64"/>
      </patternFill>
    </fill>
    <fill>
      <patternFill patternType="solid">
        <fgColor theme="3"/>
        <bgColor indexed="64"/>
      </patternFill>
    </fill>
    <fill>
      <patternFill patternType="solid">
        <fgColor theme="6" tint="-0.499984740745262"/>
        <bgColor indexed="64"/>
      </patternFill>
    </fill>
    <fill>
      <gradientFill degree="90">
        <stop position="0">
          <color theme="0" tint="-0.1490218817712943"/>
        </stop>
        <stop position="1">
          <color theme="0" tint="-5.0965910824915313E-2"/>
        </stop>
      </gradientFill>
    </fill>
    <fill>
      <patternFill patternType="solid">
        <fgColor rgb="FF7030A0"/>
        <bgColor indexed="64"/>
      </patternFill>
    </fill>
    <fill>
      <patternFill patternType="solid">
        <fgColor theme="5" tint="-0.249977111117893"/>
        <bgColor indexed="64"/>
      </patternFill>
    </fill>
    <fill>
      <patternFill patternType="solid">
        <fgColor theme="0"/>
        <bgColor indexed="64"/>
      </patternFill>
    </fill>
    <fill>
      <patternFill patternType="solid">
        <fgColor theme="3" tint="-0.249977111117893"/>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theme="9"/>
        <bgColor indexed="64"/>
      </patternFill>
    </fill>
    <fill>
      <patternFill patternType="solid">
        <fgColor theme="7" tint="-0.249977111117893"/>
        <bgColor indexed="64"/>
      </patternFill>
    </fill>
    <fill>
      <patternFill patternType="solid">
        <fgColor theme="8" tint="-0.499984740745262"/>
        <bgColor indexed="64"/>
      </patternFill>
    </fill>
    <fill>
      <patternFill patternType="solid">
        <fgColor theme="8"/>
        <bgColor indexed="64"/>
      </patternFill>
    </fill>
  </fills>
  <borders count="45">
    <border>
      <left/>
      <right/>
      <top/>
      <bottom/>
      <diagonal/>
    </border>
    <border>
      <left/>
      <right/>
      <top/>
      <bottom style="thick">
        <color theme="4"/>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top/>
      <bottom style="thick">
        <color theme="4" tint="0.499984740745262"/>
      </bottom>
      <diagonal/>
    </border>
    <border>
      <left style="thin">
        <color indexed="64"/>
      </left>
      <right/>
      <top/>
      <bottom/>
      <diagonal/>
    </border>
    <border>
      <left/>
      <right style="thin">
        <color rgb="FF7F7F7F"/>
      </right>
      <top style="thin">
        <color rgb="FF7F7F7F"/>
      </top>
      <bottom style="thin">
        <color rgb="FF7F7F7F"/>
      </bottom>
      <diagonal/>
    </border>
    <border>
      <left style="medium">
        <color theme="0"/>
      </left>
      <right style="medium">
        <color theme="0"/>
      </right>
      <top style="medium">
        <color theme="0"/>
      </top>
      <bottom style="medium">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style="thin">
        <color theme="4"/>
      </bottom>
      <diagonal/>
    </border>
    <border>
      <left style="thin">
        <color theme="0"/>
      </left>
      <right style="thin">
        <color theme="0"/>
      </right>
      <top style="thin">
        <color theme="4"/>
      </top>
      <bottom style="thin">
        <color theme="4"/>
      </bottom>
      <diagonal/>
    </border>
    <border>
      <left style="thin">
        <color theme="0"/>
      </left>
      <right style="thin">
        <color theme="0"/>
      </right>
      <top/>
      <bottom style="thin">
        <color theme="4"/>
      </bottom>
      <diagonal/>
    </border>
    <border>
      <left style="thin">
        <color theme="0"/>
      </left>
      <right/>
      <top style="thin">
        <color theme="0"/>
      </top>
      <bottom/>
      <diagonal/>
    </border>
    <border>
      <left/>
      <right/>
      <top style="thin">
        <color theme="0"/>
      </top>
      <bottom/>
      <diagonal/>
    </border>
    <border>
      <left style="thin">
        <color theme="0"/>
      </left>
      <right/>
      <top/>
      <bottom style="thin">
        <color theme="0"/>
      </bottom>
      <diagonal/>
    </border>
    <border>
      <left/>
      <right/>
      <top/>
      <bottom style="thin">
        <color theme="0"/>
      </bottom>
      <diagonal/>
    </border>
    <border>
      <left style="thin">
        <color theme="0"/>
      </left>
      <right style="thin">
        <color theme="0"/>
      </right>
      <top style="medium">
        <color theme="0"/>
      </top>
      <bottom style="thin">
        <color theme="0"/>
      </bottom>
      <diagonal/>
    </border>
    <border>
      <left/>
      <right/>
      <top style="medium">
        <color theme="0"/>
      </top>
      <bottom style="medium">
        <color theme="0"/>
      </bottom>
      <diagonal/>
    </border>
    <border>
      <left style="thin">
        <color theme="0"/>
      </left>
      <right/>
      <top style="medium">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style="thin">
        <color theme="0"/>
      </right>
      <top style="medium">
        <color theme="0"/>
      </top>
      <bottom style="thin">
        <color theme="0"/>
      </bottom>
      <diagonal/>
    </border>
    <border>
      <left/>
      <right style="double">
        <color auto="1"/>
      </right>
      <top/>
      <bottom/>
      <diagonal/>
    </border>
    <border>
      <left style="thin">
        <color theme="0"/>
      </left>
      <right style="thin">
        <color theme="0"/>
      </right>
      <top/>
      <bottom/>
      <diagonal/>
    </border>
    <border>
      <left/>
      <right style="thin">
        <color theme="0"/>
      </right>
      <top/>
      <bottom style="thin">
        <color theme="0"/>
      </bottom>
      <diagonal/>
    </border>
    <border>
      <left style="thin">
        <color indexed="64"/>
      </left>
      <right style="thin">
        <color theme="0"/>
      </right>
      <top style="thin">
        <color indexed="64"/>
      </top>
      <bottom style="thin">
        <color indexed="64"/>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right/>
      <top style="thin">
        <color theme="0"/>
      </top>
      <bottom style="thin">
        <color theme="0"/>
      </bottom>
      <diagonal/>
    </border>
    <border>
      <left/>
      <right style="thick">
        <color theme="4"/>
      </right>
      <top style="thick">
        <color theme="4"/>
      </top>
      <bottom/>
      <diagonal/>
    </border>
    <border>
      <left/>
      <right style="thick">
        <color theme="4"/>
      </right>
      <top/>
      <bottom/>
      <diagonal/>
    </border>
    <border>
      <left/>
      <right style="thick">
        <color theme="4"/>
      </right>
      <top/>
      <bottom style="thick">
        <color theme="4"/>
      </bottom>
      <diagonal/>
    </border>
  </borders>
  <cellStyleXfs count="11">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9" fillId="4" borderId="0" applyNumberFormat="0" applyBorder="0" applyAlignment="0" applyProtection="0"/>
    <xf numFmtId="0" fontId="10" fillId="5" borderId="3" applyNumberFormat="0" applyAlignment="0" applyProtection="0"/>
    <xf numFmtId="0" fontId="17" fillId="0" borderId="17" applyNumberFormat="0" applyFill="0" applyAlignment="0" applyProtection="0"/>
    <xf numFmtId="0" fontId="41" fillId="0" borderId="0" applyNumberFormat="0" applyFill="0" applyBorder="0" applyAlignment="0" applyProtection="0"/>
    <xf numFmtId="0" fontId="58" fillId="0" borderId="0"/>
    <xf numFmtId="168" fontId="58" fillId="0" borderId="0" applyFont="0" applyFill="0" applyBorder="0" applyAlignment="0" applyProtection="0"/>
  </cellStyleXfs>
  <cellXfs count="716">
    <xf numFmtId="0" fontId="0" fillId="0" borderId="0" xfId="0"/>
    <xf numFmtId="0" fontId="6" fillId="0" borderId="1" xfId="4" applyFont="1" applyAlignment="1">
      <alignment vertical="center"/>
    </xf>
    <xf numFmtId="0" fontId="3" fillId="0" borderId="1" xfId="4" applyAlignment="1">
      <alignment vertical="center"/>
    </xf>
    <xf numFmtId="0" fontId="0" fillId="0" borderId="0" xfId="0" applyAlignment="1">
      <alignment vertical="center"/>
    </xf>
    <xf numFmtId="0" fontId="0" fillId="0" borderId="0" xfId="0" applyAlignment="1">
      <alignment horizontal="center" vertical="center" wrapText="1"/>
    </xf>
    <xf numFmtId="0" fontId="0" fillId="0" borderId="0" xfId="0" applyAlignment="1">
      <alignment horizontal="center" vertical="center"/>
    </xf>
    <xf numFmtId="0" fontId="3" fillId="0" borderId="1" xfId="4" applyAlignment="1">
      <alignment horizontal="center" vertical="center"/>
    </xf>
    <xf numFmtId="0" fontId="5" fillId="2" borderId="2" xfId="0" applyFont="1" applyFill="1" applyBorder="1" applyAlignment="1">
      <alignment horizontal="center" vertical="center" wrapText="1"/>
    </xf>
    <xf numFmtId="0" fontId="7" fillId="0" borderId="0" xfId="3" applyFont="1" applyAlignment="1">
      <alignment vertical="center"/>
    </xf>
    <xf numFmtId="0" fontId="7" fillId="0" borderId="0" xfId="3" applyFont="1" applyAlignment="1">
      <alignment horizontal="left" vertical="center"/>
    </xf>
    <xf numFmtId="14" fontId="0" fillId="0" borderId="0" xfId="0" applyNumberFormat="1" applyAlignment="1">
      <alignment vertical="center"/>
    </xf>
    <xf numFmtId="164" fontId="0" fillId="0" borderId="0" xfId="1" applyNumberFormat="1" applyFont="1" applyAlignment="1">
      <alignment vertical="center"/>
    </xf>
    <xf numFmtId="164" fontId="0" fillId="0" borderId="0" xfId="1" applyNumberFormat="1" applyFont="1" applyAlignment="1">
      <alignment horizontal="right" vertical="center"/>
    </xf>
    <xf numFmtId="0" fontId="4" fillId="0" borderId="0" xfId="0" applyFont="1" applyAlignment="1">
      <alignment horizontal="left" vertical="center"/>
    </xf>
    <xf numFmtId="0" fontId="4" fillId="0" borderId="0" xfId="0" applyFont="1" applyAlignment="1">
      <alignment horizontal="right" vertical="center"/>
    </xf>
    <xf numFmtId="0" fontId="0" fillId="0" borderId="0" xfId="0" applyAlignment="1">
      <alignment horizontal="center"/>
    </xf>
    <xf numFmtId="0" fontId="8" fillId="3" borderId="0" xfId="0" applyFont="1" applyFill="1" applyAlignment="1">
      <alignment horizontal="center" vertical="center" wrapText="1"/>
    </xf>
    <xf numFmtId="1" fontId="0" fillId="0" borderId="0" xfId="1" applyNumberFormat="1" applyFont="1" applyAlignment="1">
      <alignment horizontal="center"/>
    </xf>
    <xf numFmtId="1" fontId="0" fillId="0" borderId="0" xfId="1" applyNumberFormat="1" applyFont="1" applyAlignment="1">
      <alignment horizontal="left"/>
    </xf>
    <xf numFmtId="0" fontId="8" fillId="0" borderId="0" xfId="0" applyFont="1"/>
    <xf numFmtId="0" fontId="11" fillId="2" borderId="2" xfId="0" applyFont="1" applyFill="1" applyBorder="1" applyAlignment="1">
      <alignment horizontal="center" vertical="center"/>
    </xf>
    <xf numFmtId="0" fontId="6" fillId="0" borderId="1" xfId="4" applyFont="1" applyAlignment="1">
      <alignment horizontal="left" vertical="center"/>
    </xf>
    <xf numFmtId="164" fontId="0" fillId="0" borderId="0" xfId="0" applyNumberFormat="1" applyAlignment="1">
      <alignment vertical="center"/>
    </xf>
    <xf numFmtId="0" fontId="11" fillId="2" borderId="2" xfId="0" applyFont="1" applyFill="1" applyBorder="1" applyAlignment="1">
      <alignment horizontal="center" vertical="center" wrapText="1"/>
    </xf>
    <xf numFmtId="0" fontId="8" fillId="0" borderId="0" xfId="0" applyFont="1" applyAlignment="1">
      <alignment vertical="center"/>
    </xf>
    <xf numFmtId="0" fontId="0" fillId="0" borderId="2" xfId="0" applyBorder="1" applyAlignment="1">
      <alignment horizontal="center" vertical="center" wrapText="1"/>
    </xf>
    <xf numFmtId="0" fontId="0" fillId="0" borderId="4" xfId="0" applyBorder="1" applyAlignment="1">
      <alignment vertical="center"/>
    </xf>
    <xf numFmtId="164" fontId="0" fillId="0" borderId="2" xfId="1" applyNumberFormat="1" applyFont="1" applyBorder="1" applyAlignment="1">
      <alignment horizontal="center" vertical="center" wrapText="1"/>
    </xf>
    <xf numFmtId="0" fontId="0" fillId="0" borderId="6" xfId="0" applyBorder="1" applyAlignment="1">
      <alignment horizontal="center" vertical="center" wrapText="1"/>
    </xf>
    <xf numFmtId="0" fontId="0" fillId="0" borderId="5" xfId="0" applyBorder="1" applyAlignment="1">
      <alignment horizontal="center" vertical="center" wrapText="1"/>
    </xf>
    <xf numFmtId="0" fontId="0" fillId="0" borderId="10" xfId="0" applyBorder="1" applyAlignment="1">
      <alignment horizontal="center" vertical="center" wrapText="1"/>
    </xf>
    <xf numFmtId="0" fontId="4" fillId="0" borderId="4" xfId="0" applyFont="1" applyBorder="1" applyAlignment="1">
      <alignment vertical="center"/>
    </xf>
    <xf numFmtId="0" fontId="0" fillId="0" borderId="9" xfId="0" applyBorder="1" applyAlignment="1">
      <alignment vertical="center"/>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11" xfId="0" applyBorder="1" applyAlignment="1">
      <alignment vertical="center"/>
    </xf>
    <xf numFmtId="0" fontId="4" fillId="0" borderId="11" xfId="0" applyFont="1" applyBorder="1" applyAlignment="1">
      <alignment horizontal="center" vertical="center" wrapText="1"/>
    </xf>
    <xf numFmtId="164" fontId="0" fillId="0" borderId="5" xfId="1" applyNumberFormat="1" applyFont="1" applyBorder="1" applyAlignment="1">
      <alignment horizontal="center" vertical="center" wrapText="1"/>
    </xf>
    <xf numFmtId="9" fontId="0" fillId="0" borderId="5" xfId="0" applyNumberFormat="1" applyBorder="1" applyAlignment="1">
      <alignment horizontal="center" vertical="center" wrapText="1"/>
    </xf>
    <xf numFmtId="166" fontId="0" fillId="0" borderId="5" xfId="0" applyNumberFormat="1" applyBorder="1" applyAlignment="1">
      <alignment horizontal="center" vertical="center" wrapText="1"/>
    </xf>
    <xf numFmtId="164" fontId="0" fillId="0" borderId="16" xfId="1" applyNumberFormat="1" applyFont="1" applyBorder="1" applyAlignment="1">
      <alignment horizontal="center" vertical="top"/>
    </xf>
    <xf numFmtId="164" fontId="0" fillId="0" borderId="6" xfId="1" applyNumberFormat="1" applyFont="1" applyBorder="1" applyAlignment="1">
      <alignment horizontal="center" vertical="top"/>
    </xf>
    <xf numFmtId="0" fontId="4" fillId="0" borderId="4" xfId="0" applyFont="1" applyBorder="1" applyAlignment="1">
      <alignment horizontal="center" vertical="center"/>
    </xf>
    <xf numFmtId="0" fontId="0" fillId="0" borderId="4" xfId="0" applyBorder="1" applyAlignment="1">
      <alignment horizontal="center" vertical="center"/>
    </xf>
    <xf numFmtId="165" fontId="0" fillId="0" borderId="0" xfId="1" applyNumberFormat="1" applyFont="1" applyAlignment="1">
      <alignment vertical="center"/>
    </xf>
    <xf numFmtId="0" fontId="12" fillId="0" borderId="0" xfId="0" applyFont="1" applyAlignment="1">
      <alignment vertical="center"/>
    </xf>
    <xf numFmtId="0" fontId="5" fillId="6" borderId="0" xfId="0" applyFont="1" applyFill="1" applyAlignment="1">
      <alignment horizontal="center" vertical="center"/>
    </xf>
    <xf numFmtId="0" fontId="5" fillId="6" borderId="0" xfId="0" applyFont="1" applyFill="1" applyAlignment="1">
      <alignment vertical="center"/>
    </xf>
    <xf numFmtId="0" fontId="11" fillId="6" borderId="0" xfId="0" applyFont="1" applyFill="1" applyAlignment="1">
      <alignment horizontal="center" vertical="center"/>
    </xf>
    <xf numFmtId="0" fontId="4" fillId="3" borderId="0" xfId="0" applyFont="1" applyFill="1" applyAlignment="1">
      <alignment horizontal="center" vertical="center"/>
    </xf>
    <xf numFmtId="164" fontId="0" fillId="0" borderId="0" xfId="1" applyNumberFormat="1" applyFont="1"/>
    <xf numFmtId="0" fontId="13" fillId="0" borderId="0" xfId="0" applyFont="1" applyAlignment="1">
      <alignment horizontal="right" vertical="center"/>
    </xf>
    <xf numFmtId="165" fontId="0" fillId="0" borderId="4" xfId="1" applyNumberFormat="1" applyFont="1" applyBorder="1" applyAlignment="1">
      <alignment vertical="center"/>
    </xf>
    <xf numFmtId="165" fontId="0" fillId="0" borderId="5" xfId="1" applyNumberFormat="1" applyFont="1" applyBorder="1" applyAlignment="1">
      <alignment horizontal="center" vertical="center" wrapText="1"/>
    </xf>
    <xf numFmtId="164" fontId="0" fillId="0" borderId="4" xfId="0" applyNumberFormat="1" applyBorder="1" applyAlignment="1">
      <alignment vertical="center"/>
    </xf>
    <xf numFmtId="0" fontId="14" fillId="2" borderId="0" xfId="0" applyFont="1" applyFill="1" applyAlignment="1">
      <alignment vertical="center"/>
    </xf>
    <xf numFmtId="0" fontId="14" fillId="2" borderId="0" xfId="0" applyFont="1" applyFill="1" applyAlignment="1">
      <alignment horizontal="center" vertical="center"/>
    </xf>
    <xf numFmtId="164" fontId="14" fillId="2" borderId="0" xfId="1" applyNumberFormat="1" applyFont="1" applyFill="1" applyAlignment="1">
      <alignment vertical="center"/>
    </xf>
    <xf numFmtId="0" fontId="15" fillId="0" borderId="0" xfId="0" applyFont="1" applyAlignment="1">
      <alignment vertical="center"/>
    </xf>
    <xf numFmtId="0" fontId="3" fillId="0" borderId="1" xfId="4" applyAlignment="1">
      <alignment horizontal="left" vertical="center"/>
    </xf>
    <xf numFmtId="14" fontId="0" fillId="0" borderId="0" xfId="0" applyNumberFormat="1" applyAlignment="1">
      <alignment horizontal="center" vertical="center"/>
    </xf>
    <xf numFmtId="0" fontId="15" fillId="0" borderId="0" xfId="0" applyFont="1" applyAlignment="1">
      <alignment horizontal="center" vertical="center"/>
    </xf>
    <xf numFmtId="0" fontId="14" fillId="7" borderId="0" xfId="0" applyFont="1" applyFill="1" applyAlignment="1">
      <alignment vertical="center"/>
    </xf>
    <xf numFmtId="164" fontId="14" fillId="7" borderId="0" xfId="0" applyNumberFormat="1" applyFont="1" applyFill="1" applyAlignment="1">
      <alignment vertical="center"/>
    </xf>
    <xf numFmtId="0" fontId="14" fillId="7" borderId="0" xfId="0" applyFont="1" applyFill="1" applyAlignment="1">
      <alignment horizontal="right" vertical="center"/>
    </xf>
    <xf numFmtId="9" fontId="0" fillId="0" borderId="0" xfId="2" applyFont="1"/>
    <xf numFmtId="0" fontId="4" fillId="3" borderId="0" xfId="0" applyFont="1" applyFill="1" applyAlignment="1">
      <alignment vertical="center"/>
    </xf>
    <xf numFmtId="0" fontId="17" fillId="0" borderId="17" xfId="7" applyAlignment="1">
      <alignment vertical="center"/>
    </xf>
    <xf numFmtId="0" fontId="0" fillId="11" borderId="0" xfId="0" applyFill="1" applyAlignment="1">
      <alignment vertical="center"/>
    </xf>
    <xf numFmtId="0" fontId="0" fillId="11" borderId="0" xfId="0" applyFill="1" applyAlignment="1">
      <alignment horizontal="right" vertical="center"/>
    </xf>
    <xf numFmtId="0" fontId="4" fillId="0" borderId="0" xfId="0" applyFont="1" applyAlignment="1">
      <alignment horizontal="center" vertical="center"/>
    </xf>
    <xf numFmtId="0" fontId="12" fillId="0" borderId="0" xfId="0" applyFont="1" applyAlignment="1">
      <alignment horizontal="right" vertical="center"/>
    </xf>
    <xf numFmtId="165" fontId="0" fillId="0" borderId="0" xfId="1" applyNumberFormat="1" applyFont="1" applyAlignment="1">
      <alignment horizontal="center" vertical="center"/>
    </xf>
    <xf numFmtId="0" fontId="0" fillId="2" borderId="6" xfId="0" applyFill="1" applyBorder="1" applyAlignment="1">
      <alignment vertical="center"/>
    </xf>
    <xf numFmtId="0" fontId="0" fillId="2" borderId="7" xfId="0" applyFill="1" applyBorder="1" applyAlignment="1">
      <alignment vertical="center"/>
    </xf>
    <xf numFmtId="0" fontId="0" fillId="2" borderId="16" xfId="0" applyFill="1" applyBorder="1" applyAlignment="1">
      <alignment vertical="center"/>
    </xf>
    <xf numFmtId="0" fontId="4" fillId="12" borderId="0" xfId="0" applyFont="1" applyFill="1" applyAlignment="1">
      <alignment horizontal="center"/>
    </xf>
    <xf numFmtId="0" fontId="4" fillId="12" borderId="0" xfId="0" applyFont="1" applyFill="1" applyAlignment="1" applyProtection="1">
      <alignment horizontal="center"/>
      <protection locked="0"/>
    </xf>
    <xf numFmtId="0" fontId="0" fillId="12" borderId="0" xfId="0" applyFill="1" applyAlignment="1">
      <alignment horizontal="center"/>
    </xf>
    <xf numFmtId="0" fontId="0" fillId="12" borderId="0" xfId="0" applyFill="1"/>
    <xf numFmtId="0" fontId="8" fillId="12" borderId="0" xfId="0" applyFont="1" applyFill="1"/>
    <xf numFmtId="0" fontId="0" fillId="12" borderId="0" xfId="0" applyFill="1" applyAlignment="1">
      <alignment vertical="center"/>
    </xf>
    <xf numFmtId="0" fontId="0" fillId="12" borderId="0" xfId="0" applyFill="1" applyAlignment="1">
      <alignment horizontal="center" vertical="center"/>
    </xf>
    <xf numFmtId="0" fontId="8" fillId="12" borderId="0" xfId="0" applyFont="1" applyFill="1" applyAlignment="1">
      <alignment vertical="center"/>
    </xf>
    <xf numFmtId="0" fontId="0" fillId="12" borderId="0" xfId="0" applyFill="1" applyAlignment="1">
      <alignment horizontal="right"/>
    </xf>
    <xf numFmtId="0" fontId="11" fillId="2" borderId="0" xfId="0" applyFont="1" applyFill="1" applyAlignment="1">
      <alignment horizontal="right"/>
    </xf>
    <xf numFmtId="0" fontId="0" fillId="3" borderId="0" xfId="0" applyFill="1" applyAlignment="1">
      <alignment vertical="center"/>
    </xf>
    <xf numFmtId="0" fontId="0" fillId="3" borderId="0" xfId="0" applyFill="1" applyAlignment="1">
      <alignment horizontal="center" vertical="center" wrapText="1"/>
    </xf>
    <xf numFmtId="0" fontId="19" fillId="3" borderId="0" xfId="0" applyFont="1" applyFill="1" applyAlignment="1">
      <alignment horizontal="center" vertical="center"/>
    </xf>
    <xf numFmtId="0" fontId="16" fillId="3" borderId="0" xfId="0" applyFont="1" applyFill="1" applyAlignment="1">
      <alignment horizontal="center" vertical="center" wrapText="1"/>
    </xf>
    <xf numFmtId="165" fontId="4" fillId="3" borderId="0" xfId="1" applyNumberFormat="1" applyFont="1" applyFill="1" applyAlignment="1">
      <alignment horizontal="center" vertical="center"/>
    </xf>
    <xf numFmtId="0" fontId="18" fillId="2" borderId="0" xfId="0" applyFont="1" applyFill="1" applyAlignment="1">
      <alignment horizontal="center" vertical="center"/>
    </xf>
    <xf numFmtId="0" fontId="5" fillId="13" borderId="4" xfId="0" applyFont="1" applyFill="1" applyBorder="1" applyAlignment="1">
      <alignment vertical="center"/>
    </xf>
    <xf numFmtId="0" fontId="5" fillId="13" borderId="5" xfId="0" applyFont="1" applyFill="1" applyBorder="1" applyAlignment="1">
      <alignment horizontal="center" vertical="center" wrapText="1"/>
    </xf>
    <xf numFmtId="0" fontId="0" fillId="13" borderId="4" xfId="0" applyFill="1" applyBorder="1" applyAlignment="1">
      <alignment vertical="center"/>
    </xf>
    <xf numFmtId="0" fontId="5" fillId="14" borderId="4" xfId="0" applyFont="1" applyFill="1" applyBorder="1" applyAlignment="1">
      <alignment vertical="center"/>
    </xf>
    <xf numFmtId="0" fontId="5" fillId="14" borderId="11" xfId="0" applyFont="1" applyFill="1" applyBorder="1" applyAlignment="1">
      <alignment vertical="center" wrapText="1"/>
    </xf>
    <xf numFmtId="0" fontId="20" fillId="14" borderId="11" xfId="0" applyFont="1" applyFill="1" applyBorder="1" applyAlignment="1">
      <alignment horizontal="center" vertical="top" wrapText="1"/>
    </xf>
    <xf numFmtId="0" fontId="5" fillId="14" borderId="5" xfId="0" applyFont="1" applyFill="1" applyBorder="1" applyAlignment="1">
      <alignment horizontal="center" vertical="center" wrapText="1"/>
    </xf>
    <xf numFmtId="0" fontId="6" fillId="0" borderId="1" xfId="4" applyFont="1" applyAlignment="1"/>
    <xf numFmtId="0" fontId="13" fillId="12" borderId="0" xfId="0" applyFont="1" applyFill="1" applyAlignment="1">
      <alignment horizontal="right" vertical="top"/>
    </xf>
    <xf numFmtId="9" fontId="13" fillId="12" borderId="0" xfId="2" applyFont="1" applyFill="1" applyAlignment="1">
      <alignment horizontal="left" vertical="top"/>
    </xf>
    <xf numFmtId="0" fontId="0" fillId="0" borderId="0" xfId="0" quotePrefix="1"/>
    <xf numFmtId="0" fontId="0" fillId="0" borderId="11" xfId="0" applyBorder="1" applyAlignment="1">
      <alignment horizontal="center" vertical="center" wrapText="1"/>
    </xf>
    <xf numFmtId="1" fontId="22" fillId="0" borderId="0" xfId="1" applyNumberFormat="1" applyFont="1" applyAlignment="1">
      <alignment horizontal="left"/>
    </xf>
    <xf numFmtId="0" fontId="4" fillId="0" borderId="0" xfId="0" applyFont="1"/>
    <xf numFmtId="49" fontId="24" fillId="15" borderId="2" xfId="0" applyNumberFormat="1" applyFont="1" applyFill="1" applyBorder="1" applyAlignment="1">
      <alignment horizontal="center" vertical="center" wrapText="1"/>
    </xf>
    <xf numFmtId="164" fontId="0" fillId="0" borderId="0" xfId="1" applyNumberFormat="1" applyFont="1" applyBorder="1"/>
    <xf numFmtId="0" fontId="22" fillId="0" borderId="0" xfId="0" applyFont="1" applyAlignment="1">
      <alignment vertical="center"/>
    </xf>
    <xf numFmtId="1" fontId="23" fillId="0" borderId="0" xfId="1" applyNumberFormat="1" applyFont="1" applyAlignment="1">
      <alignment horizontal="center" vertical="center"/>
    </xf>
    <xf numFmtId="0" fontId="0" fillId="3" borderId="0" xfId="0" applyFill="1" applyAlignment="1">
      <alignment horizontal="center" vertical="center"/>
    </xf>
    <xf numFmtId="0" fontId="11" fillId="16" borderId="0" xfId="0" applyFont="1" applyFill="1" applyAlignment="1">
      <alignment horizontal="center" vertical="center"/>
    </xf>
    <xf numFmtId="164" fontId="0" fillId="0" borderId="14" xfId="1" applyNumberFormat="1" applyFont="1" applyBorder="1" applyAlignment="1">
      <alignment horizontal="center" vertical="center" wrapText="1"/>
    </xf>
    <xf numFmtId="0" fontId="5" fillId="13" borderId="10" xfId="0" applyFont="1" applyFill="1" applyBorder="1" applyAlignment="1">
      <alignment horizontal="center" vertical="center" wrapText="1"/>
    </xf>
    <xf numFmtId="0" fontId="0" fillId="0" borderId="18" xfId="0" applyBorder="1" applyAlignment="1">
      <alignment horizontal="center" vertical="center" wrapText="1"/>
    </xf>
    <xf numFmtId="166" fontId="0" fillId="0" borderId="14" xfId="0" applyNumberFormat="1" applyBorder="1" applyAlignment="1">
      <alignment horizontal="center" vertical="center" wrapText="1"/>
    </xf>
    <xf numFmtId="166" fontId="0" fillId="0" borderId="15" xfId="0" applyNumberFormat="1" applyBorder="1" applyAlignment="1">
      <alignment horizontal="center" vertical="center" wrapText="1"/>
    </xf>
    <xf numFmtId="166" fontId="0" fillId="0" borderId="10" xfId="0" applyNumberFormat="1" applyBorder="1" applyAlignment="1">
      <alignment horizontal="center" vertical="center" wrapText="1"/>
    </xf>
    <xf numFmtId="0" fontId="22" fillId="0" borderId="0" xfId="0" applyFont="1" applyAlignment="1">
      <alignment horizontal="center" vertical="center"/>
    </xf>
    <xf numFmtId="0" fontId="20" fillId="7" borderId="0" xfId="0" applyFont="1" applyFill="1" applyAlignment="1">
      <alignment horizontal="right" vertical="center"/>
    </xf>
    <xf numFmtId="164" fontId="20" fillId="7" borderId="0" xfId="0" applyNumberFormat="1" applyFont="1" applyFill="1" applyAlignment="1">
      <alignment vertical="center"/>
    </xf>
    <xf numFmtId="0" fontId="20" fillId="7" borderId="0" xfId="0" applyFont="1" applyFill="1" applyAlignment="1">
      <alignment vertical="center"/>
    </xf>
    <xf numFmtId="0" fontId="22" fillId="3" borderId="0" xfId="0" applyFont="1" applyFill="1" applyAlignment="1">
      <alignment vertical="center"/>
    </xf>
    <xf numFmtId="0" fontId="20" fillId="2" borderId="0" xfId="0" applyFont="1" applyFill="1" applyAlignment="1">
      <alignment vertical="center"/>
    </xf>
    <xf numFmtId="0" fontId="20" fillId="2" borderId="0" xfId="0" applyFont="1" applyFill="1" applyAlignment="1">
      <alignment horizontal="center" vertical="center"/>
    </xf>
    <xf numFmtId="164" fontId="20" fillId="2" borderId="0" xfId="1" applyNumberFormat="1" applyFont="1" applyFill="1" applyAlignment="1">
      <alignment vertical="center"/>
    </xf>
    <xf numFmtId="0" fontId="0" fillId="0" borderId="15" xfId="0" applyBorder="1" applyAlignment="1">
      <alignment horizontal="center" vertical="center" wrapText="1"/>
    </xf>
    <xf numFmtId="0" fontId="5" fillId="0" borderId="0" xfId="0" applyFont="1" applyAlignment="1">
      <alignment vertical="center"/>
    </xf>
    <xf numFmtId="164" fontId="25" fillId="0" borderId="0" xfId="1" applyNumberFormat="1" applyFont="1" applyAlignment="1">
      <alignment vertical="center"/>
    </xf>
    <xf numFmtId="0" fontId="25" fillId="3" borderId="0" xfId="0" applyFont="1" applyFill="1" applyAlignment="1">
      <alignment horizontal="center" vertical="center"/>
    </xf>
    <xf numFmtId="0" fontId="26" fillId="0" borderId="0" xfId="0" applyFont="1" applyAlignment="1">
      <alignment horizontal="center" vertical="center" wrapText="1"/>
    </xf>
    <xf numFmtId="1" fontId="22" fillId="0" borderId="0" xfId="1" applyNumberFormat="1" applyFont="1" applyAlignment="1">
      <alignment horizontal="center" vertical="center"/>
    </xf>
    <xf numFmtId="9" fontId="11" fillId="0" borderId="0" xfId="2" applyFont="1" applyAlignment="1"/>
    <xf numFmtId="9" fontId="4" fillId="0" borderId="0" xfId="2" applyFont="1" applyBorder="1" applyAlignment="1"/>
    <xf numFmtId="9" fontId="4" fillId="12" borderId="0" xfId="2" applyFont="1" applyFill="1" applyAlignment="1">
      <alignment vertical="center"/>
    </xf>
    <xf numFmtId="0" fontId="11" fillId="17" borderId="0" xfId="0" applyFont="1" applyFill="1" applyAlignment="1">
      <alignment horizontal="left"/>
    </xf>
    <xf numFmtId="0" fontId="11" fillId="17" borderId="0" xfId="0" applyFont="1" applyFill="1" applyAlignment="1">
      <alignment horizontal="center"/>
    </xf>
    <xf numFmtId="1" fontId="0" fillId="0" borderId="0" xfId="0" applyNumberFormat="1" applyAlignment="1">
      <alignment horizontal="center"/>
    </xf>
    <xf numFmtId="0" fontId="0" fillId="0" borderId="0" xfId="2" applyNumberFormat="1" applyFont="1" applyAlignment="1">
      <alignment horizontal="center"/>
    </xf>
    <xf numFmtId="0" fontId="28" fillId="3" borderId="0" xfId="0" applyFont="1" applyFill="1" applyAlignment="1">
      <alignment horizontal="center" vertical="center"/>
    </xf>
    <xf numFmtId="0" fontId="0" fillId="18" borderId="0" xfId="0" applyFill="1"/>
    <xf numFmtId="0" fontId="5" fillId="18" borderId="0" xfId="0" applyFont="1" applyFill="1"/>
    <xf numFmtId="0" fontId="5" fillId="18" borderId="0" xfId="0" applyFont="1" applyFill="1" applyAlignment="1">
      <alignment horizontal="right"/>
    </xf>
    <xf numFmtId="0" fontId="23" fillId="0" borderId="2" xfId="0" applyFont="1" applyBorder="1" applyAlignment="1">
      <alignment horizontal="center" vertical="center" wrapText="1"/>
    </xf>
    <xf numFmtId="0" fontId="6" fillId="0" borderId="1" xfId="4" applyFont="1"/>
    <xf numFmtId="0" fontId="5" fillId="19" borderId="0" xfId="0" applyFont="1" applyFill="1" applyAlignment="1">
      <alignment horizontal="center" vertical="center"/>
    </xf>
    <xf numFmtId="0" fontId="27" fillId="17" borderId="0" xfId="0" applyFont="1" applyFill="1" applyAlignment="1">
      <alignment horizontal="left" vertical="center"/>
    </xf>
    <xf numFmtId="0" fontId="0" fillId="17" borderId="0" xfId="0" applyFill="1" applyAlignment="1">
      <alignment horizontal="center" vertical="center"/>
    </xf>
    <xf numFmtId="0" fontId="0" fillId="17" borderId="0" xfId="0" applyFill="1" applyAlignment="1">
      <alignment horizontal="center"/>
    </xf>
    <xf numFmtId="0" fontId="0" fillId="17" borderId="0" xfId="0" applyFill="1"/>
    <xf numFmtId="0" fontId="4" fillId="0" borderId="0" xfId="0" applyFont="1" applyAlignment="1">
      <alignment vertical="center"/>
    </xf>
    <xf numFmtId="0" fontId="5" fillId="6" borderId="0" xfId="0" applyFont="1" applyFill="1"/>
    <xf numFmtId="0" fontId="29" fillId="0" borderId="0" xfId="0" applyFont="1" applyAlignment="1">
      <alignment horizontal="center" vertical="center"/>
    </xf>
    <xf numFmtId="0" fontId="0" fillId="18" borderId="0" xfId="0" applyFill="1" applyAlignment="1">
      <alignment horizontal="center" vertical="center"/>
    </xf>
    <xf numFmtId="0" fontId="3" fillId="0" borderId="1" xfId="4"/>
    <xf numFmtId="0" fontId="5" fillId="0" borderId="0" xfId="0" applyFont="1"/>
    <xf numFmtId="0" fontId="5" fillId="0" borderId="0" xfId="0" applyFont="1" applyAlignment="1">
      <alignment horizontal="center"/>
    </xf>
    <xf numFmtId="0" fontId="19" fillId="0" borderId="0" xfId="0" applyFont="1" applyAlignment="1">
      <alignment horizontal="left" vertical="center"/>
    </xf>
    <xf numFmtId="0" fontId="19" fillId="0" borderId="0" xfId="0" applyFont="1" applyAlignment="1">
      <alignment horizontal="center" vertical="center"/>
    </xf>
    <xf numFmtId="0" fontId="11" fillId="6" borderId="0" xfId="0" applyFont="1" applyFill="1" applyAlignment="1">
      <alignment horizontal="center"/>
    </xf>
    <xf numFmtId="0" fontId="0" fillId="20" borderId="2" xfId="0" applyFill="1" applyBorder="1" applyAlignment="1">
      <alignment horizontal="center" vertical="center" wrapText="1"/>
    </xf>
    <xf numFmtId="0" fontId="0" fillId="20" borderId="16" xfId="0" applyFill="1" applyBorder="1" applyAlignment="1">
      <alignment horizontal="center" vertical="center" wrapText="1"/>
    </xf>
    <xf numFmtId="0" fontId="0" fillId="20" borderId="11" xfId="0" applyFill="1" applyBorder="1" applyAlignment="1">
      <alignment horizontal="center" vertical="top" wrapText="1"/>
    </xf>
    <xf numFmtId="0" fontId="4" fillId="20" borderId="4" xfId="0" applyFont="1" applyFill="1" applyBorder="1" applyAlignment="1">
      <alignment horizontal="center" vertical="center"/>
    </xf>
    <xf numFmtId="0" fontId="4" fillId="20" borderId="11" xfId="0" applyFont="1" applyFill="1" applyBorder="1" applyAlignment="1">
      <alignment vertical="center"/>
    </xf>
    <xf numFmtId="0" fontId="0" fillId="20" borderId="5" xfId="0" applyFill="1" applyBorder="1" applyAlignment="1">
      <alignment horizontal="center" vertical="center" wrapText="1"/>
    </xf>
    <xf numFmtId="0" fontId="0" fillId="20" borderId="14" xfId="0" applyFill="1" applyBorder="1" applyAlignment="1">
      <alignment horizontal="center" vertical="center" wrapText="1"/>
    </xf>
    <xf numFmtId="9" fontId="0" fillId="20" borderId="5" xfId="0" applyNumberFormat="1" applyFill="1" applyBorder="1" applyAlignment="1">
      <alignment horizontal="center" vertical="center" wrapText="1"/>
    </xf>
    <xf numFmtId="0" fontId="4" fillId="20" borderId="4" xfId="0" applyFont="1" applyFill="1" applyBorder="1" applyAlignment="1">
      <alignment vertical="center"/>
    </xf>
    <xf numFmtId="0" fontId="0" fillId="20" borderId="5" xfId="0" applyFill="1" applyBorder="1" applyAlignment="1">
      <alignment horizontal="center" vertical="top" wrapText="1"/>
    </xf>
    <xf numFmtId="0" fontId="4" fillId="20" borderId="8" xfId="0" applyFont="1" applyFill="1" applyBorder="1" applyAlignment="1">
      <alignment vertical="center"/>
    </xf>
    <xf numFmtId="0" fontId="0" fillId="20" borderId="15" xfId="0" applyFill="1" applyBorder="1" applyAlignment="1">
      <alignment horizontal="center" vertical="top" wrapText="1"/>
    </xf>
    <xf numFmtId="0" fontId="8" fillId="12" borderId="0" xfId="0" applyFont="1" applyFill="1" applyAlignment="1">
      <alignment horizontal="center"/>
    </xf>
    <xf numFmtId="0" fontId="8" fillId="12" borderId="0" xfId="0" applyFont="1" applyFill="1" applyAlignment="1">
      <alignment horizontal="center" vertical="center"/>
    </xf>
    <xf numFmtId="0" fontId="0" fillId="0" borderId="16" xfId="0" applyBorder="1" applyAlignment="1">
      <alignment horizontal="center" vertical="center"/>
    </xf>
    <xf numFmtId="0" fontId="0" fillId="0" borderId="2" xfId="0" applyBorder="1" applyAlignment="1">
      <alignment vertical="center"/>
    </xf>
    <xf numFmtId="0" fontId="0" fillId="0" borderId="2" xfId="0" applyBorder="1" applyAlignment="1">
      <alignment horizontal="center" vertical="center"/>
    </xf>
    <xf numFmtId="0" fontId="0" fillId="0" borderId="2" xfId="0" applyBorder="1"/>
    <xf numFmtId="0" fontId="0" fillId="0" borderId="2" xfId="0" quotePrefix="1" applyBorder="1" applyAlignment="1">
      <alignment horizontal="center" vertical="center"/>
    </xf>
    <xf numFmtId="0" fontId="26" fillId="3" borderId="6" xfId="0" applyFont="1" applyFill="1" applyBorder="1" applyAlignment="1">
      <alignment horizontal="center" vertical="center" wrapText="1"/>
    </xf>
    <xf numFmtId="0" fontId="26" fillId="3" borderId="7" xfId="0" applyFont="1" applyFill="1" applyBorder="1" applyAlignment="1">
      <alignment horizontal="center" vertical="center" wrapText="1"/>
    </xf>
    <xf numFmtId="0" fontId="26" fillId="3" borderId="16" xfId="0" applyFont="1" applyFill="1" applyBorder="1" applyAlignment="1">
      <alignment horizontal="center" vertical="center" wrapText="1"/>
    </xf>
    <xf numFmtId="0" fontId="35" fillId="17" borderId="0" xfId="0" applyFont="1" applyFill="1" applyAlignment="1">
      <alignment horizontal="center"/>
    </xf>
    <xf numFmtId="0" fontId="36" fillId="16" borderId="0" xfId="0" applyFont="1" applyFill="1" applyAlignment="1">
      <alignment horizontal="center" vertical="center"/>
    </xf>
    <xf numFmtId="1" fontId="22" fillId="0" borderId="0" xfId="1" applyNumberFormat="1" applyFont="1" applyAlignment="1">
      <alignment horizontal="center"/>
    </xf>
    <xf numFmtId="0" fontId="22" fillId="20" borderId="11" xfId="0" applyFont="1" applyFill="1" applyBorder="1" applyAlignment="1">
      <alignment horizontal="center" vertical="center" wrapText="1"/>
    </xf>
    <xf numFmtId="0" fontId="37" fillId="0" borderId="1" xfId="4" applyFont="1"/>
    <xf numFmtId="0" fontId="0" fillId="0" borderId="0" xfId="0" applyAlignment="1">
      <alignment horizontal="left" vertical="center"/>
    </xf>
    <xf numFmtId="0" fontId="0" fillId="20" borderId="2" xfId="0" applyFill="1" applyBorder="1" applyAlignment="1">
      <alignment vertical="center"/>
    </xf>
    <xf numFmtId="17" fontId="0" fillId="0" borderId="2" xfId="0" applyNumberFormat="1" applyBorder="1" applyAlignment="1">
      <alignment vertical="center"/>
    </xf>
    <xf numFmtId="0" fontId="29" fillId="20" borderId="4" xfId="0" applyFont="1" applyFill="1" applyBorder="1" applyAlignment="1">
      <alignment vertical="center"/>
    </xf>
    <xf numFmtId="0" fontId="29" fillId="0" borderId="4" xfId="0" applyFont="1" applyBorder="1" applyAlignment="1">
      <alignment vertical="center"/>
    </xf>
    <xf numFmtId="0" fontId="29" fillId="20" borderId="8" xfId="0" applyFont="1" applyFill="1" applyBorder="1" applyAlignment="1">
      <alignment vertical="center"/>
    </xf>
    <xf numFmtId="0" fontId="29" fillId="20" borderId="11" xfId="0" applyFont="1" applyFill="1" applyBorder="1" applyAlignment="1">
      <alignment vertical="center"/>
    </xf>
    <xf numFmtId="0" fontId="22" fillId="20" borderId="2" xfId="0" applyFont="1" applyFill="1" applyBorder="1" applyAlignment="1">
      <alignment horizontal="center" vertical="center" wrapText="1"/>
    </xf>
    <xf numFmtId="0" fontId="22" fillId="0" borderId="2" xfId="0" applyFont="1" applyBorder="1" applyAlignment="1">
      <alignment horizontal="center" vertical="center" wrapText="1"/>
    </xf>
    <xf numFmtId="0" fontId="22" fillId="0" borderId="11" xfId="0" applyFont="1" applyBorder="1" applyAlignment="1">
      <alignment horizontal="center" vertical="center" wrapText="1"/>
    </xf>
    <xf numFmtId="0" fontId="22" fillId="20" borderId="16" xfId="0" applyFont="1" applyFill="1" applyBorder="1" applyAlignment="1">
      <alignment horizontal="center" vertical="center" wrapText="1"/>
    </xf>
    <xf numFmtId="0" fontId="22" fillId="0" borderId="6" xfId="0" applyFont="1" applyBorder="1" applyAlignment="1">
      <alignment horizontal="center" vertical="center" wrapText="1"/>
    </xf>
    <xf numFmtId="0" fontId="22" fillId="20" borderId="5" xfId="0" applyFont="1" applyFill="1" applyBorder="1" applyAlignment="1">
      <alignment horizontal="center" vertical="top" wrapText="1"/>
    </xf>
    <xf numFmtId="0" fontId="22" fillId="20" borderId="15" xfId="0" applyFont="1" applyFill="1" applyBorder="1" applyAlignment="1">
      <alignment horizontal="center" vertical="top" wrapText="1"/>
    </xf>
    <xf numFmtId="0" fontId="22" fillId="20" borderId="11" xfId="0" applyFont="1" applyFill="1" applyBorder="1" applyAlignment="1">
      <alignment horizontal="center" vertical="top" wrapText="1"/>
    </xf>
    <xf numFmtId="0" fontId="11" fillId="14" borderId="11" xfId="0" applyFont="1" applyFill="1" applyBorder="1" applyAlignment="1">
      <alignment horizontal="center" vertical="top" wrapText="1"/>
    </xf>
    <xf numFmtId="0" fontId="0" fillId="20" borderId="11" xfId="0" applyFill="1" applyBorder="1" applyAlignment="1">
      <alignment horizontal="center" vertical="center" wrapText="1"/>
    </xf>
    <xf numFmtId="0" fontId="30" fillId="0" borderId="0" xfId="0" applyFont="1" applyAlignment="1">
      <alignment horizontal="center" vertical="center"/>
    </xf>
    <xf numFmtId="0" fontId="30" fillId="0" borderId="0" xfId="0" applyFont="1"/>
    <xf numFmtId="0" fontId="4" fillId="0" borderId="0" xfId="0" applyFont="1" applyAlignment="1">
      <alignment horizontal="center"/>
    </xf>
    <xf numFmtId="164" fontId="4" fillId="0" borderId="0" xfId="0" applyNumberFormat="1" applyFont="1"/>
    <xf numFmtId="0" fontId="11" fillId="17" borderId="0" xfId="0" applyFont="1" applyFill="1" applyAlignment="1">
      <alignment horizontal="right" vertical="center"/>
    </xf>
    <xf numFmtId="0" fontId="38" fillId="0" borderId="0" xfId="0" applyFont="1" applyAlignment="1">
      <alignment horizontal="left" vertical="center"/>
    </xf>
    <xf numFmtId="164" fontId="20" fillId="7" borderId="0" xfId="0" applyNumberFormat="1" applyFont="1" applyFill="1" applyAlignment="1">
      <alignment horizontal="center" vertical="center"/>
    </xf>
    <xf numFmtId="164" fontId="20" fillId="2" borderId="0" xfId="1" applyNumberFormat="1" applyFont="1" applyFill="1" applyAlignment="1">
      <alignment horizontal="center" vertical="center"/>
    </xf>
    <xf numFmtId="164" fontId="14" fillId="7" borderId="0" xfId="0" applyNumberFormat="1" applyFont="1" applyFill="1" applyAlignment="1">
      <alignment horizontal="center" vertical="center"/>
    </xf>
    <xf numFmtId="164" fontId="14" fillId="2" borderId="0" xfId="1" applyNumberFormat="1" applyFont="1" applyFill="1" applyAlignment="1">
      <alignment horizontal="center" vertical="center"/>
    </xf>
    <xf numFmtId="0" fontId="29" fillId="20" borderId="4" xfId="0" applyFont="1" applyFill="1" applyBorder="1" applyAlignment="1">
      <alignment horizontal="center" vertical="center"/>
    </xf>
    <xf numFmtId="0" fontId="4" fillId="0" borderId="11" xfId="0" applyFont="1" applyBorder="1" applyAlignment="1">
      <alignment horizontal="center" vertical="top" wrapText="1"/>
    </xf>
    <xf numFmtId="0" fontId="17" fillId="0" borderId="17" xfId="7" applyAlignment="1">
      <alignment horizontal="left" vertical="center"/>
    </xf>
    <xf numFmtId="0" fontId="11" fillId="22" borderId="8" xfId="0" applyFont="1" applyFill="1" applyBorder="1" applyAlignment="1">
      <alignment horizontal="center" vertical="center"/>
    </xf>
    <xf numFmtId="0" fontId="11" fillId="2" borderId="18" xfId="0" applyFont="1" applyFill="1" applyBorder="1" applyAlignment="1">
      <alignment vertical="center"/>
    </xf>
    <xf numFmtId="0" fontId="11" fillId="2" borderId="0" xfId="0" applyFont="1" applyFill="1" applyAlignment="1">
      <alignment vertical="center"/>
    </xf>
    <xf numFmtId="164" fontId="11" fillId="2" borderId="0" xfId="0" applyNumberFormat="1" applyFont="1" applyFill="1" applyAlignment="1">
      <alignment vertical="center"/>
    </xf>
    <xf numFmtId="164" fontId="11" fillId="2" borderId="13" xfId="0" applyNumberFormat="1" applyFont="1" applyFill="1" applyBorder="1" applyAlignment="1">
      <alignment vertical="center"/>
    </xf>
    <xf numFmtId="0" fontId="11" fillId="10" borderId="15" xfId="0" applyFont="1" applyFill="1" applyBorder="1" applyAlignment="1">
      <alignment vertical="center"/>
    </xf>
    <xf numFmtId="14" fontId="0" fillId="0" borderId="2" xfId="0" applyNumberFormat="1" applyBorder="1" applyAlignment="1">
      <alignment vertical="center"/>
    </xf>
    <xf numFmtId="166" fontId="4" fillId="0" borderId="0" xfId="2" applyNumberFormat="1" applyFont="1" applyBorder="1" applyAlignment="1">
      <alignment horizontal="center" vertical="center"/>
    </xf>
    <xf numFmtId="164" fontId="11" fillId="10" borderId="15" xfId="0" applyNumberFormat="1" applyFont="1" applyFill="1" applyBorder="1" applyAlignment="1">
      <alignment vertical="center"/>
    </xf>
    <xf numFmtId="164" fontId="11" fillId="10" borderId="10" xfId="0" applyNumberFormat="1" applyFont="1" applyFill="1" applyBorder="1" applyAlignment="1">
      <alignment vertical="center"/>
    </xf>
    <xf numFmtId="0" fontId="11" fillId="22" borderId="12" xfId="0" applyFont="1" applyFill="1" applyBorder="1" applyAlignment="1">
      <alignment vertical="center"/>
    </xf>
    <xf numFmtId="0" fontId="11" fillId="22" borderId="8" xfId="0" applyFont="1" applyFill="1" applyBorder="1" applyAlignment="1">
      <alignment vertical="center"/>
    </xf>
    <xf numFmtId="0" fontId="11" fillId="22" borderId="9" xfId="0" applyFont="1" applyFill="1" applyBorder="1" applyAlignment="1">
      <alignment vertical="center"/>
    </xf>
    <xf numFmtId="0" fontId="4" fillId="0" borderId="18" xfId="0" applyFont="1" applyBorder="1" applyAlignment="1">
      <alignment vertical="center"/>
    </xf>
    <xf numFmtId="0" fontId="4" fillId="0" borderId="12" xfId="0" applyFont="1" applyBorder="1" applyAlignment="1">
      <alignment vertical="center"/>
    </xf>
    <xf numFmtId="164" fontId="0" fillId="0" borderId="8" xfId="1" applyNumberFormat="1" applyFont="1" applyBorder="1" applyAlignment="1">
      <alignment vertical="center"/>
    </xf>
    <xf numFmtId="164" fontId="0" fillId="0" borderId="9" xfId="1" applyNumberFormat="1" applyFont="1" applyBorder="1" applyAlignment="1">
      <alignment vertical="center"/>
    </xf>
    <xf numFmtId="164" fontId="0" fillId="0" borderId="0" xfId="1" applyNumberFormat="1" applyFont="1" applyBorder="1" applyAlignment="1">
      <alignment vertical="center"/>
    </xf>
    <xf numFmtId="164" fontId="0" fillId="0" borderId="13" xfId="1" applyNumberFormat="1" applyFont="1" applyBorder="1" applyAlignment="1">
      <alignment vertical="center"/>
    </xf>
    <xf numFmtId="0" fontId="11" fillId="10" borderId="14" xfId="0" applyFont="1" applyFill="1" applyBorder="1" applyAlignment="1">
      <alignment vertical="center"/>
    </xf>
    <xf numFmtId="166" fontId="4" fillId="0" borderId="8" xfId="2" applyNumberFormat="1" applyFont="1" applyBorder="1" applyAlignment="1">
      <alignment horizontal="center" vertical="center"/>
    </xf>
    <xf numFmtId="0" fontId="0" fillId="8" borderId="8" xfId="0" applyFill="1" applyBorder="1" applyAlignment="1">
      <alignment vertical="center"/>
    </xf>
    <xf numFmtId="164" fontId="4" fillId="8" borderId="8" xfId="1" applyNumberFormat="1" applyFont="1" applyFill="1" applyBorder="1" applyAlignment="1">
      <alignment vertical="center"/>
    </xf>
    <xf numFmtId="164" fontId="4" fillId="8" borderId="9" xfId="1" applyNumberFormat="1" applyFont="1" applyFill="1" applyBorder="1" applyAlignment="1">
      <alignment vertical="center"/>
    </xf>
    <xf numFmtId="164" fontId="0" fillId="0" borderId="13" xfId="0" applyNumberFormat="1" applyBorder="1" applyAlignment="1">
      <alignment vertical="center"/>
    </xf>
    <xf numFmtId="0" fontId="11" fillId="2" borderId="14" xfId="0" applyFont="1" applyFill="1" applyBorder="1" applyAlignment="1">
      <alignment vertical="center"/>
    </xf>
    <xf numFmtId="0" fontId="11" fillId="2" borderId="15" xfId="0" applyFont="1" applyFill="1" applyBorder="1" applyAlignment="1">
      <alignment vertical="center"/>
    </xf>
    <xf numFmtId="164" fontId="11" fillId="2" borderId="15" xfId="0" applyNumberFormat="1" applyFont="1" applyFill="1" applyBorder="1" applyAlignment="1">
      <alignment vertical="center"/>
    </xf>
    <xf numFmtId="164" fontId="11" fillId="2" borderId="10" xfId="0" applyNumberFormat="1" applyFont="1" applyFill="1" applyBorder="1" applyAlignment="1">
      <alignment vertical="center"/>
    </xf>
    <xf numFmtId="0" fontId="17" fillId="0" borderId="0" xfId="7" applyBorder="1" applyAlignment="1">
      <alignment vertical="center"/>
    </xf>
    <xf numFmtId="0" fontId="17" fillId="0" borderId="0" xfId="7" applyBorder="1" applyAlignment="1">
      <alignment horizontal="right" vertical="center"/>
    </xf>
    <xf numFmtId="0" fontId="4" fillId="23" borderId="12" xfId="0" applyFont="1" applyFill="1" applyBorder="1" applyAlignment="1">
      <alignment vertical="center"/>
    </xf>
    <xf numFmtId="0" fontId="0" fillId="23" borderId="8" xfId="0" applyFill="1" applyBorder="1" applyAlignment="1">
      <alignment vertical="center"/>
    </xf>
    <xf numFmtId="164" fontId="4" fillId="23" borderId="8" xfId="1" applyNumberFormat="1" applyFont="1" applyFill="1" applyBorder="1" applyAlignment="1">
      <alignment vertical="center"/>
    </xf>
    <xf numFmtId="164" fontId="4" fillId="23" borderId="9" xfId="1" applyNumberFormat="1" applyFont="1" applyFill="1" applyBorder="1" applyAlignment="1">
      <alignment vertical="center"/>
    </xf>
    <xf numFmtId="0" fontId="4" fillId="8" borderId="12" xfId="0" applyFont="1" applyFill="1" applyBorder="1" applyAlignment="1">
      <alignment vertical="center"/>
    </xf>
    <xf numFmtId="0" fontId="11" fillId="9" borderId="14" xfId="0" applyFont="1" applyFill="1" applyBorder="1" applyAlignment="1">
      <alignment vertical="center"/>
    </xf>
    <xf numFmtId="0" fontId="11" fillId="9" borderId="15" xfId="0" applyFont="1" applyFill="1" applyBorder="1" applyAlignment="1">
      <alignment vertical="center"/>
    </xf>
    <xf numFmtId="164" fontId="11" fillId="9" borderId="15" xfId="0" applyNumberFormat="1" applyFont="1" applyFill="1" applyBorder="1" applyAlignment="1">
      <alignment vertical="center"/>
    </xf>
    <xf numFmtId="164" fontId="11" fillId="9" borderId="10" xfId="0" applyNumberFormat="1" applyFont="1" applyFill="1" applyBorder="1" applyAlignment="1">
      <alignment vertical="center"/>
    </xf>
    <xf numFmtId="0" fontId="11" fillId="24" borderId="14" xfId="0" applyFont="1" applyFill="1" applyBorder="1" applyAlignment="1">
      <alignment vertical="center"/>
    </xf>
    <xf numFmtId="0" fontId="11" fillId="24" borderId="15" xfId="0" applyFont="1" applyFill="1" applyBorder="1" applyAlignment="1">
      <alignment vertical="center"/>
    </xf>
    <xf numFmtId="164" fontId="11" fillId="24" borderId="15" xfId="0" applyNumberFormat="1" applyFont="1" applyFill="1" applyBorder="1" applyAlignment="1">
      <alignment vertical="center"/>
    </xf>
    <xf numFmtId="164" fontId="11" fillId="24" borderId="10" xfId="0" applyNumberFormat="1" applyFont="1" applyFill="1" applyBorder="1" applyAlignment="1">
      <alignment vertical="center"/>
    </xf>
    <xf numFmtId="0" fontId="11" fillId="19" borderId="0" xfId="0" applyFont="1" applyFill="1" applyAlignment="1">
      <alignment vertical="center"/>
    </xf>
    <xf numFmtId="0" fontId="5" fillId="19" borderId="0" xfId="0" applyFont="1" applyFill="1" applyAlignment="1">
      <alignment vertical="center"/>
    </xf>
    <xf numFmtId="164" fontId="0" fillId="11" borderId="0" xfId="1" applyNumberFormat="1" applyFont="1" applyFill="1" applyAlignment="1">
      <alignment vertical="center"/>
    </xf>
    <xf numFmtId="164" fontId="0" fillId="11" borderId="0" xfId="0" applyNumberFormat="1" applyFill="1" applyAlignment="1">
      <alignment vertical="center"/>
    </xf>
    <xf numFmtId="0" fontId="0" fillId="11" borderId="0" xfId="0" applyFill="1" applyAlignment="1">
      <alignment vertical="center" wrapText="1"/>
    </xf>
    <xf numFmtId="0" fontId="4" fillId="11" borderId="0" xfId="0" applyFont="1" applyFill="1" applyAlignment="1">
      <alignment horizontal="center" vertical="center"/>
    </xf>
    <xf numFmtId="10" fontId="0" fillId="11" borderId="0" xfId="0" applyNumberFormat="1" applyFill="1" applyAlignment="1">
      <alignment horizontal="center" vertical="center" wrapText="1"/>
    </xf>
    <xf numFmtId="10" fontId="5" fillId="11" borderId="0" xfId="0" applyNumberFormat="1" applyFont="1" applyFill="1" applyAlignment="1">
      <alignment horizontal="center" vertical="center" wrapText="1"/>
    </xf>
    <xf numFmtId="0" fontId="11" fillId="11" borderId="0" xfId="0" applyFont="1" applyFill="1" applyAlignment="1">
      <alignment horizontal="center" vertical="center"/>
    </xf>
    <xf numFmtId="0" fontId="4" fillId="11" borderId="0" xfId="0" applyFont="1" applyFill="1" applyAlignment="1">
      <alignment vertical="center" wrapText="1"/>
    </xf>
    <xf numFmtId="10" fontId="0" fillId="0" borderId="0" xfId="0" applyNumberFormat="1" applyAlignment="1">
      <alignment vertical="center"/>
    </xf>
    <xf numFmtId="164" fontId="0" fillId="0" borderId="0" xfId="1" applyNumberFormat="1" applyFont="1" applyFill="1" applyBorder="1" applyAlignment="1">
      <alignment vertical="center"/>
    </xf>
    <xf numFmtId="164" fontId="4" fillId="0" borderId="0" xfId="1" applyNumberFormat="1" applyFont="1" applyFill="1" applyBorder="1" applyAlignment="1">
      <alignment vertical="center"/>
    </xf>
    <xf numFmtId="10" fontId="5" fillId="0" borderId="0" xfId="0" applyNumberFormat="1" applyFont="1" applyAlignment="1">
      <alignment vertical="center"/>
    </xf>
    <xf numFmtId="164" fontId="11" fillId="0" borderId="0" xfId="1" applyNumberFormat="1" applyFont="1" applyFill="1" applyBorder="1" applyAlignment="1">
      <alignment vertical="center"/>
    </xf>
    <xf numFmtId="164" fontId="11" fillId="0" borderId="0" xfId="0" applyNumberFormat="1" applyFont="1" applyAlignment="1">
      <alignment vertical="center"/>
    </xf>
    <xf numFmtId="10" fontId="5" fillId="7" borderId="0" xfId="0" applyNumberFormat="1" applyFont="1" applyFill="1" applyAlignment="1">
      <alignment vertical="center"/>
    </xf>
    <xf numFmtId="0" fontId="11" fillId="7" borderId="0" xfId="0" applyFont="1" applyFill="1" applyAlignment="1">
      <alignment horizontal="center" vertical="center"/>
    </xf>
    <xf numFmtId="164" fontId="11" fillId="7" borderId="0" xfId="1" applyNumberFormat="1" applyFont="1" applyFill="1" applyBorder="1" applyAlignment="1">
      <alignment vertical="center"/>
    </xf>
    <xf numFmtId="0" fontId="14" fillId="0" borderId="0" xfId="0" applyFont="1" applyAlignment="1">
      <alignment horizontal="center" vertical="center"/>
    </xf>
    <xf numFmtId="164" fontId="14" fillId="0" borderId="0" xfId="0" applyNumberFormat="1" applyFont="1" applyAlignment="1">
      <alignment vertical="center"/>
    </xf>
    <xf numFmtId="0" fontId="11" fillId="6" borderId="0" xfId="0" applyFont="1" applyFill="1" applyAlignment="1">
      <alignment horizontal="left" vertical="center"/>
    </xf>
    <xf numFmtId="0" fontId="33" fillId="0" borderId="1" xfId="4" applyFont="1" applyAlignment="1">
      <alignment vertical="center"/>
    </xf>
    <xf numFmtId="9" fontId="34" fillId="0" borderId="1" xfId="2" applyFont="1" applyBorder="1" applyAlignment="1">
      <alignment vertical="center"/>
    </xf>
    <xf numFmtId="9" fontId="3" fillId="0" borderId="1" xfId="2" applyFont="1" applyBorder="1" applyAlignment="1">
      <alignment vertical="center"/>
    </xf>
    <xf numFmtId="9" fontId="34" fillId="0" borderId="0" xfId="2" applyFont="1" applyBorder="1" applyAlignment="1">
      <alignment vertical="center"/>
    </xf>
    <xf numFmtId="9" fontId="3" fillId="0" borderId="0" xfId="2" applyFont="1" applyBorder="1" applyAlignment="1">
      <alignment vertical="center"/>
    </xf>
    <xf numFmtId="0" fontId="3" fillId="0" borderId="0" xfId="4" applyBorder="1" applyAlignment="1">
      <alignment vertical="center"/>
    </xf>
    <xf numFmtId="0" fontId="33" fillId="0" borderId="0" xfId="4" applyFont="1" applyBorder="1" applyAlignment="1">
      <alignment vertical="center"/>
    </xf>
    <xf numFmtId="0" fontId="3" fillId="0" borderId="0" xfId="4" applyBorder="1" applyAlignment="1">
      <alignment horizontal="center" vertical="center"/>
    </xf>
    <xf numFmtId="0" fontId="4" fillId="8" borderId="20" xfId="0" applyFont="1" applyFill="1" applyBorder="1" applyAlignment="1">
      <alignment vertical="center"/>
    </xf>
    <xf numFmtId="0" fontId="0" fillId="8" borderId="20" xfId="0" applyFill="1" applyBorder="1" applyAlignment="1">
      <alignment horizontal="center" vertical="center"/>
    </xf>
    <xf numFmtId="0" fontId="0" fillId="8" borderId="20" xfId="0" applyFill="1" applyBorder="1" applyAlignment="1">
      <alignment vertical="center"/>
    </xf>
    <xf numFmtId="0" fontId="23" fillId="8" borderId="20" xfId="0" applyFont="1" applyFill="1" applyBorder="1" applyAlignment="1">
      <alignment vertical="center" wrapText="1"/>
    </xf>
    <xf numFmtId="3" fontId="0" fillId="8" borderId="20" xfId="0" applyNumberFormat="1" applyFill="1" applyBorder="1" applyAlignment="1">
      <alignment vertical="center"/>
    </xf>
    <xf numFmtId="3" fontId="4" fillId="8" borderId="20" xfId="0" applyNumberFormat="1" applyFont="1" applyFill="1" applyBorder="1" applyAlignment="1">
      <alignment vertical="center"/>
    </xf>
    <xf numFmtId="165" fontId="22" fillId="0" borderId="0" xfId="1" applyNumberFormat="1" applyFont="1" applyAlignment="1">
      <alignment horizontal="center" vertical="center"/>
    </xf>
    <xf numFmtId="0" fontId="0" fillId="22" borderId="0" xfId="0" applyFill="1" applyAlignment="1">
      <alignment vertical="center"/>
    </xf>
    <xf numFmtId="0" fontId="22" fillId="22" borderId="0" xfId="0" applyFont="1" applyFill="1" applyAlignment="1">
      <alignment horizontal="center" vertical="center"/>
    </xf>
    <xf numFmtId="0" fontId="8" fillId="26" borderId="12" xfId="0" applyFont="1" applyFill="1" applyBorder="1"/>
    <xf numFmtId="9" fontId="39" fillId="26" borderId="8" xfId="2" applyFont="1" applyFill="1" applyBorder="1" applyAlignment="1">
      <alignment vertical="center"/>
    </xf>
    <xf numFmtId="9" fontId="39" fillId="26" borderId="9" xfId="2" applyFont="1" applyFill="1" applyBorder="1" applyAlignment="1">
      <alignment vertical="center"/>
    </xf>
    <xf numFmtId="0" fontId="8" fillId="26" borderId="18" xfId="0" applyFont="1" applyFill="1" applyBorder="1"/>
    <xf numFmtId="0" fontId="40" fillId="26" borderId="0" xfId="2" applyNumberFormat="1" applyFont="1" applyFill="1" applyBorder="1" applyAlignment="1">
      <alignment vertical="center"/>
    </xf>
    <xf numFmtId="9" fontId="39" fillId="26" borderId="0" xfId="2" applyFont="1" applyFill="1" applyBorder="1" applyAlignment="1">
      <alignment vertical="center"/>
    </xf>
    <xf numFmtId="9" fontId="39" fillId="26" borderId="13" xfId="2" applyFont="1" applyFill="1" applyBorder="1" applyAlignment="1">
      <alignment vertical="center"/>
    </xf>
    <xf numFmtId="0" fontId="8" fillId="26" borderId="8" xfId="0" applyFont="1" applyFill="1" applyBorder="1" applyAlignment="1">
      <alignment horizontal="center" vertical="center"/>
    </xf>
    <xf numFmtId="0" fontId="8" fillId="26" borderId="5" xfId="0" applyFont="1" applyFill="1" applyBorder="1" applyAlignment="1">
      <alignment horizontal="center" vertical="center"/>
    </xf>
    <xf numFmtId="0" fontId="8" fillId="26" borderId="2" xfId="0" applyFont="1" applyFill="1" applyBorder="1" applyAlignment="1">
      <alignment horizontal="center" vertical="center"/>
    </xf>
    <xf numFmtId="0" fontId="8" fillId="26" borderId="0" xfId="0" applyFont="1" applyFill="1" applyAlignment="1">
      <alignment horizontal="center" vertical="center" wrapText="1"/>
    </xf>
    <xf numFmtId="0" fontId="8" fillId="26" borderId="0" xfId="0" applyFont="1" applyFill="1" applyAlignment="1">
      <alignment horizontal="center"/>
    </xf>
    <xf numFmtId="0" fontId="8" fillId="26" borderId="15" xfId="0" applyFont="1" applyFill="1" applyBorder="1" applyAlignment="1">
      <alignment horizontal="center" vertical="center" wrapText="1"/>
    </xf>
    <xf numFmtId="0" fontId="8" fillId="26" borderId="15" xfId="0" applyFont="1" applyFill="1" applyBorder="1" applyAlignment="1">
      <alignment horizontal="center"/>
    </xf>
    <xf numFmtId="0" fontId="0" fillId="8" borderId="0" xfId="0" applyFill="1" applyAlignment="1">
      <alignment vertical="center"/>
    </xf>
    <xf numFmtId="0" fontId="11" fillId="27" borderId="21" xfId="0" applyFont="1" applyFill="1" applyBorder="1" applyAlignment="1">
      <alignment horizontal="center" vertical="center"/>
    </xf>
    <xf numFmtId="0" fontId="4" fillId="8" borderId="0" xfId="0" applyFont="1" applyFill="1" applyAlignment="1">
      <alignment vertical="center"/>
    </xf>
    <xf numFmtId="0" fontId="0" fillId="15" borderId="21" xfId="0" applyFill="1" applyBorder="1" applyAlignment="1">
      <alignment vertical="center"/>
    </xf>
    <xf numFmtId="164" fontId="0" fillId="15" borderId="22" xfId="1" applyNumberFormat="1" applyFont="1" applyFill="1" applyBorder="1" applyAlignment="1">
      <alignment vertical="center"/>
    </xf>
    <xf numFmtId="164" fontId="4" fillId="15" borderId="22" xfId="1" applyNumberFormat="1" applyFont="1" applyFill="1" applyBorder="1" applyAlignment="1">
      <alignment vertical="center"/>
    </xf>
    <xf numFmtId="164" fontId="0" fillId="15" borderId="23" xfId="1" applyNumberFormat="1" applyFont="1" applyFill="1" applyBorder="1" applyAlignment="1">
      <alignment vertical="center"/>
    </xf>
    <xf numFmtId="164" fontId="4" fillId="15" borderId="23" xfId="1" applyNumberFormat="1" applyFont="1" applyFill="1" applyBorder="1" applyAlignment="1">
      <alignment vertical="center"/>
    </xf>
    <xf numFmtId="0" fontId="4" fillId="15" borderId="22" xfId="0" applyFont="1" applyFill="1" applyBorder="1" applyAlignment="1">
      <alignment vertical="center"/>
    </xf>
    <xf numFmtId="0" fontId="4" fillId="15" borderId="24" xfId="0" applyFont="1" applyFill="1" applyBorder="1" applyAlignment="1">
      <alignment vertical="center"/>
    </xf>
    <xf numFmtId="0" fontId="4" fillId="15" borderId="23" xfId="0" applyFont="1" applyFill="1" applyBorder="1" applyAlignment="1">
      <alignment vertical="center"/>
    </xf>
    <xf numFmtId="0" fontId="0" fillId="0" borderId="12" xfId="0" applyBorder="1" applyAlignment="1">
      <alignment vertical="center"/>
    </xf>
    <xf numFmtId="0" fontId="0" fillId="0" borderId="18" xfId="0" applyBorder="1" applyAlignment="1">
      <alignment vertical="center"/>
    </xf>
    <xf numFmtId="0" fontId="0" fillId="0" borderId="13" xfId="0" applyBorder="1" applyAlignment="1">
      <alignment vertical="center"/>
    </xf>
    <xf numFmtId="0" fontId="0" fillId="0" borderId="14" xfId="0" applyBorder="1" applyAlignment="1">
      <alignment vertical="center"/>
    </xf>
    <xf numFmtId="0" fontId="0" fillId="0" borderId="10" xfId="0" applyBorder="1" applyAlignment="1">
      <alignment vertical="center"/>
    </xf>
    <xf numFmtId="0" fontId="0" fillId="0" borderId="8" xfId="0" applyBorder="1" applyAlignment="1">
      <alignment vertical="center"/>
    </xf>
    <xf numFmtId="0" fontId="0" fillId="0" borderId="15" xfId="0" applyBorder="1" applyAlignment="1">
      <alignment vertical="center"/>
    </xf>
    <xf numFmtId="0" fontId="8" fillId="26" borderId="2" xfId="0" applyFont="1" applyFill="1" applyBorder="1"/>
    <xf numFmtId="0" fontId="11" fillId="21" borderId="2" xfId="0" applyFont="1" applyFill="1" applyBorder="1" applyAlignment="1">
      <alignment horizontal="center" vertical="center"/>
    </xf>
    <xf numFmtId="0" fontId="0" fillId="12" borderId="25" xfId="0" applyFill="1" applyBorder="1" applyAlignment="1">
      <alignment vertical="center"/>
    </xf>
    <xf numFmtId="0" fontId="0" fillId="12" borderId="26" xfId="0" applyFill="1" applyBorder="1" applyAlignment="1">
      <alignment vertical="center"/>
    </xf>
    <xf numFmtId="0" fontId="0" fillId="12" borderId="26" xfId="0" applyFill="1" applyBorder="1" applyAlignment="1">
      <alignment horizontal="center" vertical="center"/>
    </xf>
    <xf numFmtId="0" fontId="11" fillId="3" borderId="27" xfId="0" applyFont="1" applyFill="1" applyBorder="1" applyAlignment="1">
      <alignment horizontal="center" vertical="center"/>
    </xf>
    <xf numFmtId="0" fontId="11" fillId="3" borderId="28" xfId="0" applyFont="1" applyFill="1" applyBorder="1" applyAlignment="1">
      <alignment horizontal="center" vertical="center"/>
    </xf>
    <xf numFmtId="0" fontId="18" fillId="3" borderId="28" xfId="0" applyFont="1" applyFill="1" applyBorder="1" applyAlignment="1">
      <alignment horizontal="center" vertical="center" wrapText="1"/>
    </xf>
    <xf numFmtId="0" fontId="5" fillId="3" borderId="28" xfId="0" applyFont="1" applyFill="1" applyBorder="1" applyAlignment="1">
      <alignment horizontal="center" vertical="center"/>
    </xf>
    <xf numFmtId="0" fontId="11" fillId="21" borderId="29" xfId="0" applyFont="1" applyFill="1" applyBorder="1" applyAlignment="1">
      <alignment horizontal="center" vertical="center"/>
    </xf>
    <xf numFmtId="0" fontId="18" fillId="21" borderId="29" xfId="0" applyFont="1" applyFill="1" applyBorder="1" applyAlignment="1">
      <alignment horizontal="center" vertical="center" wrapText="1"/>
    </xf>
    <xf numFmtId="0" fontId="18" fillId="7" borderId="29" xfId="0" applyFont="1" applyFill="1" applyBorder="1" applyAlignment="1">
      <alignment horizontal="center" vertical="center" wrapText="1"/>
    </xf>
    <xf numFmtId="0" fontId="18" fillId="22" borderId="29" xfId="0" applyFont="1" applyFill="1" applyBorder="1" applyAlignment="1">
      <alignment horizontal="center" vertical="center" wrapText="1"/>
    </xf>
    <xf numFmtId="0" fontId="0" fillId="0" borderId="2" xfId="0" applyBorder="1" applyAlignment="1">
      <alignment horizontal="left" vertical="center"/>
    </xf>
    <xf numFmtId="164" fontId="0" fillId="0" borderId="2" xfId="1" applyNumberFormat="1" applyFont="1" applyBorder="1" applyAlignment="1">
      <alignment vertical="center"/>
    </xf>
    <xf numFmtId="0" fontId="4" fillId="0" borderId="2" xfId="0" applyFont="1" applyBorder="1" applyAlignment="1">
      <alignment horizontal="left" vertical="center"/>
    </xf>
    <xf numFmtId="164" fontId="4" fillId="0" borderId="2" xfId="1" applyNumberFormat="1" applyFont="1" applyBorder="1" applyAlignment="1">
      <alignment vertical="center"/>
    </xf>
    <xf numFmtId="0" fontId="30" fillId="0" borderId="0" xfId="0" applyFont="1" applyAlignment="1">
      <alignment horizontal="right" vertical="center"/>
    </xf>
    <xf numFmtId="0" fontId="43" fillId="0" borderId="1" xfId="4" applyFont="1" applyAlignment="1">
      <alignment vertical="center"/>
    </xf>
    <xf numFmtId="0" fontId="0" fillId="8" borderId="2" xfId="0" applyFill="1" applyBorder="1" applyAlignment="1">
      <alignment horizontal="center" vertical="center" wrapText="1"/>
    </xf>
    <xf numFmtId="0" fontId="37" fillId="0" borderId="1" xfId="4" applyFont="1" applyAlignment="1">
      <alignment vertical="center"/>
    </xf>
    <xf numFmtId="0" fontId="0" fillId="12" borderId="0" xfId="0" applyFill="1" applyAlignment="1">
      <alignment horizontal="right" vertical="center"/>
    </xf>
    <xf numFmtId="164" fontId="22" fillId="8" borderId="11" xfId="1" applyNumberFormat="1" applyFont="1" applyFill="1" applyBorder="1" applyAlignment="1">
      <alignment vertical="center"/>
    </xf>
    <xf numFmtId="0" fontId="11" fillId="25" borderId="29" xfId="0" applyFont="1" applyFill="1" applyBorder="1" applyAlignment="1">
      <alignment horizontal="center" vertical="center"/>
    </xf>
    <xf numFmtId="0" fontId="4" fillId="12" borderId="30" xfId="0" applyFont="1" applyFill="1" applyBorder="1" applyAlignment="1">
      <alignment vertical="center"/>
    </xf>
    <xf numFmtId="0" fontId="11" fillId="25" borderId="31" xfId="0" applyFont="1" applyFill="1" applyBorder="1" applyAlignment="1">
      <alignment horizontal="center" vertical="center"/>
    </xf>
    <xf numFmtId="0" fontId="11" fillId="25" borderId="34" xfId="0" applyFont="1" applyFill="1" applyBorder="1" applyAlignment="1">
      <alignment horizontal="center" vertical="center"/>
    </xf>
    <xf numFmtId="0" fontId="11" fillId="21" borderId="33" xfId="0" applyFont="1" applyFill="1" applyBorder="1" applyAlignment="1">
      <alignment horizontal="center" vertical="center"/>
    </xf>
    <xf numFmtId="0" fontId="11" fillId="21" borderId="27" xfId="0" applyFont="1" applyFill="1" applyBorder="1" applyAlignment="1">
      <alignment horizontal="center" vertical="center"/>
    </xf>
    <xf numFmtId="0" fontId="22" fillId="3" borderId="0" xfId="0" applyFont="1" applyFill="1" applyAlignment="1">
      <alignment horizontal="center" vertical="center"/>
    </xf>
    <xf numFmtId="164" fontId="22" fillId="0" borderId="0" xfId="1" applyNumberFormat="1" applyFont="1" applyAlignment="1">
      <alignment vertical="center"/>
    </xf>
    <xf numFmtId="164" fontId="22" fillId="0" borderId="0" xfId="0" applyNumberFormat="1" applyFont="1" applyAlignment="1">
      <alignment vertical="center"/>
    </xf>
    <xf numFmtId="167" fontId="0" fillId="0" borderId="0" xfId="0" applyNumberFormat="1"/>
    <xf numFmtId="0" fontId="11" fillId="9" borderId="0" xfId="0" applyFont="1" applyFill="1" applyAlignment="1">
      <alignment horizontal="center" vertical="center"/>
    </xf>
    <xf numFmtId="0" fontId="0" fillId="15" borderId="0" xfId="0" applyFill="1"/>
    <xf numFmtId="0" fontId="4" fillId="8" borderId="0" xfId="0" applyFont="1" applyFill="1" applyAlignment="1">
      <alignment horizontal="center" vertical="center"/>
    </xf>
    <xf numFmtId="0" fontId="0" fillId="0" borderId="0" xfId="0" applyAlignment="1">
      <alignment horizontal="right" vertical="center"/>
    </xf>
    <xf numFmtId="164" fontId="4" fillId="8" borderId="0" xfId="1" applyNumberFormat="1" applyFont="1" applyFill="1" applyAlignment="1">
      <alignment horizontal="right" vertical="center"/>
    </xf>
    <xf numFmtId="0" fontId="0" fillId="8" borderId="0" xfId="0" applyFill="1" applyAlignment="1">
      <alignment horizontal="right" vertical="center"/>
    </xf>
    <xf numFmtId="0" fontId="22" fillId="0" borderId="0" xfId="0" applyFont="1" applyAlignment="1">
      <alignment horizontal="right" vertical="center"/>
    </xf>
    <xf numFmtId="0" fontId="0" fillId="0" borderId="2" xfId="0" applyBorder="1" applyAlignment="1">
      <alignment horizontal="center"/>
    </xf>
    <xf numFmtId="9" fontId="0" fillId="0" borderId="0" xfId="0" applyNumberFormat="1"/>
    <xf numFmtId="0" fontId="11" fillId="21" borderId="20" xfId="0" applyFont="1" applyFill="1" applyBorder="1" applyAlignment="1">
      <alignment horizontal="center" vertical="center"/>
    </xf>
    <xf numFmtId="164" fontId="0" fillId="0" borderId="0" xfId="0" applyNumberFormat="1"/>
    <xf numFmtId="0" fontId="16" fillId="8" borderId="0" xfId="0" applyFont="1" applyFill="1" applyAlignment="1">
      <alignment horizontal="center" vertical="center"/>
    </xf>
    <xf numFmtId="0" fontId="0" fillId="8" borderId="0" xfId="0" applyFill="1" applyAlignment="1">
      <alignment horizontal="center" vertical="center"/>
    </xf>
    <xf numFmtId="165" fontId="0" fillId="8" borderId="0" xfId="1" applyNumberFormat="1" applyFont="1" applyFill="1" applyAlignment="1">
      <alignment vertical="center"/>
    </xf>
    <xf numFmtId="0" fontId="16" fillId="8" borderId="15" xfId="0" applyFont="1" applyFill="1" applyBorder="1" applyAlignment="1">
      <alignment horizontal="right" vertical="center"/>
    </xf>
    <xf numFmtId="164" fontId="4" fillId="8" borderId="15" xfId="1" applyNumberFormat="1" applyFont="1" applyFill="1" applyBorder="1" applyAlignment="1">
      <alignment horizontal="right" vertical="center"/>
    </xf>
    <xf numFmtId="164" fontId="4" fillId="8" borderId="15" xfId="1" applyNumberFormat="1" applyFont="1" applyFill="1" applyBorder="1" applyAlignment="1">
      <alignment horizontal="center" vertical="center"/>
    </xf>
    <xf numFmtId="164" fontId="0" fillId="8" borderId="15" xfId="1" applyNumberFormat="1" applyFont="1" applyFill="1" applyBorder="1" applyAlignment="1">
      <alignment horizontal="right" vertical="center"/>
    </xf>
    <xf numFmtId="0" fontId="4" fillId="8" borderId="15" xfId="0" applyFont="1" applyFill="1" applyBorder="1" applyAlignment="1">
      <alignment vertical="center"/>
    </xf>
    <xf numFmtId="164" fontId="4" fillId="8" borderId="7" xfId="1" applyNumberFormat="1" applyFont="1" applyFill="1" applyBorder="1" applyAlignment="1">
      <alignment horizontal="right" vertical="center"/>
    </xf>
    <xf numFmtId="164" fontId="4" fillId="8" borderId="7" xfId="1" applyNumberFormat="1" applyFont="1" applyFill="1" applyBorder="1" applyAlignment="1">
      <alignment horizontal="center" vertical="center"/>
    </xf>
    <xf numFmtId="164" fontId="0" fillId="8" borderId="7" xfId="1" applyNumberFormat="1" applyFont="1" applyFill="1" applyBorder="1" applyAlignment="1">
      <alignment horizontal="right" vertical="center"/>
    </xf>
    <xf numFmtId="0" fontId="4" fillId="8" borderId="7" xfId="0" applyFont="1" applyFill="1" applyBorder="1" applyAlignment="1">
      <alignment vertical="center"/>
    </xf>
    <xf numFmtId="0" fontId="22" fillId="0" borderId="13" xfId="0" applyFont="1" applyBorder="1" applyAlignment="1">
      <alignment horizontal="center" vertical="center" wrapText="1"/>
    </xf>
    <xf numFmtId="9" fontId="0" fillId="0" borderId="0" xfId="2" applyFont="1" applyAlignment="1">
      <alignment vertical="center"/>
    </xf>
    <xf numFmtId="164" fontId="0" fillId="0" borderId="35" xfId="1" applyNumberFormat="1" applyFont="1" applyBorder="1" applyAlignment="1">
      <alignment vertical="center"/>
    </xf>
    <xf numFmtId="0" fontId="0" fillId="0" borderId="35" xfId="0" applyBorder="1" applyAlignment="1">
      <alignment vertical="center"/>
    </xf>
    <xf numFmtId="164" fontId="0" fillId="0" borderId="0" xfId="2" applyNumberFormat="1" applyFont="1" applyAlignment="1">
      <alignment vertical="center"/>
    </xf>
    <xf numFmtId="43" fontId="0" fillId="0" borderId="0" xfId="1" applyFont="1" applyAlignment="1">
      <alignment vertical="center"/>
    </xf>
    <xf numFmtId="9" fontId="0" fillId="0" borderId="0" xfId="0" applyNumberFormat="1" applyAlignment="1">
      <alignment vertical="center"/>
    </xf>
    <xf numFmtId="164" fontId="0" fillId="0" borderId="35" xfId="0" applyNumberFormat="1" applyBorder="1" applyAlignment="1">
      <alignment vertical="center"/>
    </xf>
    <xf numFmtId="0" fontId="11" fillId="30" borderId="0" xfId="0" applyFont="1" applyFill="1" applyAlignment="1">
      <alignment horizontal="center" vertical="center" wrapText="1"/>
    </xf>
    <xf numFmtId="0" fontId="11" fillId="31" borderId="0" xfId="0" applyFont="1" applyFill="1" applyAlignment="1">
      <alignment vertical="center"/>
    </xf>
    <xf numFmtId="0" fontId="4" fillId="8" borderId="35" xfId="0" applyFont="1" applyFill="1" applyBorder="1" applyAlignment="1">
      <alignment horizontal="center" vertical="center"/>
    </xf>
    <xf numFmtId="0" fontId="9" fillId="4" borderId="2" xfId="5" applyBorder="1" applyAlignment="1">
      <alignment horizontal="center" vertical="center"/>
    </xf>
    <xf numFmtId="0" fontId="10" fillId="5" borderId="19" xfId="6" applyBorder="1" applyAlignment="1">
      <alignment horizontal="center" vertical="center"/>
    </xf>
    <xf numFmtId="0" fontId="10" fillId="5" borderId="3" xfId="6" applyAlignment="1">
      <alignment horizontal="center" vertical="center"/>
    </xf>
    <xf numFmtId="0" fontId="0" fillId="2" borderId="0" xfId="0" applyFill="1" applyAlignment="1">
      <alignment vertical="center"/>
    </xf>
    <xf numFmtId="0" fontId="0" fillId="0" borderId="6" xfId="0" applyBorder="1" applyAlignment="1">
      <alignment vertical="center"/>
    </xf>
    <xf numFmtId="0" fontId="0" fillId="0" borderId="7" xfId="0" applyBorder="1" applyAlignment="1">
      <alignment vertical="center"/>
    </xf>
    <xf numFmtId="0" fontId="12" fillId="20" borderId="16" xfId="0" applyFont="1" applyFill="1" applyBorder="1" applyAlignment="1">
      <alignment horizontal="center" vertical="center"/>
    </xf>
    <xf numFmtId="164" fontId="22" fillId="0" borderId="9" xfId="1" applyNumberFormat="1" applyFont="1" applyBorder="1" applyAlignment="1">
      <alignment vertical="center"/>
    </xf>
    <xf numFmtId="164" fontId="0" fillId="0" borderId="4" xfId="1" applyNumberFormat="1" applyFont="1" applyBorder="1" applyAlignment="1">
      <alignment vertical="center"/>
    </xf>
    <xf numFmtId="164" fontId="22" fillId="0" borderId="13" xfId="1" applyNumberFormat="1" applyFont="1" applyBorder="1" applyAlignment="1">
      <alignment vertical="center"/>
    </xf>
    <xf numFmtId="164" fontId="0" fillId="0" borderId="11" xfId="1" applyNumberFormat="1" applyFont="1" applyBorder="1" applyAlignment="1">
      <alignment vertical="center"/>
    </xf>
    <xf numFmtId="164" fontId="22" fillId="0" borderId="10" xfId="1" applyNumberFormat="1" applyFont="1" applyBorder="1" applyAlignment="1">
      <alignment vertical="center"/>
    </xf>
    <xf numFmtId="164" fontId="0" fillId="0" borderId="5" xfId="1" applyNumberFormat="1" applyFont="1" applyBorder="1" applyAlignment="1">
      <alignment vertical="center"/>
    </xf>
    <xf numFmtId="0" fontId="11" fillId="9" borderId="18" xfId="0" applyFont="1" applyFill="1" applyBorder="1" applyAlignment="1">
      <alignment vertical="center"/>
    </xf>
    <xf numFmtId="0" fontId="5" fillId="9" borderId="0" xfId="0" applyFont="1" applyFill="1" applyAlignment="1">
      <alignment vertical="center"/>
    </xf>
    <xf numFmtId="0" fontId="0" fillId="29" borderId="4" xfId="0" applyFill="1" applyBorder="1" applyAlignment="1">
      <alignment vertical="center"/>
    </xf>
    <xf numFmtId="0" fontId="0" fillId="29" borderId="11" xfId="0" applyFill="1" applyBorder="1" applyAlignment="1">
      <alignment vertical="center"/>
    </xf>
    <xf numFmtId="0" fontId="0" fillId="0" borderId="18" xfId="0" applyBorder="1" applyAlignment="1">
      <alignment horizontal="right" vertical="center"/>
    </xf>
    <xf numFmtId="0" fontId="31" fillId="0" borderId="0" xfId="0" applyFont="1" applyAlignment="1">
      <alignment horizontal="center" vertical="center"/>
    </xf>
    <xf numFmtId="0" fontId="31" fillId="0" borderId="0" xfId="0" applyFont="1" applyAlignment="1">
      <alignment vertical="center"/>
    </xf>
    <xf numFmtId="0" fontId="31" fillId="0" borderId="15" xfId="0" applyFont="1" applyBorder="1" applyAlignment="1">
      <alignment horizontal="center" vertical="center"/>
    </xf>
    <xf numFmtId="0" fontId="31" fillId="0" borderId="15" xfId="0" applyFont="1" applyBorder="1" applyAlignment="1">
      <alignment vertical="center"/>
    </xf>
    <xf numFmtId="0" fontId="11" fillId="10" borderId="0" xfId="0" applyFont="1" applyFill="1" applyAlignment="1">
      <alignment vertical="center"/>
    </xf>
    <xf numFmtId="0" fontId="11" fillId="10" borderId="0" xfId="0" applyFont="1" applyFill="1" applyAlignment="1">
      <alignment horizontal="center" vertical="center"/>
    </xf>
    <xf numFmtId="164" fontId="22" fillId="8" borderId="5" xfId="1" applyNumberFormat="1" applyFont="1" applyFill="1" applyBorder="1" applyAlignment="1">
      <alignment vertical="center"/>
    </xf>
    <xf numFmtId="164" fontId="11" fillId="28" borderId="27" xfId="0" applyNumberFormat="1" applyFont="1" applyFill="1" applyBorder="1" applyAlignment="1">
      <alignment vertical="center"/>
    </xf>
    <xf numFmtId="164" fontId="11" fillId="28" borderId="28" xfId="0" applyNumberFormat="1" applyFont="1" applyFill="1" applyBorder="1" applyAlignment="1">
      <alignment vertical="center"/>
    </xf>
    <xf numFmtId="164" fontId="11" fillId="28" borderId="37" xfId="0" applyNumberFormat="1" applyFont="1" applyFill="1" applyBorder="1" applyAlignment="1">
      <alignment vertical="center"/>
    </xf>
    <xf numFmtId="0" fontId="22" fillId="12" borderId="11" xfId="0" applyFont="1" applyFill="1" applyBorder="1" applyAlignment="1">
      <alignment horizontal="right" vertical="center"/>
    </xf>
    <xf numFmtId="0" fontId="22" fillId="12" borderId="5" xfId="0" applyFont="1" applyFill="1" applyBorder="1" applyAlignment="1">
      <alignment horizontal="right" vertical="center"/>
    </xf>
    <xf numFmtId="0" fontId="29" fillId="12" borderId="4" xfId="0" applyFont="1" applyFill="1" applyBorder="1" applyAlignment="1">
      <alignment horizontal="right" vertical="center"/>
    </xf>
    <xf numFmtId="164" fontId="29" fillId="8" borderId="8" xfId="1" applyNumberFormat="1" applyFont="1" applyFill="1" applyBorder="1" applyAlignment="1">
      <alignment horizontal="center" vertical="center"/>
    </xf>
    <xf numFmtId="164" fontId="22" fillId="8" borderId="0" xfId="1" applyNumberFormat="1" applyFont="1" applyFill="1" applyBorder="1" applyAlignment="1">
      <alignment horizontal="center" vertical="center"/>
    </xf>
    <xf numFmtId="164" fontId="22" fillId="8" borderId="15" xfId="1" applyNumberFormat="1" applyFont="1" applyFill="1" applyBorder="1" applyAlignment="1">
      <alignment horizontal="center" vertical="center"/>
    </xf>
    <xf numFmtId="0" fontId="29" fillId="0" borderId="0" xfId="0" applyFont="1" applyAlignment="1">
      <alignment vertical="center"/>
    </xf>
    <xf numFmtId="0" fontId="4" fillId="12" borderId="6" xfId="0" applyFont="1" applyFill="1" applyBorder="1" applyAlignment="1">
      <alignment horizontal="center" vertical="center"/>
    </xf>
    <xf numFmtId="0" fontId="4" fillId="12" borderId="7" xfId="0" applyFont="1" applyFill="1" applyBorder="1" applyAlignment="1">
      <alignment horizontal="center" vertical="center"/>
    </xf>
    <xf numFmtId="0" fontId="4" fillId="12" borderId="16" xfId="0" applyFont="1" applyFill="1" applyBorder="1" applyAlignment="1">
      <alignment horizontal="center" vertical="center"/>
    </xf>
    <xf numFmtId="164" fontId="0" fillId="0" borderId="2" xfId="0" applyNumberFormat="1" applyBorder="1" applyAlignment="1">
      <alignment vertical="center"/>
    </xf>
    <xf numFmtId="164" fontId="4" fillId="12" borderId="7" xfId="0" applyNumberFormat="1" applyFont="1" applyFill="1" applyBorder="1" applyAlignment="1">
      <alignment horizontal="center" vertical="center"/>
    </xf>
    <xf numFmtId="164" fontId="4" fillId="12" borderId="7" xfId="1" applyNumberFormat="1" applyFont="1" applyFill="1" applyBorder="1" applyAlignment="1">
      <alignment horizontal="center" vertical="center"/>
    </xf>
    <xf numFmtId="164" fontId="22" fillId="15" borderId="0" xfId="1" applyNumberFormat="1" applyFont="1" applyFill="1" applyBorder="1" applyAlignment="1">
      <alignment horizontal="center" vertical="center"/>
    </xf>
    <xf numFmtId="164" fontId="22" fillId="15" borderId="15" xfId="1" applyNumberFormat="1" applyFont="1" applyFill="1" applyBorder="1" applyAlignment="1">
      <alignment horizontal="center" vertical="center"/>
    </xf>
    <xf numFmtId="164" fontId="42" fillId="15" borderId="0" xfId="1" applyNumberFormat="1" applyFont="1" applyFill="1" applyBorder="1" applyAlignment="1">
      <alignment vertical="center"/>
    </xf>
    <xf numFmtId="164" fontId="42" fillId="15" borderId="13" xfId="1" applyNumberFormat="1" applyFont="1" applyFill="1" applyBorder="1" applyAlignment="1">
      <alignment vertical="center"/>
    </xf>
    <xf numFmtId="164" fontId="42" fillId="15" borderId="18" xfId="1" applyNumberFormat="1" applyFont="1" applyFill="1" applyBorder="1" applyAlignment="1">
      <alignment vertical="center"/>
    </xf>
    <xf numFmtId="164" fontId="22" fillId="15" borderId="8" xfId="1" applyNumberFormat="1" applyFont="1" applyFill="1" applyBorder="1" applyAlignment="1">
      <alignment horizontal="center" vertical="center"/>
    </xf>
    <xf numFmtId="164" fontId="40" fillId="15" borderId="12" xfId="1" applyNumberFormat="1" applyFont="1" applyFill="1" applyBorder="1" applyAlignment="1">
      <alignment vertical="center"/>
    </xf>
    <xf numFmtId="164" fontId="40" fillId="15" borderId="8" xfId="1" applyNumberFormat="1" applyFont="1" applyFill="1" applyBorder="1" applyAlignment="1">
      <alignment vertical="center"/>
    </xf>
    <xf numFmtId="164" fontId="40" fillId="15" borderId="9" xfId="1" applyNumberFormat="1" applyFont="1" applyFill="1" applyBorder="1" applyAlignment="1">
      <alignment vertical="center"/>
    </xf>
    <xf numFmtId="164" fontId="29" fillId="8" borderId="4" xfId="1" applyNumberFormat="1" applyFont="1" applyFill="1" applyBorder="1" applyAlignment="1">
      <alignment vertical="center"/>
    </xf>
    <xf numFmtId="164" fontId="29" fillId="8" borderId="11" xfId="1" applyNumberFormat="1" applyFont="1" applyFill="1" applyBorder="1" applyAlignment="1">
      <alignment vertical="center"/>
    </xf>
    <xf numFmtId="0" fontId="40" fillId="12" borderId="4" xfId="4" applyFont="1" applyFill="1" applyBorder="1" applyAlignment="1">
      <alignment horizontal="left" vertical="center"/>
    </xf>
    <xf numFmtId="0" fontId="22" fillId="12" borderId="11" xfId="0" applyFont="1" applyFill="1" applyBorder="1" applyAlignment="1">
      <alignment horizontal="left" vertical="center"/>
    </xf>
    <xf numFmtId="0" fontId="22" fillId="12" borderId="5" xfId="0" applyFont="1" applyFill="1" applyBorder="1" applyAlignment="1">
      <alignment horizontal="left" vertical="center"/>
    </xf>
    <xf numFmtId="0" fontId="29" fillId="12" borderId="11" xfId="0" applyFont="1" applyFill="1" applyBorder="1" applyAlignment="1">
      <alignment horizontal="left" vertical="center"/>
    </xf>
    <xf numFmtId="0" fontId="29" fillId="12" borderId="4" xfId="0" applyFont="1" applyFill="1" applyBorder="1" applyAlignment="1">
      <alignment horizontal="left" vertical="center"/>
    </xf>
    <xf numFmtId="164" fontId="22" fillId="15" borderId="14" xfId="1" applyNumberFormat="1" applyFont="1" applyFill="1" applyBorder="1" applyAlignment="1">
      <alignment vertical="center"/>
    </xf>
    <xf numFmtId="164" fontId="22" fillId="15" borderId="15" xfId="1" applyNumberFormat="1" applyFont="1" applyFill="1" applyBorder="1" applyAlignment="1">
      <alignment vertical="center"/>
    </xf>
    <xf numFmtId="164" fontId="22" fillId="15" borderId="10" xfId="1" applyNumberFormat="1" applyFont="1" applyFill="1" applyBorder="1" applyAlignment="1">
      <alignment vertical="center"/>
    </xf>
    <xf numFmtId="164" fontId="29" fillId="15" borderId="0" xfId="1" applyNumberFormat="1" applyFont="1" applyFill="1" applyBorder="1" applyAlignment="1">
      <alignment vertical="center"/>
    </xf>
    <xf numFmtId="0" fontId="46" fillId="2" borderId="0" xfId="0" applyFont="1" applyFill="1" applyAlignment="1">
      <alignment horizontal="center" vertical="center" wrapText="1"/>
    </xf>
    <xf numFmtId="0" fontId="47" fillId="30" borderId="18" xfId="0" applyFont="1" applyFill="1" applyBorder="1" applyAlignment="1">
      <alignment horizontal="center" vertical="center" wrapText="1"/>
    </xf>
    <xf numFmtId="0" fontId="47" fillId="30" borderId="0" xfId="0" applyFont="1" applyFill="1" applyAlignment="1">
      <alignment horizontal="center" vertical="center" wrapText="1"/>
    </xf>
    <xf numFmtId="0" fontId="47" fillId="30" borderId="13" xfId="0" applyFont="1" applyFill="1" applyBorder="1" applyAlignment="1">
      <alignment horizontal="center" vertical="center" wrapText="1"/>
    </xf>
    <xf numFmtId="0" fontId="46" fillId="2" borderId="18" xfId="0" applyFont="1" applyFill="1" applyBorder="1" applyAlignment="1">
      <alignment horizontal="center" vertical="center" wrapText="1"/>
    </xf>
    <xf numFmtId="0" fontId="46" fillId="2" borderId="13" xfId="0" applyFont="1" applyFill="1" applyBorder="1" applyAlignment="1">
      <alignment horizontal="center" vertical="center" wrapText="1"/>
    </xf>
    <xf numFmtId="0" fontId="11" fillId="2" borderId="14" xfId="0" applyFont="1" applyFill="1" applyBorder="1" applyAlignment="1">
      <alignment horizontal="center" vertical="center" wrapText="1"/>
    </xf>
    <xf numFmtId="0" fontId="11" fillId="2" borderId="15" xfId="0" applyFont="1" applyFill="1" applyBorder="1" applyAlignment="1">
      <alignment horizontal="center" vertical="center" wrapText="1"/>
    </xf>
    <xf numFmtId="0" fontId="11" fillId="2" borderId="10" xfId="0" applyFont="1" applyFill="1" applyBorder="1" applyAlignment="1">
      <alignment horizontal="center" vertical="center" wrapText="1"/>
    </xf>
    <xf numFmtId="0" fontId="11" fillId="30" borderId="14" xfId="0" applyFont="1" applyFill="1" applyBorder="1" applyAlignment="1">
      <alignment horizontal="center" vertical="center" wrapText="1"/>
    </xf>
    <xf numFmtId="0" fontId="11" fillId="30" borderId="15" xfId="0" applyFont="1" applyFill="1" applyBorder="1" applyAlignment="1">
      <alignment horizontal="center" vertical="center" wrapText="1"/>
    </xf>
    <xf numFmtId="0" fontId="11" fillId="30" borderId="10" xfId="0" applyFont="1" applyFill="1" applyBorder="1" applyAlignment="1">
      <alignment horizontal="center" vertical="center" wrapText="1"/>
    </xf>
    <xf numFmtId="0" fontId="11" fillId="10" borderId="14" xfId="0" applyFont="1" applyFill="1" applyBorder="1" applyAlignment="1">
      <alignment horizontal="center" vertical="center" wrapText="1"/>
    </xf>
    <xf numFmtId="0" fontId="11" fillId="10" borderId="15" xfId="0" applyFont="1" applyFill="1" applyBorder="1" applyAlignment="1">
      <alignment horizontal="center" vertical="center" wrapText="1"/>
    </xf>
    <xf numFmtId="0" fontId="11" fillId="10" borderId="10" xfId="0" applyFont="1" applyFill="1" applyBorder="1" applyAlignment="1">
      <alignment horizontal="center" vertical="center" wrapText="1"/>
    </xf>
    <xf numFmtId="0" fontId="48" fillId="10" borderId="18" xfId="0" applyFont="1" applyFill="1" applyBorder="1" applyAlignment="1">
      <alignment horizontal="center" vertical="center" wrapText="1"/>
    </xf>
    <xf numFmtId="0" fontId="48" fillId="10" borderId="0" xfId="0" applyFont="1" applyFill="1" applyAlignment="1">
      <alignment horizontal="center" vertical="center" wrapText="1"/>
    </xf>
    <xf numFmtId="0" fontId="48" fillId="10" borderId="13" xfId="0" applyFont="1" applyFill="1" applyBorder="1" applyAlignment="1">
      <alignment horizontal="center" vertical="center" wrapText="1"/>
    </xf>
    <xf numFmtId="164" fontId="4" fillId="0" borderId="2" xfId="0" applyNumberFormat="1" applyFont="1" applyBorder="1" applyAlignment="1">
      <alignment vertical="center"/>
    </xf>
    <xf numFmtId="0" fontId="11" fillId="32" borderId="14" xfId="0" applyFont="1" applyFill="1" applyBorder="1" applyAlignment="1">
      <alignment horizontal="center" vertical="center"/>
    </xf>
    <xf numFmtId="0" fontId="11" fillId="32" borderId="15" xfId="0" applyFont="1" applyFill="1" applyBorder="1" applyAlignment="1">
      <alignment horizontal="center" vertical="center"/>
    </xf>
    <xf numFmtId="0" fontId="11" fillId="32" borderId="10" xfId="0" applyFont="1" applyFill="1" applyBorder="1" applyAlignment="1">
      <alignment horizontal="center" vertical="center"/>
    </xf>
    <xf numFmtId="164" fontId="1" fillId="0" borderId="13" xfId="1" applyNumberFormat="1" applyFont="1" applyBorder="1" applyAlignment="1">
      <alignment horizontal="center" vertical="center"/>
    </xf>
    <xf numFmtId="0" fontId="11" fillId="24" borderId="14" xfId="0" applyFont="1" applyFill="1" applyBorder="1" applyAlignment="1">
      <alignment horizontal="center" vertical="center" wrapText="1"/>
    </xf>
    <xf numFmtId="0" fontId="11" fillId="24" borderId="15" xfId="0" applyFont="1" applyFill="1" applyBorder="1" applyAlignment="1">
      <alignment horizontal="center" vertical="center" wrapText="1"/>
    </xf>
    <xf numFmtId="0" fontId="11" fillId="24" borderId="10" xfId="0" applyFont="1" applyFill="1" applyBorder="1" applyAlignment="1">
      <alignment horizontal="center" vertical="center" wrapText="1"/>
    </xf>
    <xf numFmtId="0" fontId="49" fillId="24" borderId="18" xfId="0" applyFont="1" applyFill="1" applyBorder="1" applyAlignment="1">
      <alignment horizontal="center" vertical="center" wrapText="1"/>
    </xf>
    <xf numFmtId="0" fontId="49" fillId="24" borderId="0" xfId="0" applyFont="1" applyFill="1" applyAlignment="1">
      <alignment horizontal="center" vertical="center" wrapText="1"/>
    </xf>
    <xf numFmtId="0" fontId="49" fillId="24" borderId="13" xfId="0" applyFont="1" applyFill="1" applyBorder="1" applyAlignment="1">
      <alignment horizontal="center" vertical="center" wrapText="1"/>
    </xf>
    <xf numFmtId="164" fontId="1" fillId="0" borderId="13" xfId="1" applyNumberFormat="1" applyFont="1" applyBorder="1" applyAlignment="1">
      <alignment vertical="center"/>
    </xf>
    <xf numFmtId="0" fontId="4" fillId="0" borderId="9" xfId="0" applyFont="1" applyBorder="1" applyAlignment="1">
      <alignment horizontal="center" vertical="center"/>
    </xf>
    <xf numFmtId="0" fontId="4" fillId="0" borderId="8" xfId="0" applyFont="1" applyBorder="1" applyAlignment="1">
      <alignment horizontal="center" vertical="center"/>
    </xf>
    <xf numFmtId="0" fontId="4" fillId="0" borderId="2" xfId="0" applyFont="1" applyBorder="1" applyAlignment="1">
      <alignment horizontal="center" vertical="center"/>
    </xf>
    <xf numFmtId="0" fontId="47" fillId="13" borderId="18" xfId="0" applyFont="1" applyFill="1" applyBorder="1" applyAlignment="1">
      <alignment horizontal="center" vertical="center" wrapText="1"/>
    </xf>
    <xf numFmtId="0" fontId="47" fillId="13" borderId="0" xfId="0" applyFont="1" applyFill="1" applyAlignment="1">
      <alignment horizontal="center" vertical="center" wrapText="1"/>
    </xf>
    <xf numFmtId="0" fontId="47" fillId="13" borderId="13" xfId="0" applyFont="1" applyFill="1" applyBorder="1" applyAlignment="1">
      <alignment horizontal="center" vertical="center" wrapText="1"/>
    </xf>
    <xf numFmtId="0" fontId="11" fillId="13" borderId="14" xfId="0" applyFont="1" applyFill="1" applyBorder="1" applyAlignment="1">
      <alignment horizontal="center" vertical="center" wrapText="1"/>
    </xf>
    <xf numFmtId="0" fontId="11" fillId="13" borderId="15" xfId="0" applyFont="1" applyFill="1" applyBorder="1" applyAlignment="1">
      <alignment horizontal="center" vertical="center" wrapText="1"/>
    </xf>
    <xf numFmtId="0" fontId="11" fillId="13" borderId="10" xfId="0" applyFont="1" applyFill="1" applyBorder="1" applyAlignment="1">
      <alignment horizontal="center" vertical="center" wrapText="1"/>
    </xf>
    <xf numFmtId="0" fontId="50" fillId="32" borderId="18" xfId="0" applyFont="1" applyFill="1" applyBorder="1" applyAlignment="1">
      <alignment horizontal="center" vertical="center"/>
    </xf>
    <xf numFmtId="0" fontId="50" fillId="32" borderId="0" xfId="0" applyFont="1" applyFill="1" applyAlignment="1">
      <alignment horizontal="center" vertical="center"/>
    </xf>
    <xf numFmtId="0" fontId="50" fillId="32" borderId="13" xfId="0" applyFont="1" applyFill="1" applyBorder="1" applyAlignment="1">
      <alignment horizontal="center" vertical="center"/>
    </xf>
    <xf numFmtId="0" fontId="4" fillId="0" borderId="9" xfId="0" applyFont="1" applyBorder="1" applyAlignment="1">
      <alignment vertical="center"/>
    </xf>
    <xf numFmtId="0" fontId="4" fillId="0" borderId="18" xfId="0" applyFont="1" applyBorder="1" applyAlignment="1">
      <alignment horizontal="left" vertical="center"/>
    </xf>
    <xf numFmtId="164" fontId="1" fillId="0" borderId="0" xfId="1" applyNumberFormat="1" applyFont="1" applyBorder="1" applyAlignment="1">
      <alignment horizontal="center" vertical="center"/>
    </xf>
    <xf numFmtId="0" fontId="4" fillId="0" borderId="13" xfId="0" applyFont="1" applyBorder="1" applyAlignment="1">
      <alignment horizontal="right" vertical="center"/>
    </xf>
    <xf numFmtId="0" fontId="0" fillId="0" borderId="18" xfId="0" applyBorder="1" applyAlignment="1">
      <alignment horizontal="left" vertical="center"/>
    </xf>
    <xf numFmtId="0" fontId="0" fillId="0" borderId="10" xfId="0" applyBorder="1" applyAlignment="1">
      <alignment horizontal="right" vertical="center"/>
    </xf>
    <xf numFmtId="0" fontId="4" fillId="8" borderId="12" xfId="0" applyFont="1" applyFill="1" applyBorder="1" applyAlignment="1">
      <alignment horizontal="right" vertical="center"/>
    </xf>
    <xf numFmtId="0" fontId="4" fillId="8" borderId="8" xfId="0" applyFont="1" applyFill="1" applyBorder="1" applyAlignment="1">
      <alignment horizontal="left" vertical="center"/>
    </xf>
    <xf numFmtId="0" fontId="4" fillId="8" borderId="8" xfId="0" applyFont="1" applyFill="1" applyBorder="1" applyAlignment="1">
      <alignment vertical="center"/>
    </xf>
    <xf numFmtId="0" fontId="4" fillId="8" borderId="9" xfId="0" applyFont="1" applyFill="1" applyBorder="1" applyAlignment="1">
      <alignment vertical="center"/>
    </xf>
    <xf numFmtId="0" fontId="0" fillId="2" borderId="14" xfId="0" applyFill="1" applyBorder="1" applyAlignment="1">
      <alignment vertical="center"/>
    </xf>
    <xf numFmtId="0" fontId="0" fillId="2" borderId="10" xfId="0" applyFill="1" applyBorder="1" applyAlignment="1">
      <alignment vertical="center"/>
    </xf>
    <xf numFmtId="0" fontId="0" fillId="9" borderId="14" xfId="0" applyFill="1" applyBorder="1" applyAlignment="1">
      <alignment vertical="center"/>
    </xf>
    <xf numFmtId="0" fontId="0" fillId="9" borderId="10" xfId="0" applyFill="1" applyBorder="1" applyAlignment="1">
      <alignment vertical="center"/>
    </xf>
    <xf numFmtId="0" fontId="0" fillId="0" borderId="13" xfId="0" applyBorder="1" applyAlignment="1">
      <alignment horizontal="right" vertical="center"/>
    </xf>
    <xf numFmtId="164" fontId="51" fillId="0" borderId="13" xfId="1" applyNumberFormat="1" applyFont="1" applyBorder="1" applyAlignment="1">
      <alignment horizontal="center" vertical="center"/>
    </xf>
    <xf numFmtId="164" fontId="51" fillId="0" borderId="0" xfId="1" applyNumberFormat="1" applyFont="1" applyBorder="1" applyAlignment="1">
      <alignment horizontal="center" vertical="center"/>
    </xf>
    <xf numFmtId="164" fontId="52" fillId="0" borderId="13" xfId="1" applyNumberFormat="1" applyFont="1" applyBorder="1" applyAlignment="1">
      <alignment horizontal="center" vertical="center"/>
    </xf>
    <xf numFmtId="164" fontId="52" fillId="0" borderId="0" xfId="1" applyNumberFormat="1" applyFont="1" applyBorder="1" applyAlignment="1">
      <alignment horizontal="center" vertical="center"/>
    </xf>
    <xf numFmtId="164" fontId="53" fillId="0" borderId="13" xfId="1" applyNumberFormat="1" applyFont="1" applyBorder="1" applyAlignment="1">
      <alignment horizontal="center" vertical="center"/>
    </xf>
    <xf numFmtId="164" fontId="53" fillId="0" borderId="0" xfId="1" applyNumberFormat="1" applyFont="1" applyBorder="1" applyAlignment="1">
      <alignment horizontal="center" vertical="center"/>
    </xf>
    <xf numFmtId="0" fontId="20" fillId="21" borderId="38" xfId="0" applyFont="1" applyFill="1" applyBorder="1" applyAlignment="1">
      <alignment horizontal="center" vertical="center"/>
    </xf>
    <xf numFmtId="0" fontId="20" fillId="21" borderId="39" xfId="0" applyFont="1" applyFill="1" applyBorder="1" applyAlignment="1">
      <alignment horizontal="center" vertical="center"/>
    </xf>
    <xf numFmtId="0" fontId="20" fillId="21" borderId="40" xfId="0" applyFont="1" applyFill="1" applyBorder="1" applyAlignment="1">
      <alignment horizontal="center" vertical="center"/>
    </xf>
    <xf numFmtId="0" fontId="20" fillId="21" borderId="6" xfId="0" applyFont="1" applyFill="1" applyBorder="1" applyAlignment="1">
      <alignment horizontal="center" vertical="center"/>
    </xf>
    <xf numFmtId="0" fontId="20" fillId="21" borderId="16" xfId="0" applyFont="1" applyFill="1" applyBorder="1" applyAlignment="1">
      <alignment horizontal="center" vertical="center"/>
    </xf>
    <xf numFmtId="0" fontId="18" fillId="21" borderId="0" xfId="0" applyFont="1" applyFill="1" applyAlignment="1">
      <alignment horizontal="center" vertical="center" wrapText="1"/>
    </xf>
    <xf numFmtId="0" fontId="0" fillId="8" borderId="28" xfId="0" applyFill="1" applyBorder="1" applyAlignment="1">
      <alignment horizontal="center" vertical="center"/>
    </xf>
    <xf numFmtId="0" fontId="0" fillId="8" borderId="41" xfId="0" applyFill="1" applyBorder="1" applyAlignment="1">
      <alignment horizontal="center" vertical="center"/>
    </xf>
    <xf numFmtId="0" fontId="5" fillId="0" borderId="0" xfId="0" applyFont="1" applyAlignment="1">
      <alignment horizontal="center" vertical="center"/>
    </xf>
    <xf numFmtId="0" fontId="36" fillId="0" borderId="0" xfId="0" applyFont="1" applyAlignment="1">
      <alignment horizontal="center" vertical="center"/>
    </xf>
    <xf numFmtId="0" fontId="12" fillId="0" borderId="0" xfId="0" applyFont="1" applyAlignment="1">
      <alignment horizontal="center" vertical="center"/>
    </xf>
    <xf numFmtId="164" fontId="12" fillId="0" borderId="0" xfId="1" applyNumberFormat="1" applyFont="1" applyAlignment="1">
      <alignment vertical="center"/>
    </xf>
    <xf numFmtId="0" fontId="34" fillId="0" borderId="1" xfId="4" applyFont="1" applyAlignment="1">
      <alignment vertical="center"/>
    </xf>
    <xf numFmtId="14" fontId="5" fillId="0" borderId="0" xfId="0" applyNumberFormat="1" applyFont="1"/>
    <xf numFmtId="164" fontId="5" fillId="0" borderId="0" xfId="0" applyNumberFormat="1" applyFont="1"/>
    <xf numFmtId="164" fontId="5" fillId="0" borderId="0" xfId="1" applyNumberFormat="1" applyFont="1"/>
    <xf numFmtId="165" fontId="5" fillId="0" borderId="0" xfId="1" applyNumberFormat="1" applyFont="1"/>
    <xf numFmtId="14" fontId="0" fillId="0" borderId="0" xfId="0" applyNumberFormat="1"/>
    <xf numFmtId="0" fontId="0" fillId="0" borderId="0" xfId="0" applyAlignment="1">
      <alignment horizontal="right"/>
    </xf>
    <xf numFmtId="0" fontId="0" fillId="0" borderId="8" xfId="0" applyBorder="1" applyAlignment="1">
      <alignment horizontal="center" vertical="center"/>
    </xf>
    <xf numFmtId="0" fontId="16" fillId="8" borderId="8" xfId="0" applyFont="1" applyFill="1" applyBorder="1" applyAlignment="1">
      <alignment horizontal="center" vertical="center"/>
    </xf>
    <xf numFmtId="0" fontId="16" fillId="8" borderId="8" xfId="0" applyFont="1" applyFill="1" applyBorder="1" applyAlignment="1">
      <alignment vertical="center"/>
    </xf>
    <xf numFmtId="0" fontId="0" fillId="8" borderId="9" xfId="0" applyFill="1" applyBorder="1" applyAlignment="1">
      <alignment vertical="center"/>
    </xf>
    <xf numFmtId="0" fontId="8" fillId="0" borderId="0" xfId="0" applyFont="1" applyAlignment="1">
      <alignment horizontal="center" vertical="center"/>
    </xf>
    <xf numFmtId="0" fontId="0" fillId="0" borderId="18" xfId="0" applyBorder="1"/>
    <xf numFmtId="0" fontId="0" fillId="0" borderId="13" xfId="0" applyBorder="1"/>
    <xf numFmtId="0" fontId="0" fillId="0" borderId="14" xfId="0" applyBorder="1"/>
    <xf numFmtId="0" fontId="8" fillId="0" borderId="15" xfId="0" applyFont="1" applyBorder="1"/>
    <xf numFmtId="0" fontId="0" fillId="0" borderId="10" xfId="0" applyBorder="1"/>
    <xf numFmtId="0" fontId="55" fillId="0" borderId="0" xfId="0" applyFont="1"/>
    <xf numFmtId="0" fontId="5" fillId="0" borderId="42" xfId="0" applyFont="1" applyBorder="1"/>
    <xf numFmtId="0" fontId="5" fillId="0" borderId="43" xfId="0" applyFont="1" applyBorder="1"/>
    <xf numFmtId="0" fontId="0" fillId="0" borderId="1" xfId="0" applyBorder="1"/>
    <xf numFmtId="0" fontId="8" fillId="0" borderId="1" xfId="0" applyFont="1" applyBorder="1"/>
    <xf numFmtId="0" fontId="5" fillId="0" borderId="1" xfId="0" applyFont="1" applyBorder="1"/>
    <xf numFmtId="0" fontId="5" fillId="0" borderId="44" xfId="0" applyFont="1" applyBorder="1"/>
    <xf numFmtId="0" fontId="0" fillId="0" borderId="15" xfId="0" applyBorder="1" applyAlignment="1">
      <alignment horizontal="center" vertical="center"/>
    </xf>
    <xf numFmtId="0" fontId="4" fillId="0" borderId="0" xfId="0" applyFont="1" applyAlignment="1">
      <alignment horizontal="center" vertical="center" wrapText="1"/>
    </xf>
    <xf numFmtId="0" fontId="44" fillId="3" borderId="0" xfId="0" applyFont="1" applyFill="1" applyAlignment="1">
      <alignment horizontal="center" vertical="center" wrapText="1"/>
    </xf>
    <xf numFmtId="0" fontId="4" fillId="8" borderId="0" xfId="0" applyFont="1" applyFill="1" applyAlignment="1">
      <alignment horizontal="right" vertical="center"/>
    </xf>
    <xf numFmtId="0" fontId="5" fillId="8" borderId="0" xfId="0" applyFont="1" applyFill="1" applyAlignment="1">
      <alignment horizontal="right" vertical="center"/>
    </xf>
    <xf numFmtId="164" fontId="11" fillId="3" borderId="0" xfId="1" applyNumberFormat="1" applyFont="1" applyFill="1" applyBorder="1" applyAlignment="1">
      <alignment vertical="center"/>
    </xf>
    <xf numFmtId="0" fontId="11" fillId="3" borderId="0" xfId="0" applyFont="1" applyFill="1" applyAlignment="1">
      <alignment vertical="center" wrapText="1"/>
    </xf>
    <xf numFmtId="0" fontId="54" fillId="21" borderId="21" xfId="0" applyFont="1" applyFill="1" applyBorder="1" applyAlignment="1">
      <alignment horizontal="center" vertical="center"/>
    </xf>
    <xf numFmtId="0" fontId="57" fillId="21" borderId="21" xfId="0" applyFont="1" applyFill="1" applyBorder="1" applyAlignment="1">
      <alignment horizontal="center" vertical="center" wrapText="1"/>
    </xf>
    <xf numFmtId="164" fontId="56" fillId="10" borderId="21" xfId="0" applyNumberFormat="1" applyFont="1" applyFill="1" applyBorder="1" applyAlignment="1">
      <alignment horizontal="center" vertical="center"/>
    </xf>
    <xf numFmtId="0" fontId="56" fillId="10" borderId="21" xfId="0" applyFont="1" applyFill="1" applyBorder="1" applyAlignment="1">
      <alignment horizontal="center" vertical="center"/>
    </xf>
    <xf numFmtId="0" fontId="56" fillId="10" borderId="21" xfId="0" applyFont="1" applyFill="1" applyBorder="1" applyAlignment="1">
      <alignment horizontal="center" vertical="center" wrapText="1"/>
    </xf>
    <xf numFmtId="0" fontId="56" fillId="33" borderId="21" xfId="0" applyFont="1" applyFill="1" applyBorder="1" applyAlignment="1">
      <alignment horizontal="center" vertical="center" wrapText="1"/>
    </xf>
    <xf numFmtId="0" fontId="56" fillId="30" borderId="21" xfId="0" applyFont="1" applyFill="1" applyBorder="1" applyAlignment="1">
      <alignment horizontal="center" vertical="center" wrapText="1"/>
    </xf>
    <xf numFmtId="0" fontId="54" fillId="30" borderId="21" xfId="0" applyFont="1" applyFill="1" applyBorder="1" applyAlignment="1">
      <alignment horizontal="center" vertical="center" wrapText="1"/>
    </xf>
    <xf numFmtId="164" fontId="11" fillId="3" borderId="0" xfId="0" applyNumberFormat="1" applyFont="1" applyFill="1" applyAlignment="1">
      <alignment horizontal="center" vertical="center"/>
    </xf>
    <xf numFmtId="164" fontId="11" fillId="3" borderId="0" xfId="1" applyNumberFormat="1" applyFont="1" applyFill="1" applyBorder="1" applyAlignment="1">
      <alignment horizontal="center" vertical="center"/>
    </xf>
    <xf numFmtId="0" fontId="4" fillId="0" borderId="0" xfId="0" applyFont="1" applyAlignment="1">
      <alignment horizontal="left" vertical="center" indent="10"/>
    </xf>
    <xf numFmtId="164" fontId="59" fillId="0" borderId="0" xfId="0" applyNumberFormat="1" applyFont="1"/>
    <xf numFmtId="164" fontId="0" fillId="0" borderId="0" xfId="1" applyNumberFormat="1" applyFont="1" applyAlignment="1">
      <alignment horizontal="center" vertical="center"/>
    </xf>
    <xf numFmtId="164" fontId="4" fillId="0" borderId="0" xfId="1" applyNumberFormat="1" applyFont="1" applyAlignment="1">
      <alignment vertical="center"/>
    </xf>
    <xf numFmtId="10" fontId="12" fillId="20" borderId="16" xfId="0" applyNumberFormat="1" applyFont="1" applyFill="1" applyBorder="1" applyAlignment="1">
      <alignment horizontal="center" vertical="center"/>
    </xf>
    <xf numFmtId="0" fontId="0" fillId="0" borderId="0" xfId="0" quotePrefix="1" applyAlignment="1">
      <alignment vertical="center"/>
    </xf>
    <xf numFmtId="0" fontId="5" fillId="2" borderId="2" xfId="0" applyFont="1" applyFill="1" applyBorder="1" applyAlignment="1">
      <alignment horizontal="left" vertical="center" wrapText="1"/>
    </xf>
    <xf numFmtId="0" fontId="8" fillId="3" borderId="0" xfId="0" applyFont="1" applyFill="1" applyAlignment="1">
      <alignment horizontal="left" vertical="center" wrapText="1"/>
    </xf>
    <xf numFmtId="1" fontId="23" fillId="0" borderId="0" xfId="1" applyNumberFormat="1" applyFont="1" applyAlignment="1">
      <alignment horizontal="left" vertical="center"/>
    </xf>
    <xf numFmtId="49" fontId="0" fillId="0" borderId="0" xfId="0" quotePrefix="1" applyNumberFormat="1" applyAlignment="1">
      <alignment vertical="center" wrapText="1"/>
    </xf>
    <xf numFmtId="49" fontId="0" fillId="0" borderId="0" xfId="0" quotePrefix="1" applyNumberFormat="1" applyAlignment="1">
      <alignment vertical="center"/>
    </xf>
    <xf numFmtId="49" fontId="0" fillId="0" borderId="0" xfId="0" applyNumberFormat="1" applyAlignment="1">
      <alignment vertical="center" wrapText="1"/>
    </xf>
    <xf numFmtId="49" fontId="0" fillId="0" borderId="0" xfId="0" applyNumberFormat="1" applyAlignment="1">
      <alignment vertical="center"/>
    </xf>
    <xf numFmtId="49" fontId="0" fillId="0" borderId="0" xfId="8" applyNumberFormat="1" applyFont="1" applyFill="1" applyBorder="1" applyAlignment="1">
      <alignment vertical="center"/>
    </xf>
    <xf numFmtId="0" fontId="4" fillId="0" borderId="2" xfId="0" applyFont="1" applyBorder="1" applyAlignment="1">
      <alignment horizontal="center" vertical="center"/>
    </xf>
    <xf numFmtId="0" fontId="11" fillId="7" borderId="0" xfId="0" applyFont="1" applyFill="1" applyAlignment="1">
      <alignment horizontal="center" vertical="center" wrapText="1"/>
    </xf>
    <xf numFmtId="0" fontId="14" fillId="0" borderId="0" xfId="0" applyFont="1" applyAlignment="1">
      <alignment horizontal="center" vertical="center"/>
    </xf>
    <xf numFmtId="0" fontId="0" fillId="20" borderId="6" xfId="0" applyFill="1" applyBorder="1" applyAlignment="1">
      <alignment horizontal="center" vertical="center"/>
    </xf>
    <xf numFmtId="0" fontId="0" fillId="20" borderId="7" xfId="0" applyFill="1" applyBorder="1" applyAlignment="1">
      <alignment horizontal="center" vertical="center"/>
    </xf>
    <xf numFmtId="0" fontId="0" fillId="20" borderId="16" xfId="0" applyFill="1" applyBorder="1" applyAlignment="1">
      <alignment horizontal="center" vertical="center"/>
    </xf>
    <xf numFmtId="0" fontId="0" fillId="20" borderId="4" xfId="0" applyFill="1" applyBorder="1" applyAlignment="1">
      <alignment horizontal="center" vertical="center" wrapText="1"/>
    </xf>
    <xf numFmtId="0" fontId="0" fillId="20" borderId="11" xfId="0" applyFill="1" applyBorder="1" applyAlignment="1">
      <alignment horizontal="center" vertical="center" wrapText="1"/>
    </xf>
    <xf numFmtId="0" fontId="0" fillId="20" borderId="5" xfId="0" applyFill="1" applyBorder="1" applyAlignment="1">
      <alignment horizontal="center" vertical="center" wrapText="1"/>
    </xf>
    <xf numFmtId="0" fontId="11" fillId="13" borderId="11" xfId="0" applyFont="1" applyFill="1" applyBorder="1" applyAlignment="1">
      <alignment horizontal="center" vertical="center" wrapText="1"/>
    </xf>
    <xf numFmtId="0" fontId="11" fillId="13" borderId="11" xfId="0" applyFont="1" applyFill="1" applyBorder="1" applyAlignment="1">
      <alignment horizontal="center" vertical="top" wrapText="1"/>
    </xf>
    <xf numFmtId="0" fontId="11" fillId="13" borderId="11" xfId="0" applyFont="1" applyFill="1" applyBorder="1" applyAlignment="1">
      <alignment horizontal="center" vertical="top"/>
    </xf>
    <xf numFmtId="0" fontId="11" fillId="7" borderId="6" xfId="0" applyFont="1" applyFill="1" applyBorder="1" applyAlignment="1">
      <alignment horizontal="center" vertical="center" wrapText="1"/>
    </xf>
    <xf numFmtId="0" fontId="11" fillId="7" borderId="16" xfId="0" applyFont="1" applyFill="1" applyBorder="1" applyAlignment="1">
      <alignment horizontal="center" vertical="center" wrapText="1"/>
    </xf>
    <xf numFmtId="0" fontId="11" fillId="13" borderId="7" xfId="0" applyFont="1" applyFill="1" applyBorder="1" applyAlignment="1">
      <alignment horizontal="center" vertical="center"/>
    </xf>
    <xf numFmtId="0" fontId="11" fillId="13" borderId="16" xfId="0" applyFont="1" applyFill="1" applyBorder="1" applyAlignment="1">
      <alignment horizontal="center" vertical="center"/>
    </xf>
    <xf numFmtId="0" fontId="4" fillId="0" borderId="4" xfId="0" applyFont="1" applyBorder="1" applyAlignment="1">
      <alignment horizontal="center" vertical="center"/>
    </xf>
    <xf numFmtId="0" fontId="11" fillId="13" borderId="12" xfId="0" applyFont="1" applyFill="1" applyBorder="1" applyAlignment="1">
      <alignment horizontal="center" vertical="center"/>
    </xf>
    <xf numFmtId="0" fontId="11" fillId="13" borderId="8" xfId="0" applyFont="1" applyFill="1" applyBorder="1" applyAlignment="1">
      <alignment horizontal="center" vertical="center"/>
    </xf>
    <xf numFmtId="0" fontId="4" fillId="0" borderId="16" xfId="0" applyFont="1" applyBorder="1" applyAlignment="1">
      <alignment horizontal="center" vertical="center"/>
    </xf>
    <xf numFmtId="0" fontId="29" fillId="0" borderId="2" xfId="0" applyFont="1" applyBorder="1" applyAlignment="1">
      <alignment horizontal="center" vertical="center"/>
    </xf>
    <xf numFmtId="0" fontId="4" fillId="0" borderId="6" xfId="0" applyFont="1" applyBorder="1" applyAlignment="1">
      <alignment horizontal="center" vertical="center"/>
    </xf>
    <xf numFmtId="0" fontId="4" fillId="0" borderId="7" xfId="0" applyFont="1" applyBorder="1" applyAlignment="1">
      <alignment horizontal="center" vertical="center"/>
    </xf>
    <xf numFmtId="0" fontId="4" fillId="0" borderId="8" xfId="0" applyFont="1" applyBorder="1" applyAlignment="1">
      <alignment horizontal="center" vertical="center"/>
    </xf>
    <xf numFmtId="0" fontId="29" fillId="0" borderId="7" xfId="0" applyFont="1" applyBorder="1" applyAlignment="1">
      <alignment horizontal="center" vertical="center"/>
    </xf>
    <xf numFmtId="0" fontId="0" fillId="0" borderId="12"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22" fillId="0" borderId="4" xfId="0" applyFont="1" applyBorder="1" applyAlignment="1">
      <alignment horizontal="center" vertical="center" wrapText="1"/>
    </xf>
    <xf numFmtId="0" fontId="22" fillId="0" borderId="5" xfId="0" applyFont="1" applyBorder="1" applyAlignment="1">
      <alignment horizontal="center" vertical="center" wrapText="1"/>
    </xf>
    <xf numFmtId="0" fontId="22" fillId="20" borderId="4" xfId="0" applyFont="1" applyFill="1" applyBorder="1" applyAlignment="1">
      <alignment horizontal="center" vertical="center" wrapText="1"/>
    </xf>
    <xf numFmtId="0" fontId="22" fillId="20" borderId="5" xfId="0" applyFont="1" applyFill="1" applyBorder="1" applyAlignment="1">
      <alignment horizontal="center" vertical="center" wrapText="1"/>
    </xf>
    <xf numFmtId="0" fontId="0" fillId="0" borderId="11" xfId="0" applyBorder="1" applyAlignment="1">
      <alignment horizontal="center" vertical="center" wrapText="1"/>
    </xf>
    <xf numFmtId="0" fontId="22" fillId="20" borderId="11" xfId="0" applyFont="1" applyFill="1" applyBorder="1" applyAlignment="1">
      <alignment horizontal="center" vertical="center" wrapText="1"/>
    </xf>
    <xf numFmtId="0" fontId="22" fillId="0" borderId="11" xfId="0" applyFont="1" applyBorder="1" applyAlignment="1">
      <alignment horizontal="center" vertical="center" wrapText="1"/>
    </xf>
    <xf numFmtId="165" fontId="0" fillId="0" borderId="11" xfId="1" applyNumberFormat="1" applyFont="1" applyBorder="1" applyAlignment="1">
      <alignment horizontal="center" vertical="center" wrapText="1"/>
    </xf>
    <xf numFmtId="0" fontId="4" fillId="0" borderId="11" xfId="0" applyFont="1" applyBorder="1" applyAlignment="1">
      <alignment horizontal="center" vertical="center" wrapText="1"/>
    </xf>
    <xf numFmtId="0" fontId="0" fillId="0" borderId="4" xfId="0" applyBorder="1" applyAlignment="1">
      <alignment horizontal="center" vertical="center" wrapText="1"/>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16" xfId="0" applyBorder="1" applyAlignment="1">
      <alignment horizontal="center" vertical="center" wrapText="1"/>
    </xf>
    <xf numFmtId="0" fontId="11" fillId="13" borderId="11" xfId="0" applyFont="1" applyFill="1" applyBorder="1" applyAlignment="1">
      <alignment horizontal="center" vertical="center"/>
    </xf>
    <xf numFmtId="0" fontId="4" fillId="0" borderId="6" xfId="0" applyFont="1" applyBorder="1" applyAlignment="1">
      <alignment horizontal="center"/>
    </xf>
    <xf numFmtId="0" fontId="4" fillId="0" borderId="7" xfId="0" applyFont="1" applyBorder="1" applyAlignment="1">
      <alignment horizontal="center"/>
    </xf>
    <xf numFmtId="0" fontId="4" fillId="0" borderId="16" xfId="0" applyFont="1" applyBorder="1" applyAlignment="1">
      <alignment horizontal="center"/>
    </xf>
    <xf numFmtId="0" fontId="4" fillId="0" borderId="2" xfId="0" applyFont="1" applyBorder="1" applyAlignment="1">
      <alignment horizontal="center" vertical="center" wrapText="1"/>
    </xf>
    <xf numFmtId="0" fontId="4" fillId="0" borderId="2" xfId="0" applyFont="1" applyBorder="1" applyAlignment="1">
      <alignment horizontal="center"/>
    </xf>
    <xf numFmtId="0" fontId="45" fillId="0" borderId="4" xfId="0" applyFont="1" applyBorder="1" applyAlignment="1">
      <alignment horizontal="center" vertical="center" wrapText="1"/>
    </xf>
    <xf numFmtId="0" fontId="45"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16" xfId="0" applyFont="1" applyBorder="1" applyAlignment="1">
      <alignment horizontal="center" vertical="center" wrapText="1"/>
    </xf>
    <xf numFmtId="0" fontId="31" fillId="0" borderId="4" xfId="0" applyFont="1" applyBorder="1" applyAlignment="1">
      <alignment horizontal="center" vertical="center" wrapText="1"/>
    </xf>
    <xf numFmtId="0" fontId="31" fillId="0" borderId="5" xfId="0" applyFont="1" applyBorder="1" applyAlignment="1">
      <alignment horizontal="center" vertical="center" wrapText="1"/>
    </xf>
    <xf numFmtId="0" fontId="4" fillId="0" borderId="4" xfId="0" applyFont="1" applyBorder="1" applyAlignment="1">
      <alignment horizontal="center" vertical="center" wrapText="1"/>
    </xf>
    <xf numFmtId="0" fontId="4" fillId="0" borderId="5" xfId="0" applyFont="1" applyBorder="1" applyAlignment="1">
      <alignment horizontal="center" vertical="center" wrapText="1"/>
    </xf>
    <xf numFmtId="0" fontId="0" fillId="0" borderId="2" xfId="0" applyBorder="1" applyAlignment="1">
      <alignment horizontal="center" vertical="center" wrapText="1"/>
    </xf>
    <xf numFmtId="165" fontId="0" fillId="0" borderId="2" xfId="1" applyNumberFormat="1" applyFont="1" applyBorder="1" applyAlignment="1">
      <alignment horizontal="center" vertical="center" wrapText="1"/>
    </xf>
    <xf numFmtId="0" fontId="16" fillId="26" borderId="4" xfId="0" applyFont="1" applyFill="1" applyBorder="1" applyAlignment="1">
      <alignment horizontal="center" vertical="center" wrapText="1"/>
    </xf>
    <xf numFmtId="0" fontId="16" fillId="26" borderId="11" xfId="0" applyFont="1" applyFill="1" applyBorder="1" applyAlignment="1">
      <alignment horizontal="center" vertical="center" wrapText="1"/>
    </xf>
    <xf numFmtId="0" fontId="16" fillId="26" borderId="5" xfId="0" applyFont="1" applyFill="1" applyBorder="1" applyAlignment="1">
      <alignment horizontal="center" vertical="center" wrapText="1"/>
    </xf>
    <xf numFmtId="9" fontId="4" fillId="0" borderId="0" xfId="2" applyFont="1" applyFill="1" applyBorder="1" applyAlignment="1">
      <alignment horizontal="center" vertical="center"/>
    </xf>
    <xf numFmtId="0" fontId="8" fillId="26" borderId="8" xfId="0" applyFont="1" applyFill="1" applyBorder="1" applyAlignment="1">
      <alignment horizontal="center"/>
    </xf>
    <xf numFmtId="0" fontId="11" fillId="9" borderId="6" xfId="0" applyFont="1" applyFill="1" applyBorder="1" applyAlignment="1">
      <alignment horizontal="center" vertical="center"/>
    </xf>
    <xf numFmtId="0" fontId="11" fillId="9" borderId="7" xfId="0" applyFont="1" applyFill="1" applyBorder="1" applyAlignment="1">
      <alignment horizontal="center" vertical="center"/>
    </xf>
    <xf numFmtId="0" fontId="11" fillId="9" borderId="16" xfId="0" applyFont="1" applyFill="1" applyBorder="1" applyAlignment="1">
      <alignment horizontal="center" vertical="center"/>
    </xf>
    <xf numFmtId="0" fontId="11" fillId="21" borderId="4" xfId="0" applyFont="1" applyFill="1" applyBorder="1" applyAlignment="1">
      <alignment horizontal="center" vertical="center" wrapText="1"/>
    </xf>
    <xf numFmtId="0" fontId="11" fillId="21" borderId="11" xfId="0" applyFont="1" applyFill="1" applyBorder="1" applyAlignment="1">
      <alignment horizontal="center" vertical="center" wrapText="1"/>
    </xf>
    <xf numFmtId="0" fontId="11" fillId="21" borderId="5" xfId="0" applyFont="1" applyFill="1" applyBorder="1" applyAlignment="1">
      <alignment horizontal="center" vertical="center" wrapText="1"/>
    </xf>
    <xf numFmtId="0" fontId="11" fillId="2" borderId="14" xfId="0" applyFont="1" applyFill="1" applyBorder="1" applyAlignment="1">
      <alignment horizontal="center" vertical="center"/>
    </xf>
    <xf numFmtId="0" fontId="11" fillId="2" borderId="15" xfId="0" applyFont="1" applyFill="1" applyBorder="1" applyAlignment="1">
      <alignment horizontal="center" vertical="center"/>
    </xf>
    <xf numFmtId="0" fontId="11" fillId="2" borderId="10" xfId="0" applyFont="1" applyFill="1" applyBorder="1" applyAlignment="1">
      <alignment horizontal="center" vertical="center"/>
    </xf>
    <xf numFmtId="0" fontId="14" fillId="24" borderId="12" xfId="0" applyFont="1" applyFill="1" applyBorder="1" applyAlignment="1">
      <alignment horizontal="center" vertical="center" wrapText="1"/>
    </xf>
    <xf numFmtId="0" fontId="14" fillId="24" borderId="8" xfId="0" applyFont="1" applyFill="1" applyBorder="1" applyAlignment="1">
      <alignment horizontal="center" vertical="center" wrapText="1"/>
    </xf>
    <xf numFmtId="0" fontId="14" fillId="24" borderId="9" xfId="0" applyFont="1" applyFill="1" applyBorder="1" applyAlignment="1">
      <alignment horizontal="center" vertical="center" wrapText="1"/>
    </xf>
    <xf numFmtId="0" fontId="11" fillId="24" borderId="9" xfId="0" applyFont="1" applyFill="1" applyBorder="1" applyAlignment="1">
      <alignment horizontal="center" vertical="center"/>
    </xf>
    <xf numFmtId="0" fontId="11" fillId="24" borderId="13" xfId="0" applyFont="1" applyFill="1" applyBorder="1" applyAlignment="1">
      <alignment horizontal="center" vertical="center"/>
    </xf>
    <xf numFmtId="0" fontId="11" fillId="24" borderId="10" xfId="0" applyFont="1" applyFill="1" applyBorder="1" applyAlignment="1">
      <alignment horizontal="center" vertical="center"/>
    </xf>
    <xf numFmtId="0" fontId="11" fillId="10" borderId="9"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0" xfId="0" applyFont="1" applyFill="1" applyBorder="1" applyAlignment="1">
      <alignment horizontal="center" vertical="center"/>
    </xf>
    <xf numFmtId="0" fontId="14" fillId="2" borderId="4" xfId="0" applyFont="1" applyFill="1" applyBorder="1" applyAlignment="1">
      <alignment horizontal="center" vertical="center" wrapText="1"/>
    </xf>
    <xf numFmtId="0" fontId="14" fillId="30" borderId="12" xfId="0" applyFont="1" applyFill="1" applyBorder="1" applyAlignment="1">
      <alignment horizontal="center" vertical="center" wrapText="1"/>
    </xf>
    <xf numFmtId="0" fontId="14" fillId="30" borderId="8" xfId="0" applyFont="1" applyFill="1" applyBorder="1" applyAlignment="1">
      <alignment horizontal="center" vertical="center" wrapText="1"/>
    </xf>
    <xf numFmtId="0" fontId="14" fillId="30" borderId="9" xfId="0" applyFont="1" applyFill="1" applyBorder="1" applyAlignment="1">
      <alignment horizontal="center" vertical="center" wrapText="1"/>
    </xf>
    <xf numFmtId="0" fontId="14" fillId="10" borderId="12" xfId="0" applyFont="1" applyFill="1" applyBorder="1" applyAlignment="1">
      <alignment horizontal="center" vertical="center" wrapText="1"/>
    </xf>
    <xf numFmtId="0" fontId="14" fillId="10" borderId="8" xfId="0" applyFont="1" applyFill="1" applyBorder="1" applyAlignment="1">
      <alignment horizontal="center" vertical="center" wrapText="1"/>
    </xf>
    <xf numFmtId="0" fontId="14" fillId="10" borderId="9" xfId="0" applyFont="1" applyFill="1" applyBorder="1" applyAlignment="1">
      <alignment horizontal="center" vertical="center" wrapText="1"/>
    </xf>
    <xf numFmtId="0" fontId="20" fillId="2" borderId="9" xfId="0" applyFont="1" applyFill="1" applyBorder="1" applyAlignment="1">
      <alignment horizontal="center" vertical="center" wrapText="1"/>
    </xf>
    <xf numFmtId="0" fontId="20" fillId="2" borderId="13" xfId="0" applyFont="1" applyFill="1" applyBorder="1" applyAlignment="1">
      <alignment horizontal="center" vertical="center" wrapText="1"/>
    </xf>
    <xf numFmtId="0" fontId="20" fillId="2" borderId="10" xfId="0" applyFont="1" applyFill="1" applyBorder="1" applyAlignment="1">
      <alignment horizontal="center" vertical="center" wrapText="1"/>
    </xf>
    <xf numFmtId="0" fontId="11" fillId="30" borderId="4" xfId="0" applyFont="1" applyFill="1" applyBorder="1" applyAlignment="1">
      <alignment horizontal="center" vertical="center"/>
    </xf>
    <xf numFmtId="0" fontId="11" fillId="30" borderId="11" xfId="0" applyFont="1" applyFill="1" applyBorder="1" applyAlignment="1">
      <alignment horizontal="center" vertical="center"/>
    </xf>
    <xf numFmtId="0" fontId="11" fillId="30" borderId="5" xfId="0" applyFont="1" applyFill="1" applyBorder="1" applyAlignment="1">
      <alignment horizontal="center" vertical="center"/>
    </xf>
    <xf numFmtId="0" fontId="14" fillId="32" borderId="12" xfId="0" applyFont="1" applyFill="1" applyBorder="1" applyAlignment="1">
      <alignment horizontal="center" vertical="center"/>
    </xf>
    <xf numFmtId="0" fontId="14" fillId="32" borderId="8" xfId="0" applyFont="1" applyFill="1" applyBorder="1" applyAlignment="1">
      <alignment horizontal="center" vertical="center"/>
    </xf>
    <xf numFmtId="0" fontId="14" fillId="32" borderId="9" xfId="0" applyFont="1" applyFill="1" applyBorder="1" applyAlignment="1">
      <alignment horizontal="center" vertical="center"/>
    </xf>
    <xf numFmtId="0" fontId="11" fillId="32" borderId="4" xfId="0" applyFont="1" applyFill="1" applyBorder="1" applyAlignment="1">
      <alignment horizontal="center" vertical="center"/>
    </xf>
    <xf numFmtId="0" fontId="11" fillId="32" borderId="11" xfId="0" applyFont="1" applyFill="1" applyBorder="1" applyAlignment="1">
      <alignment horizontal="center" vertical="center"/>
    </xf>
    <xf numFmtId="0" fontId="11" fillId="32" borderId="5" xfId="0" applyFont="1" applyFill="1" applyBorder="1" applyAlignment="1">
      <alignment horizontal="center" vertical="center"/>
    </xf>
    <xf numFmtId="0" fontId="14" fillId="13" borderId="12" xfId="0" applyFont="1" applyFill="1" applyBorder="1" applyAlignment="1">
      <alignment horizontal="center" vertical="center" wrapText="1"/>
    </xf>
    <xf numFmtId="0" fontId="14" fillId="13" borderId="8" xfId="0" applyFont="1" applyFill="1" applyBorder="1" applyAlignment="1">
      <alignment horizontal="center" vertical="center" wrapText="1"/>
    </xf>
    <xf numFmtId="0" fontId="14" fillId="13" borderId="9" xfId="0" applyFont="1" applyFill="1" applyBorder="1" applyAlignment="1">
      <alignment horizontal="center" vertical="center" wrapText="1"/>
    </xf>
    <xf numFmtId="0" fontId="11" fillId="13" borderId="4" xfId="0" applyFont="1" applyFill="1" applyBorder="1" applyAlignment="1">
      <alignment horizontal="center" vertical="center"/>
    </xf>
    <xf numFmtId="0" fontId="11" fillId="13" borderId="5" xfId="0" applyFont="1" applyFill="1" applyBorder="1" applyAlignment="1">
      <alignment horizontal="center" vertical="center"/>
    </xf>
    <xf numFmtId="164" fontId="11" fillId="30" borderId="27" xfId="1" applyNumberFormat="1" applyFont="1" applyFill="1" applyBorder="1" applyAlignment="1">
      <alignment horizontal="center" vertical="center"/>
    </xf>
    <xf numFmtId="164" fontId="11" fillId="30" borderId="28" xfId="1" applyNumberFormat="1" applyFont="1" applyFill="1" applyBorder="1" applyAlignment="1">
      <alignment horizontal="center" vertical="center"/>
    </xf>
    <xf numFmtId="164" fontId="11" fillId="30" borderId="37" xfId="1" applyNumberFormat="1" applyFont="1" applyFill="1" applyBorder="1" applyAlignment="1">
      <alignment horizontal="center" vertical="center"/>
    </xf>
    <xf numFmtId="49" fontId="24" fillId="15" borderId="2" xfId="0" applyNumberFormat="1" applyFont="1" applyFill="1" applyBorder="1" applyAlignment="1">
      <alignment horizontal="center" vertical="center" wrapText="1"/>
    </xf>
    <xf numFmtId="49" fontId="24" fillId="15" borderId="2" xfId="0" applyNumberFormat="1" applyFont="1" applyFill="1" applyBorder="1" applyAlignment="1">
      <alignment horizontal="center" vertical="center"/>
    </xf>
    <xf numFmtId="49" fontId="24" fillId="15" borderId="4" xfId="0" applyNumberFormat="1" applyFont="1" applyFill="1" applyBorder="1" applyAlignment="1">
      <alignment horizontal="center" vertical="center" wrapText="1"/>
    </xf>
    <xf numFmtId="49" fontId="24" fillId="15" borderId="11" xfId="0" applyNumberFormat="1" applyFont="1" applyFill="1" applyBorder="1" applyAlignment="1">
      <alignment horizontal="center" vertical="center" wrapText="1"/>
    </xf>
    <xf numFmtId="49" fontId="24" fillId="15" borderId="5" xfId="0" applyNumberFormat="1" applyFont="1" applyFill="1" applyBorder="1" applyAlignment="1">
      <alignment horizontal="center" vertical="center" wrapText="1"/>
    </xf>
    <xf numFmtId="0" fontId="4" fillId="8" borderId="2" xfId="0" applyFont="1" applyFill="1" applyBorder="1" applyAlignment="1">
      <alignment horizontal="center" vertical="center" wrapText="1"/>
    </xf>
    <xf numFmtId="0" fontId="0" fillId="8" borderId="2" xfId="0" applyFill="1" applyBorder="1" applyAlignment="1">
      <alignment horizontal="center" vertical="center" wrapText="1"/>
    </xf>
    <xf numFmtId="0" fontId="0" fillId="8" borderId="2" xfId="0" applyFill="1" applyBorder="1" applyAlignment="1">
      <alignment horizontal="center" vertical="center"/>
    </xf>
    <xf numFmtId="0" fontId="32" fillId="8" borderId="2" xfId="0" applyFont="1" applyFill="1" applyBorder="1" applyAlignment="1">
      <alignment horizontal="center" vertical="center" wrapText="1"/>
    </xf>
    <xf numFmtId="0" fontId="11" fillId="21" borderId="36" xfId="0" applyFont="1" applyFill="1" applyBorder="1" applyAlignment="1">
      <alignment horizontal="center" vertical="center" wrapText="1"/>
    </xf>
    <xf numFmtId="0" fontId="11" fillId="21" borderId="33" xfId="0" applyFont="1" applyFill="1" applyBorder="1" applyAlignment="1">
      <alignment horizontal="center" vertical="center" wrapText="1"/>
    </xf>
    <xf numFmtId="0" fontId="11" fillId="25" borderId="32" xfId="0" applyFont="1" applyFill="1" applyBorder="1" applyAlignment="1">
      <alignment horizontal="center" vertical="center" wrapText="1"/>
    </xf>
    <xf numFmtId="0" fontId="11" fillId="25" borderId="33" xfId="0" applyFont="1" applyFill="1" applyBorder="1" applyAlignment="1">
      <alignment horizontal="center" vertical="center" wrapText="1"/>
    </xf>
    <xf numFmtId="0" fontId="0" fillId="0" borderId="2" xfId="0" applyBorder="1" applyAlignment="1">
      <alignment horizontal="center" vertical="center"/>
    </xf>
    <xf numFmtId="0" fontId="11" fillId="10" borderId="0" xfId="0" applyFont="1" applyFill="1" applyAlignment="1">
      <alignment horizontal="center" vertical="center" wrapText="1"/>
    </xf>
    <xf numFmtId="0" fontId="11" fillId="2" borderId="0" xfId="0" applyFont="1" applyFill="1" applyAlignment="1">
      <alignment horizontal="center" vertical="center" wrapText="1"/>
    </xf>
    <xf numFmtId="0" fontId="0" fillId="0" borderId="0" xfId="0" applyAlignment="1">
      <alignment horizontal="center" vertical="center"/>
    </xf>
    <xf numFmtId="0" fontId="11" fillId="21" borderId="0" xfId="0" applyFont="1" applyFill="1" applyAlignment="1">
      <alignment horizontal="center" vertical="center"/>
    </xf>
  </cellXfs>
  <cellStyles count="11">
    <cellStyle name="Comma" xfId="1" builtinId="3"/>
    <cellStyle name="Comma 2" xfId="10" xr:uid="{00000000-0005-0000-0000-000001000000}"/>
    <cellStyle name="Heading 1" xfId="4" builtinId="16"/>
    <cellStyle name="Heading 2" xfId="7" builtinId="17"/>
    <cellStyle name="Hyperlink" xfId="8" builtinId="8"/>
    <cellStyle name="Input" xfId="6" builtinId="20"/>
    <cellStyle name="Neutral" xfId="5" builtinId="28"/>
    <cellStyle name="Normal" xfId="0" builtinId="0"/>
    <cellStyle name="Normal 2" xfId="9" xr:uid="{00000000-0005-0000-0000-000008000000}"/>
    <cellStyle name="Percent" xfId="2" builtinId="5"/>
    <cellStyle name="Title" xfId="3" builtinId="15"/>
  </cellStyles>
  <dxfs count="37">
    <dxf>
      <font>
        <color rgb="FF9C0006"/>
      </font>
      <fill>
        <gradientFill degree="180">
          <stop position="0">
            <color theme="0"/>
          </stop>
          <stop position="1">
            <color rgb="FFFF0000"/>
          </stop>
        </gradientFill>
      </fill>
    </dxf>
    <dxf>
      <font>
        <color rgb="FF9C0006"/>
      </font>
      <fill>
        <gradientFill degree="180">
          <stop position="0">
            <color theme="0"/>
          </stop>
          <stop position="1">
            <color rgb="FFFF0000"/>
          </stop>
        </gradientFill>
      </fill>
    </dxf>
    <dxf>
      <font>
        <color rgb="FF9C0006"/>
      </font>
      <fill>
        <gradientFill degree="180">
          <stop position="0">
            <color theme="0"/>
          </stop>
          <stop position="1">
            <color rgb="FFFF0000"/>
          </stop>
        </gradientFill>
      </fill>
    </dxf>
    <dxf>
      <font>
        <color rgb="FF9C0006"/>
      </font>
      <fill>
        <gradientFill degree="180">
          <stop position="0">
            <color theme="0"/>
          </stop>
          <stop position="1">
            <color rgb="FFFF0000"/>
          </stop>
        </gradientFill>
      </fill>
    </dxf>
    <dxf>
      <font>
        <color rgb="FF9C0006"/>
      </font>
      <fill>
        <gradientFill degree="180">
          <stop position="0">
            <color theme="0"/>
          </stop>
          <stop position="1">
            <color rgb="FFFF0000"/>
          </stop>
        </gradientFill>
      </fill>
    </dxf>
    <dxf>
      <font>
        <color rgb="FF9C0006"/>
      </font>
      <fill>
        <gradientFill degree="180">
          <stop position="0">
            <color theme="0"/>
          </stop>
          <stop position="1">
            <color rgb="FFFF0000"/>
          </stop>
        </gradientFill>
      </fill>
    </dxf>
    <dxf>
      <font>
        <color rgb="FF9C0006"/>
      </font>
      <fill>
        <gradientFill degree="180">
          <stop position="0">
            <color theme="0"/>
          </stop>
          <stop position="1">
            <color rgb="FFFF0000"/>
          </stop>
        </gradientFill>
      </fill>
    </dxf>
    <dxf>
      <font>
        <color rgb="FF9C0006"/>
      </font>
      <fill>
        <gradientFill degree="180">
          <stop position="0">
            <color theme="0"/>
          </stop>
          <stop position="1">
            <color rgb="FFFF0000"/>
          </stop>
        </gradientFill>
      </fill>
    </dxf>
    <dxf>
      <font>
        <color rgb="FF9C0006"/>
      </font>
      <fill>
        <gradientFill degree="180">
          <stop position="0">
            <color theme="0"/>
          </stop>
          <stop position="1">
            <color rgb="FFFF0000"/>
          </stop>
        </gradientFill>
      </fill>
    </dxf>
    <dxf>
      <font>
        <color rgb="FF9C0006"/>
      </font>
      <fill>
        <gradientFill degree="180">
          <stop position="0">
            <color theme="0"/>
          </stop>
          <stop position="1">
            <color rgb="FFFF0000"/>
          </stop>
        </gradientFill>
      </fill>
    </dxf>
    <dxf>
      <font>
        <color rgb="FF9C0006"/>
      </font>
      <fill>
        <gradientFill degree="180">
          <stop position="0">
            <color theme="0"/>
          </stop>
          <stop position="1">
            <color rgb="FFFF0000"/>
          </stop>
        </gradientFill>
      </fill>
    </dxf>
    <dxf>
      <fill>
        <patternFill>
          <bgColor theme="8" tint="0.79998168889431442"/>
        </patternFill>
      </fill>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font>
        <b/>
        <i val="0"/>
      </font>
      <fill>
        <patternFill>
          <bgColor theme="5" tint="0.79998168889431442"/>
        </patternFill>
      </fill>
    </dxf>
    <dxf>
      <fill>
        <patternFill>
          <bgColor theme="0" tint="-0.24994659260841701"/>
        </patternFill>
      </fill>
      <border>
        <left/>
        <right/>
        <top/>
        <bottom/>
      </border>
    </dxf>
    <dxf>
      <fill>
        <patternFill>
          <bgColor theme="7"/>
        </patternFill>
      </fill>
      <border>
        <left/>
        <right/>
        <top/>
        <bottom/>
      </border>
    </dxf>
    <dxf>
      <fill>
        <patternFill>
          <bgColor theme="9" tint="0.39994506668294322"/>
        </patternFill>
      </fill>
      <border>
        <left/>
        <right/>
        <top/>
        <bottom/>
      </border>
    </dxf>
    <dxf>
      <fill>
        <patternFill>
          <bgColor theme="8" tint="0.79998168889431442"/>
        </patternFill>
      </fill>
    </dxf>
    <dxf>
      <fill>
        <patternFill>
          <bgColor theme="0" tint="-0.24994659260841701"/>
        </patternFill>
      </fill>
      <border>
        <left/>
        <right/>
        <top/>
        <bottom/>
      </border>
    </dxf>
    <dxf>
      <fill>
        <patternFill>
          <bgColor theme="7"/>
        </patternFill>
      </fill>
      <border>
        <left/>
        <right/>
        <top/>
        <bottom/>
      </border>
    </dxf>
    <dxf>
      <fill>
        <patternFill>
          <bgColor theme="9" tint="0.39994506668294322"/>
        </patternFill>
      </fill>
      <border>
        <left/>
        <right/>
        <top/>
        <bottom/>
      </border>
    </dxf>
    <dxf>
      <fill>
        <patternFill>
          <bgColor theme="8" tint="0.79998168889431442"/>
        </patternFill>
      </fill>
    </dxf>
    <dxf>
      <fill>
        <patternFill>
          <bgColor theme="0" tint="-0.24994659260841701"/>
        </patternFill>
      </fill>
      <border>
        <left/>
        <right/>
        <top/>
        <bottom/>
      </border>
    </dxf>
    <dxf>
      <fill>
        <patternFill>
          <bgColor theme="7"/>
        </patternFill>
      </fill>
      <border>
        <left/>
        <right/>
        <top/>
        <bottom/>
      </border>
    </dxf>
    <dxf>
      <fill>
        <patternFill>
          <bgColor theme="9" tint="0.39994506668294322"/>
        </patternFill>
      </fill>
      <border>
        <left/>
        <right/>
        <top/>
        <bottom/>
      </border>
    </dxf>
    <dxf>
      <fill>
        <patternFill>
          <bgColor theme="8" tint="0.79998168889431442"/>
        </patternFill>
      </fill>
    </dxf>
    <dxf>
      <fill>
        <patternFill>
          <bgColor theme="0" tint="-0.24994659260841701"/>
        </patternFill>
      </fill>
      <border>
        <left/>
        <right/>
        <top/>
        <bottom/>
      </border>
    </dxf>
    <dxf>
      <fill>
        <patternFill>
          <bgColor theme="7" tint="0.39994506668294322"/>
        </patternFill>
      </fill>
      <border>
        <left/>
        <right/>
        <top/>
        <bottom/>
      </border>
    </dxf>
    <dxf>
      <fill>
        <patternFill>
          <bgColor theme="9" tint="0.39994506668294322"/>
        </patternFill>
      </fill>
      <border>
        <left/>
        <right/>
        <top/>
        <bottom/>
      </border>
    </dxf>
    <dxf>
      <fill>
        <patternFill>
          <bgColor theme="1" tint="0.34998626667073579"/>
        </patternFill>
      </fill>
      <border>
        <left/>
        <right/>
        <top/>
        <bottom/>
      </border>
    </dxf>
    <dxf>
      <fill>
        <patternFill>
          <bgColor theme="0" tint="-0.34998626667073579"/>
        </patternFill>
      </fill>
      <border>
        <left/>
        <right/>
        <top/>
        <bottom/>
      </border>
    </dxf>
    <dxf>
      <fill>
        <patternFill>
          <bgColor theme="7" tint="0.39994506668294322"/>
        </patternFill>
      </fill>
      <border>
        <left/>
        <right/>
        <top/>
        <bottom/>
      </border>
    </dxf>
    <dxf>
      <fill>
        <patternFill>
          <bgColor theme="9" tint="0.39994506668294322"/>
        </patternFill>
      </fill>
      <border>
        <left/>
        <right/>
        <top/>
        <bottom/>
      </border>
    </dxf>
    <dxf>
      <font>
        <color rgb="FFFF0000"/>
      </font>
    </dxf>
    <dxf>
      <fill>
        <patternFill patternType="none">
          <bgColor auto="1"/>
        </patternFill>
      </fill>
      <border>
        <left style="thin">
          <color auto="1"/>
        </left>
        <right style="thin">
          <color auto="1"/>
        </right>
        <top style="thin">
          <color auto="1"/>
        </top>
        <bottom style="thin">
          <color auto="1"/>
        </bottom>
      </border>
    </dxf>
    <dxf>
      <fill>
        <patternFill>
          <bgColor theme="8" tint="0.79998168889431442"/>
        </patternFill>
      </fill>
      <border>
        <left style="thin">
          <color auto="1"/>
        </left>
        <right style="thin">
          <color auto="1"/>
        </right>
        <top style="thin">
          <color auto="1"/>
        </top>
        <bottom style="thin">
          <color auto="1"/>
        </bottom>
        <vertical/>
        <horizontal/>
      </border>
    </dxf>
  </dxfs>
  <tableStyles count="0" defaultTableStyle="TableStyleMedium2" defaultPivotStyle="PivotStyleLight16"/>
  <colors>
    <mruColors>
      <color rgb="FFA6F2AD"/>
      <color rgb="FFFF99FF"/>
      <color rgb="FFFF1D1D"/>
      <color rgb="FFFFCCCC"/>
      <color rgb="FFFFCCFF"/>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Tổng thu nhập trả cho NLĐ</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642</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Tong_Hop!$B$16:$M$16</c:f>
              <c:numCache>
                <c:formatCode>_(* #,##0_);_(* \(#,##0\);_(*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E4F6-4624-9D33-4D53A222B502}"/>
            </c:ext>
          </c:extLst>
        </c:ser>
        <c:ser>
          <c:idx val="1"/>
          <c:order val="1"/>
          <c:tx>
            <c:v>154</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Tong_Hop!$B$17:$M$17</c:f>
              <c:numCache>
                <c:formatCode>_(* #,##0_);_(* \(#,##0\);_(*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E4F6-4624-9D33-4D53A222B502}"/>
            </c:ext>
          </c:extLst>
        </c:ser>
        <c:dLbls>
          <c:showLegendKey val="0"/>
          <c:showVal val="0"/>
          <c:showCatName val="0"/>
          <c:showSerName val="0"/>
          <c:showPercent val="0"/>
          <c:showBubbleSize val="0"/>
        </c:dLbls>
        <c:gapWidth val="150"/>
        <c:axId val="319980240"/>
        <c:axId val="321053448"/>
      </c:barChart>
      <c:catAx>
        <c:axId val="319980240"/>
        <c:scaling>
          <c:orientation val="minMax"/>
        </c:scaling>
        <c:delete val="0"/>
        <c:axPos val="b"/>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1053448"/>
        <c:crosses val="autoZero"/>
        <c:auto val="1"/>
        <c:lblAlgn val="ctr"/>
        <c:lblOffset val="100"/>
        <c:noMultiLvlLbl val="0"/>
      </c:catAx>
      <c:valAx>
        <c:axId val="321053448"/>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99802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Thuế</a:t>
            </a:r>
            <a:r>
              <a:rPr lang="en-US" b="1" baseline="0"/>
              <a:t> TNCN</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559989973497562"/>
          <c:y val="0.1516928392292145"/>
          <c:w val="0.83023900362970104"/>
          <c:h val="0.74080477102535069"/>
        </c:manualLayout>
      </c:layout>
      <c:barChart>
        <c:barDir val="col"/>
        <c:grouping val="clustered"/>
        <c:varyColors val="0"/>
        <c:ser>
          <c:idx val="0"/>
          <c:order val="0"/>
          <c:spPr>
            <a:solidFill>
              <a:schemeClr val="accent1"/>
            </a:solidFill>
            <a:ln>
              <a:noFill/>
            </a:ln>
            <a:effectLst/>
          </c:spPr>
          <c:invertIfNegative val="0"/>
          <c:val>
            <c:numRef>
              <c:f>Tong_Hop!$BB$21:$BM$21</c:f>
            </c:numRef>
          </c:val>
          <c:extLst>
            <c:ext xmlns:c16="http://schemas.microsoft.com/office/drawing/2014/chart" uri="{C3380CC4-5D6E-409C-BE32-E72D297353CC}">
              <c16:uniqueId val="{00000000-9C24-44DE-918D-5F2D9BA00514}"/>
            </c:ext>
          </c:extLst>
        </c:ser>
        <c:dLbls>
          <c:showLegendKey val="0"/>
          <c:showVal val="0"/>
          <c:showCatName val="0"/>
          <c:showSerName val="0"/>
          <c:showPercent val="0"/>
          <c:showBubbleSize val="0"/>
        </c:dLbls>
        <c:gapWidth val="150"/>
        <c:axId val="321089272"/>
        <c:axId val="323263584"/>
      </c:barChart>
      <c:catAx>
        <c:axId val="321089272"/>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3263584"/>
        <c:crosses val="autoZero"/>
        <c:auto val="1"/>
        <c:lblAlgn val="ctr"/>
        <c:lblOffset val="100"/>
        <c:noMultiLvlLbl val="0"/>
      </c:catAx>
      <c:valAx>
        <c:axId val="323263584"/>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1089272"/>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Thực</a:t>
            </a:r>
            <a:r>
              <a:rPr lang="en-US" b="1" baseline="0"/>
              <a:t> trả</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val>
            <c:numRef>
              <c:f>Tong_Hop!$BO$16:$BZ$16</c:f>
            </c:numRef>
          </c:val>
          <c:extLst>
            <c:ext xmlns:c16="http://schemas.microsoft.com/office/drawing/2014/chart" uri="{C3380CC4-5D6E-409C-BE32-E72D297353CC}">
              <c16:uniqueId val="{00000000-5488-4237-BEB1-253F119290A1}"/>
            </c:ext>
          </c:extLst>
        </c:ser>
        <c:ser>
          <c:idx val="1"/>
          <c:order val="1"/>
          <c:spPr>
            <a:solidFill>
              <a:schemeClr val="accent2"/>
            </a:solidFill>
            <a:ln>
              <a:noFill/>
            </a:ln>
            <a:effectLst/>
          </c:spPr>
          <c:invertIfNegative val="0"/>
          <c:val>
            <c:numRef>
              <c:f>Tong_Hop!$BO$17:$BZ$17</c:f>
            </c:numRef>
          </c:val>
          <c:extLst>
            <c:ext xmlns:c16="http://schemas.microsoft.com/office/drawing/2014/chart" uri="{C3380CC4-5D6E-409C-BE32-E72D297353CC}">
              <c16:uniqueId val="{00000001-5488-4237-BEB1-253F119290A1}"/>
            </c:ext>
          </c:extLst>
        </c:ser>
        <c:dLbls>
          <c:showLegendKey val="0"/>
          <c:showVal val="0"/>
          <c:showCatName val="0"/>
          <c:showSerName val="0"/>
          <c:showPercent val="0"/>
          <c:showBubbleSize val="0"/>
        </c:dLbls>
        <c:gapWidth val="219"/>
        <c:overlap val="-27"/>
        <c:axId val="323842880"/>
        <c:axId val="323843264"/>
      </c:barChart>
      <c:catAx>
        <c:axId val="32384288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3843264"/>
        <c:crosses val="autoZero"/>
        <c:auto val="1"/>
        <c:lblAlgn val="ctr"/>
        <c:lblOffset val="100"/>
        <c:noMultiLvlLbl val="0"/>
      </c:catAx>
      <c:valAx>
        <c:axId val="323843264"/>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3842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6">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35" fmlaLink="$C$25" horiz="1" max="12" page="10" val="0"/>
</file>

<file path=xl/drawings/_rels/drawing3.xml.rels><?xml version="1.0" encoding="UTF-8" standalone="yes"?>
<Relationships xmlns="http://schemas.openxmlformats.org/package/2006/relationships"><Relationship Id="rId1" Type="http://schemas.openxmlformats.org/officeDocument/2006/relationships/hyperlink" Target="#In_BCC!A1"/></Relationships>
</file>

<file path=xl/drawings/_rels/drawing4.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8.png"/><Relationship Id="rId1" Type="http://schemas.openxmlformats.org/officeDocument/2006/relationships/customXml" Target="../ink/ink1.xml"/><Relationship Id="rId4" Type="http://schemas.openxmlformats.org/officeDocument/2006/relationships/image" Target="../media/image19.png"/></Relationships>
</file>

<file path=xl/drawings/_rels/drawing22.xml.rels><?xml version="1.0" encoding="UTF-8" standalone="yes"?>
<Relationships xmlns="http://schemas.openxmlformats.org/package/2006/relationships"><Relationship Id="rId3" Type="http://schemas.openxmlformats.org/officeDocument/2006/relationships/chart" Target="../charts/chart2.xml"/><Relationship Id="rId7" Type="http://schemas.openxmlformats.org/officeDocument/2006/relationships/chart" Target="../charts/chart3.xml"/><Relationship Id="rId2" Type="http://schemas.openxmlformats.org/officeDocument/2006/relationships/chart" Target="../charts/chart1.xml"/><Relationship Id="rId1" Type="http://schemas.openxmlformats.org/officeDocument/2006/relationships/image" Target="../media/image7.emf"/><Relationship Id="rId6" Type="http://schemas.openxmlformats.org/officeDocument/2006/relationships/image" Target="../media/image10.emf"/><Relationship Id="rId5" Type="http://schemas.openxmlformats.org/officeDocument/2006/relationships/image" Target="../media/image9.emf"/><Relationship Id="rId4" Type="http://schemas.openxmlformats.org/officeDocument/2006/relationships/image" Target="../media/image8.em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 Id="rId4"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xdr:twoCellAnchor editAs="absolute">
    <xdr:from>
      <xdr:col>7</xdr:col>
      <xdr:colOff>170784</xdr:colOff>
      <xdr:row>4</xdr:row>
      <xdr:rowOff>94417</xdr:rowOff>
    </xdr:from>
    <xdr:to>
      <xdr:col>10</xdr:col>
      <xdr:colOff>442926</xdr:colOff>
      <xdr:row>28</xdr:row>
      <xdr:rowOff>66648</xdr:rowOff>
    </xdr:to>
    <xdr:sp macro="" textlink="">
      <xdr:nvSpPr>
        <xdr:cNvPr id="2" name="Rectangle: Rounded Corners 1">
          <a:extLst>
            <a:ext uri="{FF2B5EF4-FFF2-40B4-BE49-F238E27FC236}">
              <a16:creationId xmlns:a16="http://schemas.microsoft.com/office/drawing/2014/main" id="{00000000-0008-0000-0100-000002000000}"/>
            </a:ext>
          </a:extLst>
        </xdr:cNvPr>
        <xdr:cNvSpPr/>
      </xdr:nvSpPr>
      <xdr:spPr>
        <a:xfrm>
          <a:off x="7858819" y="1133003"/>
          <a:ext cx="3126866" cy="4365394"/>
        </a:xfrm>
        <a:prstGeom prst="roundRect">
          <a:avLst>
            <a:gd name="adj" fmla="val 4445"/>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r>
            <a:rPr lang="en-US" sz="1400" b="1">
              <a:latin typeface="Tahoma" panose="020B0604030504040204" pitchFamily="34" charset="0"/>
              <a:ea typeface="Tahoma" panose="020B0604030504040204" pitchFamily="34" charset="0"/>
              <a:cs typeface="Tahoma" panose="020B0604030504040204" pitchFamily="34" charset="0"/>
            </a:rPr>
            <a:t>QUICK ACCESS</a:t>
          </a:r>
        </a:p>
      </xdr:txBody>
    </xdr:sp>
    <xdr:clientData/>
  </xdr:twoCellAnchor>
  <xdr:twoCellAnchor editAs="absolute">
    <xdr:from>
      <xdr:col>7</xdr:col>
      <xdr:colOff>266698</xdr:colOff>
      <xdr:row>6</xdr:row>
      <xdr:rowOff>156244</xdr:rowOff>
    </xdr:from>
    <xdr:to>
      <xdr:col>8</xdr:col>
      <xdr:colOff>673147</xdr:colOff>
      <xdr:row>8</xdr:row>
      <xdr:rowOff>173402</xdr:rowOff>
    </xdr:to>
    <xdr:sp macro="[0]!Info.Q_DSach" textlink="">
      <xdr:nvSpPr>
        <xdr:cNvPr id="3" name="Rectangle: Rounded Corners 2">
          <a:extLst>
            <a:ext uri="{FF2B5EF4-FFF2-40B4-BE49-F238E27FC236}">
              <a16:creationId xmlns:a16="http://schemas.microsoft.com/office/drawing/2014/main" id="{00000000-0008-0000-0100-000003000000}"/>
            </a:ext>
          </a:extLst>
        </xdr:cNvPr>
        <xdr:cNvSpPr/>
      </xdr:nvSpPr>
      <xdr:spPr>
        <a:xfrm>
          <a:off x="7954733" y="1561390"/>
          <a:ext cx="1295079" cy="383717"/>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200" b="1"/>
            <a:t>Danh sách</a:t>
          </a:r>
        </a:p>
      </xdr:txBody>
    </xdr:sp>
    <xdr:clientData/>
  </xdr:twoCellAnchor>
  <xdr:twoCellAnchor editAs="absolute">
    <xdr:from>
      <xdr:col>7</xdr:col>
      <xdr:colOff>266698</xdr:colOff>
      <xdr:row>9</xdr:row>
      <xdr:rowOff>165659</xdr:rowOff>
    </xdr:from>
    <xdr:to>
      <xdr:col>8</xdr:col>
      <xdr:colOff>673147</xdr:colOff>
      <xdr:row>12</xdr:row>
      <xdr:rowOff>21983</xdr:rowOff>
    </xdr:to>
    <xdr:sp macro="[0]!Info.Q_ChamCong" textlink="">
      <xdr:nvSpPr>
        <xdr:cNvPr id="12" name="Rectangle: Rounded Corners 11">
          <a:extLst>
            <a:ext uri="{FF2B5EF4-FFF2-40B4-BE49-F238E27FC236}">
              <a16:creationId xmlns:a16="http://schemas.microsoft.com/office/drawing/2014/main" id="{00000000-0008-0000-0100-00000C000000}"/>
            </a:ext>
          </a:extLst>
        </xdr:cNvPr>
        <xdr:cNvSpPr/>
      </xdr:nvSpPr>
      <xdr:spPr>
        <a:xfrm>
          <a:off x="7954733" y="2120645"/>
          <a:ext cx="1295079" cy="400609"/>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200" b="1"/>
            <a:t>Chấm</a:t>
          </a:r>
          <a:r>
            <a:rPr lang="en-US" sz="1200" b="1" baseline="0"/>
            <a:t> công</a:t>
          </a:r>
          <a:endParaRPr lang="en-US" sz="1200" b="1"/>
        </a:p>
      </xdr:txBody>
    </xdr:sp>
    <xdr:clientData/>
  </xdr:twoCellAnchor>
  <xdr:twoCellAnchor editAs="absolute">
    <xdr:from>
      <xdr:col>7</xdr:col>
      <xdr:colOff>266698</xdr:colOff>
      <xdr:row>13</xdr:row>
      <xdr:rowOff>25621</xdr:rowOff>
    </xdr:from>
    <xdr:to>
      <xdr:col>8</xdr:col>
      <xdr:colOff>673147</xdr:colOff>
      <xdr:row>15</xdr:row>
      <xdr:rowOff>57249</xdr:rowOff>
    </xdr:to>
    <xdr:sp macro="[0]!Info.Q_BH" textlink="">
      <xdr:nvSpPr>
        <xdr:cNvPr id="13" name="Rectangle: Rounded Corners 12">
          <a:extLst>
            <a:ext uri="{FF2B5EF4-FFF2-40B4-BE49-F238E27FC236}">
              <a16:creationId xmlns:a16="http://schemas.microsoft.com/office/drawing/2014/main" id="{00000000-0008-0000-0100-00000D000000}"/>
            </a:ext>
          </a:extLst>
        </xdr:cNvPr>
        <xdr:cNvSpPr/>
      </xdr:nvSpPr>
      <xdr:spPr>
        <a:xfrm>
          <a:off x="7954733" y="2708172"/>
          <a:ext cx="1295079" cy="398188"/>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200" b="1"/>
            <a:t>Bảo</a:t>
          </a:r>
          <a:r>
            <a:rPr lang="en-US" sz="1200" b="1" baseline="0"/>
            <a:t> hiểm</a:t>
          </a:r>
          <a:endParaRPr lang="en-US" sz="1200" b="1"/>
        </a:p>
      </xdr:txBody>
    </xdr:sp>
    <xdr:clientData/>
  </xdr:twoCellAnchor>
  <xdr:twoCellAnchor editAs="absolute">
    <xdr:from>
      <xdr:col>7</xdr:col>
      <xdr:colOff>266698</xdr:colOff>
      <xdr:row>16</xdr:row>
      <xdr:rowOff>44970</xdr:rowOff>
    </xdr:from>
    <xdr:to>
      <xdr:col>8</xdr:col>
      <xdr:colOff>673147</xdr:colOff>
      <xdr:row>18</xdr:row>
      <xdr:rowOff>59292</xdr:rowOff>
    </xdr:to>
    <xdr:sp macro="[0]!Info.Q_NPT" textlink="">
      <xdr:nvSpPr>
        <xdr:cNvPr id="14" name="Rectangle: Rounded Corners 13">
          <a:extLst>
            <a:ext uri="{FF2B5EF4-FFF2-40B4-BE49-F238E27FC236}">
              <a16:creationId xmlns:a16="http://schemas.microsoft.com/office/drawing/2014/main" id="{00000000-0008-0000-0100-00000E000000}"/>
            </a:ext>
          </a:extLst>
        </xdr:cNvPr>
        <xdr:cNvSpPr/>
      </xdr:nvSpPr>
      <xdr:spPr>
        <a:xfrm>
          <a:off x="7954733" y="3277361"/>
          <a:ext cx="1295079" cy="380881"/>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200" b="1"/>
            <a:t>Người</a:t>
          </a:r>
          <a:r>
            <a:rPr lang="en-US" sz="1200" b="1" baseline="0"/>
            <a:t> PT</a:t>
          </a:r>
          <a:endParaRPr lang="en-US" sz="1200" b="1"/>
        </a:p>
      </xdr:txBody>
    </xdr:sp>
    <xdr:clientData/>
  </xdr:twoCellAnchor>
  <xdr:twoCellAnchor editAs="absolute">
    <xdr:from>
      <xdr:col>7</xdr:col>
      <xdr:colOff>266698</xdr:colOff>
      <xdr:row>19</xdr:row>
      <xdr:rowOff>58582</xdr:rowOff>
    </xdr:from>
    <xdr:to>
      <xdr:col>8</xdr:col>
      <xdr:colOff>673147</xdr:colOff>
      <xdr:row>21</xdr:row>
      <xdr:rowOff>86808</xdr:rowOff>
    </xdr:to>
    <xdr:sp macro="[0]!Info.Q_TongHop" textlink="">
      <xdr:nvSpPr>
        <xdr:cNvPr id="15" name="Rectangle: Rounded Corners 14">
          <a:extLst>
            <a:ext uri="{FF2B5EF4-FFF2-40B4-BE49-F238E27FC236}">
              <a16:creationId xmlns:a16="http://schemas.microsoft.com/office/drawing/2014/main" id="{00000000-0008-0000-0100-00000F000000}"/>
            </a:ext>
          </a:extLst>
        </xdr:cNvPr>
        <xdr:cNvSpPr/>
      </xdr:nvSpPr>
      <xdr:spPr>
        <a:xfrm>
          <a:off x="7954733" y="3840813"/>
          <a:ext cx="1295079" cy="394785"/>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1"/>
            <a:t>Tổng</a:t>
          </a:r>
          <a:r>
            <a:rPr lang="en-US" sz="1200" b="1" baseline="0"/>
            <a:t> hợp</a:t>
          </a:r>
          <a:endParaRPr lang="en-US" sz="1200" b="1"/>
        </a:p>
      </xdr:txBody>
    </xdr:sp>
    <xdr:clientData/>
  </xdr:twoCellAnchor>
  <xdr:twoCellAnchor editAs="absolute">
    <xdr:from>
      <xdr:col>9</xdr:col>
      <xdr:colOff>49561</xdr:colOff>
      <xdr:row>6</xdr:row>
      <xdr:rowOff>156244</xdr:rowOff>
    </xdr:from>
    <xdr:to>
      <xdr:col>10</xdr:col>
      <xdr:colOff>352282</xdr:colOff>
      <xdr:row>8</xdr:row>
      <xdr:rowOff>173402</xdr:rowOff>
    </xdr:to>
    <xdr:sp macro="[0]!Info.Q_05KK" textlink="">
      <xdr:nvSpPr>
        <xdr:cNvPr id="16" name="Rectangle: Rounded Corners 15">
          <a:extLst>
            <a:ext uri="{FF2B5EF4-FFF2-40B4-BE49-F238E27FC236}">
              <a16:creationId xmlns:a16="http://schemas.microsoft.com/office/drawing/2014/main" id="{00000000-0008-0000-0100-000010000000}"/>
            </a:ext>
          </a:extLst>
        </xdr:cNvPr>
        <xdr:cNvSpPr/>
      </xdr:nvSpPr>
      <xdr:spPr>
        <a:xfrm>
          <a:off x="9581504" y="1561390"/>
          <a:ext cx="1313537" cy="383717"/>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200" b="1"/>
            <a:t>Tờ</a:t>
          </a:r>
          <a:r>
            <a:rPr lang="en-US" sz="1200" b="1" baseline="0"/>
            <a:t> khai KT TNCN</a:t>
          </a:r>
          <a:endParaRPr lang="en-US" sz="1200" b="1"/>
        </a:p>
      </xdr:txBody>
    </xdr:sp>
    <xdr:clientData/>
  </xdr:twoCellAnchor>
  <xdr:twoCellAnchor editAs="absolute">
    <xdr:from>
      <xdr:col>9</xdr:col>
      <xdr:colOff>49561</xdr:colOff>
      <xdr:row>9</xdr:row>
      <xdr:rowOff>165659</xdr:rowOff>
    </xdr:from>
    <xdr:to>
      <xdr:col>10</xdr:col>
      <xdr:colOff>352282</xdr:colOff>
      <xdr:row>12</xdr:row>
      <xdr:rowOff>21983</xdr:rowOff>
    </xdr:to>
    <xdr:sp macro="[0]!Info.Q_QTTNCN" textlink="">
      <xdr:nvSpPr>
        <xdr:cNvPr id="19" name="Rectangle: Rounded Corners 18">
          <a:extLst>
            <a:ext uri="{FF2B5EF4-FFF2-40B4-BE49-F238E27FC236}">
              <a16:creationId xmlns:a16="http://schemas.microsoft.com/office/drawing/2014/main" id="{00000000-0008-0000-0100-000013000000}"/>
            </a:ext>
          </a:extLst>
        </xdr:cNvPr>
        <xdr:cNvSpPr/>
      </xdr:nvSpPr>
      <xdr:spPr>
        <a:xfrm>
          <a:off x="9581504" y="2120645"/>
          <a:ext cx="1313537" cy="400609"/>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200" b="1"/>
            <a:t>QT TNCN</a:t>
          </a:r>
        </a:p>
      </xdr:txBody>
    </xdr:sp>
    <xdr:clientData/>
  </xdr:twoCellAnchor>
  <xdr:twoCellAnchor editAs="absolute">
    <xdr:from>
      <xdr:col>9</xdr:col>
      <xdr:colOff>49561</xdr:colOff>
      <xdr:row>13</xdr:row>
      <xdr:rowOff>25621</xdr:rowOff>
    </xdr:from>
    <xdr:to>
      <xdr:col>10</xdr:col>
      <xdr:colOff>352282</xdr:colOff>
      <xdr:row>15</xdr:row>
      <xdr:rowOff>57249</xdr:rowOff>
    </xdr:to>
    <xdr:sp macro="[0]!Info.Q_PL051" textlink="">
      <xdr:nvSpPr>
        <xdr:cNvPr id="20" name="Rectangle: Rounded Corners 19">
          <a:extLst>
            <a:ext uri="{FF2B5EF4-FFF2-40B4-BE49-F238E27FC236}">
              <a16:creationId xmlns:a16="http://schemas.microsoft.com/office/drawing/2014/main" id="{00000000-0008-0000-0100-000014000000}"/>
            </a:ext>
          </a:extLst>
        </xdr:cNvPr>
        <xdr:cNvSpPr/>
      </xdr:nvSpPr>
      <xdr:spPr>
        <a:xfrm>
          <a:off x="9581504" y="2708172"/>
          <a:ext cx="1313537" cy="398188"/>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200" b="1"/>
            <a:t>PL05_1</a:t>
          </a:r>
        </a:p>
      </xdr:txBody>
    </xdr:sp>
    <xdr:clientData/>
  </xdr:twoCellAnchor>
  <xdr:twoCellAnchor editAs="absolute">
    <xdr:from>
      <xdr:col>9</xdr:col>
      <xdr:colOff>49561</xdr:colOff>
      <xdr:row>16</xdr:row>
      <xdr:rowOff>44970</xdr:rowOff>
    </xdr:from>
    <xdr:to>
      <xdr:col>10</xdr:col>
      <xdr:colOff>352282</xdr:colOff>
      <xdr:row>18</xdr:row>
      <xdr:rowOff>59292</xdr:rowOff>
    </xdr:to>
    <xdr:sp macro="[0]!Info.Q_PL052" textlink="">
      <xdr:nvSpPr>
        <xdr:cNvPr id="21" name="Rectangle: Rounded Corners 20">
          <a:extLst>
            <a:ext uri="{FF2B5EF4-FFF2-40B4-BE49-F238E27FC236}">
              <a16:creationId xmlns:a16="http://schemas.microsoft.com/office/drawing/2014/main" id="{00000000-0008-0000-0100-000015000000}"/>
            </a:ext>
          </a:extLst>
        </xdr:cNvPr>
        <xdr:cNvSpPr/>
      </xdr:nvSpPr>
      <xdr:spPr>
        <a:xfrm>
          <a:off x="9581504" y="3277361"/>
          <a:ext cx="1313537" cy="380881"/>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200" b="1"/>
            <a:t>PL05_2</a:t>
          </a:r>
        </a:p>
      </xdr:txBody>
    </xdr:sp>
    <xdr:clientData/>
  </xdr:twoCellAnchor>
  <xdr:twoCellAnchor editAs="absolute">
    <xdr:from>
      <xdr:col>9</xdr:col>
      <xdr:colOff>67702</xdr:colOff>
      <xdr:row>19</xdr:row>
      <xdr:rowOff>58582</xdr:rowOff>
    </xdr:from>
    <xdr:to>
      <xdr:col>10</xdr:col>
      <xdr:colOff>368608</xdr:colOff>
      <xdr:row>21</xdr:row>
      <xdr:rowOff>86808</xdr:rowOff>
    </xdr:to>
    <xdr:sp macro="[0]!Info.Q_ThongKe" textlink="">
      <xdr:nvSpPr>
        <xdr:cNvPr id="22" name="Rectangle: Rounded Corners 21">
          <a:extLst>
            <a:ext uri="{FF2B5EF4-FFF2-40B4-BE49-F238E27FC236}">
              <a16:creationId xmlns:a16="http://schemas.microsoft.com/office/drawing/2014/main" id="{00000000-0008-0000-0100-000016000000}"/>
            </a:ext>
          </a:extLst>
        </xdr:cNvPr>
        <xdr:cNvSpPr/>
      </xdr:nvSpPr>
      <xdr:spPr>
        <a:xfrm>
          <a:off x="9599645" y="3840813"/>
          <a:ext cx="1311722" cy="394785"/>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1"/>
            <a:t>Thống</a:t>
          </a:r>
          <a:r>
            <a:rPr lang="en-US" sz="1200" b="1" baseline="0"/>
            <a:t> kê</a:t>
          </a:r>
          <a:endParaRPr lang="en-US" sz="1200" b="1"/>
        </a:p>
      </xdr:txBody>
    </xdr:sp>
    <xdr:clientData/>
  </xdr:twoCellAnchor>
  <xdr:twoCellAnchor editAs="absolute">
    <xdr:from>
      <xdr:col>7</xdr:col>
      <xdr:colOff>266698</xdr:colOff>
      <xdr:row>22</xdr:row>
      <xdr:rowOff>78159</xdr:rowOff>
    </xdr:from>
    <xdr:to>
      <xdr:col>8</xdr:col>
      <xdr:colOff>673147</xdr:colOff>
      <xdr:row>24</xdr:row>
      <xdr:rowOff>108959</xdr:rowOff>
    </xdr:to>
    <xdr:sp macro="[0]!Info.Q_inBL" textlink="">
      <xdr:nvSpPr>
        <xdr:cNvPr id="23" name="Rectangle: Rounded Corners 22">
          <a:extLst>
            <a:ext uri="{FF2B5EF4-FFF2-40B4-BE49-F238E27FC236}">
              <a16:creationId xmlns:a16="http://schemas.microsoft.com/office/drawing/2014/main" id="{00000000-0008-0000-0100-000017000000}"/>
            </a:ext>
          </a:extLst>
        </xdr:cNvPr>
        <xdr:cNvSpPr/>
      </xdr:nvSpPr>
      <xdr:spPr>
        <a:xfrm>
          <a:off x="7954733" y="4410229"/>
          <a:ext cx="1295079" cy="39736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200" b="1"/>
            <a:t>In Bảng</a:t>
          </a:r>
          <a:r>
            <a:rPr lang="en-US" sz="1200" b="1" baseline="0"/>
            <a:t> lương</a:t>
          </a:r>
          <a:endParaRPr lang="en-US" sz="1200" b="1"/>
        </a:p>
      </xdr:txBody>
    </xdr:sp>
    <xdr:clientData/>
  </xdr:twoCellAnchor>
  <xdr:twoCellAnchor editAs="absolute">
    <xdr:from>
      <xdr:col>9</xdr:col>
      <xdr:colOff>45932</xdr:colOff>
      <xdr:row>22</xdr:row>
      <xdr:rowOff>78159</xdr:rowOff>
    </xdr:from>
    <xdr:to>
      <xdr:col>10</xdr:col>
      <xdr:colOff>345023</xdr:colOff>
      <xdr:row>24</xdr:row>
      <xdr:rowOff>108959</xdr:rowOff>
    </xdr:to>
    <xdr:sp macro="[0]!Info.Q_InCC" textlink="">
      <xdr:nvSpPr>
        <xdr:cNvPr id="24" name="Rectangle: Rounded Corners 23">
          <a:extLst>
            <a:ext uri="{FF2B5EF4-FFF2-40B4-BE49-F238E27FC236}">
              <a16:creationId xmlns:a16="http://schemas.microsoft.com/office/drawing/2014/main" id="{00000000-0008-0000-0100-000018000000}"/>
            </a:ext>
          </a:extLst>
        </xdr:cNvPr>
        <xdr:cNvSpPr/>
      </xdr:nvSpPr>
      <xdr:spPr>
        <a:xfrm>
          <a:off x="9577875" y="4410229"/>
          <a:ext cx="1309907" cy="39736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200" b="1"/>
            <a:t>In Chấm</a:t>
          </a:r>
          <a:r>
            <a:rPr lang="en-US" sz="1200" b="1" baseline="0"/>
            <a:t> công</a:t>
          </a:r>
          <a:endParaRPr lang="en-US" sz="1200" b="1"/>
        </a:p>
      </xdr:txBody>
    </xdr:sp>
    <xdr:clientData/>
  </xdr:twoCellAnchor>
  <xdr:twoCellAnchor editAs="absolute">
    <xdr:from>
      <xdr:col>7</xdr:col>
      <xdr:colOff>266698</xdr:colOff>
      <xdr:row>25</xdr:row>
      <xdr:rowOff>116335</xdr:rowOff>
    </xdr:from>
    <xdr:to>
      <xdr:col>8</xdr:col>
      <xdr:colOff>673147</xdr:colOff>
      <xdr:row>27</xdr:row>
      <xdr:rowOff>133150</xdr:rowOff>
    </xdr:to>
    <xdr:sp macro="[0]!Info.Q_ThueNgoai" textlink="">
      <xdr:nvSpPr>
        <xdr:cNvPr id="27" name="Rectangle: Rounded Corners 26">
          <a:extLst>
            <a:ext uri="{FF2B5EF4-FFF2-40B4-BE49-F238E27FC236}">
              <a16:creationId xmlns:a16="http://schemas.microsoft.com/office/drawing/2014/main" id="{00000000-0008-0000-0100-00001B000000}"/>
            </a:ext>
          </a:extLst>
        </xdr:cNvPr>
        <xdr:cNvSpPr/>
      </xdr:nvSpPr>
      <xdr:spPr>
        <a:xfrm>
          <a:off x="7954733" y="4998244"/>
          <a:ext cx="1295079" cy="3833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200" b="1"/>
            <a:t>BL</a:t>
          </a:r>
          <a:r>
            <a:rPr lang="en-US" sz="1200" b="1" baseline="0"/>
            <a:t> Thuê ngoài</a:t>
          </a:r>
          <a:endParaRPr lang="en-US" sz="1200" b="1"/>
        </a:p>
      </xdr:txBody>
    </xdr:sp>
    <xdr:clientData/>
  </xdr:twoCellAnchor>
  <xdr:twoCellAnchor editAs="absolute">
    <xdr:from>
      <xdr:col>9</xdr:col>
      <xdr:colOff>45932</xdr:colOff>
      <xdr:row>25</xdr:row>
      <xdr:rowOff>116335</xdr:rowOff>
    </xdr:from>
    <xdr:to>
      <xdr:col>10</xdr:col>
      <xdr:colOff>345023</xdr:colOff>
      <xdr:row>27</xdr:row>
      <xdr:rowOff>133150</xdr:rowOff>
    </xdr:to>
    <xdr:sp macro="[0]!Info.Q_ThTet" textlink="">
      <xdr:nvSpPr>
        <xdr:cNvPr id="28" name="Rectangle: Rounded Corners 27">
          <a:extLst>
            <a:ext uri="{FF2B5EF4-FFF2-40B4-BE49-F238E27FC236}">
              <a16:creationId xmlns:a16="http://schemas.microsoft.com/office/drawing/2014/main" id="{00000000-0008-0000-0100-00001C000000}"/>
            </a:ext>
          </a:extLst>
        </xdr:cNvPr>
        <xdr:cNvSpPr/>
      </xdr:nvSpPr>
      <xdr:spPr>
        <a:xfrm>
          <a:off x="9577875" y="4998244"/>
          <a:ext cx="1309907" cy="38337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200" b="1"/>
            <a:t>Tính</a:t>
          </a:r>
          <a:r>
            <a:rPr lang="en-US" sz="1200" b="1" baseline="0"/>
            <a:t> thưởng</a:t>
          </a:r>
          <a:endParaRPr lang="en-US" sz="1200" b="1"/>
        </a:p>
      </xdr:txBody>
    </xdr:sp>
    <xdr:clientData/>
  </xdr:twoCellAnchor>
  <xdr:twoCellAnchor editAs="absolute">
    <xdr:from>
      <xdr:col>9</xdr:col>
      <xdr:colOff>42935</xdr:colOff>
      <xdr:row>1</xdr:row>
      <xdr:rowOff>121933</xdr:rowOff>
    </xdr:from>
    <xdr:to>
      <xdr:col>10</xdr:col>
      <xdr:colOff>512079</xdr:colOff>
      <xdr:row>1</xdr:row>
      <xdr:rowOff>518240</xdr:rowOff>
    </xdr:to>
    <xdr:sp macro="[0]!viewDate" textlink="">
      <xdr:nvSpPr>
        <xdr:cNvPr id="17" name="Rectangle: Rounded Corners 16">
          <a:extLst>
            <a:ext uri="{FF2B5EF4-FFF2-40B4-BE49-F238E27FC236}">
              <a16:creationId xmlns:a16="http://schemas.microsoft.com/office/drawing/2014/main" id="{00000000-0008-0000-0100-000011000000}"/>
            </a:ext>
          </a:extLst>
        </xdr:cNvPr>
        <xdr:cNvSpPr/>
      </xdr:nvSpPr>
      <xdr:spPr>
        <a:xfrm>
          <a:off x="9574878" y="121933"/>
          <a:ext cx="1518060" cy="39630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Thông</a:t>
          </a:r>
          <a:r>
            <a:rPr lang="en-US" sz="1200" b="1" baseline="0"/>
            <a:t> tin sử dụng</a:t>
          </a:r>
          <a:endParaRPr lang="en-US" sz="12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767445</xdr:colOff>
      <xdr:row>2</xdr:row>
      <xdr:rowOff>171450</xdr:rowOff>
    </xdr:from>
    <xdr:to>
      <xdr:col>2</xdr:col>
      <xdr:colOff>733425</xdr:colOff>
      <xdr:row>8</xdr:row>
      <xdr:rowOff>61913</xdr:rowOff>
    </xdr:to>
    <xdr:sp macro="[0]!RefillFormula" textlink="">
      <xdr:nvSpPr>
        <xdr:cNvPr id="2" name="Rectangle: Rounded Corners 1">
          <a:extLst>
            <a:ext uri="{FF2B5EF4-FFF2-40B4-BE49-F238E27FC236}">
              <a16:creationId xmlns:a16="http://schemas.microsoft.com/office/drawing/2014/main" id="{00000000-0008-0000-0200-000002000000}"/>
            </a:ext>
          </a:extLst>
        </xdr:cNvPr>
        <xdr:cNvSpPr/>
      </xdr:nvSpPr>
      <xdr:spPr>
        <a:xfrm>
          <a:off x="1329420" y="666750"/>
          <a:ext cx="1299480" cy="385763"/>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SYNC </a:t>
          </a:r>
          <a:r>
            <a:rPr lang="en-US" sz="1100" b="1" baseline="0"/>
            <a:t>FORMULA</a:t>
          </a:r>
          <a:endParaRPr lang="en-US" sz="1100" b="1"/>
        </a:p>
      </xdr:txBody>
    </xdr:sp>
    <xdr:clientData/>
  </xdr:twoCellAnchor>
  <xdr:twoCellAnchor>
    <xdr:from>
      <xdr:col>3</xdr:col>
      <xdr:colOff>14970</xdr:colOff>
      <xdr:row>2</xdr:row>
      <xdr:rowOff>171450</xdr:rowOff>
    </xdr:from>
    <xdr:to>
      <xdr:col>4</xdr:col>
      <xdr:colOff>561975</xdr:colOff>
      <xdr:row>8</xdr:row>
      <xdr:rowOff>61913</xdr:rowOff>
    </xdr:to>
    <xdr:sp macro="[0]!ResetAll" textlink="">
      <xdr:nvSpPr>
        <xdr:cNvPr id="3" name="Rectangle: Rounded Corners 2">
          <a:extLst>
            <a:ext uri="{FF2B5EF4-FFF2-40B4-BE49-F238E27FC236}">
              <a16:creationId xmlns:a16="http://schemas.microsoft.com/office/drawing/2014/main" id="{00000000-0008-0000-0200-000003000000}"/>
            </a:ext>
          </a:extLst>
        </xdr:cNvPr>
        <xdr:cNvSpPr/>
      </xdr:nvSpPr>
      <xdr:spPr>
        <a:xfrm>
          <a:off x="3005820" y="666750"/>
          <a:ext cx="1470930" cy="385763"/>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RESET</a:t>
          </a:r>
          <a:r>
            <a:rPr lang="en-US" sz="1100" b="1" baseline="0"/>
            <a:t> ALL</a:t>
          </a:r>
          <a:endParaRPr lang="en-US" sz="1100" b="1"/>
        </a:p>
      </xdr:txBody>
    </xdr:sp>
    <xdr:clientData/>
  </xdr:twoCellAnchor>
  <xdr:twoCellAnchor>
    <xdr:from>
      <xdr:col>5</xdr:col>
      <xdr:colOff>326571</xdr:colOff>
      <xdr:row>2</xdr:row>
      <xdr:rowOff>114302</xdr:rowOff>
    </xdr:from>
    <xdr:to>
      <xdr:col>6</xdr:col>
      <xdr:colOff>832757</xdr:colOff>
      <xdr:row>8</xdr:row>
      <xdr:rowOff>114301</xdr:rowOff>
    </xdr:to>
    <xdr:sp macro="[0]!Info.Q_Info" textlink="">
      <xdr:nvSpPr>
        <xdr:cNvPr id="5" name="Arrow: Left 4">
          <a:extLst>
            <a:ext uri="{FF2B5EF4-FFF2-40B4-BE49-F238E27FC236}">
              <a16:creationId xmlns:a16="http://schemas.microsoft.com/office/drawing/2014/main" id="{00000000-0008-0000-0200-000005000000}"/>
            </a:ext>
          </a:extLst>
        </xdr:cNvPr>
        <xdr:cNvSpPr/>
      </xdr:nvSpPr>
      <xdr:spPr>
        <a:xfrm>
          <a:off x="5219700" y="598716"/>
          <a:ext cx="1240971" cy="484414"/>
        </a:xfrm>
        <a:prstGeom prst="leftArrow">
          <a:avLst>
            <a:gd name="adj1" fmla="val 57071"/>
            <a:gd name="adj2" fmla="val 58362"/>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Back to INFO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23813</xdr:colOff>
      <xdr:row>3</xdr:row>
      <xdr:rowOff>152400</xdr:rowOff>
    </xdr:from>
    <xdr:to>
      <xdr:col>6</xdr:col>
      <xdr:colOff>317438</xdr:colOff>
      <xdr:row>5</xdr:row>
      <xdr:rowOff>9675</xdr:rowOff>
    </xdr:to>
    <xdr:sp macro="[0]!Fill_Chamcong" textlink="">
      <xdr:nvSpPr>
        <xdr:cNvPr id="2" name="Rectangle: Rounded Corners 1">
          <a:extLst>
            <a:ext uri="{FF2B5EF4-FFF2-40B4-BE49-F238E27FC236}">
              <a16:creationId xmlns:a16="http://schemas.microsoft.com/office/drawing/2014/main" id="{00000000-0008-0000-0300-000002000000}"/>
            </a:ext>
          </a:extLst>
        </xdr:cNvPr>
        <xdr:cNvSpPr/>
      </xdr:nvSpPr>
      <xdr:spPr>
        <a:xfrm>
          <a:off x="3938588" y="333375"/>
          <a:ext cx="1093725" cy="314475"/>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a:t>Chấm</a:t>
          </a:r>
          <a:r>
            <a:rPr lang="en-US" sz="1100" baseline="0"/>
            <a:t> công</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171450</xdr:colOff>
          <xdr:row>3</xdr:row>
          <xdr:rowOff>38100</xdr:rowOff>
        </xdr:from>
        <xdr:to>
          <xdr:col>2</xdr:col>
          <xdr:colOff>166688</xdr:colOff>
          <xdr:row>4</xdr:row>
          <xdr:rowOff>152400</xdr:rowOff>
        </xdr:to>
        <xdr:sp macro="" textlink="">
          <xdr:nvSpPr>
            <xdr:cNvPr id="7170" name="Codinh"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4</xdr:row>
          <xdr:rowOff>85725</xdr:rowOff>
        </xdr:from>
        <xdr:to>
          <xdr:col>2</xdr:col>
          <xdr:colOff>171450</xdr:colOff>
          <xdr:row>5</xdr:row>
          <xdr:rowOff>95250</xdr:rowOff>
        </xdr:to>
        <xdr:sp macro="" textlink="">
          <xdr:nvSpPr>
            <xdr:cNvPr id="7171" name="TheoThang" hidden="1">
              <a:extLst>
                <a:ext uri="{63B3BB69-23CF-44E3-9099-C40C66FF867C}">
                  <a14:compatExt spid="_x0000_s7171"/>
                </a:ext>
                <a:ext uri="{FF2B5EF4-FFF2-40B4-BE49-F238E27FC236}">
                  <a16:creationId xmlns:a16="http://schemas.microsoft.com/office/drawing/2014/main" id="{00000000-0008-0000-03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71438</xdr:colOff>
      <xdr:row>3</xdr:row>
      <xdr:rowOff>152400</xdr:rowOff>
    </xdr:from>
    <xdr:to>
      <xdr:col>9</xdr:col>
      <xdr:colOff>365063</xdr:colOff>
      <xdr:row>5</xdr:row>
      <xdr:rowOff>9675</xdr:rowOff>
    </xdr:to>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00000000-0008-0000-0300-000005000000}"/>
            </a:ext>
          </a:extLst>
        </xdr:cNvPr>
        <xdr:cNvSpPr/>
      </xdr:nvSpPr>
      <xdr:spPr>
        <a:xfrm>
          <a:off x="4843463" y="342900"/>
          <a:ext cx="1036575" cy="324000"/>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a:t>Bảng</a:t>
          </a:r>
          <a:r>
            <a:rPr lang="en-US" sz="1100" baseline="0"/>
            <a:t> chi tiết</a:t>
          </a:r>
          <a:endParaRPr lang="en-US" sz="1100"/>
        </a:p>
      </xdr:txBody>
    </xdr:sp>
    <xdr:clientData/>
  </xdr:twoCellAnchor>
  <xdr:twoCellAnchor>
    <xdr:from>
      <xdr:col>10</xdr:col>
      <xdr:colOff>152400</xdr:colOff>
      <xdr:row>3</xdr:row>
      <xdr:rowOff>81642</xdr:rowOff>
    </xdr:from>
    <xdr:to>
      <xdr:col>13</xdr:col>
      <xdr:colOff>217714</xdr:colOff>
      <xdr:row>5</xdr:row>
      <xdr:rowOff>108856</xdr:rowOff>
    </xdr:to>
    <xdr:sp macro="[0]!Info.Q_Info" textlink="">
      <xdr:nvSpPr>
        <xdr:cNvPr id="6" name="Arrow: Left 5">
          <a:extLst>
            <a:ext uri="{FF2B5EF4-FFF2-40B4-BE49-F238E27FC236}">
              <a16:creationId xmlns:a16="http://schemas.microsoft.com/office/drawing/2014/main" id="{00000000-0008-0000-0300-000006000000}"/>
            </a:ext>
          </a:extLst>
        </xdr:cNvPr>
        <xdr:cNvSpPr/>
      </xdr:nvSpPr>
      <xdr:spPr>
        <a:xfrm>
          <a:off x="6177643" y="266699"/>
          <a:ext cx="1240971" cy="484414"/>
        </a:xfrm>
        <a:prstGeom prst="leftArrow">
          <a:avLst>
            <a:gd name="adj1" fmla="val 57071"/>
            <a:gd name="adj2" fmla="val 58362"/>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Back to INFO</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333375</xdr:colOff>
          <xdr:row>17</xdr:row>
          <xdr:rowOff>66675</xdr:rowOff>
        </xdr:from>
        <xdr:to>
          <xdr:col>2</xdr:col>
          <xdr:colOff>204788</xdr:colOff>
          <xdr:row>17</xdr:row>
          <xdr:rowOff>314325</xdr:rowOff>
        </xdr:to>
        <xdr:sp macro="" textlink="">
          <xdr:nvSpPr>
            <xdr:cNvPr id="6145" name="CheckBox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48901</xdr:colOff>
      <xdr:row>17</xdr:row>
      <xdr:rowOff>83638</xdr:rowOff>
    </xdr:from>
    <xdr:to>
      <xdr:col>1</xdr:col>
      <xdr:colOff>585461</xdr:colOff>
      <xdr:row>17</xdr:row>
      <xdr:rowOff>399588</xdr:rowOff>
    </xdr:to>
    <xdr:sp macro="[0]!clear_BH" textlink="">
      <xdr:nvSpPr>
        <xdr:cNvPr id="2" name="Rectangle: Rounded Corners 1">
          <a:extLst>
            <a:ext uri="{FF2B5EF4-FFF2-40B4-BE49-F238E27FC236}">
              <a16:creationId xmlns:a16="http://schemas.microsoft.com/office/drawing/2014/main" id="{00000000-0008-0000-0400-000002000000}"/>
            </a:ext>
          </a:extLst>
        </xdr:cNvPr>
        <xdr:cNvSpPr/>
      </xdr:nvSpPr>
      <xdr:spPr>
        <a:xfrm>
          <a:off x="44824" y="3351679"/>
          <a:ext cx="1139791" cy="322748"/>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050" b="1"/>
            <a:t>Xóa</a:t>
          </a:r>
          <a:r>
            <a:rPr lang="en-US" sz="1050" b="1" baseline="0"/>
            <a:t> tháng nghỉ</a:t>
          </a:r>
          <a:endParaRPr lang="en-US" sz="1050" b="1"/>
        </a:p>
      </xdr:txBody>
    </xdr:sp>
    <xdr:clientData/>
  </xdr:twoCellAnchor>
  <xdr:twoCellAnchor editAs="oneCell">
    <xdr:from>
      <xdr:col>0</xdr:col>
      <xdr:colOff>0</xdr:colOff>
      <xdr:row>42</xdr:row>
      <xdr:rowOff>93390</xdr:rowOff>
    </xdr:from>
    <xdr:to>
      <xdr:col>0</xdr:col>
      <xdr:colOff>0</xdr:colOff>
      <xdr:row>42</xdr:row>
      <xdr:rowOff>112321</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3" name="Ink 2">
              <a:extLst>
                <a:ext uri="{FF2B5EF4-FFF2-40B4-BE49-F238E27FC236}">
                  <a16:creationId xmlns:a16="http://schemas.microsoft.com/office/drawing/2014/main" id="{00000000-0008-0000-0400-000003000000}"/>
                </a:ext>
              </a:extLst>
            </xdr14:cNvPr>
            <xdr14:cNvContentPartPr/>
          </xdr14:nvContentPartPr>
          <xdr14:nvPr macro=""/>
          <xdr14:xfrm>
            <a:off x="2877840" y="5555978"/>
            <a:ext cx="360" cy="360"/>
          </xdr14:xfrm>
        </xdr:contentPart>
      </mc:Choice>
      <mc:Fallback xmlns="">
        <xdr:pic>
          <xdr:nvPicPr>
            <xdr:cNvPr id="3" name="Ink 2">
              <a:extLst>
                <a:ext uri="{FF2B5EF4-FFF2-40B4-BE49-F238E27FC236}">
                  <a16:creationId xmlns:a16="http://schemas.microsoft.com/office/drawing/2014/main" id="{40E9AD22-375B-42E6-B961-4E8EC747FB56}"/>
                </a:ext>
              </a:extLst>
            </xdr:cNvPr>
            <xdr:cNvPicPr/>
          </xdr:nvPicPr>
          <xdr:blipFill>
            <a:blip xmlns:r="http://schemas.openxmlformats.org/officeDocument/2006/relationships" r:embed="rId2"/>
            <a:stretch>
              <a:fillRect/>
            </a:stretch>
          </xdr:blipFill>
          <xdr:spPr>
            <a:xfrm>
              <a:off x="2873520" y="5551658"/>
              <a:ext cx="9000" cy="9000"/>
            </a:xfrm>
            <a:prstGeom prst="rect">
              <a:avLst/>
            </a:prstGeom>
          </xdr:spPr>
        </xdr:pic>
      </mc:Fallback>
    </mc:AlternateContent>
    <xdr:clientData/>
  </xdr:twoCellAnchor>
  <xdr:twoCellAnchor editAs="oneCell">
    <xdr:from>
      <xdr:col>0</xdr:col>
      <xdr:colOff>0</xdr:colOff>
      <xdr:row>17</xdr:row>
      <xdr:rowOff>204345</xdr:rowOff>
    </xdr:from>
    <xdr:to>
      <xdr:col>0</xdr:col>
      <xdr:colOff>0</xdr:colOff>
      <xdr:row>17</xdr:row>
      <xdr:rowOff>218499</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6" name="Ink 5">
              <a:extLst>
                <a:ext uri="{FF2B5EF4-FFF2-40B4-BE49-F238E27FC236}">
                  <a16:creationId xmlns:a16="http://schemas.microsoft.com/office/drawing/2014/main" id="{00000000-0008-0000-0400-000006000000}"/>
                </a:ext>
              </a:extLst>
            </xdr14:cNvPr>
            <xdr14:cNvContentPartPr/>
          </xdr14:nvContentPartPr>
          <xdr14:nvPr macro=""/>
          <xdr14:xfrm>
            <a:off x="1115280" y="3314258"/>
            <a:ext cx="2880" cy="14040"/>
          </xdr14:xfrm>
        </xdr:contentPart>
      </mc:Choice>
      <mc:Fallback xmlns="">
        <xdr:pic>
          <xdr:nvPicPr>
            <xdr:cNvPr id="6" name="Ink 5">
              <a:extLst>
                <a:ext uri="{FF2B5EF4-FFF2-40B4-BE49-F238E27FC236}">
                  <a16:creationId xmlns:a16="http://schemas.microsoft.com/office/drawing/2014/main" id="{8D43DDD2-A885-47B1-9B75-907B7381C5D1}"/>
                </a:ext>
              </a:extLst>
            </xdr:cNvPr>
            <xdr:cNvPicPr/>
          </xdr:nvPicPr>
          <xdr:blipFill>
            <a:blip xmlns:r="http://schemas.openxmlformats.org/officeDocument/2006/relationships" r:embed="rId4"/>
            <a:stretch>
              <a:fillRect/>
            </a:stretch>
          </xdr:blipFill>
          <xdr:spPr>
            <a:xfrm>
              <a:off x="1110960" y="3309938"/>
              <a:ext cx="11520" cy="22680"/>
            </a:xfrm>
            <a:prstGeom prst="rect">
              <a:avLst/>
            </a:prstGeom>
          </xdr:spPr>
        </xdr:pic>
      </mc:Fallback>
    </mc:AlternateContent>
    <xdr:clientData/>
  </xdr:twoCellAnchor>
  <mc:AlternateContent xmlns:mc="http://schemas.openxmlformats.org/markup-compatibility/2006">
    <mc:Choice xmlns:a14="http://schemas.microsoft.com/office/drawing/2010/main" Requires="a14">
      <xdr:twoCellAnchor editAs="absolute">
        <xdr:from>
          <xdr:col>1</xdr:col>
          <xdr:colOff>676275</xdr:colOff>
          <xdr:row>17</xdr:row>
          <xdr:rowOff>66675</xdr:rowOff>
        </xdr:from>
        <xdr:to>
          <xdr:col>2</xdr:col>
          <xdr:colOff>776288</xdr:colOff>
          <xdr:row>17</xdr:row>
          <xdr:rowOff>409575</xdr:rowOff>
        </xdr:to>
        <xdr:sp macro="" textlink="">
          <xdr:nvSpPr>
            <xdr:cNvPr id="6146" name="Switch1"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19050</xdr:colOff>
      <xdr:row>13</xdr:row>
      <xdr:rowOff>133350</xdr:rowOff>
    </xdr:from>
    <xdr:to>
      <xdr:col>1</xdr:col>
      <xdr:colOff>636128</xdr:colOff>
      <xdr:row>16</xdr:row>
      <xdr:rowOff>25858</xdr:rowOff>
    </xdr:to>
    <xdr:sp macro="[0]!Info.Q_Info" textlink="">
      <xdr:nvSpPr>
        <xdr:cNvPr id="7" name="Arrow: Left 6">
          <a:extLst>
            <a:ext uri="{FF2B5EF4-FFF2-40B4-BE49-F238E27FC236}">
              <a16:creationId xmlns:a16="http://schemas.microsoft.com/office/drawing/2014/main" id="{00000000-0008-0000-0400-000007000000}"/>
            </a:ext>
          </a:extLst>
        </xdr:cNvPr>
        <xdr:cNvSpPr/>
      </xdr:nvSpPr>
      <xdr:spPr>
        <a:xfrm>
          <a:off x="21771" y="2476500"/>
          <a:ext cx="1240971" cy="484414"/>
        </a:xfrm>
        <a:prstGeom prst="leftArrow">
          <a:avLst>
            <a:gd name="adj1" fmla="val 57071"/>
            <a:gd name="adj2" fmla="val 58362"/>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Back to INFO</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1</xdr:col>
      <xdr:colOff>43543</xdr:colOff>
      <xdr:row>2</xdr:row>
      <xdr:rowOff>157842</xdr:rowOff>
    </xdr:from>
    <xdr:to>
      <xdr:col>1</xdr:col>
      <xdr:colOff>1284514</xdr:colOff>
      <xdr:row>5</xdr:row>
      <xdr:rowOff>81641</xdr:rowOff>
    </xdr:to>
    <xdr:sp macro="[0]!Info.Q_Info" textlink="">
      <xdr:nvSpPr>
        <xdr:cNvPr id="5" name="Arrow: Left 4">
          <a:extLst>
            <a:ext uri="{FF2B5EF4-FFF2-40B4-BE49-F238E27FC236}">
              <a16:creationId xmlns:a16="http://schemas.microsoft.com/office/drawing/2014/main" id="{00000000-0008-0000-0500-000005000000}"/>
            </a:ext>
          </a:extLst>
        </xdr:cNvPr>
        <xdr:cNvSpPr/>
      </xdr:nvSpPr>
      <xdr:spPr>
        <a:xfrm>
          <a:off x="560614" y="642256"/>
          <a:ext cx="1240971" cy="484414"/>
        </a:xfrm>
        <a:prstGeom prst="leftArrow">
          <a:avLst>
            <a:gd name="adj1" fmla="val 57071"/>
            <a:gd name="adj2" fmla="val 58362"/>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Back to INFO</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95250</xdr:colOff>
          <xdr:row>5</xdr:row>
          <xdr:rowOff>9525</xdr:rowOff>
        </xdr:from>
        <xdr:to>
          <xdr:col>1</xdr:col>
          <xdr:colOff>1343025</xdr:colOff>
          <xdr:row>6</xdr:row>
          <xdr:rowOff>228600</xdr:rowOff>
        </xdr:to>
        <xdr:sp macro="" textlink="">
          <xdr:nvSpPr>
            <xdr:cNvPr id="2050" name="CommandButton1" hidden="1">
              <a:extLst>
                <a:ext uri="{63B3BB69-23CF-44E3-9099-C40C66FF867C}">
                  <a14:compatExt spid="_x0000_s2050"/>
                </a:ext>
                <a:ext uri="{FF2B5EF4-FFF2-40B4-BE49-F238E27FC236}">
                  <a16:creationId xmlns:a16="http://schemas.microsoft.com/office/drawing/2014/main" id="{00000000-0008-0000-06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171450</xdr:colOff>
          <xdr:row>5</xdr:row>
          <xdr:rowOff>9525</xdr:rowOff>
        </xdr:from>
        <xdr:to>
          <xdr:col>1</xdr:col>
          <xdr:colOff>1419225</xdr:colOff>
          <xdr:row>6</xdr:row>
          <xdr:rowOff>223838</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171450</xdr:colOff>
          <xdr:row>5</xdr:row>
          <xdr:rowOff>9525</xdr:rowOff>
        </xdr:from>
        <xdr:to>
          <xdr:col>1</xdr:col>
          <xdr:colOff>1419225</xdr:colOff>
          <xdr:row>6</xdr:row>
          <xdr:rowOff>228600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95250</xdr:colOff>
          <xdr:row>5</xdr:row>
          <xdr:rowOff>9525</xdr:rowOff>
        </xdr:from>
        <xdr:to>
          <xdr:col>1</xdr:col>
          <xdr:colOff>1343025</xdr:colOff>
          <xdr:row>6</xdr:row>
          <xdr:rowOff>228600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9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95250</xdr:colOff>
          <xdr:row>5</xdr:row>
          <xdr:rowOff>9525</xdr:rowOff>
        </xdr:from>
        <xdr:to>
          <xdr:col>1</xdr:col>
          <xdr:colOff>1343025</xdr:colOff>
          <xdr:row>6</xdr:row>
          <xdr:rowOff>228600</xdr:rowOff>
        </xdr:to>
        <xdr:sp macro="" textlink="">
          <xdr:nvSpPr>
            <xdr:cNvPr id="17410" name="CommandButton1"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95250</xdr:colOff>
          <xdr:row>5</xdr:row>
          <xdr:rowOff>9525</xdr:rowOff>
        </xdr:from>
        <xdr:to>
          <xdr:col>1</xdr:col>
          <xdr:colOff>1343025</xdr:colOff>
          <xdr:row>6</xdr:row>
          <xdr:rowOff>228600</xdr:rowOff>
        </xdr:to>
        <xdr:sp macro="" textlink="">
          <xdr:nvSpPr>
            <xdr:cNvPr id="18434" name="CommandButton1" hidden="1">
              <a:extLst>
                <a:ext uri="{63B3BB69-23CF-44E3-9099-C40C66FF867C}">
                  <a14:compatExt spid="_x0000_s18434"/>
                </a:ext>
                <a:ext uri="{FF2B5EF4-FFF2-40B4-BE49-F238E27FC236}">
                  <a16:creationId xmlns:a16="http://schemas.microsoft.com/office/drawing/2014/main" id="{00000000-0008-0000-0B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95250</xdr:colOff>
          <xdr:row>5</xdr:row>
          <xdr:rowOff>9525</xdr:rowOff>
        </xdr:from>
        <xdr:to>
          <xdr:col>1</xdr:col>
          <xdr:colOff>1343025</xdr:colOff>
          <xdr:row>6</xdr:row>
          <xdr:rowOff>228600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0C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95250</xdr:colOff>
          <xdr:row>5</xdr:row>
          <xdr:rowOff>9525</xdr:rowOff>
        </xdr:from>
        <xdr:to>
          <xdr:col>1</xdr:col>
          <xdr:colOff>1343025</xdr:colOff>
          <xdr:row>6</xdr:row>
          <xdr:rowOff>228600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0D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95250</xdr:colOff>
          <xdr:row>5</xdr:row>
          <xdr:rowOff>9525</xdr:rowOff>
        </xdr:from>
        <xdr:to>
          <xdr:col>1</xdr:col>
          <xdr:colOff>1343025</xdr:colOff>
          <xdr:row>6</xdr:row>
          <xdr:rowOff>228600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0E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95250</xdr:colOff>
          <xdr:row>5</xdr:row>
          <xdr:rowOff>9525</xdr:rowOff>
        </xdr:from>
        <xdr:to>
          <xdr:col>1</xdr:col>
          <xdr:colOff>1343025</xdr:colOff>
          <xdr:row>6</xdr:row>
          <xdr:rowOff>228600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0F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95250</xdr:colOff>
          <xdr:row>5</xdr:row>
          <xdr:rowOff>9525</xdr:rowOff>
        </xdr:from>
        <xdr:to>
          <xdr:col>1</xdr:col>
          <xdr:colOff>1343025</xdr:colOff>
          <xdr:row>6</xdr:row>
          <xdr:rowOff>228600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10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95250</xdr:colOff>
          <xdr:row>5</xdr:row>
          <xdr:rowOff>9525</xdr:rowOff>
        </xdr:from>
        <xdr:to>
          <xdr:col>1</xdr:col>
          <xdr:colOff>1343025</xdr:colOff>
          <xdr:row>6</xdr:row>
          <xdr:rowOff>228600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11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1</xdr:col>
      <xdr:colOff>43543</xdr:colOff>
      <xdr:row>2</xdr:row>
      <xdr:rowOff>157842</xdr:rowOff>
    </xdr:from>
    <xdr:to>
      <xdr:col>1</xdr:col>
      <xdr:colOff>1284514</xdr:colOff>
      <xdr:row>5</xdr:row>
      <xdr:rowOff>81641</xdr:rowOff>
    </xdr:to>
    <xdr:sp macro="[0]!Info.Q_Info" textlink="">
      <xdr:nvSpPr>
        <xdr:cNvPr id="2" name="Arrow: Left 1">
          <a:extLst>
            <a:ext uri="{FF2B5EF4-FFF2-40B4-BE49-F238E27FC236}">
              <a16:creationId xmlns:a16="http://schemas.microsoft.com/office/drawing/2014/main" id="{00000000-0008-0000-1300-000002000000}"/>
            </a:ext>
          </a:extLst>
        </xdr:cNvPr>
        <xdr:cNvSpPr/>
      </xdr:nvSpPr>
      <xdr:spPr>
        <a:xfrm>
          <a:off x="562656" y="638855"/>
          <a:ext cx="1240971" cy="471486"/>
        </a:xfrm>
        <a:prstGeom prst="leftArrow">
          <a:avLst>
            <a:gd name="adj1" fmla="val 57071"/>
            <a:gd name="adj2" fmla="val 58362"/>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Back to INFO</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43543</xdr:colOff>
      <xdr:row>2</xdr:row>
      <xdr:rowOff>157842</xdr:rowOff>
    </xdr:from>
    <xdr:to>
      <xdr:col>1</xdr:col>
      <xdr:colOff>1284514</xdr:colOff>
      <xdr:row>5</xdr:row>
      <xdr:rowOff>81641</xdr:rowOff>
    </xdr:to>
    <xdr:sp macro="[0]!Info.Q_Info" textlink="">
      <xdr:nvSpPr>
        <xdr:cNvPr id="2" name="Arrow: Left 1">
          <a:extLst>
            <a:ext uri="{FF2B5EF4-FFF2-40B4-BE49-F238E27FC236}">
              <a16:creationId xmlns:a16="http://schemas.microsoft.com/office/drawing/2014/main" id="{00000000-0008-0000-1500-000002000000}"/>
            </a:ext>
          </a:extLst>
        </xdr:cNvPr>
        <xdr:cNvSpPr/>
      </xdr:nvSpPr>
      <xdr:spPr>
        <a:xfrm>
          <a:off x="562656" y="638855"/>
          <a:ext cx="1240971" cy="471486"/>
        </a:xfrm>
        <a:prstGeom prst="leftArrow">
          <a:avLst>
            <a:gd name="adj1" fmla="val 57071"/>
            <a:gd name="adj2" fmla="val 58362"/>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Back to INFO</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213629</xdr:colOff>
      <xdr:row>0</xdr:row>
      <xdr:rowOff>57150</xdr:rowOff>
    </xdr:from>
    <xdr:to>
      <xdr:col>6</xdr:col>
      <xdr:colOff>142229</xdr:colOff>
      <xdr:row>1</xdr:row>
      <xdr:rowOff>179025</xdr:rowOff>
    </xdr:to>
    <xdr:sp macro="[0]!printSingle" textlink="">
      <xdr:nvSpPr>
        <xdr:cNvPr id="2" name="Rectangle: Rounded Corners 1">
          <a:extLst>
            <a:ext uri="{FF2B5EF4-FFF2-40B4-BE49-F238E27FC236}">
              <a16:creationId xmlns:a16="http://schemas.microsoft.com/office/drawing/2014/main" id="{00000000-0008-0000-1600-000002000000}"/>
            </a:ext>
          </a:extLst>
        </xdr:cNvPr>
        <xdr:cNvSpPr/>
      </xdr:nvSpPr>
      <xdr:spPr>
        <a:xfrm>
          <a:off x="4567915" y="57150"/>
          <a:ext cx="1224000" cy="36680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200" b="1"/>
            <a:t>In bảng</a:t>
          </a:r>
          <a:r>
            <a:rPr lang="en-US" sz="1200" b="1" baseline="0"/>
            <a:t> này</a:t>
          </a:r>
          <a:endParaRPr lang="en-US" sz="1200" b="1"/>
        </a:p>
      </xdr:txBody>
    </xdr:sp>
    <xdr:clientData/>
  </xdr:twoCellAnchor>
  <xdr:twoCellAnchor>
    <xdr:from>
      <xdr:col>6</xdr:col>
      <xdr:colOff>280305</xdr:colOff>
      <xdr:row>0</xdr:row>
      <xdr:rowOff>57150</xdr:rowOff>
    </xdr:from>
    <xdr:to>
      <xdr:col>8</xdr:col>
      <xdr:colOff>350420</xdr:colOff>
      <xdr:row>1</xdr:row>
      <xdr:rowOff>179025</xdr:rowOff>
    </xdr:to>
    <xdr:sp macro="[0]!PrintSelected" textlink="">
      <xdr:nvSpPr>
        <xdr:cNvPr id="3" name="Rectangle: Rounded Corners 2">
          <a:extLst>
            <a:ext uri="{FF2B5EF4-FFF2-40B4-BE49-F238E27FC236}">
              <a16:creationId xmlns:a16="http://schemas.microsoft.com/office/drawing/2014/main" id="{00000000-0008-0000-1600-000003000000}"/>
            </a:ext>
          </a:extLst>
        </xdr:cNvPr>
        <xdr:cNvSpPr/>
      </xdr:nvSpPr>
      <xdr:spPr>
        <a:xfrm>
          <a:off x="5929991" y="57150"/>
          <a:ext cx="1224000" cy="366804"/>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200" b="1"/>
            <a:t>In lựa</a:t>
          </a:r>
          <a:r>
            <a:rPr lang="en-US" sz="1200" b="1" baseline="0"/>
            <a:t> chọn</a:t>
          </a:r>
          <a:endParaRPr lang="en-US" sz="1200" b="1"/>
        </a:p>
      </xdr:txBody>
    </xdr:sp>
    <xdr:clientData/>
  </xdr:twoCellAnchor>
  <xdr:twoCellAnchor editAs="absolute">
    <xdr:from>
      <xdr:col>2</xdr:col>
      <xdr:colOff>1057267</xdr:colOff>
      <xdr:row>0</xdr:row>
      <xdr:rowOff>0</xdr:rowOff>
    </xdr:from>
    <xdr:to>
      <xdr:col>4</xdr:col>
      <xdr:colOff>76197</xdr:colOff>
      <xdr:row>1</xdr:row>
      <xdr:rowOff>238119</xdr:rowOff>
    </xdr:to>
    <xdr:sp macro="[0]!Info.Q_Info" textlink="">
      <xdr:nvSpPr>
        <xdr:cNvPr id="4" name="Arrow: Left 3">
          <a:extLst>
            <a:ext uri="{FF2B5EF4-FFF2-40B4-BE49-F238E27FC236}">
              <a16:creationId xmlns:a16="http://schemas.microsoft.com/office/drawing/2014/main" id="{00000000-0008-0000-1600-000004000000}"/>
            </a:ext>
          </a:extLst>
        </xdr:cNvPr>
        <xdr:cNvSpPr/>
      </xdr:nvSpPr>
      <xdr:spPr>
        <a:xfrm>
          <a:off x="3189512" y="0"/>
          <a:ext cx="1240971" cy="484414"/>
        </a:xfrm>
        <a:prstGeom prst="leftArrow">
          <a:avLst>
            <a:gd name="adj1" fmla="val 57071"/>
            <a:gd name="adj2" fmla="val 58362"/>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Back to INFO</a:t>
          </a:r>
        </a:p>
      </xdr:txBody>
    </xdr:sp>
    <xdr:clientData fPrintsWithSheet="0"/>
  </xdr:twoCellAnchor>
</xdr:wsDr>
</file>

<file path=xl/drawings/drawing21.xml><?xml version="1.0" encoding="utf-8"?>
<xdr:wsDr xmlns:xdr="http://schemas.openxmlformats.org/drawingml/2006/spreadsheetDrawing" xmlns:a="http://schemas.openxmlformats.org/drawingml/2006/main">
  <xdr:twoCellAnchor>
    <xdr:from>
      <xdr:col>3</xdr:col>
      <xdr:colOff>26194</xdr:colOff>
      <xdr:row>0</xdr:row>
      <xdr:rowOff>47627</xdr:rowOff>
    </xdr:from>
    <xdr:to>
      <xdr:col>6</xdr:col>
      <xdr:colOff>190500</xdr:colOff>
      <xdr:row>1</xdr:row>
      <xdr:rowOff>145127</xdr:rowOff>
    </xdr:to>
    <xdr:sp macro="[0]!ChamCongChiTiet" textlink="">
      <xdr:nvSpPr>
        <xdr:cNvPr id="2" name="Rectangle: Rounded Corners 1">
          <a:extLst>
            <a:ext uri="{FF2B5EF4-FFF2-40B4-BE49-F238E27FC236}">
              <a16:creationId xmlns:a16="http://schemas.microsoft.com/office/drawing/2014/main" id="{00000000-0008-0000-1700-000002000000}"/>
            </a:ext>
          </a:extLst>
        </xdr:cNvPr>
        <xdr:cNvSpPr/>
      </xdr:nvSpPr>
      <xdr:spPr>
        <a:xfrm>
          <a:off x="2826544" y="47627"/>
          <a:ext cx="1012031" cy="288000"/>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Chấm</a:t>
          </a:r>
          <a:r>
            <a:rPr lang="en-US" sz="1100" b="1" baseline="0"/>
            <a:t> công</a:t>
          </a:r>
          <a:endParaRPr lang="en-US" sz="1100" b="1"/>
        </a:p>
      </xdr:txBody>
    </xdr:sp>
    <xdr:clientData/>
  </xdr:twoCellAnchor>
  <xdr:twoCellAnchor>
    <xdr:from>
      <xdr:col>7</xdr:col>
      <xdr:colOff>89694</xdr:colOff>
      <xdr:row>0</xdr:row>
      <xdr:rowOff>47627</xdr:rowOff>
    </xdr:from>
    <xdr:to>
      <xdr:col>12</xdr:col>
      <xdr:colOff>40368</xdr:colOff>
      <xdr:row>1</xdr:row>
      <xdr:rowOff>145127</xdr:rowOff>
    </xdr:to>
    <xdr:sp macro="[0]!dicongtac" textlink="">
      <xdr:nvSpPr>
        <xdr:cNvPr id="3" name="Rectangle: Rounded Corners 2">
          <a:extLst>
            <a:ext uri="{FF2B5EF4-FFF2-40B4-BE49-F238E27FC236}">
              <a16:creationId xmlns:a16="http://schemas.microsoft.com/office/drawing/2014/main" id="{00000000-0008-0000-1700-000003000000}"/>
            </a:ext>
          </a:extLst>
        </xdr:cNvPr>
        <xdr:cNvSpPr/>
      </xdr:nvSpPr>
      <xdr:spPr>
        <a:xfrm>
          <a:off x="4177280" y="47627"/>
          <a:ext cx="1066459" cy="282557"/>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Đi</a:t>
          </a:r>
          <a:r>
            <a:rPr lang="en-US" sz="1100" b="1" baseline="0"/>
            <a:t> công tác</a:t>
          </a:r>
          <a:endParaRPr lang="en-US" sz="1100" b="1"/>
        </a:p>
      </xdr:txBody>
    </xdr:sp>
    <xdr:clientData/>
  </xdr:twoCellAnchor>
  <xdr:twoCellAnchor>
    <xdr:from>
      <xdr:col>34</xdr:col>
      <xdr:colOff>1</xdr:colOff>
      <xdr:row>2</xdr:row>
      <xdr:rowOff>161925</xdr:rowOff>
    </xdr:from>
    <xdr:to>
      <xdr:col>37</xdr:col>
      <xdr:colOff>100013</xdr:colOff>
      <xdr:row>4</xdr:row>
      <xdr:rowOff>38101</xdr:rowOff>
    </xdr:to>
    <xdr:sp macro="" textlink="">
      <xdr:nvSpPr>
        <xdr:cNvPr id="5" name="Speech Bubble: Rectangle with Corners Rounded 4">
          <a:extLst>
            <a:ext uri="{FF2B5EF4-FFF2-40B4-BE49-F238E27FC236}">
              <a16:creationId xmlns:a16="http://schemas.microsoft.com/office/drawing/2014/main" id="{00000000-0008-0000-1700-000005000000}"/>
            </a:ext>
          </a:extLst>
        </xdr:cNvPr>
        <xdr:cNvSpPr/>
      </xdr:nvSpPr>
      <xdr:spPr>
        <a:xfrm>
          <a:off x="10177464" y="523875"/>
          <a:ext cx="1485899" cy="266701"/>
        </a:xfrm>
        <a:prstGeom prst="wedgeRoundRectCallout">
          <a:avLst>
            <a:gd name="adj1" fmla="val -96173"/>
            <a:gd name="adj2" fmla="val 85005"/>
            <a:gd name="adj3" fmla="val 16667"/>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l"/>
          <a:r>
            <a:rPr lang="en-US" sz="1100"/>
            <a:t>Nghỉ</a:t>
          </a:r>
          <a:r>
            <a:rPr lang="en-US" sz="1100" baseline="0"/>
            <a:t> lễ/tết, ghi: "NL"</a:t>
          </a:r>
          <a:endParaRPr lang="en-US" sz="1100"/>
        </a:p>
      </xdr:txBody>
    </xdr:sp>
    <xdr:clientData/>
  </xdr:twoCellAnchor>
  <xdr:twoCellAnchor>
    <xdr:from>
      <xdr:col>12</xdr:col>
      <xdr:colOff>162719</xdr:colOff>
      <xdr:row>0</xdr:row>
      <xdr:rowOff>47627</xdr:rowOff>
    </xdr:from>
    <xdr:to>
      <xdr:col>17</xdr:col>
      <xdr:colOff>127000</xdr:colOff>
      <xdr:row>1</xdr:row>
      <xdr:rowOff>145127</xdr:rowOff>
    </xdr:to>
    <xdr:sp macro="[0]!exportCC" textlink="">
      <xdr:nvSpPr>
        <xdr:cNvPr id="7" name="Rectangle: Rounded Corners 6">
          <a:extLst>
            <a:ext uri="{FF2B5EF4-FFF2-40B4-BE49-F238E27FC236}">
              <a16:creationId xmlns:a16="http://schemas.microsoft.com/office/drawing/2014/main" id="{00000000-0008-0000-1700-000007000000}"/>
            </a:ext>
          </a:extLst>
        </xdr:cNvPr>
        <xdr:cNvSpPr/>
      </xdr:nvSpPr>
      <xdr:spPr>
        <a:xfrm>
          <a:off x="5366090" y="47627"/>
          <a:ext cx="1080067" cy="282557"/>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In ra PDF</a:t>
          </a:r>
        </a:p>
      </xdr:txBody>
    </xdr:sp>
    <xdr:clientData/>
  </xdr:twoCellAnchor>
  <xdr:twoCellAnchor>
    <xdr:from>
      <xdr:col>18</xdr:col>
      <xdr:colOff>26194</xdr:colOff>
      <xdr:row>0</xdr:row>
      <xdr:rowOff>47627</xdr:rowOff>
    </xdr:from>
    <xdr:to>
      <xdr:col>22</xdr:col>
      <xdr:colOff>200025</xdr:colOff>
      <xdr:row>1</xdr:row>
      <xdr:rowOff>145127</xdr:rowOff>
    </xdr:to>
    <xdr:sp macro="[0]!autoExportBCC" textlink="">
      <xdr:nvSpPr>
        <xdr:cNvPr id="8" name="Rectangle: Rounded Corners 7">
          <a:extLst>
            <a:ext uri="{FF2B5EF4-FFF2-40B4-BE49-F238E27FC236}">
              <a16:creationId xmlns:a16="http://schemas.microsoft.com/office/drawing/2014/main" id="{00000000-0008-0000-1700-000008000000}"/>
            </a:ext>
          </a:extLst>
        </xdr:cNvPr>
        <xdr:cNvSpPr/>
      </xdr:nvSpPr>
      <xdr:spPr>
        <a:xfrm>
          <a:off x="6188869" y="47627"/>
          <a:ext cx="1012031" cy="288000"/>
        </a:xfrm>
        <a:prstGeom prst="roundRect">
          <a:avLst/>
        </a:pr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800" b="1"/>
            <a:t>In </a:t>
          </a:r>
          <a:r>
            <a:rPr lang="en-US" sz="800" b="1" baseline="0"/>
            <a:t>tự động</a:t>
          </a:r>
          <a:endParaRPr lang="en-US" sz="800" b="1"/>
        </a:p>
      </xdr:txBody>
    </xdr:sp>
    <xdr:clientData/>
  </xdr:twoCellAnchor>
  <xdr:twoCellAnchor editAs="absolute">
    <xdr:from>
      <xdr:col>26</xdr:col>
      <xdr:colOff>136073</xdr:colOff>
      <xdr:row>0</xdr:row>
      <xdr:rowOff>0</xdr:rowOff>
    </xdr:from>
    <xdr:to>
      <xdr:col>32</xdr:col>
      <xdr:colOff>38101</xdr:colOff>
      <xdr:row>2</xdr:row>
      <xdr:rowOff>114300</xdr:rowOff>
    </xdr:to>
    <xdr:sp macro="[0]!Info.Q_Info" textlink="">
      <xdr:nvSpPr>
        <xdr:cNvPr id="9" name="Arrow: Left 8">
          <a:extLst>
            <a:ext uri="{FF2B5EF4-FFF2-40B4-BE49-F238E27FC236}">
              <a16:creationId xmlns:a16="http://schemas.microsoft.com/office/drawing/2014/main" id="{00000000-0008-0000-1700-000009000000}"/>
            </a:ext>
          </a:extLst>
        </xdr:cNvPr>
        <xdr:cNvSpPr/>
      </xdr:nvSpPr>
      <xdr:spPr>
        <a:xfrm>
          <a:off x="8463644" y="0"/>
          <a:ext cx="1240971" cy="484414"/>
        </a:xfrm>
        <a:prstGeom prst="leftArrow">
          <a:avLst>
            <a:gd name="adj1" fmla="val 57071"/>
            <a:gd name="adj2" fmla="val 58362"/>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Back to INFO</a:t>
          </a:r>
        </a:p>
      </xdr:txBody>
    </xdr:sp>
    <xdr:clientData fPrintsWithSheet="0"/>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186417</xdr:colOff>
      <xdr:row>0</xdr:row>
      <xdr:rowOff>112140</xdr:rowOff>
    </xdr:from>
    <xdr:to>
      <xdr:col>0</xdr:col>
      <xdr:colOff>1065510</xdr:colOff>
      <xdr:row>2</xdr:row>
      <xdr:rowOff>787</xdr:rowOff>
    </xdr:to>
    <xdr:sp macro="[0]!TongTN" textlink="">
      <xdr:nvSpPr>
        <xdr:cNvPr id="3" name="Rectangle: Rounded Corners 2">
          <a:extLst>
            <a:ext uri="{FF2B5EF4-FFF2-40B4-BE49-F238E27FC236}">
              <a16:creationId xmlns:a16="http://schemas.microsoft.com/office/drawing/2014/main" id="{00000000-0008-0000-1800-000003000000}"/>
            </a:ext>
          </a:extLst>
        </xdr:cNvPr>
        <xdr:cNvSpPr/>
      </xdr:nvSpPr>
      <xdr:spPr>
        <a:xfrm>
          <a:off x="187779" y="112140"/>
          <a:ext cx="877731" cy="25876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Tổng</a:t>
          </a:r>
          <a:r>
            <a:rPr lang="en-US" sz="1100" baseline="0"/>
            <a:t> TN</a:t>
          </a:r>
          <a:endParaRPr lang="en-US" sz="1100"/>
        </a:p>
      </xdr:txBody>
    </xdr:sp>
    <xdr:clientData/>
  </xdr:twoCellAnchor>
  <xdr:twoCellAnchor editAs="absolute">
    <xdr:from>
      <xdr:col>0</xdr:col>
      <xdr:colOff>1168881</xdr:colOff>
      <xdr:row>0</xdr:row>
      <xdr:rowOff>103361</xdr:rowOff>
    </xdr:from>
    <xdr:to>
      <xdr:col>0</xdr:col>
      <xdr:colOff>2059323</xdr:colOff>
      <xdr:row>2</xdr:row>
      <xdr:rowOff>8884</xdr:rowOff>
    </xdr:to>
    <xdr:sp macro="[0]!TongTNCT" textlink="">
      <xdr:nvSpPr>
        <xdr:cNvPr id="4" name="Rectangle: Rounded Corners 3">
          <a:extLst>
            <a:ext uri="{FF2B5EF4-FFF2-40B4-BE49-F238E27FC236}">
              <a16:creationId xmlns:a16="http://schemas.microsoft.com/office/drawing/2014/main" id="{00000000-0008-0000-1800-000004000000}"/>
            </a:ext>
          </a:extLst>
        </xdr:cNvPr>
        <xdr:cNvSpPr/>
      </xdr:nvSpPr>
      <xdr:spPr>
        <a:xfrm>
          <a:off x="1171594" y="106074"/>
          <a:ext cx="883644" cy="270892"/>
        </a:xfrm>
        <a:prstGeom prst="roundRect">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TNCT</a:t>
          </a:r>
        </a:p>
      </xdr:txBody>
    </xdr:sp>
    <xdr:clientData/>
  </xdr:twoCellAnchor>
  <xdr:twoCellAnchor editAs="absolute">
    <xdr:from>
      <xdr:col>1</xdr:col>
      <xdr:colOff>101135</xdr:colOff>
      <xdr:row>0</xdr:row>
      <xdr:rowOff>101898</xdr:rowOff>
    </xdr:from>
    <xdr:to>
      <xdr:col>1</xdr:col>
      <xdr:colOff>948443</xdr:colOff>
      <xdr:row>2</xdr:row>
      <xdr:rowOff>11029</xdr:rowOff>
    </xdr:to>
    <xdr:sp macro="[0]!TongTNCN" textlink="">
      <xdr:nvSpPr>
        <xdr:cNvPr id="5" name="Rectangle: Rounded Corners 4">
          <a:extLst>
            <a:ext uri="{FF2B5EF4-FFF2-40B4-BE49-F238E27FC236}">
              <a16:creationId xmlns:a16="http://schemas.microsoft.com/office/drawing/2014/main" id="{00000000-0008-0000-1800-000005000000}"/>
            </a:ext>
          </a:extLst>
        </xdr:cNvPr>
        <xdr:cNvSpPr/>
      </xdr:nvSpPr>
      <xdr:spPr>
        <a:xfrm>
          <a:off x="2169417" y="104611"/>
          <a:ext cx="824593" cy="273819"/>
        </a:xfrm>
        <a:prstGeom prst="roundRect">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Thuế</a:t>
          </a:r>
          <a:r>
            <a:rPr lang="en-US" sz="1100" baseline="0"/>
            <a:t> TNCN</a:t>
          </a:r>
          <a:endParaRPr lang="en-US" sz="1100"/>
        </a:p>
      </xdr:txBody>
    </xdr:sp>
    <xdr:clientData/>
  </xdr:twoCellAnchor>
  <xdr:twoCellAnchor editAs="absolute">
    <xdr:from>
      <xdr:col>2</xdr:col>
      <xdr:colOff>92380</xdr:colOff>
      <xdr:row>0</xdr:row>
      <xdr:rowOff>103259</xdr:rowOff>
    </xdr:from>
    <xdr:to>
      <xdr:col>2</xdr:col>
      <xdr:colOff>942395</xdr:colOff>
      <xdr:row>2</xdr:row>
      <xdr:rowOff>8987</xdr:rowOff>
    </xdr:to>
    <xdr:sp macro="[0]!TongBH" textlink="">
      <xdr:nvSpPr>
        <xdr:cNvPr id="6" name="Rectangle: Rounded Corners 5">
          <a:extLst>
            <a:ext uri="{FF2B5EF4-FFF2-40B4-BE49-F238E27FC236}">
              <a16:creationId xmlns:a16="http://schemas.microsoft.com/office/drawing/2014/main" id="{00000000-0008-0000-1800-000006000000}"/>
            </a:ext>
          </a:extLst>
        </xdr:cNvPr>
        <xdr:cNvSpPr/>
      </xdr:nvSpPr>
      <xdr:spPr>
        <a:xfrm>
          <a:off x="3110178" y="105972"/>
          <a:ext cx="864363" cy="271097"/>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a:t>BH NLĐ</a:t>
          </a:r>
        </a:p>
      </xdr:txBody>
    </xdr:sp>
    <xdr:clientData/>
  </xdr:twoCellAnchor>
  <xdr:twoCellAnchor editAs="absolute">
    <xdr:from>
      <xdr:col>4</xdr:col>
      <xdr:colOff>52976</xdr:colOff>
      <xdr:row>0</xdr:row>
      <xdr:rowOff>101901</xdr:rowOff>
    </xdr:from>
    <xdr:to>
      <xdr:col>4</xdr:col>
      <xdr:colOff>956464</xdr:colOff>
      <xdr:row>2</xdr:row>
      <xdr:rowOff>11026</xdr:rowOff>
    </xdr:to>
    <xdr:sp macro="[0]!ThucTra" textlink="">
      <xdr:nvSpPr>
        <xdr:cNvPr id="8" name="Rectangle: Rounded Corners 7">
          <a:extLst>
            <a:ext uri="{FF2B5EF4-FFF2-40B4-BE49-F238E27FC236}">
              <a16:creationId xmlns:a16="http://schemas.microsoft.com/office/drawing/2014/main" id="{00000000-0008-0000-1800-000008000000}"/>
            </a:ext>
          </a:extLst>
        </xdr:cNvPr>
        <xdr:cNvSpPr/>
      </xdr:nvSpPr>
      <xdr:spPr>
        <a:xfrm>
          <a:off x="5072779" y="104614"/>
          <a:ext cx="884773" cy="273813"/>
        </a:xfrm>
        <a:prstGeom prst="roundRect">
          <a:avLst/>
        </a:prstGeom>
        <a:solidFill>
          <a:srgbClr val="7030A0"/>
        </a:solid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Thực</a:t>
          </a:r>
          <a:r>
            <a:rPr lang="en-US" sz="1100" baseline="0"/>
            <a:t> trả</a:t>
          </a:r>
          <a:endParaRPr lang="en-US" sz="1100"/>
        </a:p>
      </xdr:txBody>
    </xdr:sp>
    <xdr:clientData/>
  </xdr:twoCellAnchor>
  <mc:AlternateContent xmlns:mc="http://schemas.openxmlformats.org/markup-compatibility/2006">
    <mc:Choice xmlns:a14="http://schemas.microsoft.com/office/drawing/2010/main" Requires="a14">
      <xdr:twoCellAnchor editAs="absolute">
        <xdr:from>
          <xdr:col>0</xdr:col>
          <xdr:colOff>168415</xdr:colOff>
          <xdr:row>22</xdr:row>
          <xdr:rowOff>22760</xdr:rowOff>
        </xdr:from>
        <xdr:to>
          <xdr:col>2</xdr:col>
          <xdr:colOff>628356</xdr:colOff>
          <xdr:row>36</xdr:row>
          <xdr:rowOff>107</xdr:rowOff>
        </xdr:to>
        <xdr:pic>
          <xdr:nvPicPr>
            <xdr:cNvPr id="11" name="Picture 10">
              <a:extLst>
                <a:ext uri="{FF2B5EF4-FFF2-40B4-BE49-F238E27FC236}">
                  <a16:creationId xmlns:a16="http://schemas.microsoft.com/office/drawing/2014/main" id="{00000000-0008-0000-1800-00000B000000}"/>
                </a:ext>
              </a:extLst>
            </xdr:cNvPr>
            <xdr:cNvPicPr>
              <a:picLocks noChangeAspect="1" noChangeArrowheads="1"/>
              <a:extLst>
                <a:ext uri="{84589F7E-364E-4C9E-8A38-B11213B215E9}">
                  <a14:cameraTool cellRange="$CS$12:$CV$23" spid="_x0000_s54218"/>
                </a:ext>
              </a:extLst>
            </xdr:cNvPicPr>
          </xdr:nvPicPr>
          <xdr:blipFill>
            <a:blip xmlns:r="http://schemas.openxmlformats.org/officeDocument/2006/relationships" r:embed="rId1"/>
            <a:stretch>
              <a:fillRect/>
            </a:stretch>
          </xdr:blipFill>
          <xdr:spPr bwMode="auto">
            <a:xfrm>
              <a:off x="158899" y="3264477"/>
              <a:ext cx="3291630" cy="2636181"/>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0</xdr:col>
      <xdr:colOff>0</xdr:colOff>
      <xdr:row>11</xdr:row>
      <xdr:rowOff>40961</xdr:rowOff>
    </xdr:from>
    <xdr:to>
      <xdr:col>0</xdr:col>
      <xdr:colOff>582873</xdr:colOff>
      <xdr:row>11</xdr:row>
      <xdr:rowOff>291545</xdr:rowOff>
    </xdr:to>
    <xdr:sp macro="" textlink="">
      <xdr:nvSpPr>
        <xdr:cNvPr id="12" name="TextBox 11">
          <a:extLst>
            <a:ext uri="{FF2B5EF4-FFF2-40B4-BE49-F238E27FC236}">
              <a16:creationId xmlns:a16="http://schemas.microsoft.com/office/drawing/2014/main" id="{00000000-0008-0000-1800-00000C000000}"/>
            </a:ext>
          </a:extLst>
        </xdr:cNvPr>
        <xdr:cNvSpPr txBox="1"/>
      </xdr:nvSpPr>
      <xdr:spPr>
        <a:xfrm>
          <a:off x="0" y="869636"/>
          <a:ext cx="582873" cy="250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Tháng:</a:t>
          </a:r>
        </a:p>
      </xdr:txBody>
    </xdr:sp>
    <xdr:clientData/>
  </xdr:twoCellAnchor>
  <xdr:twoCellAnchor>
    <xdr:from>
      <xdr:col>7</xdr:col>
      <xdr:colOff>372341</xdr:colOff>
      <xdr:row>21</xdr:row>
      <xdr:rowOff>37418</xdr:rowOff>
    </xdr:from>
    <xdr:to>
      <xdr:col>14</xdr:col>
      <xdr:colOff>0</xdr:colOff>
      <xdr:row>35</xdr:row>
      <xdr:rowOff>144691</xdr:rowOff>
    </xdr:to>
    <xdr:graphicFrame macro="">
      <xdr:nvGraphicFramePr>
        <xdr:cNvPr id="13" name="Chart 12">
          <a:extLst>
            <a:ext uri="{FF2B5EF4-FFF2-40B4-BE49-F238E27FC236}">
              <a16:creationId xmlns:a16="http://schemas.microsoft.com/office/drawing/2014/main" id="{00000000-0008-0000-1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59</xdr:col>
      <xdr:colOff>93887</xdr:colOff>
      <xdr:row>21</xdr:row>
      <xdr:rowOff>37956</xdr:rowOff>
    </xdr:from>
    <xdr:to>
      <xdr:col>66</xdr:col>
      <xdr:colOff>0</xdr:colOff>
      <xdr:row>35</xdr:row>
      <xdr:rowOff>168848</xdr:rowOff>
    </xdr:to>
    <xdr:graphicFrame macro="">
      <xdr:nvGraphicFramePr>
        <xdr:cNvPr id="15" name="Chart 14">
          <a:extLst>
            <a:ext uri="{FF2B5EF4-FFF2-40B4-BE49-F238E27FC236}">
              <a16:creationId xmlns:a16="http://schemas.microsoft.com/office/drawing/2014/main" id="{00000000-0008-0000-1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xdr:col>
      <xdr:colOff>57159</xdr:colOff>
      <xdr:row>0</xdr:row>
      <xdr:rowOff>101898</xdr:rowOff>
    </xdr:from>
    <xdr:to>
      <xdr:col>3</xdr:col>
      <xdr:colOff>946379</xdr:colOff>
      <xdr:row>2</xdr:row>
      <xdr:rowOff>11028</xdr:rowOff>
    </xdr:to>
    <xdr:sp macro="[0]!TongBH_DN" textlink="">
      <xdr:nvSpPr>
        <xdr:cNvPr id="14" name="Rectangle: Rounded Corners 13">
          <a:extLst>
            <a:ext uri="{FF2B5EF4-FFF2-40B4-BE49-F238E27FC236}">
              <a16:creationId xmlns:a16="http://schemas.microsoft.com/office/drawing/2014/main" id="{00000000-0008-0000-1800-00000E000000}"/>
            </a:ext>
          </a:extLst>
        </xdr:cNvPr>
        <xdr:cNvSpPr/>
      </xdr:nvSpPr>
      <xdr:spPr>
        <a:xfrm>
          <a:off x="4099636" y="104611"/>
          <a:ext cx="888876" cy="273818"/>
        </a:xfrm>
        <a:prstGeom prst="roundRect">
          <a:avLst/>
        </a:prstGeom>
        <a:solidFill>
          <a:schemeClr val="accent6">
            <a:lumMod val="75000"/>
          </a:schemeClr>
        </a:solidFill>
        <a:ln>
          <a:solidFill>
            <a:schemeClr val="accent6">
              <a:lumMod val="50000"/>
            </a:schemeClr>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a:t>BH DN</a:t>
          </a:r>
        </a:p>
      </xdr:txBody>
    </xdr:sp>
    <xdr:clientData/>
  </xdr:twoCellAnchor>
  <mc:AlternateContent xmlns:mc="http://schemas.openxmlformats.org/markup-compatibility/2006">
    <mc:Choice xmlns:a14="http://schemas.microsoft.com/office/drawing/2010/main" Requires="a14">
      <xdr:twoCellAnchor editAs="absolute">
        <xdr:from>
          <xdr:col>0</xdr:col>
          <xdr:colOff>166974</xdr:colOff>
          <xdr:row>36</xdr:row>
          <xdr:rowOff>114222</xdr:rowOff>
        </xdr:from>
        <xdr:to>
          <xdr:col>2</xdr:col>
          <xdr:colOff>617962</xdr:colOff>
          <xdr:row>47</xdr:row>
          <xdr:rowOff>128473</xdr:rowOff>
        </xdr:to>
        <xdr:pic>
          <xdr:nvPicPr>
            <xdr:cNvPr id="17" name="Picture 16">
              <a:extLst>
                <a:ext uri="{FF2B5EF4-FFF2-40B4-BE49-F238E27FC236}">
                  <a16:creationId xmlns:a16="http://schemas.microsoft.com/office/drawing/2014/main" id="{00000000-0008-0000-1800-000011000000}"/>
                </a:ext>
              </a:extLst>
            </xdr:cNvPr>
            <xdr:cNvPicPr>
              <a:picLocks noChangeArrowheads="1"/>
              <a:extLst>
                <a:ext uri="{84589F7E-364E-4C9E-8A38-B11213B215E9}">
                  <a14:cameraTool cellRange="$CS$27:$CV$37" spid="_x0000_s54219"/>
                </a:ext>
              </a:extLst>
            </xdr:cNvPicPr>
          </xdr:nvPicPr>
          <xdr:blipFill>
            <a:blip xmlns:r="http://schemas.openxmlformats.org/officeDocument/2006/relationships" r:embed="rId4"/>
            <a:stretch>
              <a:fillRect/>
            </a:stretch>
          </xdr:blipFill>
          <xdr:spPr bwMode="auto">
            <a:xfrm>
              <a:off x="162220" y="5965293"/>
              <a:ext cx="3479051" cy="2045126"/>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268457</xdr:colOff>
          <xdr:row>36</xdr:row>
          <xdr:rowOff>126676</xdr:rowOff>
        </xdr:from>
        <xdr:to>
          <xdr:col>7</xdr:col>
          <xdr:colOff>14901</xdr:colOff>
          <xdr:row>47</xdr:row>
          <xdr:rowOff>125318</xdr:rowOff>
        </xdr:to>
        <xdr:pic>
          <xdr:nvPicPr>
            <xdr:cNvPr id="18" name="Picture 17">
              <a:extLst>
                <a:ext uri="{FF2B5EF4-FFF2-40B4-BE49-F238E27FC236}">
                  <a16:creationId xmlns:a16="http://schemas.microsoft.com/office/drawing/2014/main" id="{00000000-0008-0000-1800-000012000000}"/>
                </a:ext>
              </a:extLst>
            </xdr:cNvPr>
            <xdr:cNvPicPr>
              <a:picLocks noChangeAspect="1" noChangeArrowheads="1"/>
              <a:extLst>
                <a:ext uri="{84589F7E-364E-4C9E-8A38-B11213B215E9}">
                  <a14:cameraTool cellRange="$CS$39:$CV$49" spid="_x0000_s54220"/>
                </a:ext>
              </a:extLst>
            </xdr:cNvPicPr>
          </xdr:nvPicPr>
          <xdr:blipFill>
            <a:blip xmlns:r="http://schemas.openxmlformats.org/officeDocument/2006/relationships" r:embed="rId5"/>
            <a:stretch>
              <a:fillRect/>
            </a:stretch>
          </xdr:blipFill>
          <xdr:spPr bwMode="auto">
            <a:xfrm>
              <a:off x="4272643" y="5973673"/>
              <a:ext cx="3581107" cy="2034271"/>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538425</xdr:colOff>
          <xdr:row>36</xdr:row>
          <xdr:rowOff>127438</xdr:rowOff>
        </xdr:from>
        <xdr:to>
          <xdr:col>11</xdr:col>
          <xdr:colOff>493245</xdr:colOff>
          <xdr:row>47</xdr:row>
          <xdr:rowOff>127438</xdr:rowOff>
        </xdr:to>
        <xdr:pic>
          <xdr:nvPicPr>
            <xdr:cNvPr id="19" name="Picture 18">
              <a:extLst>
                <a:ext uri="{FF2B5EF4-FFF2-40B4-BE49-F238E27FC236}">
                  <a16:creationId xmlns:a16="http://schemas.microsoft.com/office/drawing/2014/main" id="{00000000-0008-0000-1800-000013000000}"/>
                </a:ext>
              </a:extLst>
            </xdr:cNvPr>
            <xdr:cNvPicPr>
              <a:picLocks noChangeAspect="1" noChangeArrowheads="1"/>
              <a:extLst>
                <a:ext uri="{84589F7E-364E-4C9E-8A38-B11213B215E9}">
                  <a14:cameraTool cellRange="$CS$51:$CV$61" spid="_x0000_s54221"/>
                </a:ext>
              </a:extLst>
            </xdr:cNvPicPr>
          </xdr:nvPicPr>
          <xdr:blipFill>
            <a:blip xmlns:r="http://schemas.openxmlformats.org/officeDocument/2006/relationships" r:embed="rId6"/>
            <a:stretch>
              <a:fillRect/>
            </a:stretch>
          </xdr:blipFill>
          <xdr:spPr bwMode="auto">
            <a:xfrm>
              <a:off x="8363197" y="5974435"/>
              <a:ext cx="3812474" cy="2035629"/>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absolute">
    <xdr:from>
      <xdr:col>1</xdr:col>
      <xdr:colOff>470188</xdr:colOff>
      <xdr:row>11</xdr:row>
      <xdr:rowOff>59174</xdr:rowOff>
    </xdr:from>
    <xdr:to>
      <xdr:col>2</xdr:col>
      <xdr:colOff>553939</xdr:colOff>
      <xdr:row>12</xdr:row>
      <xdr:rowOff>372</xdr:rowOff>
    </xdr:to>
    <xdr:sp macro="" textlink="">
      <xdr:nvSpPr>
        <xdr:cNvPr id="2" name="Arrow: Left 1">
          <a:extLst>
            <a:ext uri="{FF2B5EF4-FFF2-40B4-BE49-F238E27FC236}">
              <a16:creationId xmlns:a16="http://schemas.microsoft.com/office/drawing/2014/main" id="{00000000-0008-0000-1800-000002000000}"/>
            </a:ext>
          </a:extLst>
        </xdr:cNvPr>
        <xdr:cNvSpPr/>
      </xdr:nvSpPr>
      <xdr:spPr>
        <a:xfrm>
          <a:off x="2533035" y="846349"/>
          <a:ext cx="1045850" cy="296652"/>
        </a:xfrm>
        <a:prstGeom prst="leftArrow">
          <a:avLst>
            <a:gd name="adj1" fmla="val 62947"/>
            <a:gd name="adj2" fmla="val 57707"/>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100" b="1"/>
            <a:t>Chọn</a:t>
          </a:r>
          <a:r>
            <a:rPr lang="en-US" sz="1100" b="1" baseline="0"/>
            <a:t> tháng</a:t>
          </a:r>
        </a:p>
      </xdr:txBody>
    </xdr:sp>
    <xdr:clientData/>
  </xdr:twoCellAnchor>
  <xdr:twoCellAnchor>
    <xdr:from>
      <xdr:col>71</xdr:col>
      <xdr:colOff>804334</xdr:colOff>
      <xdr:row>21</xdr:row>
      <xdr:rowOff>37934</xdr:rowOff>
    </xdr:from>
    <xdr:to>
      <xdr:col>79</xdr:col>
      <xdr:colOff>2</xdr:colOff>
      <xdr:row>35</xdr:row>
      <xdr:rowOff>172054</xdr:rowOff>
    </xdr:to>
    <xdr:graphicFrame macro="">
      <xdr:nvGraphicFramePr>
        <xdr:cNvPr id="7" name="Chart 6">
          <a:extLst>
            <a:ext uri="{FF2B5EF4-FFF2-40B4-BE49-F238E27FC236}">
              <a16:creationId xmlns:a16="http://schemas.microsoft.com/office/drawing/2014/main" id="{00000000-0008-0000-1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25</xdr:row>
          <xdr:rowOff>19050</xdr:rowOff>
        </xdr:from>
        <xdr:to>
          <xdr:col>1</xdr:col>
          <xdr:colOff>1047750</xdr:colOff>
          <xdr:row>25</xdr:row>
          <xdr:rowOff>323850</xdr:rowOff>
        </xdr:to>
        <xdr:sp macro="" textlink="">
          <xdr:nvSpPr>
            <xdr:cNvPr id="31746" name="Scroll Bar 2" hidden="1">
              <a:extLst>
                <a:ext uri="{63B3BB69-23CF-44E3-9099-C40C66FF867C}">
                  <a14:compatExt spid="_x0000_s31746"/>
                </a:ext>
                <a:ext uri="{FF2B5EF4-FFF2-40B4-BE49-F238E27FC236}">
                  <a16:creationId xmlns:a16="http://schemas.microsoft.com/office/drawing/2014/main" id="{00000000-0008-0000-1900-0000027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absolute">
    <xdr:from>
      <xdr:col>0</xdr:col>
      <xdr:colOff>359228</xdr:colOff>
      <xdr:row>0</xdr:row>
      <xdr:rowOff>43543</xdr:rowOff>
    </xdr:from>
    <xdr:to>
      <xdr:col>1</xdr:col>
      <xdr:colOff>952499</xdr:colOff>
      <xdr:row>2</xdr:row>
      <xdr:rowOff>157843</xdr:rowOff>
    </xdr:to>
    <xdr:sp macro="[0]!Info.Q_Info" textlink="">
      <xdr:nvSpPr>
        <xdr:cNvPr id="3" name="Arrow: Left 2">
          <a:extLst>
            <a:ext uri="{FF2B5EF4-FFF2-40B4-BE49-F238E27FC236}">
              <a16:creationId xmlns:a16="http://schemas.microsoft.com/office/drawing/2014/main" id="{00000000-0008-0000-1900-000003000000}"/>
            </a:ext>
          </a:extLst>
        </xdr:cNvPr>
        <xdr:cNvSpPr/>
      </xdr:nvSpPr>
      <xdr:spPr>
        <a:xfrm>
          <a:off x="359228" y="43543"/>
          <a:ext cx="1240971" cy="484414"/>
        </a:xfrm>
        <a:prstGeom prst="leftArrow">
          <a:avLst>
            <a:gd name="adj1" fmla="val 57071"/>
            <a:gd name="adj2" fmla="val 58362"/>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Back to INFO</a:t>
          </a:r>
        </a:p>
      </xdr:txBody>
    </xdr:sp>
    <xdr:clientData fPrintsWithSheet="0"/>
  </xdr:twoCellAnchor>
</xdr:wsDr>
</file>

<file path=xl/drawings/drawing24.xml><?xml version="1.0" encoding="utf-8"?>
<xdr:wsDr xmlns:xdr="http://schemas.openxmlformats.org/drawingml/2006/spreadsheetDrawing" xmlns:a="http://schemas.openxmlformats.org/drawingml/2006/main">
  <xdr:twoCellAnchor editAs="absolute">
    <xdr:from>
      <xdr:col>0</xdr:col>
      <xdr:colOff>38100</xdr:colOff>
      <xdr:row>0</xdr:row>
      <xdr:rowOff>50327</xdr:rowOff>
    </xdr:from>
    <xdr:to>
      <xdr:col>0</xdr:col>
      <xdr:colOff>1276350</xdr:colOff>
      <xdr:row>3</xdr:row>
      <xdr:rowOff>164627</xdr:rowOff>
    </xdr:to>
    <xdr:sp macro="[0]!Info.Q_Info" textlink="">
      <xdr:nvSpPr>
        <xdr:cNvPr id="2" name="Arrow: Left 1">
          <a:extLst>
            <a:ext uri="{FF2B5EF4-FFF2-40B4-BE49-F238E27FC236}">
              <a16:creationId xmlns:a16="http://schemas.microsoft.com/office/drawing/2014/main" id="{00000000-0008-0000-1A00-000002000000}"/>
            </a:ext>
          </a:extLst>
        </xdr:cNvPr>
        <xdr:cNvSpPr/>
      </xdr:nvSpPr>
      <xdr:spPr>
        <a:xfrm>
          <a:off x="38100" y="48986"/>
          <a:ext cx="1240971" cy="484414"/>
        </a:xfrm>
        <a:prstGeom prst="leftArrow">
          <a:avLst>
            <a:gd name="adj1" fmla="val 57071"/>
            <a:gd name="adj2" fmla="val 58362"/>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Back to INFO</a:t>
          </a:r>
        </a:p>
      </xdr:txBody>
    </xdr:sp>
    <xdr:clientData fPrintsWithSheet="0"/>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328471</xdr:colOff>
      <xdr:row>0</xdr:row>
      <xdr:rowOff>11341</xdr:rowOff>
    </xdr:from>
    <xdr:to>
      <xdr:col>2</xdr:col>
      <xdr:colOff>62125</xdr:colOff>
      <xdr:row>2</xdr:row>
      <xdr:rowOff>126240</xdr:rowOff>
    </xdr:to>
    <xdr:sp macro="[0]!Info.Q_Info" textlink="">
      <xdr:nvSpPr>
        <xdr:cNvPr id="3" name="Arrow: Left 2">
          <a:extLst>
            <a:ext uri="{FF2B5EF4-FFF2-40B4-BE49-F238E27FC236}">
              <a16:creationId xmlns:a16="http://schemas.microsoft.com/office/drawing/2014/main" id="{00000000-0008-0000-1B00-000003000000}"/>
            </a:ext>
          </a:extLst>
        </xdr:cNvPr>
        <xdr:cNvSpPr/>
      </xdr:nvSpPr>
      <xdr:spPr>
        <a:xfrm>
          <a:off x="644156" y="9988"/>
          <a:ext cx="1240971" cy="484414"/>
        </a:xfrm>
        <a:prstGeom prst="leftArrow">
          <a:avLst>
            <a:gd name="adj1" fmla="val 57071"/>
            <a:gd name="adj2" fmla="val 58362"/>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Back to INFO</a:t>
          </a:r>
        </a:p>
      </xdr:txBody>
    </xdr:sp>
    <xdr:clientData fPrintsWithSheet="0"/>
  </xdr:twoCellAnchor>
  <xdr:twoCellAnchor>
    <xdr:from>
      <xdr:col>1</xdr:col>
      <xdr:colOff>612858</xdr:colOff>
      <xdr:row>5</xdr:row>
      <xdr:rowOff>17992</xdr:rowOff>
    </xdr:from>
    <xdr:to>
      <xdr:col>1</xdr:col>
      <xdr:colOff>1052752</xdr:colOff>
      <xdr:row>9</xdr:row>
      <xdr:rowOff>13495</xdr:rowOff>
    </xdr:to>
    <xdr:sp macro="[0]!moveLeft" textlink="">
      <xdr:nvSpPr>
        <xdr:cNvPr id="2" name="Arrow: Right 1">
          <a:extLst>
            <a:ext uri="{FF2B5EF4-FFF2-40B4-BE49-F238E27FC236}">
              <a16:creationId xmlns:a16="http://schemas.microsoft.com/office/drawing/2014/main" id="{00000000-0008-0000-1B00-000002000000}"/>
            </a:ext>
          </a:extLst>
        </xdr:cNvPr>
        <xdr:cNvSpPr/>
      </xdr:nvSpPr>
      <xdr:spPr>
        <a:xfrm>
          <a:off x="1265101" y="1223518"/>
          <a:ext cx="439894" cy="548784"/>
        </a:xfrm>
        <a:prstGeom prst="rightArrow">
          <a:avLst>
            <a:gd name="adj1" fmla="val 68853"/>
            <a:gd name="adj2" fmla="val 5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130449</xdr:colOff>
      <xdr:row>5</xdr:row>
      <xdr:rowOff>17992</xdr:rowOff>
    </xdr:from>
    <xdr:to>
      <xdr:col>1</xdr:col>
      <xdr:colOff>575774</xdr:colOff>
      <xdr:row>9</xdr:row>
      <xdr:rowOff>13495</xdr:rowOff>
    </xdr:to>
    <xdr:sp macro="[0]!moveRight" textlink="">
      <xdr:nvSpPr>
        <xdr:cNvPr id="5" name="Arrow: Right 4">
          <a:extLst>
            <a:ext uri="{FF2B5EF4-FFF2-40B4-BE49-F238E27FC236}">
              <a16:creationId xmlns:a16="http://schemas.microsoft.com/office/drawing/2014/main" id="{00000000-0008-0000-1B00-000005000000}"/>
            </a:ext>
          </a:extLst>
        </xdr:cNvPr>
        <xdr:cNvSpPr/>
      </xdr:nvSpPr>
      <xdr:spPr>
        <a:xfrm flipH="1">
          <a:off x="782692" y="1223518"/>
          <a:ext cx="445325" cy="548784"/>
        </a:xfrm>
        <a:prstGeom prst="rightArrow">
          <a:avLst>
            <a:gd name="adj1" fmla="val 68853"/>
            <a:gd name="adj2" fmla="val 5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0</xdr:col>
      <xdr:colOff>179614</xdr:colOff>
      <xdr:row>0</xdr:row>
      <xdr:rowOff>21772</xdr:rowOff>
    </xdr:from>
    <xdr:to>
      <xdr:col>1</xdr:col>
      <xdr:colOff>767442</xdr:colOff>
      <xdr:row>2</xdr:row>
      <xdr:rowOff>136072</xdr:rowOff>
    </xdr:to>
    <xdr:sp macro="[0]!Info.Q_Info" textlink="">
      <xdr:nvSpPr>
        <xdr:cNvPr id="2" name="Arrow: Left 1">
          <a:extLst>
            <a:ext uri="{FF2B5EF4-FFF2-40B4-BE49-F238E27FC236}">
              <a16:creationId xmlns:a16="http://schemas.microsoft.com/office/drawing/2014/main" id="{00000000-0008-0000-1C00-000002000000}"/>
            </a:ext>
          </a:extLst>
        </xdr:cNvPr>
        <xdr:cNvSpPr/>
      </xdr:nvSpPr>
      <xdr:spPr>
        <a:xfrm>
          <a:off x="179614" y="21772"/>
          <a:ext cx="1240971" cy="484414"/>
        </a:xfrm>
        <a:prstGeom prst="leftArrow">
          <a:avLst>
            <a:gd name="adj1" fmla="val 57071"/>
            <a:gd name="adj2" fmla="val 58362"/>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Back to INFO</a:t>
          </a:r>
        </a:p>
      </xdr:txBody>
    </xdr:sp>
    <xdr:clientData fPrintsWithSheet="0"/>
  </xdr:twoCellAnchor>
</xdr:wsDr>
</file>

<file path=xl/drawings/drawing27.xml><?xml version="1.0" encoding="utf-8"?>
<xdr:wsDr xmlns:xdr="http://schemas.openxmlformats.org/drawingml/2006/spreadsheetDrawing" xmlns:a="http://schemas.openxmlformats.org/drawingml/2006/main">
  <xdr:twoCellAnchor editAs="absolute">
    <xdr:from>
      <xdr:col>0</xdr:col>
      <xdr:colOff>168730</xdr:colOff>
      <xdr:row>0</xdr:row>
      <xdr:rowOff>21772</xdr:rowOff>
    </xdr:from>
    <xdr:to>
      <xdr:col>1</xdr:col>
      <xdr:colOff>947058</xdr:colOff>
      <xdr:row>2</xdr:row>
      <xdr:rowOff>136072</xdr:rowOff>
    </xdr:to>
    <xdr:sp macro="[0]!Info.Q_Info" textlink="">
      <xdr:nvSpPr>
        <xdr:cNvPr id="2" name="Arrow: Left 1">
          <a:extLst>
            <a:ext uri="{FF2B5EF4-FFF2-40B4-BE49-F238E27FC236}">
              <a16:creationId xmlns:a16="http://schemas.microsoft.com/office/drawing/2014/main" id="{00000000-0008-0000-1D00-000002000000}"/>
            </a:ext>
          </a:extLst>
        </xdr:cNvPr>
        <xdr:cNvSpPr/>
      </xdr:nvSpPr>
      <xdr:spPr>
        <a:xfrm>
          <a:off x="168730" y="21772"/>
          <a:ext cx="1240971" cy="484414"/>
        </a:xfrm>
        <a:prstGeom prst="leftArrow">
          <a:avLst>
            <a:gd name="adj1" fmla="val 57071"/>
            <a:gd name="adj2" fmla="val 58362"/>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Back to INFO</a:t>
          </a:r>
        </a:p>
      </xdr:txBody>
    </xdr:sp>
    <xdr:clientData fPrintsWithSheet="0"/>
  </xdr:twoCellAnchor>
</xdr:wsDr>
</file>

<file path=xl/drawings/drawing28.xml><?xml version="1.0" encoding="utf-8"?>
<xdr:wsDr xmlns:xdr="http://schemas.openxmlformats.org/drawingml/2006/spreadsheetDrawing" xmlns:a="http://schemas.openxmlformats.org/drawingml/2006/main">
  <xdr:twoCellAnchor>
    <xdr:from>
      <xdr:col>3</xdr:col>
      <xdr:colOff>666751</xdr:colOff>
      <xdr:row>6</xdr:row>
      <xdr:rowOff>114300</xdr:rowOff>
    </xdr:from>
    <xdr:to>
      <xdr:col>6</xdr:col>
      <xdr:colOff>733305</xdr:colOff>
      <xdr:row>10</xdr:row>
      <xdr:rowOff>152400</xdr:rowOff>
    </xdr:to>
    <xdr:sp macro="" textlink="">
      <xdr:nvSpPr>
        <xdr:cNvPr id="2" name="Speech Bubble: Rectangle with Corners Rounded 1">
          <a:extLst>
            <a:ext uri="{FF2B5EF4-FFF2-40B4-BE49-F238E27FC236}">
              <a16:creationId xmlns:a16="http://schemas.microsoft.com/office/drawing/2014/main" id="{00000000-0008-0000-1E00-000002000000}"/>
            </a:ext>
          </a:extLst>
        </xdr:cNvPr>
        <xdr:cNvSpPr/>
      </xdr:nvSpPr>
      <xdr:spPr>
        <a:xfrm>
          <a:off x="3000376" y="1457325"/>
          <a:ext cx="2676404" cy="914400"/>
        </a:xfrm>
        <a:prstGeom prst="wedgeRoundRectCallout">
          <a:avLst>
            <a:gd name="adj1" fmla="val 29154"/>
            <a:gd name="adj2" fmla="val 92262"/>
            <a:gd name="adj3" fmla="val 16667"/>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nchorCtr="0"/>
        <a:lstStyle/>
        <a:p>
          <a:pPr algn="just"/>
          <a:r>
            <a:rPr lang="en-US" sz="1100" b="1" u="sng"/>
            <a:t>Xác định loại thu nhập:</a:t>
          </a:r>
        </a:p>
        <a:p>
          <a:pPr algn="just"/>
          <a:r>
            <a:rPr lang="en-US" sz="1050"/>
            <a:t>- GROSS: thu nhập của</a:t>
          </a:r>
          <a:r>
            <a:rPr lang="en-US" sz="1050" baseline="0"/>
            <a:t> </a:t>
          </a:r>
          <a:r>
            <a:rPr lang="en-US" sz="1050"/>
            <a:t>NLĐ bao gồm thuế.</a:t>
          </a:r>
        </a:p>
        <a:p>
          <a:pPr algn="just"/>
          <a:r>
            <a:rPr lang="en-US" sz="1050"/>
            <a:t>- NET: thu nhập trả cho NLĐ đã trừ đi thuế (thực nhận).</a:t>
          </a:r>
        </a:p>
      </xdr:txBody>
    </xdr:sp>
    <xdr:clientData/>
  </xdr:twoCellAnchor>
  <xdr:twoCellAnchor editAs="absolute">
    <xdr:from>
      <xdr:col>0</xdr:col>
      <xdr:colOff>142878</xdr:colOff>
      <xdr:row>1</xdr:row>
      <xdr:rowOff>152401</xdr:rowOff>
    </xdr:from>
    <xdr:to>
      <xdr:col>2</xdr:col>
      <xdr:colOff>3</xdr:colOff>
      <xdr:row>3</xdr:row>
      <xdr:rowOff>200022</xdr:rowOff>
    </xdr:to>
    <xdr:sp macro="[0]!Info.Q_Info" textlink="">
      <xdr:nvSpPr>
        <xdr:cNvPr id="3" name="Arrow: Left 2">
          <a:extLst>
            <a:ext uri="{FF2B5EF4-FFF2-40B4-BE49-F238E27FC236}">
              <a16:creationId xmlns:a16="http://schemas.microsoft.com/office/drawing/2014/main" id="{00000000-0008-0000-1E00-000003000000}"/>
            </a:ext>
          </a:extLst>
        </xdr:cNvPr>
        <xdr:cNvSpPr/>
      </xdr:nvSpPr>
      <xdr:spPr>
        <a:xfrm>
          <a:off x="146957" y="402772"/>
          <a:ext cx="1240971" cy="484414"/>
        </a:xfrm>
        <a:prstGeom prst="leftArrow">
          <a:avLst>
            <a:gd name="adj1" fmla="val 57071"/>
            <a:gd name="adj2" fmla="val 58362"/>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Back to INFO</a:t>
          </a:r>
        </a:p>
      </xdr:txBody>
    </xdr:sp>
    <xdr:clientData fPrintsWithSheet="0"/>
  </xdr:twoCellAnchor>
</xdr:wsDr>
</file>

<file path=xl/drawings/drawing29.xml><?xml version="1.0" encoding="utf-8"?>
<xdr:wsDr xmlns:xdr="http://schemas.openxmlformats.org/drawingml/2006/spreadsheetDrawing" xmlns:a="http://schemas.openxmlformats.org/drawingml/2006/main">
  <xdr:twoCellAnchor>
    <xdr:from>
      <xdr:col>5</xdr:col>
      <xdr:colOff>57150</xdr:colOff>
      <xdr:row>1</xdr:row>
      <xdr:rowOff>95249</xdr:rowOff>
    </xdr:from>
    <xdr:to>
      <xdr:col>6</xdr:col>
      <xdr:colOff>85725</xdr:colOff>
      <xdr:row>1</xdr:row>
      <xdr:rowOff>828674</xdr:rowOff>
    </xdr:to>
    <xdr:sp macro="" textlink="">
      <xdr:nvSpPr>
        <xdr:cNvPr id="2" name="Speech Bubble: Rectangle with Corners Rounded 1">
          <a:extLst>
            <a:ext uri="{FF2B5EF4-FFF2-40B4-BE49-F238E27FC236}">
              <a16:creationId xmlns:a16="http://schemas.microsoft.com/office/drawing/2014/main" id="{00000000-0008-0000-1F00-000002000000}"/>
            </a:ext>
          </a:extLst>
        </xdr:cNvPr>
        <xdr:cNvSpPr/>
      </xdr:nvSpPr>
      <xdr:spPr>
        <a:xfrm>
          <a:off x="6405563" y="347662"/>
          <a:ext cx="1500187" cy="733425"/>
        </a:xfrm>
        <a:prstGeom prst="wedgeRoundRectCallou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a:t>Mức</a:t>
          </a:r>
          <a:r>
            <a:rPr lang="en-US" sz="1100" baseline="0"/>
            <a:t> lương trả cho NLĐ bao gồm thuế</a:t>
          </a:r>
          <a:endParaRPr lang="en-US" sz="1100"/>
        </a:p>
      </xdr:txBody>
    </xdr:sp>
    <xdr:clientData/>
  </xdr:twoCellAnchor>
  <xdr:twoCellAnchor>
    <xdr:from>
      <xdr:col>6</xdr:col>
      <xdr:colOff>276225</xdr:colOff>
      <xdr:row>1</xdr:row>
      <xdr:rowOff>95249</xdr:rowOff>
    </xdr:from>
    <xdr:to>
      <xdr:col>7</xdr:col>
      <xdr:colOff>323850</xdr:colOff>
      <xdr:row>1</xdr:row>
      <xdr:rowOff>828674</xdr:rowOff>
    </xdr:to>
    <xdr:sp macro="" textlink="">
      <xdr:nvSpPr>
        <xdr:cNvPr id="3" name="Speech Bubble: Rectangle with Corners Rounded 2">
          <a:extLst>
            <a:ext uri="{FF2B5EF4-FFF2-40B4-BE49-F238E27FC236}">
              <a16:creationId xmlns:a16="http://schemas.microsoft.com/office/drawing/2014/main" id="{00000000-0008-0000-1F00-000003000000}"/>
            </a:ext>
          </a:extLst>
        </xdr:cNvPr>
        <xdr:cNvSpPr/>
      </xdr:nvSpPr>
      <xdr:spPr>
        <a:xfrm>
          <a:off x="8096250" y="347662"/>
          <a:ext cx="1495425" cy="733425"/>
        </a:xfrm>
        <a:prstGeom prst="wedgeRoundRectCallou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r>
            <a:rPr lang="en-US" sz="1100"/>
            <a:t>Mức</a:t>
          </a:r>
          <a:r>
            <a:rPr lang="en-US" sz="1100" baseline="0"/>
            <a:t> lương NLĐ thực lĩnh (đã trừ thuế)</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erver\Data%20exchange\LUONG%20CAC%20NAM\BANG%20LUONG%202017\FAC\Bang%20Luong%202017%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nh_sach"/>
      <sheetName val="Nguoi_PT"/>
      <sheetName val="Bao_hiem"/>
      <sheetName val="Cham_cong"/>
      <sheetName val="Them_Gio"/>
      <sheetName val="1"/>
      <sheetName val="2"/>
      <sheetName val="3"/>
      <sheetName val="4"/>
      <sheetName val="5"/>
      <sheetName val="6"/>
      <sheetName val="7"/>
      <sheetName val="8"/>
      <sheetName val="9"/>
      <sheetName val="10"/>
      <sheetName val="11"/>
      <sheetName val="12"/>
      <sheetName val="Bieu_Thue"/>
      <sheetName val="Ke khai quy"/>
      <sheetName val="QTTNCN"/>
      <sheetName val="TN chịu thuế"/>
      <sheetName val="Thuế TNCN"/>
      <sheetName val="Tổng lương"/>
      <sheetName val="L_Thue_Ngoai"/>
      <sheetName val="DS_Thue_Ngoai"/>
      <sheetName val="Thống kê"/>
      <sheetName val="Bang Luong 2017 (v2)"/>
    </sheetNames>
    <sheetDataSet>
      <sheetData sheetId="0"/>
      <sheetData sheetId="1">
        <row r="3">
          <cell r="C3" t="str">
            <v>0103273785</v>
          </cell>
          <cell r="P3">
            <v>0</v>
          </cell>
        </row>
        <row r="4">
          <cell r="C4" t="str">
            <v>0103274475</v>
          </cell>
          <cell r="P4">
            <v>0</v>
          </cell>
        </row>
        <row r="5">
          <cell r="C5" t="str">
            <v>8350130190</v>
          </cell>
          <cell r="P5">
            <v>0</v>
          </cell>
        </row>
        <row r="6">
          <cell r="C6" t="str">
            <v>8094490739</v>
          </cell>
          <cell r="D6">
            <v>1</v>
          </cell>
          <cell r="E6">
            <v>1</v>
          </cell>
          <cell r="F6">
            <v>1</v>
          </cell>
          <cell r="G6">
            <v>1</v>
          </cell>
          <cell r="H6">
            <v>1</v>
          </cell>
          <cell r="I6">
            <v>1</v>
          </cell>
          <cell r="J6">
            <v>1</v>
          </cell>
          <cell r="K6">
            <v>1</v>
          </cell>
          <cell r="L6">
            <v>1</v>
          </cell>
          <cell r="M6">
            <v>1</v>
          </cell>
          <cell r="N6">
            <v>1</v>
          </cell>
          <cell r="O6">
            <v>1</v>
          </cell>
          <cell r="P6">
            <v>43200000</v>
          </cell>
        </row>
        <row r="7">
          <cell r="C7">
            <v>103274147</v>
          </cell>
          <cell r="P7">
            <v>0</v>
          </cell>
        </row>
        <row r="8">
          <cell r="C8">
            <v>8029065029</v>
          </cell>
          <cell r="P8">
            <v>0</v>
          </cell>
        </row>
        <row r="9">
          <cell r="C9" t="str">
            <v>8344451220</v>
          </cell>
          <cell r="P9">
            <v>0</v>
          </cell>
        </row>
        <row r="10">
          <cell r="C10">
            <v>8083169869</v>
          </cell>
          <cell r="D10">
            <v>2</v>
          </cell>
          <cell r="E10">
            <v>2</v>
          </cell>
          <cell r="F10">
            <v>2</v>
          </cell>
          <cell r="G10">
            <v>2</v>
          </cell>
          <cell r="H10">
            <v>2</v>
          </cell>
          <cell r="I10">
            <v>2</v>
          </cell>
          <cell r="J10">
            <v>2</v>
          </cell>
          <cell r="K10">
            <v>2</v>
          </cell>
          <cell r="L10">
            <v>2</v>
          </cell>
          <cell r="M10">
            <v>2</v>
          </cell>
          <cell r="N10">
            <v>2</v>
          </cell>
          <cell r="O10">
            <v>2</v>
          </cell>
          <cell r="P10">
            <v>86400000</v>
          </cell>
        </row>
        <row r="11">
          <cell r="C11">
            <v>8368565354</v>
          </cell>
          <cell r="P11">
            <v>0</v>
          </cell>
        </row>
        <row r="12">
          <cell r="C12">
            <v>8315386270</v>
          </cell>
          <cell r="P12">
            <v>0</v>
          </cell>
        </row>
        <row r="13">
          <cell r="C13">
            <v>8464763327</v>
          </cell>
          <cell r="P13">
            <v>0</v>
          </cell>
        </row>
        <row r="14">
          <cell r="C14">
            <v>8049342626</v>
          </cell>
          <cell r="P14">
            <v>0</v>
          </cell>
        </row>
        <row r="15">
          <cell r="C15">
            <v>8009746809</v>
          </cell>
          <cell r="P15">
            <v>0</v>
          </cell>
        </row>
        <row r="16">
          <cell r="C16">
            <v>8450189529</v>
          </cell>
          <cell r="P16">
            <v>0</v>
          </cell>
        </row>
        <row r="17">
          <cell r="C17">
            <v>8372882892</v>
          </cell>
          <cell r="P17">
            <v>0</v>
          </cell>
        </row>
        <row r="18">
          <cell r="C18">
            <v>0</v>
          </cell>
          <cell r="P18">
            <v>0</v>
          </cell>
        </row>
        <row r="19">
          <cell r="C19">
            <v>0</v>
          </cell>
          <cell r="P19">
            <v>0</v>
          </cell>
        </row>
        <row r="20">
          <cell r="C20">
            <v>0</v>
          </cell>
          <cell r="P20">
            <v>0</v>
          </cell>
        </row>
        <row r="21">
          <cell r="C21">
            <v>0</v>
          </cell>
          <cell r="P21">
            <v>0</v>
          </cell>
        </row>
        <row r="22">
          <cell r="C22">
            <v>0</v>
          </cell>
          <cell r="P22">
            <v>0</v>
          </cell>
        </row>
        <row r="23">
          <cell r="C23">
            <v>0</v>
          </cell>
          <cell r="P23">
            <v>0</v>
          </cell>
        </row>
        <row r="24">
          <cell r="C24">
            <v>0</v>
          </cell>
          <cell r="P24">
            <v>0</v>
          </cell>
        </row>
        <row r="25">
          <cell r="C25">
            <v>0</v>
          </cell>
          <cell r="P25">
            <v>0</v>
          </cell>
        </row>
        <row r="26">
          <cell r="C26">
            <v>0</v>
          </cell>
          <cell r="P26">
            <v>0</v>
          </cell>
        </row>
        <row r="27">
          <cell r="C27">
            <v>0</v>
          </cell>
          <cell r="P27">
            <v>0</v>
          </cell>
        </row>
        <row r="28">
          <cell r="C28">
            <v>0</v>
          </cell>
          <cell r="P28">
            <v>0</v>
          </cell>
        </row>
        <row r="29">
          <cell r="C29">
            <v>0</v>
          </cell>
          <cell r="P29">
            <v>0</v>
          </cell>
        </row>
        <row r="30">
          <cell r="C30">
            <v>0</v>
          </cell>
          <cell r="P30">
            <v>0</v>
          </cell>
        </row>
        <row r="31">
          <cell r="C31">
            <v>0</v>
          </cell>
          <cell r="P31">
            <v>0</v>
          </cell>
        </row>
        <row r="32">
          <cell r="C32">
            <v>0</v>
          </cell>
          <cell r="P32">
            <v>0</v>
          </cell>
        </row>
        <row r="33">
          <cell r="C33">
            <v>0</v>
          </cell>
          <cell r="P33">
            <v>0</v>
          </cell>
        </row>
        <row r="34">
          <cell r="C34">
            <v>0</v>
          </cell>
          <cell r="P34">
            <v>0</v>
          </cell>
        </row>
        <row r="35">
          <cell r="C35">
            <v>0</v>
          </cell>
          <cell r="P35">
            <v>0</v>
          </cell>
        </row>
        <row r="36">
          <cell r="C36">
            <v>0</v>
          </cell>
          <cell r="P36">
            <v>0</v>
          </cell>
        </row>
        <row r="37">
          <cell r="C37">
            <v>0</v>
          </cell>
          <cell r="P37">
            <v>0</v>
          </cell>
        </row>
        <row r="38">
          <cell r="C38">
            <v>0</v>
          </cell>
          <cell r="P38">
            <v>0</v>
          </cell>
        </row>
        <row r="39">
          <cell r="C39">
            <v>0</v>
          </cell>
          <cell r="P39">
            <v>0</v>
          </cell>
        </row>
        <row r="40">
          <cell r="C40">
            <v>0</v>
          </cell>
          <cell r="P40">
            <v>0</v>
          </cell>
        </row>
        <row r="41">
          <cell r="C41">
            <v>0</v>
          </cell>
          <cell r="P41">
            <v>0</v>
          </cell>
        </row>
        <row r="42">
          <cell r="C42">
            <v>0</v>
          </cell>
          <cell r="P42">
            <v>0</v>
          </cell>
        </row>
        <row r="43">
          <cell r="C43">
            <v>0</v>
          </cell>
          <cell r="P43">
            <v>0</v>
          </cell>
        </row>
        <row r="44">
          <cell r="C44">
            <v>0</v>
          </cell>
          <cell r="P44">
            <v>0</v>
          </cell>
        </row>
        <row r="45">
          <cell r="C45">
            <v>0</v>
          </cell>
          <cell r="P45">
            <v>0</v>
          </cell>
        </row>
      </sheetData>
      <sheetData sheetId="2"/>
      <sheetData sheetId="3">
        <row r="3">
          <cell r="T3">
            <v>1</v>
          </cell>
          <cell r="U3">
            <v>2</v>
          </cell>
          <cell r="V3">
            <v>3</v>
          </cell>
          <cell r="W3">
            <v>4</v>
          </cell>
          <cell r="X3">
            <v>5</v>
          </cell>
          <cell r="Y3">
            <v>6</v>
          </cell>
          <cell r="Z3">
            <v>7</v>
          </cell>
          <cell r="AA3">
            <v>8</v>
          </cell>
          <cell r="AB3">
            <v>9</v>
          </cell>
          <cell r="AC3">
            <v>10</v>
          </cell>
          <cell r="AD3">
            <v>11</v>
          </cell>
          <cell r="AE3">
            <v>12</v>
          </cell>
        </row>
        <row r="4">
          <cell r="B4" t="str">
            <v>NGUYỄN THỊ THÚY NGA</v>
          </cell>
          <cell r="C4" t="str">
            <v>0103273785</v>
          </cell>
          <cell r="D4">
            <v>26</v>
          </cell>
          <cell r="E4">
            <v>24</v>
          </cell>
          <cell r="F4">
            <v>27</v>
          </cell>
          <cell r="G4">
            <v>25</v>
          </cell>
          <cell r="H4">
            <v>27</v>
          </cell>
          <cell r="I4">
            <v>26</v>
          </cell>
          <cell r="J4">
            <v>26</v>
          </cell>
          <cell r="K4">
            <v>27</v>
          </cell>
          <cell r="L4">
            <v>26</v>
          </cell>
          <cell r="M4">
            <v>26</v>
          </cell>
          <cell r="N4">
            <v>26</v>
          </cell>
          <cell r="O4">
            <v>26</v>
          </cell>
          <cell r="T4">
            <v>1</v>
          </cell>
          <cell r="U4">
            <v>2</v>
          </cell>
          <cell r="V4">
            <v>3</v>
          </cell>
          <cell r="W4">
            <v>4</v>
          </cell>
          <cell r="X4">
            <v>5</v>
          </cell>
          <cell r="Y4">
            <v>6</v>
          </cell>
          <cell r="Z4">
            <v>7</v>
          </cell>
          <cell r="AA4">
            <v>8</v>
          </cell>
          <cell r="AB4">
            <v>9</v>
          </cell>
          <cell r="AC4">
            <v>10</v>
          </cell>
          <cell r="AD4">
            <v>11</v>
          </cell>
          <cell r="AE4">
            <v>12</v>
          </cell>
        </row>
        <row r="5">
          <cell r="B5" t="str">
            <v>NGUYỄN THỊ VIỆT HƯƠNG</v>
          </cell>
          <cell r="C5" t="str">
            <v>0103274475</v>
          </cell>
          <cell r="D5">
            <v>26</v>
          </cell>
          <cell r="E5">
            <v>24</v>
          </cell>
          <cell r="F5">
            <v>27</v>
          </cell>
          <cell r="G5">
            <v>25</v>
          </cell>
          <cell r="H5">
            <v>27</v>
          </cell>
          <cell r="I5">
            <v>26</v>
          </cell>
          <cell r="J5">
            <v>26</v>
          </cell>
          <cell r="K5">
            <v>27</v>
          </cell>
          <cell r="L5">
            <v>26</v>
          </cell>
          <cell r="M5">
            <v>26</v>
          </cell>
          <cell r="N5">
            <v>26</v>
          </cell>
          <cell r="O5">
            <v>26</v>
          </cell>
          <cell r="T5">
            <v>1</v>
          </cell>
          <cell r="U5">
            <v>2</v>
          </cell>
          <cell r="V5">
            <v>3</v>
          </cell>
          <cell r="W5">
            <v>4</v>
          </cell>
          <cell r="X5">
            <v>5</v>
          </cell>
          <cell r="Y5">
            <v>6</v>
          </cell>
          <cell r="Z5">
            <v>7</v>
          </cell>
          <cell r="AA5">
            <v>8</v>
          </cell>
          <cell r="AB5">
            <v>9</v>
          </cell>
          <cell r="AC5">
            <v>10</v>
          </cell>
          <cell r="AD5">
            <v>11</v>
          </cell>
          <cell r="AE5">
            <v>12</v>
          </cell>
        </row>
        <row r="6">
          <cell r="B6" t="str">
            <v>CHU THỊ DIÊN</v>
          </cell>
          <cell r="C6" t="str">
            <v>8350130190</v>
          </cell>
          <cell r="D6">
            <v>26</v>
          </cell>
          <cell r="E6">
            <v>24</v>
          </cell>
          <cell r="F6">
            <v>27</v>
          </cell>
          <cell r="G6">
            <v>25</v>
          </cell>
          <cell r="H6">
            <v>27</v>
          </cell>
          <cell r="I6">
            <v>26</v>
          </cell>
          <cell r="J6">
            <v>26</v>
          </cell>
          <cell r="K6">
            <v>27</v>
          </cell>
          <cell r="L6">
            <v>26</v>
          </cell>
          <cell r="M6">
            <v>26</v>
          </cell>
          <cell r="N6">
            <v>26</v>
          </cell>
          <cell r="O6">
            <v>26</v>
          </cell>
          <cell r="T6">
            <v>1</v>
          </cell>
          <cell r="U6">
            <v>2</v>
          </cell>
          <cell r="V6">
            <v>3</v>
          </cell>
          <cell r="W6">
            <v>4</v>
          </cell>
          <cell r="X6">
            <v>5</v>
          </cell>
          <cell r="Y6">
            <v>6</v>
          </cell>
          <cell r="Z6">
            <v>7</v>
          </cell>
          <cell r="AA6">
            <v>8</v>
          </cell>
          <cell r="AB6">
            <v>9</v>
          </cell>
          <cell r="AC6">
            <v>10</v>
          </cell>
          <cell r="AD6">
            <v>11</v>
          </cell>
          <cell r="AE6">
            <v>12</v>
          </cell>
        </row>
        <row r="7">
          <cell r="B7" t="str">
            <v>TRẦN QUANG HUY</v>
          </cell>
          <cell r="C7" t="str">
            <v>8094490739</v>
          </cell>
          <cell r="D7">
            <v>26</v>
          </cell>
          <cell r="E7">
            <v>24</v>
          </cell>
          <cell r="F7">
            <v>27</v>
          </cell>
          <cell r="G7">
            <v>25</v>
          </cell>
          <cell r="H7">
            <v>27</v>
          </cell>
          <cell r="I7">
            <v>26</v>
          </cell>
          <cell r="J7">
            <v>26</v>
          </cell>
          <cell r="K7">
            <v>27</v>
          </cell>
          <cell r="L7">
            <v>26</v>
          </cell>
          <cell r="M7">
            <v>26</v>
          </cell>
          <cell r="N7">
            <v>26</v>
          </cell>
          <cell r="O7">
            <v>26</v>
          </cell>
          <cell r="T7">
            <v>1</v>
          </cell>
          <cell r="U7">
            <v>2</v>
          </cell>
          <cell r="V7">
            <v>3</v>
          </cell>
          <cell r="W7">
            <v>4</v>
          </cell>
          <cell r="X7">
            <v>5</v>
          </cell>
          <cell r="Y7">
            <v>6</v>
          </cell>
          <cell r="Z7">
            <v>7</v>
          </cell>
          <cell r="AA7">
            <v>8</v>
          </cell>
          <cell r="AB7">
            <v>9</v>
          </cell>
          <cell r="AC7">
            <v>10</v>
          </cell>
          <cell r="AD7">
            <v>11</v>
          </cell>
          <cell r="AE7">
            <v>12</v>
          </cell>
        </row>
        <row r="8">
          <cell r="B8" t="str">
            <v>LÊ THỊ ÁNH NGUYỆT</v>
          </cell>
          <cell r="C8">
            <v>103274147</v>
          </cell>
          <cell r="D8">
            <v>26</v>
          </cell>
          <cell r="E8">
            <v>24</v>
          </cell>
          <cell r="F8">
            <v>27</v>
          </cell>
          <cell r="G8">
            <v>25</v>
          </cell>
          <cell r="H8">
            <v>27</v>
          </cell>
          <cell r="I8">
            <v>26</v>
          </cell>
          <cell r="J8">
            <v>26</v>
          </cell>
          <cell r="K8">
            <v>27</v>
          </cell>
          <cell r="L8">
            <v>26</v>
          </cell>
          <cell r="M8">
            <v>26</v>
          </cell>
          <cell r="N8">
            <v>26</v>
          </cell>
          <cell r="O8">
            <v>26</v>
          </cell>
          <cell r="T8">
            <v>1</v>
          </cell>
          <cell r="U8">
            <v>2</v>
          </cell>
          <cell r="V8">
            <v>3</v>
          </cell>
          <cell r="W8">
            <v>4</v>
          </cell>
          <cell r="X8">
            <v>5</v>
          </cell>
          <cell r="Y8">
            <v>6</v>
          </cell>
          <cell r="Z8">
            <v>7</v>
          </cell>
          <cell r="AA8">
            <v>8</v>
          </cell>
          <cell r="AB8">
            <v>9</v>
          </cell>
          <cell r="AC8">
            <v>10</v>
          </cell>
          <cell r="AD8">
            <v>11</v>
          </cell>
          <cell r="AE8">
            <v>12</v>
          </cell>
        </row>
        <row r="9">
          <cell r="B9" t="str">
            <v>TRẦN THỊ HẰNG</v>
          </cell>
          <cell r="C9">
            <v>8029065029</v>
          </cell>
          <cell r="D9">
            <v>26</v>
          </cell>
          <cell r="E9">
            <v>24</v>
          </cell>
          <cell r="F9">
            <v>27</v>
          </cell>
          <cell r="G9">
            <v>25</v>
          </cell>
          <cell r="H9">
            <v>27</v>
          </cell>
          <cell r="I9">
            <v>26</v>
          </cell>
          <cell r="J9">
            <v>26</v>
          </cell>
          <cell r="K9">
            <v>27</v>
          </cell>
          <cell r="L9">
            <v>26</v>
          </cell>
          <cell r="M9">
            <v>26</v>
          </cell>
          <cell r="N9">
            <v>26</v>
          </cell>
          <cell r="O9">
            <v>26</v>
          </cell>
          <cell r="T9">
            <v>1</v>
          </cell>
          <cell r="U9">
            <v>2</v>
          </cell>
          <cell r="V9">
            <v>3</v>
          </cell>
          <cell r="W9">
            <v>4</v>
          </cell>
          <cell r="X9">
            <v>5</v>
          </cell>
          <cell r="Y9">
            <v>6</v>
          </cell>
          <cell r="Z9">
            <v>7</v>
          </cell>
          <cell r="AA9">
            <v>8</v>
          </cell>
          <cell r="AB9">
            <v>9</v>
          </cell>
          <cell r="AC9">
            <v>10</v>
          </cell>
          <cell r="AD9">
            <v>11</v>
          </cell>
          <cell r="AE9">
            <v>12</v>
          </cell>
        </row>
        <row r="10">
          <cell r="B10" t="str">
            <v>ĐÀO VĂN HÙNG</v>
          </cell>
          <cell r="C10" t="str">
            <v>8344451220</v>
          </cell>
          <cell r="D10">
            <v>26</v>
          </cell>
          <cell r="E10">
            <v>24</v>
          </cell>
          <cell r="F10">
            <v>27</v>
          </cell>
          <cell r="G10">
            <v>25</v>
          </cell>
          <cell r="H10">
            <v>27</v>
          </cell>
          <cell r="I10">
            <v>26</v>
          </cell>
          <cell r="J10">
            <v>26</v>
          </cell>
          <cell r="K10">
            <v>27</v>
          </cell>
          <cell r="L10">
            <v>26</v>
          </cell>
          <cell r="M10">
            <v>26</v>
          </cell>
          <cell r="N10">
            <v>26</v>
          </cell>
          <cell r="O10">
            <v>26</v>
          </cell>
          <cell r="T10">
            <v>1</v>
          </cell>
          <cell r="U10">
            <v>2</v>
          </cell>
          <cell r="V10">
            <v>3</v>
          </cell>
          <cell r="W10">
            <v>4</v>
          </cell>
          <cell r="X10">
            <v>5</v>
          </cell>
          <cell r="Y10">
            <v>6</v>
          </cell>
          <cell r="Z10">
            <v>7</v>
          </cell>
          <cell r="AA10">
            <v>8</v>
          </cell>
          <cell r="AB10">
            <v>9</v>
          </cell>
          <cell r="AC10">
            <v>10</v>
          </cell>
          <cell r="AD10">
            <v>11</v>
          </cell>
          <cell r="AE10">
            <v>12</v>
          </cell>
        </row>
        <row r="11">
          <cell r="B11" t="str">
            <v>PHẠM THỊ HOA MAI</v>
          </cell>
          <cell r="C11">
            <v>8083169869</v>
          </cell>
          <cell r="D11">
            <v>26</v>
          </cell>
          <cell r="E11">
            <v>24</v>
          </cell>
          <cell r="F11">
            <v>27</v>
          </cell>
          <cell r="G11">
            <v>25</v>
          </cell>
          <cell r="H11">
            <v>27</v>
          </cell>
          <cell r="I11">
            <v>26</v>
          </cell>
          <cell r="J11">
            <v>26</v>
          </cell>
          <cell r="K11">
            <v>27</v>
          </cell>
          <cell r="L11">
            <v>26</v>
          </cell>
          <cell r="M11">
            <v>26</v>
          </cell>
          <cell r="N11">
            <v>26</v>
          </cell>
          <cell r="O11">
            <v>26</v>
          </cell>
          <cell r="T11">
            <v>1</v>
          </cell>
          <cell r="U11">
            <v>2</v>
          </cell>
          <cell r="V11">
            <v>3</v>
          </cell>
          <cell r="W11">
            <v>4</v>
          </cell>
          <cell r="X11">
            <v>5</v>
          </cell>
          <cell r="Y11">
            <v>6</v>
          </cell>
          <cell r="Z11">
            <v>7</v>
          </cell>
          <cell r="AA11">
            <v>8</v>
          </cell>
          <cell r="AB11">
            <v>9</v>
          </cell>
          <cell r="AC11">
            <v>10</v>
          </cell>
          <cell r="AD11">
            <v>11</v>
          </cell>
          <cell r="AE11">
            <v>12</v>
          </cell>
        </row>
        <row r="12">
          <cell r="B12" t="str">
            <v>PHAN THỊ KIM PHƯỢNG</v>
          </cell>
          <cell r="C12">
            <v>8368565354</v>
          </cell>
          <cell r="D12">
            <v>26</v>
          </cell>
          <cell r="E12">
            <v>24</v>
          </cell>
          <cell r="F12">
            <v>27</v>
          </cell>
          <cell r="G12">
            <v>25</v>
          </cell>
          <cell r="H12">
            <v>27</v>
          </cell>
          <cell r="I12">
            <v>26</v>
          </cell>
          <cell r="J12">
            <v>26</v>
          </cell>
          <cell r="K12">
            <v>27</v>
          </cell>
          <cell r="L12">
            <v>26</v>
          </cell>
          <cell r="M12">
            <v>26</v>
          </cell>
          <cell r="N12">
            <v>26</v>
          </cell>
          <cell r="O12">
            <v>26</v>
          </cell>
          <cell r="T12">
            <v>1</v>
          </cell>
          <cell r="U12">
            <v>2</v>
          </cell>
          <cell r="V12">
            <v>3</v>
          </cell>
          <cell r="W12">
            <v>4</v>
          </cell>
          <cell r="X12">
            <v>5</v>
          </cell>
          <cell r="Y12">
            <v>6</v>
          </cell>
          <cell r="Z12">
            <v>7</v>
          </cell>
          <cell r="AA12">
            <v>8</v>
          </cell>
          <cell r="AB12">
            <v>9</v>
          </cell>
          <cell r="AC12">
            <v>10</v>
          </cell>
          <cell r="AD12">
            <v>11</v>
          </cell>
          <cell r="AE12">
            <v>12</v>
          </cell>
        </row>
        <row r="13">
          <cell r="B13" t="str">
            <v>TRẦN ĐOÀN TUẤN</v>
          </cell>
          <cell r="C13">
            <v>8315386270</v>
          </cell>
          <cell r="D13">
            <v>26</v>
          </cell>
          <cell r="E13">
            <v>24</v>
          </cell>
          <cell r="F13">
            <v>27</v>
          </cell>
          <cell r="G13">
            <v>25</v>
          </cell>
          <cell r="H13">
            <v>27</v>
          </cell>
          <cell r="I13">
            <v>26</v>
          </cell>
          <cell r="J13">
            <v>26</v>
          </cell>
          <cell r="K13">
            <v>27</v>
          </cell>
          <cell r="L13">
            <v>26</v>
          </cell>
          <cell r="M13">
            <v>26</v>
          </cell>
          <cell r="N13">
            <v>26</v>
          </cell>
          <cell r="O13">
            <v>26</v>
          </cell>
          <cell r="T13">
            <v>1</v>
          </cell>
          <cell r="U13">
            <v>2</v>
          </cell>
          <cell r="V13">
            <v>3</v>
          </cell>
          <cell r="W13">
            <v>4</v>
          </cell>
          <cell r="X13">
            <v>5</v>
          </cell>
          <cell r="Y13">
            <v>6</v>
          </cell>
          <cell r="Z13">
            <v>7</v>
          </cell>
          <cell r="AA13">
            <v>8</v>
          </cell>
          <cell r="AB13">
            <v>9</v>
          </cell>
          <cell r="AC13">
            <v>10</v>
          </cell>
          <cell r="AD13">
            <v>11</v>
          </cell>
          <cell r="AE13">
            <v>12</v>
          </cell>
        </row>
        <row r="14">
          <cell r="B14" t="str">
            <v>PHAN HỒNG NGỌC</v>
          </cell>
          <cell r="C14">
            <v>8464763327</v>
          </cell>
          <cell r="D14">
            <v>26</v>
          </cell>
          <cell r="E14">
            <v>24</v>
          </cell>
          <cell r="F14">
            <v>27</v>
          </cell>
          <cell r="G14">
            <v>25</v>
          </cell>
          <cell r="H14">
            <v>27</v>
          </cell>
          <cell r="I14">
            <v>26</v>
          </cell>
          <cell r="J14">
            <v>26</v>
          </cell>
          <cell r="K14">
            <v>27</v>
          </cell>
          <cell r="L14">
            <v>26</v>
          </cell>
          <cell r="M14">
            <v>26</v>
          </cell>
          <cell r="N14">
            <v>26</v>
          </cell>
          <cell r="O14">
            <v>26</v>
          </cell>
          <cell r="T14">
            <v>1</v>
          </cell>
          <cell r="U14">
            <v>2</v>
          </cell>
          <cell r="V14">
            <v>3</v>
          </cell>
          <cell r="W14">
            <v>4</v>
          </cell>
          <cell r="X14">
            <v>5</v>
          </cell>
          <cell r="Y14">
            <v>6</v>
          </cell>
          <cell r="Z14">
            <v>7</v>
          </cell>
          <cell r="AA14">
            <v>8</v>
          </cell>
          <cell r="AB14">
            <v>9</v>
          </cell>
          <cell r="AC14">
            <v>10</v>
          </cell>
          <cell r="AD14">
            <v>11</v>
          </cell>
          <cell r="AE14">
            <v>12</v>
          </cell>
        </row>
        <row r="15">
          <cell r="B15" t="str">
            <v>BÙI THỊ NGỌC HÂN</v>
          </cell>
          <cell r="C15">
            <v>8049342626</v>
          </cell>
          <cell r="D15">
            <v>26</v>
          </cell>
          <cell r="E15">
            <v>24</v>
          </cell>
          <cell r="F15">
            <v>27</v>
          </cell>
          <cell r="G15">
            <v>25</v>
          </cell>
          <cell r="H15">
            <v>27</v>
          </cell>
          <cell r="I15">
            <v>26</v>
          </cell>
          <cell r="J15">
            <v>26</v>
          </cell>
          <cell r="K15">
            <v>27</v>
          </cell>
          <cell r="L15">
            <v>26</v>
          </cell>
          <cell r="M15">
            <v>26</v>
          </cell>
          <cell r="N15">
            <v>26</v>
          </cell>
          <cell r="O15">
            <v>26</v>
          </cell>
          <cell r="T15">
            <v>1</v>
          </cell>
          <cell r="U15">
            <v>2</v>
          </cell>
          <cell r="V15">
            <v>3</v>
          </cell>
          <cell r="W15">
            <v>4</v>
          </cell>
          <cell r="X15">
            <v>5</v>
          </cell>
          <cell r="Y15">
            <v>6</v>
          </cell>
          <cell r="Z15">
            <v>7</v>
          </cell>
          <cell r="AA15">
            <v>8</v>
          </cell>
          <cell r="AB15">
            <v>9</v>
          </cell>
          <cell r="AC15">
            <v>10</v>
          </cell>
          <cell r="AD15">
            <v>11</v>
          </cell>
          <cell r="AE15">
            <v>12</v>
          </cell>
        </row>
        <row r="16">
          <cell r="B16" t="str">
            <v>VƯƠNG QUỐC ĐẠT</v>
          </cell>
          <cell r="C16">
            <v>8009746809</v>
          </cell>
          <cell r="G16">
            <v>25</v>
          </cell>
          <cell r="H16">
            <v>27</v>
          </cell>
          <cell r="I16">
            <v>26</v>
          </cell>
          <cell r="J16">
            <v>26</v>
          </cell>
          <cell r="K16">
            <v>27</v>
          </cell>
          <cell r="L16">
            <v>26</v>
          </cell>
          <cell r="M16">
            <v>26</v>
          </cell>
          <cell r="N16">
            <v>26</v>
          </cell>
          <cell r="O16">
            <v>26</v>
          </cell>
          <cell r="T16">
            <v>0</v>
          </cell>
          <cell r="U16">
            <v>0</v>
          </cell>
          <cell r="V16">
            <v>0</v>
          </cell>
          <cell r="W16">
            <v>1</v>
          </cell>
          <cell r="X16">
            <v>2</v>
          </cell>
          <cell r="Y16">
            <v>3</v>
          </cell>
          <cell r="Z16">
            <v>4</v>
          </cell>
          <cell r="AA16">
            <v>5</v>
          </cell>
          <cell r="AB16">
            <v>6</v>
          </cell>
          <cell r="AC16">
            <v>7</v>
          </cell>
          <cell r="AD16">
            <v>8</v>
          </cell>
          <cell r="AE16">
            <v>9</v>
          </cell>
        </row>
        <row r="17">
          <cell r="B17" t="str">
            <v>VŨ THỊ NGỌC ANH</v>
          </cell>
          <cell r="C17">
            <v>8450189529</v>
          </cell>
          <cell r="G17">
            <v>25</v>
          </cell>
          <cell r="H17">
            <v>27</v>
          </cell>
          <cell r="I17">
            <v>26</v>
          </cell>
          <cell r="J17">
            <v>26</v>
          </cell>
          <cell r="K17">
            <v>27</v>
          </cell>
          <cell r="L17">
            <v>26</v>
          </cell>
          <cell r="M17">
            <v>26</v>
          </cell>
          <cell r="N17">
            <v>26</v>
          </cell>
          <cell r="O17">
            <v>26</v>
          </cell>
          <cell r="T17">
            <v>0</v>
          </cell>
          <cell r="U17">
            <v>0</v>
          </cell>
          <cell r="V17">
            <v>0</v>
          </cell>
          <cell r="W17">
            <v>1</v>
          </cell>
          <cell r="X17">
            <v>2</v>
          </cell>
          <cell r="Y17">
            <v>3</v>
          </cell>
          <cell r="Z17">
            <v>4</v>
          </cell>
          <cell r="AA17">
            <v>5</v>
          </cell>
          <cell r="AB17">
            <v>6</v>
          </cell>
          <cell r="AC17">
            <v>7</v>
          </cell>
          <cell r="AD17">
            <v>8</v>
          </cell>
          <cell r="AE17">
            <v>9</v>
          </cell>
        </row>
        <row r="18">
          <cell r="B18" t="str">
            <v>NGUYỄN THANH PHONG</v>
          </cell>
          <cell r="C18">
            <v>8372882892</v>
          </cell>
          <cell r="G18">
            <v>25</v>
          </cell>
          <cell r="H18">
            <v>27</v>
          </cell>
          <cell r="I18">
            <v>26</v>
          </cell>
          <cell r="J18">
            <v>26</v>
          </cell>
          <cell r="K18">
            <v>27</v>
          </cell>
          <cell r="L18">
            <v>26</v>
          </cell>
          <cell r="M18">
            <v>26</v>
          </cell>
          <cell r="N18">
            <v>26</v>
          </cell>
          <cell r="O18">
            <v>26</v>
          </cell>
          <cell r="T18">
            <v>0</v>
          </cell>
          <cell r="U18">
            <v>0</v>
          </cell>
          <cell r="V18">
            <v>0</v>
          </cell>
          <cell r="W18">
            <v>1</v>
          </cell>
          <cell r="X18">
            <v>2</v>
          </cell>
          <cell r="Y18">
            <v>3</v>
          </cell>
          <cell r="Z18">
            <v>4</v>
          </cell>
          <cell r="AA18">
            <v>5</v>
          </cell>
          <cell r="AB18">
            <v>6</v>
          </cell>
          <cell r="AC18">
            <v>7</v>
          </cell>
          <cell r="AD18">
            <v>8</v>
          </cell>
          <cell r="AE18">
            <v>9</v>
          </cell>
        </row>
        <row r="19">
          <cell r="B19">
            <v>0</v>
          </cell>
          <cell r="C19">
            <v>0</v>
          </cell>
          <cell r="T19">
            <v>0</v>
          </cell>
          <cell r="U19">
            <v>0</v>
          </cell>
          <cell r="V19">
            <v>0</v>
          </cell>
          <cell r="W19">
            <v>0</v>
          </cell>
          <cell r="X19">
            <v>0</v>
          </cell>
          <cell r="Y19">
            <v>0</v>
          </cell>
          <cell r="Z19">
            <v>0</v>
          </cell>
          <cell r="AA19">
            <v>0</v>
          </cell>
          <cell r="AB19">
            <v>0</v>
          </cell>
          <cell r="AC19">
            <v>0</v>
          </cell>
          <cell r="AD19">
            <v>0</v>
          </cell>
          <cell r="AE19">
            <v>0</v>
          </cell>
        </row>
        <row r="20">
          <cell r="B20">
            <v>0</v>
          </cell>
          <cell r="C20">
            <v>0</v>
          </cell>
          <cell r="T20">
            <v>0</v>
          </cell>
          <cell r="U20">
            <v>0</v>
          </cell>
          <cell r="V20">
            <v>0</v>
          </cell>
          <cell r="W20">
            <v>0</v>
          </cell>
          <cell r="X20">
            <v>0</v>
          </cell>
          <cell r="Y20">
            <v>0</v>
          </cell>
          <cell r="Z20">
            <v>0</v>
          </cell>
          <cell r="AA20">
            <v>0</v>
          </cell>
          <cell r="AB20">
            <v>0</v>
          </cell>
          <cell r="AC20">
            <v>0</v>
          </cell>
          <cell r="AD20">
            <v>0</v>
          </cell>
          <cell r="AE20">
            <v>0</v>
          </cell>
        </row>
        <row r="21">
          <cell r="B21">
            <v>0</v>
          </cell>
          <cell r="C21">
            <v>0</v>
          </cell>
          <cell r="T21">
            <v>0</v>
          </cell>
          <cell r="U21">
            <v>0</v>
          </cell>
          <cell r="V21">
            <v>0</v>
          </cell>
          <cell r="W21">
            <v>0</v>
          </cell>
          <cell r="X21">
            <v>0</v>
          </cell>
          <cell r="Y21">
            <v>0</v>
          </cell>
          <cell r="Z21">
            <v>0</v>
          </cell>
          <cell r="AA21">
            <v>0</v>
          </cell>
          <cell r="AB21">
            <v>0</v>
          </cell>
          <cell r="AC21">
            <v>0</v>
          </cell>
          <cell r="AD21">
            <v>0</v>
          </cell>
          <cell r="AE21">
            <v>0</v>
          </cell>
        </row>
        <row r="22">
          <cell r="B22">
            <v>0</v>
          </cell>
          <cell r="C22">
            <v>0</v>
          </cell>
          <cell r="T22">
            <v>0</v>
          </cell>
          <cell r="U22">
            <v>0</v>
          </cell>
          <cell r="V22">
            <v>0</v>
          </cell>
          <cell r="W22">
            <v>0</v>
          </cell>
          <cell r="X22">
            <v>0</v>
          </cell>
          <cell r="Y22">
            <v>0</v>
          </cell>
          <cell r="Z22">
            <v>0</v>
          </cell>
          <cell r="AA22">
            <v>0</v>
          </cell>
          <cell r="AB22">
            <v>0</v>
          </cell>
          <cell r="AC22">
            <v>0</v>
          </cell>
          <cell r="AD22">
            <v>0</v>
          </cell>
          <cell r="AE22">
            <v>0</v>
          </cell>
        </row>
        <row r="23">
          <cell r="B23">
            <v>0</v>
          </cell>
          <cell r="C23">
            <v>0</v>
          </cell>
          <cell r="T23">
            <v>0</v>
          </cell>
          <cell r="U23">
            <v>0</v>
          </cell>
          <cell r="V23">
            <v>0</v>
          </cell>
          <cell r="W23">
            <v>0</v>
          </cell>
          <cell r="X23">
            <v>0</v>
          </cell>
          <cell r="Y23">
            <v>0</v>
          </cell>
          <cell r="Z23">
            <v>0</v>
          </cell>
          <cell r="AA23">
            <v>0</v>
          </cell>
          <cell r="AB23">
            <v>0</v>
          </cell>
          <cell r="AC23">
            <v>0</v>
          </cell>
          <cell r="AD23">
            <v>0</v>
          </cell>
          <cell r="AE23">
            <v>0</v>
          </cell>
        </row>
        <row r="24">
          <cell r="B24">
            <v>0</v>
          </cell>
          <cell r="C24">
            <v>0</v>
          </cell>
          <cell r="T24">
            <v>0</v>
          </cell>
          <cell r="U24">
            <v>0</v>
          </cell>
          <cell r="V24">
            <v>0</v>
          </cell>
          <cell r="W24">
            <v>0</v>
          </cell>
          <cell r="X24">
            <v>0</v>
          </cell>
          <cell r="Y24">
            <v>0</v>
          </cell>
          <cell r="Z24">
            <v>0</v>
          </cell>
          <cell r="AA24">
            <v>0</v>
          </cell>
          <cell r="AB24">
            <v>0</v>
          </cell>
          <cell r="AC24">
            <v>0</v>
          </cell>
          <cell r="AD24">
            <v>0</v>
          </cell>
          <cell r="AE24">
            <v>0</v>
          </cell>
        </row>
        <row r="25">
          <cell r="B25">
            <v>0</v>
          </cell>
          <cell r="C25">
            <v>0</v>
          </cell>
          <cell r="T25">
            <v>0</v>
          </cell>
          <cell r="U25">
            <v>0</v>
          </cell>
          <cell r="V25">
            <v>0</v>
          </cell>
          <cell r="W25">
            <v>0</v>
          </cell>
          <cell r="X25">
            <v>0</v>
          </cell>
          <cell r="Y25">
            <v>0</v>
          </cell>
          <cell r="Z25">
            <v>0</v>
          </cell>
          <cell r="AA25">
            <v>0</v>
          </cell>
          <cell r="AB25">
            <v>0</v>
          </cell>
          <cell r="AC25">
            <v>0</v>
          </cell>
          <cell r="AD25">
            <v>0</v>
          </cell>
          <cell r="AE25">
            <v>0</v>
          </cell>
        </row>
        <row r="26">
          <cell r="B26">
            <v>0</v>
          </cell>
          <cell r="C26">
            <v>0</v>
          </cell>
          <cell r="T26">
            <v>0</v>
          </cell>
          <cell r="U26">
            <v>0</v>
          </cell>
          <cell r="V26">
            <v>0</v>
          </cell>
          <cell r="W26">
            <v>0</v>
          </cell>
          <cell r="X26">
            <v>0</v>
          </cell>
          <cell r="Y26">
            <v>0</v>
          </cell>
          <cell r="Z26">
            <v>0</v>
          </cell>
          <cell r="AA26">
            <v>0</v>
          </cell>
          <cell r="AB26">
            <v>0</v>
          </cell>
          <cell r="AC26">
            <v>0</v>
          </cell>
          <cell r="AD26">
            <v>0</v>
          </cell>
          <cell r="AE26">
            <v>0</v>
          </cell>
        </row>
        <row r="27">
          <cell r="B27">
            <v>0</v>
          </cell>
          <cell r="C27">
            <v>0</v>
          </cell>
          <cell r="T27">
            <v>0</v>
          </cell>
          <cell r="U27">
            <v>0</v>
          </cell>
          <cell r="V27">
            <v>0</v>
          </cell>
          <cell r="W27">
            <v>0</v>
          </cell>
          <cell r="X27">
            <v>0</v>
          </cell>
          <cell r="Y27">
            <v>0</v>
          </cell>
          <cell r="Z27">
            <v>0</v>
          </cell>
          <cell r="AA27">
            <v>0</v>
          </cell>
          <cell r="AB27">
            <v>0</v>
          </cell>
          <cell r="AC27">
            <v>0</v>
          </cell>
          <cell r="AD27">
            <v>0</v>
          </cell>
          <cell r="AE27">
            <v>0</v>
          </cell>
        </row>
        <row r="28">
          <cell r="B28">
            <v>0</v>
          </cell>
          <cell r="C28">
            <v>0</v>
          </cell>
          <cell r="T28">
            <v>0</v>
          </cell>
          <cell r="U28">
            <v>0</v>
          </cell>
          <cell r="V28">
            <v>0</v>
          </cell>
          <cell r="W28">
            <v>0</v>
          </cell>
          <cell r="X28">
            <v>0</v>
          </cell>
          <cell r="Y28">
            <v>0</v>
          </cell>
          <cell r="Z28">
            <v>0</v>
          </cell>
          <cell r="AA28">
            <v>0</v>
          </cell>
          <cell r="AB28">
            <v>0</v>
          </cell>
          <cell r="AC28">
            <v>0</v>
          </cell>
          <cell r="AD28">
            <v>0</v>
          </cell>
          <cell r="AE28">
            <v>0</v>
          </cell>
        </row>
        <row r="29">
          <cell r="B29">
            <v>0</v>
          </cell>
          <cell r="C29">
            <v>0</v>
          </cell>
          <cell r="T29">
            <v>0</v>
          </cell>
          <cell r="U29">
            <v>0</v>
          </cell>
          <cell r="V29">
            <v>0</v>
          </cell>
          <cell r="W29">
            <v>0</v>
          </cell>
          <cell r="X29">
            <v>0</v>
          </cell>
          <cell r="Y29">
            <v>0</v>
          </cell>
          <cell r="Z29">
            <v>0</v>
          </cell>
          <cell r="AA29">
            <v>0</v>
          </cell>
          <cell r="AB29">
            <v>0</v>
          </cell>
          <cell r="AC29">
            <v>0</v>
          </cell>
          <cell r="AD29">
            <v>0</v>
          </cell>
          <cell r="AE29">
            <v>0</v>
          </cell>
        </row>
        <row r="30">
          <cell r="B30">
            <v>0</v>
          </cell>
          <cell r="C30">
            <v>0</v>
          </cell>
          <cell r="T30">
            <v>0</v>
          </cell>
          <cell r="U30">
            <v>0</v>
          </cell>
          <cell r="V30">
            <v>0</v>
          </cell>
          <cell r="W30">
            <v>0</v>
          </cell>
          <cell r="X30">
            <v>0</v>
          </cell>
          <cell r="Y30">
            <v>0</v>
          </cell>
          <cell r="Z30">
            <v>0</v>
          </cell>
          <cell r="AA30">
            <v>0</v>
          </cell>
          <cell r="AB30">
            <v>0</v>
          </cell>
          <cell r="AC30">
            <v>0</v>
          </cell>
          <cell r="AD30">
            <v>0</v>
          </cell>
          <cell r="AE30">
            <v>0</v>
          </cell>
        </row>
        <row r="31">
          <cell r="B31">
            <v>0</v>
          </cell>
          <cell r="C31">
            <v>0</v>
          </cell>
          <cell r="T31">
            <v>0</v>
          </cell>
          <cell r="U31">
            <v>0</v>
          </cell>
          <cell r="V31">
            <v>0</v>
          </cell>
          <cell r="W31">
            <v>0</v>
          </cell>
          <cell r="X31">
            <v>0</v>
          </cell>
          <cell r="Y31">
            <v>0</v>
          </cell>
          <cell r="Z31">
            <v>0</v>
          </cell>
          <cell r="AA31">
            <v>0</v>
          </cell>
          <cell r="AB31">
            <v>0</v>
          </cell>
          <cell r="AC31">
            <v>0</v>
          </cell>
          <cell r="AD31">
            <v>0</v>
          </cell>
          <cell r="AE31">
            <v>0</v>
          </cell>
        </row>
        <row r="32">
          <cell r="B32">
            <v>0</v>
          </cell>
          <cell r="C32">
            <v>0</v>
          </cell>
          <cell r="T32">
            <v>0</v>
          </cell>
          <cell r="U32">
            <v>0</v>
          </cell>
          <cell r="V32">
            <v>0</v>
          </cell>
          <cell r="W32">
            <v>0</v>
          </cell>
          <cell r="X32">
            <v>0</v>
          </cell>
          <cell r="Y32">
            <v>0</v>
          </cell>
          <cell r="Z32">
            <v>0</v>
          </cell>
          <cell r="AA32">
            <v>0</v>
          </cell>
          <cell r="AB32">
            <v>0</v>
          </cell>
          <cell r="AC32">
            <v>0</v>
          </cell>
          <cell r="AD32">
            <v>0</v>
          </cell>
          <cell r="AE32">
            <v>0</v>
          </cell>
        </row>
        <row r="33">
          <cell r="B33">
            <v>0</v>
          </cell>
          <cell r="C33">
            <v>0</v>
          </cell>
          <cell r="T33">
            <v>0</v>
          </cell>
          <cell r="U33">
            <v>0</v>
          </cell>
          <cell r="V33">
            <v>0</v>
          </cell>
          <cell r="W33">
            <v>0</v>
          </cell>
          <cell r="X33">
            <v>0</v>
          </cell>
          <cell r="Y33">
            <v>0</v>
          </cell>
          <cell r="Z33">
            <v>0</v>
          </cell>
          <cell r="AA33">
            <v>0</v>
          </cell>
          <cell r="AB33">
            <v>0</v>
          </cell>
          <cell r="AC33">
            <v>0</v>
          </cell>
          <cell r="AD33">
            <v>0</v>
          </cell>
          <cell r="AE33">
            <v>0</v>
          </cell>
        </row>
        <row r="34">
          <cell r="B34">
            <v>0</v>
          </cell>
          <cell r="C34">
            <v>0</v>
          </cell>
          <cell r="T34">
            <v>0</v>
          </cell>
          <cell r="U34">
            <v>0</v>
          </cell>
          <cell r="V34">
            <v>0</v>
          </cell>
          <cell r="W34">
            <v>0</v>
          </cell>
          <cell r="X34">
            <v>0</v>
          </cell>
          <cell r="Y34">
            <v>0</v>
          </cell>
          <cell r="Z34">
            <v>0</v>
          </cell>
          <cell r="AA34">
            <v>0</v>
          </cell>
          <cell r="AB34">
            <v>0</v>
          </cell>
          <cell r="AC34">
            <v>0</v>
          </cell>
          <cell r="AD34">
            <v>0</v>
          </cell>
          <cell r="AE34">
            <v>0</v>
          </cell>
        </row>
        <row r="35">
          <cell r="B35">
            <v>0</v>
          </cell>
          <cell r="C35">
            <v>0</v>
          </cell>
          <cell r="T35">
            <v>0</v>
          </cell>
          <cell r="U35">
            <v>0</v>
          </cell>
          <cell r="V35">
            <v>0</v>
          </cell>
          <cell r="W35">
            <v>0</v>
          </cell>
          <cell r="X35">
            <v>0</v>
          </cell>
          <cell r="Y35">
            <v>0</v>
          </cell>
          <cell r="Z35">
            <v>0</v>
          </cell>
          <cell r="AA35">
            <v>0</v>
          </cell>
          <cell r="AB35">
            <v>0</v>
          </cell>
          <cell r="AC35">
            <v>0</v>
          </cell>
          <cell r="AD35">
            <v>0</v>
          </cell>
          <cell r="AE35">
            <v>0</v>
          </cell>
        </row>
        <row r="36">
          <cell r="B36">
            <v>0</v>
          </cell>
          <cell r="C36">
            <v>0</v>
          </cell>
          <cell r="T36">
            <v>0</v>
          </cell>
          <cell r="U36">
            <v>0</v>
          </cell>
          <cell r="V36">
            <v>0</v>
          </cell>
          <cell r="W36">
            <v>0</v>
          </cell>
          <cell r="X36">
            <v>0</v>
          </cell>
          <cell r="Y36">
            <v>0</v>
          </cell>
          <cell r="Z36">
            <v>0</v>
          </cell>
          <cell r="AA36">
            <v>0</v>
          </cell>
          <cell r="AB36">
            <v>0</v>
          </cell>
          <cell r="AC36">
            <v>0</v>
          </cell>
          <cell r="AD36">
            <v>0</v>
          </cell>
          <cell r="AE36">
            <v>0</v>
          </cell>
        </row>
        <row r="37">
          <cell r="B37">
            <v>0</v>
          </cell>
          <cell r="C37">
            <v>0</v>
          </cell>
          <cell r="T37">
            <v>0</v>
          </cell>
          <cell r="U37">
            <v>0</v>
          </cell>
          <cell r="V37">
            <v>0</v>
          </cell>
          <cell r="W37">
            <v>0</v>
          </cell>
          <cell r="X37">
            <v>0</v>
          </cell>
          <cell r="Y37">
            <v>0</v>
          </cell>
          <cell r="Z37">
            <v>0</v>
          </cell>
          <cell r="AA37">
            <v>0</v>
          </cell>
          <cell r="AB37">
            <v>0</v>
          </cell>
          <cell r="AC37">
            <v>0</v>
          </cell>
          <cell r="AD37">
            <v>0</v>
          </cell>
          <cell r="AE37">
            <v>0</v>
          </cell>
        </row>
        <row r="38">
          <cell r="B38">
            <v>0</v>
          </cell>
          <cell r="C38">
            <v>0</v>
          </cell>
          <cell r="T38">
            <v>0</v>
          </cell>
          <cell r="U38">
            <v>0</v>
          </cell>
          <cell r="V38">
            <v>0</v>
          </cell>
          <cell r="W38">
            <v>0</v>
          </cell>
          <cell r="X38">
            <v>0</v>
          </cell>
          <cell r="Y38">
            <v>0</v>
          </cell>
          <cell r="Z38">
            <v>0</v>
          </cell>
          <cell r="AA38">
            <v>0</v>
          </cell>
          <cell r="AB38">
            <v>0</v>
          </cell>
          <cell r="AC38">
            <v>0</v>
          </cell>
          <cell r="AD38">
            <v>0</v>
          </cell>
          <cell r="AE38">
            <v>0</v>
          </cell>
        </row>
        <row r="39">
          <cell r="B39">
            <v>0</v>
          </cell>
          <cell r="C39">
            <v>0</v>
          </cell>
          <cell r="T39">
            <v>0</v>
          </cell>
          <cell r="U39">
            <v>0</v>
          </cell>
          <cell r="V39">
            <v>0</v>
          </cell>
          <cell r="W39">
            <v>0</v>
          </cell>
          <cell r="X39">
            <v>0</v>
          </cell>
          <cell r="Y39">
            <v>0</v>
          </cell>
          <cell r="Z39">
            <v>0</v>
          </cell>
          <cell r="AA39">
            <v>0</v>
          </cell>
          <cell r="AB39">
            <v>0</v>
          </cell>
          <cell r="AC39">
            <v>0</v>
          </cell>
          <cell r="AD39">
            <v>0</v>
          </cell>
          <cell r="AE39">
            <v>0</v>
          </cell>
        </row>
        <row r="40">
          <cell r="B40">
            <v>0</v>
          </cell>
          <cell r="C40">
            <v>0</v>
          </cell>
          <cell r="T40">
            <v>0</v>
          </cell>
          <cell r="U40">
            <v>0</v>
          </cell>
          <cell r="V40">
            <v>0</v>
          </cell>
          <cell r="W40">
            <v>0</v>
          </cell>
          <cell r="X40">
            <v>0</v>
          </cell>
          <cell r="Y40">
            <v>0</v>
          </cell>
          <cell r="Z40">
            <v>0</v>
          </cell>
          <cell r="AA40">
            <v>0</v>
          </cell>
          <cell r="AB40">
            <v>0</v>
          </cell>
          <cell r="AC40">
            <v>0</v>
          </cell>
          <cell r="AD40">
            <v>0</v>
          </cell>
          <cell r="AE40">
            <v>0</v>
          </cell>
        </row>
        <row r="41">
          <cell r="B41">
            <v>0</v>
          </cell>
          <cell r="C41">
            <v>0</v>
          </cell>
          <cell r="T41">
            <v>0</v>
          </cell>
          <cell r="U41">
            <v>0</v>
          </cell>
          <cell r="V41">
            <v>0</v>
          </cell>
          <cell r="W41">
            <v>0</v>
          </cell>
          <cell r="X41">
            <v>0</v>
          </cell>
          <cell r="Y41">
            <v>0</v>
          </cell>
          <cell r="Z41">
            <v>0</v>
          </cell>
          <cell r="AA41">
            <v>0</v>
          </cell>
          <cell r="AB41">
            <v>0</v>
          </cell>
          <cell r="AC41">
            <v>0</v>
          </cell>
          <cell r="AD41">
            <v>0</v>
          </cell>
          <cell r="AE41">
            <v>0</v>
          </cell>
        </row>
        <row r="42">
          <cell r="B42">
            <v>0</v>
          </cell>
          <cell r="C42">
            <v>0</v>
          </cell>
          <cell r="T42">
            <v>0</v>
          </cell>
          <cell r="U42">
            <v>0</v>
          </cell>
          <cell r="V42">
            <v>0</v>
          </cell>
          <cell r="W42">
            <v>0</v>
          </cell>
          <cell r="X42">
            <v>0</v>
          </cell>
          <cell r="Y42">
            <v>0</v>
          </cell>
          <cell r="Z42">
            <v>0</v>
          </cell>
          <cell r="AA42">
            <v>0</v>
          </cell>
          <cell r="AB42">
            <v>0</v>
          </cell>
          <cell r="AC42">
            <v>0</v>
          </cell>
          <cell r="AD42">
            <v>0</v>
          </cell>
          <cell r="AE42">
            <v>0</v>
          </cell>
        </row>
        <row r="43">
          <cell r="B43">
            <v>0</v>
          </cell>
          <cell r="C43">
            <v>0</v>
          </cell>
          <cell r="T43">
            <v>0</v>
          </cell>
          <cell r="U43">
            <v>0</v>
          </cell>
          <cell r="V43">
            <v>0</v>
          </cell>
          <cell r="W43">
            <v>0</v>
          </cell>
          <cell r="X43">
            <v>0</v>
          </cell>
          <cell r="Y43">
            <v>0</v>
          </cell>
          <cell r="Z43">
            <v>0</v>
          </cell>
          <cell r="AA43">
            <v>0</v>
          </cell>
          <cell r="AB43">
            <v>0</v>
          </cell>
          <cell r="AC43">
            <v>0</v>
          </cell>
          <cell r="AD43">
            <v>0</v>
          </cell>
          <cell r="AE43">
            <v>0</v>
          </cell>
        </row>
        <row r="44">
          <cell r="B44">
            <v>0</v>
          </cell>
          <cell r="C44">
            <v>0</v>
          </cell>
          <cell r="T44">
            <v>0</v>
          </cell>
          <cell r="U44">
            <v>0</v>
          </cell>
          <cell r="V44">
            <v>0</v>
          </cell>
          <cell r="W44">
            <v>0</v>
          </cell>
          <cell r="X44">
            <v>0</v>
          </cell>
          <cell r="Y44">
            <v>0</v>
          </cell>
          <cell r="Z44">
            <v>0</v>
          </cell>
          <cell r="AA44">
            <v>0</v>
          </cell>
          <cell r="AB44">
            <v>0</v>
          </cell>
          <cell r="AC44">
            <v>0</v>
          </cell>
          <cell r="AD44">
            <v>0</v>
          </cell>
          <cell r="AE44">
            <v>0</v>
          </cell>
        </row>
        <row r="45">
          <cell r="B45">
            <v>0</v>
          </cell>
          <cell r="C45">
            <v>0</v>
          </cell>
          <cell r="T45">
            <v>0</v>
          </cell>
          <cell r="U45">
            <v>0</v>
          </cell>
          <cell r="V45">
            <v>0</v>
          </cell>
          <cell r="W45">
            <v>0</v>
          </cell>
          <cell r="X45">
            <v>0</v>
          </cell>
          <cell r="Y45">
            <v>0</v>
          </cell>
          <cell r="Z45">
            <v>0</v>
          </cell>
          <cell r="AA45">
            <v>0</v>
          </cell>
          <cell r="AB45">
            <v>0</v>
          </cell>
          <cell r="AC45">
            <v>0</v>
          </cell>
          <cell r="AD45">
            <v>0</v>
          </cell>
          <cell r="AE45">
            <v>0</v>
          </cell>
        </row>
        <row r="46">
          <cell r="B46">
            <v>0</v>
          </cell>
          <cell r="C46">
            <v>0</v>
          </cell>
          <cell r="T46">
            <v>0</v>
          </cell>
          <cell r="U46">
            <v>0</v>
          </cell>
          <cell r="V46">
            <v>0</v>
          </cell>
          <cell r="W46">
            <v>0</v>
          </cell>
          <cell r="X46">
            <v>0</v>
          </cell>
          <cell r="Y46">
            <v>0</v>
          </cell>
          <cell r="Z46">
            <v>0</v>
          </cell>
          <cell r="AA46">
            <v>0</v>
          </cell>
          <cell r="AB46">
            <v>0</v>
          </cell>
          <cell r="AC46">
            <v>0</v>
          </cell>
          <cell r="AD46">
            <v>0</v>
          </cell>
          <cell r="AE46">
            <v>0</v>
          </cell>
        </row>
        <row r="47">
          <cell r="B47">
            <v>0</v>
          </cell>
          <cell r="C47">
            <v>0</v>
          </cell>
          <cell r="T47">
            <v>0</v>
          </cell>
          <cell r="U47">
            <v>0</v>
          </cell>
          <cell r="V47">
            <v>0</v>
          </cell>
          <cell r="W47">
            <v>0</v>
          </cell>
          <cell r="X47">
            <v>0</v>
          </cell>
          <cell r="Y47">
            <v>0</v>
          </cell>
          <cell r="Z47">
            <v>0</v>
          </cell>
          <cell r="AA47">
            <v>0</v>
          </cell>
          <cell r="AB47">
            <v>0</v>
          </cell>
          <cell r="AC47">
            <v>0</v>
          </cell>
          <cell r="AD47">
            <v>0</v>
          </cell>
          <cell r="AE47">
            <v>0</v>
          </cell>
        </row>
        <row r="48">
          <cell r="B48">
            <v>0</v>
          </cell>
          <cell r="C48">
            <v>0</v>
          </cell>
          <cell r="T48">
            <v>0</v>
          </cell>
          <cell r="U48">
            <v>0</v>
          </cell>
          <cell r="V48">
            <v>0</v>
          </cell>
          <cell r="W48">
            <v>0</v>
          </cell>
          <cell r="X48">
            <v>0</v>
          </cell>
          <cell r="Y48">
            <v>0</v>
          </cell>
          <cell r="Z48">
            <v>0</v>
          </cell>
          <cell r="AA48">
            <v>0</v>
          </cell>
          <cell r="AB48">
            <v>0</v>
          </cell>
          <cell r="AC48">
            <v>0</v>
          </cell>
          <cell r="AD48">
            <v>0</v>
          </cell>
          <cell r="AE48">
            <v>0</v>
          </cell>
        </row>
        <row r="49">
          <cell r="B49">
            <v>0</v>
          </cell>
          <cell r="C49">
            <v>0</v>
          </cell>
          <cell r="T49">
            <v>0</v>
          </cell>
          <cell r="U49">
            <v>0</v>
          </cell>
          <cell r="V49">
            <v>0</v>
          </cell>
          <cell r="W49">
            <v>0</v>
          </cell>
          <cell r="X49">
            <v>0</v>
          </cell>
          <cell r="Y49">
            <v>0</v>
          </cell>
          <cell r="Z49">
            <v>0</v>
          </cell>
          <cell r="AA49">
            <v>0</v>
          </cell>
          <cell r="AB49">
            <v>0</v>
          </cell>
          <cell r="AC49">
            <v>0</v>
          </cell>
          <cell r="AD49">
            <v>0</v>
          </cell>
          <cell r="AE49">
            <v>0</v>
          </cell>
        </row>
        <row r="50">
          <cell r="B50">
            <v>0</v>
          </cell>
          <cell r="C50">
            <v>0</v>
          </cell>
          <cell r="T50">
            <v>0</v>
          </cell>
          <cell r="U50">
            <v>0</v>
          </cell>
          <cell r="V50">
            <v>0</v>
          </cell>
          <cell r="W50">
            <v>0</v>
          </cell>
          <cell r="X50">
            <v>0</v>
          </cell>
          <cell r="Y50">
            <v>0</v>
          </cell>
          <cell r="Z50">
            <v>0</v>
          </cell>
          <cell r="AA50">
            <v>0</v>
          </cell>
          <cell r="AB50">
            <v>0</v>
          </cell>
          <cell r="AC50">
            <v>0</v>
          </cell>
          <cell r="AD50">
            <v>0</v>
          </cell>
          <cell r="AE50">
            <v>0</v>
          </cell>
        </row>
        <row r="51">
          <cell r="B51">
            <v>0</v>
          </cell>
          <cell r="C51">
            <v>0</v>
          </cell>
          <cell r="T51">
            <v>0</v>
          </cell>
          <cell r="U51">
            <v>0</v>
          </cell>
          <cell r="V51">
            <v>0</v>
          </cell>
          <cell r="W51">
            <v>0</v>
          </cell>
          <cell r="X51">
            <v>0</v>
          </cell>
          <cell r="Y51">
            <v>0</v>
          </cell>
          <cell r="Z51">
            <v>0</v>
          </cell>
          <cell r="AA51">
            <v>0</v>
          </cell>
          <cell r="AB51">
            <v>0</v>
          </cell>
          <cell r="AC51">
            <v>0</v>
          </cell>
          <cell r="AD51">
            <v>0</v>
          </cell>
          <cell r="AE51">
            <v>0</v>
          </cell>
        </row>
        <row r="52">
          <cell r="B52">
            <v>0</v>
          </cell>
          <cell r="C52">
            <v>0</v>
          </cell>
          <cell r="T52">
            <v>0</v>
          </cell>
          <cell r="U52">
            <v>0</v>
          </cell>
          <cell r="V52">
            <v>0</v>
          </cell>
          <cell r="W52">
            <v>0</v>
          </cell>
          <cell r="X52">
            <v>0</v>
          </cell>
          <cell r="Y52">
            <v>0</v>
          </cell>
          <cell r="Z52">
            <v>0</v>
          </cell>
          <cell r="AA52">
            <v>0</v>
          </cell>
          <cell r="AB52">
            <v>0</v>
          </cell>
          <cell r="AC52">
            <v>0</v>
          </cell>
          <cell r="AD52">
            <v>0</v>
          </cell>
          <cell r="AE52">
            <v>0</v>
          </cell>
        </row>
        <row r="53">
          <cell r="B53">
            <v>0</v>
          </cell>
          <cell r="C53">
            <v>0</v>
          </cell>
          <cell r="T53">
            <v>0</v>
          </cell>
          <cell r="U53">
            <v>0</v>
          </cell>
          <cell r="V53">
            <v>0</v>
          </cell>
          <cell r="W53">
            <v>0</v>
          </cell>
          <cell r="X53">
            <v>0</v>
          </cell>
          <cell r="Y53">
            <v>0</v>
          </cell>
          <cell r="Z53">
            <v>0</v>
          </cell>
          <cell r="AA53">
            <v>0</v>
          </cell>
          <cell r="AB53">
            <v>0</v>
          </cell>
          <cell r="AC53">
            <v>0</v>
          </cell>
          <cell r="AD53">
            <v>0</v>
          </cell>
          <cell r="AE53">
            <v>0</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3">
          <cell r="A3">
            <v>0</v>
          </cell>
          <cell r="B3">
            <v>0.05</v>
          </cell>
          <cell r="C3">
            <v>0</v>
          </cell>
        </row>
        <row r="4">
          <cell r="A4">
            <v>5000000</v>
          </cell>
          <cell r="B4">
            <v>0.1</v>
          </cell>
          <cell r="C4">
            <v>250000</v>
          </cell>
        </row>
        <row r="5">
          <cell r="A5">
            <v>10000000</v>
          </cell>
          <cell r="B5">
            <v>0.15</v>
          </cell>
          <cell r="C5">
            <v>750000</v>
          </cell>
        </row>
        <row r="6">
          <cell r="A6">
            <v>18000000</v>
          </cell>
          <cell r="B6">
            <v>0.2</v>
          </cell>
          <cell r="C6">
            <v>1950000</v>
          </cell>
        </row>
        <row r="7">
          <cell r="A7">
            <v>32000000</v>
          </cell>
          <cell r="B7">
            <v>0.25</v>
          </cell>
          <cell r="C7">
            <v>4750000</v>
          </cell>
        </row>
        <row r="8">
          <cell r="A8">
            <v>52000000</v>
          </cell>
          <cell r="B8">
            <v>0.3</v>
          </cell>
          <cell r="C8">
            <v>9750000</v>
          </cell>
        </row>
        <row r="9">
          <cell r="A9">
            <v>80000000</v>
          </cell>
          <cell r="B9">
            <v>0.35</v>
          </cell>
          <cell r="C9">
            <v>18150000</v>
          </cell>
        </row>
        <row r="11">
          <cell r="A11">
            <v>0</v>
          </cell>
          <cell r="B11">
            <v>0.05</v>
          </cell>
          <cell r="C11">
            <v>0</v>
          </cell>
        </row>
        <row r="12">
          <cell r="A12">
            <v>60000000</v>
          </cell>
          <cell r="B12">
            <v>0.1</v>
          </cell>
          <cell r="C12">
            <v>3000000</v>
          </cell>
        </row>
        <row r="13">
          <cell r="A13">
            <v>120000000</v>
          </cell>
          <cell r="B13">
            <v>0.15</v>
          </cell>
          <cell r="C13">
            <v>9000000</v>
          </cell>
        </row>
        <row r="14">
          <cell r="A14">
            <v>216000000</v>
          </cell>
          <cell r="B14">
            <v>0.2</v>
          </cell>
          <cell r="C14">
            <v>23400000</v>
          </cell>
        </row>
        <row r="15">
          <cell r="A15">
            <v>384000000</v>
          </cell>
          <cell r="B15">
            <v>0.25</v>
          </cell>
          <cell r="C15">
            <v>57000000</v>
          </cell>
        </row>
        <row r="16">
          <cell r="A16">
            <v>624000000</v>
          </cell>
          <cell r="B16">
            <v>0.3</v>
          </cell>
          <cell r="C16">
            <v>117000000</v>
          </cell>
        </row>
        <row r="17">
          <cell r="A17">
            <v>960000000</v>
          </cell>
          <cell r="B17">
            <v>0.35</v>
          </cell>
          <cell r="C17">
            <v>217800000</v>
          </cell>
        </row>
      </sheetData>
      <sheetData sheetId="18">
        <row r="2">
          <cell r="A2" t="str">
            <v>CT</v>
          </cell>
          <cell r="B2" t="str">
            <v>QUÝ</v>
          </cell>
          <cell r="C2">
            <v>1</v>
          </cell>
          <cell r="D2">
            <v>2</v>
          </cell>
          <cell r="E2">
            <v>3</v>
          </cell>
          <cell r="F2">
            <v>4</v>
          </cell>
        </row>
        <row r="3">
          <cell r="A3" t="str">
            <v>[21]</v>
          </cell>
          <cell r="B3" t="str">
            <v>Tổng số người lao động:</v>
          </cell>
          <cell r="C3">
            <v>12</v>
          </cell>
          <cell r="D3">
            <v>15</v>
          </cell>
          <cell r="E3">
            <v>15</v>
          </cell>
          <cell r="F3">
            <v>15</v>
          </cell>
        </row>
        <row r="4">
          <cell r="A4" t="str">
            <v>[22]</v>
          </cell>
          <cell r="B4" t="str">
            <v>Trong đó: Cá nhân cư trú có hợp đồng lao động</v>
          </cell>
          <cell r="C4">
            <v>12</v>
          </cell>
          <cell r="D4">
            <v>15</v>
          </cell>
          <cell r="E4">
            <v>15</v>
          </cell>
          <cell r="F4">
            <v>15</v>
          </cell>
        </row>
        <row r="5">
          <cell r="A5" t="str">
            <v>[23]</v>
          </cell>
          <cell r="B5" t="str">
            <v>Tổng số cá nhân đã khấu trừ thuế [23]=[24]+[25]</v>
          </cell>
          <cell r="C5">
            <v>4</v>
          </cell>
          <cell r="D5">
            <v>4</v>
          </cell>
          <cell r="E5">
            <v>4</v>
          </cell>
          <cell r="F5">
            <v>3</v>
          </cell>
        </row>
        <row r="6">
          <cell r="A6" t="str">
            <v>[24]</v>
          </cell>
          <cell r="B6" t="str">
            <v>Cá nhân cư trú</v>
          </cell>
          <cell r="C6">
            <v>4</v>
          </cell>
          <cell r="D6">
            <v>4</v>
          </cell>
          <cell r="E6">
            <v>4</v>
          </cell>
          <cell r="F6">
            <v>3</v>
          </cell>
        </row>
        <row r="7">
          <cell r="A7" t="str">
            <v>[25]</v>
          </cell>
          <cell r="B7" t="str">
            <v>Cá nhân không cư trú</v>
          </cell>
          <cell r="C7">
            <v>0</v>
          </cell>
          <cell r="D7">
            <v>0</v>
          </cell>
          <cell r="E7">
            <v>0</v>
          </cell>
          <cell r="F7">
            <v>0</v>
          </cell>
        </row>
        <row r="8">
          <cell r="A8" t="str">
            <v>[26]</v>
          </cell>
          <cell r="B8" t="str">
            <v>Tổng TNCT trả cho cá nhân [26]=[27]+[28]+[29]</v>
          </cell>
          <cell r="C8">
            <v>331800000</v>
          </cell>
          <cell r="D8">
            <v>408240000</v>
          </cell>
          <cell r="E8">
            <v>418320000</v>
          </cell>
          <cell r="F8">
            <v>408990000</v>
          </cell>
        </row>
        <row r="9">
          <cell r="A9" t="str">
            <v>[27]</v>
          </cell>
          <cell r="B9" t="str">
            <v>Cá nhân cư trú</v>
          </cell>
          <cell r="C9">
            <v>331800000</v>
          </cell>
          <cell r="D9">
            <v>408240000</v>
          </cell>
          <cell r="E9">
            <v>418320000</v>
          </cell>
          <cell r="F9">
            <v>408990000</v>
          </cell>
        </row>
        <row r="10">
          <cell r="A10" t="str">
            <v>[28]</v>
          </cell>
          <cell r="B10" t="str">
            <v>Cá nhân không cư trú</v>
          </cell>
          <cell r="C10">
            <v>0</v>
          </cell>
          <cell r="D10">
            <v>0</v>
          </cell>
          <cell r="E10">
            <v>0</v>
          </cell>
          <cell r="F10">
            <v>0</v>
          </cell>
        </row>
        <row r="11">
          <cell r="A11" t="str">
            <v>[29]</v>
          </cell>
          <cell r="B11" t="str">
            <v>Tổng TNCT trả cho cá nhân thuộc diện phải khấu trừ thuế [30]=[31]+[32]+[33]</v>
          </cell>
          <cell r="C11">
            <v>119880000</v>
          </cell>
          <cell r="D11">
            <v>112680000</v>
          </cell>
          <cell r="E11">
            <v>125480000</v>
          </cell>
          <cell r="F11">
            <v>113550000</v>
          </cell>
        </row>
        <row r="12">
          <cell r="A12" t="str">
            <v>[30]</v>
          </cell>
          <cell r="B12" t="str">
            <v>Cá nhân cư trú</v>
          </cell>
          <cell r="C12">
            <v>119880000</v>
          </cell>
          <cell r="D12">
            <v>112680000</v>
          </cell>
          <cell r="E12">
            <v>125480000</v>
          </cell>
          <cell r="F12">
            <v>113550000</v>
          </cell>
        </row>
        <row r="13">
          <cell r="A13" t="str">
            <v>[31]</v>
          </cell>
          <cell r="B13" t="str">
            <v>Cá nhân không cư trú</v>
          </cell>
          <cell r="C13">
            <v>0</v>
          </cell>
          <cell r="D13">
            <v>0</v>
          </cell>
          <cell r="E13">
            <v>0</v>
          </cell>
          <cell r="F13">
            <v>0</v>
          </cell>
        </row>
        <row r="14">
          <cell r="A14" t="str">
            <v>[32]</v>
          </cell>
          <cell r="B14" t="str">
            <v>Tổng số thuế TNCN đã khấu trừ [34]=[35]+[36]+[37]</v>
          </cell>
          <cell r="C14">
            <v>1606106.25</v>
          </cell>
          <cell r="D14">
            <v>1745763.75</v>
          </cell>
          <cell r="E14">
            <v>1943263.75</v>
          </cell>
          <cell r="F14">
            <v>1694763.75</v>
          </cell>
        </row>
        <row r="15">
          <cell r="A15" t="str">
            <v>[33]</v>
          </cell>
          <cell r="B15" t="str">
            <v>Cá nhân cư trú</v>
          </cell>
          <cell r="C15">
            <v>1606106.25</v>
          </cell>
          <cell r="D15">
            <v>1745763.75</v>
          </cell>
          <cell r="E15">
            <v>1943263.75</v>
          </cell>
          <cell r="F15">
            <v>1694763.75</v>
          </cell>
        </row>
        <row r="16">
          <cell r="A16" t="str">
            <v>[34]</v>
          </cell>
          <cell r="B16" t="str">
            <v>Cá nhân không cư trú</v>
          </cell>
          <cell r="C16">
            <v>0</v>
          </cell>
          <cell r="D16">
            <v>0</v>
          </cell>
          <cell r="E16">
            <v>0</v>
          </cell>
          <cell r="F16">
            <v>0</v>
          </cell>
        </row>
      </sheetData>
      <sheetData sheetId="19"/>
      <sheetData sheetId="20">
        <row r="4">
          <cell r="B4" t="str">
            <v>NGUYỄN THỊ THÚY NGA</v>
          </cell>
        </row>
        <row r="53">
          <cell r="G53">
            <v>1</v>
          </cell>
          <cell r="J53">
            <v>2</v>
          </cell>
          <cell r="M53">
            <v>3</v>
          </cell>
          <cell r="P53">
            <v>4</v>
          </cell>
        </row>
        <row r="54">
          <cell r="C54" t="str">
            <v>[22]</v>
          </cell>
          <cell r="D54" t="str">
            <v>Tổng số người LĐ</v>
          </cell>
          <cell r="G54">
            <v>12</v>
          </cell>
          <cell r="J54">
            <v>15</v>
          </cell>
          <cell r="M54">
            <v>15</v>
          </cell>
          <cell r="P54">
            <v>15</v>
          </cell>
        </row>
        <row r="55">
          <cell r="C55" t="str">
            <v>[24]</v>
          </cell>
          <cell r="D55" t="str">
            <v>Tổng số cá nhân đã khấu trừ thuế</v>
          </cell>
          <cell r="G55">
            <v>4</v>
          </cell>
          <cell r="J55">
            <v>4</v>
          </cell>
          <cell r="M55">
            <v>4</v>
          </cell>
          <cell r="P55">
            <v>3</v>
          </cell>
        </row>
        <row r="56">
          <cell r="C56" t="str">
            <v>[27]</v>
          </cell>
          <cell r="D56" t="str">
            <v>Tổng thu nhập chịu thuế</v>
          </cell>
          <cell r="G56">
            <v>331800000</v>
          </cell>
          <cell r="J56">
            <v>408240000</v>
          </cell>
          <cell r="M56">
            <v>418320000</v>
          </cell>
          <cell r="P56">
            <v>408990000</v>
          </cell>
        </row>
        <row r="57">
          <cell r="D57" t="str">
            <v>Tổng TNCN của cá nhân phải khấu trừ thuế</v>
          </cell>
          <cell r="G57">
            <v>36400000</v>
          </cell>
          <cell r="H57">
            <v>33600000</v>
          </cell>
          <cell r="I57">
            <v>49880000</v>
          </cell>
          <cell r="J57">
            <v>25000000</v>
          </cell>
          <cell r="K57">
            <v>49880000</v>
          </cell>
          <cell r="L57">
            <v>37800000</v>
          </cell>
          <cell r="M57">
            <v>37800000</v>
          </cell>
          <cell r="N57">
            <v>49880000</v>
          </cell>
          <cell r="O57">
            <v>37800000</v>
          </cell>
          <cell r="P57">
            <v>37800000</v>
          </cell>
          <cell r="Q57">
            <v>37800000</v>
          </cell>
          <cell r="R57">
            <v>37950000</v>
          </cell>
        </row>
        <row r="58">
          <cell r="C58" t="str">
            <v>[30]</v>
          </cell>
          <cell r="G58">
            <v>119880000</v>
          </cell>
          <cell r="J58">
            <v>112680000</v>
          </cell>
          <cell r="M58">
            <v>125480000</v>
          </cell>
          <cell r="P58">
            <v>113550000</v>
          </cell>
        </row>
        <row r="59">
          <cell r="C59" t="str">
            <v>[33]</v>
          </cell>
          <cell r="D59" t="str">
            <v>Tổng số thuế TNCN khấu trừ</v>
          </cell>
          <cell r="G59">
            <v>1606106.25</v>
          </cell>
          <cell r="J59">
            <v>1745763.75</v>
          </cell>
          <cell r="M59">
            <v>1943263.75</v>
          </cell>
          <cell r="P59">
            <v>1694763.75</v>
          </cell>
        </row>
      </sheetData>
      <sheetData sheetId="21">
        <row r="4">
          <cell r="B4" t="str">
            <v>NGUYỄN THỊ THÚY NGA</v>
          </cell>
          <cell r="C4" t="str">
            <v>0103273785</v>
          </cell>
          <cell r="D4">
            <v>642</v>
          </cell>
          <cell r="E4" t="str">
            <v/>
          </cell>
          <cell r="F4">
            <v>410000</v>
          </cell>
          <cell r="G4">
            <v>290000</v>
          </cell>
          <cell r="H4">
            <v>590000</v>
          </cell>
          <cell r="I4">
            <v>350000</v>
          </cell>
          <cell r="J4">
            <v>590000</v>
          </cell>
          <cell r="K4">
            <v>470000</v>
          </cell>
          <cell r="L4">
            <v>470000</v>
          </cell>
          <cell r="M4">
            <v>590000</v>
          </cell>
          <cell r="N4">
            <v>470000</v>
          </cell>
          <cell r="O4">
            <v>470000</v>
          </cell>
          <cell r="P4">
            <v>470000</v>
          </cell>
          <cell r="Q4">
            <v>475000</v>
          </cell>
          <cell r="R4">
            <v>5645000</v>
          </cell>
        </row>
        <row r="5">
          <cell r="B5" t="str">
            <v>NGUYỄN THỊ VIỆT HƯƠNG</v>
          </cell>
          <cell r="C5" t="str">
            <v>0103274475</v>
          </cell>
          <cell r="D5">
            <v>642</v>
          </cell>
          <cell r="E5" t="str">
            <v/>
          </cell>
          <cell r="F5">
            <v>48921.25</v>
          </cell>
          <cell r="G5">
            <v>8921.25</v>
          </cell>
          <cell r="H5">
            <v>108921.25</v>
          </cell>
          <cell r="I5">
            <v>28921.25</v>
          </cell>
          <cell r="J5">
            <v>108921.25</v>
          </cell>
          <cell r="K5">
            <v>68921.25</v>
          </cell>
          <cell r="L5">
            <v>68921.25</v>
          </cell>
          <cell r="M5">
            <v>108921.25</v>
          </cell>
          <cell r="N5">
            <v>68921.25</v>
          </cell>
          <cell r="O5">
            <v>68921.25</v>
          </cell>
          <cell r="P5">
            <v>68921.25</v>
          </cell>
          <cell r="Q5">
            <v>71421.25</v>
          </cell>
          <cell r="R5">
            <v>829555</v>
          </cell>
        </row>
        <row r="6">
          <cell r="B6" t="str">
            <v>CHU THỊ DIÊN</v>
          </cell>
          <cell r="C6" t="str">
            <v>8350130190</v>
          </cell>
          <cell r="D6">
            <v>642</v>
          </cell>
          <cell r="E6" t="str">
            <v/>
          </cell>
          <cell r="F6">
            <v>0</v>
          </cell>
          <cell r="G6">
            <v>0</v>
          </cell>
          <cell r="H6">
            <v>14000</v>
          </cell>
          <cell r="I6">
            <v>0</v>
          </cell>
          <cell r="J6">
            <v>14000</v>
          </cell>
          <cell r="K6">
            <v>0</v>
          </cell>
          <cell r="L6">
            <v>0</v>
          </cell>
          <cell r="M6">
            <v>14000</v>
          </cell>
          <cell r="N6">
            <v>0</v>
          </cell>
          <cell r="O6">
            <v>0</v>
          </cell>
          <cell r="P6">
            <v>0</v>
          </cell>
          <cell r="Q6">
            <v>0</v>
          </cell>
          <cell r="R6">
            <v>42000</v>
          </cell>
        </row>
        <row r="7">
          <cell r="B7" t="str">
            <v>TRẦN QUANG HUY</v>
          </cell>
          <cell r="C7" t="str">
            <v>8094490739</v>
          </cell>
          <cell r="D7">
            <v>642</v>
          </cell>
          <cell r="E7" t="str">
            <v/>
          </cell>
          <cell r="F7">
            <v>0</v>
          </cell>
          <cell r="G7">
            <v>0</v>
          </cell>
          <cell r="H7">
            <v>0</v>
          </cell>
          <cell r="I7">
            <v>0</v>
          </cell>
          <cell r="J7">
            <v>0</v>
          </cell>
          <cell r="K7">
            <v>0</v>
          </cell>
          <cell r="L7">
            <v>0</v>
          </cell>
          <cell r="M7">
            <v>0</v>
          </cell>
          <cell r="N7">
            <v>0</v>
          </cell>
          <cell r="O7">
            <v>0</v>
          </cell>
          <cell r="P7">
            <v>0</v>
          </cell>
          <cell r="Q7">
            <v>0</v>
          </cell>
          <cell r="R7">
            <v>0</v>
          </cell>
        </row>
        <row r="8">
          <cell r="B8" t="str">
            <v>LÊ THỊ ÁNH NGUYỆT</v>
          </cell>
          <cell r="C8">
            <v>103274147</v>
          </cell>
          <cell r="D8">
            <v>642</v>
          </cell>
          <cell r="E8" t="str">
            <v/>
          </cell>
          <cell r="F8">
            <v>48921.25</v>
          </cell>
          <cell r="G8">
            <v>8921.25</v>
          </cell>
          <cell r="H8">
            <v>77500</v>
          </cell>
          <cell r="I8">
            <v>0</v>
          </cell>
          <cell r="J8">
            <v>77500</v>
          </cell>
          <cell r="K8">
            <v>37500</v>
          </cell>
          <cell r="L8">
            <v>37500</v>
          </cell>
          <cell r="M8">
            <v>77500</v>
          </cell>
          <cell r="N8">
            <v>37500</v>
          </cell>
          <cell r="O8">
            <v>37500</v>
          </cell>
          <cell r="P8">
            <v>37500</v>
          </cell>
          <cell r="Q8">
            <v>40000</v>
          </cell>
          <cell r="R8">
            <v>517842.5</v>
          </cell>
        </row>
        <row r="9">
          <cell r="B9" t="str">
            <v>TRẦN THỊ HẰNG</v>
          </cell>
          <cell r="C9">
            <v>8029065029</v>
          </cell>
          <cell r="D9">
            <v>642</v>
          </cell>
          <cell r="E9" t="str">
            <v/>
          </cell>
          <cell r="F9">
            <v>0</v>
          </cell>
          <cell r="G9">
            <v>0</v>
          </cell>
          <cell r="H9">
            <v>0</v>
          </cell>
          <cell r="I9">
            <v>0</v>
          </cell>
          <cell r="J9">
            <v>0</v>
          </cell>
          <cell r="K9">
            <v>0</v>
          </cell>
          <cell r="L9">
            <v>0</v>
          </cell>
          <cell r="M9">
            <v>0</v>
          </cell>
          <cell r="N9">
            <v>0</v>
          </cell>
          <cell r="O9">
            <v>0</v>
          </cell>
          <cell r="P9">
            <v>0</v>
          </cell>
          <cell r="Q9">
            <v>0</v>
          </cell>
          <cell r="R9">
            <v>0</v>
          </cell>
        </row>
        <row r="10">
          <cell r="B10" t="str">
            <v>ĐÀO VĂN HÙNG</v>
          </cell>
          <cell r="C10" t="str">
            <v>8344451220</v>
          </cell>
          <cell r="D10">
            <v>154</v>
          </cell>
          <cell r="E10" t="str">
            <v/>
          </cell>
          <cell r="F10">
            <v>0</v>
          </cell>
          <cell r="G10">
            <v>0</v>
          </cell>
          <cell r="H10">
            <v>0</v>
          </cell>
          <cell r="I10">
            <v>0</v>
          </cell>
          <cell r="J10">
            <v>0</v>
          </cell>
          <cell r="K10">
            <v>0</v>
          </cell>
          <cell r="L10">
            <v>0</v>
          </cell>
          <cell r="M10">
            <v>0</v>
          </cell>
          <cell r="N10">
            <v>0</v>
          </cell>
          <cell r="O10">
            <v>0</v>
          </cell>
          <cell r="P10">
            <v>0</v>
          </cell>
          <cell r="Q10">
            <v>0</v>
          </cell>
          <cell r="R10">
            <v>0</v>
          </cell>
        </row>
        <row r="11">
          <cell r="B11" t="str">
            <v>PHẠM THỊ HOA MAI</v>
          </cell>
          <cell r="C11">
            <v>8083169869</v>
          </cell>
          <cell r="D11">
            <v>154</v>
          </cell>
          <cell r="E11" t="str">
            <v/>
          </cell>
          <cell r="F11">
            <v>0</v>
          </cell>
          <cell r="G11">
            <v>0</v>
          </cell>
          <cell r="H11">
            <v>0</v>
          </cell>
          <cell r="I11">
            <v>0</v>
          </cell>
          <cell r="J11">
            <v>0</v>
          </cell>
          <cell r="K11">
            <v>0</v>
          </cell>
          <cell r="L11">
            <v>0</v>
          </cell>
          <cell r="M11">
            <v>0</v>
          </cell>
          <cell r="N11">
            <v>0</v>
          </cell>
          <cell r="O11">
            <v>0</v>
          </cell>
          <cell r="P11">
            <v>0</v>
          </cell>
          <cell r="Q11">
            <v>0</v>
          </cell>
          <cell r="R11">
            <v>0</v>
          </cell>
        </row>
        <row r="12">
          <cell r="B12" t="str">
            <v>PHAN THỊ KIM PHƯỢNG</v>
          </cell>
          <cell r="C12">
            <v>8368565354</v>
          </cell>
          <cell r="D12">
            <v>154</v>
          </cell>
          <cell r="E12" t="str">
            <v/>
          </cell>
          <cell r="F12">
            <v>0</v>
          </cell>
          <cell r="G12">
            <v>0</v>
          </cell>
          <cell r="H12">
            <v>0</v>
          </cell>
          <cell r="I12">
            <v>0</v>
          </cell>
          <cell r="J12">
            <v>0</v>
          </cell>
          <cell r="K12">
            <v>0</v>
          </cell>
          <cell r="L12">
            <v>0</v>
          </cell>
          <cell r="M12">
            <v>0</v>
          </cell>
          <cell r="N12">
            <v>0</v>
          </cell>
          <cell r="O12">
            <v>0</v>
          </cell>
          <cell r="P12">
            <v>0</v>
          </cell>
          <cell r="Q12">
            <v>0</v>
          </cell>
          <cell r="R12">
            <v>0</v>
          </cell>
        </row>
        <row r="13">
          <cell r="B13" t="str">
            <v>TRẦN ĐOÀN TUẤN</v>
          </cell>
          <cell r="C13">
            <v>8315386270</v>
          </cell>
          <cell r="D13">
            <v>154</v>
          </cell>
          <cell r="E13" t="str">
            <v/>
          </cell>
          <cell r="F13">
            <v>0</v>
          </cell>
          <cell r="G13">
            <v>0</v>
          </cell>
          <cell r="H13">
            <v>0</v>
          </cell>
          <cell r="I13">
            <v>0</v>
          </cell>
          <cell r="J13">
            <v>0</v>
          </cell>
          <cell r="K13">
            <v>0</v>
          </cell>
          <cell r="L13">
            <v>0</v>
          </cell>
          <cell r="M13">
            <v>0</v>
          </cell>
          <cell r="N13">
            <v>0</v>
          </cell>
          <cell r="O13">
            <v>0</v>
          </cell>
          <cell r="P13">
            <v>0</v>
          </cell>
          <cell r="Q13">
            <v>0</v>
          </cell>
          <cell r="R13">
            <v>0</v>
          </cell>
        </row>
        <row r="14">
          <cell r="B14" t="str">
            <v>PHAN HỒNG NGỌC</v>
          </cell>
          <cell r="C14">
            <v>8464763327</v>
          </cell>
          <cell r="D14">
            <v>154</v>
          </cell>
          <cell r="E14" t="str">
            <v/>
          </cell>
          <cell r="F14">
            <v>0</v>
          </cell>
          <cell r="G14">
            <v>0</v>
          </cell>
          <cell r="H14">
            <v>0</v>
          </cell>
          <cell r="I14">
            <v>0</v>
          </cell>
          <cell r="J14">
            <v>0</v>
          </cell>
          <cell r="K14">
            <v>0</v>
          </cell>
          <cell r="L14">
            <v>0</v>
          </cell>
          <cell r="M14">
            <v>0</v>
          </cell>
          <cell r="N14">
            <v>0</v>
          </cell>
          <cell r="O14">
            <v>0</v>
          </cell>
          <cell r="P14">
            <v>0</v>
          </cell>
          <cell r="Q14">
            <v>0</v>
          </cell>
          <cell r="R14">
            <v>0</v>
          </cell>
        </row>
        <row r="15">
          <cell r="B15" t="str">
            <v>BÙI THỊ NGỌC HÂN</v>
          </cell>
          <cell r="C15">
            <v>8049342626</v>
          </cell>
          <cell r="D15">
            <v>154</v>
          </cell>
          <cell r="E15" t="str">
            <v/>
          </cell>
          <cell r="F15">
            <v>0</v>
          </cell>
          <cell r="G15">
            <v>0</v>
          </cell>
          <cell r="H15">
            <v>0</v>
          </cell>
          <cell r="I15">
            <v>0</v>
          </cell>
          <cell r="J15">
            <v>0</v>
          </cell>
          <cell r="K15">
            <v>0</v>
          </cell>
          <cell r="L15">
            <v>0</v>
          </cell>
          <cell r="M15">
            <v>0</v>
          </cell>
          <cell r="N15">
            <v>0</v>
          </cell>
          <cell r="O15">
            <v>0</v>
          </cell>
          <cell r="P15">
            <v>0</v>
          </cell>
          <cell r="Q15">
            <v>0</v>
          </cell>
          <cell r="R15">
            <v>0</v>
          </cell>
        </row>
        <row r="16">
          <cell r="B16" t="str">
            <v>VƯƠNG QUỐC ĐẠT</v>
          </cell>
          <cell r="C16">
            <v>8009746809</v>
          </cell>
          <cell r="D16">
            <v>154</v>
          </cell>
          <cell r="E16" t="str">
            <v/>
          </cell>
          <cell r="F16">
            <v>0</v>
          </cell>
          <cell r="G16">
            <v>0</v>
          </cell>
          <cell r="H16">
            <v>0</v>
          </cell>
          <cell r="I16">
            <v>0</v>
          </cell>
          <cell r="J16">
            <v>0</v>
          </cell>
          <cell r="K16">
            <v>0</v>
          </cell>
          <cell r="L16">
            <v>0</v>
          </cell>
          <cell r="M16">
            <v>0</v>
          </cell>
          <cell r="N16">
            <v>0</v>
          </cell>
          <cell r="O16">
            <v>0</v>
          </cell>
          <cell r="P16">
            <v>0</v>
          </cell>
          <cell r="Q16">
            <v>0</v>
          </cell>
          <cell r="R16">
            <v>0</v>
          </cell>
        </row>
        <row r="17">
          <cell r="B17" t="str">
            <v>VŨ THỊ NGỌC ANH</v>
          </cell>
          <cell r="C17">
            <v>8450189529</v>
          </cell>
          <cell r="D17">
            <v>154</v>
          </cell>
          <cell r="E17" t="str">
            <v/>
          </cell>
          <cell r="F17">
            <v>0</v>
          </cell>
          <cell r="G17">
            <v>0</v>
          </cell>
          <cell r="H17">
            <v>0</v>
          </cell>
          <cell r="I17">
            <v>0</v>
          </cell>
          <cell r="J17">
            <v>0</v>
          </cell>
          <cell r="K17">
            <v>0</v>
          </cell>
          <cell r="L17">
            <v>0</v>
          </cell>
          <cell r="M17">
            <v>0</v>
          </cell>
          <cell r="N17">
            <v>0</v>
          </cell>
          <cell r="O17">
            <v>0</v>
          </cell>
          <cell r="P17">
            <v>0</v>
          </cell>
          <cell r="Q17">
            <v>0</v>
          </cell>
          <cell r="R17">
            <v>0</v>
          </cell>
        </row>
        <row r="18">
          <cell r="B18" t="str">
            <v>NGUYỄN THANH PHONG</v>
          </cell>
          <cell r="C18">
            <v>8372882892</v>
          </cell>
          <cell r="D18">
            <v>154</v>
          </cell>
          <cell r="E18" t="str">
            <v/>
          </cell>
          <cell r="F18">
            <v>0</v>
          </cell>
          <cell r="G18">
            <v>0</v>
          </cell>
          <cell r="H18">
            <v>0</v>
          </cell>
          <cell r="I18">
            <v>0</v>
          </cell>
          <cell r="J18">
            <v>0</v>
          </cell>
          <cell r="K18">
            <v>0</v>
          </cell>
          <cell r="L18">
            <v>0</v>
          </cell>
          <cell r="M18">
            <v>0</v>
          </cell>
          <cell r="N18">
            <v>0</v>
          </cell>
          <cell r="O18">
            <v>0</v>
          </cell>
          <cell r="P18">
            <v>0</v>
          </cell>
          <cell r="Q18">
            <v>0</v>
          </cell>
          <cell r="R18">
            <v>0</v>
          </cell>
        </row>
        <row r="19">
          <cell r="B19">
            <v>0</v>
          </cell>
          <cell r="C19">
            <v>0</v>
          </cell>
          <cell r="D19">
            <v>0</v>
          </cell>
          <cell r="E19" t="str">
            <v/>
          </cell>
          <cell r="F19">
            <v>0</v>
          </cell>
          <cell r="G19">
            <v>0</v>
          </cell>
          <cell r="H19">
            <v>0</v>
          </cell>
          <cell r="I19">
            <v>0</v>
          </cell>
          <cell r="J19">
            <v>0</v>
          </cell>
          <cell r="K19">
            <v>0</v>
          </cell>
          <cell r="L19">
            <v>0</v>
          </cell>
          <cell r="M19">
            <v>0</v>
          </cell>
          <cell r="N19">
            <v>0</v>
          </cell>
          <cell r="O19">
            <v>0</v>
          </cell>
          <cell r="P19">
            <v>0</v>
          </cell>
          <cell r="Q19">
            <v>0</v>
          </cell>
          <cell r="R19">
            <v>0</v>
          </cell>
        </row>
        <row r="20">
          <cell r="B20">
            <v>0</v>
          </cell>
          <cell r="C20">
            <v>0</v>
          </cell>
          <cell r="D20">
            <v>0</v>
          </cell>
          <cell r="E20" t="str">
            <v/>
          </cell>
          <cell r="F20">
            <v>0</v>
          </cell>
          <cell r="G20">
            <v>0</v>
          </cell>
          <cell r="H20">
            <v>0</v>
          </cell>
          <cell r="I20">
            <v>0</v>
          </cell>
          <cell r="J20">
            <v>0</v>
          </cell>
          <cell r="K20">
            <v>0</v>
          </cell>
          <cell r="L20">
            <v>0</v>
          </cell>
          <cell r="M20">
            <v>0</v>
          </cell>
          <cell r="N20">
            <v>0</v>
          </cell>
          <cell r="O20">
            <v>0</v>
          </cell>
          <cell r="P20">
            <v>0</v>
          </cell>
          <cell r="Q20">
            <v>0</v>
          </cell>
          <cell r="R20">
            <v>0</v>
          </cell>
        </row>
        <row r="21">
          <cell r="B21">
            <v>0</v>
          </cell>
          <cell r="C21">
            <v>0</v>
          </cell>
          <cell r="D21">
            <v>0</v>
          </cell>
          <cell r="E21" t="str">
            <v/>
          </cell>
          <cell r="F21">
            <v>0</v>
          </cell>
          <cell r="G21">
            <v>0</v>
          </cell>
          <cell r="H21">
            <v>0</v>
          </cell>
          <cell r="I21">
            <v>0</v>
          </cell>
          <cell r="J21">
            <v>0</v>
          </cell>
          <cell r="K21">
            <v>0</v>
          </cell>
          <cell r="L21">
            <v>0</v>
          </cell>
          <cell r="M21">
            <v>0</v>
          </cell>
          <cell r="N21">
            <v>0</v>
          </cell>
          <cell r="O21">
            <v>0</v>
          </cell>
          <cell r="P21">
            <v>0</v>
          </cell>
          <cell r="Q21">
            <v>0</v>
          </cell>
          <cell r="R21">
            <v>0</v>
          </cell>
        </row>
        <row r="22">
          <cell r="B22">
            <v>0</v>
          </cell>
          <cell r="C22">
            <v>0</v>
          </cell>
          <cell r="D22">
            <v>0</v>
          </cell>
          <cell r="E22" t="str">
            <v/>
          </cell>
          <cell r="F22">
            <v>0</v>
          </cell>
          <cell r="G22">
            <v>0</v>
          </cell>
          <cell r="H22">
            <v>0</v>
          </cell>
          <cell r="I22">
            <v>0</v>
          </cell>
          <cell r="J22">
            <v>0</v>
          </cell>
          <cell r="K22">
            <v>0</v>
          </cell>
          <cell r="L22">
            <v>0</v>
          </cell>
          <cell r="M22">
            <v>0</v>
          </cell>
          <cell r="N22">
            <v>0</v>
          </cell>
          <cell r="O22">
            <v>0</v>
          </cell>
          <cell r="P22">
            <v>0</v>
          </cell>
          <cell r="Q22">
            <v>0</v>
          </cell>
          <cell r="R22">
            <v>0</v>
          </cell>
        </row>
        <row r="23">
          <cell r="B23">
            <v>0</v>
          </cell>
          <cell r="C23">
            <v>0</v>
          </cell>
          <cell r="D23">
            <v>0</v>
          </cell>
          <cell r="E23" t="str">
            <v/>
          </cell>
          <cell r="F23">
            <v>0</v>
          </cell>
          <cell r="G23">
            <v>0</v>
          </cell>
          <cell r="H23">
            <v>0</v>
          </cell>
          <cell r="I23">
            <v>0</v>
          </cell>
          <cell r="J23">
            <v>0</v>
          </cell>
          <cell r="K23">
            <v>0</v>
          </cell>
          <cell r="L23">
            <v>0</v>
          </cell>
          <cell r="M23">
            <v>0</v>
          </cell>
          <cell r="N23">
            <v>0</v>
          </cell>
          <cell r="O23">
            <v>0</v>
          </cell>
          <cell r="P23">
            <v>0</v>
          </cell>
          <cell r="Q23">
            <v>0</v>
          </cell>
          <cell r="R23">
            <v>0</v>
          </cell>
        </row>
        <row r="24">
          <cell r="B24">
            <v>0</v>
          </cell>
          <cell r="C24">
            <v>0</v>
          </cell>
          <cell r="D24">
            <v>0</v>
          </cell>
          <cell r="E24" t="str">
            <v/>
          </cell>
          <cell r="F24">
            <v>0</v>
          </cell>
          <cell r="G24">
            <v>0</v>
          </cell>
          <cell r="H24">
            <v>0</v>
          </cell>
          <cell r="I24">
            <v>0</v>
          </cell>
          <cell r="J24">
            <v>0</v>
          </cell>
          <cell r="K24">
            <v>0</v>
          </cell>
          <cell r="L24">
            <v>0</v>
          </cell>
          <cell r="M24">
            <v>0</v>
          </cell>
          <cell r="N24">
            <v>0</v>
          </cell>
          <cell r="O24">
            <v>0</v>
          </cell>
          <cell r="P24">
            <v>0</v>
          </cell>
          <cell r="Q24">
            <v>0</v>
          </cell>
          <cell r="R24">
            <v>0</v>
          </cell>
        </row>
        <row r="25">
          <cell r="B25">
            <v>0</v>
          </cell>
          <cell r="C25">
            <v>0</v>
          </cell>
          <cell r="D25">
            <v>0</v>
          </cell>
          <cell r="E25" t="str">
            <v/>
          </cell>
          <cell r="F25">
            <v>0</v>
          </cell>
          <cell r="G25">
            <v>0</v>
          </cell>
          <cell r="H25">
            <v>0</v>
          </cell>
          <cell r="I25">
            <v>0</v>
          </cell>
          <cell r="J25">
            <v>0</v>
          </cell>
          <cell r="K25">
            <v>0</v>
          </cell>
          <cell r="L25">
            <v>0</v>
          </cell>
          <cell r="M25">
            <v>0</v>
          </cell>
          <cell r="N25">
            <v>0</v>
          </cell>
          <cell r="O25">
            <v>0</v>
          </cell>
          <cell r="P25">
            <v>0</v>
          </cell>
          <cell r="Q25">
            <v>0</v>
          </cell>
          <cell r="R25">
            <v>0</v>
          </cell>
        </row>
        <row r="26">
          <cell r="B26">
            <v>0</v>
          </cell>
          <cell r="C26">
            <v>0</v>
          </cell>
          <cell r="D26">
            <v>0</v>
          </cell>
          <cell r="E26" t="str">
            <v/>
          </cell>
          <cell r="F26">
            <v>0</v>
          </cell>
          <cell r="G26">
            <v>0</v>
          </cell>
          <cell r="H26">
            <v>0</v>
          </cell>
          <cell r="I26">
            <v>0</v>
          </cell>
          <cell r="J26">
            <v>0</v>
          </cell>
          <cell r="K26">
            <v>0</v>
          </cell>
          <cell r="L26">
            <v>0</v>
          </cell>
          <cell r="M26">
            <v>0</v>
          </cell>
          <cell r="N26">
            <v>0</v>
          </cell>
          <cell r="O26">
            <v>0</v>
          </cell>
          <cell r="P26">
            <v>0</v>
          </cell>
          <cell r="Q26">
            <v>0</v>
          </cell>
          <cell r="R26">
            <v>0</v>
          </cell>
        </row>
        <row r="27">
          <cell r="B27">
            <v>0</v>
          </cell>
          <cell r="C27">
            <v>0</v>
          </cell>
          <cell r="D27">
            <v>0</v>
          </cell>
          <cell r="E27" t="str">
            <v/>
          </cell>
          <cell r="F27">
            <v>0</v>
          </cell>
          <cell r="G27">
            <v>0</v>
          </cell>
          <cell r="H27">
            <v>0</v>
          </cell>
          <cell r="I27">
            <v>0</v>
          </cell>
          <cell r="J27">
            <v>0</v>
          </cell>
          <cell r="K27">
            <v>0</v>
          </cell>
          <cell r="L27">
            <v>0</v>
          </cell>
          <cell r="M27">
            <v>0</v>
          </cell>
          <cell r="N27">
            <v>0</v>
          </cell>
          <cell r="O27">
            <v>0</v>
          </cell>
          <cell r="P27">
            <v>0</v>
          </cell>
          <cell r="Q27">
            <v>0</v>
          </cell>
          <cell r="R27">
            <v>0</v>
          </cell>
        </row>
        <row r="28">
          <cell r="B28">
            <v>0</v>
          </cell>
          <cell r="C28">
            <v>0</v>
          </cell>
          <cell r="D28">
            <v>0</v>
          </cell>
          <cell r="E28" t="str">
            <v/>
          </cell>
          <cell r="F28">
            <v>0</v>
          </cell>
          <cell r="G28">
            <v>0</v>
          </cell>
          <cell r="H28">
            <v>0</v>
          </cell>
          <cell r="I28">
            <v>0</v>
          </cell>
          <cell r="J28">
            <v>0</v>
          </cell>
          <cell r="K28">
            <v>0</v>
          </cell>
          <cell r="L28">
            <v>0</v>
          </cell>
          <cell r="M28">
            <v>0</v>
          </cell>
          <cell r="N28">
            <v>0</v>
          </cell>
          <cell r="O28">
            <v>0</v>
          </cell>
          <cell r="P28">
            <v>0</v>
          </cell>
          <cell r="Q28">
            <v>0</v>
          </cell>
          <cell r="R28">
            <v>0</v>
          </cell>
        </row>
        <row r="29">
          <cell r="B29">
            <v>0</v>
          </cell>
          <cell r="C29">
            <v>0</v>
          </cell>
          <cell r="D29">
            <v>0</v>
          </cell>
          <cell r="E29" t="str">
            <v/>
          </cell>
          <cell r="F29">
            <v>0</v>
          </cell>
          <cell r="G29">
            <v>0</v>
          </cell>
          <cell r="H29">
            <v>0</v>
          </cell>
          <cell r="I29">
            <v>0</v>
          </cell>
          <cell r="J29">
            <v>0</v>
          </cell>
          <cell r="K29">
            <v>0</v>
          </cell>
          <cell r="L29">
            <v>0</v>
          </cell>
          <cell r="M29">
            <v>0</v>
          </cell>
          <cell r="N29">
            <v>0</v>
          </cell>
          <cell r="O29">
            <v>0</v>
          </cell>
          <cell r="P29">
            <v>0</v>
          </cell>
          <cell r="Q29">
            <v>0</v>
          </cell>
          <cell r="R29">
            <v>0</v>
          </cell>
        </row>
        <row r="30">
          <cell r="B30">
            <v>0</v>
          </cell>
          <cell r="C30">
            <v>0</v>
          </cell>
          <cell r="D30">
            <v>0</v>
          </cell>
          <cell r="E30" t="str">
            <v/>
          </cell>
          <cell r="F30">
            <v>0</v>
          </cell>
          <cell r="G30">
            <v>0</v>
          </cell>
          <cell r="H30">
            <v>0</v>
          </cell>
          <cell r="I30">
            <v>0</v>
          </cell>
          <cell r="J30">
            <v>0</v>
          </cell>
          <cell r="K30">
            <v>0</v>
          </cell>
          <cell r="L30">
            <v>0</v>
          </cell>
          <cell r="M30">
            <v>0</v>
          </cell>
          <cell r="N30">
            <v>0</v>
          </cell>
          <cell r="O30">
            <v>0</v>
          </cell>
          <cell r="P30">
            <v>0</v>
          </cell>
          <cell r="Q30">
            <v>0</v>
          </cell>
          <cell r="R30">
            <v>0</v>
          </cell>
        </row>
        <row r="31">
          <cell r="B31">
            <v>0</v>
          </cell>
          <cell r="C31">
            <v>0</v>
          </cell>
          <cell r="D31">
            <v>0</v>
          </cell>
          <cell r="E31" t="str">
            <v/>
          </cell>
          <cell r="F31">
            <v>0</v>
          </cell>
          <cell r="G31">
            <v>0</v>
          </cell>
          <cell r="H31">
            <v>0</v>
          </cell>
          <cell r="I31">
            <v>0</v>
          </cell>
          <cell r="J31">
            <v>0</v>
          </cell>
          <cell r="K31">
            <v>0</v>
          </cell>
          <cell r="L31">
            <v>0</v>
          </cell>
          <cell r="M31">
            <v>0</v>
          </cell>
          <cell r="N31">
            <v>0</v>
          </cell>
          <cell r="O31">
            <v>0</v>
          </cell>
          <cell r="P31">
            <v>0</v>
          </cell>
          <cell r="Q31">
            <v>0</v>
          </cell>
          <cell r="R31">
            <v>0</v>
          </cell>
        </row>
        <row r="32">
          <cell r="B32">
            <v>0</v>
          </cell>
          <cell r="C32">
            <v>0</v>
          </cell>
          <cell r="D32">
            <v>0</v>
          </cell>
          <cell r="E32" t="str">
            <v/>
          </cell>
          <cell r="F32">
            <v>0</v>
          </cell>
          <cell r="G32">
            <v>0</v>
          </cell>
          <cell r="H32">
            <v>0</v>
          </cell>
          <cell r="I32">
            <v>0</v>
          </cell>
          <cell r="J32">
            <v>0</v>
          </cell>
          <cell r="K32">
            <v>0</v>
          </cell>
          <cell r="L32">
            <v>0</v>
          </cell>
          <cell r="M32">
            <v>0</v>
          </cell>
          <cell r="N32">
            <v>0</v>
          </cell>
          <cell r="O32">
            <v>0</v>
          </cell>
          <cell r="P32">
            <v>0</v>
          </cell>
          <cell r="Q32">
            <v>0</v>
          </cell>
          <cell r="R32">
            <v>0</v>
          </cell>
        </row>
        <row r="33">
          <cell r="B33">
            <v>0</v>
          </cell>
          <cell r="C33">
            <v>0</v>
          </cell>
          <cell r="D33">
            <v>0</v>
          </cell>
          <cell r="E33" t="str">
            <v/>
          </cell>
          <cell r="F33">
            <v>0</v>
          </cell>
          <cell r="G33">
            <v>0</v>
          </cell>
          <cell r="H33">
            <v>0</v>
          </cell>
          <cell r="I33">
            <v>0</v>
          </cell>
          <cell r="J33">
            <v>0</v>
          </cell>
          <cell r="K33">
            <v>0</v>
          </cell>
          <cell r="L33">
            <v>0</v>
          </cell>
          <cell r="M33">
            <v>0</v>
          </cell>
          <cell r="N33">
            <v>0</v>
          </cell>
          <cell r="O33">
            <v>0</v>
          </cell>
          <cell r="P33">
            <v>0</v>
          </cell>
          <cell r="Q33">
            <v>0</v>
          </cell>
          <cell r="R33">
            <v>0</v>
          </cell>
        </row>
        <row r="34">
          <cell r="B34">
            <v>0</v>
          </cell>
          <cell r="C34">
            <v>0</v>
          </cell>
          <cell r="D34">
            <v>0</v>
          </cell>
          <cell r="E34" t="str">
            <v/>
          </cell>
          <cell r="F34">
            <v>0</v>
          </cell>
          <cell r="G34">
            <v>0</v>
          </cell>
          <cell r="H34">
            <v>0</v>
          </cell>
          <cell r="I34">
            <v>0</v>
          </cell>
          <cell r="J34">
            <v>0</v>
          </cell>
          <cell r="K34">
            <v>0</v>
          </cell>
          <cell r="L34">
            <v>0</v>
          </cell>
          <cell r="M34">
            <v>0</v>
          </cell>
          <cell r="N34">
            <v>0</v>
          </cell>
          <cell r="O34">
            <v>0</v>
          </cell>
          <cell r="P34">
            <v>0</v>
          </cell>
          <cell r="Q34">
            <v>0</v>
          </cell>
          <cell r="R34">
            <v>0</v>
          </cell>
        </row>
        <row r="35">
          <cell r="B35">
            <v>0</v>
          </cell>
          <cell r="C35">
            <v>0</v>
          </cell>
          <cell r="D35">
            <v>0</v>
          </cell>
          <cell r="E35" t="str">
            <v/>
          </cell>
          <cell r="F35">
            <v>0</v>
          </cell>
          <cell r="G35">
            <v>0</v>
          </cell>
          <cell r="H35">
            <v>0</v>
          </cell>
          <cell r="I35">
            <v>0</v>
          </cell>
          <cell r="J35">
            <v>0</v>
          </cell>
          <cell r="K35">
            <v>0</v>
          </cell>
          <cell r="L35">
            <v>0</v>
          </cell>
          <cell r="M35">
            <v>0</v>
          </cell>
          <cell r="N35">
            <v>0</v>
          </cell>
          <cell r="O35">
            <v>0</v>
          </cell>
          <cell r="P35">
            <v>0</v>
          </cell>
          <cell r="Q35">
            <v>0</v>
          </cell>
          <cell r="R35">
            <v>0</v>
          </cell>
        </row>
        <row r="36">
          <cell r="B36">
            <v>0</v>
          </cell>
          <cell r="C36">
            <v>0</v>
          </cell>
          <cell r="D36">
            <v>0</v>
          </cell>
          <cell r="E36" t="str">
            <v/>
          </cell>
          <cell r="F36">
            <v>0</v>
          </cell>
          <cell r="G36">
            <v>0</v>
          </cell>
          <cell r="H36">
            <v>0</v>
          </cell>
          <cell r="I36">
            <v>0</v>
          </cell>
          <cell r="J36">
            <v>0</v>
          </cell>
          <cell r="K36">
            <v>0</v>
          </cell>
          <cell r="L36">
            <v>0</v>
          </cell>
          <cell r="M36">
            <v>0</v>
          </cell>
          <cell r="N36">
            <v>0</v>
          </cell>
          <cell r="O36">
            <v>0</v>
          </cell>
          <cell r="P36">
            <v>0</v>
          </cell>
          <cell r="Q36">
            <v>0</v>
          </cell>
          <cell r="R36">
            <v>0</v>
          </cell>
        </row>
        <row r="37">
          <cell r="B37">
            <v>0</v>
          </cell>
          <cell r="C37">
            <v>0</v>
          </cell>
          <cell r="D37">
            <v>0</v>
          </cell>
          <cell r="E37" t="str">
            <v/>
          </cell>
          <cell r="F37">
            <v>0</v>
          </cell>
          <cell r="G37">
            <v>0</v>
          </cell>
          <cell r="H37">
            <v>0</v>
          </cell>
          <cell r="I37">
            <v>0</v>
          </cell>
          <cell r="J37">
            <v>0</v>
          </cell>
          <cell r="K37">
            <v>0</v>
          </cell>
          <cell r="L37">
            <v>0</v>
          </cell>
          <cell r="M37">
            <v>0</v>
          </cell>
          <cell r="N37">
            <v>0</v>
          </cell>
          <cell r="O37">
            <v>0</v>
          </cell>
          <cell r="P37">
            <v>0</v>
          </cell>
          <cell r="Q37">
            <v>0</v>
          </cell>
          <cell r="R37">
            <v>0</v>
          </cell>
        </row>
        <row r="38">
          <cell r="B38">
            <v>0</v>
          </cell>
          <cell r="C38">
            <v>0</v>
          </cell>
          <cell r="D38">
            <v>0</v>
          </cell>
          <cell r="E38" t="str">
            <v/>
          </cell>
          <cell r="F38">
            <v>0</v>
          </cell>
          <cell r="G38">
            <v>0</v>
          </cell>
          <cell r="H38">
            <v>0</v>
          </cell>
          <cell r="I38">
            <v>0</v>
          </cell>
          <cell r="J38">
            <v>0</v>
          </cell>
          <cell r="K38">
            <v>0</v>
          </cell>
          <cell r="L38">
            <v>0</v>
          </cell>
          <cell r="M38">
            <v>0</v>
          </cell>
          <cell r="N38">
            <v>0</v>
          </cell>
          <cell r="O38">
            <v>0</v>
          </cell>
          <cell r="P38">
            <v>0</v>
          </cell>
          <cell r="Q38">
            <v>0</v>
          </cell>
          <cell r="R38">
            <v>0</v>
          </cell>
        </row>
        <row r="39">
          <cell r="B39">
            <v>0</v>
          </cell>
          <cell r="C39">
            <v>0</v>
          </cell>
          <cell r="D39">
            <v>0</v>
          </cell>
          <cell r="E39" t="str">
            <v/>
          </cell>
          <cell r="F39">
            <v>0</v>
          </cell>
          <cell r="G39">
            <v>0</v>
          </cell>
          <cell r="H39">
            <v>0</v>
          </cell>
          <cell r="I39">
            <v>0</v>
          </cell>
          <cell r="J39">
            <v>0</v>
          </cell>
          <cell r="K39">
            <v>0</v>
          </cell>
          <cell r="L39">
            <v>0</v>
          </cell>
          <cell r="M39">
            <v>0</v>
          </cell>
          <cell r="N39">
            <v>0</v>
          </cell>
          <cell r="O39">
            <v>0</v>
          </cell>
          <cell r="P39">
            <v>0</v>
          </cell>
          <cell r="Q39">
            <v>0</v>
          </cell>
          <cell r="R39">
            <v>0</v>
          </cell>
        </row>
        <row r="40">
          <cell r="B40">
            <v>0</v>
          </cell>
          <cell r="C40">
            <v>0</v>
          </cell>
          <cell r="D40">
            <v>0</v>
          </cell>
          <cell r="E40" t="str">
            <v/>
          </cell>
          <cell r="F40">
            <v>0</v>
          </cell>
          <cell r="G40">
            <v>0</v>
          </cell>
          <cell r="H40">
            <v>0</v>
          </cell>
          <cell r="I40">
            <v>0</v>
          </cell>
          <cell r="J40">
            <v>0</v>
          </cell>
          <cell r="K40">
            <v>0</v>
          </cell>
          <cell r="L40">
            <v>0</v>
          </cell>
          <cell r="M40">
            <v>0</v>
          </cell>
          <cell r="N40">
            <v>0</v>
          </cell>
          <cell r="O40">
            <v>0</v>
          </cell>
          <cell r="P40">
            <v>0</v>
          </cell>
          <cell r="Q40">
            <v>0</v>
          </cell>
          <cell r="R40">
            <v>0</v>
          </cell>
        </row>
        <row r="41">
          <cell r="B41">
            <v>0</v>
          </cell>
          <cell r="C41">
            <v>0</v>
          </cell>
          <cell r="D41">
            <v>0</v>
          </cell>
          <cell r="E41" t="str">
            <v/>
          </cell>
          <cell r="F41">
            <v>0</v>
          </cell>
          <cell r="G41">
            <v>0</v>
          </cell>
          <cell r="H41">
            <v>0</v>
          </cell>
          <cell r="I41">
            <v>0</v>
          </cell>
          <cell r="J41">
            <v>0</v>
          </cell>
          <cell r="K41">
            <v>0</v>
          </cell>
          <cell r="L41">
            <v>0</v>
          </cell>
          <cell r="M41">
            <v>0</v>
          </cell>
          <cell r="N41">
            <v>0</v>
          </cell>
          <cell r="O41">
            <v>0</v>
          </cell>
          <cell r="P41">
            <v>0</v>
          </cell>
          <cell r="Q41">
            <v>0</v>
          </cell>
          <cell r="R41">
            <v>0</v>
          </cell>
        </row>
        <row r="42">
          <cell r="B42">
            <v>0</v>
          </cell>
          <cell r="C42">
            <v>0</v>
          </cell>
          <cell r="D42">
            <v>0</v>
          </cell>
          <cell r="E42" t="str">
            <v/>
          </cell>
          <cell r="F42">
            <v>0</v>
          </cell>
          <cell r="G42">
            <v>0</v>
          </cell>
          <cell r="H42">
            <v>0</v>
          </cell>
          <cell r="I42">
            <v>0</v>
          </cell>
          <cell r="J42">
            <v>0</v>
          </cell>
          <cell r="K42">
            <v>0</v>
          </cell>
          <cell r="L42">
            <v>0</v>
          </cell>
          <cell r="M42">
            <v>0</v>
          </cell>
          <cell r="N42">
            <v>0</v>
          </cell>
          <cell r="O42">
            <v>0</v>
          </cell>
          <cell r="P42">
            <v>0</v>
          </cell>
          <cell r="Q42">
            <v>0</v>
          </cell>
          <cell r="R42">
            <v>0</v>
          </cell>
        </row>
        <row r="43">
          <cell r="B43">
            <v>0</v>
          </cell>
          <cell r="C43">
            <v>0</v>
          </cell>
          <cell r="D43">
            <v>0</v>
          </cell>
          <cell r="E43" t="str">
            <v/>
          </cell>
          <cell r="F43">
            <v>0</v>
          </cell>
          <cell r="G43">
            <v>0</v>
          </cell>
          <cell r="H43">
            <v>0</v>
          </cell>
          <cell r="I43">
            <v>0</v>
          </cell>
          <cell r="J43">
            <v>0</v>
          </cell>
          <cell r="K43">
            <v>0</v>
          </cell>
          <cell r="L43">
            <v>0</v>
          </cell>
          <cell r="M43">
            <v>0</v>
          </cell>
          <cell r="N43">
            <v>0</v>
          </cell>
          <cell r="O43">
            <v>0</v>
          </cell>
          <cell r="P43">
            <v>0</v>
          </cell>
          <cell r="Q43">
            <v>0</v>
          </cell>
          <cell r="R43">
            <v>0</v>
          </cell>
        </row>
        <row r="44">
          <cell r="B44">
            <v>0</v>
          </cell>
          <cell r="C44">
            <v>0</v>
          </cell>
          <cell r="D44">
            <v>0</v>
          </cell>
          <cell r="E44" t="str">
            <v/>
          </cell>
          <cell r="F44">
            <v>0</v>
          </cell>
          <cell r="G44">
            <v>0</v>
          </cell>
          <cell r="H44">
            <v>0</v>
          </cell>
          <cell r="I44">
            <v>0</v>
          </cell>
          <cell r="J44">
            <v>0</v>
          </cell>
          <cell r="K44">
            <v>0</v>
          </cell>
          <cell r="L44">
            <v>0</v>
          </cell>
          <cell r="M44">
            <v>0</v>
          </cell>
          <cell r="N44">
            <v>0</v>
          </cell>
          <cell r="O44">
            <v>0</v>
          </cell>
          <cell r="P44">
            <v>0</v>
          </cell>
          <cell r="Q44">
            <v>0</v>
          </cell>
          <cell r="R44">
            <v>0</v>
          </cell>
        </row>
        <row r="45">
          <cell r="B45">
            <v>0</v>
          </cell>
          <cell r="C45">
            <v>0</v>
          </cell>
          <cell r="D45">
            <v>0</v>
          </cell>
          <cell r="E45" t="str">
            <v/>
          </cell>
          <cell r="F45">
            <v>0</v>
          </cell>
          <cell r="G45">
            <v>0</v>
          </cell>
          <cell r="H45">
            <v>0</v>
          </cell>
          <cell r="I45">
            <v>0</v>
          </cell>
          <cell r="J45">
            <v>0</v>
          </cell>
          <cell r="K45">
            <v>0</v>
          </cell>
          <cell r="L45">
            <v>0</v>
          </cell>
          <cell r="M45">
            <v>0</v>
          </cell>
          <cell r="N45">
            <v>0</v>
          </cell>
          <cell r="O45">
            <v>0</v>
          </cell>
          <cell r="P45">
            <v>0</v>
          </cell>
          <cell r="Q45">
            <v>0</v>
          </cell>
          <cell r="R45">
            <v>0</v>
          </cell>
        </row>
        <row r="46">
          <cell r="B46">
            <v>0</v>
          </cell>
          <cell r="C46">
            <v>0</v>
          </cell>
          <cell r="D46">
            <v>0</v>
          </cell>
          <cell r="E46" t="str">
            <v/>
          </cell>
          <cell r="F46">
            <v>0</v>
          </cell>
          <cell r="G46">
            <v>0</v>
          </cell>
          <cell r="H46">
            <v>0</v>
          </cell>
          <cell r="I46">
            <v>0</v>
          </cell>
          <cell r="J46">
            <v>0</v>
          </cell>
          <cell r="K46">
            <v>0</v>
          </cell>
          <cell r="L46">
            <v>0</v>
          </cell>
          <cell r="M46">
            <v>0</v>
          </cell>
          <cell r="N46">
            <v>0</v>
          </cell>
          <cell r="O46">
            <v>0</v>
          </cell>
          <cell r="P46">
            <v>0</v>
          </cell>
          <cell r="Q46">
            <v>0</v>
          </cell>
          <cell r="R46">
            <v>0</v>
          </cell>
        </row>
        <row r="48">
          <cell r="D48">
            <v>642</v>
          </cell>
          <cell r="F48">
            <v>507842.5</v>
          </cell>
          <cell r="G48">
            <v>307842.5</v>
          </cell>
          <cell r="H48">
            <v>790421.25</v>
          </cell>
          <cell r="I48">
            <v>378921.25</v>
          </cell>
          <cell r="J48">
            <v>790421.25</v>
          </cell>
          <cell r="K48">
            <v>576421.25</v>
          </cell>
          <cell r="L48">
            <v>576421.25</v>
          </cell>
          <cell r="M48">
            <v>790421.25</v>
          </cell>
          <cell r="N48">
            <v>576421.25</v>
          </cell>
          <cell r="O48">
            <v>576421.25</v>
          </cell>
          <cell r="P48">
            <v>576421.25</v>
          </cell>
          <cell r="Q48">
            <v>586421.25</v>
          </cell>
          <cell r="R48">
            <v>7034397.5</v>
          </cell>
        </row>
        <row r="49">
          <cell r="D49">
            <v>154</v>
          </cell>
          <cell r="F49">
            <v>0</v>
          </cell>
          <cell r="G49">
            <v>0</v>
          </cell>
          <cell r="H49">
            <v>0</v>
          </cell>
          <cell r="I49">
            <v>0</v>
          </cell>
          <cell r="J49">
            <v>0</v>
          </cell>
          <cell r="K49">
            <v>0</v>
          </cell>
          <cell r="L49">
            <v>0</v>
          </cell>
          <cell r="M49">
            <v>0</v>
          </cell>
          <cell r="N49">
            <v>0</v>
          </cell>
          <cell r="O49">
            <v>0</v>
          </cell>
          <cell r="P49">
            <v>0</v>
          </cell>
          <cell r="Q49">
            <v>0</v>
          </cell>
          <cell r="R49">
            <v>0</v>
          </cell>
        </row>
        <row r="50">
          <cell r="F50">
            <v>507842.5</v>
          </cell>
          <cell r="G50">
            <v>307842.5</v>
          </cell>
          <cell r="H50">
            <v>790421.25</v>
          </cell>
          <cell r="I50">
            <v>378921.25</v>
          </cell>
          <cell r="J50">
            <v>790421.25</v>
          </cell>
          <cell r="K50">
            <v>576421.25</v>
          </cell>
          <cell r="L50">
            <v>576421.25</v>
          </cell>
          <cell r="M50">
            <v>790421.25</v>
          </cell>
          <cell r="N50">
            <v>576421.25</v>
          </cell>
          <cell r="O50">
            <v>576421.25</v>
          </cell>
          <cell r="P50">
            <v>576421.25</v>
          </cell>
          <cell r="Q50">
            <v>586421.25</v>
          </cell>
          <cell r="R50">
            <v>7034397.5</v>
          </cell>
        </row>
        <row r="51">
          <cell r="E51" t="str">
            <v>QUÝ</v>
          </cell>
          <cell r="F51">
            <v>1</v>
          </cell>
          <cell r="I51">
            <v>2</v>
          </cell>
          <cell r="L51">
            <v>3</v>
          </cell>
          <cell r="O51">
            <v>4</v>
          </cell>
        </row>
        <row r="52">
          <cell r="F52">
            <v>1606106.25</v>
          </cell>
          <cell r="I52">
            <v>1745763.75</v>
          </cell>
          <cell r="L52">
            <v>1943263.75</v>
          </cell>
          <cell r="O52">
            <v>1739263.75</v>
          </cell>
        </row>
        <row r="53">
          <cell r="F53">
            <v>3</v>
          </cell>
          <cell r="G53">
            <v>3</v>
          </cell>
          <cell r="H53">
            <v>4</v>
          </cell>
          <cell r="I53">
            <v>2</v>
          </cell>
          <cell r="J53">
            <v>4</v>
          </cell>
          <cell r="K53">
            <v>3</v>
          </cell>
          <cell r="L53">
            <v>3</v>
          </cell>
          <cell r="M53">
            <v>4</v>
          </cell>
          <cell r="N53">
            <v>3</v>
          </cell>
          <cell r="O53">
            <v>3</v>
          </cell>
          <cell r="P53">
            <v>3</v>
          </cell>
          <cell r="Q53">
            <v>3</v>
          </cell>
        </row>
      </sheetData>
      <sheetData sheetId="22"/>
      <sheetData sheetId="23">
        <row r="7">
          <cell r="E7">
            <v>0.1</v>
          </cell>
          <cell r="I7">
            <v>0</v>
          </cell>
          <cell r="M7">
            <v>0</v>
          </cell>
          <cell r="Q7">
            <v>0</v>
          </cell>
          <cell r="U7">
            <v>0</v>
          </cell>
          <cell r="V7">
            <v>0</v>
          </cell>
          <cell r="W7">
            <v>0</v>
          </cell>
        </row>
        <row r="8">
          <cell r="E8">
            <v>0.1</v>
          </cell>
          <cell r="I8">
            <v>0</v>
          </cell>
          <cell r="M8">
            <v>0</v>
          </cell>
          <cell r="Q8">
            <v>0</v>
          </cell>
          <cell r="U8">
            <v>0</v>
          </cell>
          <cell r="V8">
            <v>0</v>
          </cell>
          <cell r="W8">
            <v>0</v>
          </cell>
        </row>
        <row r="9">
          <cell r="E9">
            <v>0.1</v>
          </cell>
          <cell r="I9">
            <v>0</v>
          </cell>
          <cell r="M9">
            <v>0</v>
          </cell>
          <cell r="Q9">
            <v>0</v>
          </cell>
          <cell r="U9">
            <v>0</v>
          </cell>
          <cell r="V9">
            <v>0</v>
          </cell>
          <cell r="W9">
            <v>0</v>
          </cell>
        </row>
        <row r="10">
          <cell r="E10">
            <v>0.1</v>
          </cell>
          <cell r="I10">
            <v>0</v>
          </cell>
          <cell r="M10">
            <v>0</v>
          </cell>
          <cell r="Q10">
            <v>0</v>
          </cell>
          <cell r="U10">
            <v>0</v>
          </cell>
          <cell r="V10">
            <v>0</v>
          </cell>
          <cell r="W10">
            <v>0</v>
          </cell>
        </row>
        <row r="11">
          <cell r="E11">
            <v>0.1</v>
          </cell>
          <cell r="I11">
            <v>0</v>
          </cell>
          <cell r="M11">
            <v>0</v>
          </cell>
          <cell r="Q11">
            <v>0</v>
          </cell>
          <cell r="U11">
            <v>0</v>
          </cell>
          <cell r="V11">
            <v>0</v>
          </cell>
          <cell r="W11">
            <v>0</v>
          </cell>
        </row>
        <row r="12">
          <cell r="E12">
            <v>0.1</v>
          </cell>
          <cell r="I12">
            <v>0</v>
          </cell>
          <cell r="M12">
            <v>0</v>
          </cell>
          <cell r="Q12">
            <v>0</v>
          </cell>
          <cell r="U12">
            <v>0</v>
          </cell>
          <cell r="V12">
            <v>0</v>
          </cell>
          <cell r="W12">
            <v>0</v>
          </cell>
        </row>
        <row r="13">
          <cell r="E13">
            <v>0.1</v>
          </cell>
          <cell r="I13">
            <v>0</v>
          </cell>
          <cell r="M13">
            <v>0</v>
          </cell>
          <cell r="Q13">
            <v>0</v>
          </cell>
          <cell r="U13">
            <v>0</v>
          </cell>
          <cell r="V13">
            <v>0</v>
          </cell>
          <cell r="W13">
            <v>0</v>
          </cell>
        </row>
        <row r="14">
          <cell r="E14">
            <v>0.1</v>
          </cell>
          <cell r="I14">
            <v>0</v>
          </cell>
          <cell r="M14">
            <v>0</v>
          </cell>
          <cell r="Q14">
            <v>0</v>
          </cell>
          <cell r="U14">
            <v>0</v>
          </cell>
          <cell r="V14">
            <v>0</v>
          </cell>
          <cell r="W14">
            <v>0</v>
          </cell>
        </row>
        <row r="15">
          <cell r="E15">
            <v>0.1</v>
          </cell>
          <cell r="I15">
            <v>0</v>
          </cell>
          <cell r="M15">
            <v>0</v>
          </cell>
          <cell r="Q15">
            <v>0</v>
          </cell>
          <cell r="U15">
            <v>0</v>
          </cell>
          <cell r="V15">
            <v>0</v>
          </cell>
          <cell r="W15">
            <v>0</v>
          </cell>
        </row>
        <row r="16">
          <cell r="E16">
            <v>0.1</v>
          </cell>
          <cell r="I16">
            <v>0</v>
          </cell>
          <cell r="M16">
            <v>0</v>
          </cell>
          <cell r="Q16">
            <v>0</v>
          </cell>
          <cell r="U16">
            <v>0</v>
          </cell>
          <cell r="V16">
            <v>0</v>
          </cell>
          <cell r="W16">
            <v>0</v>
          </cell>
        </row>
        <row r="17">
          <cell r="E17">
            <v>0.1</v>
          </cell>
          <cell r="I17">
            <v>0</v>
          </cell>
          <cell r="M17">
            <v>0</v>
          </cell>
          <cell r="Q17">
            <v>0</v>
          </cell>
          <cell r="U17">
            <v>0</v>
          </cell>
          <cell r="V17">
            <v>0</v>
          </cell>
          <cell r="W17">
            <v>0</v>
          </cell>
        </row>
        <row r="18">
          <cell r="E18">
            <v>0.1</v>
          </cell>
          <cell r="I18">
            <v>0</v>
          </cell>
          <cell r="M18">
            <v>0</v>
          </cell>
          <cell r="Q18">
            <v>0</v>
          </cell>
          <cell r="U18">
            <v>0</v>
          </cell>
          <cell r="V18">
            <v>0</v>
          </cell>
          <cell r="W18">
            <v>0</v>
          </cell>
        </row>
        <row r="19">
          <cell r="E19">
            <v>0.1</v>
          </cell>
          <cell r="I19">
            <v>0</v>
          </cell>
          <cell r="M19">
            <v>0</v>
          </cell>
          <cell r="Q19">
            <v>0</v>
          </cell>
          <cell r="U19">
            <v>0</v>
          </cell>
          <cell r="V19">
            <v>0</v>
          </cell>
          <cell r="W19">
            <v>0</v>
          </cell>
        </row>
        <row r="20">
          <cell r="E20">
            <v>0.1</v>
          </cell>
          <cell r="I20">
            <v>0</v>
          </cell>
          <cell r="M20">
            <v>0</v>
          </cell>
          <cell r="Q20">
            <v>0</v>
          </cell>
          <cell r="U20">
            <v>0</v>
          </cell>
          <cell r="V20">
            <v>0</v>
          </cell>
          <cell r="W20">
            <v>0</v>
          </cell>
        </row>
        <row r="21">
          <cell r="E21">
            <v>0.1</v>
          </cell>
          <cell r="I21">
            <v>0</v>
          </cell>
          <cell r="M21">
            <v>0</v>
          </cell>
          <cell r="Q21">
            <v>0</v>
          </cell>
          <cell r="U21">
            <v>0</v>
          </cell>
          <cell r="V21">
            <v>0</v>
          </cell>
          <cell r="W21">
            <v>0</v>
          </cell>
        </row>
        <row r="22">
          <cell r="E22">
            <v>0.1</v>
          </cell>
          <cell r="I22">
            <v>0</v>
          </cell>
          <cell r="M22">
            <v>0</v>
          </cell>
          <cell r="Q22">
            <v>0</v>
          </cell>
          <cell r="U22">
            <v>0</v>
          </cell>
          <cell r="V22">
            <v>0</v>
          </cell>
          <cell r="W22">
            <v>0</v>
          </cell>
        </row>
        <row r="23">
          <cell r="E23">
            <v>0.1</v>
          </cell>
          <cell r="I23">
            <v>0</v>
          </cell>
          <cell r="M23">
            <v>0</v>
          </cell>
          <cell r="Q23">
            <v>0</v>
          </cell>
          <cell r="U23">
            <v>0</v>
          </cell>
          <cell r="V23">
            <v>0</v>
          </cell>
          <cell r="W23">
            <v>0</v>
          </cell>
        </row>
        <row r="24">
          <cell r="E24">
            <v>0.1</v>
          </cell>
          <cell r="I24">
            <v>0</v>
          </cell>
          <cell r="M24">
            <v>0</v>
          </cell>
          <cell r="Q24">
            <v>0</v>
          </cell>
          <cell r="U24">
            <v>0</v>
          </cell>
          <cell r="V24">
            <v>0</v>
          </cell>
          <cell r="W24">
            <v>0</v>
          </cell>
        </row>
        <row r="25">
          <cell r="E25">
            <v>0.1</v>
          </cell>
          <cell r="I25">
            <v>0</v>
          </cell>
          <cell r="M25">
            <v>0</v>
          </cell>
          <cell r="Q25">
            <v>0</v>
          </cell>
          <cell r="U25">
            <v>0</v>
          </cell>
          <cell r="V25">
            <v>0</v>
          </cell>
          <cell r="W25">
            <v>0</v>
          </cell>
        </row>
        <row r="26">
          <cell r="E26">
            <v>0.1</v>
          </cell>
          <cell r="I26">
            <v>0</v>
          </cell>
          <cell r="M26">
            <v>0</v>
          </cell>
          <cell r="Q26">
            <v>0</v>
          </cell>
          <cell r="U26">
            <v>0</v>
          </cell>
          <cell r="V26">
            <v>0</v>
          </cell>
          <cell r="W26">
            <v>0</v>
          </cell>
        </row>
        <row r="27">
          <cell r="E27">
            <v>0.1</v>
          </cell>
          <cell r="I27">
            <v>0</v>
          </cell>
          <cell r="M27">
            <v>0</v>
          </cell>
          <cell r="Q27">
            <v>0</v>
          </cell>
          <cell r="U27">
            <v>0</v>
          </cell>
          <cell r="V27">
            <v>0</v>
          </cell>
          <cell r="W27">
            <v>0</v>
          </cell>
        </row>
        <row r="28">
          <cell r="E28">
            <v>0.1</v>
          </cell>
          <cell r="I28">
            <v>0</v>
          </cell>
          <cell r="M28">
            <v>0</v>
          </cell>
          <cell r="Q28">
            <v>0</v>
          </cell>
          <cell r="U28">
            <v>0</v>
          </cell>
          <cell r="V28">
            <v>0</v>
          </cell>
          <cell r="W28">
            <v>0</v>
          </cell>
        </row>
        <row r="29">
          <cell r="E29">
            <v>0.1</v>
          </cell>
          <cell r="I29">
            <v>0</v>
          </cell>
          <cell r="M29">
            <v>0</v>
          </cell>
          <cell r="Q29">
            <v>0</v>
          </cell>
          <cell r="U29">
            <v>0</v>
          </cell>
          <cell r="V29">
            <v>0</v>
          </cell>
          <cell r="W29">
            <v>0</v>
          </cell>
        </row>
        <row r="38">
          <cell r="B38" t="str">
            <v>QUÝ</v>
          </cell>
          <cell r="C38">
            <v>1</v>
          </cell>
          <cell r="D38">
            <v>2</v>
          </cell>
          <cell r="E38">
            <v>3</v>
          </cell>
          <cell r="F38">
            <v>4</v>
          </cell>
        </row>
        <row r="39">
          <cell r="A39" t="str">
            <v>[21]</v>
          </cell>
          <cell r="B39" t="str">
            <v>Tổng số cá nhân khấu trừ thuế</v>
          </cell>
          <cell r="C39">
            <v>0</v>
          </cell>
          <cell r="D39">
            <v>0</v>
          </cell>
          <cell r="E39">
            <v>0</v>
          </cell>
          <cell r="F39">
            <v>0</v>
          </cell>
        </row>
        <row r="40">
          <cell r="A40" t="str">
            <v>[24]</v>
          </cell>
          <cell r="B40" t="str">
            <v>Trong đó: - Cá nhân cư trú</v>
          </cell>
          <cell r="C40">
            <v>0</v>
          </cell>
          <cell r="D40">
            <v>0</v>
          </cell>
          <cell r="E40">
            <v>0</v>
          </cell>
          <cell r="F40">
            <v>0</v>
          </cell>
        </row>
        <row r="41">
          <cell r="A41" t="str">
            <v>[25]</v>
          </cell>
          <cell r="B41" t="str">
            <v>- Cá nhân không cư trú</v>
          </cell>
          <cell r="C41">
            <v>0</v>
          </cell>
          <cell r="D41">
            <v>0</v>
          </cell>
          <cell r="E41">
            <v>0</v>
          </cell>
          <cell r="F41">
            <v>0</v>
          </cell>
        </row>
        <row r="42">
          <cell r="A42" t="str">
            <v>[27]</v>
          </cell>
          <cell r="B42" t="str">
            <v>Tổng TNCN của cá nhân cư trú</v>
          </cell>
          <cell r="C42">
            <v>0</v>
          </cell>
          <cell r="D42">
            <v>0</v>
          </cell>
          <cell r="E42">
            <v>0</v>
          </cell>
          <cell r="F42">
            <v>0</v>
          </cell>
        </row>
        <row r="43">
          <cell r="A43" t="str">
            <v>[28]</v>
          </cell>
          <cell r="B43" t="str">
            <v>Tổng TNCN của cá nhân không cư trú</v>
          </cell>
          <cell r="C43">
            <v>0</v>
          </cell>
          <cell r="D43">
            <v>0</v>
          </cell>
          <cell r="E43">
            <v>0</v>
          </cell>
          <cell r="F43">
            <v>0</v>
          </cell>
        </row>
        <row r="44">
          <cell r="A44" t="str">
            <v>[33]</v>
          </cell>
          <cell r="B44" t="str">
            <v>Tổng thuế TNCN của cá nhân cư trú</v>
          </cell>
          <cell r="C44">
            <v>0</v>
          </cell>
          <cell r="D44">
            <v>0</v>
          </cell>
          <cell r="E44">
            <v>0</v>
          </cell>
          <cell r="F44">
            <v>0</v>
          </cell>
        </row>
        <row r="45">
          <cell r="A45" t="str">
            <v>[34]</v>
          </cell>
          <cell r="B45" t="str">
            <v>Tổng thuế TNCN của cá nhân không cư trú</v>
          </cell>
          <cell r="C45">
            <v>0</v>
          </cell>
          <cell r="D45">
            <v>0</v>
          </cell>
          <cell r="E45">
            <v>0</v>
          </cell>
          <cell r="F45">
            <v>0</v>
          </cell>
        </row>
      </sheetData>
      <sheetData sheetId="24"/>
      <sheetData sheetId="25"/>
      <sheetData sheetId="26"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0-06-24T04:02:57.172"/>
    </inkml:context>
    <inkml:brush xml:id="br0">
      <inkml:brushProperty name="width" value="0.025" units="cm"/>
      <inkml:brushProperty name="height" value="0.025" units="cm"/>
      <inkml:brushProperty name="color" value="#E71224"/>
    </inkml:brush>
  </inkml:definitions>
  <inkml:trace contextRef="#ctx0" brushRef="#br0">0 0 3223 0 0,'0'0'288'0'0,"0"0"-288"0"0,0 0 0 0 0,0 0 0 0 0,0 0 800 0 0,0 0 112 0 0,0 0 16 0 0,0 0 8 0 0,0 0-696 0 0,0 0-144 0 0,0 0-24 0 0,0 0-8 0 0,0 0-376 0 0,0 0-72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0-06-24T04:03:04.064"/>
    </inkml:context>
    <inkml:brush xml:id="br0">
      <inkml:brushProperty name="width" value="0.025" units="cm"/>
      <inkml:brushProperty name="height" value="0.025" units="cm"/>
      <inkml:brushProperty name="color" value="#E71224"/>
    </inkml:brush>
  </inkml:definitions>
  <inkml:trace contextRef="#ctx0" brushRef="#br0">2 39 919 0 0,'0'0'258'0'0,"0"0"743"0"0,0 0 324 0 0,0 0 69 0 0,0 0-132 0 0,0-2-603 0 0,1-2-442 0 0,0 3-150 0 0,0-1 0 0 0,-1 1 0 0 0,1-1 1 0 0,-1 1-1 0 0,0 0 0 0 0,1-1 0 0 0,-1 1 0 0 0,0-1 0 0 0,0 1 0 0 0,0-1 0 0 0,0 1 0 0 0,0-1 0 0 0,0 1 1 0 0,0-1-1 0 0,0 1 0 0 0,-1-1-67 0 0,-5-5-102 0 0</inkml:trace>
</inkm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5.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5.emf"/><Relationship Id="rId4" Type="http://schemas.openxmlformats.org/officeDocument/2006/relationships/control" Target="../activeX/activeX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5.emf"/><Relationship Id="rId4" Type="http://schemas.openxmlformats.org/officeDocument/2006/relationships/control" Target="../activeX/activeX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5.emf"/><Relationship Id="rId4" Type="http://schemas.openxmlformats.org/officeDocument/2006/relationships/control" Target="../activeX/activeX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5.emf"/><Relationship Id="rId4" Type="http://schemas.openxmlformats.org/officeDocument/2006/relationships/control" Target="../activeX/activeX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5.emf"/><Relationship Id="rId4" Type="http://schemas.openxmlformats.org/officeDocument/2006/relationships/control" Target="../activeX/activeX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5.emf"/><Relationship Id="rId4" Type="http://schemas.openxmlformats.org/officeDocument/2006/relationships/control" Target="../activeX/activeX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5.emf"/><Relationship Id="rId4" Type="http://schemas.openxmlformats.org/officeDocument/2006/relationships/control" Target="../activeX/activeX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5.emf"/><Relationship Id="rId4" Type="http://schemas.openxmlformats.org/officeDocument/2006/relationships/control" Target="../activeX/activeX1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5.emf"/><Relationship Id="rId4" Type="http://schemas.openxmlformats.org/officeDocument/2006/relationships/control" Target="../activeX/activeX1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image" Target="../media/image5.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3.xml"/><Relationship Id="rId1" Type="http://schemas.openxmlformats.org/officeDocument/2006/relationships/printerSettings" Target="../printerSettings/printerSettings24.bin"/><Relationship Id="rId4" Type="http://schemas.openxmlformats.org/officeDocument/2006/relationships/ctrlProp" Target="../ctrlProps/ctrlProp1.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T"/>
  <dimension ref="A1:K10"/>
  <sheetViews>
    <sheetView workbookViewId="0">
      <selection activeCell="N4" sqref="N4"/>
    </sheetView>
  </sheetViews>
  <sheetFormatPr defaultRowHeight="14.25" x14ac:dyDescent="0.45"/>
  <cols>
    <col min="2" max="2" width="21.265625" bestFit="1" customWidth="1"/>
    <col min="3" max="3" width="12.59765625" customWidth="1"/>
    <col min="4" max="4" width="13.1328125" customWidth="1"/>
    <col min="10" max="10" width="24.1328125" customWidth="1"/>
    <col min="11" max="11" width="13.73046875" customWidth="1"/>
  </cols>
  <sheetData>
    <row r="1" spans="1:11" x14ac:dyDescent="0.45">
      <c r="A1" t="s">
        <v>356</v>
      </c>
      <c r="B1" t="s">
        <v>361</v>
      </c>
      <c r="J1" t="s">
        <v>357</v>
      </c>
      <c r="K1" s="540">
        <v>44227</v>
      </c>
    </row>
    <row r="2" spans="1:11" x14ac:dyDescent="0.45">
      <c r="A2" t="s">
        <v>355</v>
      </c>
      <c r="B2" s="540">
        <f>IFERROR(VLOOKUP(B1,J1:K10,2,0),"")</f>
        <v>46111</v>
      </c>
      <c r="C2" s="541" t="s">
        <v>367</v>
      </c>
      <c r="D2" s="50">
        <f ca="1">IFERROR(VLOOKUP(B1,J1:K10,2,0),"")-TODAY()</f>
        <v>169</v>
      </c>
      <c r="J2" t="s">
        <v>358</v>
      </c>
      <c r="K2" s="540">
        <v>45016</v>
      </c>
    </row>
    <row r="3" spans="1:11" x14ac:dyDescent="0.45">
      <c r="J3" t="s">
        <v>359</v>
      </c>
      <c r="K3" s="540">
        <f t="shared" ref="K3:K10" si="0">K2+365</f>
        <v>45381</v>
      </c>
    </row>
    <row r="4" spans="1:11" x14ac:dyDescent="0.45">
      <c r="J4" t="s">
        <v>360</v>
      </c>
      <c r="K4" s="540">
        <f t="shared" si="0"/>
        <v>45746</v>
      </c>
    </row>
    <row r="5" spans="1:11" x14ac:dyDescent="0.45">
      <c r="J5" t="s">
        <v>361</v>
      </c>
      <c r="K5" s="540">
        <f t="shared" si="0"/>
        <v>46111</v>
      </c>
    </row>
    <row r="6" spans="1:11" x14ac:dyDescent="0.45">
      <c r="J6" t="s">
        <v>362</v>
      </c>
      <c r="K6" s="540">
        <f t="shared" si="0"/>
        <v>46476</v>
      </c>
    </row>
    <row r="7" spans="1:11" x14ac:dyDescent="0.45">
      <c r="J7" t="s">
        <v>363</v>
      </c>
      <c r="K7" s="540">
        <f t="shared" si="0"/>
        <v>46841</v>
      </c>
    </row>
    <row r="8" spans="1:11" x14ac:dyDescent="0.45">
      <c r="J8" t="s">
        <v>364</v>
      </c>
      <c r="K8" s="540">
        <f t="shared" si="0"/>
        <v>47206</v>
      </c>
    </row>
    <row r="9" spans="1:11" x14ac:dyDescent="0.45">
      <c r="J9" t="s">
        <v>365</v>
      </c>
      <c r="K9" s="540">
        <f t="shared" si="0"/>
        <v>47571</v>
      </c>
    </row>
    <row r="10" spans="1:11" x14ac:dyDescent="0.45">
      <c r="J10" t="s">
        <v>366</v>
      </c>
      <c r="K10" s="540">
        <f t="shared" si="0"/>
        <v>47936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fo">
    <tabColor theme="3"/>
    <pageSetUpPr fitToPage="1"/>
  </sheetPr>
  <dimension ref="A1:S31"/>
  <sheetViews>
    <sheetView showGridLines="0" topLeftCell="A2" zoomScale="98" zoomScaleNormal="115" workbookViewId="0">
      <selection activeCell="C35" sqref="C35"/>
    </sheetView>
  </sheetViews>
  <sheetFormatPr defaultRowHeight="14.25" x14ac:dyDescent="0.45"/>
  <cols>
    <col min="1" max="1" width="29.1328125" customWidth="1"/>
    <col min="2" max="2" width="16.265625" customWidth="1"/>
    <col min="3" max="3" width="12.265625" customWidth="1"/>
    <col min="4" max="4" width="11.86328125" customWidth="1"/>
    <col min="5" max="5" width="10.59765625" customWidth="1"/>
    <col min="6" max="6" width="14.59765625" customWidth="1"/>
    <col min="7" max="7" width="13.86328125" customWidth="1"/>
    <col min="8" max="8" width="12.59765625" style="155" customWidth="1"/>
    <col min="9" max="9" width="13.59765625" style="155" customWidth="1"/>
    <col min="10" max="10" width="14.265625" style="155" bestFit="1" customWidth="1"/>
    <col min="11" max="11" width="9.265625" style="155"/>
    <col min="12" max="12" width="9.265625" customWidth="1"/>
    <col min="13" max="13" width="12.1328125" bestFit="1" customWidth="1"/>
    <col min="14" max="21" width="9.265625" customWidth="1"/>
    <col min="23" max="23" width="12.1328125" customWidth="1"/>
    <col min="24" max="24" width="14.59765625" customWidth="1"/>
    <col min="27" max="27" width="11.1328125" bestFit="1" customWidth="1"/>
    <col min="28" max="28" width="11.265625" customWidth="1"/>
    <col min="29" max="29" width="15.265625" customWidth="1"/>
    <col min="30" max="30" width="11.73046875" customWidth="1"/>
    <col min="31" max="31" width="15.265625" customWidth="1"/>
    <col min="32" max="32" width="17.73046875" customWidth="1"/>
    <col min="33" max="33" width="0" hidden="1" customWidth="1"/>
  </cols>
  <sheetData>
    <row r="1" spans="1:19" hidden="1" x14ac:dyDescent="0.45">
      <c r="L1" s="102" t="s">
        <v>103</v>
      </c>
      <c r="M1" s="102" t="s">
        <v>104</v>
      </c>
      <c r="N1" s="102" t="s">
        <v>105</v>
      </c>
      <c r="O1" s="102" t="s">
        <v>106</v>
      </c>
      <c r="P1" s="102" t="s">
        <v>107</v>
      </c>
      <c r="Q1" s="102" t="s">
        <v>108</v>
      </c>
      <c r="R1" s="102" t="s">
        <v>109</v>
      </c>
      <c r="S1" s="102" t="s">
        <v>110</v>
      </c>
    </row>
    <row r="2" spans="1:19" ht="52.5" customHeight="1" thickBot="1" x14ac:dyDescent="0.75">
      <c r="A2" s="99" t="s">
        <v>16</v>
      </c>
      <c r="B2" s="2"/>
      <c r="C2" s="2"/>
      <c r="D2" s="2"/>
      <c r="E2" s="2"/>
      <c r="F2" s="2"/>
      <c r="G2" s="2"/>
      <c r="H2" s="535"/>
      <c r="I2" s="535"/>
      <c r="J2" s="535"/>
      <c r="K2" s="535"/>
    </row>
    <row r="3" spans="1:19" ht="14.65" thickTop="1" x14ac:dyDescent="0.45">
      <c r="A3" s="3" t="s">
        <v>181</v>
      </c>
      <c r="B3" s="150" t="s">
        <v>389</v>
      </c>
      <c r="C3" s="3"/>
      <c r="D3" s="3"/>
      <c r="E3" s="3"/>
      <c r="F3" s="3"/>
      <c r="G3" s="3"/>
      <c r="K3" s="553"/>
    </row>
    <row r="4" spans="1:19" x14ac:dyDescent="0.45">
      <c r="A4" s="3" t="s">
        <v>17</v>
      </c>
      <c r="B4" s="3"/>
      <c r="C4" s="3"/>
      <c r="D4" s="3"/>
      <c r="E4" s="3"/>
      <c r="F4" s="3"/>
      <c r="G4" s="3"/>
      <c r="I4" s="536">
        <v>44561</v>
      </c>
      <c r="K4" s="554"/>
    </row>
    <row r="5" spans="1:19" x14ac:dyDescent="0.45">
      <c r="A5" s="3" t="s">
        <v>18</v>
      </c>
      <c r="B5" s="399" t="str">
        <f>"Info!$C$5:"&amp;ADDRESS(ROW(),COUNTA(C5:K5)+2)</f>
        <v>Info!$C$5:$D$5</v>
      </c>
      <c r="C5" s="400">
        <v>642</v>
      </c>
      <c r="D5" s="401">
        <v>154</v>
      </c>
      <c r="E5" s="401"/>
      <c r="F5" s="401"/>
      <c r="G5" s="401"/>
      <c r="K5" s="554"/>
    </row>
    <row r="6" spans="1:19" x14ac:dyDescent="0.45">
      <c r="A6" s="3" t="s">
        <v>96</v>
      </c>
      <c r="B6" s="3"/>
      <c r="C6" s="3"/>
      <c r="D6" s="3"/>
      <c r="E6" s="3"/>
      <c r="F6" s="3"/>
      <c r="G6" s="3"/>
      <c r="K6" s="554"/>
    </row>
    <row r="7" spans="1:19" x14ac:dyDescent="0.45">
      <c r="A7" s="3" t="s">
        <v>97</v>
      </c>
      <c r="B7" s="3"/>
      <c r="C7" s="3"/>
      <c r="D7" s="3"/>
      <c r="E7" s="3"/>
      <c r="F7" s="3"/>
      <c r="G7" s="3"/>
      <c r="K7" s="554"/>
      <c r="P7" t="s">
        <v>171</v>
      </c>
    </row>
    <row r="8" spans="1:19" x14ac:dyDescent="0.45">
      <c r="A8" s="219" t="s">
        <v>203</v>
      </c>
      <c r="B8" s="402"/>
      <c r="C8" s="402"/>
      <c r="D8" s="402"/>
      <c r="E8" s="402"/>
      <c r="F8" s="402"/>
      <c r="G8" s="402"/>
      <c r="K8" s="554"/>
    </row>
    <row r="9" spans="1:19" x14ac:dyDescent="0.45">
      <c r="A9" s="403" t="s">
        <v>184</v>
      </c>
      <c r="B9" s="580">
        <v>0.03</v>
      </c>
      <c r="C9" s="403" t="s">
        <v>197</v>
      </c>
      <c r="D9" s="404"/>
      <c r="E9" s="404"/>
      <c r="F9" s="405">
        <v>5</v>
      </c>
      <c r="G9" s="175" t="s">
        <v>227</v>
      </c>
      <c r="H9" s="537"/>
      <c r="K9" s="554"/>
    </row>
    <row r="10" spans="1:19" x14ac:dyDescent="0.45">
      <c r="A10" s="326" t="s">
        <v>192</v>
      </c>
      <c r="B10" s="406"/>
      <c r="C10" s="325"/>
      <c r="D10" s="330"/>
      <c r="E10" s="542" t="s">
        <v>159</v>
      </c>
      <c r="F10" s="375">
        <f>B10*$B$9</f>
        <v>0</v>
      </c>
      <c r="G10" s="407">
        <f ca="1">IFERROR(F10/('3'!$C$7*$F$9),0)</f>
        <v>0</v>
      </c>
      <c r="I10" s="538"/>
      <c r="J10" s="539"/>
      <c r="K10" s="554"/>
      <c r="M10" s="375">
        <f>B10*$B$9</f>
        <v>0</v>
      </c>
    </row>
    <row r="11" spans="1:19" ht="14.85" customHeight="1" x14ac:dyDescent="0.45">
      <c r="A11" s="326" t="s">
        <v>193</v>
      </c>
      <c r="B11" s="408"/>
      <c r="C11" s="326"/>
      <c r="D11" s="3"/>
      <c r="E11" s="5" t="s">
        <v>160</v>
      </c>
      <c r="F11" s="375">
        <f t="shared" ref="F11:F13" si="0">B11*$B$9</f>
        <v>0</v>
      </c>
      <c r="G11" s="409">
        <f ca="1">IFERROR(F11/('6'!$C$7*$F$9),0)</f>
        <v>0</v>
      </c>
      <c r="K11" s="554"/>
    </row>
    <row r="12" spans="1:19" ht="14.1" customHeight="1" x14ac:dyDescent="0.45">
      <c r="A12" s="326" t="s">
        <v>194</v>
      </c>
      <c r="B12" s="408"/>
      <c r="C12" s="326"/>
      <c r="D12" s="3"/>
      <c r="E12" s="5" t="s">
        <v>161</v>
      </c>
      <c r="F12" s="375">
        <f t="shared" si="0"/>
        <v>0</v>
      </c>
      <c r="G12" s="409">
        <f ca="1">IFERROR(F12/('9'!$C$7*$F$9),0)</f>
        <v>0</v>
      </c>
      <c r="K12" s="554"/>
    </row>
    <row r="13" spans="1:19" x14ac:dyDescent="0.45">
      <c r="A13" s="328" t="s">
        <v>195</v>
      </c>
      <c r="B13" s="410"/>
      <c r="C13" s="328"/>
      <c r="D13" s="331"/>
      <c r="E13" s="559" t="s">
        <v>162</v>
      </c>
      <c r="F13" s="375">
        <f t="shared" si="0"/>
        <v>0</v>
      </c>
      <c r="G13" s="411">
        <f ca="1">IFERROR(F13/('12'!$C$7*$F$9),0)</f>
        <v>0</v>
      </c>
      <c r="K13" s="554"/>
    </row>
    <row r="14" spans="1:19" x14ac:dyDescent="0.45">
      <c r="A14" s="412" t="s">
        <v>202</v>
      </c>
      <c r="B14" s="413" t="s">
        <v>204</v>
      </c>
      <c r="C14" s="413"/>
      <c r="D14" s="413"/>
      <c r="E14" s="413"/>
      <c r="F14" s="413"/>
      <c r="G14" s="414"/>
      <c r="K14" s="554"/>
    </row>
    <row r="15" spans="1:19" x14ac:dyDescent="0.45">
      <c r="A15" s="325" t="s">
        <v>198</v>
      </c>
      <c r="B15" s="330"/>
      <c r="C15" s="330"/>
      <c r="D15" s="330"/>
      <c r="E15" s="330"/>
      <c r="F15" s="330"/>
      <c r="G15" s="415"/>
      <c r="K15" s="554"/>
    </row>
    <row r="16" spans="1:19" x14ac:dyDescent="0.45">
      <c r="A16" s="416" t="s">
        <v>199</v>
      </c>
      <c r="B16" s="417">
        <v>1</v>
      </c>
      <c r="C16" s="3" t="s">
        <v>200</v>
      </c>
      <c r="D16" s="418">
        <v>1</v>
      </c>
      <c r="E16" s="3"/>
      <c r="F16" s="3"/>
      <c r="G16" s="415"/>
      <c r="K16" s="554"/>
    </row>
    <row r="17" spans="1:11" x14ac:dyDescent="0.45">
      <c r="A17" s="326"/>
      <c r="B17" s="417">
        <v>3</v>
      </c>
      <c r="C17" s="3"/>
      <c r="D17" s="418">
        <v>2</v>
      </c>
      <c r="E17" s="3"/>
      <c r="F17" s="3"/>
      <c r="G17" s="415"/>
      <c r="K17" s="554"/>
    </row>
    <row r="18" spans="1:11" x14ac:dyDescent="0.45">
      <c r="A18" s="326"/>
      <c r="B18" s="417">
        <v>5</v>
      </c>
      <c r="C18" s="3"/>
      <c r="D18" s="418">
        <v>3</v>
      </c>
      <c r="E18" s="3"/>
      <c r="F18" s="3"/>
      <c r="G18" s="415"/>
      <c r="K18" s="554"/>
    </row>
    <row r="19" spans="1:11" x14ac:dyDescent="0.45">
      <c r="A19" s="328"/>
      <c r="B19" s="419">
        <v>9</v>
      </c>
      <c r="C19" s="331"/>
      <c r="D19" s="420">
        <v>4</v>
      </c>
      <c r="E19" s="331"/>
      <c r="F19" s="331"/>
      <c r="G19" s="415"/>
      <c r="K19" s="554"/>
    </row>
    <row r="20" spans="1:11" x14ac:dyDescent="0.45">
      <c r="A20" s="421" t="s">
        <v>223</v>
      </c>
      <c r="B20" s="422"/>
      <c r="C20" s="421"/>
      <c r="D20" s="421"/>
      <c r="E20" s="421"/>
      <c r="F20" s="421"/>
      <c r="G20" s="415"/>
      <c r="K20" s="554"/>
    </row>
    <row r="21" spans="1:11" x14ac:dyDescent="0.45">
      <c r="A21" s="252" t="s">
        <v>262</v>
      </c>
      <c r="B21" s="543" t="s">
        <v>155</v>
      </c>
      <c r="C21" s="544" t="s">
        <v>3</v>
      </c>
      <c r="D21" s="544" t="s">
        <v>253</v>
      </c>
      <c r="E21" s="544"/>
      <c r="F21" s="544"/>
      <c r="G21" s="545"/>
      <c r="K21" s="554"/>
    </row>
    <row r="22" spans="1:11" x14ac:dyDescent="0.45">
      <c r="A22" s="326"/>
      <c r="B22" s="546"/>
      <c r="C22" s="24"/>
      <c r="D22" s="24"/>
      <c r="E22" s="24"/>
      <c r="F22" s="24"/>
      <c r="G22" s="327"/>
      <c r="K22" s="554"/>
    </row>
    <row r="23" spans="1:11" x14ac:dyDescent="0.45">
      <c r="A23" s="326"/>
      <c r="B23" s="24"/>
      <c r="C23" s="24"/>
      <c r="D23" s="24"/>
      <c r="E23" s="3"/>
      <c r="F23" s="24"/>
      <c r="G23" s="327"/>
      <c r="K23" s="554"/>
    </row>
    <row r="24" spans="1:11" x14ac:dyDescent="0.45">
      <c r="A24" s="326"/>
      <c r="B24" s="24"/>
      <c r="C24" s="24"/>
      <c r="D24" s="24"/>
      <c r="E24" s="24"/>
      <c r="F24" s="24"/>
      <c r="G24" s="327"/>
      <c r="K24" s="554"/>
    </row>
    <row r="25" spans="1:11" x14ac:dyDescent="0.45">
      <c r="A25" s="326"/>
      <c r="B25" s="24"/>
      <c r="C25" s="24"/>
      <c r="D25" s="24"/>
      <c r="E25" s="24"/>
      <c r="F25" s="24"/>
      <c r="G25" s="327"/>
      <c r="K25" s="554"/>
    </row>
    <row r="26" spans="1:11" x14ac:dyDescent="0.45">
      <c r="A26" s="326"/>
      <c r="B26" s="24"/>
      <c r="C26" s="24"/>
      <c r="D26" s="24"/>
      <c r="E26" s="24"/>
      <c r="F26" s="24"/>
      <c r="G26" s="327"/>
      <c r="K26" s="554"/>
    </row>
    <row r="27" spans="1:11" x14ac:dyDescent="0.45">
      <c r="A27" s="547"/>
      <c r="B27" s="19"/>
      <c r="C27" s="19"/>
      <c r="D27" s="19"/>
      <c r="E27" s="19"/>
      <c r="F27" s="19"/>
      <c r="G27" s="548"/>
      <c r="K27" s="554"/>
    </row>
    <row r="28" spans="1:11" x14ac:dyDescent="0.45">
      <c r="A28" s="547"/>
      <c r="B28" s="19"/>
      <c r="C28" s="19"/>
      <c r="D28" s="19"/>
      <c r="E28" s="19"/>
      <c r="F28" s="19"/>
      <c r="G28" s="548"/>
      <c r="K28" s="554"/>
    </row>
    <row r="29" spans="1:11" x14ac:dyDescent="0.45">
      <c r="A29" s="549"/>
      <c r="B29" s="550"/>
      <c r="C29" s="550"/>
      <c r="D29" s="550"/>
      <c r="E29" s="550"/>
      <c r="F29" s="550"/>
      <c r="G29" s="551"/>
      <c r="K29" s="554"/>
    </row>
    <row r="30" spans="1:11" ht="14.65" thickBot="1" x14ac:dyDescent="0.5">
      <c r="A30" s="555"/>
      <c r="B30" s="556"/>
      <c r="C30" s="556"/>
      <c r="D30" s="556"/>
      <c r="E30" s="556"/>
      <c r="F30" s="556"/>
      <c r="G30" s="555"/>
      <c r="H30" s="557"/>
      <c r="I30" s="557"/>
      <c r="J30" s="557"/>
      <c r="K30" s="558"/>
    </row>
    <row r="31" spans="1:11" ht="14.65" thickTop="1" x14ac:dyDescent="0.45"/>
  </sheetData>
  <phoneticPr fontId="21" type="noConversion"/>
  <dataValidations count="1">
    <dataValidation type="list" allowBlank="1" showInputMessage="1" showErrorMessage="1" sqref="B4" xr:uid="{00000000-0002-0000-0100-000000000000}">
      <formula1>"TNHH 1TV,DNTN,TNHH 2TV, CP"</formula1>
    </dataValidation>
  </dataValidations>
  <pageMargins left="0.7" right="0.7" top="0.75" bottom="0.75" header="0.3" footer="0.3"/>
  <pageSetup scale="2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DSach">
    <tabColor theme="4"/>
  </sheetPr>
  <dimension ref="A1:N709"/>
  <sheetViews>
    <sheetView showGridLines="0" tabSelected="1" workbookViewId="0">
      <selection activeCell="A13" sqref="A13"/>
    </sheetView>
  </sheetViews>
  <sheetFormatPr defaultColWidth="9.1328125" defaultRowHeight="14.25" x14ac:dyDescent="0.45"/>
  <cols>
    <col min="1" max="1" width="8.265625" style="3" customWidth="1"/>
    <col min="2" max="2" width="22.59765625" style="3" bestFit="1" customWidth="1"/>
    <col min="3" max="4" width="13.86328125" style="3" customWidth="1"/>
    <col min="5" max="5" width="10.59765625" style="5" customWidth="1"/>
    <col min="6" max="6" width="10.265625" style="5" customWidth="1"/>
    <col min="7" max="7" width="15" style="3" customWidth="1"/>
    <col min="8" max="9" width="13.1328125" style="5" customWidth="1"/>
    <col min="10" max="11" width="13.59765625" style="5" customWidth="1"/>
    <col min="12" max="13" width="13" style="3" customWidth="1"/>
    <col min="14" max="14" width="23.1328125" style="3" customWidth="1"/>
    <col min="15" max="16384" width="9.1328125" style="3"/>
  </cols>
  <sheetData>
    <row r="1" spans="1:14" x14ac:dyDescent="0.45">
      <c r="M1" s="71" t="s">
        <v>69</v>
      </c>
      <c r="N1" s="45" t="str">
        <f>"Danh_Sach!B13:N"&amp;MAX(1300,COUNTA(B13:B12993)+12)</f>
        <v>Danh_Sach!B13:N1300</v>
      </c>
    </row>
    <row r="2" spans="1:14" ht="23.65" thickBot="1" x14ac:dyDescent="0.5">
      <c r="A2" s="1" t="s">
        <v>0</v>
      </c>
      <c r="B2" s="2"/>
      <c r="C2" s="2"/>
      <c r="D2" s="2"/>
      <c r="E2" s="6"/>
      <c r="F2" s="6"/>
      <c r="G2" s="2"/>
      <c r="H2" s="6"/>
      <c r="I2" s="6"/>
      <c r="J2" s="6"/>
      <c r="M2" s="71" t="s">
        <v>71</v>
      </c>
      <c r="N2" s="45" t="s">
        <v>70</v>
      </c>
    </row>
    <row r="3" spans="1:14" ht="14.65" thickTop="1" x14ac:dyDescent="0.45"/>
    <row r="4" spans="1:14" ht="23.25" x14ac:dyDescent="0.45">
      <c r="A4" s="8" t="s">
        <v>19</v>
      </c>
      <c r="B4" s="9">
        <v>2023</v>
      </c>
    </row>
    <row r="5" spans="1:14" hidden="1" x14ac:dyDescent="0.45"/>
    <row r="6" spans="1:14" hidden="1" x14ac:dyDescent="0.45"/>
    <row r="7" spans="1:14" hidden="1" x14ac:dyDescent="0.45"/>
    <row r="8" spans="1:14" hidden="1" x14ac:dyDescent="0.45"/>
    <row r="10" spans="1:14" x14ac:dyDescent="0.45">
      <c r="B10" s="14" t="s">
        <v>20</v>
      </c>
      <c r="C10" s="13">
        <f>COUNTA($B$13:$B$1993)</f>
        <v>0</v>
      </c>
      <c r="H10" s="590" t="s">
        <v>8</v>
      </c>
      <c r="I10" s="590"/>
      <c r="J10" s="590"/>
      <c r="K10" s="590"/>
    </row>
    <row r="11" spans="1:14" s="4" customFormat="1" ht="42.75" customHeight="1" x14ac:dyDescent="0.45">
      <c r="A11" s="7" t="s">
        <v>1</v>
      </c>
      <c r="B11" s="7" t="s">
        <v>2</v>
      </c>
      <c r="C11" s="7" t="s">
        <v>3</v>
      </c>
      <c r="D11" s="7" t="s">
        <v>4</v>
      </c>
      <c r="E11" s="7" t="s">
        <v>5</v>
      </c>
      <c r="F11" s="7" t="s">
        <v>6</v>
      </c>
      <c r="G11" s="7" t="s">
        <v>7</v>
      </c>
      <c r="H11" s="7" t="s">
        <v>9</v>
      </c>
      <c r="I11" s="7" t="s">
        <v>10</v>
      </c>
      <c r="J11" s="7" t="s">
        <v>11</v>
      </c>
      <c r="K11" s="7" t="s">
        <v>12</v>
      </c>
      <c r="L11" s="7" t="s">
        <v>13</v>
      </c>
      <c r="M11" s="7" t="s">
        <v>14</v>
      </c>
      <c r="N11" s="7" t="s">
        <v>15</v>
      </c>
    </row>
    <row r="12" spans="1:14" s="130" customFormat="1" ht="13.5" customHeight="1" x14ac:dyDescent="0.45">
      <c r="A12" s="179"/>
      <c r="B12" s="180" t="s">
        <v>24</v>
      </c>
      <c r="C12" s="180" t="s">
        <v>25</v>
      </c>
      <c r="D12" s="180" t="s">
        <v>26</v>
      </c>
      <c r="E12" s="180" t="s">
        <v>27</v>
      </c>
      <c r="F12" s="180" t="s">
        <v>28</v>
      </c>
      <c r="G12" s="180" t="s">
        <v>29</v>
      </c>
      <c r="H12" s="180" t="s">
        <v>30</v>
      </c>
      <c r="I12" s="180" t="s">
        <v>31</v>
      </c>
      <c r="J12" s="180" t="s">
        <v>34</v>
      </c>
      <c r="K12" s="180" t="s">
        <v>35</v>
      </c>
      <c r="L12" s="180" t="s">
        <v>32</v>
      </c>
      <c r="M12" s="180" t="s">
        <v>33</v>
      </c>
      <c r="N12" s="181"/>
    </row>
    <row r="13" spans="1:14" x14ac:dyDescent="0.45">
      <c r="A13" s="5" t="str">
        <f>IF(B13="","",ROWS($A$13:A13))</f>
        <v/>
      </c>
      <c r="C13" s="585"/>
      <c r="D13" s="586"/>
      <c r="G13" s="12"/>
      <c r="H13" s="60"/>
      <c r="I13" s="60"/>
      <c r="J13" s="60"/>
      <c r="K13" s="60"/>
      <c r="L13" s="60"/>
      <c r="M13" s="10"/>
    </row>
    <row r="14" spans="1:14" x14ac:dyDescent="0.45">
      <c r="A14" s="5" t="str">
        <f>IF(B14="","",ROWS($A$13:A14))</f>
        <v/>
      </c>
      <c r="C14" s="587"/>
      <c r="D14" s="586"/>
      <c r="G14" s="12"/>
      <c r="H14" s="60"/>
      <c r="I14" s="60"/>
      <c r="J14" s="60"/>
      <c r="K14" s="60"/>
      <c r="L14" s="60"/>
      <c r="M14" s="10"/>
    </row>
    <row r="15" spans="1:14" x14ac:dyDescent="0.45">
      <c r="A15" s="5" t="str">
        <f>IF(B15="","",ROWS($A$13:A15))</f>
        <v/>
      </c>
      <c r="C15" s="588"/>
      <c r="D15" s="588"/>
      <c r="G15" s="12"/>
      <c r="H15" s="60"/>
      <c r="I15" s="60"/>
      <c r="J15" s="60"/>
      <c r="K15" s="60"/>
      <c r="L15" s="60"/>
      <c r="M15" s="10"/>
    </row>
    <row r="16" spans="1:14" x14ac:dyDescent="0.45">
      <c r="A16" s="5" t="str">
        <f>IF(B16="","",ROWS($A$13:A16))</f>
        <v/>
      </c>
      <c r="C16" s="588"/>
      <c r="D16" s="588"/>
      <c r="G16" s="12"/>
      <c r="H16" s="60"/>
      <c r="I16" s="60"/>
      <c r="J16" s="60"/>
      <c r="K16" s="60"/>
      <c r="L16" s="60"/>
      <c r="M16" s="10"/>
    </row>
    <row r="17" spans="1:13" x14ac:dyDescent="0.45">
      <c r="A17" s="5" t="str">
        <f>IF(B17="","",ROWS($A$13:A17))</f>
        <v/>
      </c>
      <c r="C17" s="589"/>
      <c r="D17" s="586"/>
      <c r="G17" s="12"/>
      <c r="H17" s="60"/>
      <c r="I17" s="60"/>
      <c r="J17" s="60"/>
      <c r="K17" s="60"/>
      <c r="L17" s="60"/>
      <c r="M17" s="60"/>
    </row>
    <row r="18" spans="1:13" x14ac:dyDescent="0.45">
      <c r="A18" s="5" t="str">
        <f>IF(B18="","",ROWS($A$13:A18))</f>
        <v/>
      </c>
      <c r="C18" s="588"/>
      <c r="D18" s="588"/>
      <c r="G18" s="12"/>
      <c r="H18" s="60"/>
      <c r="I18" s="60"/>
      <c r="J18" s="60"/>
      <c r="K18" s="60"/>
      <c r="L18" s="60"/>
      <c r="M18" s="10"/>
    </row>
    <row r="19" spans="1:13" x14ac:dyDescent="0.45">
      <c r="A19" s="5" t="str">
        <f>IF(B19="","",ROWS($A$13:A19))</f>
        <v/>
      </c>
      <c r="C19" s="588"/>
      <c r="D19" s="588"/>
      <c r="G19" s="12"/>
      <c r="H19" s="60"/>
      <c r="I19" s="60"/>
      <c r="J19" s="60"/>
      <c r="K19" s="60"/>
      <c r="L19" s="60"/>
      <c r="M19" s="60"/>
    </row>
    <row r="20" spans="1:13" x14ac:dyDescent="0.45">
      <c r="A20" s="5" t="str">
        <f>IF(B20="","",ROWS($A$13:A20))</f>
        <v/>
      </c>
      <c r="C20" s="588"/>
      <c r="D20" s="588"/>
      <c r="G20" s="12"/>
      <c r="H20" s="60"/>
      <c r="I20" s="60"/>
      <c r="J20" s="60"/>
      <c r="K20" s="60"/>
      <c r="L20" s="60"/>
      <c r="M20" s="10"/>
    </row>
    <row r="21" spans="1:13" x14ac:dyDescent="0.45">
      <c r="A21" s="5" t="str">
        <f>IF(B21="","",ROWS($A$13:A21))</f>
        <v/>
      </c>
      <c r="C21" s="588"/>
      <c r="D21" s="588"/>
      <c r="G21" s="12"/>
      <c r="H21" s="60"/>
      <c r="I21" s="60"/>
      <c r="J21" s="60"/>
      <c r="K21" s="60"/>
      <c r="L21" s="60"/>
      <c r="M21" s="10"/>
    </row>
    <row r="22" spans="1:13" x14ac:dyDescent="0.45">
      <c r="A22" s="5" t="str">
        <f>IF(B22="","",ROWS($A$13:A22))</f>
        <v/>
      </c>
      <c r="C22" s="588"/>
      <c r="D22" s="588"/>
      <c r="G22" s="12"/>
      <c r="H22" s="60"/>
      <c r="I22" s="60"/>
      <c r="J22" s="60"/>
      <c r="K22" s="60"/>
      <c r="L22" s="60"/>
      <c r="M22" s="60"/>
    </row>
    <row r="23" spans="1:13" x14ac:dyDescent="0.45">
      <c r="A23" s="5" t="str">
        <f>IF(B23="","",ROWS($A$13:A23))</f>
        <v/>
      </c>
      <c r="C23" s="586"/>
      <c r="D23" s="586"/>
      <c r="G23" s="12"/>
      <c r="H23" s="60"/>
      <c r="I23" s="60"/>
      <c r="J23" s="60"/>
      <c r="K23" s="60"/>
      <c r="L23" s="60"/>
      <c r="M23" s="10"/>
    </row>
    <row r="24" spans="1:13" x14ac:dyDescent="0.45">
      <c r="A24" s="5" t="str">
        <f>IF(B24="","",ROWS($A$13:A24))</f>
        <v/>
      </c>
      <c r="C24" s="588"/>
      <c r="D24" s="588"/>
      <c r="G24" s="12"/>
      <c r="H24" s="60"/>
      <c r="I24" s="60"/>
      <c r="J24" s="60"/>
      <c r="K24" s="60"/>
      <c r="L24" s="60"/>
      <c r="M24" s="10"/>
    </row>
    <row r="25" spans="1:13" x14ac:dyDescent="0.45">
      <c r="A25" s="5" t="str">
        <f>IF(B25="","",ROWS($A$13:A25))</f>
        <v/>
      </c>
      <c r="C25" s="588"/>
      <c r="D25" s="588"/>
      <c r="G25" s="12"/>
      <c r="H25" s="60"/>
      <c r="I25" s="60"/>
      <c r="J25" s="60"/>
      <c r="K25" s="60"/>
      <c r="L25" s="60"/>
      <c r="M25" s="10"/>
    </row>
    <row r="26" spans="1:13" x14ac:dyDescent="0.45">
      <c r="A26" s="5" t="str">
        <f>IF(B26="","",ROWS($A$13:A26))</f>
        <v/>
      </c>
      <c r="C26" s="586"/>
      <c r="D26" s="586"/>
      <c r="G26" s="12"/>
      <c r="H26" s="60"/>
      <c r="I26" s="60"/>
      <c r="J26" s="60"/>
      <c r="K26" s="60"/>
      <c r="L26" s="60"/>
      <c r="M26" s="10"/>
    </row>
    <row r="27" spans="1:13" x14ac:dyDescent="0.45">
      <c r="A27" s="5" t="str">
        <f>IF(B27="","",ROWS($A$13:A27))</f>
        <v/>
      </c>
      <c r="C27" s="588"/>
      <c r="D27" s="588"/>
      <c r="G27" s="12"/>
      <c r="H27" s="60"/>
      <c r="I27" s="60"/>
      <c r="J27" s="60"/>
      <c r="K27" s="60"/>
      <c r="L27" s="60"/>
      <c r="M27" s="10"/>
    </row>
    <row r="28" spans="1:13" x14ac:dyDescent="0.45">
      <c r="A28" s="5" t="str">
        <f>IF(B28="","",ROWS($A$13:A28))</f>
        <v/>
      </c>
      <c r="C28" s="588"/>
      <c r="D28" s="588"/>
      <c r="G28" s="12"/>
      <c r="H28" s="60"/>
      <c r="I28" s="60"/>
      <c r="J28" s="60"/>
      <c r="K28" s="60"/>
      <c r="L28" s="60"/>
      <c r="M28" s="10"/>
    </row>
    <row r="29" spans="1:13" x14ac:dyDescent="0.45">
      <c r="A29" s="5" t="str">
        <f>IF(B29="","",ROWS($A$13:A29))</f>
        <v/>
      </c>
      <c r="C29" s="588"/>
      <c r="D29" s="588"/>
      <c r="G29" s="11"/>
      <c r="H29" s="60"/>
      <c r="I29" s="60"/>
      <c r="L29" s="60"/>
      <c r="M29" s="10"/>
    </row>
    <row r="30" spans="1:13" x14ac:dyDescent="0.45">
      <c r="A30" s="5" t="str">
        <f>IF(B30="","",ROWS($A$13:A30))</f>
        <v/>
      </c>
      <c r="C30" s="586"/>
      <c r="D30" s="586"/>
      <c r="G30" s="11"/>
      <c r="H30" s="60"/>
      <c r="I30" s="60"/>
      <c r="L30" s="60"/>
      <c r="M30" s="10"/>
    </row>
    <row r="31" spans="1:13" x14ac:dyDescent="0.45">
      <c r="A31" s="5" t="str">
        <f>IF(B31="","",ROWS($A$13:A31))</f>
        <v/>
      </c>
      <c r="C31" s="588"/>
      <c r="D31" s="586"/>
      <c r="G31" s="11"/>
      <c r="H31" s="60"/>
      <c r="I31" s="60"/>
      <c r="L31" s="60"/>
      <c r="M31" s="10"/>
    </row>
    <row r="32" spans="1:13" x14ac:dyDescent="0.45">
      <c r="A32" s="5" t="str">
        <f>IF(B32="","",ROWS($A$13:A32))</f>
        <v/>
      </c>
      <c r="C32" s="588"/>
      <c r="D32" s="586"/>
      <c r="G32" s="11"/>
      <c r="H32" s="60"/>
      <c r="I32" s="60"/>
      <c r="L32" s="60"/>
      <c r="M32" s="10"/>
    </row>
    <row r="33" spans="1:13" x14ac:dyDescent="0.45">
      <c r="A33" s="5" t="str">
        <f>IF(B33="","",ROWS($A$13:A33))</f>
        <v/>
      </c>
      <c r="C33" s="588"/>
      <c r="D33" s="586"/>
      <c r="G33" s="11"/>
      <c r="H33" s="60"/>
      <c r="I33" s="60"/>
      <c r="L33" s="60"/>
      <c r="M33" s="10"/>
    </row>
    <row r="34" spans="1:13" x14ac:dyDescent="0.45">
      <c r="A34" s="5" t="str">
        <f>IF(B34="","",ROWS($A$13:A34))</f>
        <v/>
      </c>
      <c r="C34" s="586"/>
      <c r="D34" s="586"/>
      <c r="G34" s="11"/>
      <c r="H34" s="60"/>
      <c r="I34" s="60"/>
      <c r="L34" s="60"/>
      <c r="M34" s="10"/>
    </row>
    <row r="35" spans="1:13" x14ac:dyDescent="0.45">
      <c r="A35" s="5" t="str">
        <f>IF(B35="","",ROWS($A$13:A35))</f>
        <v/>
      </c>
      <c r="C35" s="588"/>
      <c r="D35" s="586"/>
      <c r="G35" s="11"/>
      <c r="H35" s="60"/>
      <c r="I35" s="60"/>
      <c r="L35" s="60"/>
      <c r="M35" s="10"/>
    </row>
    <row r="36" spans="1:13" x14ac:dyDescent="0.45">
      <c r="A36" s="5" t="str">
        <f>IF(B36="","",ROWS($A$13:A36))</f>
        <v/>
      </c>
      <c r="C36" s="586"/>
      <c r="D36" s="586"/>
      <c r="G36" s="11"/>
      <c r="H36" s="60"/>
      <c r="I36" s="60"/>
      <c r="L36" s="60"/>
      <c r="M36" s="10"/>
    </row>
    <row r="37" spans="1:13" x14ac:dyDescent="0.45">
      <c r="A37" s="5" t="str">
        <f>IF(B37="","",ROWS($A$13:A37))</f>
        <v/>
      </c>
      <c r="C37" s="586"/>
      <c r="D37" s="581"/>
      <c r="G37" s="11"/>
      <c r="H37" s="60"/>
      <c r="I37" s="60"/>
      <c r="L37" s="60"/>
      <c r="M37" s="10"/>
    </row>
    <row r="38" spans="1:13" x14ac:dyDescent="0.45">
      <c r="A38" s="5" t="str">
        <f>IF(B38="","",ROWS($A$13:A38))</f>
        <v/>
      </c>
      <c r="G38" s="11"/>
      <c r="H38" s="60"/>
      <c r="I38" s="60"/>
      <c r="L38" s="10"/>
      <c r="M38" s="10"/>
    </row>
    <row r="39" spans="1:13" x14ac:dyDescent="0.45">
      <c r="A39" s="5" t="str">
        <f>IF(B39="","",ROWS($A$13:A39))</f>
        <v/>
      </c>
      <c r="G39" s="11"/>
      <c r="H39" s="60"/>
      <c r="I39" s="60"/>
      <c r="L39" s="10"/>
      <c r="M39" s="10"/>
    </row>
    <row r="40" spans="1:13" x14ac:dyDescent="0.45">
      <c r="A40" s="5" t="str">
        <f>IF(B40="","",ROWS($A$13:A40))</f>
        <v/>
      </c>
      <c r="G40" s="11"/>
      <c r="H40" s="60"/>
      <c r="I40" s="60"/>
      <c r="L40" s="10"/>
      <c r="M40" s="10"/>
    </row>
    <row r="41" spans="1:13" x14ac:dyDescent="0.45">
      <c r="A41" s="5" t="str">
        <f>IF(B41="","",ROWS($A$13:A41))</f>
        <v/>
      </c>
      <c r="G41" s="11"/>
      <c r="H41" s="60"/>
      <c r="I41" s="60"/>
      <c r="L41" s="10"/>
      <c r="M41" s="10"/>
    </row>
    <row r="42" spans="1:13" x14ac:dyDescent="0.45">
      <c r="A42" s="5" t="str">
        <f>IF(B42="","",ROWS($A$13:A42))</f>
        <v/>
      </c>
      <c r="G42" s="11"/>
      <c r="H42" s="60"/>
      <c r="I42" s="60"/>
      <c r="J42" s="60"/>
      <c r="K42" s="60"/>
      <c r="L42" s="10"/>
      <c r="M42" s="10"/>
    </row>
    <row r="43" spans="1:13" x14ac:dyDescent="0.45">
      <c r="A43" s="5" t="str">
        <f>IF(B43="","",ROWS($A$13:A43))</f>
        <v/>
      </c>
      <c r="G43" s="11"/>
      <c r="H43" s="60"/>
      <c r="I43" s="60"/>
      <c r="J43" s="60"/>
      <c r="K43" s="60"/>
      <c r="L43" s="10"/>
      <c r="M43" s="10"/>
    </row>
    <row r="44" spans="1:13" x14ac:dyDescent="0.45">
      <c r="A44" s="5" t="str">
        <f>IF(B44="","",ROWS($A$13:A44))</f>
        <v/>
      </c>
      <c r="G44" s="11"/>
      <c r="H44" s="60"/>
      <c r="I44" s="60"/>
      <c r="J44" s="60"/>
      <c r="K44" s="60"/>
      <c r="L44" s="10"/>
      <c r="M44" s="10"/>
    </row>
    <row r="45" spans="1:13" x14ac:dyDescent="0.45">
      <c r="A45" s="5" t="str">
        <f>IF(B45="","",ROWS($A$13:A45))</f>
        <v/>
      </c>
      <c r="G45" s="11"/>
      <c r="H45" s="60"/>
      <c r="I45" s="60"/>
      <c r="J45" s="60"/>
      <c r="K45" s="60"/>
      <c r="L45" s="10"/>
      <c r="M45" s="10"/>
    </row>
    <row r="46" spans="1:13" x14ac:dyDescent="0.45">
      <c r="A46" s="5" t="str">
        <f>IF(B46="","",ROWS($A$13:A46))</f>
        <v/>
      </c>
      <c r="G46" s="11"/>
      <c r="H46" s="60"/>
      <c r="I46" s="60"/>
      <c r="J46" s="60"/>
      <c r="K46" s="60"/>
      <c r="L46" s="10"/>
      <c r="M46" s="10"/>
    </row>
    <row r="47" spans="1:13" x14ac:dyDescent="0.45">
      <c r="A47" s="5" t="str">
        <f>IF(B47="","",ROWS($A$13:A47))</f>
        <v/>
      </c>
    </row>
    <row r="48" spans="1:13" x14ac:dyDescent="0.45">
      <c r="A48" s="5" t="str">
        <f>IF(B48="","",ROWS($A$13:A48))</f>
        <v/>
      </c>
    </row>
    <row r="49" spans="1:1" x14ac:dyDescent="0.45">
      <c r="A49" s="5" t="str">
        <f>IF(B49="","",ROWS($A$13:A49))</f>
        <v/>
      </c>
    </row>
    <row r="50" spans="1:1" x14ac:dyDescent="0.45">
      <c r="A50" s="5" t="str">
        <f>IF(B50="","",ROWS($A$13:A50))</f>
        <v/>
      </c>
    </row>
    <row r="51" spans="1:1" x14ac:dyDescent="0.45">
      <c r="A51" s="5" t="str">
        <f>IF(B51="","",ROWS($A$13:A51))</f>
        <v/>
      </c>
    </row>
    <row r="52" spans="1:1" x14ac:dyDescent="0.45">
      <c r="A52" s="5" t="str">
        <f>IF(B52="","",ROWS($A$13:A52))</f>
        <v/>
      </c>
    </row>
    <row r="53" spans="1:1" x14ac:dyDescent="0.45">
      <c r="A53" s="5" t="str">
        <f>IF(B53="","",ROWS($A$13:A53))</f>
        <v/>
      </c>
    </row>
    <row r="54" spans="1:1" x14ac:dyDescent="0.45">
      <c r="A54" s="5" t="str">
        <f>IF(B54="","",ROWS($A$13:A54))</f>
        <v/>
      </c>
    </row>
    <row r="55" spans="1:1" x14ac:dyDescent="0.45">
      <c r="A55" s="5" t="str">
        <f>IF(B55="","",ROWS($A$13:A55))</f>
        <v/>
      </c>
    </row>
    <row r="56" spans="1:1" x14ac:dyDescent="0.45">
      <c r="A56" s="5" t="str">
        <f>IF(B56="","",ROWS($A$13:A56))</f>
        <v/>
      </c>
    </row>
    <row r="57" spans="1:1" x14ac:dyDescent="0.45">
      <c r="A57" s="5" t="str">
        <f>IF(B57="","",ROWS($A$13:A57))</f>
        <v/>
      </c>
    </row>
    <row r="58" spans="1:1" x14ac:dyDescent="0.45">
      <c r="A58" s="5" t="str">
        <f>IF(B58="","",ROWS($A$13:A58))</f>
        <v/>
      </c>
    </row>
    <row r="59" spans="1:1" x14ac:dyDescent="0.45">
      <c r="A59" s="5" t="str">
        <f>IF(B59="","",ROWS($A$13:A59))</f>
        <v/>
      </c>
    </row>
    <row r="60" spans="1:1" x14ac:dyDescent="0.45">
      <c r="A60" s="5" t="str">
        <f>IF(B60="","",ROWS($A$13:A60))</f>
        <v/>
      </c>
    </row>
    <row r="61" spans="1:1" x14ac:dyDescent="0.45">
      <c r="A61" s="5" t="str">
        <f>IF(B61="","",ROWS($A$13:A61))</f>
        <v/>
      </c>
    </row>
    <row r="62" spans="1:1" x14ac:dyDescent="0.45">
      <c r="A62" s="5" t="str">
        <f>IF(B62="","",ROWS($A$13:A62))</f>
        <v/>
      </c>
    </row>
    <row r="63" spans="1:1" x14ac:dyDescent="0.45">
      <c r="A63" s="5" t="str">
        <f>IF(B63="","",ROWS($A$13:A63))</f>
        <v/>
      </c>
    </row>
    <row r="64" spans="1:1" x14ac:dyDescent="0.45">
      <c r="A64" s="5" t="str">
        <f>IF(B64="","",ROWS($A$13:A64))</f>
        <v/>
      </c>
    </row>
    <row r="65" spans="1:1" x14ac:dyDescent="0.45">
      <c r="A65" s="5" t="str">
        <f>IF(B65="","",ROWS($A$13:A65))</f>
        <v/>
      </c>
    </row>
    <row r="66" spans="1:1" x14ac:dyDescent="0.45">
      <c r="A66" s="5" t="str">
        <f>IF(B66="","",ROWS($A$13:A66))</f>
        <v/>
      </c>
    </row>
    <row r="67" spans="1:1" x14ac:dyDescent="0.45">
      <c r="A67" s="5" t="str">
        <f>IF(B67="","",ROWS($A$13:A67))</f>
        <v/>
      </c>
    </row>
    <row r="68" spans="1:1" x14ac:dyDescent="0.45">
      <c r="A68" s="5" t="str">
        <f>IF(B68="","",ROWS($A$13:A68))</f>
        <v/>
      </c>
    </row>
    <row r="69" spans="1:1" x14ac:dyDescent="0.45">
      <c r="A69" s="5" t="str">
        <f>IF(B69="","",ROWS($A$13:A69))</f>
        <v/>
      </c>
    </row>
    <row r="70" spans="1:1" x14ac:dyDescent="0.45">
      <c r="A70" s="5" t="str">
        <f>IF(B70="","",ROWS($A$13:A70))</f>
        <v/>
      </c>
    </row>
    <row r="71" spans="1:1" x14ac:dyDescent="0.45">
      <c r="A71" s="5" t="str">
        <f>IF(B71="","",ROWS($A$13:A71))</f>
        <v/>
      </c>
    </row>
    <row r="72" spans="1:1" x14ac:dyDescent="0.45">
      <c r="A72" s="5" t="str">
        <f>IF(B72="","",ROWS($A$13:A72))</f>
        <v/>
      </c>
    </row>
    <row r="73" spans="1:1" x14ac:dyDescent="0.45">
      <c r="A73" s="5" t="str">
        <f>IF(B73="","",ROWS($A$13:A73))</f>
        <v/>
      </c>
    </row>
    <row r="74" spans="1:1" x14ac:dyDescent="0.45">
      <c r="A74" s="5" t="str">
        <f>IF(B74="","",ROWS($A$13:A74))</f>
        <v/>
      </c>
    </row>
    <row r="75" spans="1:1" x14ac:dyDescent="0.45">
      <c r="A75" s="5" t="str">
        <f>IF(B75="","",ROWS($A$13:A75))</f>
        <v/>
      </c>
    </row>
    <row r="76" spans="1:1" x14ac:dyDescent="0.45">
      <c r="A76" s="5" t="str">
        <f>IF(B76="","",ROWS($A$13:A76))</f>
        <v/>
      </c>
    </row>
    <row r="77" spans="1:1" x14ac:dyDescent="0.45">
      <c r="A77" s="5" t="str">
        <f>IF(B77="","",ROWS($A$13:A77))</f>
        <v/>
      </c>
    </row>
    <row r="78" spans="1:1" x14ac:dyDescent="0.45">
      <c r="A78" s="5" t="str">
        <f>IF(B78="","",ROWS($A$13:A78))</f>
        <v/>
      </c>
    </row>
    <row r="79" spans="1:1" x14ac:dyDescent="0.45">
      <c r="A79" s="5" t="str">
        <f>IF(B79="","",ROWS($A$13:A79))</f>
        <v/>
      </c>
    </row>
    <row r="80" spans="1:1" x14ac:dyDescent="0.45">
      <c r="A80" s="5" t="str">
        <f>IF(B80="","",ROWS($A$13:A80))</f>
        <v/>
      </c>
    </row>
    <row r="81" spans="1:1" x14ac:dyDescent="0.45">
      <c r="A81" s="5" t="str">
        <f>IF(B81="","",ROWS($A$13:A81))</f>
        <v/>
      </c>
    </row>
    <row r="82" spans="1:1" x14ac:dyDescent="0.45">
      <c r="A82" s="5" t="str">
        <f>IF(B82="","",ROWS($A$13:A82))</f>
        <v/>
      </c>
    </row>
    <row r="83" spans="1:1" x14ac:dyDescent="0.45">
      <c r="A83" s="5" t="str">
        <f>IF(B83="","",ROWS($A$13:A83))</f>
        <v/>
      </c>
    </row>
    <row r="84" spans="1:1" x14ac:dyDescent="0.45">
      <c r="A84" s="5" t="str">
        <f>IF(B84="","",ROWS($A$13:A84))</f>
        <v/>
      </c>
    </row>
    <row r="85" spans="1:1" x14ac:dyDescent="0.45">
      <c r="A85" s="5" t="str">
        <f>IF(B85="","",ROWS($A$13:A85))</f>
        <v/>
      </c>
    </row>
    <row r="86" spans="1:1" x14ac:dyDescent="0.45">
      <c r="A86" s="5" t="str">
        <f>IF(B86="","",ROWS($A$13:A86))</f>
        <v/>
      </c>
    </row>
    <row r="87" spans="1:1" x14ac:dyDescent="0.45">
      <c r="A87" s="5" t="str">
        <f>IF(B87="","",ROWS($A$13:A87))</f>
        <v/>
      </c>
    </row>
    <row r="88" spans="1:1" x14ac:dyDescent="0.45">
      <c r="A88" s="5" t="str">
        <f>IF(B88="","",ROWS($A$13:A88))</f>
        <v/>
      </c>
    </row>
    <row r="89" spans="1:1" x14ac:dyDescent="0.45">
      <c r="A89" s="5" t="str">
        <f>IF(B89="","",ROWS($A$13:A89))</f>
        <v/>
      </c>
    </row>
    <row r="90" spans="1:1" x14ac:dyDescent="0.45">
      <c r="A90" s="5" t="str">
        <f>IF(B90="","",ROWS($A$13:A90))</f>
        <v/>
      </c>
    </row>
    <row r="91" spans="1:1" x14ac:dyDescent="0.45">
      <c r="A91" s="5" t="str">
        <f>IF(B91="","",ROWS($A$13:A91))</f>
        <v/>
      </c>
    </row>
    <row r="92" spans="1:1" x14ac:dyDescent="0.45">
      <c r="A92" s="5" t="str">
        <f>IF(B92="","",ROWS($A$13:A92))</f>
        <v/>
      </c>
    </row>
    <row r="93" spans="1:1" x14ac:dyDescent="0.45">
      <c r="A93" s="5" t="str">
        <f>IF(B93="","",ROWS($A$13:A93))</f>
        <v/>
      </c>
    </row>
    <row r="94" spans="1:1" x14ac:dyDescent="0.45">
      <c r="A94" s="5" t="str">
        <f>IF(B94="","",ROWS($A$13:A94))</f>
        <v/>
      </c>
    </row>
    <row r="95" spans="1:1" x14ac:dyDescent="0.45">
      <c r="A95" s="5" t="str">
        <f>IF(B95="","",ROWS($A$13:A95))</f>
        <v/>
      </c>
    </row>
    <row r="96" spans="1:1" x14ac:dyDescent="0.45">
      <c r="A96" s="5" t="str">
        <f>IF(B96="","",ROWS($A$13:A96))</f>
        <v/>
      </c>
    </row>
    <row r="97" spans="1:1" x14ac:dyDescent="0.45">
      <c r="A97" s="5" t="str">
        <f>IF(B97="","",ROWS($A$13:A97))</f>
        <v/>
      </c>
    </row>
    <row r="98" spans="1:1" x14ac:dyDescent="0.45">
      <c r="A98" s="5" t="str">
        <f>IF(B98="","",ROWS($A$13:A98))</f>
        <v/>
      </c>
    </row>
    <row r="99" spans="1:1" x14ac:dyDescent="0.45">
      <c r="A99" s="5" t="str">
        <f>IF(B99="","",ROWS($A$13:A99))</f>
        <v/>
      </c>
    </row>
    <row r="100" spans="1:1" x14ac:dyDescent="0.45">
      <c r="A100" s="5" t="str">
        <f>IF(B100="","",ROWS($A$13:A100))</f>
        <v/>
      </c>
    </row>
    <row r="101" spans="1:1" x14ac:dyDescent="0.45">
      <c r="A101" s="5" t="str">
        <f>IF(B101="","",ROWS($A$13:A101))</f>
        <v/>
      </c>
    </row>
    <row r="102" spans="1:1" x14ac:dyDescent="0.45">
      <c r="A102" s="5" t="str">
        <f>IF(B102="","",ROWS($A$13:A102))</f>
        <v/>
      </c>
    </row>
    <row r="103" spans="1:1" x14ac:dyDescent="0.45">
      <c r="A103" s="5" t="str">
        <f>IF(B103="","",ROWS($A$13:A103))</f>
        <v/>
      </c>
    </row>
    <row r="104" spans="1:1" x14ac:dyDescent="0.45">
      <c r="A104" s="5" t="str">
        <f>IF(B104="","",ROWS($A$13:A104))</f>
        <v/>
      </c>
    </row>
    <row r="105" spans="1:1" x14ac:dyDescent="0.45">
      <c r="A105" s="5" t="str">
        <f>IF(B105="","",ROWS($A$13:A105))</f>
        <v/>
      </c>
    </row>
    <row r="106" spans="1:1" x14ac:dyDescent="0.45">
      <c r="A106" s="5" t="str">
        <f>IF(B106="","",ROWS($A$13:A106))</f>
        <v/>
      </c>
    </row>
    <row r="107" spans="1:1" x14ac:dyDescent="0.45">
      <c r="A107" s="5" t="str">
        <f>IF(B107="","",ROWS($A$13:A107))</f>
        <v/>
      </c>
    </row>
    <row r="108" spans="1:1" x14ac:dyDescent="0.45">
      <c r="A108" s="5" t="str">
        <f>IF(B108="","",ROWS($A$13:A108))</f>
        <v/>
      </c>
    </row>
    <row r="109" spans="1:1" x14ac:dyDescent="0.45">
      <c r="A109" s="5" t="str">
        <f>IF(B109="","",ROWS($A$13:A109))</f>
        <v/>
      </c>
    </row>
    <row r="110" spans="1:1" x14ac:dyDescent="0.45">
      <c r="A110" s="5" t="str">
        <f>IF(B110="","",ROWS($A$13:A110))</f>
        <v/>
      </c>
    </row>
    <row r="111" spans="1:1" x14ac:dyDescent="0.45">
      <c r="A111" s="5" t="str">
        <f>IF(B111="","",ROWS($A$13:A111))</f>
        <v/>
      </c>
    </row>
    <row r="112" spans="1:1" x14ac:dyDescent="0.45">
      <c r="A112" s="5" t="str">
        <f>IF(B112="","",ROWS($A$13:A112))</f>
        <v/>
      </c>
    </row>
    <row r="113" spans="1:1" x14ac:dyDescent="0.45">
      <c r="A113" s="5" t="str">
        <f>IF(B113="","",ROWS($A$13:A113))</f>
        <v/>
      </c>
    </row>
    <row r="114" spans="1:1" x14ac:dyDescent="0.45">
      <c r="A114" s="5" t="str">
        <f>IF(B114="","",ROWS($A$13:A114))</f>
        <v/>
      </c>
    </row>
    <row r="115" spans="1:1" x14ac:dyDescent="0.45">
      <c r="A115" s="5" t="str">
        <f>IF(B115="","",ROWS($A$13:A115))</f>
        <v/>
      </c>
    </row>
    <row r="116" spans="1:1" x14ac:dyDescent="0.45">
      <c r="A116" s="5" t="str">
        <f>IF(B116="","",ROWS($A$13:A116))</f>
        <v/>
      </c>
    </row>
    <row r="117" spans="1:1" x14ac:dyDescent="0.45">
      <c r="A117" s="5" t="str">
        <f>IF(B117="","",ROWS($A$13:A117))</f>
        <v/>
      </c>
    </row>
    <row r="118" spans="1:1" x14ac:dyDescent="0.45">
      <c r="A118" s="5" t="str">
        <f>IF(B118="","",ROWS($A$13:A118))</f>
        <v/>
      </c>
    </row>
    <row r="119" spans="1:1" x14ac:dyDescent="0.45">
      <c r="A119" s="5" t="str">
        <f>IF(B119="","",ROWS($A$13:A119))</f>
        <v/>
      </c>
    </row>
    <row r="120" spans="1:1" x14ac:dyDescent="0.45">
      <c r="A120" s="5" t="str">
        <f>IF(B120="","",ROWS($A$13:A120))</f>
        <v/>
      </c>
    </row>
    <row r="121" spans="1:1" x14ac:dyDescent="0.45">
      <c r="A121" s="5" t="str">
        <f>IF(B121="","",ROWS($A$13:A121))</f>
        <v/>
      </c>
    </row>
    <row r="122" spans="1:1" x14ac:dyDescent="0.45">
      <c r="A122" s="5" t="str">
        <f>IF(B122="","",ROWS($A$13:A122))</f>
        <v/>
      </c>
    </row>
    <row r="123" spans="1:1" x14ac:dyDescent="0.45">
      <c r="A123" s="5" t="str">
        <f>IF(B123="","",ROWS($A$13:A123))</f>
        <v/>
      </c>
    </row>
    <row r="124" spans="1:1" x14ac:dyDescent="0.45">
      <c r="A124" s="5" t="str">
        <f>IF(B124="","",ROWS($A$13:A124))</f>
        <v/>
      </c>
    </row>
    <row r="125" spans="1:1" x14ac:dyDescent="0.45">
      <c r="A125" s="5" t="str">
        <f>IF(B125="","",ROWS($A$13:A125))</f>
        <v/>
      </c>
    </row>
    <row r="126" spans="1:1" x14ac:dyDescent="0.45">
      <c r="A126" s="5" t="str">
        <f>IF(B126="","",ROWS($A$13:A126))</f>
        <v/>
      </c>
    </row>
    <row r="127" spans="1:1" x14ac:dyDescent="0.45">
      <c r="A127" s="5" t="str">
        <f>IF(B127="","",ROWS($A$13:A127))</f>
        <v/>
      </c>
    </row>
    <row r="128" spans="1:1" x14ac:dyDescent="0.45">
      <c r="A128" s="5" t="str">
        <f>IF(B128="","",ROWS($A$13:A128))</f>
        <v/>
      </c>
    </row>
    <row r="129" spans="1:1" x14ac:dyDescent="0.45">
      <c r="A129" s="5" t="str">
        <f>IF(B129="","",ROWS($A$13:A129))</f>
        <v/>
      </c>
    </row>
    <row r="130" spans="1:1" x14ac:dyDescent="0.45">
      <c r="A130" s="5" t="str">
        <f>IF(B130="","",ROWS($A$13:A130))</f>
        <v/>
      </c>
    </row>
    <row r="131" spans="1:1" x14ac:dyDescent="0.45">
      <c r="A131" s="5" t="str">
        <f>IF(B131="","",ROWS($A$13:A131))</f>
        <v/>
      </c>
    </row>
    <row r="132" spans="1:1" x14ac:dyDescent="0.45">
      <c r="A132" s="5" t="str">
        <f>IF(B132="","",ROWS($A$13:A132))</f>
        <v/>
      </c>
    </row>
    <row r="133" spans="1:1" x14ac:dyDescent="0.45">
      <c r="A133" s="5" t="str">
        <f>IF(B133="","",ROWS($A$13:A133))</f>
        <v/>
      </c>
    </row>
    <row r="134" spans="1:1" x14ac:dyDescent="0.45">
      <c r="A134" s="5" t="str">
        <f>IF(B134="","",ROWS($A$13:A134))</f>
        <v/>
      </c>
    </row>
    <row r="135" spans="1:1" x14ac:dyDescent="0.45">
      <c r="A135" s="5" t="str">
        <f>IF(B135="","",ROWS($A$13:A135))</f>
        <v/>
      </c>
    </row>
    <row r="136" spans="1:1" x14ac:dyDescent="0.45">
      <c r="A136" s="5" t="str">
        <f>IF(B136="","",ROWS($A$13:A136))</f>
        <v/>
      </c>
    </row>
    <row r="137" spans="1:1" x14ac:dyDescent="0.45">
      <c r="A137" s="5" t="str">
        <f>IF(B137="","",ROWS($A$13:A137))</f>
        <v/>
      </c>
    </row>
    <row r="138" spans="1:1" x14ac:dyDescent="0.45">
      <c r="A138" s="5" t="str">
        <f>IF(B138="","",ROWS($A$13:A138))</f>
        <v/>
      </c>
    </row>
    <row r="139" spans="1:1" x14ac:dyDescent="0.45">
      <c r="A139" s="5" t="str">
        <f>IF(B139="","",ROWS($A$13:A139))</f>
        <v/>
      </c>
    </row>
    <row r="140" spans="1:1" x14ac:dyDescent="0.45">
      <c r="A140" s="5" t="str">
        <f>IF(B140="","",ROWS($A$13:A140))</f>
        <v/>
      </c>
    </row>
    <row r="141" spans="1:1" x14ac:dyDescent="0.45">
      <c r="A141" s="5" t="str">
        <f>IF(B141="","",ROWS($A$13:A141))</f>
        <v/>
      </c>
    </row>
    <row r="142" spans="1:1" x14ac:dyDescent="0.45">
      <c r="A142" s="5" t="str">
        <f>IF(B142="","",ROWS($A$13:A142))</f>
        <v/>
      </c>
    </row>
    <row r="143" spans="1:1" x14ac:dyDescent="0.45">
      <c r="A143" s="5" t="str">
        <f>IF(B143="","",ROWS($A$13:A143))</f>
        <v/>
      </c>
    </row>
    <row r="144" spans="1:1" x14ac:dyDescent="0.45">
      <c r="A144" s="5" t="str">
        <f>IF(B144="","",ROWS($A$13:A144))</f>
        <v/>
      </c>
    </row>
    <row r="145" spans="1:1" x14ac:dyDescent="0.45">
      <c r="A145" s="5" t="str">
        <f>IF(B145="","",ROWS($A$13:A145))</f>
        <v/>
      </c>
    </row>
    <row r="146" spans="1:1" x14ac:dyDescent="0.45">
      <c r="A146" s="5" t="str">
        <f>IF(B146="","",ROWS($A$13:A146))</f>
        <v/>
      </c>
    </row>
    <row r="147" spans="1:1" x14ac:dyDescent="0.45">
      <c r="A147" s="5" t="str">
        <f>IF(B147="","",ROWS($A$13:A147))</f>
        <v/>
      </c>
    </row>
    <row r="148" spans="1:1" x14ac:dyDescent="0.45">
      <c r="A148" s="5" t="str">
        <f>IF(B148="","",ROWS($A$13:A148))</f>
        <v/>
      </c>
    </row>
    <row r="149" spans="1:1" x14ac:dyDescent="0.45">
      <c r="A149" s="5" t="str">
        <f>IF(B149="","",ROWS($A$13:A149))</f>
        <v/>
      </c>
    </row>
    <row r="150" spans="1:1" x14ac:dyDescent="0.45">
      <c r="A150" s="5" t="str">
        <f>IF(B150="","",ROWS($A$13:A150))</f>
        <v/>
      </c>
    </row>
    <row r="151" spans="1:1" x14ac:dyDescent="0.45">
      <c r="A151" s="5" t="str">
        <f>IF(B151="","",ROWS($A$13:A151))</f>
        <v/>
      </c>
    </row>
    <row r="152" spans="1:1" x14ac:dyDescent="0.45">
      <c r="A152" s="5" t="str">
        <f>IF(B152="","",ROWS($A$13:A152))</f>
        <v/>
      </c>
    </row>
    <row r="153" spans="1:1" x14ac:dyDescent="0.45">
      <c r="A153" s="5" t="str">
        <f>IF(B153="","",ROWS($A$13:A153))</f>
        <v/>
      </c>
    </row>
    <row r="154" spans="1:1" x14ac:dyDescent="0.45">
      <c r="A154" s="5" t="str">
        <f>IF(B154="","",ROWS($A$13:A154))</f>
        <v/>
      </c>
    </row>
    <row r="155" spans="1:1" x14ac:dyDescent="0.45">
      <c r="A155" s="5" t="str">
        <f>IF(B155="","",ROWS($A$13:A155))</f>
        <v/>
      </c>
    </row>
    <row r="156" spans="1:1" x14ac:dyDescent="0.45">
      <c r="A156" s="5" t="str">
        <f>IF(B156="","",ROWS($A$13:A156))</f>
        <v/>
      </c>
    </row>
    <row r="157" spans="1:1" x14ac:dyDescent="0.45">
      <c r="A157" s="5" t="str">
        <f>IF(B157="","",ROWS($A$13:A157))</f>
        <v/>
      </c>
    </row>
    <row r="158" spans="1:1" x14ac:dyDescent="0.45">
      <c r="A158" s="5" t="str">
        <f>IF(B158="","",ROWS($A$13:A158))</f>
        <v/>
      </c>
    </row>
    <row r="159" spans="1:1" x14ac:dyDescent="0.45">
      <c r="A159" s="5" t="str">
        <f>IF(B159="","",ROWS($A$13:A159))</f>
        <v/>
      </c>
    </row>
    <row r="160" spans="1:1" x14ac:dyDescent="0.45">
      <c r="A160" s="5" t="str">
        <f>IF(B160="","",ROWS($A$13:A160))</f>
        <v/>
      </c>
    </row>
    <row r="161" spans="1:1" x14ac:dyDescent="0.45">
      <c r="A161" s="5" t="str">
        <f>IF(B161="","",ROWS($A$13:A161))</f>
        <v/>
      </c>
    </row>
    <row r="162" spans="1:1" x14ac:dyDescent="0.45">
      <c r="A162" s="5" t="str">
        <f>IF(B162="","",ROWS($A$13:A162))</f>
        <v/>
      </c>
    </row>
    <row r="163" spans="1:1" x14ac:dyDescent="0.45">
      <c r="A163" s="5" t="str">
        <f>IF(B163="","",ROWS($A$13:A163))</f>
        <v/>
      </c>
    </row>
    <row r="164" spans="1:1" x14ac:dyDescent="0.45">
      <c r="A164" s="5" t="str">
        <f>IF(B164="","",ROWS($A$13:A164))</f>
        <v/>
      </c>
    </row>
    <row r="165" spans="1:1" x14ac:dyDescent="0.45">
      <c r="A165" s="5" t="str">
        <f>IF(B165="","",ROWS($A$13:A165))</f>
        <v/>
      </c>
    </row>
    <row r="166" spans="1:1" x14ac:dyDescent="0.45">
      <c r="A166" s="5" t="str">
        <f>IF(B166="","",ROWS($A$13:A166))</f>
        <v/>
      </c>
    </row>
    <row r="167" spans="1:1" x14ac:dyDescent="0.45">
      <c r="A167" s="5" t="str">
        <f>IF(B167="","",ROWS($A$13:A167))</f>
        <v/>
      </c>
    </row>
    <row r="168" spans="1:1" x14ac:dyDescent="0.45">
      <c r="A168" s="5" t="str">
        <f>IF(B168="","",ROWS($A$13:A168))</f>
        <v/>
      </c>
    </row>
    <row r="169" spans="1:1" x14ac:dyDescent="0.45">
      <c r="A169" s="5" t="str">
        <f>IF(B169="","",ROWS($A$13:A169))</f>
        <v/>
      </c>
    </row>
    <row r="170" spans="1:1" x14ac:dyDescent="0.45">
      <c r="A170" s="5" t="str">
        <f>IF(B170="","",ROWS($A$13:A170))</f>
        <v/>
      </c>
    </row>
    <row r="171" spans="1:1" x14ac:dyDescent="0.45">
      <c r="A171" s="5" t="str">
        <f>IF(B171="","",ROWS($A$13:A171))</f>
        <v/>
      </c>
    </row>
    <row r="172" spans="1:1" x14ac:dyDescent="0.45">
      <c r="A172" s="5" t="str">
        <f>IF(B172="","",ROWS($A$13:A172))</f>
        <v/>
      </c>
    </row>
    <row r="173" spans="1:1" x14ac:dyDescent="0.45">
      <c r="A173" s="5" t="str">
        <f>IF(B173="","",ROWS($A$13:A173))</f>
        <v/>
      </c>
    </row>
    <row r="174" spans="1:1" x14ac:dyDescent="0.45">
      <c r="A174" s="5" t="str">
        <f>IF(B174="","",ROWS($A$13:A174))</f>
        <v/>
      </c>
    </row>
    <row r="175" spans="1:1" x14ac:dyDescent="0.45">
      <c r="A175" s="5" t="str">
        <f>IF(B175="","",ROWS($A$13:A175))</f>
        <v/>
      </c>
    </row>
    <row r="176" spans="1:1" x14ac:dyDescent="0.45">
      <c r="A176" s="5" t="str">
        <f>IF(B176="","",ROWS($A$13:A176))</f>
        <v/>
      </c>
    </row>
    <row r="177" spans="1:1" x14ac:dyDescent="0.45">
      <c r="A177" s="5" t="str">
        <f>IF(B177="","",ROWS($A$13:A177))</f>
        <v/>
      </c>
    </row>
    <row r="178" spans="1:1" x14ac:dyDescent="0.45">
      <c r="A178" s="5" t="str">
        <f>IF(B178="","",ROWS($A$13:A178))</f>
        <v/>
      </c>
    </row>
    <row r="179" spans="1:1" x14ac:dyDescent="0.45">
      <c r="A179" s="5" t="str">
        <f>IF(B179="","",ROWS($A$13:A179))</f>
        <v/>
      </c>
    </row>
    <row r="180" spans="1:1" x14ac:dyDescent="0.45">
      <c r="A180" s="5" t="str">
        <f>IF(B180="","",ROWS($A$13:A180))</f>
        <v/>
      </c>
    </row>
    <row r="181" spans="1:1" x14ac:dyDescent="0.45">
      <c r="A181" s="5" t="str">
        <f>IF(B181="","",ROWS($A$13:A181))</f>
        <v/>
      </c>
    </row>
    <row r="182" spans="1:1" x14ac:dyDescent="0.45">
      <c r="A182" s="5" t="str">
        <f>IF(B182="","",ROWS($A$13:A182))</f>
        <v/>
      </c>
    </row>
    <row r="183" spans="1:1" x14ac:dyDescent="0.45">
      <c r="A183" s="5" t="str">
        <f>IF(B183="","",ROWS($A$13:A183))</f>
        <v/>
      </c>
    </row>
    <row r="184" spans="1:1" x14ac:dyDescent="0.45">
      <c r="A184" s="5" t="str">
        <f>IF(B184="","",ROWS($A$13:A184))</f>
        <v/>
      </c>
    </row>
    <row r="185" spans="1:1" x14ac:dyDescent="0.45">
      <c r="A185" s="5" t="str">
        <f>IF(B185="","",ROWS($A$13:A185))</f>
        <v/>
      </c>
    </row>
    <row r="186" spans="1:1" x14ac:dyDescent="0.45">
      <c r="A186" s="5" t="str">
        <f>IF(B186="","",ROWS($A$13:A186))</f>
        <v/>
      </c>
    </row>
    <row r="187" spans="1:1" x14ac:dyDescent="0.45">
      <c r="A187" s="5" t="str">
        <f>IF(B187="","",ROWS($A$13:A187))</f>
        <v/>
      </c>
    </row>
    <row r="188" spans="1:1" x14ac:dyDescent="0.45">
      <c r="A188" s="5" t="str">
        <f>IF(B188="","",ROWS($A$13:A188))</f>
        <v/>
      </c>
    </row>
    <row r="189" spans="1:1" x14ac:dyDescent="0.45">
      <c r="A189" s="5" t="str">
        <f>IF(B189="","",ROWS($A$13:A189))</f>
        <v/>
      </c>
    </row>
    <row r="190" spans="1:1" x14ac:dyDescent="0.45">
      <c r="A190" s="5" t="str">
        <f>IF(B190="","",ROWS($A$13:A190))</f>
        <v/>
      </c>
    </row>
    <row r="191" spans="1:1" x14ac:dyDescent="0.45">
      <c r="A191" s="5" t="str">
        <f>IF(B191="","",ROWS($A$13:A191))</f>
        <v/>
      </c>
    </row>
    <row r="192" spans="1:1" x14ac:dyDescent="0.45">
      <c r="A192" s="5" t="str">
        <f>IF(B192="","",ROWS($A$13:A192))</f>
        <v/>
      </c>
    </row>
    <row r="193" spans="1:1" x14ac:dyDescent="0.45">
      <c r="A193" s="5" t="str">
        <f>IF(B193="","",ROWS($A$13:A193))</f>
        <v/>
      </c>
    </row>
    <row r="194" spans="1:1" x14ac:dyDescent="0.45">
      <c r="A194" s="5" t="str">
        <f>IF(B194="","",ROWS($A$13:A194))</f>
        <v/>
      </c>
    </row>
    <row r="195" spans="1:1" x14ac:dyDescent="0.45">
      <c r="A195" s="5" t="str">
        <f>IF(B195="","",ROWS($A$13:A195))</f>
        <v/>
      </c>
    </row>
    <row r="196" spans="1:1" x14ac:dyDescent="0.45">
      <c r="A196" s="5" t="str">
        <f>IF(B196="","",ROWS($A$13:A196))</f>
        <v/>
      </c>
    </row>
    <row r="197" spans="1:1" x14ac:dyDescent="0.45">
      <c r="A197" s="5" t="str">
        <f>IF(B197="","",ROWS($A$13:A197))</f>
        <v/>
      </c>
    </row>
    <row r="198" spans="1:1" x14ac:dyDescent="0.45">
      <c r="A198" s="5" t="str">
        <f>IF(B198="","",ROWS($A$13:A198))</f>
        <v/>
      </c>
    </row>
    <row r="199" spans="1:1" x14ac:dyDescent="0.45">
      <c r="A199" s="5" t="str">
        <f>IF(B199="","",ROWS($A$13:A199))</f>
        <v/>
      </c>
    </row>
    <row r="200" spans="1:1" x14ac:dyDescent="0.45">
      <c r="A200" s="5" t="str">
        <f>IF(B200="","",ROWS($A$13:A200))</f>
        <v/>
      </c>
    </row>
    <row r="201" spans="1:1" x14ac:dyDescent="0.45">
      <c r="A201" s="5" t="str">
        <f>IF(B201="","",ROWS($A$13:A201))</f>
        <v/>
      </c>
    </row>
    <row r="202" spans="1:1" x14ac:dyDescent="0.45">
      <c r="A202" s="5" t="str">
        <f>IF(B202="","",ROWS($A$13:A202))</f>
        <v/>
      </c>
    </row>
    <row r="203" spans="1:1" x14ac:dyDescent="0.45">
      <c r="A203" s="5" t="str">
        <f>IF(B203="","",ROWS($A$13:A203))</f>
        <v/>
      </c>
    </row>
    <row r="204" spans="1:1" x14ac:dyDescent="0.45">
      <c r="A204" s="5" t="str">
        <f>IF(B204="","",ROWS($A$13:A204))</f>
        <v/>
      </c>
    </row>
    <row r="205" spans="1:1" x14ac:dyDescent="0.45">
      <c r="A205" s="5" t="str">
        <f>IF(B205="","",ROWS($A$13:A205))</f>
        <v/>
      </c>
    </row>
    <row r="206" spans="1:1" x14ac:dyDescent="0.45">
      <c r="A206" s="5" t="str">
        <f>IF(B206="","",ROWS($A$13:A206))</f>
        <v/>
      </c>
    </row>
    <row r="207" spans="1:1" x14ac:dyDescent="0.45">
      <c r="A207" s="5" t="str">
        <f>IF(B207="","",ROWS($A$13:A207))</f>
        <v/>
      </c>
    </row>
    <row r="208" spans="1:1" x14ac:dyDescent="0.45">
      <c r="A208" s="5" t="str">
        <f>IF(B208="","",ROWS($A$13:A208))</f>
        <v/>
      </c>
    </row>
    <row r="209" spans="1:1" x14ac:dyDescent="0.45">
      <c r="A209" s="5" t="str">
        <f>IF(B209="","",ROWS($A$13:A209))</f>
        <v/>
      </c>
    </row>
    <row r="210" spans="1:1" x14ac:dyDescent="0.45">
      <c r="A210" s="5" t="str">
        <f>IF(B210="","",ROWS($A$13:A210))</f>
        <v/>
      </c>
    </row>
    <row r="211" spans="1:1" x14ac:dyDescent="0.45">
      <c r="A211" s="5" t="str">
        <f>IF(B211="","",ROWS($A$13:A211))</f>
        <v/>
      </c>
    </row>
    <row r="212" spans="1:1" x14ac:dyDescent="0.45">
      <c r="A212" s="5" t="str">
        <f>IF(B212="","",ROWS($A$13:A212))</f>
        <v/>
      </c>
    </row>
    <row r="213" spans="1:1" x14ac:dyDescent="0.45">
      <c r="A213" s="5" t="str">
        <f>IF(B213="","",ROWS($A$13:A213))</f>
        <v/>
      </c>
    </row>
    <row r="214" spans="1:1" x14ac:dyDescent="0.45">
      <c r="A214" s="5" t="str">
        <f>IF(B214="","",ROWS($A$13:A214))</f>
        <v/>
      </c>
    </row>
    <row r="215" spans="1:1" x14ac:dyDescent="0.45">
      <c r="A215" s="5" t="str">
        <f>IF(B215="","",ROWS($A$13:A215))</f>
        <v/>
      </c>
    </row>
    <row r="216" spans="1:1" x14ac:dyDescent="0.45">
      <c r="A216" s="5" t="str">
        <f>IF(B216="","",ROWS($A$13:A216))</f>
        <v/>
      </c>
    </row>
    <row r="217" spans="1:1" x14ac:dyDescent="0.45">
      <c r="A217" s="5" t="str">
        <f>IF(B217="","",ROWS($A$13:A217))</f>
        <v/>
      </c>
    </row>
    <row r="218" spans="1:1" x14ac:dyDescent="0.45">
      <c r="A218" s="5" t="str">
        <f>IF(B218="","",ROWS($A$13:A218))</f>
        <v/>
      </c>
    </row>
    <row r="219" spans="1:1" x14ac:dyDescent="0.45">
      <c r="A219" s="5" t="str">
        <f>IF(B219="","",ROWS($A$13:A219))</f>
        <v/>
      </c>
    </row>
    <row r="220" spans="1:1" x14ac:dyDescent="0.45">
      <c r="A220" s="5" t="str">
        <f>IF(B220="","",ROWS($A$13:A220))</f>
        <v/>
      </c>
    </row>
    <row r="221" spans="1:1" x14ac:dyDescent="0.45">
      <c r="A221" s="5" t="str">
        <f>IF(B221="","",ROWS($A$13:A221))</f>
        <v/>
      </c>
    </row>
    <row r="222" spans="1:1" x14ac:dyDescent="0.45">
      <c r="A222" s="5" t="str">
        <f>IF(B222="","",ROWS($A$13:A222))</f>
        <v/>
      </c>
    </row>
    <row r="223" spans="1:1" x14ac:dyDescent="0.45">
      <c r="A223" s="5" t="str">
        <f>IF(B223="","",ROWS($A$13:A223))</f>
        <v/>
      </c>
    </row>
    <row r="224" spans="1:1" x14ac:dyDescent="0.45">
      <c r="A224" s="5" t="str">
        <f>IF(B224="","",ROWS($A$13:A224))</f>
        <v/>
      </c>
    </row>
    <row r="225" spans="1:1" x14ac:dyDescent="0.45">
      <c r="A225" s="5" t="str">
        <f>IF(B225="","",ROWS($A$13:A225))</f>
        <v/>
      </c>
    </row>
    <row r="226" spans="1:1" x14ac:dyDescent="0.45">
      <c r="A226" s="5" t="str">
        <f>IF(B226="","",ROWS($A$13:A226))</f>
        <v/>
      </c>
    </row>
    <row r="227" spans="1:1" x14ac:dyDescent="0.45">
      <c r="A227" s="5" t="str">
        <f>IF(B227="","",ROWS($A$13:A227))</f>
        <v/>
      </c>
    </row>
    <row r="228" spans="1:1" x14ac:dyDescent="0.45">
      <c r="A228" s="5" t="str">
        <f>IF(B228="","",ROWS($A$13:A228))</f>
        <v/>
      </c>
    </row>
    <row r="229" spans="1:1" x14ac:dyDescent="0.45">
      <c r="A229" s="5" t="str">
        <f>IF(B229="","",ROWS($A$13:A229))</f>
        <v/>
      </c>
    </row>
    <row r="230" spans="1:1" x14ac:dyDescent="0.45">
      <c r="A230" s="5" t="str">
        <f>IF(B230="","",ROWS($A$13:A230))</f>
        <v/>
      </c>
    </row>
    <row r="231" spans="1:1" x14ac:dyDescent="0.45">
      <c r="A231" s="5" t="str">
        <f>IF(B231="","",ROWS($A$13:A231))</f>
        <v/>
      </c>
    </row>
    <row r="232" spans="1:1" x14ac:dyDescent="0.45">
      <c r="A232" s="5" t="str">
        <f>IF(B232="","",ROWS($A$13:A232))</f>
        <v/>
      </c>
    </row>
    <row r="233" spans="1:1" x14ac:dyDescent="0.45">
      <c r="A233" s="5" t="str">
        <f>IF(B233="","",ROWS($A$13:A233))</f>
        <v/>
      </c>
    </row>
    <row r="234" spans="1:1" x14ac:dyDescent="0.45">
      <c r="A234" s="5" t="str">
        <f>IF(B234="","",ROWS($A$13:A234))</f>
        <v/>
      </c>
    </row>
    <row r="235" spans="1:1" x14ac:dyDescent="0.45">
      <c r="A235" s="5" t="str">
        <f>IF(B235="","",ROWS($A$13:A235))</f>
        <v/>
      </c>
    </row>
    <row r="236" spans="1:1" x14ac:dyDescent="0.45">
      <c r="A236" s="5" t="str">
        <f>IF(B236="","",ROWS($A$13:A236))</f>
        <v/>
      </c>
    </row>
    <row r="237" spans="1:1" x14ac:dyDescent="0.45">
      <c r="A237" s="5" t="str">
        <f>IF(B237="","",ROWS($A$13:A237))</f>
        <v/>
      </c>
    </row>
    <row r="238" spans="1:1" x14ac:dyDescent="0.45">
      <c r="A238" s="5" t="str">
        <f>IF(B238="","",ROWS($A$13:A238))</f>
        <v/>
      </c>
    </row>
    <row r="239" spans="1:1" x14ac:dyDescent="0.45">
      <c r="A239" s="5" t="str">
        <f>IF(B239="","",ROWS($A$13:A239))</f>
        <v/>
      </c>
    </row>
    <row r="240" spans="1:1" x14ac:dyDescent="0.45">
      <c r="A240" s="5" t="str">
        <f>IF(B240="","",ROWS($A$13:A240))</f>
        <v/>
      </c>
    </row>
    <row r="241" spans="1:1" x14ac:dyDescent="0.45">
      <c r="A241" s="5" t="str">
        <f>IF(B241="","",ROWS($A$13:A241))</f>
        <v/>
      </c>
    </row>
    <row r="242" spans="1:1" x14ac:dyDescent="0.45">
      <c r="A242" s="5" t="str">
        <f>IF(B242="","",ROWS($A$13:A242))</f>
        <v/>
      </c>
    </row>
    <row r="243" spans="1:1" x14ac:dyDescent="0.45">
      <c r="A243" s="5" t="str">
        <f>IF(B243="","",ROWS($A$13:A243))</f>
        <v/>
      </c>
    </row>
    <row r="244" spans="1:1" x14ac:dyDescent="0.45">
      <c r="A244" s="5" t="str">
        <f>IF(B244="","",ROWS($A$13:A244))</f>
        <v/>
      </c>
    </row>
    <row r="245" spans="1:1" x14ac:dyDescent="0.45">
      <c r="A245" s="5" t="str">
        <f>IF(B245="","",ROWS($A$13:A245))</f>
        <v/>
      </c>
    </row>
    <row r="246" spans="1:1" x14ac:dyDescent="0.45">
      <c r="A246" s="5" t="str">
        <f>IF(B246="","",ROWS($A$13:A246))</f>
        <v/>
      </c>
    </row>
    <row r="247" spans="1:1" x14ac:dyDescent="0.45">
      <c r="A247" s="5" t="str">
        <f>IF(B247="","",ROWS($A$13:A247))</f>
        <v/>
      </c>
    </row>
    <row r="248" spans="1:1" x14ac:dyDescent="0.45">
      <c r="A248" s="5" t="str">
        <f>IF(B248="","",ROWS($A$13:A248))</f>
        <v/>
      </c>
    </row>
    <row r="249" spans="1:1" x14ac:dyDescent="0.45">
      <c r="A249" s="5" t="str">
        <f>IF(B249="","",ROWS($A$13:A249))</f>
        <v/>
      </c>
    </row>
    <row r="250" spans="1:1" x14ac:dyDescent="0.45">
      <c r="A250" s="5" t="str">
        <f>IF(B250="","",ROWS($A$13:A250))</f>
        <v/>
      </c>
    </row>
    <row r="251" spans="1:1" x14ac:dyDescent="0.45">
      <c r="A251" s="5" t="str">
        <f>IF(B251="","",ROWS($A$13:A251))</f>
        <v/>
      </c>
    </row>
    <row r="252" spans="1:1" x14ac:dyDescent="0.45">
      <c r="A252" s="5" t="str">
        <f>IF(B252="","",ROWS($A$13:A252))</f>
        <v/>
      </c>
    </row>
    <row r="253" spans="1:1" x14ac:dyDescent="0.45">
      <c r="A253" s="5" t="str">
        <f>IF(B253="","",ROWS($A$13:A253))</f>
        <v/>
      </c>
    </row>
    <row r="254" spans="1:1" x14ac:dyDescent="0.45">
      <c r="A254" s="5" t="str">
        <f>IF(B254="","",ROWS($A$13:A254))</f>
        <v/>
      </c>
    </row>
    <row r="255" spans="1:1" x14ac:dyDescent="0.45">
      <c r="A255" s="5" t="str">
        <f>IF(B255="","",ROWS($A$13:A255))</f>
        <v/>
      </c>
    </row>
    <row r="256" spans="1:1" x14ac:dyDescent="0.45">
      <c r="A256" s="5" t="str">
        <f>IF(B256="","",ROWS($A$13:A256))</f>
        <v/>
      </c>
    </row>
    <row r="257" spans="1:1" x14ac:dyDescent="0.45">
      <c r="A257" s="5" t="str">
        <f>IF(B257="","",ROWS($A$13:A257))</f>
        <v/>
      </c>
    </row>
    <row r="258" spans="1:1" x14ac:dyDescent="0.45">
      <c r="A258" s="5" t="str">
        <f>IF(B258="","",ROWS($A$13:A258))</f>
        <v/>
      </c>
    </row>
    <row r="259" spans="1:1" x14ac:dyDescent="0.45">
      <c r="A259" s="5" t="str">
        <f>IF(B259="","",ROWS($A$13:A259))</f>
        <v/>
      </c>
    </row>
    <row r="260" spans="1:1" x14ac:dyDescent="0.45">
      <c r="A260" s="5" t="str">
        <f>IF(B260="","",ROWS($A$13:A260))</f>
        <v/>
      </c>
    </row>
    <row r="261" spans="1:1" x14ac:dyDescent="0.45">
      <c r="A261" s="5" t="str">
        <f>IF(B261="","",ROWS($A$13:A261))</f>
        <v/>
      </c>
    </row>
    <row r="262" spans="1:1" x14ac:dyDescent="0.45">
      <c r="A262" s="5" t="str">
        <f>IF(B262="","",ROWS($A$13:A262))</f>
        <v/>
      </c>
    </row>
    <row r="263" spans="1:1" x14ac:dyDescent="0.45">
      <c r="A263" s="5" t="str">
        <f>IF(B263="","",ROWS($A$13:A263))</f>
        <v/>
      </c>
    </row>
    <row r="264" spans="1:1" x14ac:dyDescent="0.45">
      <c r="A264" s="5" t="str">
        <f>IF(B264="","",ROWS($A$13:A264))</f>
        <v/>
      </c>
    </row>
    <row r="265" spans="1:1" x14ac:dyDescent="0.45">
      <c r="A265" s="5" t="str">
        <f>IF(B265="","",ROWS($A$13:A265))</f>
        <v/>
      </c>
    </row>
    <row r="266" spans="1:1" x14ac:dyDescent="0.45">
      <c r="A266" s="5" t="str">
        <f>IF(B266="","",ROWS($A$13:A266))</f>
        <v/>
      </c>
    </row>
    <row r="267" spans="1:1" x14ac:dyDescent="0.45">
      <c r="A267" s="5" t="str">
        <f>IF(B267="","",ROWS($A$13:A267))</f>
        <v/>
      </c>
    </row>
    <row r="268" spans="1:1" x14ac:dyDescent="0.45">
      <c r="A268" s="5" t="str">
        <f>IF(B268="","",ROWS($A$13:A268))</f>
        <v/>
      </c>
    </row>
    <row r="269" spans="1:1" x14ac:dyDescent="0.45">
      <c r="A269" s="5" t="str">
        <f>IF(B269="","",ROWS($A$13:A269))</f>
        <v/>
      </c>
    </row>
    <row r="270" spans="1:1" x14ac:dyDescent="0.45">
      <c r="A270" s="5" t="str">
        <f>IF(B270="","",ROWS($A$13:A270))</f>
        <v/>
      </c>
    </row>
    <row r="271" spans="1:1" x14ac:dyDescent="0.45">
      <c r="A271" s="5" t="str">
        <f>IF(B271="","",ROWS($A$13:A271))</f>
        <v/>
      </c>
    </row>
    <row r="272" spans="1:1" x14ac:dyDescent="0.45">
      <c r="A272" s="5" t="str">
        <f>IF(B272="","",ROWS($A$13:A272))</f>
        <v/>
      </c>
    </row>
    <row r="273" spans="1:1" x14ac:dyDescent="0.45">
      <c r="A273" s="5" t="str">
        <f>IF(B273="","",ROWS($A$13:A273))</f>
        <v/>
      </c>
    </row>
    <row r="274" spans="1:1" x14ac:dyDescent="0.45">
      <c r="A274" s="5" t="str">
        <f>IF(B274="","",ROWS($A$13:A274))</f>
        <v/>
      </c>
    </row>
    <row r="275" spans="1:1" x14ac:dyDescent="0.45">
      <c r="A275" s="5" t="str">
        <f>IF(B275="","",ROWS($A$13:A275))</f>
        <v/>
      </c>
    </row>
    <row r="276" spans="1:1" x14ac:dyDescent="0.45">
      <c r="A276" s="5" t="str">
        <f>IF(B276="","",ROWS($A$13:A276))</f>
        <v/>
      </c>
    </row>
    <row r="277" spans="1:1" x14ac:dyDescent="0.45">
      <c r="A277" s="5" t="str">
        <f>IF(B277="","",ROWS($A$13:A277))</f>
        <v/>
      </c>
    </row>
    <row r="278" spans="1:1" x14ac:dyDescent="0.45">
      <c r="A278" s="5" t="str">
        <f>IF(B278="","",ROWS($A$13:A278))</f>
        <v/>
      </c>
    </row>
    <row r="279" spans="1:1" x14ac:dyDescent="0.45">
      <c r="A279" s="5" t="str">
        <f>IF(B279="","",ROWS($A$13:A279))</f>
        <v/>
      </c>
    </row>
    <row r="280" spans="1:1" x14ac:dyDescent="0.45">
      <c r="A280" s="5" t="str">
        <f>IF(B280="","",ROWS($A$13:A280))</f>
        <v/>
      </c>
    </row>
    <row r="281" spans="1:1" x14ac:dyDescent="0.45">
      <c r="A281" s="5" t="str">
        <f>IF(B281="","",ROWS($A$13:A281))</f>
        <v/>
      </c>
    </row>
    <row r="282" spans="1:1" x14ac:dyDescent="0.45">
      <c r="A282" s="5" t="str">
        <f>IF(B282="","",ROWS($A$13:A282))</f>
        <v/>
      </c>
    </row>
    <row r="283" spans="1:1" x14ac:dyDescent="0.45">
      <c r="A283" s="5" t="str">
        <f>IF(B283="","",ROWS($A$13:A283))</f>
        <v/>
      </c>
    </row>
    <row r="284" spans="1:1" x14ac:dyDescent="0.45">
      <c r="A284" s="5" t="str">
        <f>IF(B284="","",ROWS($A$13:A284))</f>
        <v/>
      </c>
    </row>
    <row r="285" spans="1:1" x14ac:dyDescent="0.45">
      <c r="A285" s="5" t="str">
        <f>IF(B285="","",ROWS($A$13:A285))</f>
        <v/>
      </c>
    </row>
    <row r="286" spans="1:1" x14ac:dyDescent="0.45">
      <c r="A286" s="5" t="str">
        <f>IF(B286="","",ROWS($A$13:A286))</f>
        <v/>
      </c>
    </row>
    <row r="287" spans="1:1" x14ac:dyDescent="0.45">
      <c r="A287" s="5" t="str">
        <f>IF(B287="","",ROWS($A$13:A287))</f>
        <v/>
      </c>
    </row>
    <row r="288" spans="1:1" x14ac:dyDescent="0.45">
      <c r="A288" s="5" t="str">
        <f>IF(B288="","",ROWS($A$13:A288))</f>
        <v/>
      </c>
    </row>
    <row r="289" spans="1:1" x14ac:dyDescent="0.45">
      <c r="A289" s="5" t="str">
        <f>IF(B289="","",ROWS($A$13:A289))</f>
        <v/>
      </c>
    </row>
    <row r="290" spans="1:1" x14ac:dyDescent="0.45">
      <c r="A290" s="5" t="str">
        <f>IF(B290="","",ROWS($A$13:A290))</f>
        <v/>
      </c>
    </row>
    <row r="291" spans="1:1" x14ac:dyDescent="0.45">
      <c r="A291" s="5" t="str">
        <f>IF(B291="","",ROWS($A$13:A291))</f>
        <v/>
      </c>
    </row>
    <row r="292" spans="1:1" x14ac:dyDescent="0.45">
      <c r="A292" s="5" t="str">
        <f>IF(B292="","",ROWS($A$13:A292))</f>
        <v/>
      </c>
    </row>
    <row r="293" spans="1:1" x14ac:dyDescent="0.45">
      <c r="A293" s="5" t="str">
        <f>IF(B293="","",ROWS($A$13:A293))</f>
        <v/>
      </c>
    </row>
    <row r="294" spans="1:1" x14ac:dyDescent="0.45">
      <c r="A294" s="5" t="str">
        <f>IF(B294="","",ROWS($A$13:A294))</f>
        <v/>
      </c>
    </row>
    <row r="295" spans="1:1" x14ac:dyDescent="0.45">
      <c r="A295" s="5" t="str">
        <f>IF(B295="","",ROWS($A$13:A295))</f>
        <v/>
      </c>
    </row>
    <row r="296" spans="1:1" x14ac:dyDescent="0.45">
      <c r="A296" s="5" t="str">
        <f>IF(B296="","",ROWS($A$13:A296))</f>
        <v/>
      </c>
    </row>
    <row r="297" spans="1:1" x14ac:dyDescent="0.45">
      <c r="A297" s="5" t="str">
        <f>IF(B297="","",ROWS($A$13:A297))</f>
        <v/>
      </c>
    </row>
    <row r="298" spans="1:1" x14ac:dyDescent="0.45">
      <c r="A298" s="5" t="str">
        <f>IF(B298="","",ROWS($A$13:A298))</f>
        <v/>
      </c>
    </row>
    <row r="299" spans="1:1" x14ac:dyDescent="0.45">
      <c r="A299" s="5" t="str">
        <f>IF(B299="","",ROWS($A$13:A299))</f>
        <v/>
      </c>
    </row>
    <row r="300" spans="1:1" x14ac:dyDescent="0.45">
      <c r="A300" s="5" t="str">
        <f>IF(B300="","",ROWS($A$13:A300))</f>
        <v/>
      </c>
    </row>
    <row r="301" spans="1:1" x14ac:dyDescent="0.45">
      <c r="A301" s="5" t="str">
        <f>IF(B301="","",ROWS($A$13:A301))</f>
        <v/>
      </c>
    </row>
    <row r="302" spans="1:1" x14ac:dyDescent="0.45">
      <c r="A302" s="5" t="str">
        <f>IF(B302="","",ROWS($A$13:A302))</f>
        <v/>
      </c>
    </row>
    <row r="303" spans="1:1" x14ac:dyDescent="0.45">
      <c r="A303" s="5" t="str">
        <f>IF(B303="","",ROWS($A$13:A303))</f>
        <v/>
      </c>
    </row>
    <row r="304" spans="1:1" x14ac:dyDescent="0.45">
      <c r="A304" s="5" t="str">
        <f>IF(B304="","",ROWS($A$13:A304))</f>
        <v/>
      </c>
    </row>
    <row r="305" spans="1:1" x14ac:dyDescent="0.45">
      <c r="A305" s="5" t="str">
        <f>IF(B305="","",ROWS($A$13:A305))</f>
        <v/>
      </c>
    </row>
    <row r="306" spans="1:1" x14ac:dyDescent="0.45">
      <c r="A306" s="5" t="str">
        <f>IF(B306="","",ROWS($A$13:A306))</f>
        <v/>
      </c>
    </row>
    <row r="307" spans="1:1" x14ac:dyDescent="0.45">
      <c r="A307" s="5" t="str">
        <f>IF(B307="","",ROWS($A$13:A307))</f>
        <v/>
      </c>
    </row>
    <row r="308" spans="1:1" x14ac:dyDescent="0.45">
      <c r="A308" s="5" t="str">
        <f>IF(B308="","",ROWS($A$13:A308))</f>
        <v/>
      </c>
    </row>
    <row r="309" spans="1:1" x14ac:dyDescent="0.45">
      <c r="A309" s="5" t="str">
        <f>IF(B309="","",ROWS($A$13:A309))</f>
        <v/>
      </c>
    </row>
    <row r="310" spans="1:1" x14ac:dyDescent="0.45">
      <c r="A310" s="5" t="str">
        <f>IF(B310="","",ROWS($A$13:A310))</f>
        <v/>
      </c>
    </row>
    <row r="311" spans="1:1" x14ac:dyDescent="0.45">
      <c r="A311" s="5" t="str">
        <f>IF(B311="","",ROWS($A$13:A311))</f>
        <v/>
      </c>
    </row>
    <row r="312" spans="1:1" x14ac:dyDescent="0.45">
      <c r="A312" s="5" t="str">
        <f>IF(B312="","",ROWS($A$13:A312))</f>
        <v/>
      </c>
    </row>
    <row r="313" spans="1:1" x14ac:dyDescent="0.45">
      <c r="A313" s="5" t="str">
        <f>IF(B313="","",ROWS($A$13:A313))</f>
        <v/>
      </c>
    </row>
    <row r="314" spans="1:1" x14ac:dyDescent="0.45">
      <c r="A314" s="5" t="str">
        <f>IF(B314="","",ROWS($A$13:A314))</f>
        <v/>
      </c>
    </row>
    <row r="315" spans="1:1" x14ac:dyDescent="0.45">
      <c r="A315" s="5" t="str">
        <f>IF(B315="","",ROWS($A$13:A315))</f>
        <v/>
      </c>
    </row>
    <row r="316" spans="1:1" x14ac:dyDescent="0.45">
      <c r="A316" s="5" t="str">
        <f>IF(B316="","",ROWS($A$13:A316))</f>
        <v/>
      </c>
    </row>
    <row r="317" spans="1:1" x14ac:dyDescent="0.45">
      <c r="A317" s="5" t="str">
        <f>IF(B317="","",ROWS($A$13:A317))</f>
        <v/>
      </c>
    </row>
    <row r="318" spans="1:1" x14ac:dyDescent="0.45">
      <c r="A318" s="5" t="str">
        <f>IF(B318="","",ROWS($A$13:A318))</f>
        <v/>
      </c>
    </row>
    <row r="319" spans="1:1" x14ac:dyDescent="0.45">
      <c r="A319" s="5" t="str">
        <f>IF(B319="","",ROWS($A$13:A319))</f>
        <v/>
      </c>
    </row>
    <row r="320" spans="1:1" x14ac:dyDescent="0.45">
      <c r="A320" s="5" t="str">
        <f>IF(B320="","",ROWS($A$13:A320))</f>
        <v/>
      </c>
    </row>
    <row r="321" spans="1:1" x14ac:dyDescent="0.45">
      <c r="A321" s="5" t="str">
        <f>IF(B321="","",ROWS($A$13:A321))</f>
        <v/>
      </c>
    </row>
    <row r="322" spans="1:1" x14ac:dyDescent="0.45">
      <c r="A322" s="5" t="str">
        <f>IF(B322="","",ROWS($A$13:A322))</f>
        <v/>
      </c>
    </row>
    <row r="323" spans="1:1" x14ac:dyDescent="0.45">
      <c r="A323" s="5" t="str">
        <f>IF(B323="","",ROWS($A$13:A323))</f>
        <v/>
      </c>
    </row>
    <row r="324" spans="1:1" x14ac:dyDescent="0.45">
      <c r="A324" s="5" t="str">
        <f>IF(B324="","",ROWS($A$13:A324))</f>
        <v/>
      </c>
    </row>
    <row r="325" spans="1:1" x14ac:dyDescent="0.45">
      <c r="A325" s="5" t="str">
        <f>IF(B325="","",ROWS($A$13:A325))</f>
        <v/>
      </c>
    </row>
    <row r="326" spans="1:1" x14ac:dyDescent="0.45">
      <c r="A326" s="5" t="str">
        <f>IF(B326="","",ROWS($A$13:A326))</f>
        <v/>
      </c>
    </row>
    <row r="327" spans="1:1" x14ac:dyDescent="0.45">
      <c r="A327" s="5" t="str">
        <f>IF(B327="","",ROWS($A$13:A327))</f>
        <v/>
      </c>
    </row>
    <row r="328" spans="1:1" x14ac:dyDescent="0.45">
      <c r="A328" s="5" t="str">
        <f>IF(B328="","",ROWS($A$13:A328))</f>
        <v/>
      </c>
    </row>
    <row r="329" spans="1:1" x14ac:dyDescent="0.45">
      <c r="A329" s="5" t="str">
        <f>IF(B329="","",ROWS($A$13:A329))</f>
        <v/>
      </c>
    </row>
    <row r="330" spans="1:1" x14ac:dyDescent="0.45">
      <c r="A330" s="5" t="str">
        <f>IF(B330="","",ROWS($A$13:A330))</f>
        <v/>
      </c>
    </row>
    <row r="331" spans="1:1" x14ac:dyDescent="0.45">
      <c r="A331" s="5" t="str">
        <f>IF(B331="","",ROWS($A$13:A331))</f>
        <v/>
      </c>
    </row>
    <row r="332" spans="1:1" x14ac:dyDescent="0.45">
      <c r="A332" s="5" t="str">
        <f>IF(B332="","",ROWS($A$13:A332))</f>
        <v/>
      </c>
    </row>
    <row r="333" spans="1:1" x14ac:dyDescent="0.45">
      <c r="A333" s="5" t="str">
        <f>IF(B333="","",ROWS($A$13:A333))</f>
        <v/>
      </c>
    </row>
    <row r="334" spans="1:1" x14ac:dyDescent="0.45">
      <c r="A334" s="5" t="str">
        <f>IF(B334="","",ROWS($A$13:A334))</f>
        <v/>
      </c>
    </row>
    <row r="335" spans="1:1" x14ac:dyDescent="0.45">
      <c r="A335" s="5" t="str">
        <f>IF(B335="","",ROWS($A$13:A335))</f>
        <v/>
      </c>
    </row>
    <row r="336" spans="1:1" x14ac:dyDescent="0.45">
      <c r="A336" s="5" t="str">
        <f>IF(B336="","",ROWS($A$13:A336))</f>
        <v/>
      </c>
    </row>
    <row r="337" spans="1:1" x14ac:dyDescent="0.45">
      <c r="A337" s="5" t="str">
        <f>IF(B337="","",ROWS($A$13:A337))</f>
        <v/>
      </c>
    </row>
    <row r="338" spans="1:1" x14ac:dyDescent="0.45">
      <c r="A338" s="5" t="str">
        <f>IF(B338="","",ROWS($A$13:A338))</f>
        <v/>
      </c>
    </row>
    <row r="339" spans="1:1" x14ac:dyDescent="0.45">
      <c r="A339" s="5" t="str">
        <f>IF(B339="","",ROWS($A$13:A339))</f>
        <v/>
      </c>
    </row>
    <row r="340" spans="1:1" x14ac:dyDescent="0.45">
      <c r="A340" s="5" t="str">
        <f>IF(B340="","",ROWS($A$13:A340))</f>
        <v/>
      </c>
    </row>
    <row r="341" spans="1:1" x14ac:dyDescent="0.45">
      <c r="A341" s="5" t="str">
        <f>IF(B341="","",ROWS($A$13:A341))</f>
        <v/>
      </c>
    </row>
    <row r="342" spans="1:1" x14ac:dyDescent="0.45">
      <c r="A342" s="5" t="str">
        <f>IF(B342="","",ROWS($A$13:A342))</f>
        <v/>
      </c>
    </row>
    <row r="343" spans="1:1" x14ac:dyDescent="0.45">
      <c r="A343" s="5" t="str">
        <f>IF(B343="","",ROWS($A$13:A343))</f>
        <v/>
      </c>
    </row>
    <row r="344" spans="1:1" x14ac:dyDescent="0.45">
      <c r="A344" s="5" t="str">
        <f>IF(B344="","",ROWS($A$13:A344))</f>
        <v/>
      </c>
    </row>
    <row r="345" spans="1:1" x14ac:dyDescent="0.45">
      <c r="A345" s="5" t="str">
        <f>IF(B345="","",ROWS($A$13:A345))</f>
        <v/>
      </c>
    </row>
    <row r="346" spans="1:1" x14ac:dyDescent="0.45">
      <c r="A346" s="5" t="str">
        <f>IF(B346="","",ROWS($A$13:A346))</f>
        <v/>
      </c>
    </row>
    <row r="347" spans="1:1" x14ac:dyDescent="0.45">
      <c r="A347" s="5" t="str">
        <f>IF(B347="","",ROWS($A$13:A347))</f>
        <v/>
      </c>
    </row>
    <row r="348" spans="1:1" x14ac:dyDescent="0.45">
      <c r="A348" s="5" t="str">
        <f>IF(B348="","",ROWS($A$13:A348))</f>
        <v/>
      </c>
    </row>
    <row r="349" spans="1:1" x14ac:dyDescent="0.45">
      <c r="A349" s="5" t="str">
        <f>IF(B349="","",ROWS($A$13:A349))</f>
        <v/>
      </c>
    </row>
    <row r="350" spans="1:1" x14ac:dyDescent="0.45">
      <c r="A350" s="5" t="str">
        <f>IF(B350="","",ROWS($A$13:A350))</f>
        <v/>
      </c>
    </row>
    <row r="351" spans="1:1" x14ac:dyDescent="0.45">
      <c r="A351" s="5" t="str">
        <f>IF(B351="","",ROWS($A$13:A351))</f>
        <v/>
      </c>
    </row>
    <row r="352" spans="1:1" x14ac:dyDescent="0.45">
      <c r="A352" s="5" t="str">
        <f>IF(B352="","",ROWS($A$13:A352))</f>
        <v/>
      </c>
    </row>
    <row r="353" spans="1:1" x14ac:dyDescent="0.45">
      <c r="A353" s="5" t="str">
        <f>IF(B353="","",ROWS($A$13:A353))</f>
        <v/>
      </c>
    </row>
    <row r="354" spans="1:1" x14ac:dyDescent="0.45">
      <c r="A354" s="5" t="str">
        <f>IF(B354="","",ROWS($A$13:A354))</f>
        <v/>
      </c>
    </row>
    <row r="355" spans="1:1" x14ac:dyDescent="0.45">
      <c r="A355" s="5" t="str">
        <f>IF(B355="","",ROWS($A$13:A355))</f>
        <v/>
      </c>
    </row>
    <row r="356" spans="1:1" x14ac:dyDescent="0.45">
      <c r="A356" s="5" t="str">
        <f>IF(B356="","",ROWS($A$13:A356))</f>
        <v/>
      </c>
    </row>
    <row r="357" spans="1:1" x14ac:dyDescent="0.45">
      <c r="A357" s="5" t="str">
        <f>IF(B357="","",ROWS($A$13:A357))</f>
        <v/>
      </c>
    </row>
    <row r="358" spans="1:1" x14ac:dyDescent="0.45">
      <c r="A358" s="5" t="str">
        <f>IF(B358="","",ROWS($A$13:A358))</f>
        <v/>
      </c>
    </row>
    <row r="359" spans="1:1" x14ac:dyDescent="0.45">
      <c r="A359" s="5" t="str">
        <f>IF(B359="","",ROWS($A$13:A359))</f>
        <v/>
      </c>
    </row>
    <row r="360" spans="1:1" x14ac:dyDescent="0.45">
      <c r="A360" s="5" t="str">
        <f>IF(B360="","",ROWS($A$13:A360))</f>
        <v/>
      </c>
    </row>
    <row r="361" spans="1:1" x14ac:dyDescent="0.45">
      <c r="A361" s="5" t="str">
        <f>IF(B361="","",ROWS($A$13:A361))</f>
        <v/>
      </c>
    </row>
    <row r="362" spans="1:1" x14ac:dyDescent="0.45">
      <c r="A362" s="5" t="str">
        <f>IF(B362="","",ROWS($A$13:A362))</f>
        <v/>
      </c>
    </row>
    <row r="363" spans="1:1" x14ac:dyDescent="0.45">
      <c r="A363" s="5" t="str">
        <f>IF(B363="","",ROWS($A$13:A363))</f>
        <v/>
      </c>
    </row>
    <row r="364" spans="1:1" x14ac:dyDescent="0.45">
      <c r="A364" s="5" t="str">
        <f>IF(B364="","",ROWS($A$13:A364))</f>
        <v/>
      </c>
    </row>
    <row r="365" spans="1:1" x14ac:dyDescent="0.45">
      <c r="A365" s="5" t="str">
        <f>IF(B365="","",ROWS($A$13:A365))</f>
        <v/>
      </c>
    </row>
    <row r="366" spans="1:1" x14ac:dyDescent="0.45">
      <c r="A366" s="5" t="str">
        <f>IF(B366="","",ROWS($A$13:A366))</f>
        <v/>
      </c>
    </row>
    <row r="367" spans="1:1" x14ac:dyDescent="0.45">
      <c r="A367" s="5" t="str">
        <f>IF(B367="","",ROWS($A$13:A367))</f>
        <v/>
      </c>
    </row>
    <row r="368" spans="1:1" x14ac:dyDescent="0.45">
      <c r="A368" s="5" t="str">
        <f>IF(B368="","",ROWS($A$13:A368))</f>
        <v/>
      </c>
    </row>
    <row r="369" spans="1:1" x14ac:dyDescent="0.45">
      <c r="A369" s="5" t="str">
        <f>IF(B369="","",ROWS($A$13:A369))</f>
        <v/>
      </c>
    </row>
    <row r="370" spans="1:1" x14ac:dyDescent="0.45">
      <c r="A370" s="5" t="str">
        <f>IF(B370="","",ROWS($A$13:A370))</f>
        <v/>
      </c>
    </row>
    <row r="371" spans="1:1" x14ac:dyDescent="0.45">
      <c r="A371" s="5" t="str">
        <f>IF(B371="","",ROWS($A$13:A371))</f>
        <v/>
      </c>
    </row>
    <row r="372" spans="1:1" x14ac:dyDescent="0.45">
      <c r="A372" s="5" t="str">
        <f>IF(B372="","",ROWS($A$13:A372))</f>
        <v/>
      </c>
    </row>
    <row r="373" spans="1:1" x14ac:dyDescent="0.45">
      <c r="A373" s="5" t="str">
        <f>IF(B373="","",ROWS($A$13:A373))</f>
        <v/>
      </c>
    </row>
    <row r="374" spans="1:1" x14ac:dyDescent="0.45">
      <c r="A374" s="5" t="str">
        <f>IF(B374="","",ROWS($A$13:A374))</f>
        <v/>
      </c>
    </row>
    <row r="375" spans="1:1" x14ac:dyDescent="0.45">
      <c r="A375" s="5" t="str">
        <f>IF(B375="","",ROWS($A$13:A375))</f>
        <v/>
      </c>
    </row>
    <row r="376" spans="1:1" x14ac:dyDescent="0.45">
      <c r="A376" s="5" t="str">
        <f>IF(B376="","",ROWS($A$13:A376))</f>
        <v/>
      </c>
    </row>
    <row r="377" spans="1:1" x14ac:dyDescent="0.45">
      <c r="A377" s="5" t="str">
        <f>IF(B377="","",ROWS($A$13:A377))</f>
        <v/>
      </c>
    </row>
    <row r="378" spans="1:1" x14ac:dyDescent="0.45">
      <c r="A378" s="5" t="str">
        <f>IF(B378="","",ROWS($A$13:A378))</f>
        <v/>
      </c>
    </row>
    <row r="379" spans="1:1" x14ac:dyDescent="0.45">
      <c r="A379" s="5" t="str">
        <f>IF(B379="","",ROWS($A$13:A379))</f>
        <v/>
      </c>
    </row>
    <row r="380" spans="1:1" x14ac:dyDescent="0.45">
      <c r="A380" s="5" t="str">
        <f>IF(B380="","",ROWS($A$13:A380))</f>
        <v/>
      </c>
    </row>
    <row r="381" spans="1:1" x14ac:dyDescent="0.45">
      <c r="A381" s="5" t="str">
        <f>IF(B381="","",ROWS($A$13:A381))</f>
        <v/>
      </c>
    </row>
    <row r="382" spans="1:1" x14ac:dyDescent="0.45">
      <c r="A382" s="5" t="str">
        <f>IF(B382="","",ROWS($A$13:A382))</f>
        <v/>
      </c>
    </row>
    <row r="383" spans="1:1" x14ac:dyDescent="0.45">
      <c r="A383" s="5" t="str">
        <f>IF(B383="","",ROWS($A$13:A383))</f>
        <v/>
      </c>
    </row>
    <row r="384" spans="1:1" x14ac:dyDescent="0.45">
      <c r="A384" s="5" t="str">
        <f>IF(B384="","",ROWS($A$13:A384))</f>
        <v/>
      </c>
    </row>
    <row r="385" spans="1:1" x14ac:dyDescent="0.45">
      <c r="A385" s="5" t="str">
        <f>IF(B385="","",ROWS($A$13:A385))</f>
        <v/>
      </c>
    </row>
    <row r="386" spans="1:1" x14ac:dyDescent="0.45">
      <c r="A386" s="5" t="str">
        <f>IF(B386="","",ROWS($A$13:A386))</f>
        <v/>
      </c>
    </row>
    <row r="387" spans="1:1" x14ac:dyDescent="0.45">
      <c r="A387" s="5" t="str">
        <f>IF(B387="","",ROWS($A$13:A387))</f>
        <v/>
      </c>
    </row>
    <row r="388" spans="1:1" x14ac:dyDescent="0.45">
      <c r="A388" s="5" t="str">
        <f>IF(B388="","",ROWS($A$13:A388))</f>
        <v/>
      </c>
    </row>
    <row r="389" spans="1:1" x14ac:dyDescent="0.45">
      <c r="A389" s="5" t="str">
        <f>IF(B389="","",ROWS($A$13:A389))</f>
        <v/>
      </c>
    </row>
    <row r="390" spans="1:1" x14ac:dyDescent="0.45">
      <c r="A390" s="5" t="str">
        <f>IF(B390="","",ROWS($A$13:A390))</f>
        <v/>
      </c>
    </row>
    <row r="391" spans="1:1" x14ac:dyDescent="0.45">
      <c r="A391" s="5" t="str">
        <f>IF(B391="","",ROWS($A$13:A391))</f>
        <v/>
      </c>
    </row>
    <row r="392" spans="1:1" x14ac:dyDescent="0.45">
      <c r="A392" s="5" t="str">
        <f>IF(B392="","",ROWS($A$13:A392))</f>
        <v/>
      </c>
    </row>
    <row r="393" spans="1:1" x14ac:dyDescent="0.45">
      <c r="A393" s="5" t="str">
        <f>IF(B393="","",ROWS($A$13:A393))</f>
        <v/>
      </c>
    </row>
    <row r="394" spans="1:1" x14ac:dyDescent="0.45">
      <c r="A394" s="5" t="str">
        <f>IF(B394="","",ROWS($A$13:A394))</f>
        <v/>
      </c>
    </row>
    <row r="395" spans="1:1" x14ac:dyDescent="0.45">
      <c r="A395" s="5" t="str">
        <f>IF(B395="","",ROWS($A$13:A395))</f>
        <v/>
      </c>
    </row>
    <row r="396" spans="1:1" x14ac:dyDescent="0.45">
      <c r="A396" s="5" t="str">
        <f>IF(B396="","",ROWS($A$13:A396))</f>
        <v/>
      </c>
    </row>
    <row r="397" spans="1:1" x14ac:dyDescent="0.45">
      <c r="A397" s="5" t="str">
        <f>IF(B397="","",ROWS($A$13:A397))</f>
        <v/>
      </c>
    </row>
    <row r="398" spans="1:1" x14ac:dyDescent="0.45">
      <c r="A398" s="5" t="str">
        <f>IF(B398="","",ROWS($A$13:A398))</f>
        <v/>
      </c>
    </row>
    <row r="399" spans="1:1" x14ac:dyDescent="0.45">
      <c r="A399" s="5" t="str">
        <f>IF(B399="","",ROWS($A$13:A399))</f>
        <v/>
      </c>
    </row>
    <row r="400" spans="1:1" x14ac:dyDescent="0.45">
      <c r="A400" s="5" t="str">
        <f>IF(B400="","",ROWS($A$13:A400))</f>
        <v/>
      </c>
    </row>
    <row r="401" spans="1:1" x14ac:dyDescent="0.45">
      <c r="A401" s="5" t="str">
        <f>IF(B401="","",ROWS($A$13:A401))</f>
        <v/>
      </c>
    </row>
    <row r="402" spans="1:1" x14ac:dyDescent="0.45">
      <c r="A402" s="5" t="str">
        <f>IF(B402="","",ROWS($A$13:A402))</f>
        <v/>
      </c>
    </row>
    <row r="403" spans="1:1" x14ac:dyDescent="0.45">
      <c r="A403" s="5" t="str">
        <f>IF(B403="","",ROWS($A$13:A403))</f>
        <v/>
      </c>
    </row>
    <row r="404" spans="1:1" x14ac:dyDescent="0.45">
      <c r="A404" s="5" t="str">
        <f>IF(B404="","",ROWS($A$13:A404))</f>
        <v/>
      </c>
    </row>
    <row r="405" spans="1:1" x14ac:dyDescent="0.45">
      <c r="A405" s="5" t="str">
        <f>IF(B405="","",ROWS($A$13:A405))</f>
        <v/>
      </c>
    </row>
    <row r="406" spans="1:1" x14ac:dyDescent="0.45">
      <c r="A406" s="5" t="str">
        <f>IF(B406="","",ROWS($A$13:A406))</f>
        <v/>
      </c>
    </row>
    <row r="407" spans="1:1" x14ac:dyDescent="0.45">
      <c r="A407" s="5" t="str">
        <f>IF(B407="","",ROWS($A$13:A407))</f>
        <v/>
      </c>
    </row>
    <row r="408" spans="1:1" x14ac:dyDescent="0.45">
      <c r="A408" s="5" t="str">
        <f>IF(B408="","",ROWS($A$13:A408))</f>
        <v/>
      </c>
    </row>
    <row r="409" spans="1:1" x14ac:dyDescent="0.45">
      <c r="A409" s="5" t="str">
        <f>IF(B409="","",ROWS($A$13:A409))</f>
        <v/>
      </c>
    </row>
    <row r="410" spans="1:1" x14ac:dyDescent="0.45">
      <c r="A410" s="5" t="str">
        <f>IF(B410="","",ROWS($A$13:A410))</f>
        <v/>
      </c>
    </row>
    <row r="411" spans="1:1" x14ac:dyDescent="0.45">
      <c r="A411" s="5" t="str">
        <f>IF(B411="","",ROWS($A$13:A411))</f>
        <v/>
      </c>
    </row>
    <row r="412" spans="1:1" x14ac:dyDescent="0.45">
      <c r="A412" s="5" t="str">
        <f>IF(B412="","",ROWS($A$13:A412))</f>
        <v/>
      </c>
    </row>
    <row r="413" spans="1:1" x14ac:dyDescent="0.45">
      <c r="A413" s="5" t="str">
        <f>IF(B413="","",ROWS($A$13:A413))</f>
        <v/>
      </c>
    </row>
    <row r="414" spans="1:1" x14ac:dyDescent="0.45">
      <c r="A414" s="5" t="str">
        <f>IF(B414="","",ROWS($A$13:A414))</f>
        <v/>
      </c>
    </row>
    <row r="415" spans="1:1" x14ac:dyDescent="0.45">
      <c r="A415" s="5" t="str">
        <f>IF(B415="","",ROWS($A$13:A415))</f>
        <v/>
      </c>
    </row>
    <row r="416" spans="1:1" x14ac:dyDescent="0.45">
      <c r="A416" s="5" t="str">
        <f>IF(B416="","",ROWS($A$13:A416))</f>
        <v/>
      </c>
    </row>
    <row r="417" spans="1:1" x14ac:dyDescent="0.45">
      <c r="A417" s="5" t="str">
        <f>IF(B417="","",ROWS($A$13:A417))</f>
        <v/>
      </c>
    </row>
    <row r="418" spans="1:1" x14ac:dyDescent="0.45">
      <c r="A418" s="5" t="str">
        <f>IF(B418="","",ROWS($A$13:A418))</f>
        <v/>
      </c>
    </row>
    <row r="419" spans="1:1" x14ac:dyDescent="0.45">
      <c r="A419" s="5" t="str">
        <f>IF(B419="","",ROWS($A$13:A419))</f>
        <v/>
      </c>
    </row>
    <row r="420" spans="1:1" x14ac:dyDescent="0.45">
      <c r="A420" s="5" t="str">
        <f>IF(B420="","",ROWS($A$13:A420))</f>
        <v/>
      </c>
    </row>
    <row r="421" spans="1:1" x14ac:dyDescent="0.45">
      <c r="A421" s="5" t="str">
        <f>IF(B421="","",ROWS($A$13:A421))</f>
        <v/>
      </c>
    </row>
    <row r="422" spans="1:1" x14ac:dyDescent="0.45">
      <c r="A422" s="5" t="str">
        <f>IF(B422="","",ROWS($A$13:A422))</f>
        <v/>
      </c>
    </row>
    <row r="423" spans="1:1" x14ac:dyDescent="0.45">
      <c r="A423" s="5" t="str">
        <f>IF(B423="","",ROWS($A$13:A423))</f>
        <v/>
      </c>
    </row>
    <row r="424" spans="1:1" x14ac:dyDescent="0.45">
      <c r="A424" s="5" t="str">
        <f>IF(B424="","",ROWS($A$13:A424))</f>
        <v/>
      </c>
    </row>
    <row r="425" spans="1:1" x14ac:dyDescent="0.45">
      <c r="A425" s="5" t="str">
        <f>IF(B425="","",ROWS($A$13:A425))</f>
        <v/>
      </c>
    </row>
    <row r="426" spans="1:1" x14ac:dyDescent="0.45">
      <c r="A426" s="5" t="str">
        <f>IF(B426="","",ROWS($A$13:A426))</f>
        <v/>
      </c>
    </row>
    <row r="427" spans="1:1" x14ac:dyDescent="0.45">
      <c r="A427" s="5" t="str">
        <f>IF(B427="","",ROWS($A$13:A427))</f>
        <v/>
      </c>
    </row>
    <row r="428" spans="1:1" x14ac:dyDescent="0.45">
      <c r="A428" s="5" t="str">
        <f>IF(B428="","",ROWS($A$13:A428))</f>
        <v/>
      </c>
    </row>
    <row r="429" spans="1:1" x14ac:dyDescent="0.45">
      <c r="A429" s="5" t="str">
        <f>IF(B429="","",ROWS($A$13:A429))</f>
        <v/>
      </c>
    </row>
    <row r="430" spans="1:1" x14ac:dyDescent="0.45">
      <c r="A430" s="5" t="str">
        <f>IF(B430="","",ROWS($A$13:A430))</f>
        <v/>
      </c>
    </row>
    <row r="431" spans="1:1" x14ac:dyDescent="0.45">
      <c r="A431" s="5" t="str">
        <f>IF(B431="","",ROWS($A$13:A431))</f>
        <v/>
      </c>
    </row>
    <row r="432" spans="1:1" x14ac:dyDescent="0.45">
      <c r="A432" s="5" t="str">
        <f>IF(B432="","",ROWS($A$13:A432))</f>
        <v/>
      </c>
    </row>
    <row r="433" spans="1:1" x14ac:dyDescent="0.45">
      <c r="A433" s="5" t="str">
        <f>IF(B433="","",ROWS($A$13:A433))</f>
        <v/>
      </c>
    </row>
    <row r="434" spans="1:1" x14ac:dyDescent="0.45">
      <c r="A434" s="5" t="str">
        <f>IF(B434="","",ROWS($A$13:A434))</f>
        <v/>
      </c>
    </row>
    <row r="435" spans="1:1" x14ac:dyDescent="0.45">
      <c r="A435" s="5" t="str">
        <f>IF(B435="","",ROWS($A$13:A435))</f>
        <v/>
      </c>
    </row>
    <row r="436" spans="1:1" x14ac:dyDescent="0.45">
      <c r="A436" s="5" t="str">
        <f>IF(B436="","",ROWS($A$13:A436))</f>
        <v/>
      </c>
    </row>
    <row r="437" spans="1:1" x14ac:dyDescent="0.45">
      <c r="A437" s="5" t="str">
        <f>IF(B437="","",ROWS($A$13:A437))</f>
        <v/>
      </c>
    </row>
    <row r="438" spans="1:1" x14ac:dyDescent="0.45">
      <c r="A438" s="5" t="str">
        <f>IF(B438="","",ROWS($A$13:A438))</f>
        <v/>
      </c>
    </row>
    <row r="439" spans="1:1" x14ac:dyDescent="0.45">
      <c r="A439" s="5" t="str">
        <f>IF(B439="","",ROWS($A$13:A439))</f>
        <v/>
      </c>
    </row>
    <row r="440" spans="1:1" x14ac:dyDescent="0.45">
      <c r="A440" s="5" t="str">
        <f>IF(B440="","",ROWS($A$13:A440))</f>
        <v/>
      </c>
    </row>
    <row r="441" spans="1:1" x14ac:dyDescent="0.45">
      <c r="A441" s="5" t="str">
        <f>IF(B441="","",ROWS($A$13:A441))</f>
        <v/>
      </c>
    </row>
    <row r="442" spans="1:1" x14ac:dyDescent="0.45">
      <c r="A442" s="5" t="str">
        <f>IF(B442="","",ROWS($A$13:A442))</f>
        <v/>
      </c>
    </row>
    <row r="443" spans="1:1" x14ac:dyDescent="0.45">
      <c r="A443" s="5" t="str">
        <f>IF(B443="","",ROWS($A$13:A443))</f>
        <v/>
      </c>
    </row>
    <row r="444" spans="1:1" x14ac:dyDescent="0.45">
      <c r="A444" s="5" t="str">
        <f>IF(B444="","",ROWS($A$13:A444))</f>
        <v/>
      </c>
    </row>
    <row r="445" spans="1:1" x14ac:dyDescent="0.45">
      <c r="A445" s="5" t="str">
        <f>IF(B445="","",ROWS($A$13:A445))</f>
        <v/>
      </c>
    </row>
    <row r="446" spans="1:1" x14ac:dyDescent="0.45">
      <c r="A446" s="5" t="str">
        <f>IF(B446="","",ROWS($A$13:A446))</f>
        <v/>
      </c>
    </row>
    <row r="447" spans="1:1" x14ac:dyDescent="0.45">
      <c r="A447" s="5" t="str">
        <f>IF(B447="","",ROWS($A$13:A447))</f>
        <v/>
      </c>
    </row>
    <row r="448" spans="1:1" x14ac:dyDescent="0.45">
      <c r="A448" s="5" t="str">
        <f>IF(B448="","",ROWS($A$13:A448))</f>
        <v/>
      </c>
    </row>
    <row r="449" spans="1:1" x14ac:dyDescent="0.45">
      <c r="A449" s="5" t="str">
        <f>IF(B449="","",ROWS($A$13:A449))</f>
        <v/>
      </c>
    </row>
    <row r="450" spans="1:1" x14ac:dyDescent="0.45">
      <c r="A450" s="5" t="str">
        <f>IF(B450="","",ROWS($A$13:A450))</f>
        <v/>
      </c>
    </row>
    <row r="451" spans="1:1" x14ac:dyDescent="0.45">
      <c r="A451" s="5" t="str">
        <f>IF(B451="","",ROWS($A$13:A451))</f>
        <v/>
      </c>
    </row>
    <row r="452" spans="1:1" x14ac:dyDescent="0.45">
      <c r="A452" s="5" t="str">
        <f>IF(B452="","",ROWS($A$13:A452))</f>
        <v/>
      </c>
    </row>
    <row r="453" spans="1:1" x14ac:dyDescent="0.45">
      <c r="A453" s="5" t="str">
        <f>IF(B453="","",ROWS($A$13:A453))</f>
        <v/>
      </c>
    </row>
    <row r="454" spans="1:1" x14ac:dyDescent="0.45">
      <c r="A454" s="5" t="str">
        <f>IF(B454="","",ROWS($A$13:A454))</f>
        <v/>
      </c>
    </row>
    <row r="455" spans="1:1" x14ac:dyDescent="0.45">
      <c r="A455" s="5" t="str">
        <f>IF(B455="","",ROWS($A$13:A455))</f>
        <v/>
      </c>
    </row>
    <row r="456" spans="1:1" x14ac:dyDescent="0.45">
      <c r="A456" s="5" t="str">
        <f>IF(B456="","",ROWS($A$13:A456))</f>
        <v/>
      </c>
    </row>
    <row r="457" spans="1:1" x14ac:dyDescent="0.45">
      <c r="A457" s="5" t="str">
        <f>IF(B457="","",ROWS($A$13:A457))</f>
        <v/>
      </c>
    </row>
    <row r="458" spans="1:1" x14ac:dyDescent="0.45">
      <c r="A458" s="5" t="str">
        <f>IF(B458="","",ROWS($A$13:A458))</f>
        <v/>
      </c>
    </row>
    <row r="459" spans="1:1" x14ac:dyDescent="0.45">
      <c r="A459" s="5" t="str">
        <f>IF(B459="","",ROWS($A$13:A459))</f>
        <v/>
      </c>
    </row>
    <row r="460" spans="1:1" x14ac:dyDescent="0.45">
      <c r="A460" s="5" t="str">
        <f>IF(B460="","",ROWS($A$13:A460))</f>
        <v/>
      </c>
    </row>
    <row r="461" spans="1:1" x14ac:dyDescent="0.45">
      <c r="A461" s="5" t="str">
        <f>IF(B461="","",ROWS($A$13:A461))</f>
        <v/>
      </c>
    </row>
    <row r="462" spans="1:1" x14ac:dyDescent="0.45">
      <c r="A462" s="5" t="str">
        <f>IF(B462="","",ROWS($A$13:A462))</f>
        <v/>
      </c>
    </row>
    <row r="463" spans="1:1" x14ac:dyDescent="0.45">
      <c r="A463" s="5" t="str">
        <f>IF(B463="","",ROWS($A$13:A463))</f>
        <v/>
      </c>
    </row>
    <row r="464" spans="1:1" x14ac:dyDescent="0.45">
      <c r="A464" s="5" t="str">
        <f>IF(B464="","",ROWS($A$13:A464))</f>
        <v/>
      </c>
    </row>
    <row r="465" spans="1:1" x14ac:dyDescent="0.45">
      <c r="A465" s="5" t="str">
        <f>IF(B465="","",ROWS($A$13:A465))</f>
        <v/>
      </c>
    </row>
    <row r="466" spans="1:1" x14ac:dyDescent="0.45">
      <c r="A466" s="5" t="str">
        <f>IF(B466="","",ROWS($A$13:A466))</f>
        <v/>
      </c>
    </row>
    <row r="467" spans="1:1" x14ac:dyDescent="0.45">
      <c r="A467" s="5" t="str">
        <f>IF(B467="","",ROWS($A$13:A467))</f>
        <v/>
      </c>
    </row>
    <row r="468" spans="1:1" x14ac:dyDescent="0.45">
      <c r="A468" s="5" t="str">
        <f>IF(B468="","",ROWS($A$13:A468))</f>
        <v/>
      </c>
    </row>
    <row r="469" spans="1:1" x14ac:dyDescent="0.45">
      <c r="A469" s="5" t="str">
        <f>IF(B469="","",ROWS($A$13:A469))</f>
        <v/>
      </c>
    </row>
    <row r="470" spans="1:1" x14ac:dyDescent="0.45">
      <c r="A470" s="5" t="str">
        <f>IF(B470="","",ROWS($A$13:A470))</f>
        <v/>
      </c>
    </row>
    <row r="471" spans="1:1" x14ac:dyDescent="0.45">
      <c r="A471" s="5" t="str">
        <f>IF(B471="","",ROWS($A$13:A471))</f>
        <v/>
      </c>
    </row>
    <row r="472" spans="1:1" x14ac:dyDescent="0.45">
      <c r="A472" s="5" t="str">
        <f>IF(B472="","",ROWS($A$13:A472))</f>
        <v/>
      </c>
    </row>
    <row r="473" spans="1:1" x14ac:dyDescent="0.45">
      <c r="A473" s="5" t="str">
        <f>IF(B473="","",ROWS($A$13:A473))</f>
        <v/>
      </c>
    </row>
    <row r="474" spans="1:1" x14ac:dyDescent="0.45">
      <c r="A474" s="5" t="str">
        <f>IF(B474="","",ROWS($A$13:A474))</f>
        <v/>
      </c>
    </row>
    <row r="475" spans="1:1" x14ac:dyDescent="0.45">
      <c r="A475" s="5" t="str">
        <f>IF(B475="","",ROWS($A$13:A475))</f>
        <v/>
      </c>
    </row>
    <row r="476" spans="1:1" x14ac:dyDescent="0.45">
      <c r="A476" s="5" t="str">
        <f>IF(B476="","",ROWS($A$13:A476))</f>
        <v/>
      </c>
    </row>
    <row r="477" spans="1:1" x14ac:dyDescent="0.45">
      <c r="A477" s="5" t="str">
        <f>IF(B477="","",ROWS($A$13:A477))</f>
        <v/>
      </c>
    </row>
    <row r="478" spans="1:1" x14ac:dyDescent="0.45">
      <c r="A478" s="5" t="str">
        <f>IF(B478="","",ROWS($A$13:A478))</f>
        <v/>
      </c>
    </row>
    <row r="479" spans="1:1" x14ac:dyDescent="0.45">
      <c r="A479" s="5" t="str">
        <f>IF(B479="","",ROWS($A$13:A479))</f>
        <v/>
      </c>
    </row>
    <row r="480" spans="1:1" x14ac:dyDescent="0.45">
      <c r="A480" s="5" t="str">
        <f>IF(B480="","",ROWS($A$13:A480))</f>
        <v/>
      </c>
    </row>
    <row r="481" spans="1:1" x14ac:dyDescent="0.45">
      <c r="A481" s="5" t="str">
        <f>IF(B481="","",ROWS($A$13:A481))</f>
        <v/>
      </c>
    </row>
    <row r="482" spans="1:1" x14ac:dyDescent="0.45">
      <c r="A482" s="5" t="str">
        <f>IF(B482="","",ROWS($A$13:A482))</f>
        <v/>
      </c>
    </row>
    <row r="483" spans="1:1" x14ac:dyDescent="0.45">
      <c r="A483" s="5" t="str">
        <f>IF(B483="","",ROWS($A$13:A483))</f>
        <v/>
      </c>
    </row>
    <row r="484" spans="1:1" x14ac:dyDescent="0.45">
      <c r="A484" s="5" t="str">
        <f>IF(B484="","",ROWS($A$13:A484))</f>
        <v/>
      </c>
    </row>
    <row r="485" spans="1:1" x14ac:dyDescent="0.45">
      <c r="A485" s="5" t="str">
        <f>IF(B485="","",ROWS($A$13:A485))</f>
        <v/>
      </c>
    </row>
    <row r="486" spans="1:1" x14ac:dyDescent="0.45">
      <c r="A486" s="5" t="str">
        <f>IF(B486="","",ROWS($A$13:A486))</f>
        <v/>
      </c>
    </row>
    <row r="487" spans="1:1" x14ac:dyDescent="0.45">
      <c r="A487" s="5" t="str">
        <f>IF(B487="","",ROWS($A$13:A487))</f>
        <v/>
      </c>
    </row>
    <row r="488" spans="1:1" x14ac:dyDescent="0.45">
      <c r="A488" s="5" t="str">
        <f>IF(B488="","",ROWS($A$13:A488))</f>
        <v/>
      </c>
    </row>
    <row r="489" spans="1:1" x14ac:dyDescent="0.45">
      <c r="A489" s="5" t="str">
        <f>IF(B489="","",ROWS($A$13:A489))</f>
        <v/>
      </c>
    </row>
    <row r="490" spans="1:1" x14ac:dyDescent="0.45">
      <c r="A490" s="5" t="str">
        <f>IF(B490="","",ROWS($A$13:A490))</f>
        <v/>
      </c>
    </row>
    <row r="491" spans="1:1" x14ac:dyDescent="0.45">
      <c r="A491" s="5" t="str">
        <f>IF(B491="","",ROWS($A$13:A491))</f>
        <v/>
      </c>
    </row>
    <row r="492" spans="1:1" x14ac:dyDescent="0.45">
      <c r="A492" s="5" t="str">
        <f>IF(B492="","",ROWS($A$13:A492))</f>
        <v/>
      </c>
    </row>
    <row r="493" spans="1:1" x14ac:dyDescent="0.45">
      <c r="A493" s="5" t="str">
        <f>IF(B493="","",ROWS($A$13:A493))</f>
        <v/>
      </c>
    </row>
    <row r="494" spans="1:1" x14ac:dyDescent="0.45">
      <c r="A494" s="5" t="str">
        <f>IF(B494="","",ROWS($A$13:A494))</f>
        <v/>
      </c>
    </row>
    <row r="495" spans="1:1" x14ac:dyDescent="0.45">
      <c r="A495" s="5" t="str">
        <f>IF(B495="","",ROWS($A$13:A495))</f>
        <v/>
      </c>
    </row>
    <row r="496" spans="1:1" x14ac:dyDescent="0.45">
      <c r="A496" s="5" t="str">
        <f>IF(B496="","",ROWS($A$13:A496))</f>
        <v/>
      </c>
    </row>
    <row r="497" spans="1:1" x14ac:dyDescent="0.45">
      <c r="A497" s="5" t="str">
        <f>IF(B497="","",ROWS($A$13:A497))</f>
        <v/>
      </c>
    </row>
    <row r="498" spans="1:1" x14ac:dyDescent="0.45">
      <c r="A498" s="5" t="str">
        <f>IF(B498="","",ROWS($A$13:A498))</f>
        <v/>
      </c>
    </row>
    <row r="499" spans="1:1" x14ac:dyDescent="0.45">
      <c r="A499" s="5" t="str">
        <f>IF(B499="","",ROWS($A$13:A499))</f>
        <v/>
      </c>
    </row>
    <row r="500" spans="1:1" x14ac:dyDescent="0.45">
      <c r="A500" s="5" t="str">
        <f>IF(B500="","",ROWS($A$13:A500))</f>
        <v/>
      </c>
    </row>
    <row r="501" spans="1:1" x14ac:dyDescent="0.45">
      <c r="A501" s="5" t="str">
        <f>IF(B501="","",ROWS($A$13:A501))</f>
        <v/>
      </c>
    </row>
    <row r="502" spans="1:1" x14ac:dyDescent="0.45">
      <c r="A502" s="5" t="str">
        <f>IF(B502="","",ROWS($A$13:A502))</f>
        <v/>
      </c>
    </row>
    <row r="503" spans="1:1" x14ac:dyDescent="0.45">
      <c r="A503" s="5" t="str">
        <f>IF(B503="","",ROWS($A$13:A503))</f>
        <v/>
      </c>
    </row>
    <row r="504" spans="1:1" x14ac:dyDescent="0.45">
      <c r="A504" s="5" t="str">
        <f>IF(B504="","",ROWS($A$13:A504))</f>
        <v/>
      </c>
    </row>
    <row r="505" spans="1:1" x14ac:dyDescent="0.45">
      <c r="A505" s="5" t="str">
        <f>IF(B505="","",ROWS($A$13:A505))</f>
        <v/>
      </c>
    </row>
    <row r="506" spans="1:1" x14ac:dyDescent="0.45">
      <c r="A506" s="5" t="str">
        <f>IF(B506="","",ROWS($A$13:A506))</f>
        <v/>
      </c>
    </row>
    <row r="507" spans="1:1" x14ac:dyDescent="0.45">
      <c r="A507" s="5" t="str">
        <f>IF(B507="","",ROWS($A$13:A507))</f>
        <v/>
      </c>
    </row>
    <row r="508" spans="1:1" x14ac:dyDescent="0.45">
      <c r="A508" s="5" t="str">
        <f>IF(B508="","",ROWS($A$13:A508))</f>
        <v/>
      </c>
    </row>
    <row r="509" spans="1:1" x14ac:dyDescent="0.45">
      <c r="A509" s="5" t="str">
        <f>IF(B509="","",ROWS($A$13:A509))</f>
        <v/>
      </c>
    </row>
    <row r="510" spans="1:1" x14ac:dyDescent="0.45">
      <c r="A510" s="5" t="str">
        <f>IF(B510="","",ROWS($A$13:A510))</f>
        <v/>
      </c>
    </row>
    <row r="511" spans="1:1" x14ac:dyDescent="0.45">
      <c r="A511" s="5" t="str">
        <f>IF(B511="","",ROWS($A$13:A511))</f>
        <v/>
      </c>
    </row>
    <row r="512" spans="1:1" x14ac:dyDescent="0.45">
      <c r="A512" s="5" t="str">
        <f>IF(B512="","",ROWS($A$13:A512))</f>
        <v/>
      </c>
    </row>
    <row r="513" spans="1:1" x14ac:dyDescent="0.45">
      <c r="A513" s="5" t="str">
        <f>IF(B513="","",ROWS($A$13:A513))</f>
        <v/>
      </c>
    </row>
    <row r="514" spans="1:1" x14ac:dyDescent="0.45">
      <c r="A514" s="5" t="str">
        <f>IF(B514="","",ROWS($A$13:A514))</f>
        <v/>
      </c>
    </row>
    <row r="515" spans="1:1" x14ac:dyDescent="0.45">
      <c r="A515" s="5" t="str">
        <f>IF(B515="","",ROWS($A$13:A515))</f>
        <v/>
      </c>
    </row>
    <row r="516" spans="1:1" x14ac:dyDescent="0.45">
      <c r="A516" s="5" t="str">
        <f>IF(B516="","",ROWS($A$13:A516))</f>
        <v/>
      </c>
    </row>
    <row r="517" spans="1:1" x14ac:dyDescent="0.45">
      <c r="A517" s="5" t="str">
        <f>IF(B517="","",ROWS($A$13:A517))</f>
        <v/>
      </c>
    </row>
    <row r="518" spans="1:1" x14ac:dyDescent="0.45">
      <c r="A518" s="5" t="str">
        <f>IF(B518="","",ROWS($A$13:A518))</f>
        <v/>
      </c>
    </row>
    <row r="519" spans="1:1" x14ac:dyDescent="0.45">
      <c r="A519" s="5" t="str">
        <f>IF(B519="","",ROWS($A$13:A519))</f>
        <v/>
      </c>
    </row>
    <row r="520" spans="1:1" x14ac:dyDescent="0.45">
      <c r="A520" s="5" t="str">
        <f>IF(B520="","",ROWS($A$13:A520))</f>
        <v/>
      </c>
    </row>
    <row r="521" spans="1:1" x14ac:dyDescent="0.45">
      <c r="A521" s="5" t="str">
        <f>IF(B521="","",ROWS($A$13:A521))</f>
        <v/>
      </c>
    </row>
    <row r="522" spans="1:1" x14ac:dyDescent="0.45">
      <c r="A522" s="5" t="str">
        <f>IF(B522="","",ROWS($A$13:A522))</f>
        <v/>
      </c>
    </row>
    <row r="523" spans="1:1" x14ac:dyDescent="0.45">
      <c r="A523" s="5" t="str">
        <f>IF(B523="","",ROWS($A$13:A523))</f>
        <v/>
      </c>
    </row>
    <row r="524" spans="1:1" x14ac:dyDescent="0.45">
      <c r="A524" s="5" t="str">
        <f>IF(B524="","",ROWS($A$13:A524))</f>
        <v/>
      </c>
    </row>
    <row r="525" spans="1:1" x14ac:dyDescent="0.45">
      <c r="A525" s="5" t="str">
        <f>IF(B525="","",ROWS($A$13:A525))</f>
        <v/>
      </c>
    </row>
    <row r="526" spans="1:1" x14ac:dyDescent="0.45">
      <c r="A526" s="5" t="str">
        <f>IF(B526="","",ROWS($A$13:A526))</f>
        <v/>
      </c>
    </row>
    <row r="527" spans="1:1" x14ac:dyDescent="0.45">
      <c r="A527" s="5" t="str">
        <f>IF(B527="","",ROWS($A$13:A527))</f>
        <v/>
      </c>
    </row>
    <row r="528" spans="1:1" x14ac:dyDescent="0.45">
      <c r="A528" s="5" t="str">
        <f>IF(B528="","",ROWS($A$13:A528))</f>
        <v/>
      </c>
    </row>
    <row r="529" spans="1:1" x14ac:dyDescent="0.45">
      <c r="A529" s="5" t="str">
        <f>IF(B529="","",ROWS($A$13:A529))</f>
        <v/>
      </c>
    </row>
    <row r="530" spans="1:1" x14ac:dyDescent="0.45">
      <c r="A530" s="5" t="str">
        <f>IF(B530="","",ROWS($A$13:A530))</f>
        <v/>
      </c>
    </row>
    <row r="531" spans="1:1" x14ac:dyDescent="0.45">
      <c r="A531" s="5" t="str">
        <f>IF(B531="","",ROWS($A$13:A531))</f>
        <v/>
      </c>
    </row>
    <row r="532" spans="1:1" x14ac:dyDescent="0.45">
      <c r="A532" s="5" t="str">
        <f>IF(B532="","",ROWS($A$13:A532))</f>
        <v/>
      </c>
    </row>
    <row r="533" spans="1:1" x14ac:dyDescent="0.45">
      <c r="A533" s="5" t="str">
        <f>IF(B533="","",ROWS($A$13:A533))</f>
        <v/>
      </c>
    </row>
    <row r="534" spans="1:1" x14ac:dyDescent="0.45">
      <c r="A534" s="5" t="str">
        <f>IF(B534="","",ROWS($A$13:A534))</f>
        <v/>
      </c>
    </row>
    <row r="535" spans="1:1" x14ac:dyDescent="0.45">
      <c r="A535" s="5" t="str">
        <f>IF(B535="","",ROWS($A$13:A535))</f>
        <v/>
      </c>
    </row>
    <row r="536" spans="1:1" x14ac:dyDescent="0.45">
      <c r="A536" s="5" t="str">
        <f>IF(B536="","",ROWS($A$13:A536))</f>
        <v/>
      </c>
    </row>
    <row r="537" spans="1:1" x14ac:dyDescent="0.45">
      <c r="A537" s="5" t="str">
        <f>IF(B537="","",ROWS($A$13:A537))</f>
        <v/>
      </c>
    </row>
    <row r="538" spans="1:1" x14ac:dyDescent="0.45">
      <c r="A538" s="5" t="str">
        <f>IF(B538="","",ROWS($A$13:A538))</f>
        <v/>
      </c>
    </row>
    <row r="539" spans="1:1" x14ac:dyDescent="0.45">
      <c r="A539" s="5" t="str">
        <f>IF(B539="","",ROWS($A$13:A539))</f>
        <v/>
      </c>
    </row>
    <row r="540" spans="1:1" x14ac:dyDescent="0.45">
      <c r="A540" s="5" t="str">
        <f>IF(B540="","",ROWS($A$13:A540))</f>
        <v/>
      </c>
    </row>
    <row r="541" spans="1:1" x14ac:dyDescent="0.45">
      <c r="A541" s="5" t="str">
        <f>IF(B541="","",ROWS($A$13:A541))</f>
        <v/>
      </c>
    </row>
    <row r="542" spans="1:1" x14ac:dyDescent="0.45">
      <c r="A542" s="5" t="str">
        <f>IF(B542="","",ROWS($A$13:A542))</f>
        <v/>
      </c>
    </row>
    <row r="543" spans="1:1" x14ac:dyDescent="0.45">
      <c r="A543" s="5" t="str">
        <f>IF(B543="","",ROWS($A$13:A543))</f>
        <v/>
      </c>
    </row>
    <row r="544" spans="1:1" x14ac:dyDescent="0.45">
      <c r="A544" s="5" t="str">
        <f>IF(B544="","",ROWS($A$13:A544))</f>
        <v/>
      </c>
    </row>
    <row r="545" spans="1:1" x14ac:dyDescent="0.45">
      <c r="A545" s="5" t="str">
        <f>IF(B545="","",ROWS($A$13:A545))</f>
        <v/>
      </c>
    </row>
    <row r="546" spans="1:1" x14ac:dyDescent="0.45">
      <c r="A546" s="5" t="str">
        <f>IF(B546="","",ROWS($A$13:A546))</f>
        <v/>
      </c>
    </row>
    <row r="547" spans="1:1" x14ac:dyDescent="0.45">
      <c r="A547" s="5" t="str">
        <f>IF(B547="","",ROWS($A$13:A547))</f>
        <v/>
      </c>
    </row>
    <row r="548" spans="1:1" x14ac:dyDescent="0.45">
      <c r="A548" s="5" t="str">
        <f>IF(B548="","",ROWS($A$13:A548))</f>
        <v/>
      </c>
    </row>
    <row r="549" spans="1:1" x14ac:dyDescent="0.45">
      <c r="A549" s="5" t="str">
        <f>IF(B549="","",ROWS($A$13:A549))</f>
        <v/>
      </c>
    </row>
    <row r="550" spans="1:1" x14ac:dyDescent="0.45">
      <c r="A550" s="5" t="str">
        <f>IF(B550="","",ROWS($A$13:A550))</f>
        <v/>
      </c>
    </row>
    <row r="551" spans="1:1" x14ac:dyDescent="0.45">
      <c r="A551" s="5" t="str">
        <f>IF(B551="","",ROWS($A$13:A551))</f>
        <v/>
      </c>
    </row>
    <row r="552" spans="1:1" x14ac:dyDescent="0.45">
      <c r="A552" s="5" t="str">
        <f>IF(B552="","",ROWS($A$13:A552))</f>
        <v/>
      </c>
    </row>
    <row r="553" spans="1:1" x14ac:dyDescent="0.45">
      <c r="A553" s="5" t="str">
        <f>IF(B553="","",ROWS($A$13:A553))</f>
        <v/>
      </c>
    </row>
    <row r="554" spans="1:1" x14ac:dyDescent="0.45">
      <c r="A554" s="5" t="str">
        <f>IF(B554="","",ROWS($A$13:A554))</f>
        <v/>
      </c>
    </row>
    <row r="555" spans="1:1" x14ac:dyDescent="0.45">
      <c r="A555" s="5" t="str">
        <f>IF(B555="","",ROWS($A$13:A555))</f>
        <v/>
      </c>
    </row>
    <row r="556" spans="1:1" x14ac:dyDescent="0.45">
      <c r="A556" s="5" t="str">
        <f>IF(B556="","",ROWS($A$13:A556))</f>
        <v/>
      </c>
    </row>
    <row r="557" spans="1:1" x14ac:dyDescent="0.45">
      <c r="A557" s="5" t="str">
        <f>IF(B557="","",ROWS($A$13:A557))</f>
        <v/>
      </c>
    </row>
    <row r="558" spans="1:1" x14ac:dyDescent="0.45">
      <c r="A558" s="5" t="str">
        <f>IF(B558="","",ROWS($A$13:A558))</f>
        <v/>
      </c>
    </row>
    <row r="559" spans="1:1" x14ac:dyDescent="0.45">
      <c r="A559" s="5" t="str">
        <f>IF(B559="","",ROWS($A$13:A559))</f>
        <v/>
      </c>
    </row>
    <row r="560" spans="1:1" x14ac:dyDescent="0.45">
      <c r="A560" s="5" t="str">
        <f>IF(B560="","",ROWS($A$13:A560))</f>
        <v/>
      </c>
    </row>
    <row r="561" spans="1:1" x14ac:dyDescent="0.45">
      <c r="A561" s="5" t="str">
        <f>IF(B561="","",ROWS($A$13:A561))</f>
        <v/>
      </c>
    </row>
    <row r="562" spans="1:1" x14ac:dyDescent="0.45">
      <c r="A562" s="5" t="str">
        <f>IF(B562="","",ROWS($A$13:A562))</f>
        <v/>
      </c>
    </row>
    <row r="563" spans="1:1" x14ac:dyDescent="0.45">
      <c r="A563" s="5" t="str">
        <f>IF(B563="","",ROWS($A$13:A563))</f>
        <v/>
      </c>
    </row>
    <row r="564" spans="1:1" x14ac:dyDescent="0.45">
      <c r="A564" s="5" t="str">
        <f>IF(B564="","",ROWS($A$13:A564))</f>
        <v/>
      </c>
    </row>
    <row r="565" spans="1:1" x14ac:dyDescent="0.45">
      <c r="A565" s="5" t="str">
        <f>IF(B565="","",ROWS($A$13:A565))</f>
        <v/>
      </c>
    </row>
    <row r="566" spans="1:1" x14ac:dyDescent="0.45">
      <c r="A566" s="5" t="str">
        <f>IF(B566="","",ROWS($A$13:A566))</f>
        <v/>
      </c>
    </row>
    <row r="567" spans="1:1" x14ac:dyDescent="0.45">
      <c r="A567" s="5" t="str">
        <f>IF(B567="","",ROWS($A$13:A567))</f>
        <v/>
      </c>
    </row>
    <row r="568" spans="1:1" x14ac:dyDescent="0.45">
      <c r="A568" s="5" t="str">
        <f>IF(B568="","",ROWS($A$13:A568))</f>
        <v/>
      </c>
    </row>
    <row r="569" spans="1:1" x14ac:dyDescent="0.45">
      <c r="A569" s="5" t="str">
        <f>IF(B569="","",ROWS($A$13:A569))</f>
        <v/>
      </c>
    </row>
    <row r="570" spans="1:1" x14ac:dyDescent="0.45">
      <c r="A570" s="5" t="str">
        <f>IF(B570="","",ROWS($A$13:A570))</f>
        <v/>
      </c>
    </row>
    <row r="571" spans="1:1" x14ac:dyDescent="0.45">
      <c r="A571" s="5" t="str">
        <f>IF(B571="","",ROWS($A$13:A571))</f>
        <v/>
      </c>
    </row>
    <row r="572" spans="1:1" x14ac:dyDescent="0.45">
      <c r="A572" s="5" t="str">
        <f>IF(B572="","",ROWS($A$13:A572))</f>
        <v/>
      </c>
    </row>
    <row r="573" spans="1:1" x14ac:dyDescent="0.45">
      <c r="A573" s="5" t="str">
        <f>IF(B573="","",ROWS($A$13:A573))</f>
        <v/>
      </c>
    </row>
    <row r="574" spans="1:1" x14ac:dyDescent="0.45">
      <c r="A574" s="5" t="str">
        <f>IF(B574="","",ROWS($A$13:A574))</f>
        <v/>
      </c>
    </row>
    <row r="575" spans="1:1" x14ac:dyDescent="0.45">
      <c r="A575" s="5" t="str">
        <f>IF(B575="","",ROWS($A$13:A575))</f>
        <v/>
      </c>
    </row>
    <row r="576" spans="1:1" x14ac:dyDescent="0.45">
      <c r="A576" s="5" t="str">
        <f>IF(B576="","",ROWS($A$13:A576))</f>
        <v/>
      </c>
    </row>
    <row r="577" spans="1:1" x14ac:dyDescent="0.45">
      <c r="A577" s="5" t="str">
        <f>IF(B577="","",ROWS($A$13:A577))</f>
        <v/>
      </c>
    </row>
    <row r="578" spans="1:1" x14ac:dyDescent="0.45">
      <c r="A578" s="5" t="str">
        <f>IF(B578="","",ROWS($A$13:A578))</f>
        <v/>
      </c>
    </row>
    <row r="579" spans="1:1" x14ac:dyDescent="0.45">
      <c r="A579" s="5" t="str">
        <f>IF(B579="","",ROWS($A$13:A579))</f>
        <v/>
      </c>
    </row>
    <row r="580" spans="1:1" x14ac:dyDescent="0.45">
      <c r="A580" s="5" t="str">
        <f>IF(B580="","",ROWS($A$13:A580))</f>
        <v/>
      </c>
    </row>
    <row r="581" spans="1:1" x14ac:dyDescent="0.45">
      <c r="A581" s="5" t="str">
        <f>IF(B581="","",ROWS($A$13:A581))</f>
        <v/>
      </c>
    </row>
    <row r="582" spans="1:1" x14ac:dyDescent="0.45">
      <c r="A582" s="5" t="str">
        <f>IF(B582="","",ROWS($A$13:A582))</f>
        <v/>
      </c>
    </row>
    <row r="583" spans="1:1" x14ac:dyDescent="0.45">
      <c r="A583" s="5" t="str">
        <f>IF(B583="","",ROWS($A$13:A583))</f>
        <v/>
      </c>
    </row>
    <row r="584" spans="1:1" x14ac:dyDescent="0.45">
      <c r="A584" s="5" t="str">
        <f>IF(B584="","",ROWS($A$13:A584))</f>
        <v/>
      </c>
    </row>
    <row r="585" spans="1:1" x14ac:dyDescent="0.45">
      <c r="A585" s="5" t="str">
        <f>IF(B585="","",ROWS($A$13:A585))</f>
        <v/>
      </c>
    </row>
    <row r="586" spans="1:1" x14ac:dyDescent="0.45">
      <c r="A586" s="5" t="str">
        <f>IF(B586="","",ROWS($A$13:A586))</f>
        <v/>
      </c>
    </row>
    <row r="587" spans="1:1" x14ac:dyDescent="0.45">
      <c r="A587" s="5" t="str">
        <f>IF(B587="","",ROWS($A$13:A587))</f>
        <v/>
      </c>
    </row>
    <row r="588" spans="1:1" x14ac:dyDescent="0.45">
      <c r="A588" s="5" t="str">
        <f>IF(B588="","",ROWS($A$13:A588))</f>
        <v/>
      </c>
    </row>
    <row r="589" spans="1:1" x14ac:dyDescent="0.45">
      <c r="A589" s="5" t="str">
        <f>IF(B589="","",ROWS($A$13:A589))</f>
        <v/>
      </c>
    </row>
    <row r="590" spans="1:1" x14ac:dyDescent="0.45">
      <c r="A590" s="5" t="str">
        <f>IF(B590="","",ROWS($A$13:A590))</f>
        <v/>
      </c>
    </row>
    <row r="591" spans="1:1" x14ac:dyDescent="0.45">
      <c r="A591" s="5" t="str">
        <f>IF(B591="","",ROWS($A$13:A591))</f>
        <v/>
      </c>
    </row>
    <row r="592" spans="1:1" x14ac:dyDescent="0.45">
      <c r="A592" s="5" t="str">
        <f>IF(B592="","",ROWS($A$13:A592))</f>
        <v/>
      </c>
    </row>
    <row r="593" spans="1:1" x14ac:dyDescent="0.45">
      <c r="A593" s="5" t="str">
        <f>IF(B593="","",ROWS($A$13:A593))</f>
        <v/>
      </c>
    </row>
    <row r="594" spans="1:1" x14ac:dyDescent="0.45">
      <c r="A594" s="5" t="str">
        <f>IF(B594="","",ROWS($A$13:A594))</f>
        <v/>
      </c>
    </row>
    <row r="595" spans="1:1" x14ac:dyDescent="0.45">
      <c r="A595" s="5" t="str">
        <f>IF(B595="","",ROWS($A$13:A595))</f>
        <v/>
      </c>
    </row>
    <row r="596" spans="1:1" x14ac:dyDescent="0.45">
      <c r="A596" s="5" t="str">
        <f>IF(B596="","",ROWS($A$13:A596))</f>
        <v/>
      </c>
    </row>
    <row r="597" spans="1:1" x14ac:dyDescent="0.45">
      <c r="A597" s="5" t="str">
        <f>IF(B597="","",ROWS($A$13:A597))</f>
        <v/>
      </c>
    </row>
    <row r="598" spans="1:1" x14ac:dyDescent="0.45">
      <c r="A598" s="5" t="str">
        <f>IF(B598="","",ROWS($A$13:A598))</f>
        <v/>
      </c>
    </row>
    <row r="599" spans="1:1" x14ac:dyDescent="0.45">
      <c r="A599" s="5" t="str">
        <f>IF(B599="","",ROWS($A$13:A599))</f>
        <v/>
      </c>
    </row>
    <row r="600" spans="1:1" x14ac:dyDescent="0.45">
      <c r="A600" s="5" t="str">
        <f>IF(B600="","",ROWS($A$13:A600))</f>
        <v/>
      </c>
    </row>
    <row r="601" spans="1:1" x14ac:dyDescent="0.45">
      <c r="A601" s="5" t="str">
        <f>IF(B601="","",ROWS($A$13:A601))</f>
        <v/>
      </c>
    </row>
    <row r="602" spans="1:1" x14ac:dyDescent="0.45">
      <c r="A602" s="5" t="str">
        <f>IF(B602="","",ROWS($A$13:A602))</f>
        <v/>
      </c>
    </row>
    <row r="603" spans="1:1" x14ac:dyDescent="0.45">
      <c r="A603" s="5" t="str">
        <f>IF(B603="","",ROWS($A$13:A603))</f>
        <v/>
      </c>
    </row>
    <row r="604" spans="1:1" x14ac:dyDescent="0.45">
      <c r="A604" s="5" t="str">
        <f>IF(B604="","",ROWS($A$13:A604))</f>
        <v/>
      </c>
    </row>
    <row r="605" spans="1:1" x14ac:dyDescent="0.45">
      <c r="A605" s="5" t="str">
        <f>IF(B605="","",ROWS($A$13:A605))</f>
        <v/>
      </c>
    </row>
    <row r="606" spans="1:1" x14ac:dyDescent="0.45">
      <c r="A606" s="5" t="str">
        <f>IF(B606="","",ROWS($A$13:A606))</f>
        <v/>
      </c>
    </row>
    <row r="607" spans="1:1" x14ac:dyDescent="0.45">
      <c r="A607" s="5" t="str">
        <f>IF(B607="","",ROWS($A$13:A607))</f>
        <v/>
      </c>
    </row>
    <row r="608" spans="1:1" x14ac:dyDescent="0.45">
      <c r="A608" s="5" t="str">
        <f>IF(B608="","",ROWS($A$13:A608))</f>
        <v/>
      </c>
    </row>
    <row r="609" spans="1:1" x14ac:dyDescent="0.45">
      <c r="A609" s="5" t="str">
        <f>IF(B609="","",ROWS($A$13:A609))</f>
        <v/>
      </c>
    </row>
    <row r="610" spans="1:1" x14ac:dyDescent="0.45">
      <c r="A610" s="5" t="str">
        <f>IF(B610="","",ROWS($A$13:A610))</f>
        <v/>
      </c>
    </row>
    <row r="611" spans="1:1" x14ac:dyDescent="0.45">
      <c r="A611" s="5" t="str">
        <f>IF(B611="","",ROWS($A$13:A611))</f>
        <v/>
      </c>
    </row>
    <row r="612" spans="1:1" x14ac:dyDescent="0.45">
      <c r="A612" s="5" t="str">
        <f>IF(B612="","",ROWS($A$13:A612))</f>
        <v/>
      </c>
    </row>
    <row r="613" spans="1:1" x14ac:dyDescent="0.45">
      <c r="A613" s="5" t="str">
        <f>IF(B613="","",ROWS($A$13:A613))</f>
        <v/>
      </c>
    </row>
    <row r="614" spans="1:1" x14ac:dyDescent="0.45">
      <c r="A614" s="5" t="str">
        <f>IF(B614="","",ROWS($A$13:A614))</f>
        <v/>
      </c>
    </row>
    <row r="615" spans="1:1" x14ac:dyDescent="0.45">
      <c r="A615" s="5" t="str">
        <f>IF(B615="","",ROWS($A$13:A615))</f>
        <v/>
      </c>
    </row>
    <row r="616" spans="1:1" x14ac:dyDescent="0.45">
      <c r="A616" s="5" t="str">
        <f>IF(B616="","",ROWS($A$13:A616))</f>
        <v/>
      </c>
    </row>
    <row r="617" spans="1:1" x14ac:dyDescent="0.45">
      <c r="A617" s="5" t="str">
        <f>IF(B617="","",ROWS($A$13:A617))</f>
        <v/>
      </c>
    </row>
    <row r="618" spans="1:1" x14ac:dyDescent="0.45">
      <c r="A618" s="5" t="str">
        <f>IF(B618="","",ROWS($A$13:A618))</f>
        <v/>
      </c>
    </row>
    <row r="619" spans="1:1" x14ac:dyDescent="0.45">
      <c r="A619" s="5" t="str">
        <f>IF(B619="","",ROWS($A$13:A619))</f>
        <v/>
      </c>
    </row>
    <row r="620" spans="1:1" x14ac:dyDescent="0.45">
      <c r="A620" s="5" t="str">
        <f>IF(B620="","",ROWS($A$13:A620))</f>
        <v/>
      </c>
    </row>
    <row r="621" spans="1:1" x14ac:dyDescent="0.45">
      <c r="A621" s="5" t="str">
        <f>IF(B621="","",ROWS($A$13:A621))</f>
        <v/>
      </c>
    </row>
    <row r="622" spans="1:1" x14ac:dyDescent="0.45">
      <c r="A622" s="5" t="str">
        <f>IF(B622="","",ROWS($A$13:A622))</f>
        <v/>
      </c>
    </row>
    <row r="623" spans="1:1" x14ac:dyDescent="0.45">
      <c r="A623" s="5" t="str">
        <f>IF(B623="","",ROWS($A$13:A623))</f>
        <v/>
      </c>
    </row>
    <row r="624" spans="1:1" x14ac:dyDescent="0.45">
      <c r="A624" s="5" t="str">
        <f>IF(B624="","",ROWS($A$13:A624))</f>
        <v/>
      </c>
    </row>
    <row r="625" spans="1:1" x14ac:dyDescent="0.45">
      <c r="A625" s="5" t="str">
        <f>IF(B625="","",ROWS($A$13:A625))</f>
        <v/>
      </c>
    </row>
    <row r="626" spans="1:1" x14ac:dyDescent="0.45">
      <c r="A626" s="5" t="str">
        <f>IF(B626="","",ROWS($A$13:A626))</f>
        <v/>
      </c>
    </row>
    <row r="627" spans="1:1" x14ac:dyDescent="0.45">
      <c r="A627" s="5" t="str">
        <f>IF(B627="","",ROWS($A$13:A627))</f>
        <v/>
      </c>
    </row>
    <row r="628" spans="1:1" x14ac:dyDescent="0.45">
      <c r="A628" s="5" t="str">
        <f>IF(B628="","",ROWS($A$13:A628))</f>
        <v/>
      </c>
    </row>
    <row r="629" spans="1:1" x14ac:dyDescent="0.45">
      <c r="A629" s="5" t="str">
        <f>IF(B629="","",ROWS($A$13:A629))</f>
        <v/>
      </c>
    </row>
    <row r="630" spans="1:1" x14ac:dyDescent="0.45">
      <c r="A630" s="5" t="str">
        <f>IF(B630="","",ROWS($A$13:A630))</f>
        <v/>
      </c>
    </row>
    <row r="631" spans="1:1" x14ac:dyDescent="0.45">
      <c r="A631" s="5" t="str">
        <f>IF(B631="","",ROWS($A$13:A631))</f>
        <v/>
      </c>
    </row>
    <row r="632" spans="1:1" x14ac:dyDescent="0.45">
      <c r="A632" s="5" t="str">
        <f>IF(B632="","",ROWS($A$13:A632))</f>
        <v/>
      </c>
    </row>
    <row r="633" spans="1:1" x14ac:dyDescent="0.45">
      <c r="A633" s="5" t="str">
        <f>IF(B633="","",ROWS($A$13:A633))</f>
        <v/>
      </c>
    </row>
    <row r="634" spans="1:1" x14ac:dyDescent="0.45">
      <c r="A634" s="5" t="str">
        <f>IF(B634="","",ROWS($A$13:A634))</f>
        <v/>
      </c>
    </row>
    <row r="635" spans="1:1" x14ac:dyDescent="0.45">
      <c r="A635" s="5" t="str">
        <f>IF(B635="","",ROWS($A$13:A635))</f>
        <v/>
      </c>
    </row>
    <row r="636" spans="1:1" x14ac:dyDescent="0.45">
      <c r="A636" s="5" t="str">
        <f>IF(B636="","",ROWS($A$13:A636))</f>
        <v/>
      </c>
    </row>
    <row r="637" spans="1:1" x14ac:dyDescent="0.45">
      <c r="A637" s="5" t="str">
        <f>IF(B637="","",ROWS($A$13:A637))</f>
        <v/>
      </c>
    </row>
    <row r="638" spans="1:1" x14ac:dyDescent="0.45">
      <c r="A638" s="5" t="str">
        <f>IF(B638="","",ROWS($A$13:A638))</f>
        <v/>
      </c>
    </row>
    <row r="639" spans="1:1" x14ac:dyDescent="0.45">
      <c r="A639" s="5" t="str">
        <f>IF(B639="","",ROWS($A$13:A639))</f>
        <v/>
      </c>
    </row>
    <row r="640" spans="1:1" x14ac:dyDescent="0.45">
      <c r="A640" s="5" t="str">
        <f>IF(B640="","",ROWS($A$13:A640))</f>
        <v/>
      </c>
    </row>
    <row r="641" spans="1:1" x14ac:dyDescent="0.45">
      <c r="A641" s="5" t="str">
        <f>IF(B641="","",ROWS($A$13:A641))</f>
        <v/>
      </c>
    </row>
    <row r="642" spans="1:1" x14ac:dyDescent="0.45">
      <c r="A642" s="5" t="str">
        <f>IF(B642="","",ROWS($A$13:A642))</f>
        <v/>
      </c>
    </row>
    <row r="643" spans="1:1" x14ac:dyDescent="0.45">
      <c r="A643" s="5" t="str">
        <f>IF(B643="","",ROWS($A$13:A643))</f>
        <v/>
      </c>
    </row>
    <row r="644" spans="1:1" x14ac:dyDescent="0.45">
      <c r="A644" s="5" t="str">
        <f>IF(B644="","",ROWS($A$13:A644))</f>
        <v/>
      </c>
    </row>
    <row r="645" spans="1:1" x14ac:dyDescent="0.45">
      <c r="A645" s="5" t="str">
        <f>IF(B645="","",ROWS($A$13:A645))</f>
        <v/>
      </c>
    </row>
    <row r="646" spans="1:1" x14ac:dyDescent="0.45">
      <c r="A646" s="5" t="str">
        <f>IF(B646="","",ROWS($A$13:A646))</f>
        <v/>
      </c>
    </row>
    <row r="647" spans="1:1" x14ac:dyDescent="0.45">
      <c r="A647" s="5" t="str">
        <f>IF(B647="","",ROWS($A$13:A647))</f>
        <v/>
      </c>
    </row>
    <row r="648" spans="1:1" x14ac:dyDescent="0.45">
      <c r="A648" s="5" t="str">
        <f>IF(B648="","",ROWS($A$13:A648))</f>
        <v/>
      </c>
    </row>
    <row r="649" spans="1:1" x14ac:dyDescent="0.45">
      <c r="A649" s="5" t="str">
        <f>IF(B649="","",ROWS($A$13:A649))</f>
        <v/>
      </c>
    </row>
    <row r="650" spans="1:1" x14ac:dyDescent="0.45">
      <c r="A650" s="5" t="str">
        <f>IF(B650="","",ROWS($A$13:A650))</f>
        <v/>
      </c>
    </row>
    <row r="651" spans="1:1" x14ac:dyDescent="0.45">
      <c r="A651" s="5" t="str">
        <f>IF(B651="","",ROWS($A$13:A651))</f>
        <v/>
      </c>
    </row>
    <row r="652" spans="1:1" x14ac:dyDescent="0.45">
      <c r="A652" s="5" t="str">
        <f>IF(B652="","",ROWS($A$13:A652))</f>
        <v/>
      </c>
    </row>
    <row r="653" spans="1:1" x14ac:dyDescent="0.45">
      <c r="A653" s="5" t="str">
        <f>IF(B653="","",ROWS($A$13:A653))</f>
        <v/>
      </c>
    </row>
    <row r="654" spans="1:1" x14ac:dyDescent="0.45">
      <c r="A654" s="5" t="str">
        <f>IF(B654="","",ROWS($A$13:A654))</f>
        <v/>
      </c>
    </row>
    <row r="655" spans="1:1" x14ac:dyDescent="0.45">
      <c r="A655" s="5" t="str">
        <f>IF(B655="","",ROWS($A$13:A655))</f>
        <v/>
      </c>
    </row>
    <row r="656" spans="1:1" x14ac:dyDescent="0.45">
      <c r="A656" s="5" t="str">
        <f>IF(B656="","",ROWS($A$13:A656))</f>
        <v/>
      </c>
    </row>
    <row r="657" spans="1:1" x14ac:dyDescent="0.45">
      <c r="A657" s="5" t="str">
        <f>IF(B657="","",ROWS($A$13:A657))</f>
        <v/>
      </c>
    </row>
    <row r="658" spans="1:1" x14ac:dyDescent="0.45">
      <c r="A658" s="5" t="str">
        <f>IF(B658="","",ROWS($A$13:A658))</f>
        <v/>
      </c>
    </row>
    <row r="659" spans="1:1" x14ac:dyDescent="0.45">
      <c r="A659" s="5" t="str">
        <f>IF(B659="","",ROWS($A$13:A659))</f>
        <v/>
      </c>
    </row>
    <row r="660" spans="1:1" x14ac:dyDescent="0.45">
      <c r="A660" s="5" t="str">
        <f>IF(B660="","",ROWS($A$13:A660))</f>
        <v/>
      </c>
    </row>
    <row r="661" spans="1:1" x14ac:dyDescent="0.45">
      <c r="A661" s="5" t="str">
        <f>IF(B661="","",ROWS($A$13:A661))</f>
        <v/>
      </c>
    </row>
    <row r="662" spans="1:1" x14ac:dyDescent="0.45">
      <c r="A662" s="5" t="str">
        <f>IF(B662="","",ROWS($A$13:A662))</f>
        <v/>
      </c>
    </row>
    <row r="663" spans="1:1" x14ac:dyDescent="0.45">
      <c r="A663" s="5" t="str">
        <f>IF(B663="","",ROWS($A$13:A663))</f>
        <v/>
      </c>
    </row>
    <row r="664" spans="1:1" x14ac:dyDescent="0.45">
      <c r="A664" s="5" t="str">
        <f>IF(B664="","",ROWS($A$13:A664))</f>
        <v/>
      </c>
    </row>
    <row r="665" spans="1:1" x14ac:dyDescent="0.45">
      <c r="A665" s="5" t="str">
        <f>IF(B665="","",ROWS($A$13:A665))</f>
        <v/>
      </c>
    </row>
    <row r="666" spans="1:1" x14ac:dyDescent="0.45">
      <c r="A666" s="5" t="str">
        <f>IF(B666="","",ROWS($A$13:A666))</f>
        <v/>
      </c>
    </row>
    <row r="667" spans="1:1" x14ac:dyDescent="0.45">
      <c r="A667" s="5" t="str">
        <f>IF(B667="","",ROWS($A$13:A667))</f>
        <v/>
      </c>
    </row>
    <row r="668" spans="1:1" x14ac:dyDescent="0.45">
      <c r="A668" s="5" t="str">
        <f>IF(B668="","",ROWS($A$13:A668))</f>
        <v/>
      </c>
    </row>
    <row r="669" spans="1:1" x14ac:dyDescent="0.45">
      <c r="A669" s="5" t="str">
        <f>IF(B669="","",ROWS($A$13:A669))</f>
        <v/>
      </c>
    </row>
    <row r="670" spans="1:1" x14ac:dyDescent="0.45">
      <c r="A670" s="5" t="str">
        <f>IF(B670="","",ROWS($A$13:A670))</f>
        <v/>
      </c>
    </row>
    <row r="671" spans="1:1" x14ac:dyDescent="0.45">
      <c r="A671" s="5" t="str">
        <f>IF(B671="","",ROWS($A$13:A671))</f>
        <v/>
      </c>
    </row>
    <row r="672" spans="1:1" x14ac:dyDescent="0.45">
      <c r="A672" s="5" t="str">
        <f>IF(B672="","",ROWS($A$13:A672))</f>
        <v/>
      </c>
    </row>
    <row r="673" spans="1:1" x14ac:dyDescent="0.45">
      <c r="A673" s="5" t="str">
        <f>IF(B673="","",ROWS($A$13:A673))</f>
        <v/>
      </c>
    </row>
    <row r="674" spans="1:1" x14ac:dyDescent="0.45">
      <c r="A674" s="5" t="str">
        <f>IF(B674="","",ROWS($A$13:A674))</f>
        <v/>
      </c>
    </row>
    <row r="675" spans="1:1" x14ac:dyDescent="0.45">
      <c r="A675" s="5" t="str">
        <f>IF(B675="","",ROWS($A$13:A675))</f>
        <v/>
      </c>
    </row>
    <row r="676" spans="1:1" x14ac:dyDescent="0.45">
      <c r="A676" s="5" t="str">
        <f>IF(B676="","",ROWS($A$13:A676))</f>
        <v/>
      </c>
    </row>
    <row r="677" spans="1:1" x14ac:dyDescent="0.45">
      <c r="A677" s="5" t="str">
        <f>IF(B677="","",ROWS($A$13:A677))</f>
        <v/>
      </c>
    </row>
    <row r="678" spans="1:1" x14ac:dyDescent="0.45">
      <c r="A678" s="5" t="str">
        <f>IF(B678="","",ROWS($A$13:A678))</f>
        <v/>
      </c>
    </row>
    <row r="679" spans="1:1" x14ac:dyDescent="0.45">
      <c r="A679" s="5" t="str">
        <f>IF(B679="","",ROWS($A$13:A679))</f>
        <v/>
      </c>
    </row>
    <row r="680" spans="1:1" x14ac:dyDescent="0.45">
      <c r="A680" s="5" t="str">
        <f>IF(B680="","",ROWS($A$13:A680))</f>
        <v/>
      </c>
    </row>
    <row r="681" spans="1:1" x14ac:dyDescent="0.45">
      <c r="A681" s="5" t="str">
        <f>IF(B681="","",ROWS($A$13:A681))</f>
        <v/>
      </c>
    </row>
    <row r="682" spans="1:1" x14ac:dyDescent="0.45">
      <c r="A682" s="5" t="str">
        <f>IF(B682="","",ROWS($A$13:A682))</f>
        <v/>
      </c>
    </row>
    <row r="683" spans="1:1" x14ac:dyDescent="0.45">
      <c r="A683" s="5" t="str">
        <f>IF(B683="","",ROWS($A$13:A683))</f>
        <v/>
      </c>
    </row>
    <row r="684" spans="1:1" x14ac:dyDescent="0.45">
      <c r="A684" s="5" t="str">
        <f>IF(B684="","",ROWS($A$13:A684))</f>
        <v/>
      </c>
    </row>
    <row r="685" spans="1:1" x14ac:dyDescent="0.45">
      <c r="A685" s="5" t="str">
        <f>IF(B685="","",ROWS($A$13:A685))</f>
        <v/>
      </c>
    </row>
    <row r="686" spans="1:1" x14ac:dyDescent="0.45">
      <c r="A686" s="5" t="str">
        <f>IF(B686="","",ROWS($A$13:A686))</f>
        <v/>
      </c>
    </row>
    <row r="687" spans="1:1" x14ac:dyDescent="0.45">
      <c r="A687" s="5" t="str">
        <f>IF(B687="","",ROWS($A$13:A687))</f>
        <v/>
      </c>
    </row>
    <row r="688" spans="1:1" x14ac:dyDescent="0.45">
      <c r="A688" s="5" t="str">
        <f>IF(B688="","",ROWS($A$13:A688))</f>
        <v/>
      </c>
    </row>
    <row r="689" spans="1:1" x14ac:dyDescent="0.45">
      <c r="A689" s="5" t="str">
        <f>IF(B689="","",ROWS($A$13:A689))</f>
        <v/>
      </c>
    </row>
    <row r="690" spans="1:1" x14ac:dyDescent="0.45">
      <c r="A690" s="5" t="str">
        <f>IF(B690="","",ROWS($A$13:A690))</f>
        <v/>
      </c>
    </row>
    <row r="691" spans="1:1" x14ac:dyDescent="0.45">
      <c r="A691" s="5" t="str">
        <f>IF(B691="","",ROWS($A$13:A691))</f>
        <v/>
      </c>
    </row>
    <row r="692" spans="1:1" x14ac:dyDescent="0.45">
      <c r="A692" s="5" t="str">
        <f>IF(B692="","",ROWS($A$13:A692))</f>
        <v/>
      </c>
    </row>
    <row r="693" spans="1:1" x14ac:dyDescent="0.45">
      <c r="A693" s="5" t="str">
        <f>IF(B693="","",ROWS($A$13:A693))</f>
        <v/>
      </c>
    </row>
    <row r="694" spans="1:1" x14ac:dyDescent="0.45">
      <c r="A694" s="5" t="str">
        <f>IF(B694="","",ROWS($A$13:A694))</f>
        <v/>
      </c>
    </row>
    <row r="695" spans="1:1" x14ac:dyDescent="0.45">
      <c r="A695" s="5" t="str">
        <f>IF(B695="","",ROWS($A$13:A695))</f>
        <v/>
      </c>
    </row>
    <row r="696" spans="1:1" x14ac:dyDescent="0.45">
      <c r="A696" s="5" t="str">
        <f>IF(B696="","",ROWS($A$13:A696))</f>
        <v/>
      </c>
    </row>
    <row r="697" spans="1:1" x14ac:dyDescent="0.45">
      <c r="A697" s="5" t="str">
        <f>IF(B697="","",ROWS($A$13:A697))</f>
        <v/>
      </c>
    </row>
    <row r="698" spans="1:1" x14ac:dyDescent="0.45">
      <c r="A698" s="5" t="str">
        <f>IF(B698="","",ROWS($A$13:A698))</f>
        <v/>
      </c>
    </row>
    <row r="699" spans="1:1" x14ac:dyDescent="0.45">
      <c r="A699" s="5" t="str">
        <f>IF(B699="","",ROWS($A$13:A699))</f>
        <v/>
      </c>
    </row>
    <row r="700" spans="1:1" x14ac:dyDescent="0.45">
      <c r="A700" s="5" t="str">
        <f>IF(B700="","",ROWS($A$13:A700))</f>
        <v/>
      </c>
    </row>
    <row r="701" spans="1:1" x14ac:dyDescent="0.45">
      <c r="A701" s="5" t="str">
        <f>IF(B701="","",ROWS($A$13:A701))</f>
        <v/>
      </c>
    </row>
    <row r="702" spans="1:1" x14ac:dyDescent="0.45">
      <c r="A702" s="5" t="str">
        <f>IF(B702="","",ROWS($A$13:A702))</f>
        <v/>
      </c>
    </row>
    <row r="703" spans="1:1" x14ac:dyDescent="0.45">
      <c r="A703" s="5" t="str">
        <f>IF(B703="","",ROWS($A$13:A703))</f>
        <v/>
      </c>
    </row>
    <row r="704" spans="1:1" x14ac:dyDescent="0.45">
      <c r="A704" s="5" t="str">
        <f>IF(B704="","",ROWS($A$13:A704))</f>
        <v/>
      </c>
    </row>
    <row r="705" spans="1:1" x14ac:dyDescent="0.45">
      <c r="A705" s="5" t="str">
        <f>IF(B705="","",ROWS($A$13:A705))</f>
        <v/>
      </c>
    </row>
    <row r="706" spans="1:1" x14ac:dyDescent="0.45">
      <c r="A706" s="5" t="str">
        <f>IF(B706="","",ROWS($A$13:A706))</f>
        <v/>
      </c>
    </row>
    <row r="707" spans="1:1" x14ac:dyDescent="0.45">
      <c r="A707" s="5" t="str">
        <f>IF(B707="","",ROWS($A$13:A707))</f>
        <v/>
      </c>
    </row>
    <row r="708" spans="1:1" x14ac:dyDescent="0.45">
      <c r="A708" s="5" t="str">
        <f>IF(B708="","",ROWS($A$13:A708))</f>
        <v/>
      </c>
    </row>
    <row r="709" spans="1:1" x14ac:dyDescent="0.45">
      <c r="A709" s="5" t="str">
        <f>IF(B709="","",ROWS($A$13:A709))</f>
        <v/>
      </c>
    </row>
  </sheetData>
  <autoFilter ref="B12:N709" xr:uid="{00000000-0009-0000-0000-000002000000}"/>
  <mergeCells count="1">
    <mergeCell ref="H10:K10"/>
  </mergeCells>
  <conditionalFormatting sqref="A13:N427">
    <cfRule type="expression" dxfId="36" priority="2">
      <formula>AND($A13&lt;&gt;"",ISEVEN($A13))</formula>
    </cfRule>
    <cfRule type="expression" dxfId="35" priority="3">
      <formula>$A13&lt;&gt;""</formula>
    </cfRule>
  </conditionalFormatting>
  <conditionalFormatting sqref="C13:C427">
    <cfRule type="duplicateValues" dxfId="34" priority="21"/>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INDIRECT(Info!$B$5)</xm:f>
          </x14:formula1>
          <xm:sqref>E13:E166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Cong">
    <tabColor rgb="FFC00000"/>
  </sheetPr>
  <dimension ref="A1:Z46"/>
  <sheetViews>
    <sheetView showGridLines="0" topLeftCell="A3" workbookViewId="0">
      <selection activeCell="H15" sqref="H15"/>
    </sheetView>
  </sheetViews>
  <sheetFormatPr defaultRowHeight="14.25" x14ac:dyDescent="0.45"/>
  <cols>
    <col min="1" max="1" width="9.1328125" style="5"/>
    <col min="2" max="2" width="24.265625" customWidth="1"/>
    <col min="3" max="3" width="12.265625" bestFit="1" customWidth="1"/>
    <col min="4" max="4" width="6.1328125" customWidth="1"/>
    <col min="5" max="16" width="5.59765625" style="15" customWidth="1"/>
    <col min="17" max="17" width="4.73046875" customWidth="1"/>
    <col min="18" max="20" width="5.265625" customWidth="1"/>
    <col min="21" max="21" width="10.59765625" customWidth="1"/>
    <col min="23" max="26" width="10.73046875" customWidth="1"/>
  </cols>
  <sheetData>
    <row r="1" spans="1:26" hidden="1" x14ac:dyDescent="0.45">
      <c r="A1" s="591" t="s">
        <v>98</v>
      </c>
      <c r="B1" s="155"/>
      <c r="C1" s="155">
        <f>Danh_Sach!C10</f>
        <v>0</v>
      </c>
      <c r="D1" s="155">
        <f>MAX(A:A)</f>
        <v>2</v>
      </c>
      <c r="E1" s="156"/>
      <c r="F1" s="156"/>
      <c r="G1" s="156"/>
      <c r="H1" s="156"/>
      <c r="I1" s="156"/>
      <c r="J1" s="156"/>
      <c r="K1" s="156"/>
      <c r="L1" s="156"/>
      <c r="M1" s="156"/>
      <c r="N1" s="156"/>
      <c r="O1" s="156"/>
      <c r="P1" s="156"/>
      <c r="Q1" s="155"/>
      <c r="R1" s="155"/>
      <c r="S1" s="155"/>
      <c r="T1" s="156" t="s">
        <v>22</v>
      </c>
      <c r="U1" s="156">
        <v>11</v>
      </c>
    </row>
    <row r="2" spans="1:26" hidden="1" x14ac:dyDescent="0.45">
      <c r="A2" s="591"/>
      <c r="B2" s="155"/>
      <c r="C2" s="155"/>
      <c r="D2" s="155"/>
      <c r="E2" s="156"/>
      <c r="F2" s="156"/>
      <c r="G2" s="156"/>
      <c r="H2" s="156"/>
      <c r="I2" s="156"/>
      <c r="J2" s="156"/>
      <c r="K2" s="156"/>
      <c r="L2" s="156"/>
      <c r="M2" s="156"/>
      <c r="N2" s="156"/>
      <c r="O2" s="156"/>
      <c r="P2" s="156"/>
      <c r="Q2" s="155"/>
      <c r="R2" s="155"/>
      <c r="S2" s="155"/>
      <c r="T2" s="156" t="s">
        <v>23</v>
      </c>
      <c r="U2" s="156">
        <v>1</v>
      </c>
    </row>
    <row r="3" spans="1:26" x14ac:dyDescent="0.45">
      <c r="A3" s="591"/>
      <c r="B3" s="85" t="s">
        <v>21</v>
      </c>
      <c r="C3" s="159" t="s">
        <v>22</v>
      </c>
      <c r="D3" s="76"/>
      <c r="E3" s="77"/>
      <c r="F3" s="78"/>
      <c r="G3" s="78"/>
      <c r="H3" s="78"/>
      <c r="I3" s="78"/>
      <c r="J3" s="78"/>
      <c r="K3" s="78"/>
      <c r="L3" s="78"/>
      <c r="M3" s="78"/>
      <c r="N3" s="78"/>
      <c r="O3" s="78"/>
      <c r="P3" s="78"/>
      <c r="Q3" s="79"/>
      <c r="R3" s="80"/>
      <c r="S3" s="100" t="s">
        <v>68</v>
      </c>
      <c r="T3" s="101" t="str">
        <f>"Cham_Cong!B10:U"&amp;MAX(A:A)+9</f>
        <v>Cham_Cong!B10:U11</v>
      </c>
      <c r="U3" s="172"/>
      <c r="V3" s="80"/>
      <c r="W3" s="19"/>
      <c r="X3" s="19"/>
      <c r="Y3" s="19"/>
    </row>
    <row r="4" spans="1:26" x14ac:dyDescent="0.45">
      <c r="A4" s="591"/>
      <c r="B4" s="79"/>
      <c r="C4" s="79"/>
      <c r="D4" s="79"/>
      <c r="E4" s="78"/>
      <c r="F4" s="78"/>
      <c r="G4" s="78"/>
      <c r="H4" s="78"/>
      <c r="I4" s="78"/>
      <c r="J4" s="78"/>
      <c r="K4" s="78"/>
      <c r="L4" s="78"/>
      <c r="M4" s="78"/>
      <c r="N4" s="78"/>
      <c r="O4" s="78"/>
      <c r="P4" s="78"/>
      <c r="Q4" s="79"/>
      <c r="R4" s="80"/>
      <c r="S4" s="100" t="s">
        <v>73</v>
      </c>
      <c r="T4" s="101" t="s">
        <v>206</v>
      </c>
      <c r="U4" s="172"/>
      <c r="V4" s="80"/>
      <c r="W4" s="19"/>
      <c r="X4" s="19"/>
      <c r="Y4" s="19"/>
    </row>
    <row r="5" spans="1:26" s="3" customFormat="1" ht="21.75" customHeight="1" x14ac:dyDescent="0.45">
      <c r="A5" s="591"/>
      <c r="B5" s="81"/>
      <c r="C5" s="81"/>
      <c r="D5" s="81"/>
      <c r="E5" s="82"/>
      <c r="F5" s="82">
        <v>11</v>
      </c>
      <c r="G5" s="82"/>
      <c r="H5" s="134"/>
      <c r="I5" s="134"/>
      <c r="J5" s="134"/>
      <c r="K5" s="134"/>
      <c r="L5" s="134"/>
      <c r="M5" s="82"/>
      <c r="N5" s="82"/>
      <c r="O5" s="82"/>
      <c r="P5" s="82"/>
      <c r="Q5" s="81"/>
      <c r="R5" s="83"/>
      <c r="S5" s="100" t="s">
        <v>74</v>
      </c>
      <c r="T5" s="101" t="str">
        <f>"Cham_Cong!B10:B"&amp;MAX(A:A)+9</f>
        <v>Cham_Cong!B10:B11</v>
      </c>
      <c r="U5" s="173"/>
      <c r="V5" s="83"/>
      <c r="W5" s="24"/>
      <c r="X5" s="24"/>
      <c r="Y5" s="24"/>
    </row>
    <row r="6" spans="1:26" x14ac:dyDescent="0.45">
      <c r="A6" s="591"/>
      <c r="B6" s="79"/>
      <c r="C6" s="79"/>
      <c r="D6" s="79"/>
      <c r="E6" s="78"/>
      <c r="F6" s="78"/>
      <c r="G6" s="78"/>
      <c r="H6" s="78"/>
      <c r="I6" s="78"/>
      <c r="J6" s="78"/>
      <c r="K6" s="78"/>
      <c r="L6" s="78"/>
      <c r="M6" s="78"/>
      <c r="N6" s="78"/>
      <c r="O6" s="78"/>
      <c r="P6" s="78"/>
      <c r="Q6" s="79"/>
      <c r="R6" s="80"/>
      <c r="S6" s="80"/>
      <c r="T6" s="80"/>
      <c r="U6" s="80"/>
      <c r="V6" s="80"/>
      <c r="W6" s="19"/>
      <c r="X6" s="19"/>
      <c r="Y6" s="19"/>
    </row>
    <row r="7" spans="1:26" x14ac:dyDescent="0.45">
      <c r="A7" s="591"/>
      <c r="B7" s="79"/>
      <c r="C7" s="79"/>
      <c r="D7" s="84" t="s">
        <v>99</v>
      </c>
      <c r="E7" s="78">
        <f>NETWORKDAYS.INTL(DATE(Danh_Sach!$B$4,E$8,1),EOMONTH(DATE(Danh_Sach!$B$4,E$8,1),0),VLOOKUP($C$3,$T$1:$U$2,2,0))</f>
        <v>26</v>
      </c>
      <c r="F7" s="78">
        <f>NETWORKDAYS.INTL(DATE(Danh_Sach!$B$4,F$8,1),EOMONTH(DATE(Danh_Sach!$B$4,F$8,1),0),VLOOKUP($C$3,$T$1:$U$2,2,0))</f>
        <v>24</v>
      </c>
      <c r="G7" s="78">
        <f>NETWORKDAYS.INTL(DATE(Danh_Sach!$B$4,G$8,1),EOMONTH(DATE(Danh_Sach!$B$4,G$8,1),0),VLOOKUP($C$3,$T$1:$U$2,2,0))</f>
        <v>27</v>
      </c>
      <c r="H7" s="78">
        <f>NETWORKDAYS.INTL(DATE(Danh_Sach!$B$4,H$8,1),EOMONTH(DATE(Danh_Sach!$B$4,H$8,1),0),VLOOKUP($C$3,$T$1:$U$2,2,0))</f>
        <v>25</v>
      </c>
      <c r="I7" s="78">
        <f>NETWORKDAYS.INTL(DATE(Danh_Sach!$B$4,I$8,1),EOMONTH(DATE(Danh_Sach!$B$4,I$8,1),0),VLOOKUP($C$3,$T$1:$U$2,2,0))</f>
        <v>27</v>
      </c>
      <c r="J7" s="78">
        <f>NETWORKDAYS.INTL(DATE(Danh_Sach!$B$4,J$8,1),EOMONTH(DATE(Danh_Sach!$B$4,J$8,1),0),VLOOKUP($C$3,$T$1:$U$2,2,0))</f>
        <v>26</v>
      </c>
      <c r="K7" s="78">
        <f>NETWORKDAYS.INTL(DATE(Danh_Sach!$B$4,K$8,1),EOMONTH(DATE(Danh_Sach!$B$4,K$8,1),0),VLOOKUP($C$3,$T$1:$U$2,2,0))</f>
        <v>26</v>
      </c>
      <c r="L7" s="78">
        <f>NETWORKDAYS.INTL(DATE(Danh_Sach!$B$4,L$8,1),EOMONTH(DATE(Danh_Sach!$B$4,L$8,1),0),VLOOKUP($C$3,$T$1:$U$2,2,0))</f>
        <v>27</v>
      </c>
      <c r="M7" s="78">
        <f>NETWORKDAYS.INTL(DATE(Danh_Sach!$B$4,M$8,1),EOMONTH(DATE(Danh_Sach!$B$4,M$8,1),0),VLOOKUP($C$3,$T$1:$U$2,2,0))</f>
        <v>26</v>
      </c>
      <c r="N7" s="78">
        <f>NETWORKDAYS.INTL(DATE(Danh_Sach!$B$4,N$8,1),EOMONTH(DATE(Danh_Sach!$B$4,N$8,1),0),VLOOKUP($C$3,$T$1:$U$2,2,0))</f>
        <v>26</v>
      </c>
      <c r="O7" s="78">
        <f>NETWORKDAYS.INTL(DATE(Danh_Sach!$B$4,O$8,1),EOMONTH(DATE(Danh_Sach!$B$4,O$8,1),0),VLOOKUP($C$3,$T$1:$U$2,2,0))</f>
        <v>26</v>
      </c>
      <c r="P7" s="78">
        <f>NETWORKDAYS.INTL(DATE(Danh_Sach!$B$4,P$8,1),EOMONTH(DATE(Danh_Sach!$B$4,P$8,1),0),VLOOKUP($C$3,$T$1:$U$2,2,0))</f>
        <v>26</v>
      </c>
      <c r="Q7" s="79"/>
      <c r="R7" s="79"/>
      <c r="S7" s="79"/>
      <c r="T7" s="79"/>
      <c r="U7" s="79"/>
      <c r="V7" s="79"/>
      <c r="W7" s="364"/>
    </row>
    <row r="8" spans="1:26" ht="25.5" customHeight="1" x14ac:dyDescent="0.45">
      <c r="A8" s="46" t="s">
        <v>1</v>
      </c>
      <c r="B8" s="47" t="s">
        <v>2</v>
      </c>
      <c r="C8" s="47"/>
      <c r="D8" s="47"/>
      <c r="E8" s="48">
        <v>1</v>
      </c>
      <c r="F8" s="48">
        <v>2</v>
      </c>
      <c r="G8" s="48">
        <v>3</v>
      </c>
      <c r="H8" s="48">
        <v>4</v>
      </c>
      <c r="I8" s="48">
        <v>5</v>
      </c>
      <c r="J8" s="48">
        <v>6</v>
      </c>
      <c r="K8" s="48">
        <v>7</v>
      </c>
      <c r="L8" s="48">
        <v>8</v>
      </c>
      <c r="M8" s="48">
        <v>9</v>
      </c>
      <c r="N8" s="48">
        <v>10</v>
      </c>
      <c r="O8" s="48">
        <v>11</v>
      </c>
      <c r="P8" s="48">
        <v>12</v>
      </c>
      <c r="Q8" s="47"/>
      <c r="R8" s="47"/>
      <c r="S8" s="47"/>
      <c r="T8" s="47"/>
      <c r="U8" s="47"/>
      <c r="V8" s="79"/>
      <c r="W8" s="365" t="s">
        <v>159</v>
      </c>
      <c r="X8" s="365" t="s">
        <v>160</v>
      </c>
      <c r="Y8" s="365" t="s">
        <v>161</v>
      </c>
      <c r="Z8" s="365" t="s">
        <v>162</v>
      </c>
    </row>
    <row r="9" spans="1:26" x14ac:dyDescent="0.45">
      <c r="A9" s="49"/>
      <c r="B9" s="129" t="s">
        <v>36</v>
      </c>
      <c r="C9" s="129" t="s">
        <v>25</v>
      </c>
      <c r="D9" s="129" t="s">
        <v>27</v>
      </c>
      <c r="E9" s="129">
        <f>E8</f>
        <v>1</v>
      </c>
      <c r="F9" s="129">
        <f t="shared" ref="F9:P9" si="0">F8</f>
        <v>2</v>
      </c>
      <c r="G9" s="129">
        <f t="shared" si="0"/>
        <v>3</v>
      </c>
      <c r="H9" s="129">
        <f t="shared" si="0"/>
        <v>4</v>
      </c>
      <c r="I9" s="129">
        <f t="shared" si="0"/>
        <v>5</v>
      </c>
      <c r="J9" s="129">
        <f t="shared" si="0"/>
        <v>6</v>
      </c>
      <c r="K9" s="129">
        <f t="shared" si="0"/>
        <v>7</v>
      </c>
      <c r="L9" s="129">
        <f t="shared" si="0"/>
        <v>8</v>
      </c>
      <c r="M9" s="129">
        <f t="shared" si="0"/>
        <v>9</v>
      </c>
      <c r="N9" s="129">
        <f t="shared" si="0"/>
        <v>10</v>
      </c>
      <c r="O9" s="129">
        <f t="shared" si="0"/>
        <v>11</v>
      </c>
      <c r="P9" s="129">
        <f t="shared" si="0"/>
        <v>12</v>
      </c>
      <c r="Q9" s="129" t="s">
        <v>32</v>
      </c>
      <c r="R9" s="129" t="s">
        <v>33</v>
      </c>
      <c r="S9" s="129" t="s">
        <v>34</v>
      </c>
      <c r="T9" s="129" t="s">
        <v>35</v>
      </c>
      <c r="U9" s="129" t="s">
        <v>201</v>
      </c>
      <c r="V9" s="79"/>
      <c r="W9" s="366">
        <f>COUNTIF(W10:W1000,"&gt;0")</f>
        <v>0</v>
      </c>
      <c r="X9" s="366">
        <f>COUNTIF(X10:X1000,"&gt;0")</f>
        <v>0</v>
      </c>
      <c r="Y9" s="366">
        <f>COUNTIF(Y10:Y1000,"&gt;0")</f>
        <v>0</v>
      </c>
      <c r="Z9" s="366">
        <f>COUNTIF(Z10:Z1000,"&gt;0")</f>
        <v>0</v>
      </c>
    </row>
    <row r="10" spans="1:26" x14ac:dyDescent="0.45">
      <c r="A10" s="5">
        <f>IF(B10="","",ROWS($A$10:A10))</f>
        <v>1</v>
      </c>
      <c r="B10" s="18">
        <f>INDEX(Danh_Sach!$B$13:$N$2994,ROWS($B$10:$Q10),MATCH(B$9,Danh_Sach!$B$12:$N$12,0))</f>
        <v>0</v>
      </c>
      <c r="C10" s="104">
        <f>INDEX(Danh_Sach!$B$13:$N$2994,ROWS($B$10:$Q10),MATCH(C$9,Danh_Sach!$B$12:$N$12,0))</f>
        <v>0</v>
      </c>
      <c r="D10" s="184">
        <f>INDEX(Danh_Sach!$B$13:$N$2994,ROWS($B$10:$Q10),MATCH(D$9,Danh_Sach!$B$12:$N$12,0))</f>
        <v>0</v>
      </c>
      <c r="Q10" s="17" t="str">
        <f>IF(INDEX(Danh_Sach!$B$13:$N$2994,ROWS($B$10:$Q10),MATCH(Q$9,Danh_Sach!$B$12:$N$12,0))=0,"",MONTH(INDEX(Danh_Sach!$B$13:$N$2994,ROWS($B$10:$Q10),MATCH(Q$9,Danh_Sach!$B$12:$N$12,0))))</f>
        <v/>
      </c>
      <c r="R10" s="17" t="str">
        <f>IF(INDEX(Danh_Sach!$B$13:$N$2994,ROWS($B$10:$Q10),MATCH(R$9,Danh_Sach!$B$12:$N$12,0))=0,"",MONTH(INDEX(Danh_Sach!$B$13:$N$2994,ROWS($B$10:$Q10),MATCH(R$9,Danh_Sach!$B$12:$N$12,0))))</f>
        <v/>
      </c>
      <c r="S10" s="17" t="str">
        <f>IF(INDEX(Danh_Sach!$B$13:$N$2994,ROWS($B$10:$Q10),MATCH(S$9,Danh_Sach!$B$12:$N$12,0))=0,"",MONTH(INDEX(Danh_Sach!$B$13:$N$2994,ROWS($B$10:$Q10),MATCH(S$9,Danh_Sach!$B$12:$N$12,0))))</f>
        <v/>
      </c>
      <c r="T10" s="17" t="str">
        <f>IF(INDEX(Danh_Sach!$B$13:$N$2994,ROWS($B$10:$Q10),MATCH(T$9,Danh_Sach!$B$12:$N$12,0))=0,"",MONTH(INDEX(Danh_Sach!$B$13:$N$2994,ROWS($B$10:$Q10),MATCH(T$9,Danh_Sach!$B$12:$N$12,0))))</f>
        <v/>
      </c>
      <c r="U10" s="17">
        <f t="shared" ref="U10:U11" si="1">COUNTIF(E10:P10,"&gt;0")</f>
        <v>0</v>
      </c>
      <c r="V10" s="78" t="e">
        <f>VLOOKUP(U10,Info!$B$16:$D$19,3,1)</f>
        <v>#N/A</v>
      </c>
      <c r="W10" s="366">
        <f>SUM(E10:G10)</f>
        <v>0</v>
      </c>
      <c r="X10" s="366">
        <f>SUM(H10:J10)</f>
        <v>0</v>
      </c>
      <c r="Y10" s="366">
        <f>SUM(K10:M10)</f>
        <v>0</v>
      </c>
      <c r="Z10" s="366">
        <f>SUM(N10:P10)</f>
        <v>0</v>
      </c>
    </row>
    <row r="11" spans="1:26" x14ac:dyDescent="0.45">
      <c r="A11" s="5">
        <f>IF(B11="","",ROWS($A$10:A11))</f>
        <v>2</v>
      </c>
      <c r="B11" s="18">
        <f>INDEX(Danh_Sach!$B$13:$N$2994,ROWS($B$10:$Q11),MATCH(B$9,Danh_Sach!$B$12:$N$12,0))</f>
        <v>0</v>
      </c>
      <c r="C11" s="104">
        <f>INDEX(Danh_Sach!$B$13:$N$2994,ROWS($B$10:$Q11),MATCH(C$9,Danh_Sach!$B$12:$N$12,0))</f>
        <v>0</v>
      </c>
      <c r="D11" s="184">
        <f>INDEX(Danh_Sach!$B$13:$N$2994,ROWS($B$10:$Q11),MATCH(D$9,Danh_Sach!$B$12:$N$12,0))</f>
        <v>0</v>
      </c>
      <c r="Q11" s="17" t="str">
        <f>IF(INDEX(Danh_Sach!$B$13:$N$2994,ROWS($B$10:$Q11),MATCH(Q$9,Danh_Sach!$B$12:$N$12,0))=0,"",MONTH(INDEX(Danh_Sach!$B$13:$N$2994,ROWS($B$10:$Q11),MATCH(Q$9,Danh_Sach!$B$12:$N$12,0))))</f>
        <v/>
      </c>
      <c r="R11" s="17" t="str">
        <f>IF(INDEX(Danh_Sach!$B$13:$N$2994,ROWS($B$10:$Q11),MATCH(R$9,Danh_Sach!$B$12:$N$12,0))=0,"",MONTH(INDEX(Danh_Sach!$B$13:$N$2994,ROWS($B$10:$Q11),MATCH(R$9,Danh_Sach!$B$12:$N$12,0))))</f>
        <v/>
      </c>
      <c r="S11" s="17" t="str">
        <f>IF(INDEX(Danh_Sach!$B$13:$N$2994,ROWS($B$10:$Q11),MATCH(S$9,Danh_Sach!$B$12:$N$12,0))=0,"",MONTH(INDEX(Danh_Sach!$B$13:$N$2994,ROWS($B$10:$Q11),MATCH(S$9,Danh_Sach!$B$12:$N$12,0))))</f>
        <v/>
      </c>
      <c r="T11" s="17" t="str">
        <f>IF(INDEX(Danh_Sach!$B$13:$N$2994,ROWS($B$10:$Q11),MATCH(T$9,Danh_Sach!$B$12:$N$12,0))=0,"",MONTH(INDEX(Danh_Sach!$B$13:$N$2994,ROWS($B$10:$Q11),MATCH(T$9,Danh_Sach!$B$12:$N$12,0))))</f>
        <v/>
      </c>
      <c r="U11" s="17">
        <f t="shared" si="1"/>
        <v>0</v>
      </c>
      <c r="V11" s="78" t="e">
        <f>VLOOKUP(U11,Info!$B$16:$D$19,3,1)</f>
        <v>#N/A</v>
      </c>
      <c r="W11" s="366"/>
      <c r="X11" s="366"/>
      <c r="Y11" s="366"/>
      <c r="Z11" s="366"/>
    </row>
    <row r="12" spans="1:26" x14ac:dyDescent="0.45">
      <c r="B12" s="18"/>
      <c r="C12" s="104"/>
      <c r="D12" s="184"/>
      <c r="Q12" s="17"/>
      <c r="R12" s="17"/>
      <c r="S12" s="17"/>
      <c r="T12" s="17"/>
      <c r="U12" s="17"/>
      <c r="V12" s="78"/>
      <c r="W12" s="366"/>
      <c r="X12" s="366"/>
      <c r="Y12" s="366"/>
      <c r="Z12" s="366"/>
    </row>
    <row r="13" spans="1:26" x14ac:dyDescent="0.45">
      <c r="B13" s="18"/>
      <c r="C13" s="104"/>
      <c r="D13" s="184"/>
      <c r="Q13" s="17"/>
      <c r="R13" s="17"/>
      <c r="S13" s="17"/>
      <c r="T13" s="17"/>
      <c r="U13" s="17"/>
      <c r="V13" s="78"/>
      <c r="W13" s="366"/>
      <c r="X13" s="366"/>
      <c r="Y13" s="366"/>
      <c r="Z13" s="366"/>
    </row>
    <row r="14" spans="1:26" x14ac:dyDescent="0.45">
      <c r="B14" s="18"/>
      <c r="C14" s="104"/>
      <c r="D14" s="184"/>
      <c r="Q14" s="17"/>
      <c r="R14" s="17"/>
      <c r="S14" s="17"/>
      <c r="T14" s="17"/>
      <c r="U14" s="17"/>
      <c r="V14" s="78"/>
      <c r="W14" s="366"/>
      <c r="X14" s="366"/>
      <c r="Y14" s="366"/>
      <c r="Z14" s="366"/>
    </row>
    <row r="15" spans="1:26" x14ac:dyDescent="0.45">
      <c r="B15" s="18"/>
      <c r="C15" s="104"/>
      <c r="D15" s="184"/>
      <c r="Q15" s="17"/>
      <c r="R15" s="17"/>
      <c r="S15" s="17"/>
      <c r="T15" s="17"/>
      <c r="U15" s="17"/>
      <c r="V15" s="78"/>
      <c r="W15" s="366"/>
      <c r="X15" s="366"/>
      <c r="Y15" s="366"/>
      <c r="Z15" s="366"/>
    </row>
    <row r="16" spans="1:26" x14ac:dyDescent="0.45">
      <c r="B16" s="18"/>
      <c r="C16" s="104"/>
      <c r="D16" s="184"/>
      <c r="Q16" s="17"/>
      <c r="R16" s="17"/>
      <c r="S16" s="17"/>
      <c r="T16" s="17"/>
      <c r="U16" s="17"/>
      <c r="V16" s="78"/>
      <c r="W16" s="366"/>
      <c r="X16" s="366"/>
      <c r="Y16" s="366"/>
      <c r="Z16" s="366"/>
    </row>
    <row r="17" spans="2:26" x14ac:dyDescent="0.45">
      <c r="B17" s="18"/>
      <c r="C17" s="104"/>
      <c r="D17" s="184"/>
      <c r="Q17" s="17"/>
      <c r="R17" s="17"/>
      <c r="S17" s="17"/>
      <c r="T17" s="17"/>
      <c r="U17" s="17"/>
      <c r="V17" s="78"/>
      <c r="W17" s="366"/>
      <c r="X17" s="366"/>
      <c r="Y17" s="366"/>
      <c r="Z17" s="366"/>
    </row>
    <row r="18" spans="2:26" x14ac:dyDescent="0.45">
      <c r="B18" s="18"/>
      <c r="C18" s="104"/>
      <c r="D18" s="184"/>
      <c r="Q18" s="17"/>
      <c r="R18" s="17"/>
      <c r="S18" s="17"/>
      <c r="T18" s="17"/>
      <c r="U18" s="17"/>
      <c r="V18" s="78"/>
    </row>
    <row r="19" spans="2:26" x14ac:dyDescent="0.45">
      <c r="B19" s="18"/>
      <c r="C19" s="104"/>
      <c r="D19" s="184"/>
      <c r="Q19" s="17"/>
      <c r="R19" s="17"/>
      <c r="S19" s="17"/>
      <c r="T19" s="17"/>
      <c r="U19" s="17"/>
      <c r="V19" s="78"/>
    </row>
    <row r="20" spans="2:26" x14ac:dyDescent="0.45">
      <c r="B20" s="18"/>
      <c r="C20" s="104"/>
      <c r="D20" s="184"/>
      <c r="Q20" s="17"/>
      <c r="R20" s="17"/>
      <c r="S20" s="17"/>
      <c r="T20" s="17"/>
      <c r="U20" s="17"/>
      <c r="V20" s="78"/>
    </row>
    <row r="21" spans="2:26" x14ac:dyDescent="0.45">
      <c r="B21" s="18"/>
      <c r="C21" s="104"/>
      <c r="D21" s="184"/>
      <c r="Q21" s="17"/>
      <c r="R21" s="17"/>
      <c r="S21" s="17"/>
      <c r="T21" s="17"/>
      <c r="U21" s="17"/>
      <c r="V21" s="78"/>
    </row>
    <row r="22" spans="2:26" x14ac:dyDescent="0.45">
      <c r="B22" s="18"/>
      <c r="C22" s="104"/>
      <c r="D22" s="184"/>
      <c r="Q22" s="17"/>
      <c r="R22" s="17"/>
      <c r="S22" s="17"/>
      <c r="T22" s="17"/>
      <c r="U22" s="17"/>
      <c r="V22" s="78"/>
    </row>
    <row r="23" spans="2:26" x14ac:dyDescent="0.45">
      <c r="B23" s="18"/>
      <c r="C23" s="104"/>
      <c r="D23" s="184"/>
      <c r="Q23" s="17"/>
      <c r="R23" s="17"/>
      <c r="S23" s="17"/>
      <c r="T23" s="17"/>
      <c r="U23" s="17"/>
      <c r="V23" s="78"/>
    </row>
    <row r="24" spans="2:26" x14ac:dyDescent="0.45">
      <c r="B24" s="18"/>
      <c r="C24" s="104"/>
      <c r="D24" s="184"/>
      <c r="Q24" s="17"/>
      <c r="R24" s="17"/>
      <c r="S24" s="17"/>
      <c r="T24" s="17"/>
      <c r="U24" s="17"/>
      <c r="V24" s="78"/>
    </row>
    <row r="25" spans="2:26" x14ac:dyDescent="0.45">
      <c r="B25" s="18"/>
      <c r="C25" s="104"/>
      <c r="D25" s="184"/>
      <c r="Q25" s="17"/>
      <c r="R25" s="17"/>
      <c r="S25" s="17"/>
      <c r="T25" s="17"/>
      <c r="U25" s="17"/>
      <c r="V25" s="78"/>
    </row>
    <row r="26" spans="2:26" x14ac:dyDescent="0.45">
      <c r="B26" s="18"/>
      <c r="C26" s="104"/>
      <c r="D26" s="184"/>
      <c r="Q26" s="17"/>
      <c r="R26" s="17"/>
      <c r="S26" s="17"/>
      <c r="T26" s="17"/>
      <c r="U26" s="17"/>
      <c r="V26" s="78"/>
    </row>
    <row r="27" spans="2:26" x14ac:dyDescent="0.45">
      <c r="B27" s="18"/>
      <c r="C27" s="104"/>
      <c r="D27" s="184"/>
      <c r="Q27" s="17"/>
      <c r="R27" s="17"/>
      <c r="S27" s="17"/>
      <c r="T27" s="17"/>
      <c r="U27" s="17"/>
      <c r="V27" s="78"/>
    </row>
    <row r="28" spans="2:26" x14ac:dyDescent="0.45">
      <c r="B28" s="18"/>
      <c r="C28" s="104"/>
      <c r="D28" s="184"/>
      <c r="Q28" s="17"/>
      <c r="R28" s="17"/>
      <c r="S28" s="17"/>
      <c r="T28" s="17"/>
      <c r="U28" s="17"/>
      <c r="V28" s="78"/>
    </row>
    <row r="29" spans="2:26" x14ac:dyDescent="0.45">
      <c r="B29" s="18"/>
      <c r="C29" s="104"/>
      <c r="D29" s="184"/>
      <c r="Q29" s="17"/>
      <c r="R29" s="17"/>
      <c r="S29" s="17"/>
      <c r="T29" s="17"/>
      <c r="U29" s="17"/>
      <c r="V29" s="78"/>
    </row>
    <row r="30" spans="2:26" x14ac:dyDescent="0.45">
      <c r="B30" s="18"/>
      <c r="C30" s="104"/>
      <c r="D30" s="184"/>
      <c r="Q30" s="17"/>
      <c r="R30" s="17"/>
      <c r="S30" s="17"/>
      <c r="T30" s="17"/>
      <c r="U30" s="17"/>
      <c r="V30" s="78"/>
    </row>
    <row r="31" spans="2:26" x14ac:dyDescent="0.45">
      <c r="B31" s="18"/>
      <c r="C31" s="104"/>
      <c r="D31" s="184"/>
      <c r="Q31" s="17"/>
      <c r="R31" s="17"/>
      <c r="S31" s="17"/>
      <c r="T31" s="17"/>
      <c r="U31" s="17"/>
      <c r="V31" s="78"/>
    </row>
    <row r="32" spans="2:26" x14ac:dyDescent="0.45">
      <c r="B32" s="18"/>
      <c r="C32" s="104"/>
      <c r="D32" s="184"/>
      <c r="Q32" s="17"/>
      <c r="R32" s="17"/>
      <c r="S32" s="17"/>
      <c r="T32" s="17"/>
      <c r="U32" s="17"/>
      <c r="V32" s="78"/>
    </row>
    <row r="33" spans="2:22" x14ac:dyDescent="0.45">
      <c r="B33" s="18"/>
      <c r="C33" s="104"/>
      <c r="D33" s="184"/>
      <c r="Q33" s="17"/>
      <c r="R33" s="17"/>
      <c r="S33" s="17"/>
      <c r="T33" s="17"/>
      <c r="U33" s="17"/>
      <c r="V33" s="78"/>
    </row>
    <row r="34" spans="2:22" x14ac:dyDescent="0.45">
      <c r="B34" s="18"/>
      <c r="C34" s="104"/>
      <c r="D34" s="184"/>
      <c r="Q34" s="17"/>
      <c r="R34" s="17"/>
      <c r="S34" s="17"/>
      <c r="T34" s="17"/>
      <c r="U34" s="17"/>
      <c r="V34" s="78"/>
    </row>
    <row r="35" spans="2:22" x14ac:dyDescent="0.45">
      <c r="B35" s="18"/>
      <c r="C35" s="104"/>
      <c r="D35" s="184"/>
      <c r="Q35" s="17"/>
      <c r="R35" s="17"/>
      <c r="S35" s="17"/>
      <c r="T35" s="17"/>
      <c r="U35" s="17"/>
      <c r="V35" s="78"/>
    </row>
    <row r="36" spans="2:22" x14ac:dyDescent="0.45">
      <c r="B36" s="18"/>
      <c r="C36" s="104"/>
      <c r="D36" s="184"/>
      <c r="Q36" s="17"/>
      <c r="R36" s="17"/>
      <c r="S36" s="17"/>
      <c r="T36" s="17"/>
      <c r="U36" s="17"/>
      <c r="V36" s="78"/>
    </row>
    <row r="37" spans="2:22" x14ac:dyDescent="0.45">
      <c r="B37" s="18"/>
      <c r="C37" s="104"/>
      <c r="D37" s="184"/>
      <c r="Q37" s="17"/>
      <c r="R37" s="17"/>
      <c r="S37" s="17"/>
      <c r="T37" s="17"/>
      <c r="U37" s="17"/>
      <c r="V37" s="78"/>
    </row>
    <row r="38" spans="2:22" x14ac:dyDescent="0.45">
      <c r="B38" s="18"/>
      <c r="C38" s="104"/>
      <c r="D38" s="184"/>
      <c r="Q38" s="17"/>
      <c r="R38" s="17"/>
      <c r="S38" s="17"/>
      <c r="T38" s="17"/>
      <c r="U38" s="17"/>
      <c r="V38" s="78"/>
    </row>
    <row r="39" spans="2:22" x14ac:dyDescent="0.45">
      <c r="B39" s="18"/>
      <c r="C39" s="104"/>
      <c r="D39" s="184"/>
      <c r="Q39" s="17"/>
      <c r="R39" s="17"/>
      <c r="S39" s="17"/>
      <c r="T39" s="17"/>
      <c r="U39" s="17"/>
      <c r="V39" s="78"/>
    </row>
    <row r="40" spans="2:22" x14ac:dyDescent="0.45">
      <c r="B40" s="18"/>
      <c r="C40" s="104"/>
      <c r="D40" s="184"/>
      <c r="Q40" s="17"/>
      <c r="R40" s="17"/>
      <c r="S40" s="17"/>
      <c r="T40" s="17"/>
      <c r="U40" s="17"/>
      <c r="V40" s="78"/>
    </row>
    <row r="41" spans="2:22" x14ac:dyDescent="0.45">
      <c r="B41" s="18"/>
      <c r="C41" s="104"/>
      <c r="D41" s="184"/>
      <c r="Q41" s="17"/>
      <c r="R41" s="17"/>
      <c r="S41" s="17"/>
      <c r="T41" s="17"/>
      <c r="U41" s="17"/>
      <c r="V41" s="78"/>
    </row>
    <row r="42" spans="2:22" x14ac:dyDescent="0.45">
      <c r="B42" s="18"/>
      <c r="C42" s="104"/>
      <c r="D42" s="184"/>
      <c r="Q42" s="17"/>
      <c r="R42" s="17"/>
      <c r="S42" s="17"/>
      <c r="T42" s="17"/>
      <c r="U42" s="17"/>
      <c r="V42" s="78"/>
    </row>
    <row r="43" spans="2:22" x14ac:dyDescent="0.45">
      <c r="B43" s="18"/>
      <c r="C43" s="104"/>
      <c r="D43" s="184"/>
      <c r="Q43" s="17"/>
      <c r="R43" s="17"/>
      <c r="S43" s="17"/>
      <c r="T43" s="17"/>
      <c r="U43" s="17"/>
      <c r="V43" s="78"/>
    </row>
    <row r="44" spans="2:22" x14ac:dyDescent="0.45">
      <c r="B44" s="18"/>
      <c r="C44" s="104"/>
      <c r="D44" s="184"/>
      <c r="Q44" s="17"/>
      <c r="R44" s="17"/>
      <c r="S44" s="17"/>
      <c r="T44" s="17"/>
      <c r="U44" s="17"/>
      <c r="V44" s="78"/>
    </row>
    <row r="45" spans="2:22" x14ac:dyDescent="0.45">
      <c r="B45" s="18"/>
      <c r="C45" s="104"/>
      <c r="D45" s="184"/>
      <c r="Q45" s="17"/>
      <c r="R45" s="17"/>
      <c r="S45" s="17"/>
      <c r="T45" s="17"/>
      <c r="U45" s="17"/>
      <c r="V45" s="78"/>
    </row>
    <row r="46" spans="2:22" x14ac:dyDescent="0.45">
      <c r="B46" s="18"/>
      <c r="C46" s="104"/>
      <c r="D46" s="184"/>
      <c r="Q46" s="17"/>
      <c r="R46" s="17"/>
      <c r="S46" s="17"/>
      <c r="T46" s="17"/>
      <c r="U46" s="17"/>
      <c r="V46" s="78"/>
    </row>
  </sheetData>
  <mergeCells count="1">
    <mergeCell ref="A1:A7"/>
  </mergeCells>
  <phoneticPr fontId="21" type="noConversion"/>
  <conditionalFormatting sqref="E10:P320">
    <cfRule type="expression" dxfId="33" priority="1">
      <formula>AND(E$8&gt;=$S10,E$8&lt;=$T10)</formula>
    </cfRule>
    <cfRule type="expression" dxfId="32" priority="2">
      <formula>AND($R10&lt;&gt;"",$R10&lt;=E$8)</formula>
    </cfRule>
    <cfRule type="expression" dxfId="31" priority="4">
      <formula>AND($Q10&lt;&gt;"",$Q10&gt;E$8)</formula>
    </cfRule>
  </conditionalFormatting>
  <dataValidations count="1">
    <dataValidation type="list" allowBlank="1" showInputMessage="1" showErrorMessage="1" sqref="C3" xr:uid="{00000000-0002-0000-0300-000000000000}">
      <formula1>$T$1:$T$2</formula1>
    </dataValidation>
  </dataValidations>
  <pageMargins left="0.7" right="0.7" top="0.75" bottom="0.75" header="0.3" footer="0.3"/>
  <pageSetup orientation="portrait" r:id="rId1"/>
  <ignoredErrors>
    <ignoredError sqref="W10 X10:Z10" formulaRange="1"/>
  </ignoredErrors>
  <drawing r:id="rId2"/>
  <legacyDrawing r:id="rId3"/>
  <controls>
    <mc:AlternateContent xmlns:mc="http://schemas.openxmlformats.org/markup-compatibility/2006">
      <mc:Choice Requires="x14">
        <control shapeId="7171" r:id="rId4" name="TheoThang">
          <controlPr defaultSize="0" autoLine="0" autoPict="0" r:id="rId5">
            <anchor moveWithCells="1">
              <from>
                <xdr:col>1</xdr:col>
                <xdr:colOff>171450</xdr:colOff>
                <xdr:row>4</xdr:row>
                <xdr:rowOff>85725</xdr:rowOff>
              </from>
              <to>
                <xdr:col>2</xdr:col>
                <xdr:colOff>171450</xdr:colOff>
                <xdr:row>5</xdr:row>
                <xdr:rowOff>95250</xdr:rowOff>
              </to>
            </anchor>
          </controlPr>
        </control>
      </mc:Choice>
      <mc:Fallback>
        <control shapeId="7171" r:id="rId4" name="TheoThang"/>
      </mc:Fallback>
    </mc:AlternateContent>
    <mc:AlternateContent xmlns:mc="http://schemas.openxmlformats.org/markup-compatibility/2006">
      <mc:Choice Requires="x14">
        <control shapeId="7170" r:id="rId6" name="Codinh">
          <controlPr defaultSize="0" autoLine="0" r:id="rId7">
            <anchor moveWithCells="1">
              <from>
                <xdr:col>1</xdr:col>
                <xdr:colOff>171450</xdr:colOff>
                <xdr:row>3</xdr:row>
                <xdr:rowOff>38100</xdr:rowOff>
              </from>
              <to>
                <xdr:col>2</xdr:col>
                <xdr:colOff>166688</xdr:colOff>
                <xdr:row>4</xdr:row>
                <xdr:rowOff>152400</xdr:rowOff>
              </to>
            </anchor>
          </controlPr>
        </control>
      </mc:Choice>
      <mc:Fallback>
        <control shapeId="7170" r:id="rId6" name="Codinh"/>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H">
    <tabColor rgb="FFC00000"/>
  </sheetPr>
  <dimension ref="A1:BE57"/>
  <sheetViews>
    <sheetView showGridLines="0" topLeftCell="A16" workbookViewId="0">
      <selection activeCell="C48" sqref="C48"/>
    </sheetView>
  </sheetViews>
  <sheetFormatPr defaultColWidth="9.1328125" defaultRowHeight="14.25" x14ac:dyDescent="0.45"/>
  <cols>
    <col min="1" max="1" width="9.1328125" style="3" customWidth="1"/>
    <col min="2" max="2" width="22.59765625" style="3" customWidth="1"/>
    <col min="3" max="3" width="14" style="3" customWidth="1"/>
    <col min="4" max="4" width="13.265625" style="3" customWidth="1"/>
    <col min="5" max="16" width="13" style="3" customWidth="1"/>
    <col min="17" max="20" width="6.265625" style="3" hidden="1" customWidth="1"/>
    <col min="21" max="21" width="14.1328125" style="3" customWidth="1"/>
    <col min="22" max="22" width="13" style="3" customWidth="1"/>
    <col min="23" max="23" width="9.1328125" style="3" customWidth="1"/>
    <col min="24" max="25" width="12.265625" style="3" customWidth="1"/>
    <col min="26" max="26" width="12.265625" style="187" customWidth="1"/>
    <col min="27" max="27" width="12.265625" style="3" customWidth="1"/>
    <col min="28" max="28" width="10" style="3" customWidth="1"/>
    <col min="29" max="29" width="6.59765625" style="3" customWidth="1"/>
    <col min="30" max="35" width="14.59765625" style="3" customWidth="1"/>
    <col min="36" max="41" width="13" style="3" customWidth="1"/>
    <col min="42" max="42" width="7.265625" style="3" customWidth="1"/>
    <col min="43" max="45" width="9.1328125" style="3"/>
    <col min="46" max="57" width="13.86328125" style="3" customWidth="1"/>
    <col min="58" max="16384" width="9.1328125" style="3"/>
  </cols>
  <sheetData>
    <row r="1" spans="1:42" ht="17.25" hidden="1" thickBot="1" x14ac:dyDescent="0.5">
      <c r="A1" s="127"/>
      <c r="C1" s="3">
        <f>Danh_Sach!C10</f>
        <v>0</v>
      </c>
      <c r="D1" s="3">
        <f ca="1">MAX(A:A)</f>
        <v>2</v>
      </c>
      <c r="U1" s="246"/>
      <c r="V1" s="246"/>
      <c r="W1" s="247" t="s">
        <v>90</v>
      </c>
      <c r="X1" s="67"/>
      <c r="Y1" s="67"/>
      <c r="Z1" s="216"/>
    </row>
    <row r="2" spans="1:42" ht="24.75" customHeight="1" x14ac:dyDescent="0.45">
      <c r="A2" s="127"/>
      <c r="B2" s="282" t="s">
        <v>263</v>
      </c>
      <c r="C2" s="48"/>
      <c r="D2" s="48"/>
      <c r="E2" s="48"/>
      <c r="F2" s="48"/>
      <c r="G2" s="48"/>
      <c r="H2" s="48"/>
      <c r="I2" s="48"/>
      <c r="J2" s="48"/>
      <c r="K2" s="48"/>
      <c r="L2" s="48"/>
      <c r="M2" s="48"/>
      <c r="N2" s="48"/>
      <c r="O2" s="48"/>
      <c r="P2" s="48"/>
      <c r="AA2" s="282" t="s">
        <v>263</v>
      </c>
      <c r="AB2" s="48"/>
      <c r="AC2" s="48"/>
      <c r="AD2" s="48"/>
      <c r="AE2" s="48"/>
      <c r="AF2" s="48"/>
      <c r="AG2" s="48"/>
      <c r="AH2" s="48"/>
      <c r="AI2" s="48"/>
      <c r="AJ2" s="48"/>
      <c r="AK2" s="48"/>
      <c r="AL2" s="48"/>
      <c r="AM2" s="48"/>
      <c r="AN2" s="48"/>
      <c r="AO2" s="48"/>
    </row>
    <row r="3" spans="1:42" x14ac:dyDescent="0.45">
      <c r="A3" s="127" t="str">
        <f ca="1">"Baohiem!B21:U"&amp;COUNTA(B21:B1000)+20</f>
        <v>Baohiem!B21:U22</v>
      </c>
      <c r="B3" s="68"/>
      <c r="C3" s="68"/>
      <c r="D3" s="68"/>
      <c r="E3" s="367">
        <v>1</v>
      </c>
      <c r="F3" s="367">
        <v>2</v>
      </c>
      <c r="G3" s="367">
        <v>3</v>
      </c>
      <c r="H3" s="367">
        <v>4</v>
      </c>
      <c r="I3" s="367">
        <v>5</v>
      </c>
      <c r="J3" s="367">
        <v>6</v>
      </c>
      <c r="K3" s="367">
        <v>7</v>
      </c>
      <c r="L3" s="367">
        <v>8</v>
      </c>
      <c r="M3" s="367">
        <v>9</v>
      </c>
      <c r="N3" s="367">
        <v>10</v>
      </c>
      <c r="O3" s="367">
        <v>11</v>
      </c>
      <c r="P3" s="367">
        <v>12</v>
      </c>
      <c r="Q3" s="271"/>
      <c r="S3" s="3">
        <v>22</v>
      </c>
      <c r="AA3" s="68"/>
      <c r="AB3" s="68"/>
      <c r="AC3" s="68"/>
      <c r="AD3" s="68">
        <v>1</v>
      </c>
      <c r="AE3" s="68">
        <v>2</v>
      </c>
      <c r="AF3" s="68">
        <v>3</v>
      </c>
      <c r="AG3" s="68">
        <v>4</v>
      </c>
      <c r="AH3" s="68">
        <v>5</v>
      </c>
      <c r="AI3" s="68">
        <v>6</v>
      </c>
      <c r="AJ3" s="68">
        <v>7</v>
      </c>
      <c r="AK3" s="68">
        <v>8</v>
      </c>
      <c r="AL3" s="68">
        <v>9</v>
      </c>
      <c r="AM3" s="68">
        <v>10</v>
      </c>
      <c r="AN3" s="68">
        <v>11</v>
      </c>
      <c r="AO3" s="68">
        <v>12</v>
      </c>
    </row>
    <row r="4" spans="1:42" x14ac:dyDescent="0.45">
      <c r="A4" s="127" t="s">
        <v>224</v>
      </c>
      <c r="B4" s="265"/>
      <c r="C4" s="69"/>
      <c r="D4" s="69" t="s">
        <v>91</v>
      </c>
      <c r="E4" s="263"/>
      <c r="F4" s="263"/>
      <c r="G4" s="263"/>
      <c r="H4" s="263"/>
      <c r="I4" s="263"/>
      <c r="J4" s="263"/>
      <c r="K4" s="263"/>
      <c r="L4" s="263"/>
      <c r="M4" s="263"/>
      <c r="N4" s="263"/>
      <c r="O4" s="263"/>
      <c r="P4" s="263"/>
      <c r="Q4" s="272"/>
      <c r="AA4" s="265"/>
      <c r="AB4" s="69"/>
      <c r="AC4" s="69" t="s">
        <v>91</v>
      </c>
      <c r="AD4" s="263">
        <f>E4</f>
        <v>0</v>
      </c>
      <c r="AE4" s="263">
        <f t="shared" ref="AE4:AO8" si="0">F4</f>
        <v>0</v>
      </c>
      <c r="AF4" s="263">
        <f t="shared" si="0"/>
        <v>0</v>
      </c>
      <c r="AG4" s="263">
        <f t="shared" si="0"/>
        <v>0</v>
      </c>
      <c r="AH4" s="263">
        <f t="shared" si="0"/>
        <v>0</v>
      </c>
      <c r="AI4" s="263">
        <f t="shared" si="0"/>
        <v>0</v>
      </c>
      <c r="AJ4" s="263">
        <f t="shared" si="0"/>
        <v>0</v>
      </c>
      <c r="AK4" s="263">
        <f t="shared" si="0"/>
        <v>0</v>
      </c>
      <c r="AL4" s="263">
        <f t="shared" si="0"/>
        <v>0</v>
      </c>
      <c r="AM4" s="263">
        <f t="shared" si="0"/>
        <v>0</v>
      </c>
      <c r="AN4" s="263">
        <f t="shared" si="0"/>
        <v>0</v>
      </c>
      <c r="AO4" s="263">
        <f t="shared" si="0"/>
        <v>0</v>
      </c>
    </row>
    <row r="5" spans="1:42" x14ac:dyDescent="0.45">
      <c r="A5" s="127" t="str">
        <f ca="1">"BaoHiem!B21:B"&amp;COUNTA(B21:B1000)+20</f>
        <v>BaoHiem!B21:B22</v>
      </c>
      <c r="B5" s="265"/>
      <c r="C5" s="69"/>
      <c r="D5" s="69" t="s">
        <v>92</v>
      </c>
      <c r="E5" s="263"/>
      <c r="F5" s="263"/>
      <c r="G5" s="263"/>
      <c r="H5" s="263"/>
      <c r="I5" s="263"/>
      <c r="J5" s="263"/>
      <c r="K5" s="263"/>
      <c r="L5" s="263"/>
      <c r="M5" s="263"/>
      <c r="N5" s="263"/>
      <c r="O5" s="263"/>
      <c r="P5" s="263"/>
      <c r="Q5" s="272"/>
      <c r="S5" s="3">
        <f t="array" aca="1" ref="S5" ca="1">IFERROR(INDEX($D$21:$D$1902,MATCH(0,COUNTIF($S$4:S4,$D$21:$D$1902&amp;""),0)),"")</f>
        <v>0</v>
      </c>
      <c r="AA5" s="265"/>
      <c r="AB5" s="69"/>
      <c r="AC5" s="69" t="s">
        <v>92</v>
      </c>
      <c r="AD5" s="263">
        <f>E5</f>
        <v>0</v>
      </c>
      <c r="AE5" s="263">
        <f t="shared" si="0"/>
        <v>0</v>
      </c>
      <c r="AF5" s="263">
        <f t="shared" si="0"/>
        <v>0</v>
      </c>
      <c r="AG5" s="263">
        <f t="shared" si="0"/>
        <v>0</v>
      </c>
      <c r="AH5" s="263">
        <f t="shared" si="0"/>
        <v>0</v>
      </c>
      <c r="AI5" s="263">
        <f t="shared" si="0"/>
        <v>0</v>
      </c>
      <c r="AJ5" s="263">
        <f t="shared" si="0"/>
        <v>0</v>
      </c>
      <c r="AK5" s="263">
        <f t="shared" si="0"/>
        <v>0</v>
      </c>
      <c r="AL5" s="263">
        <f t="shared" si="0"/>
        <v>0</v>
      </c>
      <c r="AM5" s="263">
        <f t="shared" si="0"/>
        <v>0</v>
      </c>
      <c r="AN5" s="263">
        <f t="shared" si="0"/>
        <v>0</v>
      </c>
      <c r="AO5" s="263">
        <f t="shared" si="0"/>
        <v>0</v>
      </c>
    </row>
    <row r="6" spans="1:42" x14ac:dyDescent="0.45">
      <c r="A6" s="24"/>
      <c r="B6" s="265"/>
      <c r="C6" s="69"/>
      <c r="D6" s="69" t="s">
        <v>93</v>
      </c>
      <c r="E6" s="263"/>
      <c r="F6" s="263"/>
      <c r="G6" s="263"/>
      <c r="H6" s="263"/>
      <c r="I6" s="263"/>
      <c r="J6" s="263"/>
      <c r="K6" s="263"/>
      <c r="L6" s="263"/>
      <c r="M6" s="263"/>
      <c r="N6" s="263"/>
      <c r="O6" s="263"/>
      <c r="P6" s="263"/>
      <c r="Q6" s="272"/>
      <c r="S6" s="3" t="str">
        <f t="array" aca="1" ref="S6" ca="1">IFERROR(INDEX($D$21:$D$1902,MATCH(0,COUNTIF($S$4:S5,$D$21:$D$1902&amp;""),0)),"")</f>
        <v/>
      </c>
      <c r="AA6" s="265"/>
      <c r="AB6" s="69"/>
      <c r="AC6" s="69" t="s">
        <v>93</v>
      </c>
      <c r="AD6" s="263">
        <f>E6</f>
        <v>0</v>
      </c>
      <c r="AE6" s="263">
        <f t="shared" si="0"/>
        <v>0</v>
      </c>
      <c r="AF6" s="263">
        <f t="shared" si="0"/>
        <v>0</v>
      </c>
      <c r="AG6" s="263">
        <f t="shared" si="0"/>
        <v>0</v>
      </c>
      <c r="AH6" s="263">
        <f t="shared" si="0"/>
        <v>0</v>
      </c>
      <c r="AI6" s="263">
        <f t="shared" si="0"/>
        <v>0</v>
      </c>
      <c r="AJ6" s="263">
        <f t="shared" si="0"/>
        <v>0</v>
      </c>
      <c r="AK6" s="263">
        <f t="shared" si="0"/>
        <v>0</v>
      </c>
      <c r="AL6" s="263">
        <f t="shared" si="0"/>
        <v>0</v>
      </c>
      <c r="AM6" s="263">
        <f t="shared" si="0"/>
        <v>0</v>
      </c>
      <c r="AN6" s="263">
        <f t="shared" si="0"/>
        <v>0</v>
      </c>
      <c r="AO6" s="263">
        <f t="shared" si="0"/>
        <v>0</v>
      </c>
    </row>
    <row r="7" spans="1:42" x14ac:dyDescent="0.45">
      <c r="A7" s="24"/>
      <c r="B7" s="265"/>
      <c r="C7" s="69"/>
      <c r="D7" s="69" t="s">
        <v>94</v>
      </c>
      <c r="E7" s="263"/>
      <c r="F7" s="263"/>
      <c r="G7" s="263"/>
      <c r="H7" s="263"/>
      <c r="I7" s="263"/>
      <c r="J7" s="263"/>
      <c r="K7" s="263"/>
      <c r="L7" s="263"/>
      <c r="M7" s="263"/>
      <c r="N7" s="263"/>
      <c r="O7" s="263"/>
      <c r="P7" s="263"/>
      <c r="Q7" s="272"/>
      <c r="S7" s="3" t="str">
        <f t="array" aca="1" ref="S7" ca="1">IFERROR(INDEX($D$21:$D$1902,MATCH(0,COUNTIF($S$4:S6,$D$21:$D$1902&amp;""),0)),"")</f>
        <v/>
      </c>
      <c r="AA7" s="265"/>
      <c r="AB7" s="69"/>
      <c r="AC7" s="69" t="s">
        <v>94</v>
      </c>
      <c r="AD7" s="263">
        <f>E7</f>
        <v>0</v>
      </c>
      <c r="AE7" s="263">
        <f t="shared" si="0"/>
        <v>0</v>
      </c>
      <c r="AF7" s="263">
        <f t="shared" si="0"/>
        <v>0</v>
      </c>
      <c r="AG7" s="263">
        <f t="shared" si="0"/>
        <v>0</v>
      </c>
      <c r="AH7" s="263">
        <f t="shared" si="0"/>
        <v>0</v>
      </c>
      <c r="AI7" s="263">
        <f t="shared" si="0"/>
        <v>0</v>
      </c>
      <c r="AJ7" s="263">
        <f t="shared" si="0"/>
        <v>0</v>
      </c>
      <c r="AK7" s="263">
        <f t="shared" si="0"/>
        <v>0</v>
      </c>
      <c r="AL7" s="263">
        <f t="shared" si="0"/>
        <v>0</v>
      </c>
      <c r="AM7" s="263">
        <f t="shared" si="0"/>
        <v>0</v>
      </c>
      <c r="AN7" s="263">
        <f t="shared" si="0"/>
        <v>0</v>
      </c>
      <c r="AO7" s="263">
        <f t="shared" si="0"/>
        <v>0</v>
      </c>
    </row>
    <row r="8" spans="1:42" x14ac:dyDescent="0.45">
      <c r="A8" s="24"/>
      <c r="B8" s="267"/>
      <c r="C8" s="69"/>
      <c r="D8" s="69" t="s">
        <v>95</v>
      </c>
      <c r="E8" s="263">
        <f>E7-E6</f>
        <v>0</v>
      </c>
      <c r="F8" s="263">
        <f t="shared" ref="F8:P8" si="1">F7-F6</f>
        <v>0</v>
      </c>
      <c r="G8" s="263">
        <f t="shared" si="1"/>
        <v>0</v>
      </c>
      <c r="H8" s="263">
        <f t="shared" si="1"/>
        <v>0</v>
      </c>
      <c r="I8" s="263">
        <f t="shared" si="1"/>
        <v>0</v>
      </c>
      <c r="J8" s="263">
        <f t="shared" si="1"/>
        <v>0</v>
      </c>
      <c r="K8" s="263">
        <f t="shared" si="1"/>
        <v>0</v>
      </c>
      <c r="L8" s="263">
        <f t="shared" si="1"/>
        <v>0</v>
      </c>
      <c r="M8" s="263">
        <f t="shared" si="1"/>
        <v>0</v>
      </c>
      <c r="N8" s="263">
        <f t="shared" si="1"/>
        <v>0</v>
      </c>
      <c r="O8" s="263">
        <f t="shared" si="1"/>
        <v>0</v>
      </c>
      <c r="P8" s="263">
        <f t="shared" si="1"/>
        <v>0</v>
      </c>
      <c r="Q8" s="273"/>
      <c r="S8" s="3" t="str">
        <f t="array" aca="1" ref="S8" ca="1">IFERROR(INDEX($D$21:$D$1902,MATCH(0,COUNTIF($S$4:S7,$D$21:$D$1902&amp;""),0)),"")</f>
        <v/>
      </c>
      <c r="AA8" s="267"/>
      <c r="AB8" s="69"/>
      <c r="AC8" s="69" t="s">
        <v>95</v>
      </c>
      <c r="AD8" s="263">
        <f>E8</f>
        <v>0</v>
      </c>
      <c r="AE8" s="263">
        <f t="shared" si="0"/>
        <v>0</v>
      </c>
      <c r="AF8" s="263">
        <f t="shared" si="0"/>
        <v>0</v>
      </c>
      <c r="AG8" s="263">
        <f t="shared" si="0"/>
        <v>0</v>
      </c>
      <c r="AH8" s="263">
        <f t="shared" si="0"/>
        <v>0</v>
      </c>
      <c r="AI8" s="263">
        <f t="shared" si="0"/>
        <v>0</v>
      </c>
      <c r="AJ8" s="263">
        <f t="shared" si="0"/>
        <v>0</v>
      </c>
      <c r="AK8" s="263">
        <f t="shared" si="0"/>
        <v>0</v>
      </c>
      <c r="AL8" s="263">
        <f t="shared" si="0"/>
        <v>0</v>
      </c>
      <c r="AM8" s="263">
        <f t="shared" si="0"/>
        <v>0</v>
      </c>
      <c r="AN8" s="263">
        <f t="shared" si="0"/>
        <v>0</v>
      </c>
      <c r="AO8" s="263">
        <f t="shared" si="0"/>
        <v>0</v>
      </c>
    </row>
    <row r="9" spans="1:42" x14ac:dyDescent="0.45">
      <c r="A9" s="127"/>
      <c r="B9" s="268"/>
      <c r="C9" s="268"/>
      <c r="D9" s="269"/>
      <c r="E9" s="68"/>
      <c r="F9" s="68"/>
      <c r="G9" s="68"/>
      <c r="H9" s="68"/>
      <c r="I9" s="68"/>
      <c r="J9" s="68"/>
      <c r="K9" s="68"/>
      <c r="L9" s="68"/>
      <c r="M9" s="68"/>
      <c r="N9" s="68"/>
      <c r="O9" s="68"/>
      <c r="P9" s="68"/>
      <c r="Q9" s="274"/>
      <c r="S9" s="3" t="str">
        <f t="array" aca="1" ref="S9" ca="1">IFERROR(INDEX($D$21:$D$1902,MATCH(0,COUNTIF($S$4:S8,$D$21:$D$1902&amp;""),0)),"")</f>
        <v/>
      </c>
      <c r="AA9" s="268"/>
      <c r="AB9" s="268"/>
      <c r="AC9" s="269"/>
      <c r="AD9" s="68"/>
      <c r="AE9" s="68"/>
      <c r="AF9" s="68"/>
      <c r="AG9" s="68"/>
      <c r="AH9" s="68"/>
      <c r="AI9" s="68"/>
      <c r="AJ9" s="68"/>
      <c r="AK9" s="68"/>
      <c r="AL9" s="68"/>
      <c r="AM9" s="68"/>
      <c r="AN9" s="68"/>
      <c r="AO9" s="68"/>
    </row>
    <row r="10" spans="1:42" x14ac:dyDescent="0.45">
      <c r="A10" s="127"/>
      <c r="B10" s="265"/>
      <c r="C10" s="270"/>
      <c r="D10" s="266"/>
      <c r="E10" s="68"/>
      <c r="F10" s="68"/>
      <c r="G10" s="68"/>
      <c r="H10" s="68"/>
      <c r="I10" s="68"/>
      <c r="J10" s="68"/>
      <c r="K10" s="68"/>
      <c r="L10" s="68"/>
      <c r="M10" s="68"/>
      <c r="N10" s="68"/>
      <c r="O10" s="68"/>
      <c r="P10" s="68"/>
      <c r="Q10" s="272"/>
      <c r="S10" s="3" t="str">
        <f t="array" aca="1" ref="S10" ca="1">IFERROR(INDEX($D$21:$D$1902,MATCH(0,COUNTIF($S$4:S9,$D$21:$D$1902&amp;""),0)),"")</f>
        <v/>
      </c>
      <c r="AA10" s="265"/>
      <c r="AB10" s="270"/>
      <c r="AC10" s="266"/>
      <c r="AD10" s="68"/>
      <c r="AE10" s="68"/>
      <c r="AF10" s="68"/>
      <c r="AG10" s="68"/>
      <c r="AH10" s="68"/>
      <c r="AI10" s="68"/>
      <c r="AJ10" s="68"/>
      <c r="AK10" s="68"/>
      <c r="AL10" s="68"/>
      <c r="AM10" s="68"/>
      <c r="AN10" s="68"/>
      <c r="AO10" s="68"/>
    </row>
    <row r="11" spans="1:42" x14ac:dyDescent="0.45">
      <c r="A11" s="127"/>
      <c r="B11" s="265"/>
      <c r="C11" s="270"/>
      <c r="D11" s="266"/>
      <c r="E11" s="68"/>
      <c r="F11" s="68"/>
      <c r="G11" s="68"/>
      <c r="H11" s="68"/>
      <c r="I11" s="68"/>
      <c r="J11" s="68"/>
      <c r="K11" s="68"/>
      <c r="L11" s="68"/>
      <c r="M11" s="68"/>
      <c r="N11" s="68"/>
      <c r="O11" s="68"/>
      <c r="P11" s="68"/>
      <c r="Q11" s="272"/>
      <c r="AA11" s="265"/>
      <c r="AB11" s="270"/>
      <c r="AC11" s="266"/>
      <c r="AD11" s="68"/>
      <c r="AE11" s="68"/>
      <c r="AF11" s="68"/>
      <c r="AG11" s="68"/>
      <c r="AH11" s="68"/>
      <c r="AI11" s="68"/>
      <c r="AJ11" s="68"/>
      <c r="AK11" s="68"/>
      <c r="AL11" s="68"/>
      <c r="AM11" s="68"/>
      <c r="AN11" s="68"/>
      <c r="AO11" s="68"/>
    </row>
    <row r="12" spans="1:42" x14ac:dyDescent="0.45">
      <c r="B12" s="265"/>
      <c r="C12" s="270"/>
      <c r="D12" s="266"/>
      <c r="E12" s="68"/>
      <c r="F12" s="68"/>
      <c r="G12" s="68"/>
      <c r="H12" s="68"/>
      <c r="I12" s="68"/>
      <c r="J12" s="68"/>
      <c r="K12" s="68"/>
      <c r="L12" s="68"/>
      <c r="M12" s="68"/>
      <c r="N12" s="68"/>
      <c r="O12" s="68"/>
      <c r="P12" s="68"/>
      <c r="Q12" s="272"/>
      <c r="AA12" s="265"/>
      <c r="AB12" s="270"/>
      <c r="AC12" s="266"/>
      <c r="AD12" s="68"/>
      <c r="AE12" s="68"/>
      <c r="AF12" s="68"/>
      <c r="AG12" s="68"/>
      <c r="AH12" s="68"/>
      <c r="AI12" s="68"/>
      <c r="AJ12" s="68"/>
      <c r="AK12" s="68"/>
      <c r="AL12" s="68"/>
      <c r="AM12" s="68"/>
      <c r="AN12" s="68"/>
      <c r="AO12" s="68"/>
    </row>
    <row r="13" spans="1:42" x14ac:dyDescent="0.45">
      <c r="B13" s="265"/>
      <c r="C13" s="270"/>
      <c r="D13" s="266"/>
      <c r="E13" s="264">
        <f ca="1">E8-E14</f>
        <v>0</v>
      </c>
      <c r="F13" s="264">
        <f t="shared" ref="F13:P13" ca="1" si="2">F8-F14</f>
        <v>0</v>
      </c>
      <c r="G13" s="264">
        <f t="shared" ca="1" si="2"/>
        <v>0</v>
      </c>
      <c r="H13" s="264">
        <f t="shared" ca="1" si="2"/>
        <v>0</v>
      </c>
      <c r="I13" s="264">
        <f t="shared" ca="1" si="2"/>
        <v>0</v>
      </c>
      <c r="J13" s="264">
        <f t="shared" ca="1" si="2"/>
        <v>0</v>
      </c>
      <c r="K13" s="264">
        <f t="shared" ca="1" si="2"/>
        <v>0</v>
      </c>
      <c r="L13" s="264">
        <f t="shared" ca="1" si="2"/>
        <v>0</v>
      </c>
      <c r="M13" s="264">
        <f t="shared" ca="1" si="2"/>
        <v>0</v>
      </c>
      <c r="N13" s="264">
        <f t="shared" ca="1" si="2"/>
        <v>0</v>
      </c>
      <c r="O13" s="264">
        <f t="shared" ca="1" si="2"/>
        <v>0</v>
      </c>
      <c r="P13" s="264">
        <f t="shared" ca="1" si="2"/>
        <v>0</v>
      </c>
      <c r="Q13" s="272"/>
      <c r="AA13" s="265"/>
      <c r="AB13" s="270"/>
      <c r="AC13" s="266"/>
      <c r="AD13" s="264">
        <f ca="1">AD8-AD14</f>
        <v>0</v>
      </c>
      <c r="AE13" s="264">
        <f t="shared" ref="AE13:AO13" ca="1" si="3">AE8-AE14</f>
        <v>0</v>
      </c>
      <c r="AF13" s="264">
        <f t="shared" ca="1" si="3"/>
        <v>0</v>
      </c>
      <c r="AG13" s="264">
        <f t="shared" ca="1" si="3"/>
        <v>0</v>
      </c>
      <c r="AH13" s="264">
        <f t="shared" ca="1" si="3"/>
        <v>0</v>
      </c>
      <c r="AI13" s="264">
        <f t="shared" ca="1" si="3"/>
        <v>0</v>
      </c>
      <c r="AJ13" s="264">
        <f t="shared" ca="1" si="3"/>
        <v>0</v>
      </c>
      <c r="AK13" s="264">
        <f t="shared" ca="1" si="3"/>
        <v>0</v>
      </c>
      <c r="AL13" s="264">
        <f t="shared" ca="1" si="3"/>
        <v>0</v>
      </c>
      <c r="AM13" s="264">
        <f t="shared" ca="1" si="3"/>
        <v>0</v>
      </c>
      <c r="AN13" s="264">
        <f t="shared" ca="1" si="3"/>
        <v>0</v>
      </c>
      <c r="AO13" s="264">
        <f t="shared" ca="1" si="3"/>
        <v>0</v>
      </c>
    </row>
    <row r="14" spans="1:42" x14ac:dyDescent="0.45">
      <c r="B14" s="277"/>
      <c r="C14" s="277"/>
      <c r="D14" s="278"/>
      <c r="E14" s="279">
        <f ca="1">AD26+AD24</f>
        <v>0</v>
      </c>
      <c r="F14" s="279">
        <f t="shared" ref="F14:P14" ca="1" si="4">AE26+AE24</f>
        <v>0</v>
      </c>
      <c r="G14" s="279">
        <f t="shared" ca="1" si="4"/>
        <v>0</v>
      </c>
      <c r="H14" s="279">
        <f t="shared" ca="1" si="4"/>
        <v>0</v>
      </c>
      <c r="I14" s="279">
        <f t="shared" ca="1" si="4"/>
        <v>0</v>
      </c>
      <c r="J14" s="279">
        <f t="shared" ca="1" si="4"/>
        <v>0</v>
      </c>
      <c r="K14" s="279">
        <f t="shared" ca="1" si="4"/>
        <v>0</v>
      </c>
      <c r="L14" s="279">
        <f t="shared" ca="1" si="4"/>
        <v>0</v>
      </c>
      <c r="M14" s="279">
        <f t="shared" ca="1" si="4"/>
        <v>0</v>
      </c>
      <c r="N14" s="279">
        <f t="shared" ca="1" si="4"/>
        <v>0</v>
      </c>
      <c r="O14" s="279">
        <f t="shared" ca="1" si="4"/>
        <v>0</v>
      </c>
      <c r="P14" s="279">
        <f t="shared" ca="1" si="4"/>
        <v>0</v>
      </c>
      <c r="Q14" s="275"/>
      <c r="AA14" s="277"/>
      <c r="AB14" s="277"/>
      <c r="AC14" s="278"/>
      <c r="AD14" s="279">
        <f ca="1">AD24+AD26</f>
        <v>0</v>
      </c>
      <c r="AE14" s="279">
        <f t="shared" ref="AE14:AO14" ca="1" si="5">AE24+AE26</f>
        <v>0</v>
      </c>
      <c r="AF14" s="279">
        <f t="shared" ca="1" si="5"/>
        <v>0</v>
      </c>
      <c r="AG14" s="279">
        <f t="shared" ca="1" si="5"/>
        <v>0</v>
      </c>
      <c r="AH14" s="279">
        <f t="shared" ca="1" si="5"/>
        <v>0</v>
      </c>
      <c r="AI14" s="279">
        <f t="shared" ca="1" si="5"/>
        <v>0</v>
      </c>
      <c r="AJ14" s="279">
        <f t="shared" ca="1" si="5"/>
        <v>0</v>
      </c>
      <c r="AK14" s="279">
        <f t="shared" ca="1" si="5"/>
        <v>0</v>
      </c>
      <c r="AL14" s="279">
        <f t="shared" ca="1" si="5"/>
        <v>0</v>
      </c>
      <c r="AM14" s="279">
        <f t="shared" ca="1" si="5"/>
        <v>0</v>
      </c>
      <c r="AN14" s="279">
        <f t="shared" ca="1" si="5"/>
        <v>0</v>
      </c>
      <c r="AO14" s="279">
        <f t="shared" ca="1" si="5"/>
        <v>0</v>
      </c>
    </row>
    <row r="15" spans="1:42" ht="15.95" customHeight="1" x14ac:dyDescent="0.45">
      <c r="B15" s="592"/>
      <c r="C15" s="592"/>
      <c r="D15" s="280"/>
      <c r="E15" s="281"/>
      <c r="F15" s="281"/>
      <c r="G15" s="281"/>
      <c r="H15" s="281"/>
      <c r="I15" s="281"/>
      <c r="J15" s="281"/>
      <c r="K15" s="281"/>
      <c r="L15" s="281"/>
      <c r="M15" s="281"/>
      <c r="N15" s="281"/>
      <c r="O15" s="281"/>
      <c r="P15" s="281"/>
      <c r="Q15" s="276"/>
      <c r="AA15" s="592"/>
      <c r="AB15" s="592"/>
      <c r="AC15" s="280"/>
      <c r="AD15" s="281"/>
      <c r="AE15" s="281"/>
      <c r="AF15" s="281"/>
      <c r="AG15" s="281"/>
      <c r="AH15" s="281"/>
      <c r="AI15" s="281"/>
      <c r="AJ15" s="281"/>
      <c r="AK15" s="281"/>
      <c r="AL15" s="281"/>
      <c r="AM15" s="281"/>
      <c r="AN15" s="281"/>
      <c r="AO15" s="281"/>
    </row>
    <row r="16" spans="1:42" ht="16.5" customHeight="1" x14ac:dyDescent="0.45">
      <c r="D16" s="70"/>
      <c r="E16" s="22"/>
      <c r="F16" s="22"/>
      <c r="G16" s="22"/>
      <c r="H16" s="22"/>
      <c r="I16" s="22"/>
      <c r="J16" s="22"/>
      <c r="K16" s="22"/>
      <c r="L16" s="22"/>
      <c r="M16" s="22"/>
      <c r="N16" s="22"/>
      <c r="O16" s="22"/>
      <c r="P16" s="22"/>
      <c r="Q16" s="22"/>
      <c r="Z16"/>
      <c r="AA16"/>
      <c r="AB16"/>
      <c r="AC16"/>
      <c r="AD16"/>
      <c r="AE16"/>
      <c r="AF16"/>
      <c r="AG16"/>
      <c r="AH16"/>
      <c r="AI16"/>
      <c r="AJ16"/>
      <c r="AK16"/>
      <c r="AL16"/>
      <c r="AM16"/>
      <c r="AN16"/>
      <c r="AO16"/>
      <c r="AP16"/>
    </row>
    <row r="17" spans="1:57" ht="19.899999999999999" thickBot="1" x14ac:dyDescent="0.5">
      <c r="A17" s="2" t="s">
        <v>89</v>
      </c>
      <c r="B17" s="2"/>
      <c r="C17" s="2"/>
      <c r="E17" s="110">
        <f>E18-E4</f>
        <v>0</v>
      </c>
      <c r="F17" s="110">
        <f t="shared" ref="F17:P17" si="6">F18-F4</f>
        <v>0</v>
      </c>
      <c r="G17" s="110">
        <f t="shared" si="6"/>
        <v>0</v>
      </c>
      <c r="H17" s="110">
        <f t="shared" si="6"/>
        <v>0</v>
      </c>
      <c r="I17" s="110">
        <f t="shared" si="6"/>
        <v>0</v>
      </c>
      <c r="J17" s="110">
        <f t="shared" si="6"/>
        <v>0</v>
      </c>
      <c r="K17" s="110">
        <f t="shared" si="6"/>
        <v>0</v>
      </c>
      <c r="L17" s="110">
        <f t="shared" si="6"/>
        <v>0</v>
      </c>
      <c r="M17" s="110">
        <f t="shared" si="6"/>
        <v>0</v>
      </c>
      <c r="N17" s="110">
        <f t="shared" si="6"/>
        <v>0</v>
      </c>
      <c r="O17" s="110">
        <f t="shared" si="6"/>
        <v>0</v>
      </c>
      <c r="P17" s="110">
        <f t="shared" si="6"/>
        <v>0</v>
      </c>
      <c r="Q17" s="86"/>
      <c r="R17" s="86"/>
      <c r="S17" s="86"/>
      <c r="T17" s="86"/>
      <c r="U17" s="86"/>
      <c r="V17" s="86"/>
      <c r="W17" s="86"/>
      <c r="Z17"/>
      <c r="AA17"/>
      <c r="AB17"/>
      <c r="AC17"/>
      <c r="AD17"/>
      <c r="AE17"/>
      <c r="AF17"/>
      <c r="AG17"/>
      <c r="AH17"/>
      <c r="AI17"/>
      <c r="AJ17"/>
      <c r="AK17"/>
      <c r="AL17"/>
      <c r="AM17"/>
      <c r="AN17"/>
      <c r="AO17"/>
      <c r="AP17"/>
    </row>
    <row r="18" spans="1:57" ht="39" customHeight="1" thickTop="1" x14ac:dyDescent="0.45">
      <c r="D18" s="560" t="s">
        <v>374</v>
      </c>
      <c r="E18" s="110">
        <f>COUNTIF(E21:E2100,"&gt;0")</f>
        <v>0</v>
      </c>
      <c r="F18" s="110">
        <f t="shared" ref="F18:P18" si="7">COUNTIF(F21:F2100,"&gt;0")</f>
        <v>0</v>
      </c>
      <c r="G18" s="110">
        <f t="shared" si="7"/>
        <v>0</v>
      </c>
      <c r="H18" s="110">
        <f t="shared" si="7"/>
        <v>0</v>
      </c>
      <c r="I18" s="110">
        <f t="shared" si="7"/>
        <v>0</v>
      </c>
      <c r="J18" s="110">
        <f t="shared" si="7"/>
        <v>0</v>
      </c>
      <c r="K18" s="110">
        <f t="shared" si="7"/>
        <v>0</v>
      </c>
      <c r="L18" s="110">
        <f t="shared" si="7"/>
        <v>0</v>
      </c>
      <c r="M18" s="110">
        <f t="shared" si="7"/>
        <v>0</v>
      </c>
      <c r="N18" s="110">
        <f t="shared" si="7"/>
        <v>0</v>
      </c>
      <c r="O18" s="110">
        <f t="shared" si="7"/>
        <v>0</v>
      </c>
      <c r="P18" s="110">
        <f t="shared" si="7"/>
        <v>0</v>
      </c>
      <c r="Q18" s="86"/>
      <c r="R18" s="86"/>
      <c r="S18" s="86"/>
      <c r="T18" s="86"/>
      <c r="U18" s="86"/>
      <c r="V18" s="86"/>
      <c r="W18" s="86"/>
      <c r="Z18"/>
      <c r="AA18"/>
      <c r="AB18"/>
      <c r="AC18"/>
      <c r="AD18"/>
      <c r="AE18"/>
      <c r="AF18"/>
      <c r="AG18"/>
      <c r="AH18"/>
      <c r="AI18"/>
      <c r="AJ18"/>
      <c r="AK18"/>
      <c r="AL18"/>
      <c r="AM18"/>
      <c r="AN18"/>
      <c r="AO18"/>
      <c r="AP18"/>
    </row>
    <row r="19" spans="1:57" ht="20.25" customHeight="1" x14ac:dyDescent="0.45">
      <c r="A19" s="46" t="s">
        <v>1</v>
      </c>
      <c r="B19" s="47" t="s">
        <v>2</v>
      </c>
      <c r="C19" s="47"/>
      <c r="D19" s="46"/>
      <c r="E19" s="48">
        <v>1</v>
      </c>
      <c r="F19" s="48">
        <v>2</v>
      </c>
      <c r="G19" s="48">
        <v>3</v>
      </c>
      <c r="H19" s="48">
        <v>4</v>
      </c>
      <c r="I19" s="48">
        <v>5</v>
      </c>
      <c r="J19" s="48">
        <v>6</v>
      </c>
      <c r="K19" s="48">
        <v>7</v>
      </c>
      <c r="L19" s="48">
        <v>8</v>
      </c>
      <c r="M19" s="48">
        <v>9</v>
      </c>
      <c r="N19" s="48">
        <v>10</v>
      </c>
      <c r="O19" s="48">
        <v>11</v>
      </c>
      <c r="P19" s="48">
        <v>12</v>
      </c>
      <c r="Q19" s="47"/>
      <c r="R19" s="47"/>
      <c r="S19" s="47"/>
      <c r="T19" s="47"/>
      <c r="U19" s="111" t="s">
        <v>166</v>
      </c>
      <c r="V19" s="111" t="s">
        <v>167</v>
      </c>
      <c r="W19" s="183" t="s">
        <v>225</v>
      </c>
      <c r="Z19" s="3"/>
      <c r="AA19" s="252" t="s">
        <v>258</v>
      </c>
      <c r="AB19" s="238"/>
      <c r="AC19" s="238"/>
      <c r="AD19" s="239"/>
      <c r="AE19" s="239"/>
      <c r="AF19" s="239"/>
      <c r="AG19" s="239"/>
      <c r="AH19" s="239"/>
      <c r="AI19" s="239"/>
      <c r="AJ19" s="239"/>
      <c r="AK19" s="239"/>
      <c r="AL19" s="239"/>
      <c r="AM19" s="239"/>
      <c r="AN19" s="239"/>
      <c r="AO19" s="240"/>
      <c r="AP19"/>
      <c r="AQ19"/>
      <c r="AR19"/>
      <c r="AS19"/>
      <c r="AT19"/>
      <c r="AU19"/>
      <c r="AV19"/>
      <c r="AW19"/>
      <c r="AX19"/>
      <c r="AY19"/>
      <c r="AZ19"/>
      <c r="BA19"/>
      <c r="BB19"/>
      <c r="BC19"/>
      <c r="BD19"/>
      <c r="BE19"/>
    </row>
    <row r="20" spans="1:57" ht="15.6" customHeight="1" x14ac:dyDescent="0.45">
      <c r="A20" s="49"/>
      <c r="B20" s="66" t="s">
        <v>36</v>
      </c>
      <c r="C20" s="49" t="s">
        <v>25</v>
      </c>
      <c r="D20" s="49" t="s">
        <v>27</v>
      </c>
      <c r="E20" s="49">
        <f>E19</f>
        <v>1</v>
      </c>
      <c r="F20" s="49">
        <f t="shared" ref="F20:P20" si="8">F19</f>
        <v>2</v>
      </c>
      <c r="G20" s="49">
        <f t="shared" si="8"/>
        <v>3</v>
      </c>
      <c r="H20" s="49">
        <f t="shared" si="8"/>
        <v>4</v>
      </c>
      <c r="I20" s="49">
        <f t="shared" si="8"/>
        <v>5</v>
      </c>
      <c r="J20" s="49">
        <f t="shared" si="8"/>
        <v>6</v>
      </c>
      <c r="K20" s="49">
        <f t="shared" si="8"/>
        <v>7</v>
      </c>
      <c r="L20" s="49">
        <f t="shared" si="8"/>
        <v>8</v>
      </c>
      <c r="M20" s="49">
        <f t="shared" si="8"/>
        <v>9</v>
      </c>
      <c r="N20" s="49">
        <f t="shared" si="8"/>
        <v>10</v>
      </c>
      <c r="O20" s="49">
        <f t="shared" si="8"/>
        <v>11</v>
      </c>
      <c r="P20" s="49">
        <f t="shared" si="8"/>
        <v>12</v>
      </c>
      <c r="Q20" s="129" t="s">
        <v>30</v>
      </c>
      <c r="R20" s="129" t="s">
        <v>31</v>
      </c>
      <c r="S20" s="129" t="s">
        <v>34</v>
      </c>
      <c r="T20" s="129" t="s">
        <v>35</v>
      </c>
      <c r="U20" s="110"/>
      <c r="V20" s="49" t="s">
        <v>168</v>
      </c>
      <c r="W20" s="86"/>
      <c r="Z20" s="3"/>
      <c r="AA20" s="227"/>
      <c r="AB20" s="217" t="s">
        <v>260</v>
      </c>
      <c r="AC20" s="217" t="s">
        <v>259</v>
      </c>
      <c r="AD20" s="228">
        <v>1</v>
      </c>
      <c r="AE20" s="228">
        <v>2</v>
      </c>
      <c r="AF20" s="228">
        <v>3</v>
      </c>
      <c r="AG20" s="228">
        <v>4</v>
      </c>
      <c r="AH20" s="228">
        <v>5</v>
      </c>
      <c r="AI20" s="228">
        <v>6</v>
      </c>
      <c r="AJ20" s="228">
        <v>7</v>
      </c>
      <c r="AK20" s="228">
        <v>8</v>
      </c>
      <c r="AL20" s="228">
        <v>9</v>
      </c>
      <c r="AM20" s="228">
        <v>10</v>
      </c>
      <c r="AN20" s="228">
        <v>11</v>
      </c>
      <c r="AO20" s="229">
        <v>12</v>
      </c>
      <c r="AP20"/>
      <c r="AQ20"/>
      <c r="AR20"/>
      <c r="AS20"/>
      <c r="AT20"/>
      <c r="AU20"/>
      <c r="AV20"/>
      <c r="AW20"/>
      <c r="AX20"/>
      <c r="AY20"/>
      <c r="AZ20"/>
      <c r="BA20"/>
      <c r="BB20"/>
      <c r="BC20"/>
      <c r="BD20"/>
      <c r="BE20"/>
    </row>
    <row r="21" spans="1:57" x14ac:dyDescent="0.45">
      <c r="A21" s="5">
        <f ca="1">IF(B21="","",ROWS($A$21:A21))</f>
        <v>1</v>
      </c>
      <c r="B21" s="3">
        <f ca="1">INDEX(INDIRECT(Danh_Sach!$N$1),ROWS($B$21:$B21),MATCH(B$20,INDIRECT(Danh_Sach!$N$2),0))</f>
        <v>0</v>
      </c>
      <c r="C21" s="5">
        <f ca="1">INDEX(INDIRECT(Danh_Sach!$N$1),ROWS($B$21:$B21),MATCH(C$20,INDIRECT(Danh_Sach!$N$2),0))</f>
        <v>0</v>
      </c>
      <c r="D21" s="5">
        <f ca="1">INDEX(INDIRECT(Danh_Sach!$N$1),ROWS($B$21:$B21),MATCH(D$20,INDIRECT(Danh_Sach!$N$2),0))</f>
        <v>0</v>
      </c>
      <c r="E21" s="11"/>
      <c r="F21" s="11"/>
      <c r="G21" s="11"/>
      <c r="H21" s="11"/>
      <c r="I21" s="11"/>
      <c r="J21" s="11"/>
      <c r="K21" s="11"/>
      <c r="L21" s="11"/>
      <c r="M21" s="11"/>
      <c r="N21" s="11"/>
      <c r="O21" s="11"/>
      <c r="P21" s="11"/>
      <c r="Q21" s="5" t="str">
        <f ca="1">IF(INDEX(INDIRECT(Danh_Sach!$N$1),ROWS($B$21:$B21),MATCH(Q$20,INDIRECT(Danh_Sach!$N$2),0))=0,"",MONTH(INDEX(INDIRECT(Danh_Sach!$N$1),ROWS($B$21:$B21),MATCH(Q$20,INDIRECT(Danh_Sach!$N$2),0))))</f>
        <v/>
      </c>
      <c r="R21" s="5" t="str">
        <f ca="1">IF(INDEX(INDIRECT(Danh_Sach!$N$1),ROWS($B$21:$B21),MATCH(R$20,INDIRECT(Danh_Sach!$N$2),0))=0,"",MONTH(INDEX(INDIRECT(Danh_Sach!$N$1),ROWS($B$21:$B21),MATCH(R$20,INDIRECT(Danh_Sach!$N$2),0))))</f>
        <v/>
      </c>
      <c r="S21" s="5" t="str">
        <f ca="1">IF(INDEX(INDIRECT(Danh_Sach!$N$1),ROWS($B$21:$B21),MATCH(S$20,INDIRECT(Danh_Sach!$N$2),0))=0,"",MONTH(INDEX(INDIRECT(Danh_Sach!$N$1),ROWS($B$21:$B21),MATCH(S$20,INDIRECT(Danh_Sach!$N$2),0))))</f>
        <v/>
      </c>
      <c r="T21" s="5" t="str">
        <f ca="1">IF(INDEX(INDIRECT(Danh_Sach!$N$1),ROWS($B$21:$B21),MATCH(T$20,INDIRECT(Danh_Sach!$N$2),0))=0,"",MONTH(INDEX(INDIRECT(Danh_Sach!$N$1),ROWS($B$21:$B21),MATCH(T$20,INDIRECT(Danh_Sach!$N$2),0))))</f>
        <v/>
      </c>
      <c r="U21" s="22">
        <f t="shared" ref="U21:U22" si="9">SUM(E21:P21)</f>
        <v>0</v>
      </c>
      <c r="V21" s="11">
        <f t="shared" ref="V21:V22" ca="1" si="10">IF(W21=TRUE,SUM(E21:P21)*1.5%,SUM(E21:P21)*10.5%)</f>
        <v>0</v>
      </c>
      <c r="W21" s="3" t="b">
        <f ca="1">COUNTIF(Info!$C$22:$C$41,BaoHiem!C21)&gt;0</f>
        <v>0</v>
      </c>
      <c r="Z21" s="3"/>
      <c r="AA21" s="230" t="s">
        <v>255</v>
      </c>
      <c r="AB21" s="224">
        <v>0.08</v>
      </c>
      <c r="AC21" s="224">
        <v>0</v>
      </c>
      <c r="AD21" s="22">
        <f ca="1">SUMIFS(E$21:E$3100,$W$21:$W$3100,FALSE)*$AB21+SUMIFS(E$21:E$3100,$W$21:$W$3100,TRUE)*$AC21</f>
        <v>0</v>
      </c>
      <c r="AE21" s="22">
        <f t="shared" ref="AE21:AO22" ca="1" si="11">SUMIFS(F$21:F$3100,$W$21:$W$3100,FALSE)*$AB21+SUMIFS(F$21:F$3100,$W$21:$W$3100,TRUE)*$AC21</f>
        <v>0</v>
      </c>
      <c r="AF21" s="22">
        <f t="shared" ca="1" si="11"/>
        <v>0</v>
      </c>
      <c r="AG21" s="22">
        <f t="shared" ca="1" si="11"/>
        <v>0</v>
      </c>
      <c r="AH21" s="22">
        <f t="shared" ca="1" si="11"/>
        <v>0</v>
      </c>
      <c r="AI21" s="22">
        <f t="shared" ca="1" si="11"/>
        <v>0</v>
      </c>
      <c r="AJ21" s="22">
        <f t="shared" ca="1" si="11"/>
        <v>0</v>
      </c>
      <c r="AK21" s="22">
        <f t="shared" ca="1" si="11"/>
        <v>0</v>
      </c>
      <c r="AL21" s="22">
        <f t="shared" ca="1" si="11"/>
        <v>0</v>
      </c>
      <c r="AM21" s="22">
        <f t="shared" ca="1" si="11"/>
        <v>0</v>
      </c>
      <c r="AN21" s="22">
        <f t="shared" ca="1" si="11"/>
        <v>0</v>
      </c>
      <c r="AO21" s="241">
        <f t="shared" ca="1" si="11"/>
        <v>0</v>
      </c>
      <c r="AP21"/>
      <c r="AQ21"/>
      <c r="AR21"/>
      <c r="AS21"/>
      <c r="AT21"/>
      <c r="AU21"/>
      <c r="AV21"/>
      <c r="AW21"/>
      <c r="AX21"/>
      <c r="AY21"/>
      <c r="AZ21"/>
      <c r="BA21"/>
      <c r="BB21"/>
      <c r="BC21"/>
      <c r="BD21"/>
      <c r="BE21"/>
    </row>
    <row r="22" spans="1:57" x14ac:dyDescent="0.45">
      <c r="A22" s="5">
        <f ca="1">IF(B22="","",ROWS($A$21:A22))</f>
        <v>2</v>
      </c>
      <c r="B22" s="3">
        <f ca="1">INDEX(INDIRECT(Danh_Sach!$N$1),ROWS($B$21:$B22),MATCH(B$20,INDIRECT(Danh_Sach!$N$2),0))</f>
        <v>0</v>
      </c>
      <c r="C22" s="5">
        <f ca="1">INDEX(INDIRECT(Danh_Sach!$N$1),ROWS($B$21:$B22),MATCH(C$20,INDIRECT(Danh_Sach!$N$2),0))</f>
        <v>0</v>
      </c>
      <c r="D22" s="5">
        <f ca="1">INDEX(INDIRECT(Danh_Sach!$N$1),ROWS($B$21:$B22),MATCH(D$20,INDIRECT(Danh_Sach!$N$2),0))</f>
        <v>0</v>
      </c>
      <c r="E22" s="11"/>
      <c r="F22" s="11"/>
      <c r="G22" s="11"/>
      <c r="H22" s="11"/>
      <c r="I22" s="11"/>
      <c r="J22" s="11"/>
      <c r="K22" s="11"/>
      <c r="L22" s="11"/>
      <c r="M22" s="11"/>
      <c r="N22" s="11"/>
      <c r="O22" s="11"/>
      <c r="P22" s="11"/>
      <c r="Q22" s="5" t="str">
        <f ca="1">IF(INDEX(INDIRECT(Danh_Sach!$N$1),ROWS($B$21:$B22),MATCH(Q$20,INDIRECT(Danh_Sach!$N$2),0))=0,"",MONTH(INDEX(INDIRECT(Danh_Sach!$N$1),ROWS($B$21:$B22),MATCH(Q$20,INDIRECT(Danh_Sach!$N$2),0))))</f>
        <v/>
      </c>
      <c r="R22" s="5" t="str">
        <f ca="1">IF(INDEX(INDIRECT(Danh_Sach!$N$1),ROWS($B$21:$B22),MATCH(R$20,INDIRECT(Danh_Sach!$N$2),0))=0,"",MONTH(INDEX(INDIRECT(Danh_Sach!$N$1),ROWS($B$21:$B22),MATCH(R$20,INDIRECT(Danh_Sach!$N$2),0))))</f>
        <v/>
      </c>
      <c r="S22" s="5" t="str">
        <f ca="1">IF(INDEX(INDIRECT(Danh_Sach!$N$1),ROWS($B$21:$B22),MATCH(S$20,INDIRECT(Danh_Sach!$N$2),0))=0,"",MONTH(INDEX(INDIRECT(Danh_Sach!$N$1),ROWS($B$21:$B22),MATCH(S$20,INDIRECT(Danh_Sach!$N$2),0))))</f>
        <v/>
      </c>
      <c r="T22" s="5" t="str">
        <f ca="1">IF(INDEX(INDIRECT(Danh_Sach!$N$1),ROWS($B$21:$B22),MATCH(T$20,INDIRECT(Danh_Sach!$N$2),0))=0,"",MONTH(INDEX(INDIRECT(Danh_Sach!$N$1),ROWS($B$21:$B22),MATCH(T$20,INDIRECT(Danh_Sach!$N$2),0))))</f>
        <v/>
      </c>
      <c r="U22" s="22">
        <f t="shared" si="9"/>
        <v>0</v>
      </c>
      <c r="V22" s="11">
        <f t="shared" ca="1" si="10"/>
        <v>0</v>
      </c>
      <c r="W22" s="3" t="b">
        <f ca="1">COUNTIF(Info!$C$22:$C$41,BaoHiem!C22)&gt;0</f>
        <v>0</v>
      </c>
      <c r="Z22" s="3"/>
      <c r="AA22" s="230" t="s">
        <v>256</v>
      </c>
      <c r="AB22" s="224">
        <v>1.4999999999999999E-2</v>
      </c>
      <c r="AC22" s="224">
        <v>1.4999999999999999E-2</v>
      </c>
      <c r="AD22" s="22">
        <f ca="1">SUMIFS(E$21:E$3100,$W$21:$W$3100,FALSE)*$AB22+SUMIFS(E$21:E$3100,$W$21:$W$3100,TRUE)*$AC22</f>
        <v>0</v>
      </c>
      <c r="AE22" s="22">
        <f t="shared" ca="1" si="11"/>
        <v>0</v>
      </c>
      <c r="AF22" s="22">
        <f t="shared" ca="1" si="11"/>
        <v>0</v>
      </c>
      <c r="AG22" s="22">
        <f t="shared" ca="1" si="11"/>
        <v>0</v>
      </c>
      <c r="AH22" s="22">
        <f t="shared" ca="1" si="11"/>
        <v>0</v>
      </c>
      <c r="AI22" s="22">
        <f t="shared" ca="1" si="11"/>
        <v>0</v>
      </c>
      <c r="AJ22" s="22">
        <f t="shared" ca="1" si="11"/>
        <v>0</v>
      </c>
      <c r="AK22" s="22">
        <f t="shared" ca="1" si="11"/>
        <v>0</v>
      </c>
      <c r="AL22" s="22">
        <f t="shared" ca="1" si="11"/>
        <v>0</v>
      </c>
      <c r="AM22" s="22">
        <f t="shared" ca="1" si="11"/>
        <v>0</v>
      </c>
      <c r="AN22" s="22">
        <f t="shared" ca="1" si="11"/>
        <v>0</v>
      </c>
      <c r="AO22" s="241">
        <f t="shared" ca="1" si="11"/>
        <v>0</v>
      </c>
      <c r="AP22"/>
      <c r="AQ22"/>
      <c r="AR22"/>
      <c r="AS22"/>
      <c r="AT22"/>
      <c r="AU22"/>
      <c r="AV22"/>
      <c r="AW22"/>
      <c r="AX22"/>
      <c r="AY22"/>
      <c r="AZ22"/>
      <c r="BA22"/>
      <c r="BB22"/>
      <c r="BC22"/>
      <c r="BD22"/>
      <c r="BE22"/>
    </row>
    <row r="23" spans="1:57" x14ac:dyDescent="0.45">
      <c r="A23" s="5"/>
      <c r="C23" s="5"/>
      <c r="D23" s="5"/>
      <c r="E23" s="11"/>
      <c r="F23" s="11"/>
      <c r="G23" s="11"/>
      <c r="H23" s="11"/>
      <c r="I23" s="11"/>
      <c r="J23" s="11"/>
      <c r="K23" s="11"/>
      <c r="L23" s="11"/>
      <c r="M23" s="11"/>
      <c r="N23" s="11"/>
      <c r="O23" s="11"/>
      <c r="P23" s="11"/>
      <c r="Q23" s="5"/>
      <c r="R23" s="5"/>
      <c r="S23" s="5"/>
      <c r="T23" s="5"/>
      <c r="U23" s="22"/>
      <c r="V23" s="11"/>
      <c r="Z23" s="3"/>
      <c r="AA23" s="230" t="s">
        <v>257</v>
      </c>
      <c r="AB23" s="224">
        <v>0.01</v>
      </c>
      <c r="AC23" s="224">
        <v>0</v>
      </c>
      <c r="AD23" s="22">
        <f ca="1">SUMIFS(E$21:E$3100,$W$21:$W$3100,FALSE)*$AB$23+SUMIFS(E$21:E$3100,$W$21:$W$3100,TRUE)*$AC23</f>
        <v>0</v>
      </c>
      <c r="AE23" s="22">
        <f t="shared" ref="AE23:AG23" ca="1" si="12">SUMIFS(F$21:F$3100,$W$21:$W$3100,FALSE)*$AB$23+SUMIFS(F$21:F$3100,$W$21:$W$3100,TRUE)*$AC23</f>
        <v>0</v>
      </c>
      <c r="AF23" s="22">
        <f t="shared" ca="1" si="12"/>
        <v>0</v>
      </c>
      <c r="AG23" s="22">
        <f t="shared" ca="1" si="12"/>
        <v>0</v>
      </c>
      <c r="AH23" s="22">
        <f t="shared" ref="AH23" ca="1" si="13">SUMIFS(I$21:I$3100,$W$21:$W$3100,FALSE)*$AB$23+SUMIFS(I$21:I$3100,$W$21:$W$3100,TRUE)*$AC23</f>
        <v>0</v>
      </c>
      <c r="AI23" s="22">
        <f t="shared" ref="AI23" ca="1" si="14">SUMIFS(J$21:J$3100,$W$21:$W$3100,FALSE)*$AB$23+SUMIFS(J$21:J$3100,$W$21:$W$3100,TRUE)*$AC23</f>
        <v>0</v>
      </c>
      <c r="AJ23" s="22">
        <f t="shared" ref="AJ23" ca="1" si="15">SUMIFS(K$21:K$3100,$W$21:$W$3100,FALSE)*$AB$23+SUMIFS(K$21:K$3100,$W$21:$W$3100,TRUE)*$AC23</f>
        <v>0</v>
      </c>
      <c r="AK23" s="22">
        <f t="shared" ref="AK23" ca="1" si="16">SUMIFS(L$21:L$3100,$W$21:$W$3100,FALSE)*$AB$23+SUMIFS(L$21:L$3100,$W$21:$W$3100,TRUE)*$AC23</f>
        <v>0</v>
      </c>
      <c r="AL23" s="22">
        <f t="shared" ref="AL23" ca="1" si="17">SUMIFS(M$21:M$3100,$W$21:$W$3100,FALSE)*$AB$23+SUMIFS(M$21:M$3100,$W$21:$W$3100,TRUE)*$AC23</f>
        <v>0</v>
      </c>
      <c r="AM23" s="22">
        <f t="shared" ref="AM23" ca="1" si="18">SUMIFS(N$21:N$3100,$W$21:$W$3100,FALSE)*$AB$23+SUMIFS(N$21:N$3100,$W$21:$W$3100,TRUE)*$AC23</f>
        <v>0</v>
      </c>
      <c r="AN23" s="22">
        <f t="shared" ref="AN23" ca="1" si="19">SUMIFS(O$21:O$3100,$W$21:$W$3100,FALSE)*$AB$23+SUMIFS(O$21:O$3100,$W$21:$W$3100,TRUE)*$AC23</f>
        <v>0</v>
      </c>
      <c r="AO23" s="22">
        <f t="shared" ref="AO23" ca="1" si="20">SUMIFS(P$21:P$3100,$W$21:$W$3100,FALSE)*$AB$23+SUMIFS(P$21:P$3100,$W$21:$W$3100,TRUE)*$AC23</f>
        <v>0</v>
      </c>
      <c r="AP23"/>
      <c r="AQ23"/>
      <c r="AR23"/>
      <c r="AS23"/>
      <c r="AT23"/>
      <c r="AU23"/>
      <c r="AV23"/>
      <c r="AW23"/>
      <c r="AX23"/>
      <c r="AY23"/>
      <c r="AZ23"/>
      <c r="BA23"/>
      <c r="BB23"/>
      <c r="BC23"/>
      <c r="BD23"/>
      <c r="BE23"/>
    </row>
    <row r="24" spans="1:57" x14ac:dyDescent="0.45">
      <c r="A24" s="5"/>
      <c r="C24" s="5"/>
      <c r="D24" s="5"/>
      <c r="E24" s="11"/>
      <c r="F24" s="11"/>
      <c r="G24" s="11"/>
      <c r="H24" s="11"/>
      <c r="I24" s="11"/>
      <c r="J24" s="11"/>
      <c r="K24" s="11"/>
      <c r="L24" s="11"/>
      <c r="M24" s="11"/>
      <c r="N24" s="11"/>
      <c r="O24" s="11"/>
      <c r="P24" s="11"/>
      <c r="Q24" s="5"/>
      <c r="R24" s="5"/>
      <c r="S24" s="5"/>
      <c r="T24" s="5"/>
      <c r="U24" s="22"/>
      <c r="V24" s="11"/>
      <c r="Z24" s="3"/>
      <c r="AA24" s="242"/>
      <c r="AB24" s="243" t="s">
        <v>220</v>
      </c>
      <c r="AC24" s="243"/>
      <c r="AD24" s="244">
        <f t="shared" ref="AD24:AO24" ca="1" si="21">SUM(AD21:AD23)</f>
        <v>0</v>
      </c>
      <c r="AE24" s="244">
        <f t="shared" ca="1" si="21"/>
        <v>0</v>
      </c>
      <c r="AF24" s="244">
        <f t="shared" ca="1" si="21"/>
        <v>0</v>
      </c>
      <c r="AG24" s="244">
        <f t="shared" ca="1" si="21"/>
        <v>0</v>
      </c>
      <c r="AH24" s="244">
        <f t="shared" ca="1" si="21"/>
        <v>0</v>
      </c>
      <c r="AI24" s="244">
        <f t="shared" ca="1" si="21"/>
        <v>0</v>
      </c>
      <c r="AJ24" s="244">
        <f t="shared" ca="1" si="21"/>
        <v>0</v>
      </c>
      <c r="AK24" s="244">
        <f t="shared" ca="1" si="21"/>
        <v>0</v>
      </c>
      <c r="AL24" s="244">
        <f t="shared" ca="1" si="21"/>
        <v>0</v>
      </c>
      <c r="AM24" s="244">
        <f t="shared" ca="1" si="21"/>
        <v>0</v>
      </c>
      <c r="AN24" s="244">
        <f t="shared" ca="1" si="21"/>
        <v>0</v>
      </c>
      <c r="AO24" s="245">
        <f t="shared" ca="1" si="21"/>
        <v>0</v>
      </c>
      <c r="AP24"/>
      <c r="AQ24"/>
      <c r="AR24"/>
      <c r="AS24"/>
      <c r="AT24"/>
      <c r="AU24"/>
      <c r="AV24"/>
      <c r="AW24"/>
      <c r="AX24"/>
      <c r="AY24"/>
      <c r="AZ24"/>
      <c r="BA24"/>
      <c r="BB24"/>
      <c r="BC24"/>
      <c r="BD24"/>
      <c r="BE24"/>
    </row>
    <row r="25" spans="1:57" x14ac:dyDescent="0.45">
      <c r="A25" s="5"/>
      <c r="C25" s="5"/>
      <c r="D25" s="5"/>
      <c r="E25" s="11"/>
      <c r="F25" s="11"/>
      <c r="G25" s="11"/>
      <c r="H25" s="11"/>
      <c r="I25" s="11"/>
      <c r="J25" s="11"/>
      <c r="K25" s="11"/>
      <c r="L25" s="11"/>
      <c r="M25" s="11"/>
      <c r="N25" s="11"/>
      <c r="O25" s="11"/>
      <c r="P25" s="11"/>
      <c r="Q25" s="5"/>
      <c r="R25" s="5"/>
      <c r="S25" s="5"/>
      <c r="T25" s="5"/>
      <c r="U25" s="22"/>
      <c r="V25" s="11"/>
      <c r="Z25" s="3"/>
      <c r="AP25"/>
      <c r="AQ25"/>
      <c r="AR25"/>
      <c r="AS25"/>
      <c r="AT25"/>
      <c r="AU25"/>
      <c r="AV25"/>
      <c r="AW25"/>
      <c r="AX25"/>
      <c r="AY25"/>
      <c r="AZ25"/>
      <c r="BA25"/>
      <c r="BB25"/>
      <c r="BC25"/>
      <c r="BD25"/>
      <c r="BE25"/>
    </row>
    <row r="26" spans="1:57" x14ac:dyDescent="0.45">
      <c r="A26" s="5"/>
      <c r="C26" s="5"/>
      <c r="D26" s="5"/>
      <c r="E26" s="11"/>
      <c r="F26" s="11"/>
      <c r="G26" s="11"/>
      <c r="H26" s="11"/>
      <c r="I26" s="11"/>
      <c r="J26" s="11"/>
      <c r="K26" s="11"/>
      <c r="L26" s="11"/>
      <c r="M26" s="11"/>
      <c r="N26" s="11"/>
      <c r="O26" s="11"/>
      <c r="P26" s="11"/>
      <c r="Q26" s="5"/>
      <c r="R26" s="5"/>
      <c r="S26" s="5"/>
      <c r="T26" s="5"/>
      <c r="U26" s="22"/>
      <c r="V26" s="11"/>
      <c r="Z26" s="3"/>
      <c r="AA26" s="248" t="s">
        <v>261</v>
      </c>
      <c r="AB26" s="249"/>
      <c r="AC26" s="249"/>
      <c r="AD26" s="250">
        <f ca="1">SUMIFS(AD$28:AD$2800,$AB$28:$AB$2800,"SUM")</f>
        <v>0</v>
      </c>
      <c r="AE26" s="250">
        <f t="shared" ref="AE26:AO26" ca="1" si="22">SUMIFS(AE$28:AE$2800,$AB$28:$AB$2800,"SUM")</f>
        <v>0</v>
      </c>
      <c r="AF26" s="250">
        <f t="shared" ca="1" si="22"/>
        <v>0</v>
      </c>
      <c r="AG26" s="250">
        <f t="shared" ca="1" si="22"/>
        <v>0</v>
      </c>
      <c r="AH26" s="250">
        <f t="shared" ca="1" si="22"/>
        <v>0</v>
      </c>
      <c r="AI26" s="250">
        <f t="shared" ca="1" si="22"/>
        <v>0</v>
      </c>
      <c r="AJ26" s="250">
        <f t="shared" ca="1" si="22"/>
        <v>0</v>
      </c>
      <c r="AK26" s="250">
        <f t="shared" ca="1" si="22"/>
        <v>0</v>
      </c>
      <c r="AL26" s="250">
        <f t="shared" ca="1" si="22"/>
        <v>0</v>
      </c>
      <c r="AM26" s="250">
        <f t="shared" ca="1" si="22"/>
        <v>0</v>
      </c>
      <c r="AN26" s="250">
        <f t="shared" ca="1" si="22"/>
        <v>0</v>
      </c>
      <c r="AO26" s="251">
        <f t="shared" ca="1" si="22"/>
        <v>0</v>
      </c>
      <c r="AP26"/>
      <c r="AQ26"/>
      <c r="AR26"/>
      <c r="AS26"/>
      <c r="AT26"/>
      <c r="AU26"/>
      <c r="AV26"/>
      <c r="AW26"/>
      <c r="AX26"/>
      <c r="AY26"/>
      <c r="AZ26"/>
      <c r="BA26"/>
      <c r="BB26"/>
      <c r="BC26"/>
      <c r="BD26"/>
      <c r="BE26"/>
    </row>
    <row r="27" spans="1:57" x14ac:dyDescent="0.45">
      <c r="A27" s="5"/>
      <c r="C27" s="5"/>
      <c r="D27" s="5"/>
      <c r="E27" s="11"/>
      <c r="F27" s="11"/>
      <c r="G27" s="11"/>
      <c r="H27" s="11"/>
      <c r="I27" s="11"/>
      <c r="J27" s="11"/>
      <c r="K27" s="11"/>
      <c r="L27" s="11"/>
      <c r="M27" s="11"/>
      <c r="N27" s="11"/>
      <c r="O27" s="11"/>
      <c r="P27" s="11"/>
      <c r="Q27" s="5"/>
      <c r="R27" s="5"/>
      <c r="S27" s="5"/>
      <c r="T27" s="5"/>
      <c r="U27" s="22"/>
      <c r="V27" s="11"/>
      <c r="Z27" s="227" t="s">
        <v>156</v>
      </c>
      <c r="AA27" s="227"/>
      <c r="AB27" s="217" t="s">
        <v>260</v>
      </c>
      <c r="AC27" s="217" t="s">
        <v>259</v>
      </c>
      <c r="AD27" s="228">
        <v>1</v>
      </c>
      <c r="AE27" s="228">
        <v>2</v>
      </c>
      <c r="AF27" s="228">
        <v>3</v>
      </c>
      <c r="AG27" s="228">
        <v>4</v>
      </c>
      <c r="AH27" s="228">
        <v>5</v>
      </c>
      <c r="AI27" s="228">
        <v>6</v>
      </c>
      <c r="AJ27" s="228">
        <v>7</v>
      </c>
      <c r="AK27" s="228">
        <v>8</v>
      </c>
      <c r="AL27" s="228">
        <v>9</v>
      </c>
      <c r="AM27" s="228">
        <v>10</v>
      </c>
      <c r="AN27" s="228">
        <v>11</v>
      </c>
      <c r="AO27" s="229">
        <v>12</v>
      </c>
      <c r="AP27" s="24">
        <v>1</v>
      </c>
      <c r="AQ27"/>
      <c r="AR27"/>
      <c r="AS27"/>
      <c r="AT27"/>
      <c r="AU27"/>
      <c r="AV27"/>
      <c r="AW27"/>
      <c r="AX27"/>
      <c r="AY27"/>
      <c r="AZ27"/>
      <c r="BA27"/>
      <c r="BB27"/>
      <c r="BC27"/>
      <c r="BD27"/>
      <c r="BE27"/>
    </row>
    <row r="28" spans="1:57" x14ac:dyDescent="0.45">
      <c r="A28" s="5"/>
      <c r="C28" s="5"/>
      <c r="D28" s="5"/>
      <c r="E28" s="11"/>
      <c r="F28" s="11"/>
      <c r="G28" s="11"/>
      <c r="H28" s="11"/>
      <c r="I28" s="11"/>
      <c r="J28" s="11"/>
      <c r="K28" s="11"/>
      <c r="L28" s="11"/>
      <c r="M28" s="11"/>
      <c r="N28" s="11"/>
      <c r="O28" s="11"/>
      <c r="P28" s="11"/>
      <c r="Q28" s="5"/>
      <c r="R28" s="5"/>
      <c r="S28" s="5"/>
      <c r="T28" s="5"/>
      <c r="U28" s="22"/>
      <c r="V28" s="11"/>
      <c r="Z28" s="261">
        <f ca="1">S5</f>
        <v>0</v>
      </c>
      <c r="AA28" s="231" t="s">
        <v>255</v>
      </c>
      <c r="AB28" s="237">
        <v>0.17499999999999999</v>
      </c>
      <c r="AC28" s="237">
        <v>3.5000000000000003E-2</v>
      </c>
      <c r="AD28" s="232">
        <f ca="1">SUMIFS(E$21:E$3100,$D$21:$D$3100,$Z$28,$W$21:$W$3100,FALSE)*$AB28+SUMIFS(E$21:E$3100,$D$21:$D$3100,$Z$28,$W$21:$W$3100,TRUE)*$AC28</f>
        <v>0</v>
      </c>
      <c r="AE28" s="232">
        <f t="shared" ref="AE28:AO29" ca="1" si="23">SUMIFS(F$21:F$3100,$D$21:$D$3100,$Z$28,$W$21:$W$3100,FALSE)*$AB28+SUMIFS(F$21:F$3100,$D$21:$D$3100,$Z$28,$W$21:$W$3100,TRUE)*$AC28</f>
        <v>0</v>
      </c>
      <c r="AF28" s="232">
        <f t="shared" ca="1" si="23"/>
        <v>0</v>
      </c>
      <c r="AG28" s="232">
        <f t="shared" ca="1" si="23"/>
        <v>0</v>
      </c>
      <c r="AH28" s="232">
        <f t="shared" ca="1" si="23"/>
        <v>0</v>
      </c>
      <c r="AI28" s="232">
        <f t="shared" ca="1" si="23"/>
        <v>0</v>
      </c>
      <c r="AJ28" s="232">
        <f t="shared" ca="1" si="23"/>
        <v>0</v>
      </c>
      <c r="AK28" s="232">
        <f t="shared" ca="1" si="23"/>
        <v>0</v>
      </c>
      <c r="AL28" s="232">
        <f t="shared" ca="1" si="23"/>
        <v>0</v>
      </c>
      <c r="AM28" s="232">
        <f t="shared" ca="1" si="23"/>
        <v>0</v>
      </c>
      <c r="AN28" s="232">
        <f t="shared" ca="1" si="23"/>
        <v>0</v>
      </c>
      <c r="AO28" s="233">
        <f t="shared" ca="1" si="23"/>
        <v>0</v>
      </c>
      <c r="AP28">
        <v>2</v>
      </c>
      <c r="AQ28"/>
      <c r="AR28"/>
      <c r="AS28"/>
      <c r="AT28"/>
      <c r="AU28"/>
      <c r="AV28"/>
      <c r="AW28"/>
      <c r="AX28"/>
      <c r="AY28"/>
      <c r="AZ28"/>
      <c r="BA28"/>
      <c r="BB28"/>
      <c r="BC28"/>
      <c r="BD28"/>
      <c r="BE28"/>
    </row>
    <row r="29" spans="1:57" x14ac:dyDescent="0.45">
      <c r="A29" s="5"/>
      <c r="C29" s="5"/>
      <c r="D29" s="5"/>
      <c r="E29" s="11"/>
      <c r="F29" s="11"/>
      <c r="G29" s="11"/>
      <c r="H29" s="11"/>
      <c r="I29" s="11"/>
      <c r="J29" s="11"/>
      <c r="K29" s="11"/>
      <c r="L29" s="11"/>
      <c r="M29" s="11"/>
      <c r="N29" s="11"/>
      <c r="O29" s="11"/>
      <c r="P29" s="11"/>
      <c r="Q29" s="5"/>
      <c r="R29" s="5"/>
      <c r="S29" s="5"/>
      <c r="T29" s="5"/>
      <c r="U29" s="22"/>
      <c r="V29" s="11"/>
      <c r="Z29" s="262"/>
      <c r="AA29" s="230" t="s">
        <v>256</v>
      </c>
      <c r="AB29" s="224">
        <v>0.03</v>
      </c>
      <c r="AC29" s="224">
        <v>0.03</v>
      </c>
      <c r="AD29" s="234">
        <f ca="1">SUMIFS(E$21:E$3100,$D$21:$D$3100,$Z$28,$W$21:$W$3100,FALSE)*$AB29+SUMIFS(E$21:E$3100,$D$21:$D$3100,$Z$28,$W$21:$W$3100,TRUE)*$AC29</f>
        <v>0</v>
      </c>
      <c r="AE29" s="234">
        <f t="shared" ca="1" si="23"/>
        <v>0</v>
      </c>
      <c r="AF29" s="234">
        <f t="shared" ca="1" si="23"/>
        <v>0</v>
      </c>
      <c r="AG29" s="234">
        <f t="shared" ca="1" si="23"/>
        <v>0</v>
      </c>
      <c r="AH29" s="234">
        <f t="shared" ca="1" si="23"/>
        <v>0</v>
      </c>
      <c r="AI29" s="234">
        <f t="shared" ca="1" si="23"/>
        <v>0</v>
      </c>
      <c r="AJ29" s="234">
        <f t="shared" ca="1" si="23"/>
        <v>0</v>
      </c>
      <c r="AK29" s="234">
        <f t="shared" ca="1" si="23"/>
        <v>0</v>
      </c>
      <c r="AL29" s="234">
        <f t="shared" ca="1" si="23"/>
        <v>0</v>
      </c>
      <c r="AM29" s="234">
        <f t="shared" ca="1" si="23"/>
        <v>0</v>
      </c>
      <c r="AN29" s="234">
        <f t="shared" ca="1" si="23"/>
        <v>0</v>
      </c>
      <c r="AO29" s="235">
        <f t="shared" ca="1" si="23"/>
        <v>0</v>
      </c>
      <c r="AP29" s="24">
        <v>3</v>
      </c>
    </row>
    <row r="30" spans="1:57" x14ac:dyDescent="0.45">
      <c r="A30" s="5"/>
      <c r="C30" s="5"/>
      <c r="D30" s="5"/>
      <c r="E30" s="11"/>
      <c r="F30" s="11"/>
      <c r="G30" s="11"/>
      <c r="H30" s="11"/>
      <c r="I30" s="11"/>
      <c r="J30" s="11"/>
      <c r="K30" s="11"/>
      <c r="L30" s="11"/>
      <c r="M30" s="11"/>
      <c r="N30" s="11"/>
      <c r="O30" s="11"/>
      <c r="P30" s="11"/>
      <c r="Q30" s="5"/>
      <c r="R30" s="5"/>
      <c r="S30" s="5"/>
      <c r="T30" s="5"/>
      <c r="U30" s="22"/>
      <c r="V30" s="11"/>
      <c r="Z30" s="262"/>
      <c r="AA30" s="230" t="s">
        <v>257</v>
      </c>
      <c r="AB30" s="224">
        <v>0.01</v>
      </c>
      <c r="AC30" s="224">
        <v>0</v>
      </c>
      <c r="AD30" s="234">
        <f ca="1">SUMIFS(E$21:E$3100,$D$21:$D$3100,$Z$28,$W$21:$W$3100,FALSE)*$AB$30+SUMIFS(E$21:E$3100,$D$21:$D$3100,$Z$28,$W$21:$W$3100,TRUE)*$AC30</f>
        <v>0</v>
      </c>
      <c r="AE30" s="234">
        <f t="shared" ref="AE30:AG30" ca="1" si="24">SUMIFS(F$21:F$3100,$D$21:$D$3100,$Z$28,$W$21:$W$3100,FALSE)*$AB$30+SUMIFS(F$21:F$3100,$D$21:$D$3100,$Z$28,$W$21:$W$3100,TRUE)*$AC30</f>
        <v>0</v>
      </c>
      <c r="AF30" s="234">
        <f t="shared" ca="1" si="24"/>
        <v>0</v>
      </c>
      <c r="AG30" s="234">
        <f t="shared" ca="1" si="24"/>
        <v>0</v>
      </c>
      <c r="AH30" s="234">
        <f t="shared" ref="AH30" ca="1" si="25">SUMIFS(I$21:I$3100,$D$21:$D$3100,$Z$28,$W$21:$W$3100,FALSE)*$AB$30+SUMIFS(I$21:I$3100,$D$21:$D$3100,$Z$28,$W$21:$W$3100,TRUE)*$AC30</f>
        <v>0</v>
      </c>
      <c r="AI30" s="234">
        <f t="shared" ref="AI30" ca="1" si="26">SUMIFS(J$21:J$3100,$D$21:$D$3100,$Z$28,$W$21:$W$3100,FALSE)*$AB$30+SUMIFS(J$21:J$3100,$D$21:$D$3100,$Z$28,$W$21:$W$3100,TRUE)*$AC30</f>
        <v>0</v>
      </c>
      <c r="AJ30" s="234">
        <f t="shared" ref="AJ30" ca="1" si="27">SUMIFS(K$21:K$3100,$D$21:$D$3100,$Z$28,$W$21:$W$3100,FALSE)*$AB$30+SUMIFS(K$21:K$3100,$D$21:$D$3100,$Z$28,$W$21:$W$3100,TRUE)*$AC30</f>
        <v>0</v>
      </c>
      <c r="AK30" s="234">
        <f t="shared" ref="AK30" ca="1" si="28">SUMIFS(L$21:L$3100,$D$21:$D$3100,$Z$28,$W$21:$W$3100,FALSE)*$AB$30+SUMIFS(L$21:L$3100,$D$21:$D$3100,$Z$28,$W$21:$W$3100,TRUE)*$AC30</f>
        <v>0</v>
      </c>
      <c r="AL30" s="234">
        <f t="shared" ref="AL30" ca="1" si="29">SUMIFS(M$21:M$3100,$D$21:$D$3100,$Z$28,$W$21:$W$3100,FALSE)*$AB$30+SUMIFS(M$21:M$3100,$D$21:$D$3100,$Z$28,$W$21:$W$3100,TRUE)*$AC30</f>
        <v>0</v>
      </c>
      <c r="AM30" s="234">
        <f t="shared" ref="AM30" ca="1" si="30">SUMIFS(N$21:N$3100,$D$21:$D$3100,$Z$28,$W$21:$W$3100,FALSE)*$AB$30+SUMIFS(N$21:N$3100,$D$21:$D$3100,$Z$28,$W$21:$W$3100,TRUE)*$AC30</f>
        <v>0</v>
      </c>
      <c r="AN30" s="234">
        <f t="shared" ref="AN30" ca="1" si="31">SUMIFS(O$21:O$3100,$D$21:$D$3100,$Z$28,$W$21:$W$3100,FALSE)*$AB$30+SUMIFS(O$21:O$3100,$D$21:$D$3100,$Z$28,$W$21:$W$3100,TRUE)*$AC30</f>
        <v>0</v>
      </c>
      <c r="AO30" s="234">
        <f t="shared" ref="AO30" ca="1" si="32">SUMIFS(P$21:P$3100,$D$21:$D$3100,$Z$28,$W$21:$W$3100,FALSE)*$AB$30+SUMIFS(P$21:P$3100,$D$21:$D$3100,$Z$28,$W$21:$W$3100,TRUE)*$AC30</f>
        <v>0</v>
      </c>
      <c r="AP30">
        <v>4</v>
      </c>
    </row>
    <row r="31" spans="1:57" x14ac:dyDescent="0.45">
      <c r="A31" s="5"/>
      <c r="C31" s="5"/>
      <c r="D31" s="5"/>
      <c r="E31" s="11"/>
      <c r="F31" s="11"/>
      <c r="G31" s="11"/>
      <c r="H31" s="11"/>
      <c r="I31" s="11"/>
      <c r="J31" s="11"/>
      <c r="K31" s="11"/>
      <c r="L31" s="11"/>
      <c r="M31" s="11"/>
      <c r="N31" s="11"/>
      <c r="O31" s="11"/>
      <c r="P31" s="11"/>
      <c r="Q31" s="5"/>
      <c r="R31" s="5"/>
      <c r="S31" s="5"/>
      <c r="T31" s="5"/>
      <c r="U31" s="22"/>
      <c r="V31" s="11"/>
      <c r="Z31" s="218"/>
      <c r="AA31" s="218"/>
      <c r="AB31" s="219" t="s">
        <v>220</v>
      </c>
      <c r="AC31" s="219"/>
      <c r="AD31" s="220">
        <f ca="1">SUM(AD28:AD30)</f>
        <v>0</v>
      </c>
      <c r="AE31" s="220">
        <f t="shared" ref="AE31:AO31" ca="1" si="33">SUM(AE28:AE30)</f>
        <v>0</v>
      </c>
      <c r="AF31" s="220">
        <f t="shared" ca="1" si="33"/>
        <v>0</v>
      </c>
      <c r="AG31" s="220">
        <f t="shared" ca="1" si="33"/>
        <v>0</v>
      </c>
      <c r="AH31" s="220">
        <f t="shared" ca="1" si="33"/>
        <v>0</v>
      </c>
      <c r="AI31" s="220">
        <f t="shared" ca="1" si="33"/>
        <v>0</v>
      </c>
      <c r="AJ31" s="220">
        <f t="shared" ca="1" si="33"/>
        <v>0</v>
      </c>
      <c r="AK31" s="220">
        <f t="shared" ca="1" si="33"/>
        <v>0</v>
      </c>
      <c r="AL31" s="220">
        <f t="shared" ca="1" si="33"/>
        <v>0</v>
      </c>
      <c r="AM31" s="220">
        <f t="shared" ca="1" si="33"/>
        <v>0</v>
      </c>
      <c r="AN31" s="220">
        <f t="shared" ca="1" si="33"/>
        <v>0</v>
      </c>
      <c r="AO31" s="221">
        <f t="shared" ca="1" si="33"/>
        <v>0</v>
      </c>
      <c r="AP31" s="24">
        <v>5</v>
      </c>
    </row>
    <row r="32" spans="1:57" x14ac:dyDescent="0.45">
      <c r="A32" s="5"/>
      <c r="C32" s="5"/>
      <c r="D32" s="5"/>
      <c r="E32" s="11"/>
      <c r="F32" s="11"/>
      <c r="G32" s="11"/>
      <c r="H32" s="11"/>
      <c r="I32" s="11"/>
      <c r="J32" s="11"/>
      <c r="K32" s="11"/>
      <c r="L32" s="11"/>
      <c r="M32" s="11"/>
      <c r="N32" s="11"/>
      <c r="O32" s="11"/>
      <c r="P32" s="11"/>
      <c r="Q32" s="5"/>
      <c r="R32" s="5"/>
      <c r="S32" s="5"/>
      <c r="T32" s="5"/>
      <c r="U32" s="22"/>
      <c r="V32" s="11"/>
      <c r="Z32" s="261" t="str">
        <f ca="1">S6</f>
        <v/>
      </c>
      <c r="AA32" s="230" t="s">
        <v>255</v>
      </c>
      <c r="AB32" s="224">
        <v>0.17499999999999999</v>
      </c>
      <c r="AC32" s="224">
        <v>3.5000000000000003E-2</v>
      </c>
      <c r="AD32" s="234">
        <f ca="1">SUMIFS(E$21:E$3100,$D$21:$D$3100,$Z$32,$W$21:$W$3100,FALSE)*$AB32+SUMIFS(E$21:E$3100,$D$21:$D$3100,$Z$32,$W$21:$W$3100,TRUE)*$AC32</f>
        <v>0</v>
      </c>
      <c r="AE32" s="234">
        <f t="shared" ref="AE32:AO34" ca="1" si="34">SUMIFS(F$21:F$3100,$D$21:$D$3100,$Z$32,$W$21:$W$3100,FALSE)*$AB32+SUMIFS(F$21:F$3100,$D$21:$D$3100,$Z$32,$W$21:$W$3100,TRUE)*$AC32</f>
        <v>0</v>
      </c>
      <c r="AF32" s="234">
        <f t="shared" ca="1" si="34"/>
        <v>0</v>
      </c>
      <c r="AG32" s="234">
        <f t="shared" ca="1" si="34"/>
        <v>0</v>
      </c>
      <c r="AH32" s="234">
        <f t="shared" ca="1" si="34"/>
        <v>0</v>
      </c>
      <c r="AI32" s="234">
        <f t="shared" ca="1" si="34"/>
        <v>0</v>
      </c>
      <c r="AJ32" s="234">
        <f t="shared" ca="1" si="34"/>
        <v>0</v>
      </c>
      <c r="AK32" s="234">
        <f t="shared" ca="1" si="34"/>
        <v>0</v>
      </c>
      <c r="AL32" s="234">
        <f t="shared" ca="1" si="34"/>
        <v>0</v>
      </c>
      <c r="AM32" s="234">
        <f t="shared" ca="1" si="34"/>
        <v>0</v>
      </c>
      <c r="AN32" s="234">
        <f t="shared" ca="1" si="34"/>
        <v>0</v>
      </c>
      <c r="AO32" s="235">
        <f t="shared" ca="1" si="34"/>
        <v>0</v>
      </c>
      <c r="AP32">
        <v>6</v>
      </c>
    </row>
    <row r="33" spans="1:42" x14ac:dyDescent="0.45">
      <c r="A33" s="5"/>
      <c r="C33" s="5"/>
      <c r="D33" s="5"/>
      <c r="E33" s="11"/>
      <c r="F33" s="11"/>
      <c r="G33" s="11"/>
      <c r="H33" s="11"/>
      <c r="I33" s="11"/>
      <c r="J33" s="11"/>
      <c r="K33" s="11"/>
      <c r="L33" s="11"/>
      <c r="M33" s="11"/>
      <c r="N33" s="11"/>
      <c r="O33" s="11"/>
      <c r="P33" s="11"/>
      <c r="Q33" s="5"/>
      <c r="R33" s="5"/>
      <c r="S33" s="5"/>
      <c r="T33" s="5"/>
      <c r="U33" s="22"/>
      <c r="V33" s="11"/>
      <c r="Z33" s="262"/>
      <c r="AA33" s="230" t="s">
        <v>256</v>
      </c>
      <c r="AB33" s="224">
        <v>0.03</v>
      </c>
      <c r="AC33" s="224">
        <v>0.03</v>
      </c>
      <c r="AD33" s="234">
        <f ca="1">SUMIFS(E$21:E$3100,$D$21:$D$3100,$Z$32,$W$21:$W$3100,FALSE)*$AB33+SUMIFS(E$21:E$3100,$D$21:$D$3100,$Z$32,$W$21:$W$3100,TRUE)*$AC33</f>
        <v>0</v>
      </c>
      <c r="AE33" s="234">
        <f t="shared" ca="1" si="34"/>
        <v>0</v>
      </c>
      <c r="AF33" s="234">
        <f t="shared" ca="1" si="34"/>
        <v>0</v>
      </c>
      <c r="AG33" s="234">
        <f t="shared" ca="1" si="34"/>
        <v>0</v>
      </c>
      <c r="AH33" s="234">
        <f t="shared" ca="1" si="34"/>
        <v>0</v>
      </c>
      <c r="AI33" s="234">
        <f t="shared" ca="1" si="34"/>
        <v>0</v>
      </c>
      <c r="AJ33" s="234">
        <f t="shared" ca="1" si="34"/>
        <v>0</v>
      </c>
      <c r="AK33" s="234">
        <f t="shared" ca="1" si="34"/>
        <v>0</v>
      </c>
      <c r="AL33" s="234">
        <f t="shared" ca="1" si="34"/>
        <v>0</v>
      </c>
      <c r="AM33" s="234">
        <f t="shared" ca="1" si="34"/>
        <v>0</v>
      </c>
      <c r="AN33" s="234">
        <f t="shared" ca="1" si="34"/>
        <v>0</v>
      </c>
      <c r="AO33" s="235">
        <f t="shared" ca="1" si="34"/>
        <v>0</v>
      </c>
      <c r="AP33" s="24">
        <v>7</v>
      </c>
    </row>
    <row r="34" spans="1:42" x14ac:dyDescent="0.45">
      <c r="A34" s="5"/>
      <c r="C34" s="5"/>
      <c r="D34" s="5"/>
      <c r="E34" s="11"/>
      <c r="F34" s="11"/>
      <c r="G34" s="11"/>
      <c r="H34" s="11"/>
      <c r="I34" s="11"/>
      <c r="J34" s="11"/>
      <c r="K34" s="11"/>
      <c r="L34" s="11"/>
      <c r="M34" s="11"/>
      <c r="N34" s="11"/>
      <c r="O34" s="11"/>
      <c r="P34" s="11"/>
      <c r="Q34" s="5"/>
      <c r="R34" s="5"/>
      <c r="S34" s="5"/>
      <c r="T34" s="5"/>
      <c r="U34" s="22"/>
      <c r="V34" s="11"/>
      <c r="Z34" s="262"/>
      <c r="AA34" s="230" t="s">
        <v>257</v>
      </c>
      <c r="AB34" s="224">
        <v>0.01</v>
      </c>
      <c r="AC34" s="224">
        <v>0</v>
      </c>
      <c r="AD34" s="234">
        <f ca="1">SUMIFS(E$21:E$3100,$D$21:$D$3100,$Z$32,$W$21:$W$3100,FALSE)*$AB34+SUMIFS(E$21:E$3100,$D$21:$D$3100,$Z$32,$W$21:$W$3100,TRUE)*$AC34</f>
        <v>0</v>
      </c>
      <c r="AE34" s="234">
        <f t="shared" ca="1" si="34"/>
        <v>0</v>
      </c>
      <c r="AF34" s="234">
        <f t="shared" ca="1" si="34"/>
        <v>0</v>
      </c>
      <c r="AG34" s="234">
        <f t="shared" ca="1" si="34"/>
        <v>0</v>
      </c>
      <c r="AH34" s="234">
        <f t="shared" ca="1" si="34"/>
        <v>0</v>
      </c>
      <c r="AI34" s="234">
        <f t="shared" ca="1" si="34"/>
        <v>0</v>
      </c>
      <c r="AJ34" s="234">
        <f t="shared" ca="1" si="34"/>
        <v>0</v>
      </c>
      <c r="AK34" s="234">
        <f t="shared" ca="1" si="34"/>
        <v>0</v>
      </c>
      <c r="AL34" s="234">
        <f t="shared" ca="1" si="34"/>
        <v>0</v>
      </c>
      <c r="AM34" s="234">
        <f t="shared" ca="1" si="34"/>
        <v>0</v>
      </c>
      <c r="AN34" s="234">
        <f t="shared" ca="1" si="34"/>
        <v>0</v>
      </c>
      <c r="AO34" s="235">
        <f t="shared" ca="1" si="34"/>
        <v>0</v>
      </c>
      <c r="AP34">
        <v>8</v>
      </c>
    </row>
    <row r="35" spans="1:42" x14ac:dyDescent="0.45">
      <c r="A35" s="5"/>
      <c r="C35" s="5"/>
      <c r="D35" s="5"/>
      <c r="E35" s="11"/>
      <c r="F35" s="11"/>
      <c r="G35" s="11"/>
      <c r="H35" s="11"/>
      <c r="I35" s="11"/>
      <c r="J35" s="11"/>
      <c r="K35" s="11"/>
      <c r="L35" s="11"/>
      <c r="M35" s="11"/>
      <c r="N35" s="11"/>
      <c r="O35" s="11"/>
      <c r="P35" s="11"/>
      <c r="Q35" s="5"/>
      <c r="R35" s="5"/>
      <c r="S35" s="5"/>
      <c r="T35" s="5"/>
      <c r="U35" s="22"/>
      <c r="V35" s="11"/>
      <c r="Z35" s="236"/>
      <c r="AA35" s="236"/>
      <c r="AB35" s="222" t="s">
        <v>220</v>
      </c>
      <c r="AC35" s="222"/>
      <c r="AD35" s="225">
        <f ca="1">SUM(AD32:AD34)</f>
        <v>0</v>
      </c>
      <c r="AE35" s="225">
        <f t="shared" ref="AE35:AO35" ca="1" si="35">SUM(AE32:AE34)</f>
        <v>0</v>
      </c>
      <c r="AF35" s="225">
        <f t="shared" ca="1" si="35"/>
        <v>0</v>
      </c>
      <c r="AG35" s="225">
        <f t="shared" ca="1" si="35"/>
        <v>0</v>
      </c>
      <c r="AH35" s="225">
        <f t="shared" ca="1" si="35"/>
        <v>0</v>
      </c>
      <c r="AI35" s="225">
        <f t="shared" ca="1" si="35"/>
        <v>0</v>
      </c>
      <c r="AJ35" s="225">
        <f t="shared" ca="1" si="35"/>
        <v>0</v>
      </c>
      <c r="AK35" s="225">
        <f t="shared" ca="1" si="35"/>
        <v>0</v>
      </c>
      <c r="AL35" s="225">
        <f t="shared" ca="1" si="35"/>
        <v>0</v>
      </c>
      <c r="AM35" s="225">
        <f t="shared" ca="1" si="35"/>
        <v>0</v>
      </c>
      <c r="AN35" s="225">
        <f t="shared" ca="1" si="35"/>
        <v>0</v>
      </c>
      <c r="AO35" s="226">
        <f t="shared" ca="1" si="35"/>
        <v>0</v>
      </c>
      <c r="AP35" s="24">
        <v>9</v>
      </c>
    </row>
    <row r="36" spans="1:42" x14ac:dyDescent="0.45">
      <c r="A36" s="5"/>
      <c r="C36" s="5"/>
      <c r="D36" s="5"/>
      <c r="E36" s="11"/>
      <c r="F36" s="11"/>
      <c r="G36" s="11"/>
      <c r="H36" s="11"/>
      <c r="I36" s="11"/>
      <c r="J36" s="11"/>
      <c r="K36" s="11"/>
      <c r="L36" s="11"/>
      <c r="M36" s="11"/>
      <c r="N36" s="11"/>
      <c r="O36" s="11"/>
      <c r="P36" s="11"/>
      <c r="Q36" s="5"/>
      <c r="R36" s="5"/>
      <c r="S36" s="5"/>
      <c r="T36" s="5"/>
      <c r="U36" s="22"/>
      <c r="V36" s="11"/>
      <c r="Z36" s="261" t="str">
        <f ca="1">S7</f>
        <v/>
      </c>
      <c r="AA36" s="230" t="s">
        <v>255</v>
      </c>
      <c r="AB36" s="224">
        <v>0.17499999999999999</v>
      </c>
      <c r="AC36" s="224">
        <v>3.5000000000000003E-2</v>
      </c>
      <c r="AD36" s="234">
        <f ca="1">SUMIFS(E$21:E$3100,$D$21:$D$3100,$Z$36,$W$21:$W$3100,FALSE)*$AB36+SUMIFS(E$21:E$3100,$D$21:$D$3100,$Z$36,$W$21:$W$3100,TRUE)*$AC36</f>
        <v>0</v>
      </c>
      <c r="AE36" s="234">
        <f t="shared" ref="AE36:AO38" ca="1" si="36">SUMIFS(F$21:F$3100,$D$21:$D$3100,$Z$36,$W$21:$W$3100,FALSE)*$AB36+SUMIFS(F$21:F$3100,$D$21:$D$3100,$Z$36,$W$21:$W$3100,TRUE)*$AC36</f>
        <v>0</v>
      </c>
      <c r="AF36" s="234">
        <f t="shared" ca="1" si="36"/>
        <v>0</v>
      </c>
      <c r="AG36" s="234">
        <f t="shared" ca="1" si="36"/>
        <v>0</v>
      </c>
      <c r="AH36" s="234">
        <f t="shared" ca="1" si="36"/>
        <v>0</v>
      </c>
      <c r="AI36" s="234">
        <f t="shared" ca="1" si="36"/>
        <v>0</v>
      </c>
      <c r="AJ36" s="234">
        <f t="shared" ca="1" si="36"/>
        <v>0</v>
      </c>
      <c r="AK36" s="234">
        <f t="shared" ca="1" si="36"/>
        <v>0</v>
      </c>
      <c r="AL36" s="234">
        <f t="shared" ca="1" si="36"/>
        <v>0</v>
      </c>
      <c r="AM36" s="234">
        <f t="shared" ca="1" si="36"/>
        <v>0</v>
      </c>
      <c r="AN36" s="234">
        <f t="shared" ca="1" si="36"/>
        <v>0</v>
      </c>
      <c r="AO36" s="235">
        <f t="shared" ca="1" si="36"/>
        <v>0</v>
      </c>
      <c r="AP36">
        <v>10</v>
      </c>
    </row>
    <row r="37" spans="1:42" x14ac:dyDescent="0.45">
      <c r="A37" s="5"/>
      <c r="C37" s="5"/>
      <c r="D37" s="5"/>
      <c r="E37" s="11"/>
      <c r="F37" s="11"/>
      <c r="G37" s="11"/>
      <c r="H37" s="11"/>
      <c r="I37" s="11"/>
      <c r="J37" s="11"/>
      <c r="K37" s="11"/>
      <c r="L37" s="11"/>
      <c r="M37" s="11"/>
      <c r="N37" s="11"/>
      <c r="O37" s="11"/>
      <c r="P37" s="11"/>
      <c r="Q37" s="5"/>
      <c r="R37" s="5"/>
      <c r="S37" s="5"/>
      <c r="T37" s="5"/>
      <c r="U37" s="22"/>
      <c r="V37" s="11"/>
      <c r="Z37" s="262"/>
      <c r="AA37" s="230" t="s">
        <v>256</v>
      </c>
      <c r="AB37" s="224">
        <v>0.03</v>
      </c>
      <c r="AC37" s="224">
        <v>0.03</v>
      </c>
      <c r="AD37" s="234">
        <f ca="1">SUMIFS(E$21:E$3100,$D$21:$D$3100,$Z$36,$W$21:$W$3100,FALSE)*$AB37+SUMIFS(E$21:E$3100,$D$21:$D$3100,$Z$36,$W$21:$W$3100,TRUE)*$AC37</f>
        <v>0</v>
      </c>
      <c r="AE37" s="234">
        <f t="shared" ca="1" si="36"/>
        <v>0</v>
      </c>
      <c r="AF37" s="234">
        <f t="shared" ca="1" si="36"/>
        <v>0</v>
      </c>
      <c r="AG37" s="234">
        <f t="shared" ca="1" si="36"/>
        <v>0</v>
      </c>
      <c r="AH37" s="234">
        <f t="shared" ca="1" si="36"/>
        <v>0</v>
      </c>
      <c r="AI37" s="234">
        <f t="shared" ca="1" si="36"/>
        <v>0</v>
      </c>
      <c r="AJ37" s="234">
        <f t="shared" ca="1" si="36"/>
        <v>0</v>
      </c>
      <c r="AK37" s="234">
        <f t="shared" ca="1" si="36"/>
        <v>0</v>
      </c>
      <c r="AL37" s="234">
        <f t="shared" ca="1" si="36"/>
        <v>0</v>
      </c>
      <c r="AM37" s="234">
        <f t="shared" ca="1" si="36"/>
        <v>0</v>
      </c>
      <c r="AN37" s="234">
        <f t="shared" ca="1" si="36"/>
        <v>0</v>
      </c>
      <c r="AO37" s="235">
        <f t="shared" ca="1" si="36"/>
        <v>0</v>
      </c>
      <c r="AP37" s="24">
        <v>11</v>
      </c>
    </row>
    <row r="38" spans="1:42" x14ac:dyDescent="0.45">
      <c r="A38" s="5"/>
      <c r="C38" s="5"/>
      <c r="D38" s="5"/>
      <c r="E38" s="11"/>
      <c r="F38" s="11"/>
      <c r="G38" s="11"/>
      <c r="H38" s="11"/>
      <c r="I38" s="11"/>
      <c r="J38" s="11"/>
      <c r="K38" s="11"/>
      <c r="L38" s="11"/>
      <c r="M38" s="11"/>
      <c r="N38" s="11"/>
      <c r="O38" s="11"/>
      <c r="P38" s="11"/>
      <c r="Q38" s="5"/>
      <c r="R38" s="5"/>
      <c r="S38" s="5"/>
      <c r="T38" s="5"/>
      <c r="U38" s="22"/>
      <c r="V38" s="11"/>
      <c r="Z38" s="262"/>
      <c r="AA38" s="230" t="s">
        <v>257</v>
      </c>
      <c r="AB38" s="224">
        <v>0.01</v>
      </c>
      <c r="AC38" s="224">
        <v>0</v>
      </c>
      <c r="AD38" s="234">
        <f ca="1">SUMIFS(E$21:E$3100,$D$21:$D$3100,$Z$36,$W$21:$W$3100,FALSE)*$AB38+SUMIFS(E$21:E$3100,$D$21:$D$3100,$Z$36,$W$21:$W$3100,TRUE)*$AC38</f>
        <v>0</v>
      </c>
      <c r="AE38" s="234">
        <f t="shared" ca="1" si="36"/>
        <v>0</v>
      </c>
      <c r="AF38" s="234">
        <f t="shared" ca="1" si="36"/>
        <v>0</v>
      </c>
      <c r="AG38" s="234">
        <f t="shared" ca="1" si="36"/>
        <v>0</v>
      </c>
      <c r="AH38" s="234">
        <f t="shared" ca="1" si="36"/>
        <v>0</v>
      </c>
      <c r="AI38" s="234">
        <f t="shared" ca="1" si="36"/>
        <v>0</v>
      </c>
      <c r="AJ38" s="234">
        <f t="shared" ca="1" si="36"/>
        <v>0</v>
      </c>
      <c r="AK38" s="234">
        <f t="shared" ca="1" si="36"/>
        <v>0</v>
      </c>
      <c r="AL38" s="234">
        <f t="shared" ca="1" si="36"/>
        <v>0</v>
      </c>
      <c r="AM38" s="234">
        <f t="shared" ca="1" si="36"/>
        <v>0</v>
      </c>
      <c r="AN38" s="234">
        <f t="shared" ca="1" si="36"/>
        <v>0</v>
      </c>
      <c r="AO38" s="235">
        <f t="shared" ca="1" si="36"/>
        <v>0</v>
      </c>
      <c r="AP38">
        <v>12</v>
      </c>
    </row>
    <row r="39" spans="1:42" x14ac:dyDescent="0.45">
      <c r="A39" s="5"/>
      <c r="C39" s="5"/>
      <c r="D39" s="5"/>
      <c r="E39" s="11"/>
      <c r="F39" s="11"/>
      <c r="G39" s="11"/>
      <c r="H39" s="11"/>
      <c r="I39" s="11"/>
      <c r="J39" s="11"/>
      <c r="K39" s="11"/>
      <c r="L39" s="11"/>
      <c r="M39" s="11"/>
      <c r="N39" s="11"/>
      <c r="O39" s="11"/>
      <c r="P39" s="11"/>
      <c r="Q39" s="5"/>
      <c r="R39" s="5"/>
      <c r="S39" s="5"/>
      <c r="T39" s="5"/>
      <c r="U39" s="22"/>
      <c r="V39" s="11"/>
      <c r="Z39" s="253"/>
      <c r="AA39" s="253"/>
      <c r="AB39" s="254" t="s">
        <v>220</v>
      </c>
      <c r="AC39" s="254"/>
      <c r="AD39" s="255">
        <f ca="1">SUM(AD36:AD38)</f>
        <v>0</v>
      </c>
      <c r="AE39" s="255">
        <f t="shared" ref="AE39:AO39" ca="1" si="37">SUM(AE36:AE38)</f>
        <v>0</v>
      </c>
      <c r="AF39" s="255">
        <f t="shared" ca="1" si="37"/>
        <v>0</v>
      </c>
      <c r="AG39" s="255">
        <f t="shared" ca="1" si="37"/>
        <v>0</v>
      </c>
      <c r="AH39" s="255">
        <f t="shared" ca="1" si="37"/>
        <v>0</v>
      </c>
      <c r="AI39" s="255">
        <f t="shared" ca="1" si="37"/>
        <v>0</v>
      </c>
      <c r="AJ39" s="255">
        <f t="shared" ca="1" si="37"/>
        <v>0</v>
      </c>
      <c r="AK39" s="255">
        <f t="shared" ca="1" si="37"/>
        <v>0</v>
      </c>
      <c r="AL39" s="255">
        <f t="shared" ca="1" si="37"/>
        <v>0</v>
      </c>
      <c r="AM39" s="255">
        <f t="shared" ca="1" si="37"/>
        <v>0</v>
      </c>
      <c r="AN39" s="255">
        <f t="shared" ca="1" si="37"/>
        <v>0</v>
      </c>
      <c r="AO39" s="256">
        <f t="shared" ca="1" si="37"/>
        <v>0</v>
      </c>
      <c r="AP39" s="24">
        <v>13</v>
      </c>
    </row>
    <row r="40" spans="1:42" x14ac:dyDescent="0.45">
      <c r="A40" s="5"/>
      <c r="C40" s="5"/>
      <c r="D40" s="5"/>
      <c r="E40" s="11"/>
      <c r="F40" s="11"/>
      <c r="G40" s="11"/>
      <c r="H40" s="11"/>
      <c r="I40" s="11"/>
      <c r="J40" s="11"/>
      <c r="K40" s="11"/>
      <c r="L40" s="11"/>
      <c r="M40" s="11"/>
      <c r="N40" s="11"/>
      <c r="O40" s="11"/>
      <c r="P40" s="11"/>
      <c r="Q40" s="5"/>
      <c r="R40" s="5"/>
      <c r="S40" s="5"/>
      <c r="T40" s="5"/>
      <c r="U40" s="22"/>
      <c r="V40" s="11"/>
      <c r="Z40" s="261" t="str">
        <f ca="1">S8</f>
        <v/>
      </c>
      <c r="AA40" s="230" t="s">
        <v>255</v>
      </c>
      <c r="AB40" s="224">
        <v>0.17499999999999999</v>
      </c>
      <c r="AC40" s="224">
        <v>3.5000000000000003E-2</v>
      </c>
      <c r="AD40" s="234">
        <f ca="1">SUMIFS(E$21:E$3100,$D$21:$D$3100,$Z$40,$W$21:$W$3100,FALSE)*$AB40+SUMIFS(E$21:E$3100,$D$21:$D$3100,$Z$401,$W$21:$W$3100,TRUE)*$AC40</f>
        <v>0</v>
      </c>
      <c r="AE40" s="234">
        <f t="shared" ref="AE40:AO42" ca="1" si="38">SUMIFS(F$21:F$3100,$D$21:$D$3100,$Z$40,$W$21:$W$3100,FALSE)*$AB40+SUMIFS(F$21:F$3100,$D$21:$D$3100,$Z$401,$W$21:$W$3100,TRUE)*$AC40</f>
        <v>0</v>
      </c>
      <c r="AF40" s="234">
        <f t="shared" ca="1" si="38"/>
        <v>0</v>
      </c>
      <c r="AG40" s="234">
        <f t="shared" ca="1" si="38"/>
        <v>0</v>
      </c>
      <c r="AH40" s="234">
        <f t="shared" ca="1" si="38"/>
        <v>0</v>
      </c>
      <c r="AI40" s="234">
        <f t="shared" ca="1" si="38"/>
        <v>0</v>
      </c>
      <c r="AJ40" s="234">
        <f t="shared" ca="1" si="38"/>
        <v>0</v>
      </c>
      <c r="AK40" s="234">
        <f t="shared" ca="1" si="38"/>
        <v>0</v>
      </c>
      <c r="AL40" s="234">
        <f t="shared" ca="1" si="38"/>
        <v>0</v>
      </c>
      <c r="AM40" s="234">
        <f t="shared" ca="1" si="38"/>
        <v>0</v>
      </c>
      <c r="AN40" s="234">
        <f t="shared" ca="1" si="38"/>
        <v>0</v>
      </c>
      <c r="AO40" s="235">
        <f t="shared" ca="1" si="38"/>
        <v>0</v>
      </c>
      <c r="AP40">
        <v>14</v>
      </c>
    </row>
    <row r="41" spans="1:42" x14ac:dyDescent="0.45">
      <c r="A41" s="5"/>
      <c r="C41" s="5"/>
      <c r="D41" s="5"/>
      <c r="E41" s="11"/>
      <c r="F41" s="11"/>
      <c r="G41" s="11"/>
      <c r="H41" s="11"/>
      <c r="I41" s="11"/>
      <c r="J41" s="11"/>
      <c r="K41" s="11"/>
      <c r="L41" s="11"/>
      <c r="M41" s="11"/>
      <c r="N41" s="11"/>
      <c r="O41" s="11"/>
      <c r="P41" s="11"/>
      <c r="Q41" s="5"/>
      <c r="R41" s="5"/>
      <c r="S41" s="5"/>
      <c r="T41" s="5"/>
      <c r="U41" s="22"/>
      <c r="V41" s="11"/>
      <c r="Z41" s="262"/>
      <c r="AA41" s="230" t="s">
        <v>256</v>
      </c>
      <c r="AB41" s="224">
        <v>0.03</v>
      </c>
      <c r="AC41" s="224">
        <v>0.03</v>
      </c>
      <c r="AD41" s="234">
        <f ca="1">SUMIFS(E$21:E$3100,$D$21:$D$3100,$Z$40,$W$21:$W$3100,FALSE)*$AB41+SUMIFS(E$21:E$3100,$D$21:$D$3100,$Z$401,$W$21:$W$3100,TRUE)*$AC41</f>
        <v>0</v>
      </c>
      <c r="AE41" s="234">
        <f t="shared" ca="1" si="38"/>
        <v>0</v>
      </c>
      <c r="AF41" s="234">
        <f t="shared" ca="1" si="38"/>
        <v>0</v>
      </c>
      <c r="AG41" s="234">
        <f t="shared" ca="1" si="38"/>
        <v>0</v>
      </c>
      <c r="AH41" s="234">
        <f t="shared" ca="1" si="38"/>
        <v>0</v>
      </c>
      <c r="AI41" s="234">
        <f t="shared" ca="1" si="38"/>
        <v>0</v>
      </c>
      <c r="AJ41" s="234">
        <f t="shared" ca="1" si="38"/>
        <v>0</v>
      </c>
      <c r="AK41" s="234">
        <f t="shared" ca="1" si="38"/>
        <v>0</v>
      </c>
      <c r="AL41" s="234">
        <f t="shared" ca="1" si="38"/>
        <v>0</v>
      </c>
      <c r="AM41" s="234">
        <f t="shared" ca="1" si="38"/>
        <v>0</v>
      </c>
      <c r="AN41" s="234">
        <f t="shared" ca="1" si="38"/>
        <v>0</v>
      </c>
      <c r="AO41" s="235">
        <f t="shared" ca="1" si="38"/>
        <v>0</v>
      </c>
      <c r="AP41" s="24">
        <v>15</v>
      </c>
    </row>
    <row r="42" spans="1:42" x14ac:dyDescent="0.45">
      <c r="A42" s="5"/>
      <c r="C42" s="5"/>
      <c r="D42" s="5"/>
      <c r="E42" s="11"/>
      <c r="F42" s="11"/>
      <c r="G42" s="11"/>
      <c r="H42" s="11"/>
      <c r="I42" s="11"/>
      <c r="J42" s="11"/>
      <c r="K42" s="11"/>
      <c r="L42" s="11"/>
      <c r="M42" s="11"/>
      <c r="N42" s="11"/>
      <c r="O42" s="11"/>
      <c r="P42" s="11"/>
      <c r="Q42" s="5"/>
      <c r="R42" s="5"/>
      <c r="S42" s="5"/>
      <c r="T42" s="5"/>
      <c r="U42" s="22"/>
      <c r="V42" s="11"/>
      <c r="Z42" s="262"/>
      <c r="AA42" s="230" t="s">
        <v>257</v>
      </c>
      <c r="AB42" s="224">
        <v>0.01</v>
      </c>
      <c r="AC42" s="224">
        <v>0</v>
      </c>
      <c r="AD42" s="234">
        <f ca="1">SUMIFS(E$21:E$3100,$D$21:$D$3100,$Z$40,$W$21:$W$3100,FALSE)*$AB42+SUMIFS(E$21:E$3100,$D$21:$D$3100,$Z$401,$W$21:$W$3100,TRUE)*$AC42</f>
        <v>0</v>
      </c>
      <c r="AE42" s="234">
        <f t="shared" ca="1" si="38"/>
        <v>0</v>
      </c>
      <c r="AF42" s="234">
        <f t="shared" ca="1" si="38"/>
        <v>0</v>
      </c>
      <c r="AG42" s="234">
        <f t="shared" ca="1" si="38"/>
        <v>0</v>
      </c>
      <c r="AH42" s="234">
        <f t="shared" ca="1" si="38"/>
        <v>0</v>
      </c>
      <c r="AI42" s="234">
        <f t="shared" ca="1" si="38"/>
        <v>0</v>
      </c>
      <c r="AJ42" s="234">
        <f t="shared" ca="1" si="38"/>
        <v>0</v>
      </c>
      <c r="AK42" s="234">
        <f t="shared" ca="1" si="38"/>
        <v>0</v>
      </c>
      <c r="AL42" s="234">
        <f t="shared" ca="1" si="38"/>
        <v>0</v>
      </c>
      <c r="AM42" s="234">
        <f t="shared" ca="1" si="38"/>
        <v>0</v>
      </c>
      <c r="AN42" s="234">
        <f t="shared" ca="1" si="38"/>
        <v>0</v>
      </c>
      <c r="AO42" s="235">
        <f t="shared" ca="1" si="38"/>
        <v>0</v>
      </c>
      <c r="AP42">
        <v>16</v>
      </c>
    </row>
    <row r="43" spans="1:42" x14ac:dyDescent="0.45">
      <c r="A43" s="5"/>
      <c r="C43" s="5"/>
      <c r="D43" s="5"/>
      <c r="E43" s="11"/>
      <c r="F43" s="11"/>
      <c r="G43" s="11"/>
      <c r="H43" s="11"/>
      <c r="I43" s="11"/>
      <c r="J43" s="11"/>
      <c r="K43" s="11"/>
      <c r="L43" s="11"/>
      <c r="M43" s="11"/>
      <c r="N43" s="11"/>
      <c r="O43" s="11"/>
      <c r="P43" s="11"/>
      <c r="Q43" s="5"/>
      <c r="R43" s="5"/>
      <c r="S43" s="5"/>
      <c r="T43" s="5"/>
      <c r="U43" s="22"/>
      <c r="V43" s="11"/>
      <c r="Z43" s="257"/>
      <c r="AA43" s="257"/>
      <c r="AB43" s="258" t="s">
        <v>220</v>
      </c>
      <c r="AC43" s="258"/>
      <c r="AD43" s="259">
        <f ca="1">SUM(AD40:AD42)</f>
        <v>0</v>
      </c>
      <c r="AE43" s="259">
        <f t="shared" ref="AE43:AO43" ca="1" si="39">SUM(AE40:AE42)</f>
        <v>0</v>
      </c>
      <c r="AF43" s="259">
        <f t="shared" ca="1" si="39"/>
        <v>0</v>
      </c>
      <c r="AG43" s="259">
        <f t="shared" ca="1" si="39"/>
        <v>0</v>
      </c>
      <c r="AH43" s="259">
        <f t="shared" ca="1" si="39"/>
        <v>0</v>
      </c>
      <c r="AI43" s="259">
        <f t="shared" ca="1" si="39"/>
        <v>0</v>
      </c>
      <c r="AJ43" s="259">
        <f t="shared" ca="1" si="39"/>
        <v>0</v>
      </c>
      <c r="AK43" s="259">
        <f t="shared" ca="1" si="39"/>
        <v>0</v>
      </c>
      <c r="AL43" s="259">
        <f t="shared" ca="1" si="39"/>
        <v>0</v>
      </c>
      <c r="AM43" s="259">
        <f t="shared" ca="1" si="39"/>
        <v>0</v>
      </c>
      <c r="AN43" s="259">
        <f t="shared" ca="1" si="39"/>
        <v>0</v>
      </c>
      <c r="AO43" s="260">
        <f t="shared" ca="1" si="39"/>
        <v>0</v>
      </c>
      <c r="AP43" s="24">
        <v>17</v>
      </c>
    </row>
    <row r="44" spans="1:42" x14ac:dyDescent="0.45">
      <c r="A44" s="5"/>
      <c r="C44" s="5"/>
      <c r="D44" s="5"/>
      <c r="E44" s="11"/>
      <c r="F44" s="11"/>
      <c r="G44" s="11"/>
      <c r="H44" s="11"/>
      <c r="I44" s="11"/>
      <c r="J44" s="11"/>
      <c r="K44" s="11"/>
      <c r="L44" s="11"/>
      <c r="M44" s="11"/>
      <c r="N44" s="11"/>
      <c r="O44" s="11"/>
      <c r="P44" s="11"/>
      <c r="Q44" s="5"/>
      <c r="R44" s="5"/>
      <c r="S44" s="5"/>
      <c r="T44" s="5"/>
      <c r="U44" s="22"/>
      <c r="V44" s="11"/>
      <c r="AD44" s="22">
        <f ca="1">+AD22+AD29+AD33</f>
        <v>0</v>
      </c>
      <c r="AE44" s="22">
        <f t="shared" ref="AE44:AO44" ca="1" si="40">+AE22+AE29+AE33</f>
        <v>0</v>
      </c>
      <c r="AF44" s="22">
        <f t="shared" ca="1" si="40"/>
        <v>0</v>
      </c>
      <c r="AG44" s="22">
        <f t="shared" ca="1" si="40"/>
        <v>0</v>
      </c>
      <c r="AH44" s="22">
        <f t="shared" ca="1" si="40"/>
        <v>0</v>
      </c>
      <c r="AI44" s="22">
        <f t="shared" ca="1" si="40"/>
        <v>0</v>
      </c>
      <c r="AJ44" s="22">
        <f t="shared" ca="1" si="40"/>
        <v>0</v>
      </c>
      <c r="AK44" s="22">
        <f t="shared" ca="1" si="40"/>
        <v>0</v>
      </c>
      <c r="AL44" s="22">
        <f t="shared" ca="1" si="40"/>
        <v>0</v>
      </c>
      <c r="AM44" s="22">
        <f t="shared" ca="1" si="40"/>
        <v>0</v>
      </c>
      <c r="AN44" s="22">
        <f t="shared" ca="1" si="40"/>
        <v>0</v>
      </c>
      <c r="AO44" s="22">
        <f t="shared" ca="1" si="40"/>
        <v>0</v>
      </c>
    </row>
    <row r="45" spans="1:42" x14ac:dyDescent="0.45">
      <c r="A45" s="5"/>
      <c r="C45" s="5"/>
      <c r="D45" s="5"/>
      <c r="E45" s="11"/>
      <c r="F45" s="11"/>
      <c r="G45" s="11"/>
      <c r="H45" s="11"/>
      <c r="I45" s="11"/>
      <c r="J45" s="11"/>
      <c r="K45" s="11"/>
      <c r="L45" s="11"/>
      <c r="M45" s="11"/>
      <c r="N45" s="11"/>
      <c r="O45" s="11"/>
      <c r="P45" s="11"/>
      <c r="Q45" s="5"/>
      <c r="R45" s="5"/>
      <c r="S45" s="5"/>
      <c r="T45" s="5"/>
      <c r="U45" s="22"/>
      <c r="V45" s="11"/>
      <c r="AD45" s="22">
        <f ca="1">+AD23+AD30+AD34</f>
        <v>0</v>
      </c>
      <c r="AE45" s="22">
        <f t="shared" ref="AE45:AO45" ca="1" si="41">+AE23+AE30+AE34</f>
        <v>0</v>
      </c>
      <c r="AF45" s="22">
        <f t="shared" ca="1" si="41"/>
        <v>0</v>
      </c>
      <c r="AG45" s="22">
        <f t="shared" ca="1" si="41"/>
        <v>0</v>
      </c>
      <c r="AH45" s="22">
        <f t="shared" ca="1" si="41"/>
        <v>0</v>
      </c>
      <c r="AI45" s="22">
        <f t="shared" ca="1" si="41"/>
        <v>0</v>
      </c>
      <c r="AJ45" s="22">
        <f t="shared" ca="1" si="41"/>
        <v>0</v>
      </c>
      <c r="AK45" s="22">
        <f t="shared" ca="1" si="41"/>
        <v>0</v>
      </c>
      <c r="AL45" s="22">
        <f t="shared" ca="1" si="41"/>
        <v>0</v>
      </c>
      <c r="AM45" s="22">
        <f t="shared" ca="1" si="41"/>
        <v>0</v>
      </c>
      <c r="AN45" s="22">
        <f t="shared" ca="1" si="41"/>
        <v>0</v>
      </c>
      <c r="AO45" s="22">
        <f t="shared" ca="1" si="41"/>
        <v>0</v>
      </c>
    </row>
    <row r="46" spans="1:42" x14ac:dyDescent="0.45">
      <c r="A46" s="5"/>
      <c r="C46" s="5"/>
      <c r="D46" s="5"/>
      <c r="E46" s="11"/>
      <c r="F46" s="11"/>
      <c r="G46" s="11"/>
      <c r="H46" s="11"/>
      <c r="I46" s="11"/>
      <c r="J46" s="11"/>
      <c r="K46" s="11"/>
      <c r="L46" s="11"/>
      <c r="M46" s="11"/>
      <c r="N46" s="11"/>
      <c r="O46" s="11"/>
      <c r="P46" s="11"/>
      <c r="Q46" s="5"/>
      <c r="R46" s="5"/>
      <c r="S46" s="5"/>
      <c r="T46" s="5"/>
      <c r="U46" s="22"/>
      <c r="V46" s="11"/>
    </row>
    <row r="47" spans="1:42" x14ac:dyDescent="0.45">
      <c r="A47" s="5"/>
      <c r="C47" s="5"/>
      <c r="D47" s="5"/>
      <c r="E47" s="11"/>
      <c r="F47" s="11"/>
      <c r="G47" s="11"/>
      <c r="H47" s="11"/>
      <c r="I47" s="11"/>
      <c r="J47" s="11"/>
      <c r="K47" s="11"/>
      <c r="L47" s="11"/>
      <c r="M47" s="11"/>
      <c r="N47" s="11"/>
      <c r="O47" s="11"/>
      <c r="P47" s="11"/>
      <c r="Q47" s="5"/>
      <c r="R47" s="5"/>
      <c r="S47" s="5"/>
      <c r="T47" s="5"/>
      <c r="U47" s="22"/>
      <c r="V47" s="11"/>
    </row>
    <row r="48" spans="1:42" x14ac:dyDescent="0.45">
      <c r="A48" s="5"/>
      <c r="C48" s="5"/>
      <c r="D48" s="5"/>
      <c r="E48" s="11"/>
      <c r="F48" s="11"/>
      <c r="G48" s="11"/>
      <c r="H48" s="11"/>
      <c r="I48" s="11"/>
      <c r="J48" s="11"/>
      <c r="K48" s="11"/>
      <c r="L48" s="11"/>
      <c r="M48" s="11"/>
      <c r="N48" s="11"/>
      <c r="O48" s="11"/>
      <c r="P48" s="11"/>
      <c r="Q48" s="5"/>
      <c r="R48" s="5"/>
      <c r="S48" s="5"/>
      <c r="T48" s="5"/>
      <c r="U48" s="22"/>
      <c r="V48" s="11"/>
    </row>
    <row r="49" spans="1:22" x14ac:dyDescent="0.45">
      <c r="A49" s="5"/>
      <c r="C49" s="5"/>
      <c r="D49" s="5"/>
      <c r="E49" s="11"/>
      <c r="F49" s="11"/>
      <c r="G49" s="11"/>
      <c r="H49" s="11"/>
      <c r="I49" s="11"/>
      <c r="J49" s="11"/>
      <c r="K49" s="11"/>
      <c r="L49" s="11"/>
      <c r="M49" s="11"/>
      <c r="N49" s="11"/>
      <c r="O49" s="11"/>
      <c r="P49" s="11"/>
      <c r="Q49" s="5"/>
      <c r="R49" s="5"/>
      <c r="S49" s="5"/>
      <c r="T49" s="5"/>
      <c r="U49" s="22"/>
      <c r="V49" s="11"/>
    </row>
    <row r="50" spans="1:22" x14ac:dyDescent="0.45">
      <c r="A50" s="5"/>
      <c r="C50" s="5"/>
      <c r="D50" s="5"/>
      <c r="E50" s="11"/>
      <c r="F50" s="11"/>
      <c r="G50" s="11"/>
      <c r="H50" s="11"/>
      <c r="I50" s="11"/>
      <c r="J50" s="11"/>
      <c r="K50" s="11"/>
      <c r="L50" s="11"/>
      <c r="M50" s="11"/>
      <c r="N50" s="11"/>
      <c r="O50" s="11"/>
      <c r="P50" s="11"/>
      <c r="Q50" s="5"/>
      <c r="R50" s="5"/>
      <c r="S50" s="5"/>
      <c r="T50" s="5"/>
      <c r="U50" s="22"/>
      <c r="V50" s="11"/>
    </row>
    <row r="51" spans="1:22" x14ac:dyDescent="0.45">
      <c r="A51" s="5"/>
      <c r="C51" s="5"/>
      <c r="D51" s="5"/>
      <c r="E51" s="11"/>
      <c r="F51" s="11"/>
      <c r="G51" s="11"/>
      <c r="H51" s="11"/>
      <c r="I51" s="11"/>
      <c r="J51" s="11"/>
      <c r="K51" s="11"/>
      <c r="L51" s="11"/>
      <c r="M51" s="11"/>
      <c r="N51" s="11"/>
      <c r="O51" s="11"/>
      <c r="P51" s="11"/>
      <c r="Q51" s="5"/>
      <c r="R51" s="5"/>
      <c r="S51" s="5"/>
      <c r="T51" s="5"/>
      <c r="U51" s="22"/>
      <c r="V51" s="11"/>
    </row>
    <row r="52" spans="1:22" x14ac:dyDescent="0.45">
      <c r="A52" s="5"/>
      <c r="C52" s="5"/>
      <c r="D52" s="5"/>
      <c r="E52" s="11"/>
      <c r="F52" s="11"/>
      <c r="G52" s="11"/>
      <c r="H52" s="11"/>
      <c r="I52" s="11"/>
      <c r="J52" s="11"/>
      <c r="K52" s="11"/>
      <c r="L52" s="11"/>
      <c r="M52" s="11"/>
      <c r="N52" s="11"/>
      <c r="O52" s="11"/>
      <c r="P52" s="11"/>
      <c r="Q52" s="5"/>
      <c r="R52" s="5"/>
      <c r="S52" s="5"/>
      <c r="T52" s="5"/>
      <c r="U52" s="22"/>
      <c r="V52" s="11"/>
    </row>
    <row r="53" spans="1:22" x14ac:dyDescent="0.45">
      <c r="A53" s="5"/>
      <c r="C53" s="5"/>
      <c r="D53" s="5"/>
      <c r="E53" s="11"/>
      <c r="F53" s="11"/>
      <c r="G53" s="11"/>
      <c r="H53" s="11"/>
      <c r="I53" s="11"/>
      <c r="J53" s="11"/>
      <c r="K53" s="11"/>
      <c r="L53" s="11"/>
      <c r="M53" s="11"/>
      <c r="N53" s="11"/>
      <c r="O53" s="11"/>
      <c r="P53" s="11"/>
      <c r="Q53" s="5"/>
      <c r="R53" s="5"/>
      <c r="S53" s="5"/>
      <c r="T53" s="5"/>
      <c r="U53" s="22"/>
      <c r="V53" s="11"/>
    </row>
    <row r="54" spans="1:22" x14ac:dyDescent="0.45">
      <c r="A54" s="5"/>
      <c r="C54" s="5"/>
      <c r="D54" s="5"/>
      <c r="E54" s="11"/>
      <c r="F54" s="11"/>
      <c r="G54" s="11"/>
      <c r="H54" s="11"/>
      <c r="I54" s="11"/>
      <c r="J54" s="11"/>
      <c r="K54" s="11"/>
      <c r="L54" s="11"/>
      <c r="M54" s="11"/>
      <c r="N54" s="11"/>
      <c r="O54" s="11"/>
      <c r="P54" s="11"/>
      <c r="Q54" s="5"/>
      <c r="R54" s="5"/>
      <c r="S54" s="5"/>
      <c r="T54" s="5"/>
      <c r="U54" s="22"/>
      <c r="V54" s="11"/>
    </row>
    <row r="55" spans="1:22" x14ac:dyDescent="0.45">
      <c r="A55" s="5"/>
      <c r="C55" s="5"/>
      <c r="D55" s="5"/>
      <c r="E55" s="11"/>
      <c r="F55" s="11"/>
      <c r="G55" s="11"/>
      <c r="H55" s="11"/>
      <c r="I55" s="11"/>
      <c r="J55" s="11"/>
      <c r="K55" s="11"/>
      <c r="L55" s="11"/>
      <c r="M55" s="11"/>
      <c r="N55" s="11"/>
      <c r="O55" s="11"/>
      <c r="P55" s="11"/>
      <c r="Q55" s="5"/>
      <c r="R55" s="5"/>
      <c r="S55" s="5"/>
      <c r="T55" s="5"/>
      <c r="U55" s="22"/>
      <c r="V55" s="11"/>
    </row>
    <row r="56" spans="1:22" x14ac:dyDescent="0.45">
      <c r="A56" s="5"/>
      <c r="C56" s="5"/>
      <c r="D56" s="5"/>
      <c r="E56" s="11"/>
      <c r="F56" s="11"/>
      <c r="G56" s="11"/>
      <c r="H56" s="11"/>
      <c r="I56" s="11"/>
      <c r="J56" s="11"/>
      <c r="K56" s="11"/>
      <c r="L56" s="11"/>
      <c r="M56" s="11"/>
      <c r="N56" s="11"/>
      <c r="O56" s="11"/>
      <c r="P56" s="11"/>
      <c r="Q56" s="5"/>
      <c r="R56" s="5"/>
      <c r="S56" s="5"/>
      <c r="T56" s="5"/>
      <c r="U56" s="22"/>
      <c r="V56" s="11"/>
    </row>
    <row r="57" spans="1:22" x14ac:dyDescent="0.45">
      <c r="A57" s="5"/>
      <c r="C57" s="5"/>
      <c r="D57" s="5"/>
      <c r="E57" s="11"/>
      <c r="F57" s="11"/>
      <c r="G57" s="11"/>
      <c r="H57" s="11"/>
      <c r="I57" s="11"/>
      <c r="J57" s="11"/>
      <c r="K57" s="11"/>
      <c r="L57" s="11"/>
      <c r="M57" s="11"/>
      <c r="N57" s="11"/>
      <c r="O57" s="11"/>
      <c r="P57" s="11"/>
      <c r="Q57" s="5"/>
      <c r="R57" s="5"/>
      <c r="S57" s="5"/>
      <c r="T57" s="5"/>
      <c r="U57" s="22"/>
      <c r="V57" s="11"/>
    </row>
  </sheetData>
  <mergeCells count="2">
    <mergeCell ref="AA15:AB15"/>
    <mergeCell ref="B15:C15"/>
  </mergeCells>
  <conditionalFormatting sqref="E21:P4600">
    <cfRule type="expression" dxfId="30" priority="3">
      <formula>AND($Q21="",$A21&lt;&gt;"")</formula>
    </cfRule>
    <cfRule type="expression" dxfId="29" priority="5">
      <formula>AND($S21&lt;=E$20,$T21&gt;=E$20)</formula>
    </cfRule>
    <cfRule type="expression" dxfId="28" priority="6">
      <formula>AND($R21&lt;&gt;"",$R21&lt;=E$20)</formula>
    </cfRule>
    <cfRule type="expression" dxfId="27" priority="7">
      <formula>AND($Q21&lt;&gt;"",$Q21&gt;E$20)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6145" r:id="rId4" name="CheckBox1">
          <controlPr defaultSize="0" autoLine="0" r:id="rId5">
            <anchor>
              <from>
                <xdr:col>1</xdr:col>
                <xdr:colOff>333375</xdr:colOff>
                <xdr:row>17</xdr:row>
                <xdr:rowOff>66675</xdr:rowOff>
              </from>
              <to>
                <xdr:col>2</xdr:col>
                <xdr:colOff>204788</xdr:colOff>
                <xdr:row>17</xdr:row>
                <xdr:rowOff>314325</xdr:rowOff>
              </to>
            </anchor>
          </controlPr>
        </control>
      </mc:Choice>
      <mc:Fallback>
        <control shapeId="6145" r:id="rId4" name="CheckBox1"/>
      </mc:Fallback>
    </mc:AlternateContent>
    <mc:AlternateContent xmlns:mc="http://schemas.openxmlformats.org/markup-compatibility/2006">
      <mc:Choice Requires="x14">
        <control shapeId="6146" r:id="rId6" name="Switch1">
          <controlPr defaultSize="0" print="0" autoLine="0" r:id="rId7">
            <anchor>
              <from>
                <xdr:col>1</xdr:col>
                <xdr:colOff>676275</xdr:colOff>
                <xdr:row>17</xdr:row>
                <xdr:rowOff>66675</xdr:rowOff>
              </from>
              <to>
                <xdr:col>2</xdr:col>
                <xdr:colOff>776288</xdr:colOff>
                <xdr:row>17</xdr:row>
                <xdr:rowOff>409575</xdr:rowOff>
              </to>
            </anchor>
          </controlPr>
        </control>
      </mc:Choice>
      <mc:Fallback>
        <control shapeId="6146" r:id="rId6" name="Switch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NPT">
    <tabColor rgb="FFC00000"/>
  </sheetPr>
  <dimension ref="A1:AW49"/>
  <sheetViews>
    <sheetView showGridLines="0" topLeftCell="A3" workbookViewId="0">
      <selection activeCell="I29" sqref="I29"/>
    </sheetView>
  </sheetViews>
  <sheetFormatPr defaultColWidth="9.1328125" defaultRowHeight="14.25" x14ac:dyDescent="0.45"/>
  <cols>
    <col min="1" max="1" width="7.265625" style="5" customWidth="1"/>
    <col min="2" max="2" width="22.59765625" style="3" bestFit="1" customWidth="1"/>
    <col min="3" max="3" width="14.265625" style="3" customWidth="1"/>
    <col min="4" max="4" width="10" style="3" customWidth="1"/>
    <col min="5" max="5" width="9.86328125" style="3" customWidth="1"/>
    <col min="6" max="7" width="11.265625" style="3" customWidth="1"/>
    <col min="8" max="16" width="8.265625" style="3" customWidth="1"/>
    <col min="17" max="17" width="12.73046875" style="3" customWidth="1"/>
    <col min="18" max="21" width="5.86328125" style="3" customWidth="1"/>
    <col min="22" max="22" width="14.265625" style="3" customWidth="1"/>
    <col min="23" max="23" width="20.86328125" style="3" customWidth="1"/>
    <col min="24" max="25" width="9.1328125" style="3" customWidth="1"/>
    <col min="27" max="27" width="9.1328125" style="3"/>
    <col min="28" max="28" width="22.59765625" style="3" bestFit="1" customWidth="1"/>
    <col min="29" max="29" width="14.59765625" style="3" customWidth="1"/>
    <col min="30" max="30" width="26.265625" style="3" customWidth="1"/>
    <col min="31" max="31" width="13.73046875" style="3" customWidth="1"/>
    <col min="32" max="32" width="14" style="3" bestFit="1" customWidth="1"/>
    <col min="33" max="37" width="9.73046875" style="3" customWidth="1"/>
    <col min="38" max="47" width="11.73046875" style="3" customWidth="1"/>
    <col min="48" max="49" width="12.265625" style="3" customWidth="1"/>
    <col min="50" max="16384" width="9.1328125" style="3"/>
  </cols>
  <sheetData>
    <row r="1" spans="1:49" x14ac:dyDescent="0.45">
      <c r="V1" s="51" t="s">
        <v>68</v>
      </c>
      <c r="W1" s="51" t="str">
        <f>"NPT!B10:Q"&amp;MAX(A:A)+9</f>
        <v>NPT!B10:Q11</v>
      </c>
    </row>
    <row r="2" spans="1:49" ht="23.65" thickBot="1" x14ac:dyDescent="0.5">
      <c r="A2" s="21" t="s">
        <v>38</v>
      </c>
      <c r="B2" s="1"/>
      <c r="C2" s="1"/>
      <c r="D2" s="1"/>
      <c r="E2" s="1"/>
      <c r="F2" s="1"/>
      <c r="G2" s="1"/>
      <c r="H2" s="1"/>
      <c r="I2" s="1"/>
      <c r="J2" s="1"/>
      <c r="K2" s="1"/>
      <c r="L2" s="1"/>
      <c r="M2" s="1"/>
      <c r="N2" s="1"/>
      <c r="O2" s="1"/>
      <c r="P2" s="1"/>
      <c r="Q2" s="1"/>
      <c r="V2" s="51" t="s">
        <v>100</v>
      </c>
      <c r="W2" s="51" t="s">
        <v>76</v>
      </c>
      <c r="X2" s="51"/>
    </row>
    <row r="3" spans="1:49" ht="14.65" thickTop="1" x14ac:dyDescent="0.45">
      <c r="V3" s="51" t="s">
        <v>75</v>
      </c>
      <c r="W3" s="51" t="str">
        <f>"NPT!B10:B"&amp;MAX(A:A)+9</f>
        <v>NPT!B10:B11</v>
      </c>
    </row>
    <row r="6" spans="1:49" x14ac:dyDescent="0.45">
      <c r="C6" s="3">
        <f>COLUMNS(C10:Z10)</f>
        <v>24</v>
      </c>
    </row>
    <row r="7" spans="1:49" x14ac:dyDescent="0.45">
      <c r="E7" s="128">
        <v>4400000</v>
      </c>
      <c r="F7" s="128">
        <v>4400000</v>
      </c>
      <c r="G7" s="128">
        <v>4400000</v>
      </c>
      <c r="H7" s="128">
        <v>4400000</v>
      </c>
      <c r="I7" s="128">
        <v>4400000</v>
      </c>
      <c r="J7" s="128">
        <v>4400000</v>
      </c>
      <c r="K7" s="128">
        <v>4400000</v>
      </c>
      <c r="L7" s="128">
        <v>4400000</v>
      </c>
      <c r="M7" s="128">
        <v>4400000</v>
      </c>
      <c r="N7" s="128">
        <v>4400000</v>
      </c>
      <c r="O7" s="128">
        <v>4400000</v>
      </c>
      <c r="P7" s="128">
        <v>4400000</v>
      </c>
    </row>
    <row r="8" spans="1:49" ht="28.5" x14ac:dyDescent="0.45">
      <c r="A8" s="7" t="s">
        <v>1</v>
      </c>
      <c r="B8" s="7" t="s">
        <v>2</v>
      </c>
      <c r="C8" s="7" t="s">
        <v>3</v>
      </c>
      <c r="D8" s="7" t="s">
        <v>6</v>
      </c>
      <c r="E8" s="20">
        <v>1</v>
      </c>
      <c r="F8" s="20">
        <v>2</v>
      </c>
      <c r="G8" s="20">
        <v>3</v>
      </c>
      <c r="H8" s="20">
        <v>4</v>
      </c>
      <c r="I8" s="20">
        <v>5</v>
      </c>
      <c r="J8" s="20">
        <v>6</v>
      </c>
      <c r="K8" s="20">
        <v>7</v>
      </c>
      <c r="L8" s="20">
        <v>8</v>
      </c>
      <c r="M8" s="20">
        <v>9</v>
      </c>
      <c r="N8" s="20">
        <v>10</v>
      </c>
      <c r="O8" s="20">
        <v>11</v>
      </c>
      <c r="P8" s="20">
        <v>12</v>
      </c>
      <c r="Q8" s="23" t="s">
        <v>37</v>
      </c>
      <c r="R8" s="73"/>
      <c r="S8" s="74"/>
      <c r="T8" s="74"/>
      <c r="U8" s="75"/>
      <c r="AA8" s="596" t="s">
        <v>1</v>
      </c>
      <c r="AB8" s="596" t="s">
        <v>228</v>
      </c>
      <c r="AC8" s="596" t="s">
        <v>229</v>
      </c>
      <c r="AD8" s="596" t="s">
        <v>230</v>
      </c>
      <c r="AE8" s="596" t="s">
        <v>231</v>
      </c>
      <c r="AF8" s="596" t="s">
        <v>232</v>
      </c>
      <c r="AG8" s="596" t="s">
        <v>233</v>
      </c>
      <c r="AH8" s="596" t="s">
        <v>234</v>
      </c>
      <c r="AI8" s="596" t="s">
        <v>235</v>
      </c>
      <c r="AJ8" s="596" t="s">
        <v>236</v>
      </c>
      <c r="AK8" s="596" t="s">
        <v>237</v>
      </c>
      <c r="AL8" s="593" t="s">
        <v>238</v>
      </c>
      <c r="AM8" s="594"/>
      <c r="AN8" s="594"/>
      <c r="AO8" s="594"/>
      <c r="AP8" s="594"/>
      <c r="AQ8" s="594"/>
      <c r="AR8" s="594"/>
      <c r="AS8" s="594"/>
      <c r="AT8" s="594"/>
      <c r="AU8" s="595"/>
      <c r="AV8" s="188" t="s">
        <v>239</v>
      </c>
      <c r="AW8" s="188"/>
    </row>
    <row r="9" spans="1:49" x14ac:dyDescent="0.45">
      <c r="A9" s="16"/>
      <c r="B9" s="16" t="s">
        <v>24</v>
      </c>
      <c r="C9" s="16" t="s">
        <v>25</v>
      </c>
      <c r="D9" s="16" t="s">
        <v>28</v>
      </c>
      <c r="E9" s="16">
        <f>E8</f>
        <v>1</v>
      </c>
      <c r="F9" s="16">
        <f t="shared" ref="F9:P9" si="0">F8</f>
        <v>2</v>
      </c>
      <c r="G9" s="16">
        <f t="shared" si="0"/>
        <v>3</v>
      </c>
      <c r="H9" s="16">
        <f t="shared" si="0"/>
        <v>4</v>
      </c>
      <c r="I9" s="16">
        <f t="shared" si="0"/>
        <v>5</v>
      </c>
      <c r="J9" s="16">
        <f t="shared" si="0"/>
        <v>6</v>
      </c>
      <c r="K9" s="16">
        <f t="shared" si="0"/>
        <v>7</v>
      </c>
      <c r="L9" s="16">
        <f t="shared" si="0"/>
        <v>8</v>
      </c>
      <c r="M9" s="16">
        <f t="shared" si="0"/>
        <v>9</v>
      </c>
      <c r="N9" s="16">
        <f t="shared" si="0"/>
        <v>10</v>
      </c>
      <c r="O9" s="16">
        <f t="shared" si="0"/>
        <v>11</v>
      </c>
      <c r="P9" s="16">
        <f t="shared" si="0"/>
        <v>12</v>
      </c>
      <c r="Q9" s="16" t="s">
        <v>102</v>
      </c>
      <c r="R9" s="129" t="s">
        <v>32</v>
      </c>
      <c r="S9" s="129" t="s">
        <v>33</v>
      </c>
      <c r="T9" s="129" t="s">
        <v>34</v>
      </c>
      <c r="U9" s="129" t="s">
        <v>35</v>
      </c>
      <c r="AA9" s="597"/>
      <c r="AB9" s="597"/>
      <c r="AC9" s="597"/>
      <c r="AD9" s="597"/>
      <c r="AE9" s="597"/>
      <c r="AF9" s="597"/>
      <c r="AG9" s="597"/>
      <c r="AH9" s="597"/>
      <c r="AI9" s="597"/>
      <c r="AJ9" s="597"/>
      <c r="AK9" s="597"/>
      <c r="AL9" s="188" t="s">
        <v>240</v>
      </c>
      <c r="AM9" s="188" t="s">
        <v>241</v>
      </c>
      <c r="AN9" s="593" t="s">
        <v>242</v>
      </c>
      <c r="AO9" s="594"/>
      <c r="AP9" s="594"/>
      <c r="AQ9" s="594"/>
      <c r="AR9" s="594"/>
      <c r="AS9" s="594"/>
      <c r="AT9" s="594"/>
      <c r="AU9" s="595"/>
      <c r="AV9" s="188"/>
      <c r="AW9" s="188"/>
    </row>
    <row r="10" spans="1:49" x14ac:dyDescent="0.45">
      <c r="A10" s="5">
        <f>IF(B10="","",SUBTOTAL(3,B$10:B10))</f>
        <v>1</v>
      </c>
      <c r="B10" s="18">
        <f>INDEX(Danh_Sach!$B$13:$N$2994,ROWS($B$10:$B10),MATCH(B$9,Danh_Sach!$B$12:$N$12,0))</f>
        <v>0</v>
      </c>
      <c r="C10" s="109">
        <f>INDEX(Danh_Sach!$B$13:$N$2994,ROWS($B$10:$B10),MATCH(C$9,Danh_Sach!$B$12:$N$12,0))</f>
        <v>0</v>
      </c>
      <c r="D10" s="17">
        <f>COUNTIF($AC$12:$AC$1200,C10)</f>
        <v>0</v>
      </c>
      <c r="E10" s="5"/>
      <c r="F10" s="5"/>
      <c r="G10" s="5"/>
      <c r="H10" s="5"/>
      <c r="I10" s="5"/>
      <c r="J10" s="5"/>
      <c r="K10" s="5"/>
      <c r="L10" s="5"/>
      <c r="M10" s="5"/>
      <c r="N10" s="5"/>
      <c r="O10" s="5"/>
      <c r="P10" s="5"/>
      <c r="Q10" s="11">
        <f>SUMPRODUCT($E$7:$P$7,E10:P10)</f>
        <v>0</v>
      </c>
      <c r="R10" s="17" t="str">
        <f>IF(INDEX(Danh_Sach!$B$13:$N$2994,ROWS($B$10:$B10),MATCH(R$9,Danh_Sach!$B$12:$N$12,0))=0,"",MONTH(INDEX(Danh_Sach!$B$13:$N$2994,ROWS($B$10:$B10),MATCH(R$9,Danh_Sach!$B$12:$N$12,0))))</f>
        <v/>
      </c>
      <c r="S10" s="17" t="str">
        <f>IF(INDEX(Danh_Sach!$B$13:$N$2994,ROWS($B$10:$B10),MATCH(S$9,Danh_Sach!$B$12:$N$12,0))=0,"",MONTH(INDEX(Danh_Sach!$B$13:$N$2994,ROWS($B$10:$B10),MATCH(S$9,Danh_Sach!$B$12:$N$12,0))))</f>
        <v/>
      </c>
      <c r="T10" s="17" t="str">
        <f>IF(INDEX(Danh_Sach!$B$13:$N$2994,ROWS($B$10:$B10),MATCH(T$9,Danh_Sach!$B$12:$N$12,0))=0,"",MONTH(INDEX(Danh_Sach!$B$13:$N$2994,ROWS($B$10:$B10),MATCH(T$9,Danh_Sach!$B$12:$N$12,0))))</f>
        <v/>
      </c>
      <c r="U10" s="17" t="str">
        <f>IF(INDEX(Danh_Sach!$B$13:$N$2994,ROWS($B$10:$B10),MATCH(U$9,Danh_Sach!$B$12:$N$12,0))=0,"",MONTH(INDEX(Danh_Sach!$B$13:$N$2994,ROWS($B$10:$B10),MATCH(U$9,Danh_Sach!$B$12:$N$12,0))))</f>
        <v/>
      </c>
      <c r="V10" s="22"/>
      <c r="Z10" s="50">
        <f>MAX(E10:P10)</f>
        <v>0</v>
      </c>
      <c r="AA10" s="598"/>
      <c r="AB10" s="598"/>
      <c r="AC10" s="598"/>
      <c r="AD10" s="598"/>
      <c r="AE10" s="598"/>
      <c r="AF10" s="598"/>
      <c r="AG10" s="598"/>
      <c r="AH10" s="598"/>
      <c r="AI10" s="598"/>
      <c r="AJ10" s="598"/>
      <c r="AK10" s="598"/>
      <c r="AL10" s="188"/>
      <c r="AM10" s="188"/>
      <c r="AN10" s="188" t="s">
        <v>243</v>
      </c>
      <c r="AO10" s="188" t="s">
        <v>244</v>
      </c>
      <c r="AP10" s="188" t="s">
        <v>245</v>
      </c>
      <c r="AQ10" s="188" t="s">
        <v>246</v>
      </c>
      <c r="AR10" s="188" t="s">
        <v>247</v>
      </c>
      <c r="AS10" s="188" t="s">
        <v>248</v>
      </c>
      <c r="AT10" s="188" t="s">
        <v>249</v>
      </c>
      <c r="AU10" s="188" t="s">
        <v>250</v>
      </c>
      <c r="AV10" s="188" t="s">
        <v>251</v>
      </c>
      <c r="AW10" s="188" t="s">
        <v>252</v>
      </c>
    </row>
    <row r="11" spans="1:49" x14ac:dyDescent="0.45">
      <c r="A11" s="5">
        <f>IF(B11="","",SUBTOTAL(3,B$10:B11))</f>
        <v>2</v>
      </c>
      <c r="B11" s="18">
        <f>INDEX(Danh_Sach!$B$13:$N$2994,ROWS($B$10:$B11),MATCH(B$9,Danh_Sach!$B$12:$N$12,0))</f>
        <v>0</v>
      </c>
      <c r="C11" s="109">
        <f>INDEX(Danh_Sach!$B$13:$N$2994,ROWS($B$10:$B11),MATCH(C$9,Danh_Sach!$B$12:$N$12,0))</f>
        <v>0</v>
      </c>
      <c r="D11" s="17">
        <f>COUNTIF($AC$12:$AC$1200,C11)</f>
        <v>0</v>
      </c>
      <c r="E11" s="5"/>
      <c r="F11" s="5"/>
      <c r="G11" s="5"/>
      <c r="H11" s="5"/>
      <c r="I11" s="5"/>
      <c r="J11" s="5"/>
      <c r="K11" s="5"/>
      <c r="L11" s="5"/>
      <c r="M11" s="5"/>
      <c r="N11" s="5"/>
      <c r="O11" s="5"/>
      <c r="P11" s="5"/>
      <c r="Q11" s="11">
        <f>SUMPRODUCT($E$7:$P$7,E11:P11)</f>
        <v>0</v>
      </c>
      <c r="R11" s="17" t="str">
        <f>IF(INDEX(Danh_Sach!$B$13:$N$2994,ROWS($B$10:$B11),MATCH(R$9,Danh_Sach!$B$12:$N$12,0))=0,"",MONTH(INDEX(Danh_Sach!$B$13:$N$2994,ROWS($B$10:$B11),MATCH(R$9,Danh_Sach!$B$12:$N$12,0))))</f>
        <v/>
      </c>
      <c r="S11" s="17" t="str">
        <f>IF(INDEX(Danh_Sach!$B$13:$N$2994,ROWS($B$10:$B11),MATCH(S$9,Danh_Sach!$B$12:$N$12,0))=0,"",MONTH(INDEX(Danh_Sach!$B$13:$N$2994,ROWS($B$10:$B11),MATCH(S$9,Danh_Sach!$B$12:$N$12,0))))</f>
        <v/>
      </c>
      <c r="T11" s="17" t="str">
        <f>IF(INDEX(Danh_Sach!$B$13:$N$2994,ROWS($B$10:$B11),MATCH(T$9,Danh_Sach!$B$12:$N$12,0))=0,"",MONTH(INDEX(Danh_Sach!$B$13:$N$2994,ROWS($B$10:$B11),MATCH(T$9,Danh_Sach!$B$12:$N$12,0))))</f>
        <v/>
      </c>
      <c r="U11" s="17" t="str">
        <f>IF(INDEX(Danh_Sach!$B$13:$N$2994,ROWS($B$10:$B11),MATCH(U$9,Danh_Sach!$B$12:$N$12,0))=0,"",MONTH(INDEX(Danh_Sach!$B$13:$N$2994,ROWS($B$10:$B11),MATCH(U$9,Danh_Sach!$B$12:$N$12,0))))</f>
        <v/>
      </c>
      <c r="Z11" s="50">
        <f>MAX(E11:P11)</f>
        <v>0</v>
      </c>
      <c r="AA11" s="188" t="s">
        <v>134</v>
      </c>
      <c r="AB11" s="188" t="s">
        <v>135</v>
      </c>
      <c r="AC11" s="188" t="s">
        <v>136</v>
      </c>
      <c r="AD11" s="188" t="s">
        <v>137</v>
      </c>
      <c r="AE11" s="188" t="s">
        <v>138</v>
      </c>
      <c r="AF11" s="188" t="s">
        <v>139</v>
      </c>
      <c r="AG11" s="188"/>
      <c r="AH11" s="188" t="s">
        <v>140</v>
      </c>
      <c r="AI11" s="188" t="s">
        <v>141</v>
      </c>
      <c r="AJ11" s="188"/>
      <c r="AK11" s="188" t="s">
        <v>142</v>
      </c>
      <c r="AL11" s="188" t="s">
        <v>143</v>
      </c>
      <c r="AM11" s="188" t="s">
        <v>144</v>
      </c>
      <c r="AN11" s="188"/>
      <c r="AO11" s="188" t="s">
        <v>145</v>
      </c>
      <c r="AP11" s="188"/>
      <c r="AQ11" s="188" t="s">
        <v>146</v>
      </c>
      <c r="AR11" s="188"/>
      <c r="AS11" s="188" t="s">
        <v>147</v>
      </c>
      <c r="AT11" s="188"/>
      <c r="AU11" s="188" t="s">
        <v>148</v>
      </c>
      <c r="AV11" s="188" t="s">
        <v>149</v>
      </c>
      <c r="AW11" s="188" t="s">
        <v>150</v>
      </c>
    </row>
    <row r="12" spans="1:49" x14ac:dyDescent="0.45">
      <c r="B12" s="18"/>
      <c r="C12" s="109"/>
      <c r="D12" s="17"/>
      <c r="E12" s="5"/>
      <c r="F12" s="5"/>
      <c r="G12" s="5"/>
      <c r="H12" s="5"/>
      <c r="I12" s="5"/>
      <c r="J12" s="5"/>
      <c r="K12" s="5"/>
      <c r="L12" s="5"/>
      <c r="M12" s="5"/>
      <c r="N12" s="5"/>
      <c r="O12" s="5"/>
      <c r="P12" s="5"/>
      <c r="Q12" s="11"/>
      <c r="R12" s="17"/>
      <c r="S12" s="17"/>
      <c r="T12" s="17"/>
      <c r="U12" s="17"/>
      <c r="Z12" s="50">
        <f t="shared" ref="Z12:Z38" si="1">MAX(E12:P12)</f>
        <v>0</v>
      </c>
      <c r="AA12" s="175"/>
      <c r="AB12" s="175"/>
      <c r="AC12" s="175"/>
      <c r="AD12" s="175"/>
      <c r="AE12" s="223"/>
      <c r="AF12" s="175"/>
      <c r="AG12" s="175"/>
      <c r="AH12" s="175"/>
      <c r="AI12" s="175"/>
      <c r="AJ12" s="175"/>
      <c r="AK12" s="175"/>
      <c r="AL12" s="175"/>
      <c r="AM12" s="189"/>
      <c r="AN12" s="175"/>
      <c r="AO12" s="175"/>
      <c r="AP12" s="175"/>
      <c r="AQ12" s="175"/>
      <c r="AR12" s="175"/>
      <c r="AS12" s="175"/>
      <c r="AT12" s="175"/>
      <c r="AU12" s="175"/>
      <c r="AV12" s="189"/>
      <c r="AW12" s="189"/>
    </row>
    <row r="13" spans="1:49" x14ac:dyDescent="0.45">
      <c r="B13" s="18"/>
      <c r="C13" s="109"/>
      <c r="D13" s="17"/>
      <c r="E13" s="5"/>
      <c r="F13" s="5"/>
      <c r="G13" s="5"/>
      <c r="H13" s="5"/>
      <c r="I13" s="5"/>
      <c r="J13" s="5"/>
      <c r="K13" s="5"/>
      <c r="L13" s="5"/>
      <c r="M13" s="5"/>
      <c r="N13" s="5"/>
      <c r="O13" s="5"/>
      <c r="P13" s="5"/>
      <c r="Q13" s="11"/>
      <c r="R13" s="17"/>
      <c r="S13" s="17"/>
      <c r="T13" s="17"/>
      <c r="U13" s="17"/>
      <c r="Z13" s="50">
        <f t="shared" si="1"/>
        <v>0</v>
      </c>
      <c r="AA13" s="175"/>
      <c r="AB13" s="175"/>
      <c r="AC13" s="175"/>
      <c r="AD13" s="175"/>
      <c r="AE13" s="223"/>
      <c r="AF13" s="175"/>
      <c r="AG13" s="175"/>
      <c r="AH13" s="175"/>
      <c r="AI13" s="175"/>
      <c r="AJ13" s="175"/>
      <c r="AK13" s="175"/>
      <c r="AL13" s="175"/>
      <c r="AM13" s="189"/>
      <c r="AN13" s="175"/>
      <c r="AO13" s="175"/>
      <c r="AP13" s="175"/>
      <c r="AQ13" s="175"/>
      <c r="AR13" s="175"/>
      <c r="AS13" s="175"/>
      <c r="AT13" s="175"/>
      <c r="AU13" s="175"/>
      <c r="AV13" s="189"/>
      <c r="AW13" s="189"/>
    </row>
    <row r="14" spans="1:49" x14ac:dyDescent="0.45">
      <c r="B14" s="18"/>
      <c r="C14" s="109"/>
      <c r="D14" s="17"/>
      <c r="E14" s="5"/>
      <c r="F14" s="5"/>
      <c r="G14" s="5"/>
      <c r="H14" s="5"/>
      <c r="I14" s="5"/>
      <c r="J14" s="5"/>
      <c r="K14" s="5"/>
      <c r="L14" s="5"/>
      <c r="M14" s="5"/>
      <c r="N14" s="5"/>
      <c r="O14" s="5"/>
      <c r="P14" s="5"/>
      <c r="Q14" s="11"/>
      <c r="R14" s="17"/>
      <c r="S14" s="17"/>
      <c r="T14" s="17"/>
      <c r="U14" s="17"/>
      <c r="Z14" s="50">
        <f t="shared" si="1"/>
        <v>0</v>
      </c>
      <c r="AA14" s="175"/>
      <c r="AB14" s="175"/>
      <c r="AC14" s="175"/>
      <c r="AD14" s="175"/>
      <c r="AE14" s="223"/>
      <c r="AF14" s="175"/>
      <c r="AG14" s="175"/>
      <c r="AH14" s="175"/>
      <c r="AI14" s="175"/>
      <c r="AJ14" s="175"/>
      <c r="AK14" s="175"/>
      <c r="AL14" s="175"/>
      <c r="AM14" s="175"/>
      <c r="AN14" s="175"/>
      <c r="AO14" s="175"/>
      <c r="AP14" s="175"/>
      <c r="AQ14" s="175"/>
      <c r="AR14" s="175"/>
      <c r="AS14" s="175"/>
      <c r="AT14" s="175"/>
      <c r="AU14" s="175"/>
      <c r="AV14" s="189"/>
      <c r="AW14" s="189"/>
    </row>
    <row r="15" spans="1:49" x14ac:dyDescent="0.45">
      <c r="B15" s="18"/>
      <c r="C15" s="109"/>
      <c r="D15" s="17"/>
      <c r="E15" s="5"/>
      <c r="F15" s="5"/>
      <c r="G15" s="5"/>
      <c r="H15" s="5"/>
      <c r="I15" s="5"/>
      <c r="J15" s="5"/>
      <c r="K15" s="5"/>
      <c r="L15" s="5"/>
      <c r="M15" s="5"/>
      <c r="N15" s="5"/>
      <c r="O15" s="5"/>
      <c r="P15" s="5"/>
      <c r="Q15" s="11"/>
      <c r="R15" s="17"/>
      <c r="S15" s="17"/>
      <c r="T15" s="17"/>
      <c r="U15" s="17"/>
      <c r="Z15" s="50">
        <f t="shared" si="1"/>
        <v>0</v>
      </c>
      <c r="AA15" s="175"/>
      <c r="AB15" s="175"/>
      <c r="AC15" s="175"/>
      <c r="AD15" s="175"/>
      <c r="AE15" s="223"/>
      <c r="AF15" s="175"/>
      <c r="AG15" s="175"/>
      <c r="AH15" s="175"/>
      <c r="AI15" s="175"/>
      <c r="AJ15" s="175"/>
      <c r="AK15" s="175"/>
      <c r="AL15" s="175"/>
      <c r="AM15" s="175"/>
      <c r="AN15" s="175"/>
      <c r="AO15" s="175"/>
      <c r="AP15" s="175"/>
      <c r="AQ15" s="175"/>
      <c r="AR15" s="175"/>
      <c r="AS15" s="175"/>
      <c r="AT15" s="175"/>
      <c r="AU15" s="175"/>
      <c r="AV15" s="189"/>
      <c r="AW15" s="189"/>
    </row>
    <row r="16" spans="1:49" x14ac:dyDescent="0.45">
      <c r="B16" s="18"/>
      <c r="C16" s="109"/>
      <c r="D16" s="17"/>
      <c r="E16" s="5"/>
      <c r="F16" s="5"/>
      <c r="G16" s="5"/>
      <c r="H16" s="5"/>
      <c r="I16" s="5"/>
      <c r="J16" s="5"/>
      <c r="K16" s="5"/>
      <c r="L16" s="5"/>
      <c r="M16" s="5"/>
      <c r="N16" s="5"/>
      <c r="O16" s="5"/>
      <c r="P16" s="5"/>
      <c r="Q16" s="11"/>
      <c r="R16" s="17"/>
      <c r="S16" s="17"/>
      <c r="T16" s="17"/>
      <c r="U16" s="17"/>
      <c r="Z16" s="50">
        <f t="shared" si="1"/>
        <v>0</v>
      </c>
      <c r="AA16" s="175"/>
      <c r="AB16" s="175"/>
      <c r="AC16" s="175"/>
      <c r="AD16" s="175"/>
      <c r="AE16" s="223"/>
      <c r="AF16" s="175"/>
      <c r="AG16" s="175"/>
      <c r="AH16" s="175"/>
      <c r="AI16" s="175"/>
      <c r="AJ16" s="175"/>
      <c r="AK16" s="175"/>
      <c r="AL16" s="175"/>
      <c r="AM16" s="175"/>
      <c r="AN16" s="175"/>
      <c r="AO16" s="175"/>
      <c r="AP16" s="175"/>
      <c r="AQ16" s="175"/>
      <c r="AR16" s="175"/>
      <c r="AS16" s="175"/>
      <c r="AT16" s="175"/>
      <c r="AU16" s="175"/>
      <c r="AV16" s="189"/>
      <c r="AW16" s="189"/>
    </row>
    <row r="17" spans="2:49" x14ac:dyDescent="0.45">
      <c r="B17" s="18"/>
      <c r="C17" s="109"/>
      <c r="D17" s="17"/>
      <c r="E17" s="5"/>
      <c r="F17" s="5"/>
      <c r="G17" s="5"/>
      <c r="H17" s="5"/>
      <c r="I17" s="5"/>
      <c r="J17" s="5"/>
      <c r="K17" s="5"/>
      <c r="L17" s="5"/>
      <c r="M17" s="5"/>
      <c r="N17" s="5"/>
      <c r="O17" s="5"/>
      <c r="P17" s="5"/>
      <c r="Q17" s="11"/>
      <c r="R17" s="17"/>
      <c r="S17" s="17"/>
      <c r="T17" s="17"/>
      <c r="U17" s="17"/>
      <c r="Z17" s="50">
        <f t="shared" si="1"/>
        <v>0</v>
      </c>
      <c r="AA17" s="175"/>
      <c r="AB17" s="175"/>
      <c r="AC17" s="175"/>
      <c r="AD17" s="175"/>
      <c r="AE17" s="223"/>
      <c r="AF17" s="175"/>
      <c r="AG17" s="175"/>
      <c r="AH17" s="175"/>
      <c r="AI17" s="175"/>
      <c r="AJ17" s="175"/>
      <c r="AK17" s="175"/>
      <c r="AL17" s="175"/>
      <c r="AM17" s="175"/>
      <c r="AN17" s="175"/>
      <c r="AO17" s="175"/>
      <c r="AP17" s="175"/>
      <c r="AQ17" s="175"/>
      <c r="AR17" s="175"/>
      <c r="AS17" s="175"/>
      <c r="AT17" s="175"/>
      <c r="AU17" s="175"/>
      <c r="AV17" s="223"/>
      <c r="AW17" s="223"/>
    </row>
    <row r="18" spans="2:49" x14ac:dyDescent="0.45">
      <c r="B18" s="18"/>
      <c r="C18" s="109"/>
      <c r="D18" s="17"/>
      <c r="E18" s="5"/>
      <c r="F18" s="5"/>
      <c r="G18" s="5"/>
      <c r="H18" s="5"/>
      <c r="I18" s="5"/>
      <c r="J18" s="5"/>
      <c r="K18" s="5"/>
      <c r="L18" s="5"/>
      <c r="M18" s="5"/>
      <c r="N18" s="5"/>
      <c r="O18" s="5"/>
      <c r="P18" s="5"/>
      <c r="Q18" s="11"/>
      <c r="R18" s="17"/>
      <c r="S18" s="17"/>
      <c r="T18" s="17"/>
      <c r="U18" s="17"/>
      <c r="Z18" s="50">
        <f t="shared" si="1"/>
        <v>0</v>
      </c>
      <c r="AA18" s="175"/>
      <c r="AB18" s="175"/>
      <c r="AC18" s="175"/>
      <c r="AD18" s="175"/>
      <c r="AE18" s="175"/>
      <c r="AF18" s="175"/>
      <c r="AG18" s="175"/>
      <c r="AH18" s="175"/>
      <c r="AI18" s="175"/>
      <c r="AJ18" s="175"/>
      <c r="AK18" s="175"/>
      <c r="AL18" s="175"/>
      <c r="AM18" s="175"/>
      <c r="AN18" s="175"/>
      <c r="AO18" s="175"/>
      <c r="AP18" s="175"/>
      <c r="AQ18" s="175"/>
      <c r="AR18" s="175"/>
      <c r="AS18" s="175"/>
      <c r="AT18" s="175"/>
      <c r="AU18" s="175"/>
      <c r="AV18" s="223"/>
      <c r="AW18" s="223"/>
    </row>
    <row r="19" spans="2:49" x14ac:dyDescent="0.45">
      <c r="B19" s="18"/>
      <c r="C19" s="109"/>
      <c r="D19" s="17"/>
      <c r="E19" s="5"/>
      <c r="F19" s="5"/>
      <c r="G19" s="5"/>
      <c r="H19" s="5"/>
      <c r="I19" s="5"/>
      <c r="J19" s="5"/>
      <c r="K19" s="5"/>
      <c r="L19" s="5"/>
      <c r="M19" s="5"/>
      <c r="N19" s="5"/>
      <c r="O19" s="5"/>
      <c r="P19" s="5"/>
      <c r="Q19" s="11"/>
      <c r="R19" s="17"/>
      <c r="S19" s="17"/>
      <c r="T19" s="17"/>
      <c r="U19" s="17"/>
      <c r="Z19" s="50">
        <f t="shared" si="1"/>
        <v>0</v>
      </c>
      <c r="AA19" s="175"/>
      <c r="AB19" s="175"/>
      <c r="AC19" s="175"/>
      <c r="AD19" s="175"/>
      <c r="AE19" s="223"/>
      <c r="AF19" s="175"/>
      <c r="AG19" s="175"/>
      <c r="AH19" s="175"/>
      <c r="AI19" s="175"/>
      <c r="AJ19" s="175"/>
      <c r="AK19" s="175"/>
      <c r="AL19" s="175"/>
      <c r="AM19" s="175"/>
      <c r="AN19" s="175"/>
      <c r="AO19" s="175"/>
      <c r="AP19" s="175"/>
      <c r="AQ19" s="175"/>
      <c r="AR19" s="175"/>
      <c r="AS19" s="175"/>
      <c r="AT19" s="175"/>
      <c r="AU19" s="175"/>
      <c r="AV19" s="223"/>
      <c r="AW19" s="223"/>
    </row>
    <row r="20" spans="2:49" x14ac:dyDescent="0.45">
      <c r="B20" s="18"/>
      <c r="C20" s="109"/>
      <c r="D20" s="17"/>
      <c r="E20" s="5"/>
      <c r="F20" s="5"/>
      <c r="G20" s="5"/>
      <c r="H20" s="5"/>
      <c r="I20" s="5"/>
      <c r="J20" s="5"/>
      <c r="K20" s="5"/>
      <c r="L20" s="5"/>
      <c r="M20" s="5"/>
      <c r="N20" s="5"/>
      <c r="O20" s="5"/>
      <c r="P20" s="5"/>
      <c r="Q20" s="11"/>
      <c r="R20" s="17"/>
      <c r="S20" s="17"/>
      <c r="T20" s="17"/>
      <c r="U20" s="17"/>
      <c r="Z20" s="50">
        <f t="shared" si="1"/>
        <v>0</v>
      </c>
      <c r="AA20" s="175"/>
      <c r="AB20" s="175"/>
      <c r="AC20" s="175"/>
      <c r="AD20" s="175"/>
      <c r="AE20" s="175"/>
      <c r="AF20" s="175"/>
      <c r="AG20" s="175"/>
      <c r="AH20" s="175"/>
      <c r="AI20" s="175"/>
      <c r="AJ20" s="175"/>
      <c r="AK20" s="175"/>
      <c r="AL20" s="175"/>
      <c r="AM20" s="175"/>
      <c r="AN20" s="175"/>
      <c r="AO20" s="175"/>
      <c r="AP20" s="175"/>
      <c r="AQ20" s="175"/>
      <c r="AR20" s="175"/>
      <c r="AS20" s="175"/>
      <c r="AT20" s="175"/>
      <c r="AU20" s="175"/>
      <c r="AV20" s="223"/>
      <c r="AW20" s="223"/>
    </row>
    <row r="21" spans="2:49" x14ac:dyDescent="0.45">
      <c r="B21" s="18"/>
      <c r="C21" s="109"/>
      <c r="D21" s="17"/>
      <c r="E21" s="5"/>
      <c r="F21" s="5"/>
      <c r="G21" s="5"/>
      <c r="H21" s="5"/>
      <c r="I21" s="5"/>
      <c r="J21" s="5"/>
      <c r="K21" s="5"/>
      <c r="L21" s="5"/>
      <c r="M21" s="5"/>
      <c r="N21" s="5"/>
      <c r="O21" s="5"/>
      <c r="P21" s="5"/>
      <c r="Q21" s="11"/>
      <c r="R21" s="17"/>
      <c r="S21" s="17"/>
      <c r="T21" s="17"/>
      <c r="U21" s="17"/>
      <c r="Z21" s="50">
        <f t="shared" si="1"/>
        <v>0</v>
      </c>
      <c r="AA21" s="175"/>
      <c r="AB21" s="175"/>
      <c r="AC21" s="175"/>
      <c r="AD21" s="175"/>
      <c r="AE21" s="175"/>
      <c r="AF21" s="175"/>
      <c r="AG21" s="175"/>
      <c r="AH21" s="175"/>
      <c r="AI21" s="175"/>
      <c r="AJ21" s="175"/>
      <c r="AK21" s="175"/>
      <c r="AL21" s="175"/>
      <c r="AM21" s="175"/>
      <c r="AN21" s="175"/>
      <c r="AO21" s="175"/>
      <c r="AP21" s="175"/>
      <c r="AQ21" s="175"/>
      <c r="AR21" s="175"/>
      <c r="AS21" s="175"/>
      <c r="AT21" s="175"/>
      <c r="AU21" s="175"/>
      <c r="AV21" s="223"/>
      <c r="AW21" s="223"/>
    </row>
    <row r="22" spans="2:49" x14ac:dyDescent="0.45">
      <c r="B22" s="18"/>
      <c r="C22" s="109"/>
      <c r="D22" s="17"/>
      <c r="E22" s="5"/>
      <c r="F22" s="5"/>
      <c r="G22" s="5"/>
      <c r="H22" s="5"/>
      <c r="I22" s="5"/>
      <c r="J22" s="5"/>
      <c r="K22" s="5"/>
      <c r="L22" s="5"/>
      <c r="M22" s="5"/>
      <c r="N22" s="5"/>
      <c r="O22" s="5"/>
      <c r="P22" s="5"/>
      <c r="Q22" s="11"/>
      <c r="R22" s="17"/>
      <c r="S22" s="17"/>
      <c r="T22" s="17"/>
      <c r="U22" s="17"/>
      <c r="Z22" s="50">
        <f t="shared" si="1"/>
        <v>0</v>
      </c>
      <c r="AA22" s="175"/>
      <c r="AB22" s="175"/>
      <c r="AC22" s="175"/>
      <c r="AD22" s="175"/>
      <c r="AE22" s="175"/>
      <c r="AF22" s="175"/>
      <c r="AG22" s="175"/>
      <c r="AH22" s="175"/>
      <c r="AI22" s="175"/>
      <c r="AJ22" s="175"/>
      <c r="AK22" s="175"/>
      <c r="AL22" s="175"/>
      <c r="AM22" s="175"/>
      <c r="AN22" s="175"/>
      <c r="AO22" s="175"/>
      <c r="AP22" s="175"/>
      <c r="AQ22" s="175"/>
      <c r="AR22" s="175"/>
      <c r="AS22" s="175"/>
      <c r="AT22" s="175"/>
      <c r="AU22" s="175"/>
      <c r="AV22" s="223"/>
      <c r="AW22" s="223"/>
    </row>
    <row r="23" spans="2:49" x14ac:dyDescent="0.45">
      <c r="B23" s="18"/>
      <c r="C23" s="109"/>
      <c r="D23" s="17"/>
      <c r="E23" s="5"/>
      <c r="F23" s="5"/>
      <c r="G23" s="5"/>
      <c r="H23" s="5"/>
      <c r="I23" s="5"/>
      <c r="J23" s="5"/>
      <c r="K23" s="5"/>
      <c r="L23" s="5"/>
      <c r="M23" s="5"/>
      <c r="N23" s="5"/>
      <c r="O23" s="5"/>
      <c r="P23" s="5"/>
      <c r="Q23" s="11"/>
      <c r="R23" s="17"/>
      <c r="S23" s="17"/>
      <c r="T23" s="17"/>
      <c r="U23" s="17"/>
      <c r="Z23" s="50">
        <f t="shared" si="1"/>
        <v>0</v>
      </c>
      <c r="AA23" s="175"/>
      <c r="AB23" s="175"/>
      <c r="AC23" s="175"/>
      <c r="AD23" s="175"/>
      <c r="AE23" s="175"/>
      <c r="AF23" s="175"/>
      <c r="AG23" s="175"/>
      <c r="AH23" s="175"/>
      <c r="AI23" s="175"/>
      <c r="AJ23" s="175"/>
      <c r="AK23" s="175"/>
      <c r="AL23" s="175"/>
      <c r="AM23" s="175"/>
      <c r="AN23" s="175"/>
      <c r="AO23" s="175"/>
      <c r="AP23" s="175"/>
      <c r="AQ23" s="175"/>
      <c r="AR23" s="175"/>
      <c r="AS23" s="175"/>
      <c r="AT23" s="175"/>
      <c r="AU23" s="175"/>
      <c r="AV23" s="223"/>
      <c r="AW23" s="223"/>
    </row>
    <row r="24" spans="2:49" x14ac:dyDescent="0.45">
      <c r="B24" s="18"/>
      <c r="C24" s="109"/>
      <c r="D24" s="17"/>
      <c r="E24" s="5"/>
      <c r="F24" s="5"/>
      <c r="G24" s="5"/>
      <c r="H24" s="5"/>
      <c r="I24" s="5"/>
      <c r="J24" s="5"/>
      <c r="K24" s="5"/>
      <c r="L24" s="5"/>
      <c r="M24" s="5"/>
      <c r="N24" s="5"/>
      <c r="O24" s="5"/>
      <c r="P24" s="5"/>
      <c r="Q24" s="11"/>
      <c r="R24" s="17"/>
      <c r="S24" s="17"/>
      <c r="T24" s="17"/>
      <c r="U24" s="17"/>
      <c r="Z24" s="50">
        <f t="shared" si="1"/>
        <v>0</v>
      </c>
      <c r="AA24" s="175"/>
      <c r="AB24" s="175"/>
      <c r="AC24" s="175"/>
      <c r="AD24" s="175"/>
      <c r="AE24" s="223"/>
      <c r="AF24" s="175"/>
      <c r="AG24" s="175"/>
      <c r="AH24" s="175"/>
      <c r="AI24" s="175"/>
      <c r="AJ24" s="175"/>
      <c r="AK24" s="175"/>
      <c r="AL24" s="175"/>
      <c r="AM24" s="223"/>
      <c r="AN24" s="175"/>
      <c r="AO24" s="175"/>
      <c r="AP24" s="175"/>
      <c r="AQ24" s="175"/>
      <c r="AR24" s="175"/>
      <c r="AS24" s="175"/>
      <c r="AT24" s="175"/>
      <c r="AU24" s="175"/>
      <c r="AV24" s="223"/>
      <c r="AW24" s="223"/>
    </row>
    <row r="25" spans="2:49" x14ac:dyDescent="0.45">
      <c r="B25" s="18"/>
      <c r="C25" s="109"/>
      <c r="D25" s="17"/>
      <c r="E25" s="5"/>
      <c r="F25" s="5"/>
      <c r="G25" s="5"/>
      <c r="H25" s="5"/>
      <c r="I25" s="5"/>
      <c r="J25" s="5"/>
      <c r="K25" s="5"/>
      <c r="L25" s="5"/>
      <c r="M25" s="5"/>
      <c r="N25" s="5"/>
      <c r="O25" s="5"/>
      <c r="P25" s="5"/>
      <c r="Q25" s="11"/>
      <c r="R25" s="17"/>
      <c r="S25" s="17"/>
      <c r="T25" s="17"/>
      <c r="U25" s="17"/>
      <c r="Z25" s="50">
        <f t="shared" si="1"/>
        <v>0</v>
      </c>
      <c r="AA25" s="175"/>
      <c r="AB25" s="175"/>
      <c r="AC25" s="175"/>
      <c r="AD25" s="175"/>
      <c r="AE25" s="175"/>
      <c r="AF25" s="175"/>
      <c r="AG25" s="175"/>
      <c r="AH25" s="175"/>
      <c r="AI25" s="175"/>
      <c r="AJ25" s="175"/>
      <c r="AK25" s="175"/>
      <c r="AL25" s="175"/>
      <c r="AM25" s="223"/>
      <c r="AN25" s="175"/>
      <c r="AO25" s="175"/>
      <c r="AP25" s="175"/>
      <c r="AQ25" s="175"/>
      <c r="AR25" s="175"/>
      <c r="AS25" s="175"/>
      <c r="AT25" s="175"/>
      <c r="AU25" s="175"/>
      <c r="AV25" s="223"/>
      <c r="AW25" s="223"/>
    </row>
    <row r="26" spans="2:49" x14ac:dyDescent="0.45">
      <c r="B26" s="18"/>
      <c r="C26" s="109"/>
      <c r="D26" s="17"/>
      <c r="E26" s="5"/>
      <c r="F26" s="5"/>
      <c r="G26" s="5"/>
      <c r="H26" s="5"/>
      <c r="I26" s="5"/>
      <c r="J26" s="5"/>
      <c r="K26" s="5"/>
      <c r="L26" s="5"/>
      <c r="M26" s="5"/>
      <c r="N26" s="5"/>
      <c r="O26" s="5"/>
      <c r="P26" s="5"/>
      <c r="Q26" s="11"/>
      <c r="R26" s="17"/>
      <c r="S26" s="17"/>
      <c r="T26" s="17"/>
      <c r="U26" s="17"/>
      <c r="Z26" s="50">
        <f t="shared" si="1"/>
        <v>0</v>
      </c>
      <c r="AA26" s="175"/>
      <c r="AB26" s="175"/>
      <c r="AC26" s="175"/>
      <c r="AD26" s="175"/>
      <c r="AE26" s="175"/>
      <c r="AF26" s="175"/>
      <c r="AG26" s="175"/>
      <c r="AH26" s="175"/>
      <c r="AI26" s="175"/>
      <c r="AJ26" s="175"/>
      <c r="AK26" s="175"/>
      <c r="AL26" s="223"/>
      <c r="AM26" s="223"/>
      <c r="AN26" s="175"/>
      <c r="AO26" s="175"/>
      <c r="AP26" s="175"/>
      <c r="AQ26" s="175"/>
      <c r="AR26" s="175"/>
      <c r="AS26" s="175"/>
      <c r="AT26" s="175"/>
      <c r="AU26" s="175"/>
      <c r="AV26" s="223"/>
      <c r="AW26" s="223"/>
    </row>
    <row r="27" spans="2:49" x14ac:dyDescent="0.45">
      <c r="B27" s="18"/>
      <c r="C27" s="109"/>
      <c r="D27" s="17"/>
      <c r="E27" s="5"/>
      <c r="F27" s="5"/>
      <c r="G27" s="5"/>
      <c r="H27" s="5"/>
      <c r="I27" s="5"/>
      <c r="J27" s="5"/>
      <c r="K27" s="5"/>
      <c r="L27" s="5"/>
      <c r="M27" s="5"/>
      <c r="N27" s="5"/>
      <c r="O27" s="5"/>
      <c r="P27" s="5"/>
      <c r="Q27" s="11"/>
      <c r="R27" s="17"/>
      <c r="S27" s="17"/>
      <c r="T27" s="17"/>
      <c r="U27" s="17"/>
      <c r="Z27" s="50">
        <f t="shared" si="1"/>
        <v>0</v>
      </c>
      <c r="AA27" s="175"/>
      <c r="AB27" s="175"/>
      <c r="AC27" s="175"/>
      <c r="AD27" s="175"/>
      <c r="AE27" s="223"/>
      <c r="AF27" s="175"/>
      <c r="AG27" s="175"/>
      <c r="AH27" s="175"/>
      <c r="AI27" s="175"/>
      <c r="AJ27" s="175"/>
      <c r="AK27" s="175"/>
      <c r="AL27" s="175"/>
      <c r="AM27" s="175"/>
      <c r="AN27" s="175"/>
      <c r="AO27" s="175"/>
      <c r="AP27" s="175"/>
      <c r="AQ27" s="175"/>
      <c r="AR27" s="175"/>
      <c r="AS27" s="175"/>
      <c r="AT27" s="175"/>
      <c r="AU27" s="175"/>
      <c r="AV27" s="223"/>
      <c r="AW27" s="223"/>
    </row>
    <row r="28" spans="2:49" x14ac:dyDescent="0.45">
      <c r="B28" s="18"/>
      <c r="C28" s="109"/>
      <c r="D28" s="17"/>
      <c r="E28" s="5"/>
      <c r="F28" s="5"/>
      <c r="G28" s="5"/>
      <c r="H28" s="5"/>
      <c r="I28" s="5"/>
      <c r="J28" s="5"/>
      <c r="K28" s="5"/>
      <c r="L28" s="5"/>
      <c r="M28" s="5"/>
      <c r="N28" s="5"/>
      <c r="O28" s="5"/>
      <c r="P28" s="5"/>
      <c r="Q28" s="11"/>
      <c r="R28" s="17"/>
      <c r="S28" s="17"/>
      <c r="T28" s="17"/>
      <c r="U28" s="17"/>
      <c r="Z28" s="50">
        <f t="shared" si="1"/>
        <v>0</v>
      </c>
      <c r="AA28" s="175"/>
      <c r="AB28" s="175"/>
      <c r="AC28" s="175"/>
      <c r="AD28" s="175"/>
      <c r="AE28" s="175"/>
      <c r="AF28" s="175"/>
      <c r="AG28" s="175"/>
      <c r="AH28" s="175"/>
      <c r="AI28" s="175"/>
      <c r="AJ28" s="175"/>
      <c r="AK28" s="175"/>
      <c r="AL28" s="175"/>
      <c r="AM28" s="175"/>
      <c r="AN28" s="175"/>
      <c r="AO28" s="175"/>
      <c r="AP28" s="175"/>
      <c r="AQ28" s="175"/>
      <c r="AR28" s="175"/>
      <c r="AS28" s="175"/>
      <c r="AT28" s="175"/>
      <c r="AU28" s="175"/>
      <c r="AV28" s="223"/>
      <c r="AW28" s="223"/>
    </row>
    <row r="29" spans="2:49" x14ac:dyDescent="0.45">
      <c r="B29" s="18"/>
      <c r="C29" s="109"/>
      <c r="D29" s="17"/>
      <c r="E29" s="5"/>
      <c r="F29" s="5"/>
      <c r="G29" s="5"/>
      <c r="H29" s="5"/>
      <c r="I29" s="5"/>
      <c r="J29" s="5"/>
      <c r="K29" s="5"/>
      <c r="L29" s="5"/>
      <c r="M29" s="5"/>
      <c r="N29" s="5"/>
      <c r="O29" s="5"/>
      <c r="P29" s="5"/>
      <c r="Q29" s="11"/>
      <c r="R29" s="17"/>
      <c r="S29" s="17"/>
      <c r="T29" s="17"/>
      <c r="U29" s="17"/>
      <c r="Z29" s="50">
        <f t="shared" si="1"/>
        <v>0</v>
      </c>
      <c r="AA29" s="175"/>
      <c r="AB29" s="175"/>
      <c r="AC29" s="175"/>
      <c r="AD29" s="175"/>
      <c r="AE29" s="175"/>
      <c r="AF29" s="175"/>
      <c r="AG29" s="175"/>
      <c r="AH29" s="175"/>
      <c r="AI29" s="175"/>
      <c r="AJ29" s="175"/>
      <c r="AK29" s="175"/>
      <c r="AL29" s="175"/>
      <c r="AM29" s="175"/>
      <c r="AN29" s="175"/>
      <c r="AO29" s="175"/>
      <c r="AP29" s="175"/>
      <c r="AQ29" s="175"/>
      <c r="AR29" s="175"/>
      <c r="AS29" s="175"/>
      <c r="AT29" s="175"/>
      <c r="AU29" s="175"/>
      <c r="AV29" s="223"/>
      <c r="AW29" s="223"/>
    </row>
    <row r="30" spans="2:49" x14ac:dyDescent="0.45">
      <c r="B30" s="18"/>
      <c r="C30" s="109"/>
      <c r="D30" s="17"/>
      <c r="E30" s="5"/>
      <c r="F30" s="5"/>
      <c r="G30" s="5"/>
      <c r="H30" s="5"/>
      <c r="I30" s="5"/>
      <c r="J30" s="5"/>
      <c r="K30" s="5"/>
      <c r="L30" s="5"/>
      <c r="M30" s="5"/>
      <c r="N30" s="5"/>
      <c r="O30" s="5"/>
      <c r="P30" s="5"/>
      <c r="Q30" s="11"/>
      <c r="R30" s="17"/>
      <c r="S30" s="17"/>
      <c r="T30" s="17"/>
      <c r="U30" s="17"/>
      <c r="Z30" s="50">
        <f t="shared" si="1"/>
        <v>0</v>
      </c>
      <c r="AA30" s="175"/>
      <c r="AB30" s="175"/>
      <c r="AC30" s="175"/>
      <c r="AD30" s="175"/>
      <c r="AE30" s="223"/>
      <c r="AF30" s="175"/>
      <c r="AG30" s="175"/>
      <c r="AH30" s="175"/>
      <c r="AI30" s="175"/>
      <c r="AJ30" s="175"/>
      <c r="AK30" s="175"/>
      <c r="AL30" s="175"/>
      <c r="AM30" s="175"/>
      <c r="AN30" s="175"/>
      <c r="AO30" s="175"/>
      <c r="AP30" s="175"/>
      <c r="AQ30" s="175"/>
      <c r="AR30" s="175"/>
      <c r="AS30" s="175"/>
      <c r="AT30" s="175"/>
      <c r="AU30" s="175"/>
      <c r="AV30" s="223"/>
      <c r="AW30" s="223"/>
    </row>
    <row r="31" spans="2:49" x14ac:dyDescent="0.45">
      <c r="B31" s="18"/>
      <c r="C31" s="109"/>
      <c r="D31" s="17"/>
      <c r="E31" s="5"/>
      <c r="F31" s="5"/>
      <c r="G31" s="5"/>
      <c r="H31" s="5"/>
      <c r="I31" s="5"/>
      <c r="J31" s="5"/>
      <c r="K31" s="5"/>
      <c r="L31" s="5"/>
      <c r="M31" s="5"/>
      <c r="N31" s="5"/>
      <c r="O31" s="5"/>
      <c r="P31" s="5"/>
      <c r="Q31" s="11"/>
      <c r="R31" s="17"/>
      <c r="S31" s="17"/>
      <c r="T31" s="17"/>
      <c r="U31" s="17"/>
      <c r="Z31" s="50">
        <f t="shared" si="1"/>
        <v>0</v>
      </c>
      <c r="AA31" s="175"/>
      <c r="AB31" s="175"/>
      <c r="AC31" s="175"/>
      <c r="AD31" s="175"/>
      <c r="AE31" s="175"/>
      <c r="AF31" s="175"/>
      <c r="AG31" s="175"/>
      <c r="AH31" s="175"/>
      <c r="AI31" s="175"/>
      <c r="AJ31" s="175"/>
      <c r="AK31" s="175"/>
      <c r="AL31" s="175"/>
      <c r="AM31" s="175"/>
      <c r="AN31" s="175"/>
      <c r="AO31" s="175"/>
      <c r="AP31" s="175"/>
      <c r="AQ31" s="175"/>
      <c r="AR31" s="175"/>
      <c r="AS31" s="175"/>
      <c r="AT31" s="175"/>
      <c r="AU31" s="175"/>
      <c r="AV31" s="175"/>
      <c r="AW31" s="175"/>
    </row>
    <row r="32" spans="2:49" x14ac:dyDescent="0.45">
      <c r="B32" s="18"/>
      <c r="C32" s="109"/>
      <c r="D32" s="17"/>
      <c r="E32" s="5"/>
      <c r="F32" s="5"/>
      <c r="G32" s="5"/>
      <c r="H32" s="5"/>
      <c r="I32" s="5"/>
      <c r="J32" s="5"/>
      <c r="K32" s="5"/>
      <c r="L32" s="5"/>
      <c r="M32" s="5"/>
      <c r="N32" s="5"/>
      <c r="O32" s="5"/>
      <c r="P32" s="5"/>
      <c r="Q32" s="11"/>
      <c r="R32" s="17"/>
      <c r="S32" s="17"/>
      <c r="T32" s="17"/>
      <c r="U32" s="17"/>
      <c r="Z32" s="50">
        <f t="shared" si="1"/>
        <v>0</v>
      </c>
      <c r="AA32" s="175"/>
      <c r="AB32" s="175"/>
      <c r="AC32" s="175"/>
      <c r="AD32" s="175"/>
      <c r="AE32" s="175"/>
      <c r="AF32" s="175"/>
      <c r="AG32" s="175"/>
      <c r="AH32" s="175"/>
      <c r="AI32" s="175"/>
      <c r="AJ32" s="175"/>
      <c r="AK32" s="175"/>
      <c r="AL32" s="175"/>
      <c r="AM32" s="175"/>
      <c r="AN32" s="175"/>
      <c r="AO32" s="175"/>
      <c r="AP32" s="175"/>
      <c r="AQ32" s="175"/>
      <c r="AR32" s="175"/>
      <c r="AS32" s="175"/>
      <c r="AT32" s="175"/>
      <c r="AU32" s="175"/>
      <c r="AV32" s="175"/>
      <c r="AW32" s="175"/>
    </row>
    <row r="33" spans="2:49" x14ac:dyDescent="0.45">
      <c r="B33" s="18"/>
      <c r="C33" s="109"/>
      <c r="D33" s="17"/>
      <c r="E33" s="5"/>
      <c r="F33" s="5"/>
      <c r="G33" s="5"/>
      <c r="H33" s="5"/>
      <c r="I33" s="5"/>
      <c r="J33" s="5"/>
      <c r="K33" s="5"/>
      <c r="L33" s="5"/>
      <c r="M33" s="5"/>
      <c r="N33" s="5"/>
      <c r="O33" s="5"/>
      <c r="P33" s="5"/>
      <c r="Q33" s="11"/>
      <c r="R33" s="17"/>
      <c r="S33" s="17"/>
      <c r="T33" s="17"/>
      <c r="U33" s="17"/>
      <c r="Z33" s="50">
        <f t="shared" si="1"/>
        <v>0</v>
      </c>
      <c r="AA33" s="175"/>
      <c r="AB33" s="175"/>
      <c r="AC33" s="175"/>
      <c r="AD33" s="175"/>
      <c r="AE33" s="175"/>
      <c r="AF33" s="175"/>
      <c r="AG33" s="175"/>
      <c r="AH33" s="175"/>
      <c r="AI33" s="175"/>
      <c r="AJ33" s="175"/>
      <c r="AK33" s="175"/>
      <c r="AL33" s="175"/>
      <c r="AM33" s="175"/>
      <c r="AN33" s="175"/>
      <c r="AO33" s="175"/>
      <c r="AP33" s="175"/>
      <c r="AQ33" s="175"/>
      <c r="AR33" s="175"/>
      <c r="AS33" s="175"/>
      <c r="AT33" s="175"/>
      <c r="AU33" s="175"/>
      <c r="AV33" s="175"/>
      <c r="AW33" s="175"/>
    </row>
    <row r="34" spans="2:49" x14ac:dyDescent="0.45">
      <c r="B34" s="18"/>
      <c r="C34" s="109"/>
      <c r="D34" s="17"/>
      <c r="E34" s="5"/>
      <c r="F34" s="5"/>
      <c r="G34" s="5"/>
      <c r="H34" s="5"/>
      <c r="I34" s="5"/>
      <c r="J34" s="5"/>
      <c r="K34" s="5"/>
      <c r="L34" s="5"/>
      <c r="M34" s="5"/>
      <c r="N34" s="5"/>
      <c r="O34" s="5"/>
      <c r="P34" s="5"/>
      <c r="Q34" s="11"/>
      <c r="R34" s="17"/>
      <c r="S34" s="17"/>
      <c r="T34" s="17"/>
      <c r="U34" s="17"/>
      <c r="Z34" s="50">
        <f t="shared" si="1"/>
        <v>0</v>
      </c>
      <c r="AA34" s="175"/>
      <c r="AB34" s="175"/>
      <c r="AC34" s="175"/>
      <c r="AD34" s="175"/>
      <c r="AE34" s="175"/>
      <c r="AF34" s="175"/>
      <c r="AG34" s="175"/>
      <c r="AH34" s="175"/>
      <c r="AI34" s="175"/>
      <c r="AJ34" s="175"/>
      <c r="AK34" s="175"/>
      <c r="AL34" s="175"/>
      <c r="AM34" s="175"/>
      <c r="AN34" s="175"/>
      <c r="AO34" s="175"/>
      <c r="AP34" s="175"/>
      <c r="AQ34" s="175"/>
      <c r="AR34" s="175"/>
      <c r="AS34" s="175"/>
      <c r="AT34" s="175"/>
      <c r="AU34" s="175"/>
      <c r="AV34" s="175"/>
      <c r="AW34" s="175"/>
    </row>
    <row r="35" spans="2:49" x14ac:dyDescent="0.45">
      <c r="B35" s="18"/>
      <c r="C35" s="109"/>
      <c r="D35" s="17"/>
      <c r="E35" s="5"/>
      <c r="F35" s="5"/>
      <c r="G35" s="5"/>
      <c r="H35" s="5"/>
      <c r="I35" s="5"/>
      <c r="J35" s="5"/>
      <c r="K35" s="5"/>
      <c r="L35" s="5"/>
      <c r="M35" s="5"/>
      <c r="N35" s="5"/>
      <c r="O35" s="5"/>
      <c r="P35" s="5"/>
      <c r="Q35" s="11"/>
      <c r="R35" s="17"/>
      <c r="S35" s="17"/>
      <c r="T35" s="17"/>
      <c r="U35" s="17"/>
      <c r="Z35" s="50">
        <f t="shared" si="1"/>
        <v>0</v>
      </c>
      <c r="AA35" s="175"/>
      <c r="AB35" s="175"/>
      <c r="AC35" s="175"/>
      <c r="AD35" s="175"/>
      <c r="AE35" s="175"/>
      <c r="AF35" s="175"/>
      <c r="AG35" s="175"/>
      <c r="AH35" s="175"/>
      <c r="AI35" s="175"/>
      <c r="AJ35" s="175"/>
      <c r="AK35" s="175"/>
      <c r="AL35" s="175"/>
      <c r="AM35" s="175"/>
      <c r="AN35" s="175"/>
      <c r="AO35" s="175"/>
      <c r="AP35" s="175"/>
      <c r="AQ35" s="175"/>
      <c r="AR35" s="175"/>
      <c r="AS35" s="175"/>
      <c r="AT35" s="175"/>
      <c r="AU35" s="175"/>
      <c r="AV35" s="175"/>
      <c r="AW35" s="175"/>
    </row>
    <row r="36" spans="2:49" x14ac:dyDescent="0.45">
      <c r="B36" s="18"/>
      <c r="C36" s="109"/>
      <c r="D36" s="17"/>
      <c r="E36" s="5"/>
      <c r="F36" s="5"/>
      <c r="G36" s="5"/>
      <c r="H36" s="5"/>
      <c r="I36" s="5"/>
      <c r="J36" s="5"/>
      <c r="K36" s="5"/>
      <c r="L36" s="5"/>
      <c r="M36" s="5"/>
      <c r="N36" s="5"/>
      <c r="O36" s="5"/>
      <c r="P36" s="5"/>
      <c r="Q36" s="11"/>
      <c r="R36" s="17"/>
      <c r="S36" s="17"/>
      <c r="T36" s="17"/>
      <c r="U36" s="17"/>
      <c r="Z36" s="50">
        <f t="shared" si="1"/>
        <v>0</v>
      </c>
      <c r="AA36" s="175"/>
      <c r="AB36" s="175"/>
      <c r="AC36" s="175"/>
      <c r="AD36" s="175"/>
      <c r="AE36" s="175"/>
      <c r="AF36" s="175"/>
      <c r="AG36" s="175"/>
      <c r="AH36" s="175"/>
      <c r="AI36" s="175"/>
      <c r="AJ36" s="175"/>
      <c r="AK36" s="175"/>
      <c r="AL36" s="175"/>
      <c r="AM36" s="175"/>
      <c r="AN36" s="175"/>
      <c r="AO36" s="175"/>
      <c r="AP36" s="175"/>
      <c r="AQ36" s="175"/>
      <c r="AR36" s="175"/>
      <c r="AS36" s="175"/>
      <c r="AT36" s="175"/>
      <c r="AU36" s="175"/>
      <c r="AV36" s="175"/>
      <c r="AW36" s="175"/>
    </row>
    <row r="37" spans="2:49" x14ac:dyDescent="0.45">
      <c r="B37" s="18"/>
      <c r="C37" s="109"/>
      <c r="D37" s="17"/>
      <c r="E37" s="5"/>
      <c r="F37" s="5"/>
      <c r="G37" s="5"/>
      <c r="H37" s="5"/>
      <c r="I37" s="5"/>
      <c r="J37" s="5"/>
      <c r="K37" s="5"/>
      <c r="L37" s="5"/>
      <c r="M37" s="5"/>
      <c r="N37" s="5"/>
      <c r="O37" s="5"/>
      <c r="P37" s="5"/>
      <c r="Q37" s="11"/>
      <c r="R37" s="17"/>
      <c r="S37" s="17"/>
      <c r="T37" s="17"/>
      <c r="U37" s="17"/>
      <c r="Z37" s="50">
        <f t="shared" si="1"/>
        <v>0</v>
      </c>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row>
    <row r="38" spans="2:49" x14ac:dyDescent="0.45">
      <c r="B38" s="18"/>
      <c r="C38" s="109"/>
      <c r="D38" s="17"/>
      <c r="E38" s="5"/>
      <c r="F38" s="5"/>
      <c r="G38" s="5"/>
      <c r="H38" s="5"/>
      <c r="I38" s="5"/>
      <c r="J38" s="5"/>
      <c r="K38" s="5"/>
      <c r="L38" s="5"/>
      <c r="M38" s="5"/>
      <c r="N38" s="5"/>
      <c r="O38" s="5"/>
      <c r="P38" s="5"/>
      <c r="Q38" s="11"/>
      <c r="R38" s="17"/>
      <c r="S38" s="17"/>
      <c r="T38" s="17"/>
      <c r="U38" s="17"/>
      <c r="Z38" s="50">
        <f t="shared" si="1"/>
        <v>0</v>
      </c>
      <c r="AA38" s="175"/>
      <c r="AB38" s="175"/>
      <c r="AC38" s="175"/>
      <c r="AD38" s="175"/>
      <c r="AE38" s="175"/>
      <c r="AF38" s="175"/>
      <c r="AG38" s="175"/>
      <c r="AH38" s="175"/>
      <c r="AI38" s="175"/>
      <c r="AJ38" s="175"/>
      <c r="AK38" s="175"/>
      <c r="AL38" s="175"/>
      <c r="AM38" s="175"/>
      <c r="AN38" s="175"/>
      <c r="AO38" s="175"/>
      <c r="AP38" s="175"/>
      <c r="AQ38" s="175"/>
      <c r="AR38" s="175"/>
      <c r="AS38" s="175"/>
      <c r="AT38" s="175"/>
      <c r="AU38" s="175"/>
      <c r="AV38" s="175"/>
      <c r="AW38" s="175"/>
    </row>
    <row r="39" spans="2:49" x14ac:dyDescent="0.45">
      <c r="B39" s="18"/>
      <c r="C39" s="109"/>
      <c r="D39" s="17"/>
      <c r="E39" s="5"/>
      <c r="F39" s="5"/>
      <c r="G39" s="5"/>
      <c r="H39" s="5"/>
      <c r="I39" s="5"/>
      <c r="J39" s="5"/>
      <c r="K39" s="5"/>
      <c r="L39" s="5"/>
      <c r="M39" s="5"/>
      <c r="N39" s="5"/>
      <c r="O39" s="5"/>
      <c r="P39" s="5"/>
      <c r="Q39" s="11"/>
      <c r="R39" s="17"/>
      <c r="S39" s="17"/>
      <c r="T39" s="17"/>
      <c r="U39" s="17"/>
      <c r="AA39" s="175"/>
      <c r="AB39" s="175"/>
      <c r="AC39" s="175"/>
      <c r="AD39" s="175"/>
      <c r="AE39" s="175"/>
      <c r="AF39" s="175"/>
      <c r="AG39" s="175"/>
      <c r="AH39" s="175"/>
      <c r="AI39" s="175"/>
      <c r="AJ39" s="175"/>
      <c r="AK39" s="175"/>
      <c r="AL39" s="175"/>
      <c r="AM39" s="175"/>
      <c r="AN39" s="175"/>
      <c r="AO39" s="175"/>
      <c r="AP39" s="175"/>
      <c r="AQ39" s="175"/>
      <c r="AR39" s="175"/>
      <c r="AS39" s="175"/>
      <c r="AT39" s="175"/>
      <c r="AU39" s="175"/>
      <c r="AV39" s="175"/>
      <c r="AW39" s="175"/>
    </row>
    <row r="40" spans="2:49" x14ac:dyDescent="0.45">
      <c r="B40" s="18"/>
      <c r="C40" s="109"/>
      <c r="D40" s="17"/>
      <c r="E40" s="5"/>
      <c r="F40" s="5"/>
      <c r="G40" s="5"/>
      <c r="H40" s="5"/>
      <c r="I40" s="5"/>
      <c r="J40" s="5"/>
      <c r="K40" s="5"/>
      <c r="L40" s="5"/>
      <c r="M40" s="5"/>
      <c r="N40" s="5"/>
      <c r="O40" s="5"/>
      <c r="P40" s="5"/>
      <c r="Q40" s="11"/>
      <c r="R40" s="17"/>
      <c r="S40" s="17"/>
      <c r="T40" s="17"/>
      <c r="U40" s="17"/>
      <c r="AA40" s="175"/>
      <c r="AB40" s="175"/>
      <c r="AC40" s="175"/>
      <c r="AD40" s="175"/>
      <c r="AE40" s="175"/>
      <c r="AF40" s="175"/>
      <c r="AG40" s="175"/>
      <c r="AH40" s="175"/>
      <c r="AI40" s="175"/>
      <c r="AJ40" s="175"/>
      <c r="AK40" s="175"/>
      <c r="AL40" s="175"/>
      <c r="AM40" s="175"/>
      <c r="AN40" s="175"/>
      <c r="AO40" s="175"/>
      <c r="AP40" s="175"/>
      <c r="AQ40" s="175"/>
      <c r="AR40" s="175"/>
      <c r="AS40" s="175"/>
      <c r="AT40" s="175"/>
      <c r="AU40" s="175"/>
      <c r="AV40" s="175"/>
      <c r="AW40" s="175"/>
    </row>
    <row r="41" spans="2:49" x14ac:dyDescent="0.45">
      <c r="B41" s="18"/>
      <c r="C41" s="109"/>
      <c r="D41" s="17"/>
      <c r="E41" s="5"/>
      <c r="F41" s="5"/>
      <c r="G41" s="5"/>
      <c r="H41" s="5"/>
      <c r="I41" s="5"/>
      <c r="J41" s="5"/>
      <c r="K41" s="5"/>
      <c r="L41" s="5"/>
      <c r="M41" s="5"/>
      <c r="N41" s="5"/>
      <c r="O41" s="5"/>
      <c r="P41" s="5"/>
      <c r="Q41" s="11"/>
      <c r="R41" s="17"/>
      <c r="S41" s="17"/>
      <c r="T41" s="17"/>
      <c r="U41" s="17"/>
      <c r="AA41" s="175"/>
      <c r="AB41" s="175"/>
      <c r="AC41" s="175"/>
      <c r="AD41" s="175"/>
      <c r="AE41" s="175"/>
      <c r="AF41" s="175"/>
      <c r="AG41" s="175"/>
      <c r="AH41" s="175"/>
      <c r="AI41" s="175"/>
      <c r="AJ41" s="175"/>
      <c r="AK41" s="175"/>
      <c r="AL41" s="175"/>
      <c r="AM41" s="175"/>
      <c r="AN41" s="175"/>
      <c r="AO41" s="175"/>
      <c r="AP41" s="175"/>
      <c r="AQ41" s="175"/>
      <c r="AR41" s="175"/>
      <c r="AS41" s="175"/>
      <c r="AT41" s="175"/>
      <c r="AU41" s="175"/>
      <c r="AV41" s="175"/>
      <c r="AW41" s="175"/>
    </row>
    <row r="42" spans="2:49" x14ac:dyDescent="0.45">
      <c r="B42" s="18"/>
      <c r="C42" s="109"/>
      <c r="D42" s="17"/>
      <c r="E42" s="5"/>
      <c r="F42" s="5"/>
      <c r="G42" s="5"/>
      <c r="H42" s="5"/>
      <c r="I42" s="5"/>
      <c r="J42" s="5"/>
      <c r="K42" s="5"/>
      <c r="L42" s="5"/>
      <c r="M42" s="5"/>
      <c r="N42" s="5"/>
      <c r="O42" s="5"/>
      <c r="P42" s="5"/>
      <c r="Q42" s="11"/>
      <c r="R42" s="17"/>
      <c r="S42" s="17"/>
      <c r="T42" s="17"/>
      <c r="U42" s="17"/>
      <c r="AA42" s="175"/>
      <c r="AB42" s="175"/>
      <c r="AC42" s="175"/>
      <c r="AD42" s="175"/>
      <c r="AE42" s="175"/>
      <c r="AF42" s="175"/>
      <c r="AG42" s="175"/>
      <c r="AH42" s="175"/>
      <c r="AI42" s="175"/>
      <c r="AJ42" s="175"/>
      <c r="AK42" s="175"/>
      <c r="AL42" s="175"/>
      <c r="AM42" s="175"/>
      <c r="AN42" s="175"/>
      <c r="AO42" s="175"/>
      <c r="AP42" s="175"/>
      <c r="AQ42" s="175"/>
      <c r="AR42" s="175"/>
      <c r="AS42" s="175"/>
      <c r="AT42" s="175"/>
      <c r="AU42" s="175"/>
      <c r="AV42" s="175"/>
      <c r="AW42" s="175"/>
    </row>
    <row r="43" spans="2:49" x14ac:dyDescent="0.45">
      <c r="B43" s="18"/>
      <c r="C43" s="109"/>
      <c r="D43" s="17"/>
      <c r="E43" s="5"/>
      <c r="F43" s="5"/>
      <c r="G43" s="5"/>
      <c r="H43" s="5"/>
      <c r="I43" s="5"/>
      <c r="J43" s="5"/>
      <c r="K43" s="5"/>
      <c r="L43" s="5"/>
      <c r="M43" s="5"/>
      <c r="N43" s="5"/>
      <c r="O43" s="5"/>
      <c r="P43" s="5"/>
      <c r="Q43" s="11"/>
      <c r="R43" s="17"/>
      <c r="S43" s="17"/>
      <c r="T43" s="17"/>
      <c r="U43" s="17"/>
      <c r="AA43" s="175"/>
      <c r="AB43" s="175"/>
      <c r="AC43" s="175"/>
      <c r="AD43" s="175"/>
      <c r="AE43" s="175"/>
      <c r="AF43" s="175"/>
      <c r="AG43" s="175"/>
      <c r="AH43" s="175"/>
      <c r="AI43" s="175"/>
      <c r="AJ43" s="175"/>
      <c r="AK43" s="175"/>
      <c r="AL43" s="175"/>
      <c r="AM43" s="175"/>
      <c r="AN43" s="175"/>
      <c r="AO43" s="175"/>
      <c r="AP43" s="175"/>
      <c r="AQ43" s="175"/>
      <c r="AR43" s="175"/>
      <c r="AS43" s="175"/>
      <c r="AT43" s="175"/>
      <c r="AU43" s="175"/>
      <c r="AV43" s="175"/>
      <c r="AW43" s="175"/>
    </row>
    <row r="44" spans="2:49" x14ac:dyDescent="0.45">
      <c r="B44" s="18"/>
      <c r="C44" s="109"/>
      <c r="D44" s="17"/>
      <c r="E44" s="5"/>
      <c r="F44" s="5"/>
      <c r="G44" s="5"/>
      <c r="H44" s="5"/>
      <c r="I44" s="5"/>
      <c r="J44" s="5"/>
      <c r="K44" s="5"/>
      <c r="L44" s="5"/>
      <c r="M44" s="5"/>
      <c r="N44" s="5"/>
      <c r="O44" s="5"/>
      <c r="P44" s="5"/>
      <c r="Q44" s="11"/>
      <c r="R44" s="17"/>
      <c r="S44" s="17"/>
      <c r="T44" s="17"/>
      <c r="U44" s="17"/>
      <c r="AA44" s="175"/>
      <c r="AB44" s="175"/>
      <c r="AC44" s="175"/>
      <c r="AD44" s="175"/>
      <c r="AE44" s="175"/>
      <c r="AF44" s="175"/>
      <c r="AG44" s="175"/>
      <c r="AH44" s="175"/>
      <c r="AI44" s="175"/>
      <c r="AJ44" s="175"/>
      <c r="AK44" s="175"/>
      <c r="AL44" s="175"/>
      <c r="AM44" s="175"/>
      <c r="AN44" s="175"/>
      <c r="AO44" s="175"/>
      <c r="AP44" s="175"/>
      <c r="AQ44" s="175"/>
      <c r="AR44" s="175"/>
      <c r="AS44" s="175"/>
      <c r="AT44" s="175"/>
      <c r="AU44" s="175"/>
      <c r="AV44" s="175"/>
      <c r="AW44" s="175"/>
    </row>
    <row r="45" spans="2:49" x14ac:dyDescent="0.45">
      <c r="B45" s="18"/>
      <c r="C45" s="109"/>
      <c r="D45" s="17"/>
      <c r="E45" s="5"/>
      <c r="F45" s="5"/>
      <c r="G45" s="5"/>
      <c r="H45" s="5"/>
      <c r="I45" s="5"/>
      <c r="J45" s="5"/>
      <c r="K45" s="5"/>
      <c r="L45" s="5"/>
      <c r="M45" s="5"/>
      <c r="N45" s="5"/>
      <c r="O45" s="5"/>
      <c r="P45" s="5"/>
      <c r="Q45" s="11"/>
      <c r="R45" s="17"/>
      <c r="S45" s="17"/>
      <c r="T45" s="17"/>
      <c r="U45" s="17"/>
      <c r="AA45" s="175"/>
      <c r="AB45" s="175"/>
      <c r="AC45" s="175"/>
      <c r="AD45" s="175"/>
      <c r="AE45" s="175"/>
      <c r="AF45" s="175"/>
      <c r="AG45" s="175"/>
      <c r="AH45" s="175"/>
      <c r="AI45" s="175"/>
      <c r="AJ45" s="175"/>
      <c r="AK45" s="175"/>
      <c r="AL45" s="175"/>
      <c r="AM45" s="175"/>
      <c r="AN45" s="175"/>
      <c r="AO45" s="175"/>
      <c r="AP45" s="175"/>
      <c r="AQ45" s="175"/>
      <c r="AR45" s="175"/>
      <c r="AS45" s="175"/>
      <c r="AT45" s="175"/>
      <c r="AU45" s="175"/>
      <c r="AV45" s="175"/>
      <c r="AW45" s="175"/>
    </row>
    <row r="46" spans="2:49" x14ac:dyDescent="0.45">
      <c r="B46" s="18"/>
      <c r="C46" s="109"/>
      <c r="D46" s="17"/>
      <c r="E46" s="5"/>
      <c r="F46" s="5"/>
      <c r="G46" s="5"/>
      <c r="H46" s="5"/>
      <c r="I46" s="5"/>
      <c r="J46" s="5"/>
      <c r="K46" s="5"/>
      <c r="L46" s="5"/>
      <c r="M46" s="5"/>
      <c r="N46" s="5"/>
      <c r="O46" s="5"/>
      <c r="P46" s="5"/>
      <c r="Q46" s="11"/>
      <c r="R46" s="17"/>
      <c r="S46" s="17"/>
      <c r="T46" s="17"/>
      <c r="U46" s="17"/>
      <c r="AA46" s="175"/>
      <c r="AB46" s="175"/>
      <c r="AC46" s="175"/>
      <c r="AD46" s="175"/>
      <c r="AE46" s="175"/>
      <c r="AF46" s="175"/>
      <c r="AG46" s="175"/>
      <c r="AH46" s="175"/>
      <c r="AI46" s="175"/>
      <c r="AJ46" s="175"/>
      <c r="AK46" s="175"/>
      <c r="AL46" s="175"/>
      <c r="AM46" s="175"/>
      <c r="AN46" s="175"/>
      <c r="AO46" s="175"/>
      <c r="AP46" s="175"/>
      <c r="AQ46" s="175"/>
      <c r="AR46" s="175"/>
      <c r="AS46" s="175"/>
      <c r="AT46" s="175"/>
      <c r="AU46" s="175"/>
      <c r="AV46" s="175"/>
      <c r="AW46" s="175"/>
    </row>
    <row r="47" spans="2:49" x14ac:dyDescent="0.45">
      <c r="AA47" s="175"/>
      <c r="AB47" s="175"/>
      <c r="AC47" s="175"/>
      <c r="AD47" s="175"/>
      <c r="AE47" s="175"/>
      <c r="AF47" s="175"/>
      <c r="AG47" s="175"/>
      <c r="AH47" s="175"/>
      <c r="AI47" s="175"/>
      <c r="AJ47" s="175"/>
      <c r="AK47" s="175"/>
      <c r="AL47" s="175"/>
      <c r="AM47" s="175"/>
      <c r="AN47" s="175"/>
      <c r="AO47" s="175"/>
      <c r="AP47" s="175"/>
      <c r="AQ47" s="175"/>
      <c r="AR47" s="175"/>
      <c r="AS47" s="175"/>
      <c r="AT47" s="175"/>
      <c r="AU47" s="175"/>
      <c r="AV47" s="175"/>
      <c r="AW47" s="175"/>
    </row>
    <row r="48" spans="2:49" x14ac:dyDescent="0.45">
      <c r="AA48" s="175"/>
      <c r="AB48" s="175"/>
      <c r="AC48" s="175"/>
      <c r="AD48" s="175"/>
      <c r="AE48" s="175"/>
      <c r="AF48" s="175"/>
      <c r="AG48" s="175"/>
      <c r="AH48" s="175"/>
      <c r="AI48" s="175"/>
      <c r="AJ48" s="175"/>
      <c r="AK48" s="175"/>
      <c r="AL48" s="175"/>
      <c r="AM48" s="175"/>
      <c r="AN48" s="175"/>
      <c r="AO48" s="175"/>
      <c r="AP48" s="175"/>
      <c r="AQ48" s="175"/>
      <c r="AR48" s="175"/>
      <c r="AS48" s="175"/>
      <c r="AT48" s="175"/>
      <c r="AU48" s="175"/>
      <c r="AV48" s="175"/>
      <c r="AW48" s="175"/>
    </row>
    <row r="49" spans="27:49" x14ac:dyDescent="0.45">
      <c r="AA49" s="175"/>
      <c r="AB49" s="175"/>
      <c r="AC49" s="175"/>
      <c r="AD49" s="175"/>
      <c r="AE49" s="175"/>
      <c r="AF49" s="175"/>
      <c r="AG49" s="175"/>
      <c r="AH49" s="175"/>
      <c r="AI49" s="175"/>
      <c r="AJ49" s="175"/>
      <c r="AK49" s="175"/>
      <c r="AL49" s="175"/>
      <c r="AM49" s="175"/>
      <c r="AN49" s="175"/>
      <c r="AO49" s="175"/>
      <c r="AP49" s="175"/>
      <c r="AQ49" s="175"/>
      <c r="AR49" s="175"/>
      <c r="AS49" s="175"/>
      <c r="AT49" s="175"/>
      <c r="AU49" s="175"/>
      <c r="AV49" s="175"/>
      <c r="AW49" s="175"/>
    </row>
  </sheetData>
  <autoFilter ref="A9:U9" xr:uid="{00000000-0009-0000-0000-000005000000}"/>
  <mergeCells count="13">
    <mergeCell ref="AL8:AU8"/>
    <mergeCell ref="AN9:AU9"/>
    <mergeCell ref="AA8:AA10"/>
    <mergeCell ref="AB8:AB10"/>
    <mergeCell ref="AC8:AC10"/>
    <mergeCell ref="AD8:AD10"/>
    <mergeCell ref="AE8:AE10"/>
    <mergeCell ref="AF8:AF10"/>
    <mergeCell ref="AG8:AG10"/>
    <mergeCell ref="AH8:AH10"/>
    <mergeCell ref="AI8:AI10"/>
    <mergeCell ref="AJ8:AJ10"/>
    <mergeCell ref="AK8:AK10"/>
  </mergeCells>
  <conditionalFormatting sqref="R10:U46">
    <cfRule type="expression" dxfId="26" priority="5">
      <formula>AND($A10&lt;&gt;"",ISEVEN($A10))</formula>
    </cfRule>
  </conditionalFormatting>
  <conditionalFormatting sqref="E10:P3100">
    <cfRule type="expression" dxfId="25" priority="1">
      <formula>AND(E$9&gt;=$T10,E$9&lt;=$U10)</formula>
    </cfRule>
    <cfRule type="expression" dxfId="24" priority="2">
      <formula>AND($S10&lt;&gt;"",$S10&lt;=E$9)</formula>
    </cfRule>
    <cfRule type="expression" dxfId="23" priority="3">
      <formula>AND($R10&lt;&gt;"",$R10&gt;E$9)</formula>
    </cfRule>
  </conditionalFormatting>
  <pageMargins left="0.7" right="0.7" top="0.75" bottom="0.75" header="0.3" footer="0.3"/>
  <pageSetup orientation="portrait"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hang1"/>
  <dimension ref="A1:BE50"/>
  <sheetViews>
    <sheetView showGridLines="0" topLeftCell="F12" zoomScaleNormal="100" workbookViewId="0">
      <selection activeCell="R28" sqref="R28"/>
    </sheetView>
  </sheetViews>
  <sheetFormatPr defaultColWidth="9.1328125" defaultRowHeight="14.25" x14ac:dyDescent="0.45"/>
  <cols>
    <col min="1" max="1" width="7.59765625" style="3" customWidth="1"/>
    <col min="2" max="2" width="24.1328125" style="3" customWidth="1"/>
    <col min="3" max="3" width="14.59765625" style="5" customWidth="1"/>
    <col min="4" max="4" width="14.86328125" style="5" customWidth="1"/>
    <col min="5" max="5" width="10.265625" style="3" customWidth="1"/>
    <col min="6" max="6" width="8.1328125" style="3" customWidth="1"/>
    <col min="7" max="7" width="14" style="3" customWidth="1"/>
    <col min="8" max="8" width="13.73046875" style="3" customWidth="1"/>
    <col min="9" max="9" width="8.265625" style="44" customWidth="1"/>
    <col min="10" max="10" width="15.1328125" style="3" customWidth="1"/>
    <col min="11" max="11" width="11.86328125" style="3" customWidth="1"/>
    <col min="12" max="12" width="9.1328125" style="3" customWidth="1"/>
    <col min="13" max="13" width="14.265625" style="3" customWidth="1"/>
    <col min="14" max="14" width="12.73046875" style="3" customWidth="1"/>
    <col min="15" max="15" width="8.86328125" style="5" customWidth="1"/>
    <col min="16" max="16" width="11.86328125" style="3" customWidth="1"/>
    <col min="17" max="17" width="11" style="3" customWidth="1"/>
    <col min="18" max="18" width="12.86328125" style="3" customWidth="1"/>
    <col min="19" max="19" width="13.59765625" style="3" hidden="1" customWidth="1"/>
    <col min="20" max="21" width="12.1328125" style="3" customWidth="1"/>
    <col min="22" max="22" width="14.265625" style="3" customWidth="1"/>
    <col min="23" max="27" width="11.59765625" style="3" customWidth="1"/>
    <col min="28" max="28" width="14.73046875" style="3" customWidth="1"/>
    <col min="29" max="29" width="14.265625" style="3" customWidth="1"/>
    <col min="30" max="30" width="12" style="3" customWidth="1"/>
    <col min="31" max="31" width="13.265625" style="3" customWidth="1"/>
    <col min="32" max="32" width="9.1328125" style="3" hidden="1" customWidth="1"/>
    <col min="33" max="33" width="2.86328125" style="3" hidden="1" customWidth="1"/>
    <col min="34" max="34" width="14" style="3" bestFit="1" customWidth="1"/>
    <col min="35" max="35" width="13" style="3" customWidth="1"/>
    <col min="36" max="37" width="13.73046875" style="3" customWidth="1"/>
    <col min="38" max="41" width="8.1328125" style="3" hidden="1" customWidth="1"/>
    <col min="42" max="46" width="9.1328125" style="3"/>
    <col min="47" max="47" width="6.265625" style="3" customWidth="1"/>
    <col min="48" max="48" width="27.265625" style="3" customWidth="1"/>
    <col min="49" max="50" width="13.1328125" style="3" customWidth="1"/>
    <col min="51" max="51" width="11.73046875" style="3" customWidth="1"/>
    <col min="52" max="52" width="16.59765625" style="3" customWidth="1"/>
    <col min="53" max="55" width="13.59765625" style="3" customWidth="1"/>
    <col min="56" max="56" width="17.73046875" style="3" customWidth="1"/>
    <col min="57" max="57" width="17.265625" style="3" customWidth="1"/>
    <col min="58" max="16384" width="9.1328125" style="3"/>
  </cols>
  <sheetData>
    <row r="1" spans="1:57" ht="18" customHeight="1" thickBot="1" x14ac:dyDescent="0.5">
      <c r="A1" s="3" t="s">
        <v>376</v>
      </c>
      <c r="B1" s="59" t="s">
        <v>72</v>
      </c>
      <c r="C1" s="6">
        <v>1</v>
      </c>
      <c r="E1" s="376" t="s">
        <v>39</v>
      </c>
      <c r="F1" s="314"/>
      <c r="G1" s="377"/>
      <c r="H1" s="314"/>
      <c r="I1" s="378"/>
      <c r="J1" s="314"/>
      <c r="K1" s="314"/>
      <c r="L1" s="314"/>
      <c r="M1" s="314"/>
      <c r="N1" s="314"/>
      <c r="O1" s="377"/>
      <c r="P1" s="314"/>
      <c r="Q1" s="314"/>
      <c r="R1" s="314"/>
      <c r="S1" s="314"/>
      <c r="T1" s="314"/>
      <c r="U1" s="314"/>
      <c r="V1" s="314"/>
      <c r="W1" s="314"/>
      <c r="X1" s="314"/>
      <c r="Y1" s="314"/>
      <c r="Z1" s="314"/>
      <c r="AA1" s="314"/>
      <c r="AB1" s="314"/>
      <c r="AC1" s="314"/>
      <c r="AD1" s="314"/>
      <c r="AE1" s="314"/>
      <c r="AF1" s="314"/>
      <c r="AG1" s="314"/>
      <c r="AH1" s="314"/>
      <c r="AI1" s="314"/>
      <c r="AJ1" s="314"/>
      <c r="AK1" s="314"/>
      <c r="AL1" s="86"/>
      <c r="AM1" s="86"/>
      <c r="AN1" s="86"/>
      <c r="AO1" s="86"/>
    </row>
    <row r="2" spans="1:57" s="150" customFormat="1" ht="14.25" customHeight="1" thickTop="1" x14ac:dyDescent="0.45">
      <c r="C2" s="70"/>
      <c r="D2" s="70"/>
      <c r="E2" s="379">
        <f t="array" aca="1" ref="E2" ca="1">IFERROR(INDEX(INDIRECT($E$8),MATCH(0,COUNTIF(E$1:$E1,INDIRECT($E$8)&amp;""),0)),"")</f>
        <v>0</v>
      </c>
      <c r="F2" s="380">
        <f t="shared" ref="F2:G6" ca="1" si="0">SUMIFS(F$14:F$1400,$E$14:$E$1400,$E2)</f>
        <v>0</v>
      </c>
      <c r="G2" s="380">
        <f t="shared" ca="1" si="0"/>
        <v>0</v>
      </c>
      <c r="H2" s="380">
        <f t="shared" ref="H2:Z6" ca="1" si="1">SUMIFS(H$14:H$1400,$E$14:$E$1400,$E2)</f>
        <v>0</v>
      </c>
      <c r="I2" s="380"/>
      <c r="J2" s="380">
        <f t="shared" ca="1" si="1"/>
        <v>0</v>
      </c>
      <c r="K2" s="380">
        <f t="shared" ca="1" si="1"/>
        <v>0</v>
      </c>
      <c r="L2" s="380">
        <f t="shared" ca="1" si="1"/>
        <v>0</v>
      </c>
      <c r="M2" s="380">
        <f t="shared" ca="1" si="1"/>
        <v>0</v>
      </c>
      <c r="N2" s="380">
        <f t="shared" ca="1" si="1"/>
        <v>0</v>
      </c>
      <c r="O2" s="381">
        <f t="shared" ca="1" si="1"/>
        <v>0</v>
      </c>
      <c r="P2" s="380">
        <f t="shared" ca="1" si="1"/>
        <v>0</v>
      </c>
      <c r="Q2" s="380">
        <f t="shared" ca="1" si="1"/>
        <v>0</v>
      </c>
      <c r="R2" s="380">
        <f t="shared" ca="1" si="1"/>
        <v>0</v>
      </c>
      <c r="S2" s="380">
        <f t="shared" ca="1" si="1"/>
        <v>0</v>
      </c>
      <c r="T2" s="380">
        <f t="shared" ca="1" si="1"/>
        <v>0</v>
      </c>
      <c r="U2" s="380">
        <f t="shared" ca="1" si="1"/>
        <v>0</v>
      </c>
      <c r="V2" s="380">
        <f t="shared" ca="1" si="1"/>
        <v>0</v>
      </c>
      <c r="W2" s="380">
        <f t="shared" ca="1" si="1"/>
        <v>0</v>
      </c>
      <c r="X2" s="380">
        <f ca="1">SUMIFS(X$14:X$1400,$E$14:$E$1400,$E2)</f>
        <v>0</v>
      </c>
      <c r="Y2" s="380"/>
      <c r="Z2" s="380">
        <f t="shared" ca="1" si="1"/>
        <v>0</v>
      </c>
      <c r="AA2" s="380">
        <f t="shared" ref="X2:AJ6" ca="1" si="2">SUMIFS(AA$14:AA$1400,$E$14:$E$1400,$E2)</f>
        <v>0</v>
      </c>
      <c r="AB2" s="380">
        <f t="shared" ca="1" si="2"/>
        <v>0</v>
      </c>
      <c r="AC2" s="380">
        <f t="shared" ca="1" si="2"/>
        <v>0</v>
      </c>
      <c r="AD2" s="380">
        <f t="shared" ca="1" si="2"/>
        <v>0</v>
      </c>
      <c r="AE2" s="380">
        <f t="shared" ca="1" si="2"/>
        <v>0</v>
      </c>
      <c r="AF2" s="382">
        <f t="shared" ca="1" si="2"/>
        <v>0</v>
      </c>
      <c r="AG2" s="382">
        <f t="shared" ca="1" si="2"/>
        <v>0</v>
      </c>
      <c r="AH2" s="380">
        <f t="shared" ca="1" si="2"/>
        <v>0</v>
      </c>
      <c r="AI2" s="380">
        <f t="shared" ca="1" si="2"/>
        <v>0</v>
      </c>
      <c r="AJ2" s="380">
        <f t="shared" ca="1" si="2"/>
        <v>0</v>
      </c>
      <c r="AK2" s="383"/>
      <c r="AL2" s="86"/>
      <c r="AM2" s="86"/>
      <c r="AN2" s="86"/>
      <c r="AO2" s="86"/>
    </row>
    <row r="3" spans="1:57" s="150" customFormat="1" ht="14.25" customHeight="1" x14ac:dyDescent="0.45">
      <c r="C3" s="70"/>
      <c r="D3" s="70"/>
      <c r="E3" s="379">
        <f t="array" aca="1" ref="E3" ca="1">IFERROR(INDEX(INDIRECT($E$8),MATCH(0,COUNTIF(E$1:$E2,INDIRECT($E$8)&amp;""),0)),"")</f>
        <v>0</v>
      </c>
      <c r="F3" s="384">
        <f t="shared" ca="1" si="0"/>
        <v>0</v>
      </c>
      <c r="G3" s="384">
        <f t="shared" ca="1" si="0"/>
        <v>0</v>
      </c>
      <c r="H3" s="384">
        <f ca="1">SUMIFS(H$14:H$1400,$E$14:$E$1400,$E3)</f>
        <v>0</v>
      </c>
      <c r="I3" s="384"/>
      <c r="J3" s="384">
        <f t="shared" ref="J3:V3" ca="1" si="3">SUMIFS(J$14:J$1400,$E$14:$E$1400,$E3)</f>
        <v>0</v>
      </c>
      <c r="K3" s="384">
        <f t="shared" ca="1" si="3"/>
        <v>0</v>
      </c>
      <c r="L3" s="384">
        <f t="shared" ca="1" si="3"/>
        <v>0</v>
      </c>
      <c r="M3" s="384">
        <f t="shared" ca="1" si="3"/>
        <v>0</v>
      </c>
      <c r="N3" s="384">
        <f t="shared" ca="1" si="3"/>
        <v>0</v>
      </c>
      <c r="O3" s="385">
        <f t="shared" ca="1" si="3"/>
        <v>0</v>
      </c>
      <c r="P3" s="384">
        <f t="shared" ca="1" si="3"/>
        <v>0</v>
      </c>
      <c r="Q3" s="384">
        <f t="shared" ca="1" si="3"/>
        <v>0</v>
      </c>
      <c r="R3" s="384">
        <f t="shared" ca="1" si="3"/>
        <v>0</v>
      </c>
      <c r="S3" s="384">
        <f t="shared" ca="1" si="3"/>
        <v>0</v>
      </c>
      <c r="T3" s="384">
        <f t="shared" ca="1" si="3"/>
        <v>0</v>
      </c>
      <c r="U3" s="384">
        <f t="shared" ca="1" si="3"/>
        <v>0</v>
      </c>
      <c r="V3" s="384">
        <f t="shared" ca="1" si="3"/>
        <v>0</v>
      </c>
      <c r="W3" s="384">
        <f t="shared" ca="1" si="1"/>
        <v>0</v>
      </c>
      <c r="X3" s="384">
        <f ca="1">SUMIFS(X$14:X$1400,$E$14:$E$1400,$E3)</f>
        <v>0</v>
      </c>
      <c r="Y3" s="384"/>
      <c r="Z3" s="384">
        <f t="shared" ca="1" si="1"/>
        <v>0</v>
      </c>
      <c r="AA3" s="384">
        <f t="shared" ca="1" si="2"/>
        <v>0</v>
      </c>
      <c r="AB3" s="384">
        <f t="shared" ca="1" si="2"/>
        <v>0</v>
      </c>
      <c r="AC3" s="384">
        <f t="shared" ca="1" si="2"/>
        <v>0</v>
      </c>
      <c r="AD3" s="384">
        <f t="shared" ca="1" si="2"/>
        <v>0</v>
      </c>
      <c r="AE3" s="384">
        <f t="shared" ca="1" si="2"/>
        <v>0</v>
      </c>
      <c r="AF3" s="386">
        <f t="shared" ca="1" si="2"/>
        <v>0</v>
      </c>
      <c r="AG3" s="386">
        <f t="shared" ca="1" si="2"/>
        <v>0</v>
      </c>
      <c r="AH3" s="384">
        <f t="shared" ca="1" si="2"/>
        <v>0</v>
      </c>
      <c r="AI3" s="384">
        <f t="shared" ca="1" si="2"/>
        <v>0</v>
      </c>
      <c r="AJ3" s="384">
        <f t="shared" ca="1" si="2"/>
        <v>0</v>
      </c>
      <c r="AK3" s="387"/>
      <c r="AL3" s="86"/>
      <c r="AM3" s="86"/>
      <c r="AN3" s="86"/>
      <c r="AO3" s="86"/>
    </row>
    <row r="4" spans="1:57" ht="14.25" customHeight="1" x14ac:dyDescent="0.45">
      <c r="E4" s="379">
        <f t="array" aca="1" ref="E4" ca="1">IFERROR(INDEX(INDIRECT($E$8),MATCH(0,COUNTIF(E$1:$E3,INDIRECT($E$8)&amp;""),0)),"")</f>
        <v>0</v>
      </c>
      <c r="F4" s="384">
        <f t="shared" ca="1" si="0"/>
        <v>0</v>
      </c>
      <c r="G4" s="384">
        <f t="shared" ca="1" si="0"/>
        <v>0</v>
      </c>
      <c r="H4" s="384">
        <f t="shared" ca="1" si="1"/>
        <v>0</v>
      </c>
      <c r="I4" s="384"/>
      <c r="J4" s="384">
        <f t="shared" ca="1" si="1"/>
        <v>0</v>
      </c>
      <c r="K4" s="384">
        <f t="shared" ca="1" si="1"/>
        <v>0</v>
      </c>
      <c r="L4" s="384">
        <f t="shared" ca="1" si="1"/>
        <v>0</v>
      </c>
      <c r="M4" s="384">
        <f t="shared" ca="1" si="1"/>
        <v>0</v>
      </c>
      <c r="N4" s="384">
        <f t="shared" ca="1" si="1"/>
        <v>0</v>
      </c>
      <c r="O4" s="385">
        <f t="shared" ca="1" si="1"/>
        <v>0</v>
      </c>
      <c r="P4" s="384">
        <f t="shared" ca="1" si="1"/>
        <v>0</v>
      </c>
      <c r="Q4" s="384">
        <f t="shared" ca="1" si="1"/>
        <v>0</v>
      </c>
      <c r="R4" s="384">
        <f t="shared" ca="1" si="1"/>
        <v>0</v>
      </c>
      <c r="S4" s="384">
        <f t="shared" ca="1" si="1"/>
        <v>0</v>
      </c>
      <c r="T4" s="384">
        <f t="shared" ca="1" si="1"/>
        <v>0</v>
      </c>
      <c r="U4" s="384">
        <f t="shared" ca="1" si="1"/>
        <v>0</v>
      </c>
      <c r="V4" s="384">
        <f t="shared" ca="1" si="1"/>
        <v>0</v>
      </c>
      <c r="W4" s="384">
        <f t="shared" ca="1" si="1"/>
        <v>0</v>
      </c>
      <c r="X4" s="384">
        <f t="shared" ca="1" si="2"/>
        <v>0</v>
      </c>
      <c r="Y4" s="384"/>
      <c r="Z4" s="384">
        <f t="shared" ca="1" si="2"/>
        <v>0</v>
      </c>
      <c r="AA4" s="384">
        <f t="shared" ca="1" si="2"/>
        <v>0</v>
      </c>
      <c r="AB4" s="384">
        <f t="shared" ca="1" si="2"/>
        <v>0</v>
      </c>
      <c r="AC4" s="384">
        <f t="shared" ca="1" si="2"/>
        <v>0</v>
      </c>
      <c r="AD4" s="384">
        <f t="shared" ca="1" si="2"/>
        <v>0</v>
      </c>
      <c r="AE4" s="384">
        <f t="shared" ca="1" si="2"/>
        <v>0</v>
      </c>
      <c r="AF4" s="384">
        <f t="shared" ca="1" si="2"/>
        <v>0</v>
      </c>
      <c r="AG4" s="384">
        <f t="shared" ca="1" si="2"/>
        <v>0</v>
      </c>
      <c r="AH4" s="384">
        <f t="shared" ca="1" si="2"/>
        <v>0</v>
      </c>
      <c r="AI4" s="384">
        <f t="shared" ca="1" si="2"/>
        <v>0</v>
      </c>
      <c r="AJ4" s="384">
        <f t="shared" ca="1" si="2"/>
        <v>0</v>
      </c>
      <c r="AK4" s="387"/>
      <c r="AL4" s="86"/>
      <c r="AM4" s="86"/>
      <c r="AN4" s="86"/>
      <c r="AO4" s="86"/>
    </row>
    <row r="5" spans="1:57" ht="14.25" customHeight="1" x14ac:dyDescent="0.45">
      <c r="E5" s="379">
        <f t="array" aca="1" ref="E5" ca="1">IFERROR(INDEX(INDIRECT($E$8),MATCH(0,COUNTIF(E$1:$E4,INDIRECT($E$8)&amp;""),0)),"")</f>
        <v>0</v>
      </c>
      <c r="F5" s="384">
        <f t="shared" ca="1" si="0"/>
        <v>0</v>
      </c>
      <c r="G5" s="384">
        <f t="shared" ca="1" si="0"/>
        <v>0</v>
      </c>
      <c r="H5" s="384">
        <f t="shared" ca="1" si="1"/>
        <v>0</v>
      </c>
      <c r="I5" s="384"/>
      <c r="J5" s="384">
        <f t="shared" ca="1" si="1"/>
        <v>0</v>
      </c>
      <c r="K5" s="384">
        <f t="shared" ca="1" si="1"/>
        <v>0</v>
      </c>
      <c r="L5" s="384">
        <f t="shared" ca="1" si="1"/>
        <v>0</v>
      </c>
      <c r="M5" s="384">
        <f t="shared" ca="1" si="1"/>
        <v>0</v>
      </c>
      <c r="N5" s="384">
        <f t="shared" ca="1" si="1"/>
        <v>0</v>
      </c>
      <c r="O5" s="385">
        <f t="shared" ca="1" si="1"/>
        <v>0</v>
      </c>
      <c r="P5" s="384">
        <f t="shared" ca="1" si="1"/>
        <v>0</v>
      </c>
      <c r="Q5" s="384">
        <f t="shared" ca="1" si="1"/>
        <v>0</v>
      </c>
      <c r="R5" s="384">
        <f t="shared" ca="1" si="1"/>
        <v>0</v>
      </c>
      <c r="S5" s="384">
        <f t="shared" ca="1" si="1"/>
        <v>0</v>
      </c>
      <c r="T5" s="384">
        <f t="shared" ca="1" si="1"/>
        <v>0</v>
      </c>
      <c r="U5" s="384">
        <f t="shared" ca="1" si="1"/>
        <v>0</v>
      </c>
      <c r="V5" s="384">
        <f t="shared" ca="1" si="1"/>
        <v>0</v>
      </c>
      <c r="W5" s="384">
        <f t="shared" ca="1" si="1"/>
        <v>0</v>
      </c>
      <c r="X5" s="384">
        <f t="shared" ca="1" si="2"/>
        <v>0</v>
      </c>
      <c r="Y5" s="384"/>
      <c r="Z5" s="384">
        <f t="shared" ca="1" si="2"/>
        <v>0</v>
      </c>
      <c r="AA5" s="384">
        <f t="shared" ca="1" si="2"/>
        <v>0</v>
      </c>
      <c r="AB5" s="384">
        <f t="shared" ca="1" si="2"/>
        <v>0</v>
      </c>
      <c r="AC5" s="384">
        <f t="shared" ca="1" si="2"/>
        <v>0</v>
      </c>
      <c r="AD5" s="384">
        <f t="shared" ca="1" si="2"/>
        <v>0</v>
      </c>
      <c r="AE5" s="384">
        <f t="shared" ca="1" si="2"/>
        <v>0</v>
      </c>
      <c r="AF5" s="384">
        <f t="shared" ca="1" si="2"/>
        <v>0</v>
      </c>
      <c r="AG5" s="384">
        <f t="shared" ca="1" si="2"/>
        <v>0</v>
      </c>
      <c r="AH5" s="384">
        <f t="shared" ca="1" si="2"/>
        <v>0</v>
      </c>
      <c r="AI5" s="384">
        <f t="shared" ca="1" si="2"/>
        <v>0</v>
      </c>
      <c r="AJ5" s="384">
        <f t="shared" ca="1" si="2"/>
        <v>0</v>
      </c>
      <c r="AK5" s="387"/>
      <c r="AL5" s="86"/>
      <c r="AM5" s="86"/>
      <c r="AN5" s="86"/>
      <c r="AO5" s="86"/>
    </row>
    <row r="6" spans="1:57" ht="13.5" customHeight="1" x14ac:dyDescent="0.45">
      <c r="E6" s="379">
        <f t="array" aca="1" ref="E6" ca="1">IFERROR(INDEX(INDIRECT($E$8),MATCH(0,COUNTIF(E$1:$E5,INDIRECT($E$8)&amp;""),0)),"")</f>
        <v>0</v>
      </c>
      <c r="F6" s="384">
        <f t="shared" ca="1" si="0"/>
        <v>0</v>
      </c>
      <c r="G6" s="384">
        <f t="shared" ca="1" si="0"/>
        <v>0</v>
      </c>
      <c r="H6" s="384">
        <f t="shared" ca="1" si="1"/>
        <v>0</v>
      </c>
      <c r="I6" s="384"/>
      <c r="J6" s="384">
        <f t="shared" ca="1" si="1"/>
        <v>0</v>
      </c>
      <c r="K6" s="384">
        <f t="shared" ca="1" si="1"/>
        <v>0</v>
      </c>
      <c r="L6" s="384">
        <f t="shared" ca="1" si="1"/>
        <v>0</v>
      </c>
      <c r="M6" s="384">
        <f t="shared" ca="1" si="1"/>
        <v>0</v>
      </c>
      <c r="N6" s="384">
        <f t="shared" ca="1" si="1"/>
        <v>0</v>
      </c>
      <c r="O6" s="385">
        <f t="shared" ca="1" si="1"/>
        <v>0</v>
      </c>
      <c r="P6" s="384">
        <f t="shared" ca="1" si="1"/>
        <v>0</v>
      </c>
      <c r="Q6" s="384">
        <f t="shared" ca="1" si="1"/>
        <v>0</v>
      </c>
      <c r="R6" s="384">
        <f t="shared" ca="1" si="1"/>
        <v>0</v>
      </c>
      <c r="S6" s="384">
        <f t="shared" ca="1" si="1"/>
        <v>0</v>
      </c>
      <c r="T6" s="384">
        <f t="shared" ca="1" si="1"/>
        <v>0</v>
      </c>
      <c r="U6" s="384">
        <f t="shared" ca="1" si="1"/>
        <v>0</v>
      </c>
      <c r="V6" s="384">
        <f t="shared" ca="1" si="1"/>
        <v>0</v>
      </c>
      <c r="W6" s="384">
        <f t="shared" ca="1" si="1"/>
        <v>0</v>
      </c>
      <c r="X6" s="384">
        <f ca="1">SUMIFS(X$14:X$1400,$E$14:$E$1400,$E6)</f>
        <v>0</v>
      </c>
      <c r="Y6" s="384"/>
      <c r="Z6" s="384">
        <f t="shared" ca="1" si="2"/>
        <v>0</v>
      </c>
      <c r="AA6" s="384">
        <f t="shared" ca="1" si="2"/>
        <v>0</v>
      </c>
      <c r="AB6" s="384">
        <f t="shared" ca="1" si="2"/>
        <v>0</v>
      </c>
      <c r="AC6" s="384">
        <f t="shared" ca="1" si="2"/>
        <v>0</v>
      </c>
      <c r="AD6" s="384">
        <f t="shared" ca="1" si="2"/>
        <v>0</v>
      </c>
      <c r="AE6" s="384">
        <f t="shared" ca="1" si="2"/>
        <v>0</v>
      </c>
      <c r="AF6" s="384">
        <f t="shared" ca="1" si="2"/>
        <v>0</v>
      </c>
      <c r="AG6" s="384">
        <f t="shared" ca="1" si="2"/>
        <v>0</v>
      </c>
      <c r="AH6" s="384">
        <f t="shared" ca="1" si="2"/>
        <v>0</v>
      </c>
      <c r="AI6" s="384">
        <f t="shared" ca="1" si="2"/>
        <v>0</v>
      </c>
      <c r="AJ6" s="384">
        <f t="shared" ca="1" si="2"/>
        <v>0</v>
      </c>
      <c r="AK6" s="387"/>
      <c r="AL6" s="86"/>
      <c r="AM6" s="86"/>
      <c r="AN6" s="86"/>
      <c r="AO6" s="86"/>
    </row>
    <row r="7" spans="1:57" s="108" customFormat="1" ht="19.7" customHeight="1" x14ac:dyDescent="0.45">
      <c r="C7" s="152">
        <f ca="1">COUNTIF(I14:I1400,"&gt;0")</f>
        <v>0</v>
      </c>
      <c r="D7" s="118"/>
      <c r="E7" s="119" t="s">
        <v>82</v>
      </c>
      <c r="F7" s="120">
        <f ca="1">SUM(F2:F6)</f>
        <v>0</v>
      </c>
      <c r="G7" s="120">
        <f ca="1">SUM(G2:G6)</f>
        <v>0</v>
      </c>
      <c r="H7" s="120">
        <f t="shared" ref="H7:AJ7" ca="1" si="4">SUM(H2:H6)</f>
        <v>0</v>
      </c>
      <c r="I7" s="120"/>
      <c r="J7" s="120">
        <f t="shared" ca="1" si="4"/>
        <v>0</v>
      </c>
      <c r="K7" s="120">
        <f t="shared" ca="1" si="4"/>
        <v>0</v>
      </c>
      <c r="L7" s="120">
        <f t="shared" ca="1" si="4"/>
        <v>0</v>
      </c>
      <c r="M7" s="120">
        <f t="shared" ca="1" si="4"/>
        <v>0</v>
      </c>
      <c r="N7" s="120">
        <f t="shared" ca="1" si="4"/>
        <v>0</v>
      </c>
      <c r="O7" s="210">
        <f t="shared" ca="1" si="4"/>
        <v>0</v>
      </c>
      <c r="P7" s="120">
        <f t="shared" ca="1" si="4"/>
        <v>0</v>
      </c>
      <c r="Q7" s="120">
        <f t="shared" ca="1" si="4"/>
        <v>0</v>
      </c>
      <c r="R7" s="120">
        <f t="shared" ca="1" si="4"/>
        <v>0</v>
      </c>
      <c r="S7" s="120">
        <f t="shared" ca="1" si="4"/>
        <v>0</v>
      </c>
      <c r="T7" s="120">
        <f t="shared" ca="1" si="4"/>
        <v>0</v>
      </c>
      <c r="U7" s="120">
        <f t="shared" ca="1" si="4"/>
        <v>0</v>
      </c>
      <c r="V7" s="120">
        <f t="shared" ca="1" si="4"/>
        <v>0</v>
      </c>
      <c r="W7" s="120">
        <f t="shared" ca="1" si="4"/>
        <v>0</v>
      </c>
      <c r="X7" s="120">
        <f t="shared" ca="1" si="4"/>
        <v>0</v>
      </c>
      <c r="Y7" s="120"/>
      <c r="Z7" s="120">
        <f t="shared" ca="1" si="4"/>
        <v>0</v>
      </c>
      <c r="AA7" s="120">
        <f t="shared" ca="1" si="4"/>
        <v>0</v>
      </c>
      <c r="AB7" s="120">
        <f t="shared" ca="1" si="4"/>
        <v>0</v>
      </c>
      <c r="AC7" s="120">
        <f t="shared" ca="1" si="4"/>
        <v>0</v>
      </c>
      <c r="AD7" s="120">
        <f t="shared" ca="1" si="4"/>
        <v>0</v>
      </c>
      <c r="AE7" s="120">
        <f t="shared" ca="1" si="4"/>
        <v>0</v>
      </c>
      <c r="AF7" s="120">
        <f t="shared" ca="1" si="4"/>
        <v>0</v>
      </c>
      <c r="AG7" s="120">
        <f t="shared" ca="1" si="4"/>
        <v>0</v>
      </c>
      <c r="AH7" s="120">
        <f t="shared" ca="1" si="4"/>
        <v>0</v>
      </c>
      <c r="AI7" s="120">
        <f t="shared" ca="1" si="4"/>
        <v>0</v>
      </c>
      <c r="AJ7" s="120">
        <f t="shared" ca="1" si="4"/>
        <v>0</v>
      </c>
      <c r="AK7" s="121"/>
      <c r="AL7" s="122"/>
      <c r="AM7" s="122"/>
      <c r="AN7" s="122"/>
      <c r="AO7" s="122"/>
    </row>
    <row r="8" spans="1:57" s="108" customFormat="1" ht="19.7" customHeight="1" x14ac:dyDescent="0.45">
      <c r="A8" s="123"/>
      <c r="B8" s="123"/>
      <c r="C8" s="124"/>
      <c r="D8" s="124"/>
      <c r="E8" s="124" t="str">
        <f ca="1">"$E$14:$E$"&amp;COUNTA(E14:E1000)+14</f>
        <v>$E$14:$E$16</v>
      </c>
      <c r="F8" s="125">
        <f ca="1">SUBTOTAL(9,F$14:F$1400)</f>
        <v>0</v>
      </c>
      <c r="G8" s="125">
        <f ca="1">SUBTOTAL(9,G$14:G$1400)</f>
        <v>0</v>
      </c>
      <c r="H8" s="125">
        <f t="shared" ref="H8:AJ8" ca="1" si="5">SUBTOTAL(9,H$14:H$1400)</f>
        <v>0</v>
      </c>
      <c r="I8" s="125"/>
      <c r="J8" s="125">
        <f t="shared" ca="1" si="5"/>
        <v>0</v>
      </c>
      <c r="K8" s="125">
        <f t="shared" ca="1" si="5"/>
        <v>0</v>
      </c>
      <c r="L8" s="125">
        <f t="shared" si="5"/>
        <v>0</v>
      </c>
      <c r="M8" s="125">
        <f t="shared" ca="1" si="5"/>
        <v>0</v>
      </c>
      <c r="N8" s="125">
        <f t="shared" ca="1" si="5"/>
        <v>0</v>
      </c>
      <c r="O8" s="211">
        <f t="shared" si="5"/>
        <v>0</v>
      </c>
      <c r="P8" s="125">
        <f t="shared" ca="1" si="5"/>
        <v>0</v>
      </c>
      <c r="Q8" s="125">
        <f t="shared" si="5"/>
        <v>0</v>
      </c>
      <c r="R8" s="125">
        <f t="shared" si="5"/>
        <v>0</v>
      </c>
      <c r="S8" s="125">
        <f t="shared" si="5"/>
        <v>0</v>
      </c>
      <c r="T8" s="125">
        <f t="shared" si="5"/>
        <v>0</v>
      </c>
      <c r="U8" s="125">
        <f t="shared" si="5"/>
        <v>0</v>
      </c>
      <c r="V8" s="125">
        <f t="shared" ca="1" si="5"/>
        <v>0</v>
      </c>
      <c r="W8" s="125">
        <f t="shared" ca="1" si="5"/>
        <v>0</v>
      </c>
      <c r="X8" s="125">
        <f t="shared" ca="1" si="5"/>
        <v>0</v>
      </c>
      <c r="Y8" s="125"/>
      <c r="Z8" s="125">
        <f t="shared" ca="1" si="5"/>
        <v>0</v>
      </c>
      <c r="AA8" s="125">
        <f t="shared" ca="1" si="5"/>
        <v>0</v>
      </c>
      <c r="AB8" s="125">
        <f t="shared" ca="1" si="5"/>
        <v>0</v>
      </c>
      <c r="AC8" s="125">
        <f t="shared" ca="1" si="5"/>
        <v>0</v>
      </c>
      <c r="AD8" s="125">
        <f t="shared" ca="1" si="5"/>
        <v>0</v>
      </c>
      <c r="AE8" s="125">
        <f t="shared" ca="1" si="5"/>
        <v>0</v>
      </c>
      <c r="AF8" s="125">
        <f t="shared" si="5"/>
        <v>0</v>
      </c>
      <c r="AG8" s="125">
        <f t="shared" si="5"/>
        <v>0</v>
      </c>
      <c r="AH8" s="125">
        <f t="shared" ca="1" si="5"/>
        <v>0</v>
      </c>
      <c r="AI8" s="125">
        <f t="shared" ca="1" si="5"/>
        <v>0</v>
      </c>
      <c r="AJ8" s="125">
        <f t="shared" ca="1" si="5"/>
        <v>0</v>
      </c>
      <c r="AK8" s="125"/>
      <c r="AL8" s="122"/>
      <c r="AM8" s="122"/>
      <c r="AN8" s="122"/>
      <c r="AO8" s="122"/>
      <c r="AU8" s="433" t="s">
        <v>336</v>
      </c>
    </row>
    <row r="9" spans="1:57" x14ac:dyDescent="0.45">
      <c r="A9" s="26"/>
      <c r="B9" s="26"/>
      <c r="C9" s="43"/>
      <c r="D9" s="43"/>
      <c r="E9" s="26"/>
      <c r="F9" s="26"/>
      <c r="G9" s="26"/>
      <c r="H9" s="26"/>
      <c r="I9" s="52"/>
      <c r="J9" s="54"/>
      <c r="K9" s="609" t="s">
        <v>111</v>
      </c>
      <c r="L9" s="590"/>
      <c r="M9" s="590"/>
      <c r="N9" s="590"/>
      <c r="O9" s="606" t="s">
        <v>369</v>
      </c>
      <c r="P9" s="606"/>
      <c r="Q9" s="611" t="s">
        <v>49</v>
      </c>
      <c r="R9" s="612"/>
      <c r="S9" s="613"/>
      <c r="T9" s="613"/>
      <c r="U9" s="163"/>
      <c r="V9" s="95"/>
      <c r="W9" s="604" t="s">
        <v>53</v>
      </c>
      <c r="X9" s="604"/>
      <c r="Y9" s="604"/>
      <c r="Z9" s="604"/>
      <c r="AA9" s="605"/>
      <c r="AB9" s="92"/>
      <c r="AC9" s="607" t="s">
        <v>56</v>
      </c>
      <c r="AD9" s="608"/>
      <c r="AE9" s="608"/>
      <c r="AF9" s="608"/>
      <c r="AG9" s="608"/>
      <c r="AH9" s="94"/>
      <c r="AI9" s="94"/>
      <c r="AJ9" s="26"/>
      <c r="AK9" s="42"/>
      <c r="AL9" s="86"/>
      <c r="AM9" s="86"/>
      <c r="AN9" s="86"/>
      <c r="AO9" s="86"/>
      <c r="AU9" s="3" t="str">
        <f>"(Theo bảng tính lương tháng: "&amp;C1&amp;" năm 2021)"</f>
        <v>(Theo bảng tính lương tháng: 1 năm 2021)</v>
      </c>
    </row>
    <row r="10" spans="1:57" ht="15" customHeight="1" x14ac:dyDescent="0.45">
      <c r="A10" s="626" t="s">
        <v>1</v>
      </c>
      <c r="B10" s="622" t="s">
        <v>2</v>
      </c>
      <c r="C10" s="622" t="s">
        <v>3</v>
      </c>
      <c r="D10" s="622" t="s">
        <v>4</v>
      </c>
      <c r="E10" s="622" t="s">
        <v>39</v>
      </c>
      <c r="F10" s="622" t="s">
        <v>6</v>
      </c>
      <c r="G10" s="622" t="s">
        <v>7</v>
      </c>
      <c r="H10" s="622" t="s">
        <v>40</v>
      </c>
      <c r="I10" s="625" t="s">
        <v>42</v>
      </c>
      <c r="J10" s="622" t="s">
        <v>41</v>
      </c>
      <c r="K10" s="618" t="s">
        <v>298</v>
      </c>
      <c r="L10" s="610" t="s">
        <v>44</v>
      </c>
      <c r="M10" s="610"/>
      <c r="N10" s="618" t="s">
        <v>299</v>
      </c>
      <c r="O10" s="620" t="s">
        <v>370</v>
      </c>
      <c r="P10" s="618" t="s">
        <v>368</v>
      </c>
      <c r="Q10" s="614" t="s">
        <v>79</v>
      </c>
      <c r="R10" s="614"/>
      <c r="S10" s="620" t="s">
        <v>50</v>
      </c>
      <c r="T10" s="620" t="s">
        <v>60</v>
      </c>
      <c r="U10" s="193"/>
      <c r="V10" s="96"/>
      <c r="W10" s="32"/>
      <c r="X10" s="26"/>
      <c r="Y10" s="26"/>
      <c r="Z10" s="26"/>
      <c r="AA10" s="32"/>
      <c r="AB10" s="599" t="s">
        <v>57</v>
      </c>
      <c r="AC10" s="615" t="s">
        <v>58</v>
      </c>
      <c r="AD10" s="616"/>
      <c r="AE10" s="615"/>
      <c r="AF10" s="616"/>
      <c r="AG10" s="617"/>
      <c r="AH10" s="600" t="s">
        <v>59</v>
      </c>
      <c r="AI10" s="601" t="s">
        <v>61</v>
      </c>
      <c r="AJ10" s="35"/>
      <c r="AK10" s="35"/>
      <c r="AL10" s="86"/>
      <c r="AM10" s="86"/>
      <c r="AN10" s="86"/>
      <c r="AO10" s="86"/>
      <c r="AU10" s="3" t="s">
        <v>338</v>
      </c>
    </row>
    <row r="11" spans="1:57" s="4" customFormat="1" ht="31.5" customHeight="1" x14ac:dyDescent="0.45">
      <c r="A11" s="626"/>
      <c r="B11" s="622"/>
      <c r="C11" s="622"/>
      <c r="D11" s="622"/>
      <c r="E11" s="622"/>
      <c r="F11" s="622"/>
      <c r="G11" s="622"/>
      <c r="H11" s="622"/>
      <c r="I11" s="625"/>
      <c r="J11" s="622"/>
      <c r="K11" s="619"/>
      <c r="L11" s="194" t="s">
        <v>45</v>
      </c>
      <c r="M11" s="195" t="s">
        <v>226</v>
      </c>
      <c r="N11" s="619"/>
      <c r="O11" s="623"/>
      <c r="P11" s="624"/>
      <c r="Q11" s="197" t="s">
        <v>51</v>
      </c>
      <c r="R11" s="198" t="s">
        <v>78</v>
      </c>
      <c r="S11" s="621"/>
      <c r="T11" s="621"/>
      <c r="U11" s="201" t="s">
        <v>77</v>
      </c>
      <c r="V11" s="97" t="s">
        <v>52</v>
      </c>
      <c r="W11" s="388" t="s">
        <v>43</v>
      </c>
      <c r="X11" s="196" t="s">
        <v>264</v>
      </c>
      <c r="Y11" s="196" t="s">
        <v>77</v>
      </c>
      <c r="Z11" s="196" t="s">
        <v>54</v>
      </c>
      <c r="AA11" s="388" t="s">
        <v>55</v>
      </c>
      <c r="AB11" s="599"/>
      <c r="AC11" s="25" t="s">
        <v>88</v>
      </c>
      <c r="AD11" s="28" t="s">
        <v>28</v>
      </c>
      <c r="AE11" s="114" t="s">
        <v>81</v>
      </c>
      <c r="AG11" s="33"/>
      <c r="AH11" s="600"/>
      <c r="AI11" s="601"/>
      <c r="AJ11" s="215" t="s">
        <v>62</v>
      </c>
      <c r="AK11" s="215" t="s">
        <v>63</v>
      </c>
      <c r="AL11" s="87"/>
      <c r="AM11" s="87"/>
      <c r="AN11" s="87"/>
      <c r="AO11" s="87"/>
      <c r="AU11" s="627" t="s">
        <v>1</v>
      </c>
      <c r="AV11" s="627" t="s">
        <v>2</v>
      </c>
      <c r="AW11" s="627" t="s">
        <v>3</v>
      </c>
      <c r="AX11" s="627" t="s">
        <v>309</v>
      </c>
      <c r="AY11" s="627" t="s">
        <v>156</v>
      </c>
      <c r="AZ11" s="627" t="s">
        <v>158</v>
      </c>
      <c r="BA11" s="629" t="s">
        <v>301</v>
      </c>
      <c r="BB11" s="630"/>
      <c r="BC11" s="631"/>
      <c r="BD11" s="627" t="s">
        <v>62</v>
      </c>
      <c r="BE11" s="627" t="s">
        <v>63</v>
      </c>
    </row>
    <row r="12" spans="1:57" s="4" customFormat="1" ht="15" customHeight="1" x14ac:dyDescent="0.45">
      <c r="A12" s="29"/>
      <c r="B12" s="29"/>
      <c r="C12" s="29"/>
      <c r="D12" s="29"/>
      <c r="E12" s="29"/>
      <c r="F12" s="29"/>
      <c r="G12" s="602" t="s">
        <v>390</v>
      </c>
      <c r="H12" s="603"/>
      <c r="I12" s="53"/>
      <c r="J12" s="29">
        <f>INDEX(Cham_Cong!$E$7:$P$8,1,MATCH(C1,Cham_Cong!$E$8:$P$8,0))</f>
        <v>26</v>
      </c>
      <c r="K12" s="40">
        <v>730000</v>
      </c>
      <c r="L12" s="160"/>
      <c r="M12" s="27">
        <v>1000000</v>
      </c>
      <c r="N12" s="41">
        <v>500000</v>
      </c>
      <c r="O12" s="167">
        <v>2</v>
      </c>
      <c r="P12" s="38"/>
      <c r="Q12" s="161">
        <v>5</v>
      </c>
      <c r="R12" s="25"/>
      <c r="S12" s="165"/>
      <c r="T12" s="166"/>
      <c r="U12" s="165"/>
      <c r="V12" s="98"/>
      <c r="W12" s="30"/>
      <c r="X12" s="29"/>
      <c r="Y12" s="29"/>
      <c r="Z12" s="29"/>
      <c r="AA12" s="30"/>
      <c r="AB12" s="93"/>
      <c r="AC12" s="37">
        <v>11000000</v>
      </c>
      <c r="AD12" s="112">
        <v>4400000</v>
      </c>
      <c r="AE12" s="115">
        <v>0.105</v>
      </c>
      <c r="AF12" s="116"/>
      <c r="AG12" s="117"/>
      <c r="AH12" s="113"/>
      <c r="AI12" s="93"/>
      <c r="AJ12" s="29"/>
      <c r="AK12" s="29"/>
      <c r="AL12" s="87"/>
      <c r="AM12" s="87"/>
      <c r="AN12" s="87"/>
      <c r="AO12" s="87"/>
      <c r="AU12" s="628"/>
      <c r="AV12" s="628"/>
      <c r="AW12" s="628"/>
      <c r="AX12" s="628"/>
      <c r="AY12" s="628"/>
      <c r="AZ12" s="628"/>
      <c r="BA12" s="29" t="s">
        <v>81</v>
      </c>
      <c r="BB12" s="29" t="s">
        <v>61</v>
      </c>
      <c r="BC12" s="29" t="s">
        <v>337</v>
      </c>
      <c r="BD12" s="628"/>
      <c r="BE12" s="628"/>
    </row>
    <row r="13" spans="1:57" s="70" customFormat="1" x14ac:dyDescent="0.45">
      <c r="A13" s="49"/>
      <c r="B13" s="49" t="s">
        <v>24</v>
      </c>
      <c r="C13" s="89" t="s">
        <v>25</v>
      </c>
      <c r="D13" s="49" t="s">
        <v>26</v>
      </c>
      <c r="E13" s="49" t="s">
        <v>27</v>
      </c>
      <c r="F13" s="49" t="s">
        <v>28</v>
      </c>
      <c r="G13" s="49" t="s">
        <v>29</v>
      </c>
      <c r="H13" s="49" t="s">
        <v>185</v>
      </c>
      <c r="I13" s="90" t="s">
        <v>186</v>
      </c>
      <c r="J13" s="49" t="s">
        <v>80</v>
      </c>
      <c r="K13" s="49" t="s">
        <v>80</v>
      </c>
      <c r="L13" s="49" t="s">
        <v>391</v>
      </c>
      <c r="M13" s="49" t="s">
        <v>80</v>
      </c>
      <c r="N13" s="49" t="s">
        <v>80</v>
      </c>
      <c r="O13" s="49" t="s">
        <v>208</v>
      </c>
      <c r="P13" s="49" t="s">
        <v>80</v>
      </c>
      <c r="Q13" s="49"/>
      <c r="R13" s="49" t="s">
        <v>80</v>
      </c>
      <c r="S13" s="49" t="s">
        <v>80</v>
      </c>
      <c r="T13" s="49" t="s">
        <v>80</v>
      </c>
      <c r="U13" s="49" t="s">
        <v>80</v>
      </c>
      <c r="V13" s="49" t="s">
        <v>66</v>
      </c>
      <c r="W13" s="49"/>
      <c r="X13" s="49"/>
      <c r="Y13" s="49"/>
      <c r="Z13" s="49"/>
      <c r="AA13" s="49"/>
      <c r="AB13" s="49" t="s">
        <v>64</v>
      </c>
      <c r="AC13" s="49" t="s">
        <v>101</v>
      </c>
      <c r="AD13" s="49" t="s">
        <v>102</v>
      </c>
      <c r="AE13" s="49" t="s">
        <v>165</v>
      </c>
      <c r="AF13" s="49"/>
      <c r="AG13" s="49"/>
      <c r="AH13" s="49" t="s">
        <v>152</v>
      </c>
      <c r="AI13" s="49" t="s">
        <v>65</v>
      </c>
      <c r="AJ13" s="49" t="s">
        <v>67</v>
      </c>
      <c r="AK13" s="49"/>
      <c r="AL13" s="88" t="s">
        <v>32</v>
      </c>
      <c r="AM13" s="88" t="s">
        <v>33</v>
      </c>
      <c r="AN13" s="88" t="s">
        <v>34</v>
      </c>
      <c r="AO13" s="88" t="s">
        <v>35</v>
      </c>
      <c r="AU13" s="434"/>
      <c r="AV13" s="435"/>
      <c r="AW13" s="438"/>
      <c r="AX13" s="435"/>
      <c r="AY13" s="435"/>
      <c r="AZ13" s="439">
        <f ca="1">SUM(AZ14:AZ1400)</f>
        <v>0</v>
      </c>
      <c r="BA13" s="439">
        <f ca="1">SUM(BA14:BA1400)</f>
        <v>0</v>
      </c>
      <c r="BB13" s="439">
        <f ca="1">SUM(BB14:BB1400)</f>
        <v>0</v>
      </c>
      <c r="BC13" s="439">
        <f>SUM(BC14:BC1400)</f>
        <v>0</v>
      </c>
      <c r="BD13" s="439">
        <f ca="1">SUM(BD14:BD1400)</f>
        <v>0</v>
      </c>
      <c r="BE13" s="436"/>
    </row>
    <row r="14" spans="1:57" x14ac:dyDescent="0.45">
      <c r="A14" s="5">
        <f ca="1">IF(B14&lt;&gt;"",SUBTOTAL(3,$B$14:B14),"")</f>
        <v>1</v>
      </c>
      <c r="B14" s="3">
        <f ca="1">INDEX(INDIRECT(Danh_Sach!$N$1),ROWS($B$14:$B14),MATCH(B$13,INDIRECT(Danh_Sach!$N$2),0))</f>
        <v>0</v>
      </c>
      <c r="C14" s="5">
        <f ca="1">INDEX(INDIRECT(Danh_Sach!$N$1),ROWS($B$14:$B14),MATCH(C$13,INDIRECT(Danh_Sach!$N$2),0))</f>
        <v>0</v>
      </c>
      <c r="D14" s="5">
        <f ca="1">INDEX(INDIRECT(Danh_Sach!$N$1),ROWS($B$14:$B14),MATCH(D$13,INDIRECT(Danh_Sach!$N$2),0))</f>
        <v>0</v>
      </c>
      <c r="E14" s="5">
        <f ca="1">INDEX(INDIRECT(Danh_Sach!$N$1),ROWS($B$14:$B14),MATCH(E$13,INDIRECT(Danh_Sach!$N$2),0))</f>
        <v>0</v>
      </c>
      <c r="F14" s="5">
        <f t="array" aca="1" ref="F14" ca="1">INDEX(INDIRECT(NPT!$W$1),ROWS($B$14:B14),MATCH($C$1,INDIRECT(NPT!$W$2),0))</f>
        <v>0</v>
      </c>
      <c r="G14" s="11">
        <f ca="1">IF(AND($G$12="Link",H14&lt;&gt;0),H14,INDEX(INDIRECT(Danh_Sach!$N$1),ROWS($B$14:$B14),MATCH(G$13,INDIRECT(Danh_Sach!$N$2),0)))</f>
        <v>0</v>
      </c>
      <c r="H14" s="11">
        <f ca="1">IFERROR(INDEX(INDIRECT(BaoHiem!$A$3),ROWS($B$14:$B14),MATCH($C$1,INDIRECT(BaoHiem!$A$4),0)),0)</f>
        <v>0</v>
      </c>
      <c r="I14" s="72">
        <f t="array" aca="1" ref="I14" ca="1">INDEX(INDIRECT(Cham_Cong!$T$3),ROWS($B$14:B14),MATCH($C$1,INDIRECT(Cham_Cong!$T$4),0))</f>
        <v>0</v>
      </c>
      <c r="J14" s="11">
        <f t="shared" ref="J14:J15" ca="1" si="6">G14/$J$12*I14</f>
        <v>0</v>
      </c>
      <c r="K14" s="11">
        <f t="shared" ref="K14:K15" ca="1" si="7">IF(I14&gt;0,$K$12,0)</f>
        <v>0</v>
      </c>
      <c r="L14" s="578"/>
      <c r="M14" s="22">
        <f t="shared" ref="M14:M15" ca="1" si="8">IF(I14=0,0,$M$12*L14)</f>
        <v>0</v>
      </c>
      <c r="N14" s="11">
        <f t="shared" ref="N14:N15" ca="1" si="9">IF(I14&gt;0,$N$12,0)</f>
        <v>0</v>
      </c>
      <c r="P14" s="22">
        <f t="shared" ref="P14:P15" ca="1" si="10">IF(I14=0,0,ROUND(O14*$O$12*(G14/$J$12/8),0))</f>
        <v>0</v>
      </c>
      <c r="R14" s="11"/>
      <c r="S14" s="11"/>
      <c r="T14" s="11"/>
      <c r="V14" s="11">
        <f t="shared" ref="V14:V15" ca="1" si="11">IF(I14=0,0,SUMIF($J$13:$U$13,"i_gross",J14:U14))</f>
        <v>0</v>
      </c>
      <c r="W14" s="22">
        <f t="shared" ref="W14:W15" ca="1" si="12">K14</f>
        <v>0</v>
      </c>
      <c r="X14" s="22">
        <f t="shared" ref="X14:X15" ca="1" si="13">M14+N14</f>
        <v>0</v>
      </c>
      <c r="Y14" s="22">
        <f t="shared" ref="Y14:Y15" si="14">U14</f>
        <v>0</v>
      </c>
      <c r="Z14" s="22">
        <f t="shared" ref="Z14:Z15" ca="1" si="15">P14-P14/$O$12</f>
        <v>0</v>
      </c>
      <c r="AA14" s="22">
        <f t="shared" ref="AA14:AA15" ca="1" si="16">SUM(W14:Z14)</f>
        <v>0</v>
      </c>
      <c r="AB14" s="22">
        <f t="shared" ref="AB14:AB15" ca="1" si="17">IF(I14=0,0,V14-AA14)</f>
        <v>0</v>
      </c>
      <c r="AC14" s="22">
        <f t="shared" ref="AC14:AC15" ca="1" si="18">IF(AB14&gt;0,$AC$12,0)</f>
        <v>0</v>
      </c>
      <c r="AD14" s="22">
        <f t="shared" ref="AD14:AD15" ca="1" si="19">$AD$12*F14</f>
        <v>0</v>
      </c>
      <c r="AE14" s="22">
        <f ca="1">IF(AB14&gt;0,IF(ISNA(VLOOKUP(C14,Info!$C$22:$D$303,2,0))=FALSE,H14*1.5%,H14*$AE$12),0)</f>
        <v>0</v>
      </c>
      <c r="AH14" s="22">
        <f t="shared" ref="AH14:AH15" ca="1" si="20">MAX(AB14-SUM(AC14:AG14),0)</f>
        <v>0</v>
      </c>
      <c r="AI14" s="22">
        <f ca="1">IF(AH14&gt;0,(AH14-VLOOKUP(AH14-1,INDIRECT(TAXRATE!$E$1),1,1))*VLOOKUP(AH14,INDIRECT(TAXRATE!$E$1),2,1)+VLOOKUP(AH14-1,INDIRECT(TAXRATE!$E$1),3,1),0)</f>
        <v>0</v>
      </c>
      <c r="AJ14" s="22">
        <f t="shared" ref="AJ14:AJ15" ca="1" si="21">V14-AI14-AE14-AF14-AG14</f>
        <v>0</v>
      </c>
      <c r="AL14" s="3" t="str">
        <f ca="1">IF(INDEX(INDIRECT(Danh_Sach!$N$1),ROWS($B$14:$B14),MATCH(AL$13,INDIRECT(Danh_Sach!$N$2),0))=0,"",MONTH(INDEX(INDIRECT(Danh_Sach!$N$1),ROWS($B$14:$B14),MATCH(AL$13,INDIRECT(Danh_Sach!$N$2),0))))</f>
        <v/>
      </c>
      <c r="AM14" s="3" t="str">
        <f ca="1">IF(INDEX(INDIRECT(Danh_Sach!$N$1),ROWS($B$14:$B14),MATCH(AM$13,INDIRECT(Danh_Sach!$N$2),0))=0,"",MONTH(INDEX(INDIRECT(Danh_Sach!$N$1),ROWS($B$14:$B14),MATCH(AM$13,INDIRECT(Danh_Sach!$N$2),0))))</f>
        <v/>
      </c>
      <c r="AN14" s="3" t="str">
        <f ca="1">IF(INDEX(INDIRECT(Danh_Sach!$N$1),ROWS($B$14:$B14),MATCH(AN$13,INDIRECT(Danh_Sach!$N$2),0))=0,"",MONTH(INDEX(INDIRECT(Danh_Sach!$N$1),ROWS($B$14:$B14),MATCH(AN$13,INDIRECT(Danh_Sach!$N$2),0))))</f>
        <v/>
      </c>
      <c r="AO14" s="3" t="str">
        <f ca="1">IF(INDEX(INDIRECT(Danh_Sach!$N$1),ROWS($B$14:$B14),MATCH(AO$13,INDIRECT(Danh_Sach!$N$2),0))=0,"",MONTH(INDEX(INDIRECT(Danh_Sach!$N$1),ROWS($B$14:$B14),MATCH(AO$13,INDIRECT(Danh_Sach!$N$2),0))))</f>
        <v/>
      </c>
      <c r="AU14" s="176">
        <f t="shared" ref="AU14:AX15" ca="1" si="22">A14</f>
        <v>1</v>
      </c>
      <c r="AV14" s="175">
        <f t="shared" ca="1" si="22"/>
        <v>0</v>
      </c>
      <c r="AW14" s="176">
        <f t="shared" ca="1" si="22"/>
        <v>0</v>
      </c>
      <c r="AX14" s="176">
        <f t="shared" ca="1" si="22"/>
        <v>0</v>
      </c>
      <c r="AY14" s="175"/>
      <c r="AZ14" s="437">
        <f t="shared" ref="AZ14:AZ15" ca="1" si="23">V14</f>
        <v>0</v>
      </c>
      <c r="BA14" s="437">
        <f t="shared" ref="BA14:BA15" ca="1" si="24">AE14</f>
        <v>0</v>
      </c>
      <c r="BB14" s="437">
        <f t="shared" ref="BB14:BB15" ca="1" si="25">AI14</f>
        <v>0</v>
      </c>
      <c r="BC14" s="437"/>
      <c r="BD14" s="437">
        <f t="shared" ref="BD14:BD15" ca="1" si="26">AZ14-SUM(BA14:BC14)</f>
        <v>0</v>
      </c>
      <c r="BE14" s="175"/>
    </row>
    <row r="15" spans="1:57" x14ac:dyDescent="0.45">
      <c r="A15" s="5">
        <f ca="1">IF(B15&lt;&gt;"",SUBTOTAL(3,$B$14:B15),"")</f>
        <v>2</v>
      </c>
      <c r="B15" s="3">
        <f ca="1">INDEX(INDIRECT(Danh_Sach!$N$1),ROWS($B$14:$B15),MATCH(B$13,INDIRECT(Danh_Sach!$N$2),0))</f>
        <v>0</v>
      </c>
      <c r="C15" s="5">
        <f ca="1">INDEX(INDIRECT(Danh_Sach!$N$1),ROWS($B$14:$B15),MATCH(C$13,INDIRECT(Danh_Sach!$N$2),0))</f>
        <v>0</v>
      </c>
      <c r="D15" s="5">
        <f ca="1">INDEX(INDIRECT(Danh_Sach!$N$1),ROWS($B$14:$B15),MATCH(D$13,INDIRECT(Danh_Sach!$N$2),0))</f>
        <v>0</v>
      </c>
      <c r="E15" s="5">
        <f ca="1">INDEX(INDIRECT(Danh_Sach!$N$1),ROWS($B$14:$B15),MATCH(E$13,INDIRECT(Danh_Sach!$N$2),0))</f>
        <v>0</v>
      </c>
      <c r="F15" s="5">
        <f t="array" aca="1" ref="F15" ca="1">INDEX(INDIRECT(NPT!$W$1),ROWS($B$14:B15),MATCH($C$1,INDIRECT(NPT!$W$2),0))</f>
        <v>0</v>
      </c>
      <c r="G15" s="11">
        <f ca="1">IF(AND($G$12="Link",H15&lt;&gt;0),H15,INDEX(INDIRECT(Danh_Sach!$N$1),ROWS($B$14:$B15),MATCH(G$13,INDIRECT(Danh_Sach!$N$2),0)))</f>
        <v>0</v>
      </c>
      <c r="H15" s="11">
        <f ca="1">IFERROR(INDEX(INDIRECT(BaoHiem!$A$3),ROWS($B$14:$B15),MATCH($C$1,INDIRECT(BaoHiem!$A$4),0)),0)</f>
        <v>0</v>
      </c>
      <c r="I15" s="72">
        <f t="array" aca="1" ref="I15" ca="1">INDEX(INDIRECT(Cham_Cong!$T$3),ROWS($B$14:B15),MATCH($C$1,INDIRECT(Cham_Cong!$T$4),0))</f>
        <v>0</v>
      </c>
      <c r="J15" s="11">
        <f t="shared" ca="1" si="6"/>
        <v>0</v>
      </c>
      <c r="K15" s="11">
        <f t="shared" ca="1" si="7"/>
        <v>0</v>
      </c>
      <c r="L15" s="578"/>
      <c r="M15" s="22">
        <f t="shared" ca="1" si="8"/>
        <v>0</v>
      </c>
      <c r="N15" s="11">
        <f t="shared" ca="1" si="9"/>
        <v>0</v>
      </c>
      <c r="P15" s="22">
        <f t="shared" ca="1" si="10"/>
        <v>0</v>
      </c>
      <c r="R15" s="11"/>
      <c r="S15" s="11"/>
      <c r="T15" s="11"/>
      <c r="V15" s="11">
        <f t="shared" ca="1" si="11"/>
        <v>0</v>
      </c>
      <c r="W15" s="22">
        <f t="shared" ca="1" si="12"/>
        <v>0</v>
      </c>
      <c r="X15" s="22">
        <f t="shared" ca="1" si="13"/>
        <v>0</v>
      </c>
      <c r="Y15" s="22">
        <f t="shared" si="14"/>
        <v>0</v>
      </c>
      <c r="Z15" s="22">
        <f t="shared" ca="1" si="15"/>
        <v>0</v>
      </c>
      <c r="AA15" s="22">
        <f t="shared" ca="1" si="16"/>
        <v>0</v>
      </c>
      <c r="AB15" s="22">
        <f t="shared" ca="1" si="17"/>
        <v>0</v>
      </c>
      <c r="AC15" s="22">
        <f t="shared" ca="1" si="18"/>
        <v>0</v>
      </c>
      <c r="AD15" s="22">
        <f t="shared" ca="1" si="19"/>
        <v>0</v>
      </c>
      <c r="AE15" s="22">
        <f ca="1">IF(AB15&gt;0,IF(ISNA(VLOOKUP(C15,Info!$C$22:$D$303,2,0))=FALSE,H15*1.5%,H15*$AE$12),0)</f>
        <v>0</v>
      </c>
      <c r="AH15" s="22">
        <f t="shared" ca="1" si="20"/>
        <v>0</v>
      </c>
      <c r="AI15" s="22">
        <f ca="1">IF(AH15&gt;0,(AH15-VLOOKUP(AH15-1,INDIRECT(TAXRATE!$E$1),1,1))*VLOOKUP(AH15,INDIRECT(TAXRATE!$E$1),2,1)+VLOOKUP(AH15-1,INDIRECT(TAXRATE!$E$1),3,1),0)</f>
        <v>0</v>
      </c>
      <c r="AJ15" s="22">
        <f t="shared" ca="1" si="21"/>
        <v>0</v>
      </c>
      <c r="AL15" s="3" t="str">
        <f ca="1">IF(INDEX(INDIRECT(Danh_Sach!$N$1),ROWS($B$14:$B15),MATCH(AL$13,INDIRECT(Danh_Sach!$N$2),0))=0,"",MONTH(INDEX(INDIRECT(Danh_Sach!$N$1),ROWS($B$14:$B15),MATCH(AL$13,INDIRECT(Danh_Sach!$N$2),0))))</f>
        <v/>
      </c>
      <c r="AM15" s="3" t="str">
        <f ca="1">IF(INDEX(INDIRECT(Danh_Sach!$N$1),ROWS($B$14:$B15),MATCH(AM$13,INDIRECT(Danh_Sach!$N$2),0))=0,"",MONTH(INDEX(INDIRECT(Danh_Sach!$N$1),ROWS($B$14:$B15),MATCH(AM$13,INDIRECT(Danh_Sach!$N$2),0))))</f>
        <v/>
      </c>
      <c r="AN15" s="3" t="str">
        <f ca="1">IF(INDEX(INDIRECT(Danh_Sach!$N$1),ROWS($B$14:$B15),MATCH(AN$13,INDIRECT(Danh_Sach!$N$2),0))=0,"",MONTH(INDEX(INDIRECT(Danh_Sach!$N$1),ROWS($B$14:$B15),MATCH(AN$13,INDIRECT(Danh_Sach!$N$2),0))))</f>
        <v/>
      </c>
      <c r="AO15" s="3" t="str">
        <f ca="1">IF(INDEX(INDIRECT(Danh_Sach!$N$1),ROWS($B$14:$B15),MATCH(AO$13,INDIRECT(Danh_Sach!$N$2),0))=0,"",MONTH(INDEX(INDIRECT(Danh_Sach!$N$1),ROWS($B$14:$B15),MATCH(AO$13,INDIRECT(Danh_Sach!$N$2),0))))</f>
        <v/>
      </c>
      <c r="AU15" s="176">
        <f t="shared" ca="1" si="22"/>
        <v>2</v>
      </c>
      <c r="AV15" s="175">
        <f t="shared" ca="1" si="22"/>
        <v>0</v>
      </c>
      <c r="AW15" s="176">
        <f t="shared" ca="1" si="22"/>
        <v>0</v>
      </c>
      <c r="AX15" s="176">
        <f t="shared" ca="1" si="22"/>
        <v>0</v>
      </c>
      <c r="AY15" s="175"/>
      <c r="AZ15" s="437">
        <f t="shared" ca="1" si="23"/>
        <v>0</v>
      </c>
      <c r="BA15" s="437">
        <f t="shared" ca="1" si="24"/>
        <v>0</v>
      </c>
      <c r="BB15" s="437">
        <f t="shared" ca="1" si="25"/>
        <v>0</v>
      </c>
      <c r="BC15" s="437"/>
      <c r="BD15" s="437">
        <f t="shared" ca="1" si="26"/>
        <v>0</v>
      </c>
      <c r="BE15" s="175"/>
    </row>
    <row r="16" spans="1:57" x14ac:dyDescent="0.45">
      <c r="A16" s="5"/>
      <c r="E16" s="5"/>
      <c r="F16" s="5"/>
      <c r="G16" s="11"/>
      <c r="H16" s="11"/>
      <c r="I16" s="72"/>
      <c r="J16" s="11"/>
      <c r="K16" s="11"/>
      <c r="L16" s="578"/>
      <c r="M16" s="22"/>
      <c r="N16" s="11"/>
      <c r="P16" s="22"/>
      <c r="R16" s="11"/>
      <c r="S16" s="11"/>
      <c r="T16" s="11"/>
      <c r="V16" s="11"/>
      <c r="W16" s="22"/>
      <c r="X16" s="22"/>
      <c r="Y16" s="22"/>
      <c r="Z16" s="22"/>
      <c r="AA16" s="22"/>
      <c r="AB16" s="22"/>
      <c r="AC16" s="22"/>
      <c r="AD16" s="22"/>
      <c r="AE16" s="22"/>
      <c r="AH16" s="22"/>
      <c r="AI16" s="22"/>
      <c r="AJ16" s="22"/>
      <c r="AU16" s="176"/>
      <c r="AV16" s="175"/>
      <c r="AW16" s="176"/>
      <c r="AX16" s="176"/>
      <c r="AY16" s="175"/>
      <c r="AZ16" s="437"/>
      <c r="BA16" s="437"/>
      <c r="BB16" s="437"/>
      <c r="BC16" s="437"/>
      <c r="BD16" s="437"/>
      <c r="BE16" s="175"/>
    </row>
    <row r="17" spans="1:57" x14ac:dyDescent="0.45">
      <c r="A17" s="5"/>
      <c r="E17" s="5"/>
      <c r="F17" s="5"/>
      <c r="G17" s="11"/>
      <c r="H17" s="11"/>
      <c r="I17" s="72"/>
      <c r="J17" s="11"/>
      <c r="K17" s="11"/>
      <c r="L17" s="578"/>
      <c r="M17" s="22"/>
      <c r="N17" s="11"/>
      <c r="P17" s="22"/>
      <c r="R17" s="11"/>
      <c r="S17" s="11"/>
      <c r="T17" s="11"/>
      <c r="V17" s="11"/>
      <c r="W17" s="22"/>
      <c r="X17" s="22"/>
      <c r="Y17" s="22"/>
      <c r="Z17" s="22"/>
      <c r="AA17" s="22"/>
      <c r="AB17" s="22"/>
      <c r="AC17" s="22"/>
      <c r="AD17" s="22"/>
      <c r="AE17" s="22"/>
      <c r="AH17" s="22"/>
      <c r="AI17" s="22"/>
      <c r="AJ17" s="22"/>
      <c r="AU17" s="176"/>
      <c r="AV17" s="175"/>
      <c r="AW17" s="176"/>
      <c r="AX17" s="176"/>
      <c r="AY17" s="175"/>
      <c r="AZ17" s="437"/>
      <c r="BA17" s="437"/>
      <c r="BB17" s="437"/>
      <c r="BC17" s="437"/>
      <c r="BD17" s="437"/>
      <c r="BE17" s="175"/>
    </row>
    <row r="18" spans="1:57" x14ac:dyDescent="0.45">
      <c r="A18" s="5"/>
      <c r="E18" s="5"/>
      <c r="F18" s="5"/>
      <c r="G18" s="11"/>
      <c r="H18" s="11"/>
      <c r="I18" s="72"/>
      <c r="J18" s="11"/>
      <c r="K18" s="11"/>
      <c r="L18" s="578"/>
      <c r="M18" s="22"/>
      <c r="N18" s="11"/>
      <c r="P18" s="22"/>
      <c r="R18" s="11"/>
      <c r="S18" s="11"/>
      <c r="T18" s="11"/>
      <c r="V18" s="11"/>
      <c r="W18" s="22"/>
      <c r="X18" s="22"/>
      <c r="Y18" s="22"/>
      <c r="Z18" s="22"/>
      <c r="AA18" s="22"/>
      <c r="AB18" s="22"/>
      <c r="AC18" s="22"/>
      <c r="AD18" s="22"/>
      <c r="AE18" s="22"/>
      <c r="AH18" s="22"/>
      <c r="AI18" s="22"/>
      <c r="AJ18" s="22"/>
      <c r="AU18" s="176"/>
      <c r="AV18" s="175"/>
      <c r="AW18" s="176"/>
      <c r="AX18" s="176"/>
      <c r="AY18" s="175"/>
      <c r="AZ18" s="437"/>
      <c r="BA18" s="437"/>
      <c r="BB18" s="437"/>
      <c r="BC18" s="437"/>
      <c r="BD18" s="437"/>
      <c r="BE18" s="175"/>
    </row>
    <row r="19" spans="1:57" x14ac:dyDescent="0.45">
      <c r="A19" s="5"/>
      <c r="E19" s="5"/>
      <c r="F19" s="5"/>
      <c r="G19" s="11"/>
      <c r="H19" s="11"/>
      <c r="I19" s="72"/>
      <c r="J19" s="11"/>
      <c r="K19" s="11"/>
      <c r="L19" s="578"/>
      <c r="M19" s="22"/>
      <c r="N19" s="11"/>
      <c r="P19" s="22"/>
      <c r="R19" s="11"/>
      <c r="S19" s="11"/>
      <c r="T19" s="11"/>
      <c r="V19" s="11"/>
      <c r="W19" s="22"/>
      <c r="X19" s="22"/>
      <c r="Y19" s="22"/>
      <c r="Z19" s="22"/>
      <c r="AA19" s="22"/>
      <c r="AB19" s="22"/>
      <c r="AC19" s="22"/>
      <c r="AD19" s="22"/>
      <c r="AE19" s="22"/>
      <c r="AH19" s="22"/>
      <c r="AI19" s="22"/>
      <c r="AJ19" s="22"/>
      <c r="AU19" s="176"/>
      <c r="AV19" s="175"/>
      <c r="AW19" s="176"/>
      <c r="AX19" s="176"/>
      <c r="AY19" s="175"/>
      <c r="AZ19" s="437"/>
      <c r="BA19" s="437"/>
      <c r="BB19" s="437"/>
      <c r="BC19" s="437"/>
      <c r="BD19" s="437"/>
      <c r="BE19" s="175"/>
    </row>
    <row r="20" spans="1:57" x14ac:dyDescent="0.45">
      <c r="A20" s="5"/>
      <c r="E20" s="5"/>
      <c r="F20" s="5"/>
      <c r="G20" s="11"/>
      <c r="H20" s="11"/>
      <c r="I20" s="72"/>
      <c r="J20" s="11"/>
      <c r="K20" s="11"/>
      <c r="L20" s="578"/>
      <c r="M20" s="22"/>
      <c r="N20" s="11"/>
      <c r="P20" s="22"/>
      <c r="R20" s="11"/>
      <c r="S20" s="11"/>
      <c r="T20" s="11"/>
      <c r="V20" s="11"/>
      <c r="W20" s="22"/>
      <c r="X20" s="22"/>
      <c r="Y20" s="22"/>
      <c r="Z20" s="22"/>
      <c r="AA20" s="22"/>
      <c r="AB20" s="22"/>
      <c r="AC20" s="22"/>
      <c r="AD20" s="22"/>
      <c r="AE20" s="22"/>
      <c r="AH20" s="22"/>
      <c r="AI20" s="22"/>
      <c r="AJ20" s="22"/>
      <c r="AU20" s="176"/>
      <c r="AV20" s="175"/>
      <c r="AW20" s="176"/>
      <c r="AX20" s="176"/>
      <c r="AY20" s="175"/>
      <c r="AZ20" s="437"/>
      <c r="BA20" s="437"/>
      <c r="BB20" s="437"/>
      <c r="BC20" s="437"/>
      <c r="BD20" s="437"/>
      <c r="BE20" s="175"/>
    </row>
    <row r="21" spans="1:57" x14ac:dyDescent="0.45">
      <c r="A21" s="5"/>
      <c r="E21" s="5"/>
      <c r="F21" s="5"/>
      <c r="G21" s="11"/>
      <c r="H21" s="11"/>
      <c r="I21" s="72"/>
      <c r="J21" s="11"/>
      <c r="K21" s="11"/>
      <c r="L21" s="578"/>
      <c r="M21" s="22"/>
      <c r="N21" s="11"/>
      <c r="P21" s="22"/>
      <c r="R21" s="11"/>
      <c r="S21" s="11"/>
      <c r="T21" s="11"/>
      <c r="V21" s="11"/>
      <c r="W21" s="22"/>
      <c r="X21" s="22"/>
      <c r="Y21" s="22"/>
      <c r="Z21" s="22"/>
      <c r="AA21" s="22"/>
      <c r="AB21" s="22"/>
      <c r="AC21" s="22"/>
      <c r="AD21" s="22"/>
      <c r="AE21" s="22"/>
      <c r="AH21" s="22"/>
      <c r="AI21" s="22"/>
      <c r="AJ21" s="22"/>
      <c r="AU21" s="176"/>
      <c r="AV21" s="175"/>
      <c r="AW21" s="176"/>
      <c r="AX21" s="176"/>
      <c r="AY21" s="175"/>
      <c r="AZ21" s="437"/>
      <c r="BA21" s="437"/>
      <c r="BB21" s="437"/>
      <c r="BC21" s="437"/>
      <c r="BD21" s="437"/>
      <c r="BE21" s="175"/>
    </row>
    <row r="22" spans="1:57" x14ac:dyDescent="0.45">
      <c r="A22" s="5"/>
      <c r="E22" s="5"/>
      <c r="F22" s="5"/>
      <c r="G22" s="11"/>
      <c r="H22" s="11"/>
      <c r="I22" s="72"/>
      <c r="J22" s="11"/>
      <c r="K22" s="11"/>
      <c r="L22" s="578"/>
      <c r="M22" s="22"/>
      <c r="N22" s="11"/>
      <c r="P22" s="22"/>
      <c r="R22" s="11"/>
      <c r="S22" s="11"/>
      <c r="T22" s="11"/>
      <c r="V22" s="11"/>
      <c r="W22" s="22"/>
      <c r="X22" s="22"/>
      <c r="Y22" s="22"/>
      <c r="Z22" s="22"/>
      <c r="AA22" s="22"/>
      <c r="AB22" s="22"/>
      <c r="AC22" s="22"/>
      <c r="AD22" s="22"/>
      <c r="AE22" s="22"/>
      <c r="AH22" s="22"/>
      <c r="AI22" s="22"/>
      <c r="AJ22" s="22"/>
      <c r="AU22" s="176"/>
      <c r="AV22" s="175"/>
      <c r="AW22" s="176"/>
      <c r="AX22" s="176"/>
      <c r="AY22" s="175"/>
      <c r="AZ22" s="437"/>
      <c r="BA22" s="437"/>
      <c r="BB22" s="437"/>
      <c r="BC22" s="437"/>
      <c r="BD22" s="437"/>
      <c r="BE22" s="175"/>
    </row>
    <row r="23" spans="1:57" x14ac:dyDescent="0.45">
      <c r="A23" s="5"/>
      <c r="E23" s="5"/>
      <c r="F23" s="5"/>
      <c r="G23" s="11"/>
      <c r="H23" s="11"/>
      <c r="I23" s="72"/>
      <c r="J23" s="11"/>
      <c r="K23" s="11"/>
      <c r="L23" s="578"/>
      <c r="M23" s="22"/>
      <c r="N23" s="11"/>
      <c r="P23" s="22"/>
      <c r="R23" s="11"/>
      <c r="S23" s="11"/>
      <c r="T23" s="11"/>
      <c r="V23" s="11"/>
      <c r="W23" s="22"/>
      <c r="X23" s="22"/>
      <c r="Y23" s="22"/>
      <c r="Z23" s="22"/>
      <c r="AA23" s="22"/>
      <c r="AB23" s="22"/>
      <c r="AC23" s="22"/>
      <c r="AD23" s="22"/>
      <c r="AE23" s="22"/>
      <c r="AH23" s="22"/>
      <c r="AI23" s="22"/>
      <c r="AJ23" s="22"/>
      <c r="AU23" s="176"/>
      <c r="AV23" s="175"/>
      <c r="AW23" s="176"/>
      <c r="AX23" s="176"/>
      <c r="AY23" s="175"/>
      <c r="AZ23" s="437"/>
      <c r="BA23" s="437"/>
      <c r="BB23" s="437"/>
      <c r="BC23" s="437"/>
      <c r="BD23" s="437"/>
      <c r="BE23" s="175"/>
    </row>
    <row r="24" spans="1:57" x14ac:dyDescent="0.45">
      <c r="A24" s="5"/>
      <c r="E24" s="5"/>
      <c r="F24" s="5"/>
      <c r="G24" s="11"/>
      <c r="H24" s="11"/>
      <c r="I24" s="72"/>
      <c r="J24" s="11"/>
      <c r="K24" s="11"/>
      <c r="L24" s="578"/>
      <c r="M24" s="22"/>
      <c r="N24" s="11"/>
      <c r="P24" s="22"/>
      <c r="R24" s="11"/>
      <c r="S24" s="11"/>
      <c r="T24" s="11"/>
      <c r="V24" s="11"/>
      <c r="W24" s="22"/>
      <c r="X24" s="22"/>
      <c r="Y24" s="22"/>
      <c r="Z24" s="22"/>
      <c r="AA24" s="22"/>
      <c r="AB24" s="22"/>
      <c r="AC24" s="22"/>
      <c r="AD24" s="22"/>
      <c r="AE24" s="22"/>
      <c r="AH24" s="22"/>
      <c r="AI24" s="22"/>
      <c r="AJ24" s="22"/>
      <c r="AU24" s="176"/>
      <c r="AV24" s="175"/>
      <c r="AW24" s="176"/>
      <c r="AX24" s="176"/>
      <c r="AY24" s="175"/>
      <c r="AZ24" s="437"/>
      <c r="BA24" s="437"/>
      <c r="BB24" s="437"/>
      <c r="BC24" s="437"/>
      <c r="BD24" s="437"/>
      <c r="BE24" s="175"/>
    </row>
    <row r="25" spans="1:57" x14ac:dyDescent="0.45">
      <c r="A25" s="5"/>
      <c r="E25" s="5"/>
      <c r="F25" s="5"/>
      <c r="G25" s="11"/>
      <c r="H25" s="11"/>
      <c r="I25" s="72"/>
      <c r="J25" s="11"/>
      <c r="K25" s="11"/>
      <c r="L25" s="578"/>
      <c r="M25" s="22"/>
      <c r="N25" s="11"/>
      <c r="P25" s="22"/>
      <c r="R25" s="11"/>
      <c r="S25" s="11"/>
      <c r="T25" s="11"/>
      <c r="V25" s="11"/>
      <c r="W25" s="22"/>
      <c r="X25" s="22"/>
      <c r="Y25" s="22"/>
      <c r="Z25" s="22"/>
      <c r="AA25" s="22"/>
      <c r="AB25" s="22"/>
      <c r="AC25" s="22"/>
      <c r="AD25" s="22"/>
      <c r="AE25" s="22"/>
      <c r="AH25" s="22"/>
      <c r="AI25" s="22"/>
      <c r="AJ25" s="22"/>
      <c r="AU25" s="176"/>
      <c r="AV25" s="175"/>
      <c r="AW25" s="176"/>
      <c r="AX25" s="176"/>
      <c r="AY25" s="175"/>
      <c r="AZ25" s="437"/>
      <c r="BA25" s="437"/>
      <c r="BB25" s="437"/>
      <c r="BC25" s="437"/>
      <c r="BD25" s="437"/>
      <c r="BE25" s="175"/>
    </row>
    <row r="26" spans="1:57" x14ac:dyDescent="0.45">
      <c r="A26" s="5"/>
      <c r="E26" s="5"/>
      <c r="F26" s="5"/>
      <c r="G26" s="11"/>
      <c r="H26" s="11"/>
      <c r="I26" s="72"/>
      <c r="J26" s="11"/>
      <c r="K26" s="11"/>
      <c r="L26" s="578"/>
      <c r="M26" s="22"/>
      <c r="N26" s="11"/>
      <c r="P26" s="22"/>
      <c r="R26" s="11"/>
      <c r="S26" s="11"/>
      <c r="T26" s="11"/>
      <c r="V26" s="11"/>
      <c r="W26" s="22"/>
      <c r="X26" s="22"/>
      <c r="Y26" s="22"/>
      <c r="Z26" s="22"/>
      <c r="AA26" s="22"/>
      <c r="AB26" s="22"/>
      <c r="AC26" s="22"/>
      <c r="AD26" s="22"/>
      <c r="AE26" s="22"/>
      <c r="AH26" s="22"/>
      <c r="AI26" s="22"/>
      <c r="AJ26" s="22"/>
      <c r="AU26" s="176"/>
      <c r="AV26" s="175"/>
      <c r="AW26" s="176"/>
      <c r="AX26" s="176"/>
      <c r="AY26" s="175"/>
      <c r="AZ26" s="437"/>
      <c r="BA26" s="437"/>
      <c r="BB26" s="437"/>
      <c r="BC26" s="437"/>
      <c r="BD26" s="437"/>
      <c r="BE26" s="175"/>
    </row>
    <row r="27" spans="1:57" x14ac:dyDescent="0.45">
      <c r="A27" s="5"/>
      <c r="E27" s="5"/>
      <c r="F27" s="5"/>
      <c r="G27" s="11"/>
      <c r="H27" s="11"/>
      <c r="I27" s="72"/>
      <c r="J27" s="11"/>
      <c r="K27" s="11"/>
      <c r="L27" s="578"/>
      <c r="M27" s="22"/>
      <c r="N27" s="11"/>
      <c r="P27" s="22"/>
      <c r="R27" s="11"/>
      <c r="S27" s="11"/>
      <c r="T27" s="11"/>
      <c r="V27" s="11"/>
      <c r="W27" s="22"/>
      <c r="X27" s="22"/>
      <c r="Y27" s="22"/>
      <c r="Z27" s="22"/>
      <c r="AA27" s="22"/>
      <c r="AB27" s="22"/>
      <c r="AC27" s="22"/>
      <c r="AD27" s="22"/>
      <c r="AE27" s="22"/>
      <c r="AH27" s="22"/>
      <c r="AI27" s="22"/>
      <c r="AJ27" s="22"/>
      <c r="AU27" s="176"/>
      <c r="AV27" s="175"/>
      <c r="AW27" s="176"/>
      <c r="AX27" s="176"/>
      <c r="AY27" s="175"/>
      <c r="AZ27" s="437"/>
      <c r="BA27" s="437"/>
      <c r="BB27" s="437"/>
      <c r="BC27" s="437"/>
      <c r="BD27" s="437"/>
      <c r="BE27" s="175"/>
    </row>
    <row r="28" spans="1:57" x14ac:dyDescent="0.45">
      <c r="A28" s="5"/>
      <c r="E28" s="5"/>
      <c r="F28" s="5"/>
      <c r="G28" s="11"/>
      <c r="H28" s="11"/>
      <c r="I28" s="72"/>
      <c r="J28" s="11"/>
      <c r="K28" s="11"/>
      <c r="L28" s="578"/>
      <c r="M28" s="22"/>
      <c r="N28" s="11"/>
      <c r="P28" s="22"/>
      <c r="R28" s="11"/>
      <c r="S28" s="11"/>
      <c r="T28" s="11"/>
      <c r="V28" s="11"/>
      <c r="W28" s="22"/>
      <c r="X28" s="22"/>
      <c r="Y28" s="22"/>
      <c r="Z28" s="22"/>
      <c r="AA28" s="22"/>
      <c r="AB28" s="22"/>
      <c r="AC28" s="22"/>
      <c r="AD28" s="22"/>
      <c r="AE28" s="22"/>
      <c r="AH28" s="22"/>
      <c r="AI28" s="22"/>
      <c r="AJ28" s="22"/>
      <c r="AU28" s="176"/>
      <c r="AV28" s="175"/>
      <c r="AW28" s="176"/>
      <c r="AX28" s="176"/>
      <c r="AY28" s="175"/>
      <c r="AZ28" s="437"/>
      <c r="BA28" s="437"/>
      <c r="BB28" s="437"/>
      <c r="BC28" s="437"/>
      <c r="BD28" s="437"/>
      <c r="BE28" s="175"/>
    </row>
    <row r="29" spans="1:57" x14ac:dyDescent="0.45">
      <c r="A29" s="5"/>
      <c r="E29" s="5"/>
      <c r="F29" s="5"/>
      <c r="G29" s="11"/>
      <c r="H29" s="11"/>
      <c r="I29" s="72"/>
      <c r="J29" s="11"/>
      <c r="K29" s="11"/>
      <c r="L29" s="578"/>
      <c r="M29" s="22"/>
      <c r="N29" s="11"/>
      <c r="P29" s="22"/>
      <c r="R29" s="11"/>
      <c r="S29" s="11"/>
      <c r="T29" s="11"/>
      <c r="V29" s="11"/>
      <c r="W29" s="22"/>
      <c r="X29" s="22"/>
      <c r="Y29" s="22"/>
      <c r="Z29" s="22"/>
      <c r="AA29" s="22"/>
      <c r="AB29" s="22"/>
      <c r="AC29" s="22"/>
      <c r="AD29" s="22"/>
      <c r="AE29" s="22"/>
      <c r="AH29" s="22"/>
      <c r="AI29" s="22"/>
      <c r="AJ29" s="22"/>
      <c r="AU29" s="176"/>
      <c r="AV29" s="175"/>
      <c r="AW29" s="176"/>
      <c r="AX29" s="176"/>
      <c r="AY29" s="175"/>
      <c r="AZ29" s="437"/>
      <c r="BA29" s="437"/>
      <c r="BB29" s="437"/>
      <c r="BC29" s="437"/>
      <c r="BD29" s="437"/>
      <c r="BE29" s="175"/>
    </row>
    <row r="30" spans="1:57" x14ac:dyDescent="0.45">
      <c r="A30" s="5"/>
      <c r="E30" s="5"/>
      <c r="F30" s="5"/>
      <c r="G30" s="11"/>
      <c r="H30" s="11"/>
      <c r="I30" s="72"/>
      <c r="J30" s="11"/>
      <c r="K30" s="11"/>
      <c r="L30" s="578"/>
      <c r="M30" s="22"/>
      <c r="N30" s="11"/>
      <c r="P30" s="22"/>
      <c r="R30" s="11"/>
      <c r="S30" s="11"/>
      <c r="T30" s="11"/>
      <c r="V30" s="11"/>
      <c r="W30" s="22"/>
      <c r="X30" s="22"/>
      <c r="Y30" s="22"/>
      <c r="Z30" s="22"/>
      <c r="AA30" s="22"/>
      <c r="AB30" s="22"/>
      <c r="AC30" s="22"/>
      <c r="AD30" s="22"/>
      <c r="AE30" s="22"/>
      <c r="AH30" s="22"/>
      <c r="AI30" s="22"/>
      <c r="AJ30" s="22"/>
      <c r="AU30" s="176"/>
      <c r="AV30" s="175"/>
      <c r="AW30" s="176"/>
      <c r="AX30" s="176"/>
      <c r="AY30" s="175"/>
      <c r="AZ30" s="437"/>
      <c r="BA30" s="437"/>
      <c r="BB30" s="437"/>
      <c r="BC30" s="437"/>
      <c r="BD30" s="437"/>
      <c r="BE30" s="175"/>
    </row>
    <row r="31" spans="1:57" x14ac:dyDescent="0.45">
      <c r="A31" s="5"/>
      <c r="E31" s="5"/>
      <c r="F31" s="5"/>
      <c r="G31" s="11"/>
      <c r="H31" s="11"/>
      <c r="I31" s="72"/>
      <c r="J31" s="11"/>
      <c r="K31" s="11"/>
      <c r="L31" s="578"/>
      <c r="M31" s="22"/>
      <c r="N31" s="11"/>
      <c r="P31" s="22"/>
      <c r="R31" s="11"/>
      <c r="S31" s="11"/>
      <c r="T31" s="11"/>
      <c r="V31" s="11"/>
      <c r="W31" s="22"/>
      <c r="X31" s="22"/>
      <c r="Y31" s="22"/>
      <c r="Z31" s="22"/>
      <c r="AA31" s="22"/>
      <c r="AB31" s="22"/>
      <c r="AC31" s="22"/>
      <c r="AD31" s="22"/>
      <c r="AE31" s="22"/>
      <c r="AH31" s="22"/>
      <c r="AI31" s="22"/>
      <c r="AJ31" s="22"/>
      <c r="AU31" s="176"/>
      <c r="AV31" s="175"/>
      <c r="AW31" s="176"/>
      <c r="AX31" s="176"/>
      <c r="AY31" s="175"/>
      <c r="AZ31" s="437"/>
      <c r="BA31" s="437"/>
      <c r="BB31" s="437"/>
      <c r="BC31" s="437"/>
      <c r="BD31" s="437"/>
      <c r="BE31" s="175"/>
    </row>
    <row r="32" spans="1:57" x14ac:dyDescent="0.45">
      <c r="A32" s="5"/>
      <c r="E32" s="5"/>
      <c r="F32" s="5"/>
      <c r="G32" s="11"/>
      <c r="H32" s="11"/>
      <c r="I32" s="72"/>
      <c r="J32" s="11"/>
      <c r="K32" s="11"/>
      <c r="L32" s="578"/>
      <c r="M32" s="22"/>
      <c r="N32" s="11"/>
      <c r="P32" s="22"/>
      <c r="R32" s="11"/>
      <c r="S32" s="11"/>
      <c r="T32" s="11"/>
      <c r="V32" s="11"/>
      <c r="W32" s="22"/>
      <c r="X32" s="22"/>
      <c r="Y32" s="22"/>
      <c r="Z32" s="22"/>
      <c r="AA32" s="22"/>
      <c r="AB32" s="22"/>
      <c r="AC32" s="22"/>
      <c r="AD32" s="22"/>
      <c r="AE32" s="22"/>
      <c r="AH32" s="22"/>
      <c r="AI32" s="22"/>
      <c r="AJ32" s="22"/>
      <c r="AU32" s="176"/>
      <c r="AV32" s="175"/>
      <c r="AW32" s="176"/>
      <c r="AX32" s="176"/>
      <c r="AY32" s="175"/>
      <c r="AZ32" s="437"/>
      <c r="BA32" s="437"/>
      <c r="BB32" s="437"/>
      <c r="BC32" s="437"/>
      <c r="BD32" s="437"/>
      <c r="BE32" s="175"/>
    </row>
    <row r="33" spans="1:57" x14ac:dyDescent="0.45">
      <c r="A33" s="5"/>
      <c r="E33" s="5"/>
      <c r="F33" s="5"/>
      <c r="G33" s="11"/>
      <c r="H33" s="11"/>
      <c r="I33" s="72"/>
      <c r="J33" s="11"/>
      <c r="K33" s="11"/>
      <c r="L33" s="578"/>
      <c r="M33" s="22"/>
      <c r="N33" s="11"/>
      <c r="P33" s="22"/>
      <c r="R33" s="11"/>
      <c r="S33" s="11"/>
      <c r="T33" s="11"/>
      <c r="V33" s="11"/>
      <c r="W33" s="22"/>
      <c r="X33" s="22"/>
      <c r="Y33" s="22"/>
      <c r="Z33" s="22"/>
      <c r="AA33" s="22"/>
      <c r="AB33" s="22"/>
      <c r="AC33" s="22"/>
      <c r="AD33" s="22"/>
      <c r="AE33" s="22"/>
      <c r="AH33" s="22"/>
      <c r="AI33" s="22"/>
      <c r="AJ33" s="22"/>
      <c r="AU33" s="176"/>
      <c r="AV33" s="175"/>
      <c r="AW33" s="176"/>
      <c r="AX33" s="176"/>
      <c r="AY33" s="175"/>
      <c r="AZ33" s="437"/>
      <c r="BA33" s="437"/>
      <c r="BB33" s="437"/>
      <c r="BC33" s="437"/>
      <c r="BD33" s="437"/>
      <c r="BE33" s="175"/>
    </row>
    <row r="34" spans="1:57" x14ac:dyDescent="0.45">
      <c r="A34" s="5"/>
      <c r="E34" s="5"/>
      <c r="F34" s="5"/>
      <c r="G34" s="11"/>
      <c r="H34" s="11"/>
      <c r="I34" s="72"/>
      <c r="J34" s="11"/>
      <c r="K34" s="11"/>
      <c r="L34" s="578"/>
      <c r="M34" s="22"/>
      <c r="N34" s="11"/>
      <c r="P34" s="22"/>
      <c r="R34" s="11"/>
      <c r="S34" s="11"/>
      <c r="T34" s="11"/>
      <c r="V34" s="11"/>
      <c r="W34" s="22"/>
      <c r="X34" s="22"/>
      <c r="Y34" s="22"/>
      <c r="Z34" s="22"/>
      <c r="AA34" s="22"/>
      <c r="AB34" s="22"/>
      <c r="AC34" s="22"/>
      <c r="AD34" s="22"/>
      <c r="AE34" s="22"/>
      <c r="AH34" s="22"/>
      <c r="AI34" s="22"/>
      <c r="AJ34" s="22"/>
      <c r="AU34" s="176"/>
      <c r="AV34" s="175"/>
      <c r="AW34" s="176"/>
      <c r="AX34" s="176"/>
      <c r="AY34" s="175"/>
      <c r="AZ34" s="437"/>
      <c r="BA34" s="437"/>
      <c r="BB34" s="437"/>
      <c r="BC34" s="437"/>
      <c r="BD34" s="437"/>
      <c r="BE34" s="175"/>
    </row>
    <row r="35" spans="1:57" x14ac:dyDescent="0.45">
      <c r="A35" s="5"/>
      <c r="E35" s="5"/>
      <c r="F35" s="5"/>
      <c r="G35" s="11"/>
      <c r="H35" s="11"/>
      <c r="I35" s="72"/>
      <c r="J35" s="11"/>
      <c r="K35" s="11"/>
      <c r="L35" s="578"/>
      <c r="M35" s="22"/>
      <c r="N35" s="11"/>
      <c r="P35" s="22"/>
      <c r="R35" s="11"/>
      <c r="S35" s="11"/>
      <c r="T35" s="11"/>
      <c r="V35" s="11"/>
      <c r="W35" s="22"/>
      <c r="X35" s="22"/>
      <c r="Y35" s="22"/>
      <c r="Z35" s="22"/>
      <c r="AA35" s="22"/>
      <c r="AB35" s="22"/>
      <c r="AC35" s="22"/>
      <c r="AD35" s="22"/>
      <c r="AE35" s="22"/>
      <c r="AH35" s="22"/>
      <c r="AI35" s="22"/>
      <c r="AJ35" s="22"/>
      <c r="AU35" s="176"/>
      <c r="AV35" s="175"/>
      <c r="AW35" s="176"/>
      <c r="AX35" s="176"/>
      <c r="AY35" s="175"/>
      <c r="AZ35" s="437"/>
      <c r="BA35" s="437"/>
      <c r="BB35" s="437"/>
      <c r="BC35" s="437"/>
      <c r="BD35" s="437"/>
      <c r="BE35" s="175"/>
    </row>
    <row r="36" spans="1:57" x14ac:dyDescent="0.45">
      <c r="A36" s="5"/>
      <c r="E36" s="5"/>
      <c r="F36" s="5"/>
      <c r="G36" s="11"/>
      <c r="H36" s="11"/>
      <c r="I36" s="72"/>
      <c r="J36" s="11"/>
      <c r="K36" s="11"/>
      <c r="L36" s="578"/>
      <c r="M36" s="22"/>
      <c r="N36" s="11"/>
      <c r="P36" s="22"/>
      <c r="R36" s="11"/>
      <c r="S36" s="11"/>
      <c r="T36" s="11"/>
      <c r="V36" s="11"/>
      <c r="W36" s="22"/>
      <c r="X36" s="22"/>
      <c r="Y36" s="22"/>
      <c r="Z36" s="22"/>
      <c r="AA36" s="22"/>
      <c r="AB36" s="22"/>
      <c r="AC36" s="22"/>
      <c r="AD36" s="22"/>
      <c r="AE36" s="22"/>
      <c r="AH36" s="22"/>
      <c r="AI36" s="22"/>
      <c r="AJ36" s="22"/>
      <c r="AU36" s="176"/>
      <c r="AV36" s="175"/>
      <c r="AW36" s="176"/>
      <c r="AX36" s="176"/>
      <c r="AY36" s="175"/>
      <c r="AZ36" s="437"/>
      <c r="BA36" s="437"/>
      <c r="BB36" s="437"/>
      <c r="BC36" s="437"/>
      <c r="BD36" s="437"/>
      <c r="BE36" s="175"/>
    </row>
    <row r="37" spans="1:57" x14ac:dyDescent="0.45">
      <c r="A37" s="5"/>
      <c r="E37" s="5"/>
      <c r="F37" s="5"/>
      <c r="G37" s="11"/>
      <c r="H37" s="11"/>
      <c r="I37" s="72"/>
      <c r="J37" s="11"/>
      <c r="K37" s="11"/>
      <c r="L37" s="578"/>
      <c r="M37" s="22"/>
      <c r="N37" s="11"/>
      <c r="P37" s="22"/>
      <c r="R37" s="11"/>
      <c r="S37" s="11"/>
      <c r="T37" s="11"/>
      <c r="V37" s="11"/>
      <c r="W37" s="22"/>
      <c r="X37" s="22"/>
      <c r="Y37" s="22"/>
      <c r="Z37" s="22"/>
      <c r="AA37" s="22"/>
      <c r="AB37" s="22"/>
      <c r="AC37" s="22"/>
      <c r="AD37" s="22"/>
      <c r="AE37" s="22"/>
      <c r="AH37" s="22"/>
      <c r="AI37" s="22"/>
      <c r="AJ37" s="22"/>
      <c r="AU37" s="176"/>
      <c r="AV37" s="175"/>
      <c r="AW37" s="176"/>
      <c r="AX37" s="176"/>
      <c r="AY37" s="175"/>
      <c r="AZ37" s="437"/>
      <c r="BA37" s="437"/>
      <c r="BB37" s="437"/>
      <c r="BC37" s="437"/>
      <c r="BD37" s="437"/>
      <c r="BE37" s="175"/>
    </row>
    <row r="38" spans="1:57" x14ac:dyDescent="0.45">
      <c r="A38" s="5"/>
      <c r="E38" s="5"/>
      <c r="F38" s="5"/>
      <c r="G38" s="11"/>
      <c r="H38" s="11"/>
      <c r="I38" s="72"/>
      <c r="J38" s="11"/>
      <c r="K38" s="11"/>
      <c r="L38" s="578"/>
      <c r="M38" s="22"/>
      <c r="N38" s="11"/>
      <c r="P38" s="22"/>
      <c r="R38" s="11"/>
      <c r="S38" s="11"/>
      <c r="T38" s="11"/>
      <c r="V38" s="11"/>
      <c r="W38" s="22"/>
      <c r="X38" s="22"/>
      <c r="Y38" s="22"/>
      <c r="Z38" s="22"/>
      <c r="AA38" s="22"/>
      <c r="AB38" s="22"/>
      <c r="AC38" s="22"/>
      <c r="AD38" s="22"/>
      <c r="AE38" s="22"/>
      <c r="AH38" s="22"/>
      <c r="AI38" s="22"/>
      <c r="AJ38" s="22"/>
      <c r="AU38" s="176"/>
      <c r="AV38" s="175"/>
      <c r="AW38" s="176"/>
      <c r="AX38" s="176"/>
      <c r="AY38" s="175"/>
      <c r="AZ38" s="437"/>
      <c r="BA38" s="437"/>
      <c r="BB38" s="437"/>
      <c r="BC38" s="437"/>
      <c r="BD38" s="437"/>
      <c r="BE38" s="175"/>
    </row>
    <row r="39" spans="1:57" x14ac:dyDescent="0.45">
      <c r="A39" s="5"/>
      <c r="E39" s="5"/>
      <c r="F39" s="5"/>
      <c r="G39" s="11"/>
      <c r="H39" s="11"/>
      <c r="I39" s="72"/>
      <c r="J39" s="11"/>
      <c r="K39" s="11"/>
      <c r="M39" s="22"/>
      <c r="N39" s="11"/>
      <c r="P39" s="22"/>
      <c r="S39" s="11"/>
      <c r="V39" s="11"/>
      <c r="W39" s="22"/>
      <c r="X39" s="22"/>
      <c r="Y39" s="22"/>
      <c r="Z39" s="22"/>
      <c r="AA39" s="22"/>
      <c r="AB39" s="22"/>
      <c r="AC39" s="22"/>
      <c r="AD39" s="22"/>
      <c r="AE39" s="22"/>
      <c r="AH39" s="22"/>
      <c r="AI39" s="22"/>
      <c r="AJ39" s="22"/>
    </row>
    <row r="40" spans="1:57" x14ac:dyDescent="0.45">
      <c r="A40" s="5"/>
      <c r="E40" s="5"/>
      <c r="F40" s="5"/>
      <c r="G40" s="11"/>
      <c r="H40" s="11"/>
      <c r="I40" s="72"/>
      <c r="J40" s="11"/>
      <c r="K40" s="11"/>
      <c r="M40" s="22"/>
      <c r="N40" s="11"/>
      <c r="P40" s="22"/>
      <c r="S40" s="11"/>
      <c r="V40" s="11"/>
      <c r="W40" s="22"/>
      <c r="X40" s="22"/>
      <c r="Y40" s="22"/>
      <c r="Z40" s="22"/>
      <c r="AA40" s="22"/>
      <c r="AB40" s="22"/>
      <c r="AC40" s="22"/>
      <c r="AD40" s="22"/>
      <c r="AE40" s="22"/>
      <c r="AH40" s="22"/>
      <c r="AI40" s="22"/>
      <c r="AJ40" s="22"/>
    </row>
    <row r="41" spans="1:57" x14ac:dyDescent="0.45">
      <c r="A41" s="5"/>
      <c r="E41" s="5"/>
      <c r="F41" s="5"/>
      <c r="G41" s="11"/>
      <c r="H41" s="11"/>
      <c r="I41" s="72"/>
      <c r="J41" s="11"/>
      <c r="K41" s="11"/>
      <c r="M41" s="22"/>
      <c r="N41" s="11"/>
      <c r="P41" s="22"/>
      <c r="S41" s="11"/>
      <c r="V41" s="11"/>
      <c r="W41" s="22"/>
      <c r="X41" s="22"/>
      <c r="Y41" s="22"/>
      <c r="Z41" s="22"/>
      <c r="AA41" s="22"/>
      <c r="AB41" s="22"/>
      <c r="AC41" s="22"/>
      <c r="AD41" s="22"/>
      <c r="AE41" s="22"/>
      <c r="AH41" s="22"/>
      <c r="AI41" s="22"/>
      <c r="AJ41" s="22"/>
    </row>
    <row r="42" spans="1:57" x14ac:dyDescent="0.45">
      <c r="A42" s="5"/>
      <c r="E42" s="5"/>
      <c r="F42" s="5"/>
      <c r="G42" s="11"/>
      <c r="H42" s="11"/>
      <c r="I42" s="72"/>
      <c r="J42" s="11"/>
      <c r="K42" s="11"/>
      <c r="M42" s="22"/>
      <c r="N42" s="11"/>
      <c r="P42" s="22"/>
      <c r="S42" s="11"/>
      <c r="V42" s="11"/>
      <c r="W42" s="22"/>
      <c r="X42" s="22"/>
      <c r="Y42" s="22"/>
      <c r="Z42" s="22"/>
      <c r="AA42" s="22"/>
      <c r="AB42" s="22"/>
      <c r="AC42" s="22"/>
      <c r="AD42" s="22"/>
      <c r="AE42" s="22"/>
      <c r="AH42" s="22"/>
      <c r="AI42" s="22"/>
      <c r="AJ42" s="22"/>
    </row>
    <row r="43" spans="1:57" x14ac:dyDescent="0.45">
      <c r="A43" s="5"/>
      <c r="E43" s="5"/>
      <c r="F43" s="5"/>
      <c r="G43" s="11"/>
      <c r="H43" s="11"/>
      <c r="I43" s="72"/>
      <c r="J43" s="11"/>
      <c r="K43" s="11"/>
      <c r="M43" s="22"/>
      <c r="N43" s="11"/>
      <c r="P43" s="22"/>
      <c r="S43" s="11"/>
      <c r="V43" s="11"/>
      <c r="W43" s="22"/>
      <c r="X43" s="22"/>
      <c r="Y43" s="22"/>
      <c r="Z43" s="22"/>
      <c r="AA43" s="22"/>
      <c r="AB43" s="22"/>
      <c r="AC43" s="22"/>
      <c r="AD43" s="22"/>
      <c r="AE43" s="22"/>
      <c r="AH43" s="22"/>
      <c r="AI43" s="22"/>
      <c r="AJ43" s="22"/>
    </row>
    <row r="44" spans="1:57" x14ac:dyDescent="0.45">
      <c r="A44" s="5"/>
      <c r="E44" s="5"/>
      <c r="F44" s="5"/>
      <c r="G44" s="11"/>
      <c r="H44" s="11"/>
      <c r="I44" s="72"/>
      <c r="J44" s="11"/>
      <c r="K44" s="11"/>
      <c r="M44" s="22"/>
      <c r="N44" s="11"/>
      <c r="P44" s="22"/>
      <c r="S44" s="11"/>
      <c r="V44" s="11"/>
      <c r="W44" s="22"/>
      <c r="X44" s="22"/>
      <c r="Y44" s="22"/>
      <c r="Z44" s="22"/>
      <c r="AA44" s="22"/>
      <c r="AB44" s="22"/>
      <c r="AC44" s="22"/>
      <c r="AD44" s="22"/>
      <c r="AE44" s="22"/>
      <c r="AH44" s="22"/>
      <c r="AI44" s="22"/>
      <c r="AJ44" s="22"/>
    </row>
    <row r="45" spans="1:57" x14ac:dyDescent="0.45">
      <c r="A45" s="5"/>
      <c r="E45" s="5"/>
      <c r="F45" s="5"/>
      <c r="G45" s="11"/>
      <c r="H45" s="11"/>
      <c r="I45" s="72"/>
      <c r="J45" s="11"/>
      <c r="K45" s="11"/>
      <c r="M45" s="22"/>
      <c r="N45" s="11"/>
      <c r="P45" s="22"/>
      <c r="S45" s="11"/>
      <c r="V45" s="11"/>
      <c r="W45" s="22"/>
      <c r="X45" s="22"/>
      <c r="Y45" s="22"/>
      <c r="Z45" s="22"/>
      <c r="AA45" s="22"/>
      <c r="AB45" s="22"/>
      <c r="AC45" s="22"/>
      <c r="AD45" s="22"/>
      <c r="AE45" s="22"/>
      <c r="AH45" s="22"/>
      <c r="AI45" s="22"/>
      <c r="AJ45" s="22"/>
    </row>
    <row r="46" spans="1:57" x14ac:dyDescent="0.45">
      <c r="A46" s="5"/>
      <c r="E46" s="5"/>
      <c r="F46" s="5"/>
      <c r="G46" s="11"/>
      <c r="H46" s="11"/>
      <c r="I46" s="72"/>
      <c r="J46" s="11"/>
      <c r="K46" s="11"/>
      <c r="M46" s="22"/>
      <c r="N46" s="11"/>
      <c r="O46" s="3"/>
      <c r="P46" s="22"/>
      <c r="S46" s="11"/>
      <c r="V46" s="11"/>
      <c r="W46" s="22"/>
      <c r="X46" s="22"/>
      <c r="Y46" s="22"/>
      <c r="Z46" s="22"/>
      <c r="AA46" s="22"/>
      <c r="AB46" s="22"/>
      <c r="AC46" s="22"/>
      <c r="AD46" s="22"/>
      <c r="AE46" s="22"/>
      <c r="AH46" s="22"/>
      <c r="AI46" s="22"/>
      <c r="AJ46" s="22"/>
    </row>
    <row r="47" spans="1:57" x14ac:dyDescent="0.45">
      <c r="A47" s="5"/>
      <c r="E47" s="5"/>
      <c r="F47" s="5"/>
      <c r="G47" s="11"/>
      <c r="H47" s="11"/>
      <c r="I47" s="72"/>
      <c r="J47" s="11"/>
      <c r="K47" s="11"/>
      <c r="M47" s="22"/>
      <c r="N47" s="11"/>
      <c r="O47" s="3"/>
      <c r="P47" s="22"/>
      <c r="S47" s="11"/>
      <c r="V47" s="11"/>
      <c r="W47" s="22"/>
      <c r="X47" s="22"/>
      <c r="Y47" s="22"/>
      <c r="Z47" s="22"/>
      <c r="AA47" s="22"/>
      <c r="AB47" s="22"/>
      <c r="AC47" s="22"/>
      <c r="AD47" s="22"/>
      <c r="AE47" s="22"/>
      <c r="AH47" s="22"/>
      <c r="AI47" s="22"/>
      <c r="AJ47" s="22"/>
    </row>
    <row r="48" spans="1:57" x14ac:dyDescent="0.45">
      <c r="A48" s="5"/>
      <c r="E48" s="5"/>
      <c r="F48" s="5"/>
      <c r="G48" s="11"/>
      <c r="H48" s="11"/>
      <c r="I48" s="72"/>
      <c r="J48" s="11"/>
      <c r="K48" s="11"/>
      <c r="M48" s="22"/>
      <c r="N48" s="11"/>
      <c r="O48" s="3"/>
      <c r="P48" s="22"/>
      <c r="S48" s="11"/>
      <c r="V48" s="11"/>
      <c r="W48" s="22"/>
      <c r="X48" s="22"/>
      <c r="Y48" s="22"/>
      <c r="Z48" s="22"/>
      <c r="AA48" s="22"/>
      <c r="AB48" s="22"/>
      <c r="AC48" s="22"/>
      <c r="AD48" s="22"/>
      <c r="AE48" s="22"/>
      <c r="AH48" s="22"/>
      <c r="AI48" s="22"/>
      <c r="AJ48" s="22"/>
    </row>
    <row r="49" spans="1:36" x14ac:dyDescent="0.45">
      <c r="A49" s="5"/>
      <c r="E49" s="5"/>
      <c r="F49" s="5"/>
      <c r="G49" s="11"/>
      <c r="H49" s="11"/>
      <c r="I49" s="72"/>
      <c r="J49" s="11"/>
      <c r="K49" s="11"/>
      <c r="M49" s="22"/>
      <c r="N49" s="11"/>
      <c r="O49" s="3"/>
      <c r="P49" s="22"/>
      <c r="S49" s="11"/>
      <c r="V49" s="11"/>
      <c r="W49" s="22"/>
      <c r="X49" s="22"/>
      <c r="Y49" s="22"/>
      <c r="Z49" s="22"/>
      <c r="AA49" s="22"/>
      <c r="AB49" s="22"/>
      <c r="AC49" s="22"/>
      <c r="AD49" s="22"/>
      <c r="AE49" s="22"/>
      <c r="AH49" s="22"/>
      <c r="AI49" s="22"/>
      <c r="AJ49" s="22"/>
    </row>
    <row r="50" spans="1:36" x14ac:dyDescent="0.45">
      <c r="A50" s="5"/>
      <c r="E50" s="5"/>
      <c r="F50" s="5"/>
      <c r="G50" s="11"/>
      <c r="H50" s="11"/>
      <c r="I50" s="72"/>
      <c r="J50" s="11"/>
      <c r="K50" s="11"/>
      <c r="M50" s="22"/>
      <c r="N50" s="11"/>
      <c r="O50" s="3"/>
      <c r="P50" s="22"/>
      <c r="S50" s="11"/>
      <c r="V50" s="11"/>
      <c r="W50" s="22"/>
      <c r="X50" s="22"/>
      <c r="Y50" s="22"/>
      <c r="Z50" s="22"/>
      <c r="AA50" s="22"/>
      <c r="AB50" s="22"/>
      <c r="AC50" s="22"/>
      <c r="AD50" s="22"/>
      <c r="AE50" s="22"/>
      <c r="AH50" s="22"/>
      <c r="AI50" s="22"/>
      <c r="AJ50" s="22"/>
    </row>
  </sheetData>
  <autoFilter ref="A13:AO50" xr:uid="{00000000-0009-0000-0000-000006000000}"/>
  <mergeCells count="38">
    <mergeCell ref="C10:C11"/>
    <mergeCell ref="B10:B11"/>
    <mergeCell ref="A10:A11"/>
    <mergeCell ref="BD11:BD12"/>
    <mergeCell ref="BE11:BE12"/>
    <mergeCell ref="BA11:BC11"/>
    <mergeCell ref="AU11:AU12"/>
    <mergeCell ref="AV11:AV12"/>
    <mergeCell ref="AW11:AW12"/>
    <mergeCell ref="AX11:AX12"/>
    <mergeCell ref="AY11:AY12"/>
    <mergeCell ref="AZ11:AZ12"/>
    <mergeCell ref="H10:H11"/>
    <mergeCell ref="G10:G11"/>
    <mergeCell ref="F10:F11"/>
    <mergeCell ref="E10:E11"/>
    <mergeCell ref="D10:D11"/>
    <mergeCell ref="T10:T11"/>
    <mergeCell ref="O10:O11"/>
    <mergeCell ref="P10:P11"/>
    <mergeCell ref="J10:J11"/>
    <mergeCell ref="I10:I11"/>
    <mergeCell ref="AB10:AB11"/>
    <mergeCell ref="AH10:AH11"/>
    <mergeCell ref="AI10:AI11"/>
    <mergeCell ref="G12:H12"/>
    <mergeCell ref="W9:AA9"/>
    <mergeCell ref="O9:P9"/>
    <mergeCell ref="AC9:AG9"/>
    <mergeCell ref="K9:N9"/>
    <mergeCell ref="L10:M10"/>
    <mergeCell ref="Q9:T9"/>
    <mergeCell ref="Q10:R10"/>
    <mergeCell ref="AE10:AG10"/>
    <mergeCell ref="AC10:AD10"/>
    <mergeCell ref="K10:K11"/>
    <mergeCell ref="N10:N11"/>
    <mergeCell ref="S10:S11"/>
  </mergeCells>
  <dataValidations count="1">
    <dataValidation type="list" allowBlank="1" showInputMessage="1" showErrorMessage="1" sqref="G12:H12" xr:uid="{00000000-0002-0000-0600-000000000000}">
      <formula1>"Link,Unlink"</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2050" r:id="rId4" name="CommandButton1">
          <controlPr defaultSize="0" autoLine="0" r:id="rId5">
            <anchor moveWithCells="1">
              <from>
                <xdr:col>1</xdr:col>
                <xdr:colOff>95250</xdr:colOff>
                <xdr:row>5</xdr:row>
                <xdr:rowOff>9525</xdr:rowOff>
              </from>
              <to>
                <xdr:col>1</xdr:col>
                <xdr:colOff>1343025</xdr:colOff>
                <xdr:row>6</xdr:row>
                <xdr:rowOff>228600</xdr:rowOff>
              </to>
            </anchor>
          </controlPr>
        </control>
      </mc:Choice>
      <mc:Fallback>
        <control shapeId="2050"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hang2"/>
  <dimension ref="A1:AO50"/>
  <sheetViews>
    <sheetView showGridLines="0" topLeftCell="G3" workbookViewId="0">
      <selection activeCell="R28" sqref="R28"/>
    </sheetView>
  </sheetViews>
  <sheetFormatPr defaultColWidth="9.1328125" defaultRowHeight="14.25" x14ac:dyDescent="0.45"/>
  <cols>
    <col min="1" max="1" width="7.59765625" style="3" customWidth="1"/>
    <col min="2" max="2" width="24.1328125" style="3" customWidth="1"/>
    <col min="3" max="3" width="14.59765625" style="5" customWidth="1"/>
    <col min="4" max="4" width="14.86328125" style="5" customWidth="1"/>
    <col min="5" max="5" width="10.265625" style="3" customWidth="1"/>
    <col min="6" max="6" width="8.1328125" style="3" customWidth="1"/>
    <col min="7" max="7" width="14" style="3" customWidth="1"/>
    <col min="8" max="8" width="13.73046875" style="3" customWidth="1"/>
    <col min="9" max="9" width="8.265625" style="44" customWidth="1"/>
    <col min="10" max="10" width="15.1328125" style="3" customWidth="1"/>
    <col min="11" max="11" width="13.73046875" style="3" customWidth="1"/>
    <col min="12" max="12" width="9" style="3" customWidth="1"/>
    <col min="13" max="13" width="14.265625" style="3" customWidth="1"/>
    <col min="14" max="14" width="12.73046875" style="3" customWidth="1"/>
    <col min="15" max="15" width="8.86328125" style="5" customWidth="1"/>
    <col min="16" max="16" width="10.265625" style="3" customWidth="1"/>
    <col min="17" max="17" width="11" style="3" customWidth="1"/>
    <col min="18" max="18" width="12.86328125" style="3" customWidth="1"/>
    <col min="19" max="19" width="13.59765625" style="3" hidden="1" customWidth="1"/>
    <col min="20" max="21" width="12.1328125" style="3" customWidth="1"/>
    <col min="22" max="22" width="16.1328125" style="3" customWidth="1"/>
    <col min="23" max="26" width="13.265625" style="3" customWidth="1"/>
    <col min="27" max="27" width="12.265625" style="3" customWidth="1"/>
    <col min="28" max="28" width="14.73046875" style="3" customWidth="1"/>
    <col min="29" max="29" width="14.265625" style="3" customWidth="1"/>
    <col min="30" max="30" width="12" style="3" customWidth="1"/>
    <col min="31" max="31" width="13.86328125" style="3" customWidth="1"/>
    <col min="32" max="33" width="9.1328125" style="3" hidden="1" customWidth="1"/>
    <col min="34" max="34" width="14" style="3" bestFit="1" customWidth="1"/>
    <col min="35" max="35" width="13" style="3" customWidth="1"/>
    <col min="36" max="37" width="13.73046875" style="3" customWidth="1"/>
    <col min="38" max="41" width="8.1328125" style="3" hidden="1" customWidth="1"/>
    <col min="42" max="16384" width="9.1328125" style="3"/>
  </cols>
  <sheetData>
    <row r="1" spans="1:41" ht="18" customHeight="1" thickBot="1" x14ac:dyDescent="0.5">
      <c r="A1" s="3" t="s">
        <v>376</v>
      </c>
      <c r="B1" s="59" t="s">
        <v>72</v>
      </c>
      <c r="C1" s="6">
        <v>2</v>
      </c>
      <c r="E1" s="376" t="s">
        <v>39</v>
      </c>
      <c r="F1" s="314"/>
      <c r="G1" s="377"/>
      <c r="H1" s="314"/>
      <c r="I1" s="378"/>
      <c r="J1" s="314"/>
      <c r="K1" s="314"/>
      <c r="L1" s="314"/>
      <c r="M1" s="314"/>
      <c r="N1" s="314"/>
      <c r="O1" s="377"/>
      <c r="P1" s="314"/>
      <c r="Q1" s="314"/>
      <c r="R1" s="314"/>
      <c r="S1" s="314"/>
      <c r="T1" s="314"/>
      <c r="U1" s="314"/>
      <c r="V1" s="314"/>
      <c r="W1" s="314"/>
      <c r="X1" s="314"/>
      <c r="Y1" s="314"/>
      <c r="Z1" s="314"/>
      <c r="AA1" s="314"/>
      <c r="AB1" s="314"/>
      <c r="AC1" s="314"/>
      <c r="AD1" s="314"/>
      <c r="AE1" s="314"/>
      <c r="AF1" s="314"/>
      <c r="AG1" s="314"/>
      <c r="AH1" s="314"/>
      <c r="AI1" s="314"/>
      <c r="AJ1" s="314"/>
      <c r="AK1" s="314"/>
      <c r="AL1" s="86"/>
      <c r="AM1" s="86"/>
      <c r="AN1" s="86"/>
      <c r="AO1" s="86"/>
    </row>
    <row r="2" spans="1:41" s="150" customFormat="1" ht="14.25" customHeight="1" thickTop="1" x14ac:dyDescent="0.45">
      <c r="C2" s="70"/>
      <c r="D2" s="70"/>
      <c r="E2" s="379">
        <f t="array" aca="1" ref="E2" ca="1">IFERROR(INDEX(INDIRECT($E$8),MATCH(0,COUNTIF(E$1:$E1,INDIRECT($E$8)&amp;""),0)),"")</f>
        <v>0</v>
      </c>
      <c r="F2" s="380">
        <f t="shared" ref="F2:U6" ca="1" si="0">SUMIFS(F$14:F$1400,$E$14:$E$1400,$E2)</f>
        <v>0</v>
      </c>
      <c r="G2" s="380">
        <f t="shared" ca="1" si="0"/>
        <v>0</v>
      </c>
      <c r="H2" s="380">
        <f t="shared" ca="1" si="0"/>
        <v>0</v>
      </c>
      <c r="I2" s="380"/>
      <c r="J2" s="380">
        <f t="shared" ca="1" si="0"/>
        <v>0</v>
      </c>
      <c r="K2" s="380">
        <f t="shared" ca="1" si="0"/>
        <v>0</v>
      </c>
      <c r="L2" s="380">
        <f t="shared" ca="1" si="0"/>
        <v>0</v>
      </c>
      <c r="M2" s="380">
        <f t="shared" ca="1" si="0"/>
        <v>0</v>
      </c>
      <c r="N2" s="380">
        <f t="shared" ca="1" si="0"/>
        <v>0</v>
      </c>
      <c r="O2" s="381">
        <f t="shared" ca="1" si="0"/>
        <v>0</v>
      </c>
      <c r="P2" s="380">
        <f t="shared" ca="1" si="0"/>
        <v>0</v>
      </c>
      <c r="Q2" s="380">
        <f t="shared" ca="1" si="0"/>
        <v>0</v>
      </c>
      <c r="R2" s="380">
        <f t="shared" ca="1" si="0"/>
        <v>0</v>
      </c>
      <c r="S2" s="380">
        <f t="shared" ca="1" si="0"/>
        <v>0</v>
      </c>
      <c r="T2" s="380">
        <f t="shared" ca="1" si="0"/>
        <v>0</v>
      </c>
      <c r="U2" s="380">
        <f t="shared" ca="1" si="0"/>
        <v>0</v>
      </c>
      <c r="V2" s="380">
        <f t="shared" ref="V2:AJ6" ca="1" si="1">SUMIFS(V$14:V$1400,$E$14:$E$1400,$E2)</f>
        <v>0</v>
      </c>
      <c r="W2" s="380">
        <f t="shared" ca="1" si="1"/>
        <v>0</v>
      </c>
      <c r="X2" s="380">
        <f ca="1">SUMIFS(X$14:X$1400,$E$14:$E$1400,$E2)</f>
        <v>0</v>
      </c>
      <c r="Y2" s="380"/>
      <c r="Z2" s="380">
        <f t="shared" ca="1" si="1"/>
        <v>0</v>
      </c>
      <c r="AA2" s="380">
        <f t="shared" ca="1" si="1"/>
        <v>0</v>
      </c>
      <c r="AB2" s="380">
        <f t="shared" ca="1" si="1"/>
        <v>0</v>
      </c>
      <c r="AC2" s="380">
        <f t="shared" ca="1" si="1"/>
        <v>0</v>
      </c>
      <c r="AD2" s="380">
        <f t="shared" ca="1" si="1"/>
        <v>0</v>
      </c>
      <c r="AE2" s="380">
        <f t="shared" ca="1" si="1"/>
        <v>0</v>
      </c>
      <c r="AF2" s="382">
        <f t="shared" ca="1" si="1"/>
        <v>0</v>
      </c>
      <c r="AG2" s="382">
        <f t="shared" ca="1" si="1"/>
        <v>0</v>
      </c>
      <c r="AH2" s="380">
        <f t="shared" ca="1" si="1"/>
        <v>0</v>
      </c>
      <c r="AI2" s="380">
        <f t="shared" ca="1" si="1"/>
        <v>0</v>
      </c>
      <c r="AJ2" s="380">
        <f t="shared" ca="1" si="1"/>
        <v>0</v>
      </c>
      <c r="AK2" s="383"/>
      <c r="AL2" s="86"/>
      <c r="AM2" s="86"/>
      <c r="AN2" s="86"/>
      <c r="AO2" s="86"/>
    </row>
    <row r="3" spans="1:41" s="150" customFormat="1" ht="14.25" customHeight="1" x14ac:dyDescent="0.45">
      <c r="C3" s="70"/>
      <c r="D3" s="70"/>
      <c r="E3" s="379">
        <f t="array" aca="1" ref="E3" ca="1">IFERROR(INDEX(INDIRECT($E$8),MATCH(0,COUNTIF(E$1:$E2,INDIRECT($E$8)&amp;""),0)),"")</f>
        <v>0</v>
      </c>
      <c r="F3" s="384">
        <f t="shared" ca="1" si="0"/>
        <v>0</v>
      </c>
      <c r="G3" s="384">
        <f t="shared" ca="1" si="0"/>
        <v>0</v>
      </c>
      <c r="H3" s="384">
        <f ca="1">SUMIFS(H$14:H$1400,$E$14:$E$1400,$E3)</f>
        <v>0</v>
      </c>
      <c r="I3" s="384"/>
      <c r="J3" s="384">
        <f t="shared" ca="1" si="0"/>
        <v>0</v>
      </c>
      <c r="K3" s="384">
        <f t="shared" ca="1" si="0"/>
        <v>0</v>
      </c>
      <c r="L3" s="384">
        <f t="shared" ca="1" si="0"/>
        <v>0</v>
      </c>
      <c r="M3" s="384">
        <f t="shared" ca="1" si="0"/>
        <v>0</v>
      </c>
      <c r="N3" s="384">
        <f t="shared" ca="1" si="0"/>
        <v>0</v>
      </c>
      <c r="O3" s="385">
        <f t="shared" ca="1" si="0"/>
        <v>0</v>
      </c>
      <c r="P3" s="384">
        <f t="shared" ca="1" si="0"/>
        <v>0</v>
      </c>
      <c r="Q3" s="384">
        <f t="shared" ca="1" si="0"/>
        <v>0</v>
      </c>
      <c r="R3" s="384">
        <f t="shared" ca="1" si="0"/>
        <v>0</v>
      </c>
      <c r="S3" s="384">
        <f t="shared" ca="1" si="0"/>
        <v>0</v>
      </c>
      <c r="T3" s="384">
        <f t="shared" ca="1" si="0"/>
        <v>0</v>
      </c>
      <c r="U3" s="384">
        <f t="shared" ca="1" si="0"/>
        <v>0</v>
      </c>
      <c r="V3" s="384">
        <f t="shared" ca="1" si="1"/>
        <v>0</v>
      </c>
      <c r="W3" s="384">
        <f t="shared" ca="1" si="1"/>
        <v>0</v>
      </c>
      <c r="X3" s="384">
        <f ca="1">SUMIFS(X$14:X$1400,$E$14:$E$1400,$E3)</f>
        <v>0</v>
      </c>
      <c r="Y3" s="384"/>
      <c r="Z3" s="384">
        <f t="shared" ca="1" si="1"/>
        <v>0</v>
      </c>
      <c r="AA3" s="384">
        <f t="shared" ca="1" si="1"/>
        <v>0</v>
      </c>
      <c r="AB3" s="384">
        <f t="shared" ca="1" si="1"/>
        <v>0</v>
      </c>
      <c r="AC3" s="384">
        <f t="shared" ca="1" si="1"/>
        <v>0</v>
      </c>
      <c r="AD3" s="384">
        <f t="shared" ca="1" si="1"/>
        <v>0</v>
      </c>
      <c r="AE3" s="384">
        <f t="shared" ca="1" si="1"/>
        <v>0</v>
      </c>
      <c r="AF3" s="386">
        <f t="shared" ca="1" si="1"/>
        <v>0</v>
      </c>
      <c r="AG3" s="386">
        <f t="shared" ca="1" si="1"/>
        <v>0</v>
      </c>
      <c r="AH3" s="384">
        <f t="shared" ca="1" si="1"/>
        <v>0</v>
      </c>
      <c r="AI3" s="384">
        <f t="shared" ca="1" si="1"/>
        <v>0</v>
      </c>
      <c r="AJ3" s="384">
        <f t="shared" ca="1" si="1"/>
        <v>0</v>
      </c>
      <c r="AK3" s="387"/>
      <c r="AL3" s="86"/>
      <c r="AM3" s="86"/>
      <c r="AN3" s="86"/>
      <c r="AO3" s="86"/>
    </row>
    <row r="4" spans="1:41" ht="14.25" customHeight="1" x14ac:dyDescent="0.45">
      <c r="E4" s="379">
        <f t="array" aca="1" ref="E4" ca="1">IFERROR(INDEX(INDIRECT($E$8),MATCH(0,COUNTIF(E$1:$E3,INDIRECT($E$8)&amp;""),0)),"")</f>
        <v>0</v>
      </c>
      <c r="F4" s="384">
        <f t="shared" ca="1" si="0"/>
        <v>0</v>
      </c>
      <c r="G4" s="384">
        <f t="shared" ca="1" si="0"/>
        <v>0</v>
      </c>
      <c r="H4" s="384">
        <f t="shared" ca="1" si="0"/>
        <v>0</v>
      </c>
      <c r="I4" s="384"/>
      <c r="J4" s="384">
        <f t="shared" ca="1" si="0"/>
        <v>0</v>
      </c>
      <c r="K4" s="384">
        <f t="shared" ca="1" si="0"/>
        <v>0</v>
      </c>
      <c r="L4" s="384">
        <f t="shared" ca="1" si="0"/>
        <v>0</v>
      </c>
      <c r="M4" s="384">
        <f t="shared" ca="1" si="0"/>
        <v>0</v>
      </c>
      <c r="N4" s="384">
        <f t="shared" ca="1" si="0"/>
        <v>0</v>
      </c>
      <c r="O4" s="385">
        <f t="shared" ca="1" si="0"/>
        <v>0</v>
      </c>
      <c r="P4" s="384">
        <f t="shared" ca="1" si="0"/>
        <v>0</v>
      </c>
      <c r="Q4" s="384">
        <f t="shared" ca="1" si="0"/>
        <v>0</v>
      </c>
      <c r="R4" s="384">
        <f t="shared" ca="1" si="0"/>
        <v>0</v>
      </c>
      <c r="S4" s="384">
        <f t="shared" ca="1" si="0"/>
        <v>0</v>
      </c>
      <c r="T4" s="384">
        <f t="shared" ca="1" si="0"/>
        <v>0</v>
      </c>
      <c r="U4" s="384">
        <f t="shared" ca="1" si="0"/>
        <v>0</v>
      </c>
      <c r="V4" s="384">
        <f t="shared" ca="1" si="1"/>
        <v>0</v>
      </c>
      <c r="W4" s="384">
        <f t="shared" ca="1" si="1"/>
        <v>0</v>
      </c>
      <c r="X4" s="384">
        <f t="shared" ca="1" si="1"/>
        <v>0</v>
      </c>
      <c r="Y4" s="384"/>
      <c r="Z4" s="384">
        <f t="shared" ca="1" si="1"/>
        <v>0</v>
      </c>
      <c r="AA4" s="384">
        <f t="shared" ca="1" si="1"/>
        <v>0</v>
      </c>
      <c r="AB4" s="384">
        <f t="shared" ca="1" si="1"/>
        <v>0</v>
      </c>
      <c r="AC4" s="384">
        <f t="shared" ca="1" si="1"/>
        <v>0</v>
      </c>
      <c r="AD4" s="384">
        <f t="shared" ca="1" si="1"/>
        <v>0</v>
      </c>
      <c r="AE4" s="384">
        <f t="shared" ca="1" si="1"/>
        <v>0</v>
      </c>
      <c r="AF4" s="384">
        <f t="shared" ca="1" si="1"/>
        <v>0</v>
      </c>
      <c r="AG4" s="384">
        <f t="shared" ca="1" si="1"/>
        <v>0</v>
      </c>
      <c r="AH4" s="384">
        <f t="shared" ca="1" si="1"/>
        <v>0</v>
      </c>
      <c r="AI4" s="384">
        <f t="shared" ca="1" si="1"/>
        <v>0</v>
      </c>
      <c r="AJ4" s="384">
        <f t="shared" ca="1" si="1"/>
        <v>0</v>
      </c>
      <c r="AK4" s="387"/>
      <c r="AL4" s="86"/>
      <c r="AM4" s="86"/>
      <c r="AN4" s="86"/>
      <c r="AO4" s="86"/>
    </row>
    <row r="5" spans="1:41" ht="14.25" customHeight="1" x14ac:dyDescent="0.45">
      <c r="E5" s="379">
        <f t="array" aca="1" ref="E5" ca="1">IFERROR(INDEX(INDIRECT($E$8),MATCH(0,COUNTIF(E$1:$E4,INDIRECT($E$8)&amp;""),0)),"")</f>
        <v>0</v>
      </c>
      <c r="F5" s="384">
        <f t="shared" ca="1" si="0"/>
        <v>0</v>
      </c>
      <c r="G5" s="384">
        <f t="shared" ca="1" si="0"/>
        <v>0</v>
      </c>
      <c r="H5" s="384">
        <f t="shared" ca="1" si="0"/>
        <v>0</v>
      </c>
      <c r="I5" s="384"/>
      <c r="J5" s="384">
        <f t="shared" ca="1" si="0"/>
        <v>0</v>
      </c>
      <c r="K5" s="384">
        <f t="shared" ca="1" si="0"/>
        <v>0</v>
      </c>
      <c r="L5" s="384">
        <f t="shared" ca="1" si="0"/>
        <v>0</v>
      </c>
      <c r="M5" s="384">
        <f t="shared" ca="1" si="0"/>
        <v>0</v>
      </c>
      <c r="N5" s="384">
        <f t="shared" ca="1" si="0"/>
        <v>0</v>
      </c>
      <c r="O5" s="385">
        <f t="shared" ca="1" si="0"/>
        <v>0</v>
      </c>
      <c r="P5" s="384">
        <f t="shared" ca="1" si="0"/>
        <v>0</v>
      </c>
      <c r="Q5" s="384">
        <f t="shared" ca="1" si="0"/>
        <v>0</v>
      </c>
      <c r="R5" s="384">
        <f t="shared" ca="1" si="0"/>
        <v>0</v>
      </c>
      <c r="S5" s="384">
        <f t="shared" ca="1" si="0"/>
        <v>0</v>
      </c>
      <c r="T5" s="384">
        <f t="shared" ca="1" si="0"/>
        <v>0</v>
      </c>
      <c r="U5" s="384">
        <f t="shared" ca="1" si="0"/>
        <v>0</v>
      </c>
      <c r="V5" s="384">
        <f t="shared" ca="1" si="1"/>
        <v>0</v>
      </c>
      <c r="W5" s="384">
        <f t="shared" ca="1" si="1"/>
        <v>0</v>
      </c>
      <c r="X5" s="384">
        <f t="shared" ca="1" si="1"/>
        <v>0</v>
      </c>
      <c r="Y5" s="384"/>
      <c r="Z5" s="384">
        <f t="shared" ca="1" si="1"/>
        <v>0</v>
      </c>
      <c r="AA5" s="384">
        <f t="shared" ca="1" si="1"/>
        <v>0</v>
      </c>
      <c r="AB5" s="384">
        <f t="shared" ca="1" si="1"/>
        <v>0</v>
      </c>
      <c r="AC5" s="384">
        <f t="shared" ca="1" si="1"/>
        <v>0</v>
      </c>
      <c r="AD5" s="384">
        <f t="shared" ca="1" si="1"/>
        <v>0</v>
      </c>
      <c r="AE5" s="384">
        <f t="shared" ca="1" si="1"/>
        <v>0</v>
      </c>
      <c r="AF5" s="384">
        <f t="shared" ca="1" si="1"/>
        <v>0</v>
      </c>
      <c r="AG5" s="384">
        <f t="shared" ca="1" si="1"/>
        <v>0</v>
      </c>
      <c r="AH5" s="384">
        <f t="shared" ca="1" si="1"/>
        <v>0</v>
      </c>
      <c r="AI5" s="384">
        <f t="shared" ca="1" si="1"/>
        <v>0</v>
      </c>
      <c r="AJ5" s="384">
        <f t="shared" ca="1" si="1"/>
        <v>0</v>
      </c>
      <c r="AK5" s="387"/>
      <c r="AL5" s="86"/>
      <c r="AM5" s="86"/>
      <c r="AN5" s="86"/>
      <c r="AO5" s="86"/>
    </row>
    <row r="6" spans="1:41" ht="13.5" customHeight="1" x14ac:dyDescent="0.45">
      <c r="E6" s="379">
        <f t="array" aca="1" ref="E6" ca="1">IFERROR(INDEX(INDIRECT($E$8),MATCH(0,COUNTIF(E$1:$E5,INDIRECT($E$8)&amp;""),0)),"")</f>
        <v>0</v>
      </c>
      <c r="F6" s="384">
        <f t="shared" ca="1" si="0"/>
        <v>0</v>
      </c>
      <c r="G6" s="384">
        <f t="shared" ca="1" si="0"/>
        <v>0</v>
      </c>
      <c r="H6" s="384">
        <f t="shared" ca="1" si="0"/>
        <v>0</v>
      </c>
      <c r="I6" s="384"/>
      <c r="J6" s="384">
        <f t="shared" ca="1" si="0"/>
        <v>0</v>
      </c>
      <c r="K6" s="384">
        <f t="shared" ca="1" si="0"/>
        <v>0</v>
      </c>
      <c r="L6" s="384">
        <f t="shared" ca="1" si="0"/>
        <v>0</v>
      </c>
      <c r="M6" s="384">
        <f t="shared" ca="1" si="0"/>
        <v>0</v>
      </c>
      <c r="N6" s="384">
        <f t="shared" ca="1" si="0"/>
        <v>0</v>
      </c>
      <c r="O6" s="385">
        <f t="shared" ca="1" si="0"/>
        <v>0</v>
      </c>
      <c r="P6" s="384">
        <f t="shared" ca="1" si="0"/>
        <v>0</v>
      </c>
      <c r="Q6" s="384">
        <f t="shared" ca="1" si="0"/>
        <v>0</v>
      </c>
      <c r="R6" s="384">
        <f t="shared" ca="1" si="0"/>
        <v>0</v>
      </c>
      <c r="S6" s="384">
        <f t="shared" ca="1" si="0"/>
        <v>0</v>
      </c>
      <c r="T6" s="384">
        <f t="shared" ca="1" si="0"/>
        <v>0</v>
      </c>
      <c r="U6" s="384">
        <f t="shared" ca="1" si="0"/>
        <v>0</v>
      </c>
      <c r="V6" s="384">
        <f t="shared" ca="1" si="1"/>
        <v>0</v>
      </c>
      <c r="W6" s="384">
        <f t="shared" ca="1" si="1"/>
        <v>0</v>
      </c>
      <c r="X6" s="384">
        <f ca="1">SUMIFS(X$14:X$1400,$E$14:$E$1400,$E6)</f>
        <v>0</v>
      </c>
      <c r="Y6" s="384"/>
      <c r="Z6" s="384">
        <f t="shared" ca="1" si="1"/>
        <v>0</v>
      </c>
      <c r="AA6" s="384">
        <f t="shared" ca="1" si="1"/>
        <v>0</v>
      </c>
      <c r="AB6" s="384">
        <f t="shared" ca="1" si="1"/>
        <v>0</v>
      </c>
      <c r="AC6" s="384">
        <f t="shared" ca="1" si="1"/>
        <v>0</v>
      </c>
      <c r="AD6" s="384">
        <f t="shared" ca="1" si="1"/>
        <v>0</v>
      </c>
      <c r="AE6" s="384">
        <f t="shared" ca="1" si="1"/>
        <v>0</v>
      </c>
      <c r="AF6" s="384">
        <f t="shared" ca="1" si="1"/>
        <v>0</v>
      </c>
      <c r="AG6" s="384">
        <f t="shared" ca="1" si="1"/>
        <v>0</v>
      </c>
      <c r="AH6" s="384">
        <f t="shared" ca="1" si="1"/>
        <v>0</v>
      </c>
      <c r="AI6" s="384">
        <f t="shared" ca="1" si="1"/>
        <v>0</v>
      </c>
      <c r="AJ6" s="384">
        <f t="shared" ca="1" si="1"/>
        <v>0</v>
      </c>
      <c r="AK6" s="387"/>
      <c r="AL6" s="86"/>
      <c r="AM6" s="86"/>
      <c r="AN6" s="86"/>
      <c r="AO6" s="86"/>
    </row>
    <row r="7" spans="1:41" s="58" customFormat="1" ht="19.7" customHeight="1" x14ac:dyDescent="0.45">
      <c r="C7" s="61">
        <f ca="1">COUNTIF(I14:I1400,"&gt;0")</f>
        <v>0</v>
      </c>
      <c r="D7" s="61"/>
      <c r="E7" s="64" t="s">
        <v>82</v>
      </c>
      <c r="F7" s="63">
        <f ca="1">SUM(F2:F6)</f>
        <v>0</v>
      </c>
      <c r="G7" s="63">
        <f ca="1">SUM(G2:G6)</f>
        <v>0</v>
      </c>
      <c r="H7" s="63">
        <f t="shared" ref="H7:AJ7" ca="1" si="2">SUM(H2:H6)</f>
        <v>0</v>
      </c>
      <c r="I7" s="63"/>
      <c r="J7" s="63">
        <f t="shared" ca="1" si="2"/>
        <v>0</v>
      </c>
      <c r="K7" s="63">
        <f t="shared" ca="1" si="2"/>
        <v>0</v>
      </c>
      <c r="L7" s="63">
        <f t="shared" ca="1" si="2"/>
        <v>0</v>
      </c>
      <c r="M7" s="63">
        <f t="shared" ca="1" si="2"/>
        <v>0</v>
      </c>
      <c r="N7" s="63">
        <f t="shared" ca="1" si="2"/>
        <v>0</v>
      </c>
      <c r="O7" s="212">
        <f t="shared" ca="1" si="2"/>
        <v>0</v>
      </c>
      <c r="P7" s="63">
        <f t="shared" ca="1" si="2"/>
        <v>0</v>
      </c>
      <c r="Q7" s="63">
        <f t="shared" ca="1" si="2"/>
        <v>0</v>
      </c>
      <c r="R7" s="63">
        <f t="shared" ca="1" si="2"/>
        <v>0</v>
      </c>
      <c r="S7" s="63">
        <f t="shared" ca="1" si="2"/>
        <v>0</v>
      </c>
      <c r="T7" s="63">
        <f t="shared" ca="1" si="2"/>
        <v>0</v>
      </c>
      <c r="U7" s="63">
        <f t="shared" ca="1" si="2"/>
        <v>0</v>
      </c>
      <c r="V7" s="63">
        <f t="shared" ca="1" si="2"/>
        <v>0</v>
      </c>
      <c r="W7" s="63">
        <f t="shared" ca="1" si="2"/>
        <v>0</v>
      </c>
      <c r="X7" s="63">
        <f t="shared" ca="1" si="2"/>
        <v>0</v>
      </c>
      <c r="Y7" s="63"/>
      <c r="Z7" s="63">
        <f t="shared" ca="1" si="2"/>
        <v>0</v>
      </c>
      <c r="AA7" s="63">
        <f t="shared" ca="1" si="2"/>
        <v>0</v>
      </c>
      <c r="AB7" s="63">
        <f t="shared" ca="1" si="2"/>
        <v>0</v>
      </c>
      <c r="AC7" s="63">
        <f t="shared" ca="1" si="2"/>
        <v>0</v>
      </c>
      <c r="AD7" s="63">
        <f t="shared" ca="1" si="2"/>
        <v>0</v>
      </c>
      <c r="AE7" s="63">
        <f t="shared" ca="1" si="2"/>
        <v>0</v>
      </c>
      <c r="AF7" s="63">
        <f t="shared" ca="1" si="2"/>
        <v>0</v>
      </c>
      <c r="AG7" s="63">
        <f t="shared" ca="1" si="2"/>
        <v>0</v>
      </c>
      <c r="AH7" s="63">
        <f t="shared" ca="1" si="2"/>
        <v>0</v>
      </c>
      <c r="AI7" s="63">
        <f t="shared" ca="1" si="2"/>
        <v>0</v>
      </c>
      <c r="AJ7" s="63">
        <f t="shared" ca="1" si="2"/>
        <v>0</v>
      </c>
      <c r="AK7" s="62"/>
      <c r="AL7" s="86"/>
      <c r="AM7" s="86"/>
      <c r="AN7" s="86"/>
      <c r="AO7" s="86"/>
    </row>
    <row r="8" spans="1:41" s="58" customFormat="1" ht="19.7" customHeight="1" x14ac:dyDescent="0.45">
      <c r="A8" s="55"/>
      <c r="B8" s="55"/>
      <c r="C8" s="56"/>
      <c r="D8" s="56"/>
      <c r="E8" s="91" t="str">
        <f ca="1">"$E$14:$E$"&amp;COUNTA(E14:E1000)+14</f>
        <v>$E$14:$E$16</v>
      </c>
      <c r="F8" s="57">
        <f ca="1">SUBTOTAL(9,F$14:F$1400)</f>
        <v>0</v>
      </c>
      <c r="G8" s="57">
        <f ca="1">SUBTOTAL(9,G$14:G$1400)</f>
        <v>0</v>
      </c>
      <c r="H8" s="57">
        <f t="shared" ref="H8:AJ8" ca="1" si="3">SUBTOTAL(9,H$14:H$1400)</f>
        <v>0</v>
      </c>
      <c r="I8" s="57"/>
      <c r="J8" s="57">
        <f t="shared" ca="1" si="3"/>
        <v>0</v>
      </c>
      <c r="K8" s="57">
        <f t="shared" ca="1" si="3"/>
        <v>0</v>
      </c>
      <c r="L8" s="57">
        <f t="shared" si="3"/>
        <v>0</v>
      </c>
      <c r="M8" s="57">
        <f t="shared" ca="1" si="3"/>
        <v>0</v>
      </c>
      <c r="N8" s="57">
        <f t="shared" ca="1" si="3"/>
        <v>0</v>
      </c>
      <c r="O8" s="213">
        <f t="shared" si="3"/>
        <v>0</v>
      </c>
      <c r="P8" s="57">
        <f t="shared" ca="1" si="3"/>
        <v>0</v>
      </c>
      <c r="Q8" s="57">
        <f t="shared" si="3"/>
        <v>0</v>
      </c>
      <c r="R8" s="57">
        <f t="shared" si="3"/>
        <v>0</v>
      </c>
      <c r="S8" s="57">
        <f t="shared" si="3"/>
        <v>0</v>
      </c>
      <c r="T8" s="57">
        <f t="shared" si="3"/>
        <v>0</v>
      </c>
      <c r="U8" s="57">
        <f t="shared" si="3"/>
        <v>0</v>
      </c>
      <c r="V8" s="57">
        <f t="shared" ca="1" si="3"/>
        <v>0</v>
      </c>
      <c r="W8" s="57">
        <f t="shared" ca="1" si="3"/>
        <v>0</v>
      </c>
      <c r="X8" s="57">
        <f t="shared" ca="1" si="3"/>
        <v>0</v>
      </c>
      <c r="Y8" s="57"/>
      <c r="Z8" s="57">
        <f t="shared" ca="1" si="3"/>
        <v>0</v>
      </c>
      <c r="AA8" s="57">
        <f t="shared" ca="1" si="3"/>
        <v>0</v>
      </c>
      <c r="AB8" s="57">
        <f t="shared" ca="1" si="3"/>
        <v>0</v>
      </c>
      <c r="AC8" s="57">
        <f t="shared" ca="1" si="3"/>
        <v>0</v>
      </c>
      <c r="AD8" s="57">
        <f t="shared" ca="1" si="3"/>
        <v>0</v>
      </c>
      <c r="AE8" s="57">
        <f t="shared" ca="1" si="3"/>
        <v>0</v>
      </c>
      <c r="AF8" s="57">
        <f t="shared" si="3"/>
        <v>0</v>
      </c>
      <c r="AG8" s="57">
        <f t="shared" si="3"/>
        <v>0</v>
      </c>
      <c r="AH8" s="57">
        <f t="shared" ca="1" si="3"/>
        <v>0</v>
      </c>
      <c r="AI8" s="57">
        <f t="shared" ca="1" si="3"/>
        <v>0</v>
      </c>
      <c r="AJ8" s="57">
        <f t="shared" ca="1" si="3"/>
        <v>0</v>
      </c>
      <c r="AK8" s="57"/>
      <c r="AL8" s="86"/>
      <c r="AM8" s="86"/>
      <c r="AN8" s="86"/>
      <c r="AO8" s="86"/>
    </row>
    <row r="9" spans="1:41" x14ac:dyDescent="0.45">
      <c r="A9" s="26"/>
      <c r="B9" s="26"/>
      <c r="C9" s="43"/>
      <c r="D9" s="43"/>
      <c r="E9" s="26"/>
      <c r="F9" s="26"/>
      <c r="G9" s="26"/>
      <c r="H9" s="26"/>
      <c r="I9" s="52"/>
      <c r="J9" s="54"/>
      <c r="K9" s="609" t="s">
        <v>111</v>
      </c>
      <c r="L9" s="590"/>
      <c r="M9" s="590"/>
      <c r="N9" s="590"/>
      <c r="O9" s="606" t="s">
        <v>369</v>
      </c>
      <c r="P9" s="606"/>
      <c r="Q9" s="611" t="s">
        <v>49</v>
      </c>
      <c r="R9" s="612"/>
      <c r="S9" s="613"/>
      <c r="T9" s="613"/>
      <c r="U9" s="163"/>
      <c r="V9" s="95"/>
      <c r="W9" s="604" t="s">
        <v>53</v>
      </c>
      <c r="X9" s="604"/>
      <c r="Y9" s="604"/>
      <c r="Z9" s="604"/>
      <c r="AA9" s="605"/>
      <c r="AB9" s="92"/>
      <c r="AC9" s="607" t="s">
        <v>56</v>
      </c>
      <c r="AD9" s="608"/>
      <c r="AE9" s="608"/>
      <c r="AF9" s="608"/>
      <c r="AG9" s="608"/>
      <c r="AH9" s="94"/>
      <c r="AI9" s="94"/>
      <c r="AJ9" s="26"/>
      <c r="AK9" s="42"/>
      <c r="AL9" s="86"/>
      <c r="AM9" s="86"/>
      <c r="AN9" s="86"/>
      <c r="AO9" s="86"/>
    </row>
    <row r="10" spans="1:41" ht="15" customHeight="1" x14ac:dyDescent="0.45">
      <c r="A10" s="622" t="s">
        <v>1</v>
      </c>
      <c r="B10" s="622" t="s">
        <v>2</v>
      </c>
      <c r="C10" s="622" t="s">
        <v>3</v>
      </c>
      <c r="D10" s="622" t="s">
        <v>4</v>
      </c>
      <c r="E10" s="622" t="s">
        <v>39</v>
      </c>
      <c r="F10" s="622" t="s">
        <v>6</v>
      </c>
      <c r="G10" s="622" t="s">
        <v>7</v>
      </c>
      <c r="H10" s="622" t="s">
        <v>40</v>
      </c>
      <c r="I10" s="625" t="s">
        <v>42</v>
      </c>
      <c r="J10" s="622" t="s">
        <v>41</v>
      </c>
      <c r="K10" s="627" t="s">
        <v>298</v>
      </c>
      <c r="L10" s="590" t="s">
        <v>44</v>
      </c>
      <c r="M10" s="590"/>
      <c r="N10" s="627" t="s">
        <v>299</v>
      </c>
      <c r="O10" s="163"/>
      <c r="P10" s="31"/>
      <c r="Q10" s="614" t="s">
        <v>79</v>
      </c>
      <c r="R10" s="614"/>
      <c r="S10" s="168"/>
      <c r="T10" s="168"/>
      <c r="U10" s="164"/>
      <c r="V10" s="96"/>
      <c r="W10" s="32"/>
      <c r="X10" s="26"/>
      <c r="Y10" s="26"/>
      <c r="Z10" s="26"/>
      <c r="AA10" s="32"/>
      <c r="AB10" s="599" t="s">
        <v>57</v>
      </c>
      <c r="AC10" s="615" t="s">
        <v>58</v>
      </c>
      <c r="AD10" s="616"/>
      <c r="AE10" s="615"/>
      <c r="AF10" s="616"/>
      <c r="AG10" s="617"/>
      <c r="AH10" s="599" t="s">
        <v>59</v>
      </c>
      <c r="AI10" s="632" t="s">
        <v>61</v>
      </c>
      <c r="AJ10" s="35"/>
      <c r="AK10" s="35"/>
      <c r="AL10" s="86"/>
      <c r="AM10" s="86"/>
      <c r="AN10" s="86"/>
      <c r="AO10" s="86"/>
    </row>
    <row r="11" spans="1:41" s="4" customFormat="1" ht="33" customHeight="1" x14ac:dyDescent="0.45">
      <c r="A11" s="622"/>
      <c r="B11" s="622"/>
      <c r="C11" s="622"/>
      <c r="D11" s="622"/>
      <c r="E11" s="622"/>
      <c r="F11" s="622"/>
      <c r="G11" s="622"/>
      <c r="H11" s="622"/>
      <c r="I11" s="625"/>
      <c r="J11" s="622"/>
      <c r="K11" s="628"/>
      <c r="L11" s="160" t="s">
        <v>45</v>
      </c>
      <c r="M11" s="25" t="s">
        <v>46</v>
      </c>
      <c r="N11" s="628"/>
      <c r="O11" s="203" t="s">
        <v>370</v>
      </c>
      <c r="P11" s="103" t="s">
        <v>371</v>
      </c>
      <c r="Q11" s="161" t="s">
        <v>51</v>
      </c>
      <c r="R11" s="28" t="s">
        <v>78</v>
      </c>
      <c r="S11" s="169" t="s">
        <v>50</v>
      </c>
      <c r="T11" s="169" t="s">
        <v>60</v>
      </c>
      <c r="U11" s="162" t="s">
        <v>77</v>
      </c>
      <c r="V11" s="97" t="s">
        <v>52</v>
      </c>
      <c r="W11" s="33" t="s">
        <v>43</v>
      </c>
      <c r="X11" s="196" t="s">
        <v>264</v>
      </c>
      <c r="Y11" s="196" t="s">
        <v>77</v>
      </c>
      <c r="Z11" s="103" t="s">
        <v>54</v>
      </c>
      <c r="AA11" s="33" t="s">
        <v>55</v>
      </c>
      <c r="AB11" s="599"/>
      <c r="AC11" s="25" t="s">
        <v>88</v>
      </c>
      <c r="AD11" s="28" t="s">
        <v>28</v>
      </c>
      <c r="AE11" s="34" t="s">
        <v>81</v>
      </c>
      <c r="AF11" s="126"/>
      <c r="AG11" s="30"/>
      <c r="AH11" s="599"/>
      <c r="AI11" s="632"/>
      <c r="AJ11" s="36" t="s">
        <v>62</v>
      </c>
      <c r="AK11" s="36" t="s">
        <v>63</v>
      </c>
      <c r="AL11" s="87"/>
      <c r="AM11" s="87"/>
      <c r="AN11" s="87"/>
      <c r="AO11" s="87"/>
    </row>
    <row r="12" spans="1:41" s="4" customFormat="1" ht="15" customHeight="1" x14ac:dyDescent="0.45">
      <c r="A12" s="29"/>
      <c r="B12" s="29"/>
      <c r="C12" s="29"/>
      <c r="D12" s="29"/>
      <c r="E12" s="29"/>
      <c r="F12" s="29"/>
      <c r="G12" s="602" t="str">
        <f>'1'!G12</f>
        <v>Link</v>
      </c>
      <c r="H12" s="603"/>
      <c r="I12" s="53"/>
      <c r="J12" s="29">
        <f>INDEX(Cham_Cong!$E$7:$P$8,1,MATCH(C1,Cham_Cong!$E$8:$P$8,0))</f>
        <v>24</v>
      </c>
      <c r="K12" s="40">
        <v>730000</v>
      </c>
      <c r="L12" s="160"/>
      <c r="M12" s="27">
        <v>1000000</v>
      </c>
      <c r="N12" s="41">
        <v>500000</v>
      </c>
      <c r="O12" s="167">
        <v>2</v>
      </c>
      <c r="P12" s="38"/>
      <c r="Q12" s="161"/>
      <c r="R12" s="25"/>
      <c r="S12" s="165"/>
      <c r="T12" s="166"/>
      <c r="U12" s="165"/>
      <c r="V12" s="98"/>
      <c r="W12" s="30"/>
      <c r="X12" s="29"/>
      <c r="Y12" s="29"/>
      <c r="Z12" s="29"/>
      <c r="AA12" s="30"/>
      <c r="AB12" s="93"/>
      <c r="AC12" s="37">
        <v>11000000</v>
      </c>
      <c r="AD12" s="37">
        <v>4400000</v>
      </c>
      <c r="AE12" s="39">
        <v>0.105</v>
      </c>
      <c r="AF12" s="39"/>
      <c r="AG12" s="39"/>
      <c r="AH12" s="93"/>
      <c r="AI12" s="93"/>
      <c r="AJ12" s="29"/>
      <c r="AK12" s="29"/>
      <c r="AL12" s="87"/>
      <c r="AM12" s="87"/>
      <c r="AN12" s="87"/>
      <c r="AO12" s="87"/>
    </row>
    <row r="13" spans="1:41" s="70" customFormat="1" x14ac:dyDescent="0.45">
      <c r="A13" s="49"/>
      <c r="B13" s="49" t="s">
        <v>24</v>
      </c>
      <c r="C13" s="89" t="s">
        <v>25</v>
      </c>
      <c r="D13" s="49" t="s">
        <v>26</v>
      </c>
      <c r="E13" s="49" t="s">
        <v>27</v>
      </c>
      <c r="F13" s="49" t="s">
        <v>28</v>
      </c>
      <c r="G13" s="49" t="s">
        <v>29</v>
      </c>
      <c r="H13" s="49" t="s">
        <v>185</v>
      </c>
      <c r="I13" s="90" t="s">
        <v>186</v>
      </c>
      <c r="J13" s="49" t="s">
        <v>80</v>
      </c>
      <c r="K13" s="49" t="s">
        <v>80</v>
      </c>
      <c r="L13" s="49" t="s">
        <v>391</v>
      </c>
      <c r="M13" s="49" t="s">
        <v>80</v>
      </c>
      <c r="N13" s="49" t="s">
        <v>80</v>
      </c>
      <c r="O13" s="49" t="s">
        <v>208</v>
      </c>
      <c r="P13" s="49" t="s">
        <v>80</v>
      </c>
      <c r="Q13" s="49"/>
      <c r="R13" s="49" t="s">
        <v>80</v>
      </c>
      <c r="S13" s="49" t="s">
        <v>80</v>
      </c>
      <c r="T13" s="49" t="s">
        <v>80</v>
      </c>
      <c r="U13" s="49" t="s">
        <v>80</v>
      </c>
      <c r="V13" s="49" t="s">
        <v>66</v>
      </c>
      <c r="W13" s="49"/>
      <c r="X13" s="49"/>
      <c r="Y13" s="49"/>
      <c r="Z13" s="49"/>
      <c r="AA13" s="49"/>
      <c r="AB13" s="49" t="s">
        <v>64</v>
      </c>
      <c r="AC13" s="49" t="s">
        <v>101</v>
      </c>
      <c r="AD13" s="49" t="s">
        <v>102</v>
      </c>
      <c r="AE13" s="49" t="s">
        <v>165</v>
      </c>
      <c r="AF13" s="49"/>
      <c r="AG13" s="49"/>
      <c r="AH13" s="49"/>
      <c r="AI13" s="49" t="s">
        <v>65</v>
      </c>
      <c r="AJ13" s="49" t="s">
        <v>67</v>
      </c>
      <c r="AK13" s="49"/>
      <c r="AL13" s="88" t="s">
        <v>32</v>
      </c>
      <c r="AM13" s="88" t="s">
        <v>33</v>
      </c>
      <c r="AN13" s="88" t="s">
        <v>34</v>
      </c>
      <c r="AO13" s="88" t="s">
        <v>35</v>
      </c>
    </row>
    <row r="14" spans="1:41" x14ac:dyDescent="0.45">
      <c r="A14" s="5">
        <f ca="1">IF(B14&lt;&gt;"",SUBTOTAL(3,$B$14:B14),"")</f>
        <v>1</v>
      </c>
      <c r="B14" s="3">
        <f ca="1">INDEX(INDIRECT(Danh_Sach!$N$1),ROWS($B$14:$B14),MATCH(B$13,INDIRECT(Danh_Sach!$N$2),0))</f>
        <v>0</v>
      </c>
      <c r="C14" s="5">
        <f ca="1">INDEX(INDIRECT(Danh_Sach!$N$1),ROWS($B$14:$B14),MATCH(C$13,INDIRECT(Danh_Sach!$N$2),0))</f>
        <v>0</v>
      </c>
      <c r="D14" s="5">
        <f ca="1">INDEX(INDIRECT(Danh_Sach!$N$1),ROWS($B$14:$B14),MATCH(D$13,INDIRECT(Danh_Sach!$N$2),0))</f>
        <v>0</v>
      </c>
      <c r="E14" s="5">
        <f ca="1">INDEX(INDIRECT(Danh_Sach!$N$1),ROWS($B$14:$B14),MATCH(E$13,INDIRECT(Danh_Sach!$N$2),0))</f>
        <v>0</v>
      </c>
      <c r="F14" s="5">
        <f t="array" aca="1" ref="F14" ca="1">INDEX(INDIRECT(NPT!$W$1),ROWS($B$14:B14),MATCH($C$1,INDIRECT(NPT!$W$2),0))</f>
        <v>0</v>
      </c>
      <c r="G14" s="11">
        <f ca="1">IF(AND($G$12="Link",H14&lt;&gt;0),H14,INDEX(INDIRECT(Danh_Sach!$N$1),ROWS($B$14:$B14),MATCH(G$13,INDIRECT(Danh_Sach!$N$2),0)))</f>
        <v>0</v>
      </c>
      <c r="H14" s="11">
        <f ca="1">IFERROR(INDEX(INDIRECT(BaoHiem!$A$3),ROWS($B$14:$B14),MATCH($C$1,INDIRECT(BaoHiem!$A$4),0)),0)</f>
        <v>0</v>
      </c>
      <c r="I14" s="72">
        <f t="array" aca="1" ref="I14" ca="1">INDEX(INDIRECT(Cham_Cong!$T$3),ROWS($B$14:B14),MATCH($C$1,INDIRECT(Cham_Cong!$T$4),0))</f>
        <v>0</v>
      </c>
      <c r="J14" s="11">
        <f t="shared" ref="J14:J15" ca="1" si="4">G14/$J$12*I14</f>
        <v>0</v>
      </c>
      <c r="K14" s="11">
        <f t="shared" ref="K14:K15" ca="1" si="5">IF(I14&gt;0,$K$12,0)</f>
        <v>0</v>
      </c>
      <c r="L14" s="11"/>
      <c r="M14" s="22">
        <f t="shared" ref="M14:M15" ca="1" si="6">IF(I14=0,0,$M$12*L14)</f>
        <v>0</v>
      </c>
      <c r="N14" s="11">
        <f t="shared" ref="N14:N15" ca="1" si="7">IF(I14&gt;0,$N$12,0)</f>
        <v>0</v>
      </c>
      <c r="P14" s="22">
        <f t="shared" ref="P14:P15" ca="1" si="8">IF(I14=0,0,ROUND(O14*$O$12*(G14/$J$12/8),0))</f>
        <v>0</v>
      </c>
      <c r="R14" s="11"/>
      <c r="S14" s="11"/>
      <c r="T14" s="11"/>
      <c r="V14" s="11">
        <f t="shared" ref="V14:V15" ca="1" si="9">IF(I14=0,0,SUMIF($J$13:$U$13,"i_gross",J14:U14))</f>
        <v>0</v>
      </c>
      <c r="W14" s="22">
        <f t="shared" ref="W14:W15" ca="1" si="10">K14</f>
        <v>0</v>
      </c>
      <c r="X14" s="22">
        <f t="shared" ref="X14:X15" ca="1" si="11">M14+N14</f>
        <v>0</v>
      </c>
      <c r="Y14" s="22">
        <f t="shared" ref="Y14:Y15" si="12">U14</f>
        <v>0</v>
      </c>
      <c r="Z14" s="22">
        <f t="shared" ref="Z14:Z15" ca="1" si="13">P14-P14/$O$12</f>
        <v>0</v>
      </c>
      <c r="AA14" s="22">
        <f t="shared" ref="AA14:AA15" ca="1" si="14">SUM(W14:Z14)</f>
        <v>0</v>
      </c>
      <c r="AB14" s="22">
        <f t="shared" ref="AB14:AB15" ca="1" si="15">IF(I14=0,0,V14-AA14)</f>
        <v>0</v>
      </c>
      <c r="AC14" s="22">
        <f t="shared" ref="AC14:AC15" ca="1" si="16">IF(AB14&gt;0,$AC$12,0)</f>
        <v>0</v>
      </c>
      <c r="AD14" s="22">
        <f t="shared" ref="AD14:AD15" ca="1" si="17">$AD$12*F14</f>
        <v>0</v>
      </c>
      <c r="AE14" s="22">
        <f ca="1">IF(AB14&gt;0,IF(ISNA(VLOOKUP(C14,Info!$C$22:$D$303,2,0))=FALSE,H14*1.5%,H14*$AE$12),0)</f>
        <v>0</v>
      </c>
      <c r="AH14" s="22">
        <f t="shared" ref="AH14:AH15" ca="1" si="18">MAX(AB14-SUM(AC14:AG14),0)</f>
        <v>0</v>
      </c>
      <c r="AI14" s="22">
        <f ca="1">IF(AH14&gt;0,(AH14-VLOOKUP(AH14-1,INDIRECT(TAXRATE!$E$1),1,1))*VLOOKUP(AH14,INDIRECT(TAXRATE!$E$1),2,1)+VLOOKUP(AH14-1,INDIRECT(TAXRATE!$E$1),3,1),0)</f>
        <v>0</v>
      </c>
      <c r="AJ14" s="22">
        <f t="shared" ref="AJ14:AJ15" ca="1" si="19">V14-AI14-AE14-AF14-AG14</f>
        <v>0</v>
      </c>
      <c r="AL14" s="3" t="str">
        <f ca="1">IF(INDEX(INDIRECT(Danh_Sach!$N$1),ROWS($B$14:$B14),MATCH(AL$13,INDIRECT(Danh_Sach!$N$2),0))=0,"",MONTH(INDEX(INDIRECT(Danh_Sach!$N$1),ROWS($B$14:$B14),MATCH(AL$13,INDIRECT(Danh_Sach!$N$2),0))))</f>
        <v/>
      </c>
      <c r="AM14" s="3" t="str">
        <f ca="1">IF(INDEX(INDIRECT(Danh_Sach!$N$1),ROWS($B$14:$B14),MATCH(AM$13,INDIRECT(Danh_Sach!$N$2),0))=0,"",MONTH(INDEX(INDIRECT(Danh_Sach!$N$1),ROWS($B$14:$B14),MATCH(AM$13,INDIRECT(Danh_Sach!$N$2),0))))</f>
        <v/>
      </c>
      <c r="AN14" s="3" t="str">
        <f ca="1">IF(INDEX(INDIRECT(Danh_Sach!$N$1),ROWS($B$14:$B14),MATCH(AN$13,INDIRECT(Danh_Sach!$N$2),0))=0,"",MONTH(INDEX(INDIRECT(Danh_Sach!$N$1),ROWS($B$14:$B14),MATCH(AN$13,INDIRECT(Danh_Sach!$N$2),0))))</f>
        <v/>
      </c>
      <c r="AO14" s="3" t="str">
        <f ca="1">IF(INDEX(INDIRECT(Danh_Sach!$N$1),ROWS($B$14:$B14),MATCH(AO$13,INDIRECT(Danh_Sach!$N$2),0))=0,"",MONTH(INDEX(INDIRECT(Danh_Sach!$N$1),ROWS($B$14:$B14),MATCH(AO$13,INDIRECT(Danh_Sach!$N$2),0))))</f>
        <v/>
      </c>
    </row>
    <row r="15" spans="1:41" x14ac:dyDescent="0.45">
      <c r="A15" s="5">
        <f ca="1">IF(B15&lt;&gt;"",SUBTOTAL(3,$B$14:B15),"")</f>
        <v>2</v>
      </c>
      <c r="B15" s="3">
        <f ca="1">INDEX(INDIRECT(Danh_Sach!$N$1),ROWS($B$14:$B15),MATCH(B$13,INDIRECT(Danh_Sach!$N$2),0))</f>
        <v>0</v>
      </c>
      <c r="C15" s="5">
        <f ca="1">INDEX(INDIRECT(Danh_Sach!$N$1),ROWS($B$14:$B15),MATCH(C$13,INDIRECT(Danh_Sach!$N$2),0))</f>
        <v>0</v>
      </c>
      <c r="D15" s="5">
        <f ca="1">INDEX(INDIRECT(Danh_Sach!$N$1),ROWS($B$14:$B15),MATCH(D$13,INDIRECT(Danh_Sach!$N$2),0))</f>
        <v>0</v>
      </c>
      <c r="E15" s="5">
        <f ca="1">INDEX(INDIRECT(Danh_Sach!$N$1),ROWS($B$14:$B15),MATCH(E$13,INDIRECT(Danh_Sach!$N$2),0))</f>
        <v>0</v>
      </c>
      <c r="F15" s="5">
        <f t="array" aca="1" ref="F15" ca="1">INDEX(INDIRECT(NPT!$W$1),ROWS($B$14:B15),MATCH($C$1,INDIRECT(NPT!$W$2),0))</f>
        <v>0</v>
      </c>
      <c r="G15" s="11">
        <f ca="1">IF(AND($G$12="Link",H15&lt;&gt;0),H15,INDEX(INDIRECT(Danh_Sach!$N$1),ROWS($B$14:$B15),MATCH(G$13,INDIRECT(Danh_Sach!$N$2),0)))</f>
        <v>0</v>
      </c>
      <c r="H15" s="11">
        <f ca="1">IFERROR(INDEX(INDIRECT(BaoHiem!$A$3),ROWS($B$14:$B15),MATCH($C$1,INDIRECT(BaoHiem!$A$4),0)),0)</f>
        <v>0</v>
      </c>
      <c r="I15" s="72">
        <f t="array" aca="1" ref="I15" ca="1">INDEX(INDIRECT(Cham_Cong!$T$3),ROWS($B$14:B15),MATCH($C$1,INDIRECT(Cham_Cong!$T$4),0))</f>
        <v>0</v>
      </c>
      <c r="J15" s="11">
        <f t="shared" ca="1" si="4"/>
        <v>0</v>
      </c>
      <c r="K15" s="11">
        <f t="shared" ca="1" si="5"/>
        <v>0</v>
      </c>
      <c r="L15" s="11"/>
      <c r="M15" s="22">
        <f t="shared" ca="1" si="6"/>
        <v>0</v>
      </c>
      <c r="N15" s="11">
        <f t="shared" ca="1" si="7"/>
        <v>0</v>
      </c>
      <c r="P15" s="22">
        <f t="shared" ca="1" si="8"/>
        <v>0</v>
      </c>
      <c r="R15" s="11"/>
      <c r="S15" s="11"/>
      <c r="V15" s="11">
        <f t="shared" ca="1" si="9"/>
        <v>0</v>
      </c>
      <c r="W15" s="22">
        <f t="shared" ca="1" si="10"/>
        <v>0</v>
      </c>
      <c r="X15" s="22">
        <f t="shared" ca="1" si="11"/>
        <v>0</v>
      </c>
      <c r="Y15" s="22">
        <f t="shared" si="12"/>
        <v>0</v>
      </c>
      <c r="Z15" s="22">
        <f t="shared" ca="1" si="13"/>
        <v>0</v>
      </c>
      <c r="AA15" s="22">
        <f t="shared" ca="1" si="14"/>
        <v>0</v>
      </c>
      <c r="AB15" s="22">
        <f t="shared" ca="1" si="15"/>
        <v>0</v>
      </c>
      <c r="AC15" s="22">
        <f t="shared" ca="1" si="16"/>
        <v>0</v>
      </c>
      <c r="AD15" s="22">
        <f t="shared" ca="1" si="17"/>
        <v>0</v>
      </c>
      <c r="AE15" s="22">
        <f ca="1">IF(AB15&gt;0,IF(ISNA(VLOOKUP(C15,Info!$C$22:$D$303,2,0))=FALSE,H15*1.5%,H15*$AE$12),0)</f>
        <v>0</v>
      </c>
      <c r="AH15" s="22">
        <f t="shared" ca="1" si="18"/>
        <v>0</v>
      </c>
      <c r="AI15" s="22">
        <f ca="1">IF(AH15&gt;0,(AH15-VLOOKUP(AH15-1,INDIRECT(TAXRATE!$E$1),1,1))*VLOOKUP(AH15,INDIRECT(TAXRATE!$E$1),2,1)+VLOOKUP(AH15-1,INDIRECT(TAXRATE!$E$1),3,1),0)</f>
        <v>0</v>
      </c>
      <c r="AJ15" s="22">
        <f t="shared" ca="1" si="19"/>
        <v>0</v>
      </c>
      <c r="AL15" s="3" t="str">
        <f ca="1">IF(INDEX(INDIRECT(Danh_Sach!$N$1),ROWS($B$14:$B15),MATCH(AL$13,INDIRECT(Danh_Sach!$N$2),0))=0,"",MONTH(INDEX(INDIRECT(Danh_Sach!$N$1),ROWS($B$14:$B15),MATCH(AL$13,INDIRECT(Danh_Sach!$N$2),0))))</f>
        <v/>
      </c>
      <c r="AM15" s="3" t="str">
        <f ca="1">IF(INDEX(INDIRECT(Danh_Sach!$N$1),ROWS($B$14:$B15),MATCH(AM$13,INDIRECT(Danh_Sach!$N$2),0))=0,"",MONTH(INDEX(INDIRECT(Danh_Sach!$N$1),ROWS($B$14:$B15),MATCH(AM$13,INDIRECT(Danh_Sach!$N$2),0))))</f>
        <v/>
      </c>
      <c r="AN15" s="3" t="str">
        <f ca="1">IF(INDEX(INDIRECT(Danh_Sach!$N$1),ROWS($B$14:$B15),MATCH(AN$13,INDIRECT(Danh_Sach!$N$2),0))=0,"",MONTH(INDEX(INDIRECT(Danh_Sach!$N$1),ROWS($B$14:$B15),MATCH(AN$13,INDIRECT(Danh_Sach!$N$2),0))))</f>
        <v/>
      </c>
      <c r="AO15" s="3" t="str">
        <f ca="1">IF(INDEX(INDIRECT(Danh_Sach!$N$1),ROWS($B$14:$B15),MATCH(AO$13,INDIRECT(Danh_Sach!$N$2),0))=0,"",MONTH(INDEX(INDIRECT(Danh_Sach!$N$1),ROWS($B$14:$B15),MATCH(AO$13,INDIRECT(Danh_Sach!$N$2),0))))</f>
        <v/>
      </c>
    </row>
    <row r="16" spans="1:41" x14ac:dyDescent="0.45">
      <c r="A16" s="5"/>
      <c r="E16" s="5"/>
      <c r="F16" s="5"/>
      <c r="G16" s="11"/>
      <c r="H16" s="11"/>
      <c r="I16" s="72"/>
      <c r="J16" s="11"/>
      <c r="K16" s="11"/>
      <c r="L16" s="11"/>
      <c r="M16" s="22"/>
      <c r="N16" s="11"/>
      <c r="P16" s="22"/>
      <c r="R16" s="11"/>
      <c r="S16" s="11"/>
      <c r="V16" s="11"/>
      <c r="W16" s="22"/>
      <c r="X16" s="22"/>
      <c r="Y16" s="22"/>
      <c r="Z16" s="22"/>
      <c r="AA16" s="22"/>
      <c r="AB16" s="22"/>
      <c r="AC16" s="22"/>
      <c r="AD16" s="22"/>
      <c r="AE16" s="22"/>
      <c r="AH16" s="22"/>
      <c r="AI16" s="22"/>
      <c r="AJ16" s="22"/>
    </row>
    <row r="17" spans="1:36" x14ac:dyDescent="0.45">
      <c r="A17" s="5"/>
      <c r="E17" s="5"/>
      <c r="F17" s="5"/>
      <c r="G17" s="11"/>
      <c r="H17" s="11"/>
      <c r="I17" s="72"/>
      <c r="J17" s="11"/>
      <c r="K17" s="11"/>
      <c r="L17" s="11"/>
      <c r="M17" s="22"/>
      <c r="N17" s="11"/>
      <c r="P17" s="22"/>
      <c r="R17" s="11"/>
      <c r="S17" s="11"/>
      <c r="V17" s="11"/>
      <c r="W17" s="22"/>
      <c r="X17" s="22"/>
      <c r="Y17" s="22"/>
      <c r="Z17" s="22"/>
      <c r="AA17" s="22"/>
      <c r="AB17" s="22"/>
      <c r="AC17" s="22"/>
      <c r="AD17" s="22"/>
      <c r="AE17" s="22"/>
      <c r="AH17" s="22"/>
      <c r="AI17" s="22"/>
      <c r="AJ17" s="22"/>
    </row>
    <row r="18" spans="1:36" x14ac:dyDescent="0.45">
      <c r="A18" s="5"/>
      <c r="E18" s="5"/>
      <c r="F18" s="5"/>
      <c r="G18" s="11"/>
      <c r="H18" s="11"/>
      <c r="I18" s="72"/>
      <c r="J18" s="11"/>
      <c r="K18" s="11"/>
      <c r="L18" s="11"/>
      <c r="M18" s="22"/>
      <c r="N18" s="11"/>
      <c r="P18" s="22"/>
      <c r="R18" s="11"/>
      <c r="S18" s="11"/>
      <c r="V18" s="11"/>
      <c r="W18" s="22"/>
      <c r="X18" s="22"/>
      <c r="Y18" s="22"/>
      <c r="Z18" s="22"/>
      <c r="AA18" s="22"/>
      <c r="AB18" s="22"/>
      <c r="AC18" s="22"/>
      <c r="AD18" s="22"/>
      <c r="AE18" s="22"/>
      <c r="AH18" s="22"/>
      <c r="AI18" s="22"/>
      <c r="AJ18" s="22"/>
    </row>
    <row r="19" spans="1:36" x14ac:dyDescent="0.45">
      <c r="A19" s="5"/>
      <c r="E19" s="5"/>
      <c r="F19" s="5"/>
      <c r="G19" s="11"/>
      <c r="H19" s="11"/>
      <c r="I19" s="72"/>
      <c r="J19" s="11"/>
      <c r="K19" s="11"/>
      <c r="L19" s="11"/>
      <c r="M19" s="22"/>
      <c r="N19" s="11"/>
      <c r="P19" s="22"/>
      <c r="R19" s="11"/>
      <c r="S19" s="11"/>
      <c r="V19" s="11"/>
      <c r="W19" s="22"/>
      <c r="X19" s="22"/>
      <c r="Y19" s="22"/>
      <c r="Z19" s="22"/>
      <c r="AA19" s="22"/>
      <c r="AB19" s="22"/>
      <c r="AC19" s="22"/>
      <c r="AD19" s="22"/>
      <c r="AE19" s="22"/>
      <c r="AH19" s="22"/>
      <c r="AI19" s="22"/>
      <c r="AJ19" s="22"/>
    </row>
    <row r="20" spans="1:36" x14ac:dyDescent="0.45">
      <c r="A20" s="5"/>
      <c r="E20" s="5"/>
      <c r="F20" s="5"/>
      <c r="G20" s="11"/>
      <c r="H20" s="11"/>
      <c r="I20" s="72"/>
      <c r="J20" s="11"/>
      <c r="K20" s="11"/>
      <c r="L20" s="11"/>
      <c r="M20" s="22"/>
      <c r="N20" s="11"/>
      <c r="P20" s="22"/>
      <c r="R20" s="11"/>
      <c r="S20" s="11"/>
      <c r="V20" s="11"/>
      <c r="W20" s="22"/>
      <c r="X20" s="22"/>
      <c r="Y20" s="22"/>
      <c r="Z20" s="22"/>
      <c r="AA20" s="22"/>
      <c r="AB20" s="22"/>
      <c r="AC20" s="22"/>
      <c r="AD20" s="22"/>
      <c r="AE20" s="22"/>
      <c r="AH20" s="22"/>
      <c r="AI20" s="22"/>
      <c r="AJ20" s="22"/>
    </row>
    <row r="21" spans="1:36" x14ac:dyDescent="0.45">
      <c r="A21" s="5"/>
      <c r="E21" s="5"/>
      <c r="F21" s="5"/>
      <c r="G21" s="11"/>
      <c r="H21" s="11"/>
      <c r="I21" s="72"/>
      <c r="J21" s="11"/>
      <c r="K21" s="11"/>
      <c r="L21" s="11"/>
      <c r="M21" s="22"/>
      <c r="N21" s="11"/>
      <c r="P21" s="22"/>
      <c r="R21" s="11"/>
      <c r="S21" s="11"/>
      <c r="V21" s="11"/>
      <c r="W21" s="22"/>
      <c r="X21" s="22"/>
      <c r="Y21" s="22"/>
      <c r="Z21" s="22"/>
      <c r="AA21" s="22"/>
      <c r="AB21" s="22"/>
      <c r="AC21" s="22"/>
      <c r="AD21" s="22"/>
      <c r="AE21" s="22"/>
      <c r="AH21" s="22"/>
      <c r="AI21" s="22"/>
      <c r="AJ21" s="22"/>
    </row>
    <row r="22" spans="1:36" x14ac:dyDescent="0.45">
      <c r="A22" s="5"/>
      <c r="E22" s="5"/>
      <c r="F22" s="5"/>
      <c r="G22" s="11"/>
      <c r="H22" s="11"/>
      <c r="I22" s="72"/>
      <c r="J22" s="11"/>
      <c r="K22" s="11"/>
      <c r="L22" s="11"/>
      <c r="M22" s="22"/>
      <c r="N22" s="11"/>
      <c r="P22" s="22"/>
      <c r="R22" s="11"/>
      <c r="S22" s="11"/>
      <c r="V22" s="11"/>
      <c r="W22" s="22"/>
      <c r="X22" s="22"/>
      <c r="Y22" s="22"/>
      <c r="Z22" s="22"/>
      <c r="AA22" s="22"/>
      <c r="AB22" s="22"/>
      <c r="AC22" s="22"/>
      <c r="AD22" s="22"/>
      <c r="AE22" s="22"/>
      <c r="AH22" s="22"/>
      <c r="AI22" s="22"/>
      <c r="AJ22" s="22"/>
    </row>
    <row r="23" spans="1:36" x14ac:dyDescent="0.45">
      <c r="A23" s="5"/>
      <c r="E23" s="5"/>
      <c r="F23" s="5"/>
      <c r="G23" s="11"/>
      <c r="H23" s="11"/>
      <c r="I23" s="72"/>
      <c r="J23" s="11"/>
      <c r="K23" s="11"/>
      <c r="L23" s="11"/>
      <c r="M23" s="22"/>
      <c r="N23" s="11"/>
      <c r="P23" s="22"/>
      <c r="R23" s="11"/>
      <c r="S23" s="11"/>
      <c r="V23" s="11"/>
      <c r="W23" s="22"/>
      <c r="X23" s="22"/>
      <c r="Y23" s="22"/>
      <c r="Z23" s="22"/>
      <c r="AA23" s="22"/>
      <c r="AB23" s="22"/>
      <c r="AC23" s="22"/>
      <c r="AD23" s="22"/>
      <c r="AE23" s="22"/>
      <c r="AH23" s="22"/>
      <c r="AI23" s="22"/>
      <c r="AJ23" s="22"/>
    </row>
    <row r="24" spans="1:36" x14ac:dyDescent="0.45">
      <c r="A24" s="5"/>
      <c r="E24" s="5"/>
      <c r="F24" s="5"/>
      <c r="G24" s="11"/>
      <c r="H24" s="11"/>
      <c r="I24" s="72"/>
      <c r="J24" s="11"/>
      <c r="K24" s="11"/>
      <c r="L24" s="11"/>
      <c r="M24" s="22"/>
      <c r="N24" s="11"/>
      <c r="P24" s="22"/>
      <c r="R24" s="11"/>
      <c r="S24" s="11"/>
      <c r="V24" s="11"/>
      <c r="W24" s="22"/>
      <c r="X24" s="22"/>
      <c r="Y24" s="22"/>
      <c r="Z24" s="22"/>
      <c r="AA24" s="22"/>
      <c r="AB24" s="22"/>
      <c r="AC24" s="22"/>
      <c r="AD24" s="22"/>
      <c r="AE24" s="22"/>
      <c r="AH24" s="22"/>
      <c r="AI24" s="22"/>
      <c r="AJ24" s="22"/>
    </row>
    <row r="25" spans="1:36" x14ac:dyDescent="0.45">
      <c r="A25" s="5"/>
      <c r="E25" s="5"/>
      <c r="F25" s="5"/>
      <c r="G25" s="11"/>
      <c r="H25" s="11"/>
      <c r="I25" s="72"/>
      <c r="J25" s="11"/>
      <c r="K25" s="11"/>
      <c r="L25" s="11"/>
      <c r="M25" s="22"/>
      <c r="N25" s="11"/>
      <c r="P25" s="22"/>
      <c r="R25" s="11"/>
      <c r="S25" s="11"/>
      <c r="V25" s="11"/>
      <c r="W25" s="22"/>
      <c r="X25" s="22"/>
      <c r="Y25" s="22"/>
      <c r="Z25" s="22"/>
      <c r="AA25" s="22"/>
      <c r="AB25" s="22"/>
      <c r="AC25" s="22"/>
      <c r="AD25" s="22"/>
      <c r="AE25" s="22"/>
      <c r="AH25" s="22"/>
      <c r="AI25" s="22"/>
      <c r="AJ25" s="22"/>
    </row>
    <row r="26" spans="1:36" x14ac:dyDescent="0.45">
      <c r="A26" s="5"/>
      <c r="E26" s="5"/>
      <c r="F26" s="5"/>
      <c r="G26" s="11"/>
      <c r="H26" s="11"/>
      <c r="I26" s="72"/>
      <c r="J26" s="11"/>
      <c r="K26" s="11"/>
      <c r="L26" s="11"/>
      <c r="M26" s="22"/>
      <c r="N26" s="11"/>
      <c r="P26" s="22"/>
      <c r="R26" s="11"/>
      <c r="S26" s="11"/>
      <c r="V26" s="11"/>
      <c r="W26" s="22"/>
      <c r="X26" s="22"/>
      <c r="Y26" s="22"/>
      <c r="Z26" s="22"/>
      <c r="AA26" s="22"/>
      <c r="AB26" s="22"/>
      <c r="AC26" s="22"/>
      <c r="AD26" s="22"/>
      <c r="AE26" s="22"/>
      <c r="AH26" s="22"/>
      <c r="AI26" s="22"/>
      <c r="AJ26" s="22"/>
    </row>
    <row r="27" spans="1:36" x14ac:dyDescent="0.45">
      <c r="A27" s="5"/>
      <c r="E27" s="5"/>
      <c r="F27" s="5"/>
      <c r="G27" s="11"/>
      <c r="H27" s="11"/>
      <c r="I27" s="72"/>
      <c r="J27" s="11"/>
      <c r="K27" s="11"/>
      <c r="L27" s="11"/>
      <c r="M27" s="22"/>
      <c r="N27" s="11"/>
      <c r="P27" s="22"/>
      <c r="R27" s="11"/>
      <c r="S27" s="11"/>
      <c r="V27" s="11"/>
      <c r="W27" s="22"/>
      <c r="X27" s="22"/>
      <c r="Y27" s="22"/>
      <c r="Z27" s="22"/>
      <c r="AA27" s="22"/>
      <c r="AB27" s="22"/>
      <c r="AC27" s="22"/>
      <c r="AD27" s="22"/>
      <c r="AE27" s="22"/>
      <c r="AH27" s="22"/>
      <c r="AI27" s="22"/>
      <c r="AJ27" s="22"/>
    </row>
    <row r="28" spans="1:36" x14ac:dyDescent="0.45">
      <c r="A28" s="5"/>
      <c r="E28" s="5"/>
      <c r="F28" s="5"/>
      <c r="G28" s="11"/>
      <c r="H28" s="11"/>
      <c r="I28" s="72"/>
      <c r="J28" s="11"/>
      <c r="K28" s="11"/>
      <c r="L28" s="11"/>
      <c r="M28" s="22"/>
      <c r="N28" s="11"/>
      <c r="P28" s="22"/>
      <c r="R28" s="11"/>
      <c r="S28" s="11"/>
      <c r="V28" s="11"/>
      <c r="W28" s="22"/>
      <c r="X28" s="22"/>
      <c r="Y28" s="22"/>
      <c r="Z28" s="22"/>
      <c r="AA28" s="22"/>
      <c r="AB28" s="22"/>
      <c r="AC28" s="22"/>
      <c r="AD28" s="22"/>
      <c r="AE28" s="22"/>
      <c r="AH28" s="22"/>
      <c r="AI28" s="22"/>
      <c r="AJ28" s="22"/>
    </row>
    <row r="29" spans="1:36" x14ac:dyDescent="0.45">
      <c r="A29" s="5"/>
      <c r="E29" s="5"/>
      <c r="F29" s="5"/>
      <c r="G29" s="11"/>
      <c r="H29" s="11"/>
      <c r="I29" s="72"/>
      <c r="J29" s="11"/>
      <c r="K29" s="11"/>
      <c r="L29" s="11"/>
      <c r="M29" s="22"/>
      <c r="N29" s="11"/>
      <c r="P29" s="22"/>
      <c r="R29" s="11"/>
      <c r="S29" s="11"/>
      <c r="V29" s="11"/>
      <c r="W29" s="22"/>
      <c r="X29" s="22"/>
      <c r="Y29" s="22"/>
      <c r="Z29" s="22"/>
      <c r="AA29" s="22"/>
      <c r="AB29" s="22"/>
      <c r="AC29" s="22"/>
      <c r="AD29" s="22"/>
      <c r="AE29" s="22"/>
      <c r="AH29" s="22"/>
      <c r="AI29" s="22"/>
      <c r="AJ29" s="22"/>
    </row>
    <row r="30" spans="1:36" x14ac:dyDescent="0.45">
      <c r="A30" s="5"/>
      <c r="E30" s="5"/>
      <c r="F30" s="5"/>
      <c r="G30" s="11"/>
      <c r="H30" s="11"/>
      <c r="I30" s="72"/>
      <c r="J30" s="11"/>
      <c r="K30" s="11"/>
      <c r="L30" s="11"/>
      <c r="M30" s="22"/>
      <c r="N30" s="11"/>
      <c r="P30" s="22"/>
      <c r="R30" s="11"/>
      <c r="S30" s="11"/>
      <c r="V30" s="11"/>
      <c r="W30" s="22"/>
      <c r="X30" s="22"/>
      <c r="Y30" s="22"/>
      <c r="Z30" s="22"/>
      <c r="AA30" s="22"/>
      <c r="AB30" s="22"/>
      <c r="AC30" s="22"/>
      <c r="AD30" s="22"/>
      <c r="AE30" s="22"/>
      <c r="AH30" s="22"/>
      <c r="AI30" s="22"/>
      <c r="AJ30" s="22"/>
    </row>
    <row r="31" spans="1:36" x14ac:dyDescent="0.45">
      <c r="A31" s="5"/>
      <c r="E31" s="5"/>
      <c r="F31" s="5"/>
      <c r="G31" s="11"/>
      <c r="H31" s="11"/>
      <c r="I31" s="72"/>
      <c r="J31" s="11"/>
      <c r="K31" s="11"/>
      <c r="L31" s="11"/>
      <c r="M31" s="22"/>
      <c r="N31" s="11"/>
      <c r="P31" s="22"/>
      <c r="R31" s="11"/>
      <c r="S31" s="11"/>
      <c r="V31" s="11"/>
      <c r="W31" s="22"/>
      <c r="X31" s="22"/>
      <c r="Y31" s="22"/>
      <c r="Z31" s="22"/>
      <c r="AA31" s="22"/>
      <c r="AB31" s="22"/>
      <c r="AC31" s="22"/>
      <c r="AD31" s="22"/>
      <c r="AE31" s="22"/>
      <c r="AH31" s="22"/>
      <c r="AI31" s="22"/>
      <c r="AJ31" s="22"/>
    </row>
    <row r="32" spans="1:36" x14ac:dyDescent="0.45">
      <c r="A32" s="5"/>
      <c r="E32" s="5"/>
      <c r="F32" s="5"/>
      <c r="G32" s="11"/>
      <c r="H32" s="11"/>
      <c r="I32" s="72"/>
      <c r="J32" s="11"/>
      <c r="K32" s="11"/>
      <c r="L32" s="11"/>
      <c r="M32" s="22"/>
      <c r="N32" s="11"/>
      <c r="P32" s="22"/>
      <c r="R32" s="11"/>
      <c r="S32" s="11"/>
      <c r="V32" s="11"/>
      <c r="W32" s="22"/>
      <c r="X32" s="22"/>
      <c r="Y32" s="22"/>
      <c r="Z32" s="22"/>
      <c r="AA32" s="22"/>
      <c r="AB32" s="22"/>
      <c r="AC32" s="22"/>
      <c r="AD32" s="22"/>
      <c r="AE32" s="22"/>
      <c r="AH32" s="22"/>
      <c r="AI32" s="22"/>
      <c r="AJ32" s="22"/>
    </row>
    <row r="33" spans="1:36" x14ac:dyDescent="0.45">
      <c r="A33" s="5"/>
      <c r="E33" s="5"/>
      <c r="F33" s="5"/>
      <c r="G33" s="11"/>
      <c r="H33" s="11"/>
      <c r="I33" s="72"/>
      <c r="J33" s="11"/>
      <c r="K33" s="11"/>
      <c r="L33" s="11"/>
      <c r="M33" s="22"/>
      <c r="N33" s="11"/>
      <c r="P33" s="22"/>
      <c r="R33" s="11"/>
      <c r="S33" s="11"/>
      <c r="V33" s="11"/>
      <c r="W33" s="22"/>
      <c r="X33" s="22"/>
      <c r="Y33" s="22"/>
      <c r="Z33" s="22"/>
      <c r="AA33" s="22"/>
      <c r="AB33" s="22"/>
      <c r="AC33" s="22"/>
      <c r="AD33" s="22"/>
      <c r="AE33" s="22"/>
      <c r="AH33" s="22"/>
      <c r="AI33" s="22"/>
      <c r="AJ33" s="22"/>
    </row>
    <row r="34" spans="1:36" x14ac:dyDescent="0.45">
      <c r="A34" s="5"/>
      <c r="E34" s="5"/>
      <c r="F34" s="5"/>
      <c r="G34" s="11"/>
      <c r="H34" s="11"/>
      <c r="I34" s="72"/>
      <c r="J34" s="11"/>
      <c r="K34" s="11"/>
      <c r="L34" s="11"/>
      <c r="M34" s="22"/>
      <c r="N34" s="11"/>
      <c r="P34" s="22"/>
      <c r="R34" s="11"/>
      <c r="S34" s="11"/>
      <c r="V34" s="11"/>
      <c r="W34" s="22"/>
      <c r="X34" s="22"/>
      <c r="Y34" s="22"/>
      <c r="Z34" s="22"/>
      <c r="AA34" s="22"/>
      <c r="AB34" s="22"/>
      <c r="AC34" s="22"/>
      <c r="AD34" s="22"/>
      <c r="AE34" s="22"/>
      <c r="AH34" s="22"/>
      <c r="AI34" s="22"/>
      <c r="AJ34" s="22"/>
    </row>
    <row r="35" spans="1:36" x14ac:dyDescent="0.45">
      <c r="A35" s="5"/>
      <c r="E35" s="5"/>
      <c r="F35" s="5"/>
      <c r="G35" s="11"/>
      <c r="H35" s="11"/>
      <c r="I35" s="72"/>
      <c r="J35" s="11"/>
      <c r="K35" s="11"/>
      <c r="L35" s="11"/>
      <c r="M35" s="22"/>
      <c r="N35" s="11"/>
      <c r="P35" s="22"/>
      <c r="R35" s="11"/>
      <c r="S35" s="11"/>
      <c r="V35" s="11"/>
      <c r="W35" s="22"/>
      <c r="X35" s="22"/>
      <c r="Y35" s="22"/>
      <c r="Z35" s="22"/>
      <c r="AA35" s="22"/>
      <c r="AB35" s="22"/>
      <c r="AC35" s="22"/>
      <c r="AD35" s="22"/>
      <c r="AE35" s="22"/>
      <c r="AH35" s="22"/>
      <c r="AI35" s="22"/>
      <c r="AJ35" s="22"/>
    </row>
    <row r="36" spans="1:36" x14ac:dyDescent="0.45">
      <c r="A36" s="5"/>
      <c r="E36" s="5"/>
      <c r="F36" s="5"/>
      <c r="G36" s="11"/>
      <c r="H36" s="11"/>
      <c r="I36" s="72"/>
      <c r="J36" s="11"/>
      <c r="K36" s="11"/>
      <c r="L36" s="11"/>
      <c r="M36" s="22"/>
      <c r="N36" s="11"/>
      <c r="P36" s="22"/>
      <c r="R36" s="11"/>
      <c r="S36" s="11"/>
      <c r="V36" s="11"/>
      <c r="W36" s="22"/>
      <c r="X36" s="22"/>
      <c r="Y36" s="22"/>
      <c r="Z36" s="22"/>
      <c r="AA36" s="22"/>
      <c r="AB36" s="22"/>
      <c r="AC36" s="22"/>
      <c r="AD36" s="22"/>
      <c r="AE36" s="22"/>
      <c r="AH36" s="22"/>
      <c r="AI36" s="22"/>
      <c r="AJ36" s="22"/>
    </row>
    <row r="37" spans="1:36" x14ac:dyDescent="0.45">
      <c r="A37" s="5"/>
      <c r="E37" s="5"/>
      <c r="F37" s="5"/>
      <c r="G37" s="11"/>
      <c r="H37" s="11"/>
      <c r="I37" s="72"/>
      <c r="J37" s="11"/>
      <c r="K37" s="11"/>
      <c r="L37" s="11"/>
      <c r="M37" s="22"/>
      <c r="N37" s="11"/>
      <c r="P37" s="22"/>
      <c r="R37" s="11"/>
      <c r="S37" s="11"/>
      <c r="V37" s="11"/>
      <c r="W37" s="22"/>
      <c r="X37" s="22"/>
      <c r="Y37" s="22"/>
      <c r="Z37" s="22"/>
      <c r="AA37" s="22"/>
      <c r="AB37" s="22"/>
      <c r="AC37" s="22"/>
      <c r="AD37" s="22"/>
      <c r="AE37" s="22"/>
      <c r="AH37" s="22"/>
      <c r="AI37" s="22"/>
      <c r="AJ37" s="22"/>
    </row>
    <row r="38" spans="1:36" x14ac:dyDescent="0.45">
      <c r="A38" s="5"/>
      <c r="E38" s="5"/>
      <c r="F38" s="5"/>
      <c r="G38" s="11"/>
      <c r="H38" s="11"/>
      <c r="I38" s="72"/>
      <c r="J38" s="11"/>
      <c r="K38" s="11"/>
      <c r="L38" s="11"/>
      <c r="M38" s="22"/>
      <c r="N38" s="11"/>
      <c r="P38" s="22"/>
      <c r="R38" s="11"/>
      <c r="S38" s="11"/>
      <c r="V38" s="11"/>
      <c r="W38" s="22"/>
      <c r="X38" s="22"/>
      <c r="Y38" s="22"/>
      <c r="Z38" s="22"/>
      <c r="AA38" s="22"/>
      <c r="AB38" s="22"/>
      <c r="AC38" s="22"/>
      <c r="AD38" s="22"/>
      <c r="AE38" s="22"/>
      <c r="AH38" s="22"/>
      <c r="AI38" s="22"/>
      <c r="AJ38" s="22"/>
    </row>
    <row r="39" spans="1:36" x14ac:dyDescent="0.45">
      <c r="A39" s="5"/>
      <c r="E39" s="5"/>
      <c r="F39" s="5"/>
      <c r="G39" s="11"/>
      <c r="H39" s="11"/>
      <c r="I39" s="72"/>
      <c r="J39" s="11"/>
      <c r="K39" s="11"/>
      <c r="M39" s="22"/>
      <c r="N39" s="11"/>
      <c r="P39" s="22"/>
      <c r="S39" s="11"/>
      <c r="V39" s="11"/>
      <c r="W39" s="22"/>
      <c r="X39" s="22"/>
      <c r="Y39" s="22"/>
      <c r="Z39" s="22"/>
      <c r="AA39" s="22"/>
      <c r="AB39" s="22"/>
      <c r="AC39" s="22"/>
      <c r="AD39" s="22"/>
      <c r="AE39" s="22"/>
      <c r="AH39" s="22"/>
      <c r="AI39" s="22"/>
      <c r="AJ39" s="22"/>
    </row>
    <row r="40" spans="1:36" x14ac:dyDescent="0.45">
      <c r="A40" s="5"/>
      <c r="E40" s="5"/>
      <c r="F40" s="5"/>
      <c r="G40" s="11"/>
      <c r="H40" s="11"/>
      <c r="I40" s="72"/>
      <c r="J40" s="11"/>
      <c r="K40" s="11"/>
      <c r="M40" s="22"/>
      <c r="N40" s="11"/>
      <c r="P40" s="22"/>
      <c r="S40" s="11"/>
      <c r="V40" s="11"/>
      <c r="W40" s="22"/>
      <c r="X40" s="22"/>
      <c r="Y40" s="22"/>
      <c r="Z40" s="22"/>
      <c r="AA40" s="22"/>
      <c r="AB40" s="22"/>
      <c r="AC40" s="22"/>
      <c r="AD40" s="22"/>
      <c r="AE40" s="22"/>
      <c r="AH40" s="22"/>
      <c r="AI40" s="22"/>
      <c r="AJ40" s="22"/>
    </row>
    <row r="41" spans="1:36" x14ac:dyDescent="0.45">
      <c r="A41" s="5"/>
      <c r="E41" s="5"/>
      <c r="F41" s="5"/>
      <c r="G41" s="11"/>
      <c r="H41" s="11"/>
      <c r="I41" s="72"/>
      <c r="J41" s="11"/>
      <c r="K41" s="11"/>
      <c r="M41" s="22"/>
      <c r="N41" s="11"/>
      <c r="P41" s="22"/>
      <c r="S41" s="11"/>
      <c r="V41" s="11"/>
      <c r="W41" s="22"/>
      <c r="X41" s="22"/>
      <c r="Y41" s="22"/>
      <c r="Z41" s="22"/>
      <c r="AA41" s="22"/>
      <c r="AB41" s="22"/>
      <c r="AC41" s="22"/>
      <c r="AD41" s="22"/>
      <c r="AE41" s="22"/>
      <c r="AH41" s="22"/>
      <c r="AI41" s="22"/>
      <c r="AJ41" s="22"/>
    </row>
    <row r="42" spans="1:36" x14ac:dyDescent="0.45">
      <c r="A42" s="5"/>
      <c r="E42" s="5"/>
      <c r="F42" s="5"/>
      <c r="G42" s="11"/>
      <c r="H42" s="11"/>
      <c r="I42" s="72"/>
      <c r="J42" s="11"/>
      <c r="K42" s="11"/>
      <c r="M42" s="22"/>
      <c r="N42" s="11"/>
      <c r="P42" s="22"/>
      <c r="S42" s="11"/>
      <c r="V42" s="11"/>
      <c r="W42" s="22"/>
      <c r="X42" s="22"/>
      <c r="Y42" s="22"/>
      <c r="Z42" s="22"/>
      <c r="AA42" s="22"/>
      <c r="AB42" s="22"/>
      <c r="AC42" s="22"/>
      <c r="AD42" s="22"/>
      <c r="AE42" s="22"/>
      <c r="AH42" s="22"/>
      <c r="AI42" s="22"/>
      <c r="AJ42" s="22"/>
    </row>
    <row r="43" spans="1:36" x14ac:dyDescent="0.45">
      <c r="A43" s="5"/>
      <c r="E43" s="5"/>
      <c r="F43" s="5"/>
      <c r="G43" s="11"/>
      <c r="H43" s="11"/>
      <c r="I43" s="72"/>
      <c r="J43" s="11"/>
      <c r="K43" s="11"/>
      <c r="M43" s="22"/>
      <c r="N43" s="11"/>
      <c r="P43" s="22"/>
      <c r="S43" s="11"/>
      <c r="V43" s="11"/>
      <c r="W43" s="22"/>
      <c r="X43" s="22"/>
      <c r="Y43" s="22"/>
      <c r="Z43" s="22"/>
      <c r="AA43" s="22"/>
      <c r="AB43" s="22"/>
      <c r="AC43" s="22"/>
      <c r="AD43" s="22"/>
      <c r="AE43" s="22"/>
      <c r="AH43" s="22"/>
      <c r="AI43" s="22"/>
      <c r="AJ43" s="22"/>
    </row>
    <row r="44" spans="1:36" x14ac:dyDescent="0.45">
      <c r="A44" s="5"/>
      <c r="E44" s="5"/>
      <c r="F44" s="5"/>
      <c r="G44" s="11"/>
      <c r="H44" s="11"/>
      <c r="I44" s="72"/>
      <c r="J44" s="11"/>
      <c r="K44" s="11"/>
      <c r="M44" s="22"/>
      <c r="N44" s="11"/>
      <c r="P44" s="22"/>
      <c r="S44" s="11"/>
      <c r="V44" s="11"/>
      <c r="W44" s="22"/>
      <c r="X44" s="22"/>
      <c r="Y44" s="22"/>
      <c r="Z44" s="22"/>
      <c r="AA44" s="22"/>
      <c r="AB44" s="22"/>
      <c r="AC44" s="22"/>
      <c r="AD44" s="22"/>
      <c r="AE44" s="22"/>
      <c r="AH44" s="22"/>
      <c r="AI44" s="22"/>
      <c r="AJ44" s="22"/>
    </row>
    <row r="45" spans="1:36" x14ac:dyDescent="0.45">
      <c r="A45" s="5"/>
      <c r="E45" s="5"/>
      <c r="F45" s="5"/>
      <c r="G45" s="11"/>
      <c r="H45" s="11"/>
      <c r="I45" s="72"/>
      <c r="J45" s="11"/>
      <c r="K45" s="11"/>
      <c r="M45" s="22"/>
      <c r="N45" s="11"/>
      <c r="P45" s="22"/>
      <c r="S45" s="11"/>
      <c r="V45" s="11"/>
      <c r="W45" s="22"/>
      <c r="X45" s="22"/>
      <c r="Y45" s="22"/>
      <c r="Z45" s="22"/>
      <c r="AA45" s="22"/>
      <c r="AB45" s="22"/>
      <c r="AC45" s="22"/>
      <c r="AD45" s="22"/>
      <c r="AE45" s="22"/>
      <c r="AH45" s="22"/>
      <c r="AI45" s="22"/>
      <c r="AJ45" s="22"/>
    </row>
    <row r="46" spans="1:36" x14ac:dyDescent="0.45">
      <c r="A46" s="5"/>
      <c r="E46" s="5"/>
      <c r="F46" s="5"/>
      <c r="G46" s="11"/>
      <c r="H46" s="11"/>
      <c r="I46" s="72"/>
      <c r="J46" s="11"/>
      <c r="K46" s="11"/>
      <c r="M46" s="22"/>
      <c r="N46" s="11"/>
      <c r="O46" s="3"/>
      <c r="P46" s="22"/>
      <c r="S46" s="11"/>
      <c r="V46" s="11"/>
      <c r="W46" s="22"/>
      <c r="X46" s="22"/>
      <c r="Y46" s="22"/>
      <c r="Z46" s="22"/>
      <c r="AA46" s="22"/>
      <c r="AB46" s="22"/>
      <c r="AC46" s="22"/>
      <c r="AD46" s="22"/>
      <c r="AE46" s="22"/>
      <c r="AH46" s="22"/>
      <c r="AI46" s="22"/>
      <c r="AJ46" s="22"/>
    </row>
    <row r="47" spans="1:36" x14ac:dyDescent="0.45">
      <c r="A47" s="5"/>
      <c r="E47" s="5"/>
      <c r="F47" s="5"/>
      <c r="G47" s="11"/>
      <c r="H47" s="11"/>
      <c r="I47" s="72"/>
      <c r="J47" s="11"/>
      <c r="K47" s="11"/>
      <c r="M47" s="22"/>
      <c r="N47" s="11"/>
      <c r="O47" s="3"/>
      <c r="P47" s="22"/>
      <c r="S47" s="11"/>
      <c r="V47" s="11"/>
      <c r="W47" s="22"/>
      <c r="X47" s="22"/>
      <c r="Y47" s="22"/>
      <c r="Z47" s="22"/>
      <c r="AA47" s="22"/>
      <c r="AB47" s="22"/>
      <c r="AC47" s="22"/>
      <c r="AD47" s="22"/>
      <c r="AE47" s="22"/>
      <c r="AH47" s="22"/>
      <c r="AI47" s="22"/>
      <c r="AJ47" s="22"/>
    </row>
    <row r="48" spans="1:36" x14ac:dyDescent="0.45">
      <c r="A48" s="5"/>
      <c r="E48" s="5"/>
      <c r="F48" s="5"/>
      <c r="G48" s="11"/>
      <c r="H48" s="11"/>
      <c r="I48" s="72"/>
      <c r="J48" s="11"/>
      <c r="K48" s="11"/>
      <c r="M48" s="22"/>
      <c r="N48" s="11"/>
      <c r="O48" s="3"/>
      <c r="P48" s="22"/>
      <c r="S48" s="11"/>
      <c r="V48" s="11"/>
      <c r="W48" s="22"/>
      <c r="X48" s="22"/>
      <c r="Y48" s="22"/>
      <c r="Z48" s="22"/>
      <c r="AA48" s="22"/>
      <c r="AB48" s="22"/>
      <c r="AC48" s="22"/>
      <c r="AD48" s="22"/>
      <c r="AE48" s="22"/>
      <c r="AH48" s="22"/>
      <c r="AI48" s="22"/>
      <c r="AJ48" s="22"/>
    </row>
    <row r="49" spans="1:36" x14ac:dyDescent="0.45">
      <c r="A49" s="5"/>
      <c r="E49" s="5"/>
      <c r="F49" s="5"/>
      <c r="G49" s="11"/>
      <c r="H49" s="11"/>
      <c r="I49" s="72"/>
      <c r="J49" s="11"/>
      <c r="K49" s="11"/>
      <c r="M49" s="22"/>
      <c r="N49" s="11"/>
      <c r="O49" s="3"/>
      <c r="P49" s="22"/>
      <c r="S49" s="11"/>
      <c r="V49" s="11"/>
      <c r="W49" s="22"/>
      <c r="X49" s="22"/>
      <c r="Y49" s="22"/>
      <c r="Z49" s="22"/>
      <c r="AA49" s="22"/>
      <c r="AB49" s="22"/>
      <c r="AC49" s="22"/>
      <c r="AD49" s="22"/>
      <c r="AE49" s="22"/>
      <c r="AH49" s="22"/>
      <c r="AI49" s="22"/>
      <c r="AJ49" s="22"/>
    </row>
    <row r="50" spans="1:36" x14ac:dyDescent="0.45">
      <c r="A50" s="5"/>
      <c r="E50" s="5"/>
      <c r="F50" s="5"/>
      <c r="G50" s="11"/>
      <c r="H50" s="11"/>
      <c r="I50" s="72"/>
      <c r="J50" s="11"/>
      <c r="K50" s="11"/>
      <c r="M50" s="22"/>
      <c r="N50" s="11"/>
      <c r="O50" s="3"/>
      <c r="P50" s="22"/>
      <c r="S50" s="11"/>
      <c r="V50" s="11"/>
      <c r="W50" s="22"/>
      <c r="X50" s="22"/>
      <c r="Y50" s="22"/>
      <c r="Z50" s="22"/>
      <c r="AA50" s="22"/>
      <c r="AB50" s="22"/>
      <c r="AC50" s="22"/>
      <c r="AD50" s="22"/>
      <c r="AE50" s="22"/>
      <c r="AH50" s="22"/>
      <c r="AI50" s="22"/>
      <c r="AJ50" s="22"/>
    </row>
  </sheetData>
  <autoFilter ref="A13:AO50" xr:uid="{00000000-0009-0000-0000-000007000000}"/>
  <mergeCells count="25">
    <mergeCell ref="AC9:AG9"/>
    <mergeCell ref="A10:A11"/>
    <mergeCell ref="B10:B11"/>
    <mergeCell ref="C10:C11"/>
    <mergeCell ref="D10:D11"/>
    <mergeCell ref="E10:E11"/>
    <mergeCell ref="K10:K11"/>
    <mergeCell ref="K9:N9"/>
    <mergeCell ref="O9:P9"/>
    <mergeCell ref="Q9:T9"/>
    <mergeCell ref="W9:AA9"/>
    <mergeCell ref="F10:F11"/>
    <mergeCell ref="G10:G11"/>
    <mergeCell ref="H10:H11"/>
    <mergeCell ref="I10:I11"/>
    <mergeCell ref="AH10:AH11"/>
    <mergeCell ref="AI10:AI11"/>
    <mergeCell ref="G12:H12"/>
    <mergeCell ref="L10:M10"/>
    <mergeCell ref="N10:N11"/>
    <mergeCell ref="Q10:R10"/>
    <mergeCell ref="AC10:AD10"/>
    <mergeCell ref="J10:J11"/>
    <mergeCell ref="AB10:AB11"/>
    <mergeCell ref="AE10:AG10"/>
  </mergeCells>
  <pageMargins left="0.7" right="0.7" top="0.75" bottom="0.75" header="0.3" footer="0.3"/>
  <pageSetup orientation="portrait" r:id="rId1"/>
  <drawing r:id="rId2"/>
  <legacyDrawing r:id="rId3"/>
  <controls>
    <mc:AlternateContent xmlns:mc="http://schemas.openxmlformats.org/markup-compatibility/2006">
      <mc:Choice Requires="x14">
        <control shapeId="14338" r:id="rId4" name="CommandButton1">
          <controlPr defaultSize="0" autoLine="0" r:id="rId5">
            <anchor moveWithCells="1">
              <from>
                <xdr:col>1</xdr:col>
                <xdr:colOff>171450</xdr:colOff>
                <xdr:row>5</xdr:row>
                <xdr:rowOff>9525</xdr:rowOff>
              </from>
              <to>
                <xdr:col>1</xdr:col>
                <xdr:colOff>1419225</xdr:colOff>
                <xdr:row>6</xdr:row>
                <xdr:rowOff>223838</xdr:rowOff>
              </to>
            </anchor>
          </controlPr>
        </control>
      </mc:Choice>
      <mc:Fallback>
        <control shapeId="14338" r:id="rId4"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hang3">
    <tabColor theme="7"/>
  </sheetPr>
  <dimension ref="A1:AO50"/>
  <sheetViews>
    <sheetView showGridLines="0" topLeftCell="F9" zoomScaleNormal="100" workbookViewId="0">
      <selection activeCell="R28" sqref="R28"/>
    </sheetView>
  </sheetViews>
  <sheetFormatPr defaultColWidth="9.1328125" defaultRowHeight="14.25" x14ac:dyDescent="0.45"/>
  <cols>
    <col min="1" max="1" width="7.59765625" style="3" customWidth="1"/>
    <col min="2" max="2" width="24.1328125" style="3" customWidth="1"/>
    <col min="3" max="3" width="14.59765625" style="5" customWidth="1"/>
    <col min="4" max="4" width="14.86328125" style="5" customWidth="1"/>
    <col min="5" max="5" width="10.265625" style="3" customWidth="1"/>
    <col min="6" max="6" width="8.1328125" style="3" customWidth="1"/>
    <col min="7" max="7" width="14" style="3" customWidth="1"/>
    <col min="8" max="8" width="13.73046875" style="3" customWidth="1"/>
    <col min="9" max="9" width="8.265625" style="44" customWidth="1"/>
    <col min="10" max="10" width="15.1328125" style="3" customWidth="1"/>
    <col min="11" max="11" width="13.73046875" style="3" customWidth="1"/>
    <col min="12" max="12" width="9" style="3" customWidth="1"/>
    <col min="13" max="13" width="14.265625" style="3" customWidth="1"/>
    <col min="14" max="14" width="12.73046875" style="3" customWidth="1"/>
    <col min="15" max="15" width="10.265625" style="5" customWidth="1"/>
    <col min="16" max="16" width="12.86328125" style="3" customWidth="1"/>
    <col min="17" max="17" width="11" style="3" customWidth="1"/>
    <col min="18" max="18" width="15.73046875" style="3" customWidth="1"/>
    <col min="19" max="19" width="13.59765625" style="3" hidden="1" customWidth="1"/>
    <col min="20" max="21" width="12.1328125" style="3" customWidth="1"/>
    <col min="22" max="22" width="16.1328125" style="3" customWidth="1"/>
    <col min="23" max="26" width="13.265625" style="3" customWidth="1"/>
    <col min="27" max="27" width="12.265625" style="3" customWidth="1"/>
    <col min="28" max="28" width="14.73046875" style="3" customWidth="1"/>
    <col min="29" max="29" width="14.265625" style="3" customWidth="1"/>
    <col min="30" max="30" width="12" style="3" customWidth="1"/>
    <col min="31" max="31" width="13.86328125" style="3" customWidth="1"/>
    <col min="32" max="33" width="9.1328125" style="3" hidden="1" customWidth="1"/>
    <col min="34" max="34" width="14" style="3" bestFit="1" customWidth="1"/>
    <col min="35" max="35" width="13" style="3" customWidth="1"/>
    <col min="36" max="37" width="13.73046875" style="3" customWidth="1"/>
    <col min="38" max="41" width="8.1328125" style="3" hidden="1" customWidth="1"/>
    <col min="42" max="16384" width="9.1328125" style="3"/>
  </cols>
  <sheetData>
    <row r="1" spans="1:41" ht="18" customHeight="1" thickBot="1" x14ac:dyDescent="0.5">
      <c r="A1" s="3" t="s">
        <v>376</v>
      </c>
      <c r="B1" s="59" t="s">
        <v>72</v>
      </c>
      <c r="C1" s="6">
        <v>3</v>
      </c>
      <c r="E1" s="376" t="s">
        <v>39</v>
      </c>
      <c r="F1" s="314"/>
      <c r="G1" s="377"/>
      <c r="H1" s="314"/>
      <c r="I1" s="378"/>
      <c r="J1" s="314"/>
      <c r="K1" s="314"/>
      <c r="L1" s="314"/>
      <c r="M1" s="314"/>
      <c r="N1" s="314"/>
      <c r="O1" s="377"/>
      <c r="P1" s="314"/>
      <c r="Q1" s="314"/>
      <c r="R1" s="314"/>
      <c r="S1" s="314"/>
      <c r="T1" s="314"/>
      <c r="U1" s="314"/>
      <c r="V1" s="314"/>
      <c r="W1" s="314"/>
      <c r="X1" s="314"/>
      <c r="Y1" s="314"/>
      <c r="Z1" s="314"/>
      <c r="AA1" s="314"/>
      <c r="AB1" s="314"/>
      <c r="AC1" s="314"/>
      <c r="AD1" s="314"/>
      <c r="AE1" s="314"/>
      <c r="AF1" s="314"/>
      <c r="AG1" s="314"/>
      <c r="AH1" s="314"/>
      <c r="AI1" s="314"/>
      <c r="AJ1" s="314"/>
      <c r="AK1" s="314"/>
      <c r="AL1" s="86"/>
      <c r="AM1" s="86"/>
      <c r="AN1" s="86"/>
      <c r="AO1" s="86"/>
    </row>
    <row r="2" spans="1:41" s="150" customFormat="1" ht="14.25" customHeight="1" thickTop="1" x14ac:dyDescent="0.45">
      <c r="C2" s="70"/>
      <c r="D2" s="70"/>
      <c r="E2" s="379">
        <f t="array" aca="1" ref="E2" ca="1">IFERROR(INDEX(INDIRECT($E$8),MATCH(0,COUNTIF(E$1:$E1,INDIRECT($E$8)&amp;""),0)),"")</f>
        <v>0</v>
      </c>
      <c r="F2" s="380">
        <f t="shared" ref="F2:U6" ca="1" si="0">SUMIFS(F$14:F$1400,$E$14:$E$1400,$E2)</f>
        <v>0</v>
      </c>
      <c r="G2" s="380">
        <f t="shared" ca="1" si="0"/>
        <v>0</v>
      </c>
      <c r="H2" s="380">
        <f t="shared" ca="1" si="0"/>
        <v>0</v>
      </c>
      <c r="I2" s="380"/>
      <c r="J2" s="380">
        <f t="shared" ca="1" si="0"/>
        <v>0</v>
      </c>
      <c r="K2" s="380">
        <f t="shared" ca="1" si="0"/>
        <v>0</v>
      </c>
      <c r="L2" s="380">
        <f t="shared" ca="1" si="0"/>
        <v>0</v>
      </c>
      <c r="M2" s="380">
        <f t="shared" ca="1" si="0"/>
        <v>0</v>
      </c>
      <c r="N2" s="380">
        <f t="shared" ca="1" si="0"/>
        <v>0</v>
      </c>
      <c r="O2" s="381">
        <f t="shared" ca="1" si="0"/>
        <v>0</v>
      </c>
      <c r="P2" s="380">
        <f t="shared" ca="1" si="0"/>
        <v>0</v>
      </c>
      <c r="Q2" s="380">
        <f t="shared" ca="1" si="0"/>
        <v>0</v>
      </c>
      <c r="R2" s="380">
        <f t="shared" ca="1" si="0"/>
        <v>0</v>
      </c>
      <c r="S2" s="380">
        <f t="shared" ca="1" si="0"/>
        <v>0</v>
      </c>
      <c r="T2" s="380">
        <f t="shared" ca="1" si="0"/>
        <v>0</v>
      </c>
      <c r="U2" s="380">
        <f t="shared" ca="1" si="0"/>
        <v>0</v>
      </c>
      <c r="V2" s="380">
        <f t="shared" ref="V2:AJ6" ca="1" si="1">SUMIFS(V$14:V$1400,$E$14:$E$1400,$E2)</f>
        <v>0</v>
      </c>
      <c r="W2" s="380">
        <f t="shared" ca="1" si="1"/>
        <v>0</v>
      </c>
      <c r="X2" s="380">
        <f ca="1">SUMIFS(X$14:X$1400,$E$14:$E$1400,$E2)</f>
        <v>0</v>
      </c>
      <c r="Y2" s="380"/>
      <c r="Z2" s="380">
        <f t="shared" ca="1" si="1"/>
        <v>0</v>
      </c>
      <c r="AA2" s="380">
        <f t="shared" ca="1" si="1"/>
        <v>0</v>
      </c>
      <c r="AB2" s="380">
        <f t="shared" ca="1" si="1"/>
        <v>0</v>
      </c>
      <c r="AC2" s="380">
        <f t="shared" ca="1" si="1"/>
        <v>0</v>
      </c>
      <c r="AD2" s="380">
        <f t="shared" ca="1" si="1"/>
        <v>0</v>
      </c>
      <c r="AE2" s="380">
        <f t="shared" ca="1" si="1"/>
        <v>0</v>
      </c>
      <c r="AF2" s="382">
        <f t="shared" ca="1" si="1"/>
        <v>0</v>
      </c>
      <c r="AG2" s="382">
        <f t="shared" ca="1" si="1"/>
        <v>0</v>
      </c>
      <c r="AH2" s="380">
        <f t="shared" ca="1" si="1"/>
        <v>0</v>
      </c>
      <c r="AI2" s="380">
        <f t="shared" ca="1" si="1"/>
        <v>0</v>
      </c>
      <c r="AJ2" s="380">
        <f t="shared" ca="1" si="1"/>
        <v>0</v>
      </c>
      <c r="AK2" s="383"/>
      <c r="AL2" s="86"/>
      <c r="AM2" s="86"/>
      <c r="AN2" s="86"/>
      <c r="AO2" s="86"/>
    </row>
    <row r="3" spans="1:41" s="150" customFormat="1" ht="14.25" customHeight="1" x14ac:dyDescent="0.45">
      <c r="C3" s="70"/>
      <c r="D3" s="70"/>
      <c r="E3" s="379">
        <f t="array" aca="1" ref="E3" ca="1">IFERROR(INDEX(INDIRECT($E$8),MATCH(0,COUNTIF(E$1:$E2,INDIRECT($E$8)&amp;""),0)),"")</f>
        <v>0</v>
      </c>
      <c r="F3" s="384">
        <f t="shared" ca="1" si="0"/>
        <v>0</v>
      </c>
      <c r="G3" s="384">
        <f t="shared" ca="1" si="0"/>
        <v>0</v>
      </c>
      <c r="H3" s="384">
        <f ca="1">SUMIFS(H$14:H$1400,$E$14:$E$1400,$E3)</f>
        <v>0</v>
      </c>
      <c r="I3" s="384"/>
      <c r="J3" s="384">
        <f t="shared" ca="1" si="0"/>
        <v>0</v>
      </c>
      <c r="K3" s="384">
        <f t="shared" ca="1" si="0"/>
        <v>0</v>
      </c>
      <c r="L3" s="384">
        <f t="shared" ca="1" si="0"/>
        <v>0</v>
      </c>
      <c r="M3" s="384">
        <f t="shared" ca="1" si="0"/>
        <v>0</v>
      </c>
      <c r="N3" s="384">
        <f t="shared" ca="1" si="0"/>
        <v>0</v>
      </c>
      <c r="O3" s="385">
        <f t="shared" ca="1" si="0"/>
        <v>0</v>
      </c>
      <c r="P3" s="384">
        <f t="shared" ca="1" si="0"/>
        <v>0</v>
      </c>
      <c r="Q3" s="384">
        <f t="shared" ca="1" si="0"/>
        <v>0</v>
      </c>
      <c r="R3" s="384">
        <f t="shared" ca="1" si="0"/>
        <v>0</v>
      </c>
      <c r="S3" s="384">
        <f t="shared" ca="1" si="0"/>
        <v>0</v>
      </c>
      <c r="T3" s="384">
        <f t="shared" ca="1" si="0"/>
        <v>0</v>
      </c>
      <c r="U3" s="384">
        <f t="shared" ca="1" si="0"/>
        <v>0</v>
      </c>
      <c r="V3" s="384">
        <f t="shared" ca="1" si="1"/>
        <v>0</v>
      </c>
      <c r="W3" s="384">
        <f t="shared" ca="1" si="1"/>
        <v>0</v>
      </c>
      <c r="X3" s="384">
        <f ca="1">SUMIFS(X$14:X$1400,$E$14:$E$1400,$E3)</f>
        <v>0</v>
      </c>
      <c r="Y3" s="384"/>
      <c r="Z3" s="384">
        <f t="shared" ca="1" si="1"/>
        <v>0</v>
      </c>
      <c r="AA3" s="384">
        <f t="shared" ca="1" si="1"/>
        <v>0</v>
      </c>
      <c r="AB3" s="384">
        <f t="shared" ca="1" si="1"/>
        <v>0</v>
      </c>
      <c r="AC3" s="384">
        <f t="shared" ca="1" si="1"/>
        <v>0</v>
      </c>
      <c r="AD3" s="384">
        <f t="shared" ca="1" si="1"/>
        <v>0</v>
      </c>
      <c r="AE3" s="384">
        <f t="shared" ca="1" si="1"/>
        <v>0</v>
      </c>
      <c r="AF3" s="386">
        <f t="shared" ca="1" si="1"/>
        <v>0</v>
      </c>
      <c r="AG3" s="386">
        <f t="shared" ca="1" si="1"/>
        <v>0</v>
      </c>
      <c r="AH3" s="384">
        <f t="shared" ca="1" si="1"/>
        <v>0</v>
      </c>
      <c r="AI3" s="384">
        <f t="shared" ca="1" si="1"/>
        <v>0</v>
      </c>
      <c r="AJ3" s="384">
        <f t="shared" ca="1" si="1"/>
        <v>0</v>
      </c>
      <c r="AK3" s="387"/>
      <c r="AL3" s="86"/>
      <c r="AM3" s="86"/>
      <c r="AN3" s="86"/>
      <c r="AO3" s="86"/>
    </row>
    <row r="4" spans="1:41" ht="14.25" customHeight="1" x14ac:dyDescent="0.45">
      <c r="E4" s="379">
        <f t="array" aca="1" ref="E4" ca="1">IFERROR(INDEX(INDIRECT($E$8),MATCH(0,COUNTIF(E$1:$E3,INDIRECT($E$8)&amp;""),0)),"")</f>
        <v>0</v>
      </c>
      <c r="F4" s="384">
        <f t="shared" ca="1" si="0"/>
        <v>0</v>
      </c>
      <c r="G4" s="384">
        <f t="shared" ca="1" si="0"/>
        <v>0</v>
      </c>
      <c r="H4" s="384">
        <f t="shared" ca="1" si="0"/>
        <v>0</v>
      </c>
      <c r="I4" s="384"/>
      <c r="J4" s="384">
        <f t="shared" ca="1" si="0"/>
        <v>0</v>
      </c>
      <c r="K4" s="384">
        <f t="shared" ca="1" si="0"/>
        <v>0</v>
      </c>
      <c r="L4" s="384">
        <f t="shared" ca="1" si="0"/>
        <v>0</v>
      </c>
      <c r="M4" s="384">
        <f t="shared" ca="1" si="0"/>
        <v>0</v>
      </c>
      <c r="N4" s="384">
        <f t="shared" ca="1" si="0"/>
        <v>0</v>
      </c>
      <c r="O4" s="385">
        <f t="shared" ca="1" si="0"/>
        <v>0</v>
      </c>
      <c r="P4" s="384">
        <f t="shared" ca="1" si="0"/>
        <v>0</v>
      </c>
      <c r="Q4" s="384">
        <f t="shared" ca="1" si="0"/>
        <v>0</v>
      </c>
      <c r="R4" s="384">
        <f t="shared" ca="1" si="0"/>
        <v>0</v>
      </c>
      <c r="S4" s="384">
        <f t="shared" ca="1" si="0"/>
        <v>0</v>
      </c>
      <c r="T4" s="384">
        <f t="shared" ca="1" si="0"/>
        <v>0</v>
      </c>
      <c r="U4" s="384">
        <f t="shared" ca="1" si="0"/>
        <v>0</v>
      </c>
      <c r="V4" s="384">
        <f t="shared" ca="1" si="1"/>
        <v>0</v>
      </c>
      <c r="W4" s="384">
        <f t="shared" ca="1" si="1"/>
        <v>0</v>
      </c>
      <c r="X4" s="384">
        <f t="shared" ca="1" si="1"/>
        <v>0</v>
      </c>
      <c r="Y4" s="384"/>
      <c r="Z4" s="384">
        <f t="shared" ca="1" si="1"/>
        <v>0</v>
      </c>
      <c r="AA4" s="384">
        <f t="shared" ca="1" si="1"/>
        <v>0</v>
      </c>
      <c r="AB4" s="384">
        <f t="shared" ca="1" si="1"/>
        <v>0</v>
      </c>
      <c r="AC4" s="384">
        <f t="shared" ca="1" si="1"/>
        <v>0</v>
      </c>
      <c r="AD4" s="384">
        <f t="shared" ca="1" si="1"/>
        <v>0</v>
      </c>
      <c r="AE4" s="384">
        <f t="shared" ca="1" si="1"/>
        <v>0</v>
      </c>
      <c r="AF4" s="384">
        <f t="shared" ca="1" si="1"/>
        <v>0</v>
      </c>
      <c r="AG4" s="384">
        <f t="shared" ca="1" si="1"/>
        <v>0</v>
      </c>
      <c r="AH4" s="384">
        <f t="shared" ca="1" si="1"/>
        <v>0</v>
      </c>
      <c r="AI4" s="384">
        <f t="shared" ca="1" si="1"/>
        <v>0</v>
      </c>
      <c r="AJ4" s="384">
        <f t="shared" ca="1" si="1"/>
        <v>0</v>
      </c>
      <c r="AK4" s="387"/>
      <c r="AL4" s="86"/>
      <c r="AM4" s="86"/>
      <c r="AN4" s="86"/>
      <c r="AO4" s="86"/>
    </row>
    <row r="5" spans="1:41" ht="14.25" customHeight="1" x14ac:dyDescent="0.45">
      <c r="E5" s="379">
        <f t="array" aca="1" ref="E5" ca="1">IFERROR(INDEX(INDIRECT($E$8),MATCH(0,COUNTIF(E$1:$E4,INDIRECT($E$8)&amp;""),0)),"")</f>
        <v>0</v>
      </c>
      <c r="F5" s="384">
        <f t="shared" ca="1" si="0"/>
        <v>0</v>
      </c>
      <c r="G5" s="384">
        <f t="shared" ca="1" si="0"/>
        <v>0</v>
      </c>
      <c r="H5" s="384">
        <f t="shared" ca="1" si="0"/>
        <v>0</v>
      </c>
      <c r="I5" s="384"/>
      <c r="J5" s="384">
        <f t="shared" ca="1" si="0"/>
        <v>0</v>
      </c>
      <c r="K5" s="384">
        <f t="shared" ca="1" si="0"/>
        <v>0</v>
      </c>
      <c r="L5" s="384">
        <f t="shared" ca="1" si="0"/>
        <v>0</v>
      </c>
      <c r="M5" s="384">
        <f t="shared" ca="1" si="0"/>
        <v>0</v>
      </c>
      <c r="N5" s="384">
        <f t="shared" ca="1" si="0"/>
        <v>0</v>
      </c>
      <c r="O5" s="385">
        <f t="shared" ca="1" si="0"/>
        <v>0</v>
      </c>
      <c r="P5" s="384">
        <f t="shared" ca="1" si="0"/>
        <v>0</v>
      </c>
      <c r="Q5" s="384">
        <f t="shared" ca="1" si="0"/>
        <v>0</v>
      </c>
      <c r="R5" s="384">
        <f t="shared" ca="1" si="0"/>
        <v>0</v>
      </c>
      <c r="S5" s="384">
        <f t="shared" ca="1" si="0"/>
        <v>0</v>
      </c>
      <c r="T5" s="384">
        <f t="shared" ca="1" si="0"/>
        <v>0</v>
      </c>
      <c r="U5" s="384">
        <f t="shared" ca="1" si="0"/>
        <v>0</v>
      </c>
      <c r="V5" s="384">
        <f t="shared" ca="1" si="1"/>
        <v>0</v>
      </c>
      <c r="W5" s="384">
        <f t="shared" ca="1" si="1"/>
        <v>0</v>
      </c>
      <c r="X5" s="384">
        <f t="shared" ca="1" si="1"/>
        <v>0</v>
      </c>
      <c r="Y5" s="384"/>
      <c r="Z5" s="384">
        <f t="shared" ca="1" si="1"/>
        <v>0</v>
      </c>
      <c r="AA5" s="384">
        <f t="shared" ca="1" si="1"/>
        <v>0</v>
      </c>
      <c r="AB5" s="384">
        <f t="shared" ca="1" si="1"/>
        <v>0</v>
      </c>
      <c r="AC5" s="384">
        <f t="shared" ca="1" si="1"/>
        <v>0</v>
      </c>
      <c r="AD5" s="384">
        <f t="shared" ca="1" si="1"/>
        <v>0</v>
      </c>
      <c r="AE5" s="384">
        <f t="shared" ca="1" si="1"/>
        <v>0</v>
      </c>
      <c r="AF5" s="384">
        <f t="shared" ca="1" si="1"/>
        <v>0</v>
      </c>
      <c r="AG5" s="384">
        <f t="shared" ca="1" si="1"/>
        <v>0</v>
      </c>
      <c r="AH5" s="384">
        <f t="shared" ca="1" si="1"/>
        <v>0</v>
      </c>
      <c r="AI5" s="384">
        <f t="shared" ca="1" si="1"/>
        <v>0</v>
      </c>
      <c r="AJ5" s="384">
        <f t="shared" ca="1" si="1"/>
        <v>0</v>
      </c>
      <c r="AK5" s="387"/>
      <c r="AL5" s="86"/>
      <c r="AM5" s="86"/>
      <c r="AN5" s="86"/>
      <c r="AO5" s="86"/>
    </row>
    <row r="6" spans="1:41" ht="13.5" customHeight="1" x14ac:dyDescent="0.45">
      <c r="E6" s="379">
        <f t="array" aca="1" ref="E6" ca="1">IFERROR(INDEX(INDIRECT($E$8),MATCH(0,COUNTIF(E$1:$E5,INDIRECT($E$8)&amp;""),0)),"")</f>
        <v>0</v>
      </c>
      <c r="F6" s="384">
        <f t="shared" ca="1" si="0"/>
        <v>0</v>
      </c>
      <c r="G6" s="384">
        <f t="shared" ca="1" si="0"/>
        <v>0</v>
      </c>
      <c r="H6" s="384">
        <f t="shared" ca="1" si="0"/>
        <v>0</v>
      </c>
      <c r="I6" s="384"/>
      <c r="J6" s="384">
        <f t="shared" ca="1" si="0"/>
        <v>0</v>
      </c>
      <c r="K6" s="384">
        <f t="shared" ca="1" si="0"/>
        <v>0</v>
      </c>
      <c r="L6" s="384">
        <f t="shared" ca="1" si="0"/>
        <v>0</v>
      </c>
      <c r="M6" s="384">
        <f t="shared" ca="1" si="0"/>
        <v>0</v>
      </c>
      <c r="N6" s="384">
        <f t="shared" ca="1" si="0"/>
        <v>0</v>
      </c>
      <c r="O6" s="385">
        <f t="shared" ca="1" si="0"/>
        <v>0</v>
      </c>
      <c r="P6" s="384">
        <f t="shared" ca="1" si="0"/>
        <v>0</v>
      </c>
      <c r="Q6" s="384">
        <f t="shared" ca="1" si="0"/>
        <v>0</v>
      </c>
      <c r="R6" s="384">
        <f t="shared" ca="1" si="0"/>
        <v>0</v>
      </c>
      <c r="S6" s="384">
        <f t="shared" ca="1" si="0"/>
        <v>0</v>
      </c>
      <c r="T6" s="384">
        <f t="shared" ca="1" si="0"/>
        <v>0</v>
      </c>
      <c r="U6" s="384">
        <f t="shared" ca="1" si="0"/>
        <v>0</v>
      </c>
      <c r="V6" s="384">
        <f t="shared" ca="1" si="1"/>
        <v>0</v>
      </c>
      <c r="W6" s="384">
        <f t="shared" ca="1" si="1"/>
        <v>0</v>
      </c>
      <c r="X6" s="384">
        <f ca="1">SUMIFS(X$14:X$1400,$E$14:$E$1400,$E6)</f>
        <v>0</v>
      </c>
      <c r="Y6" s="384"/>
      <c r="Z6" s="384">
        <f t="shared" ca="1" si="1"/>
        <v>0</v>
      </c>
      <c r="AA6" s="384">
        <f t="shared" ca="1" si="1"/>
        <v>0</v>
      </c>
      <c r="AB6" s="384">
        <f t="shared" ca="1" si="1"/>
        <v>0</v>
      </c>
      <c r="AC6" s="384">
        <f t="shared" ca="1" si="1"/>
        <v>0</v>
      </c>
      <c r="AD6" s="384">
        <f t="shared" ca="1" si="1"/>
        <v>0</v>
      </c>
      <c r="AE6" s="384">
        <f t="shared" ca="1" si="1"/>
        <v>0</v>
      </c>
      <c r="AF6" s="384">
        <f t="shared" ca="1" si="1"/>
        <v>0</v>
      </c>
      <c r="AG6" s="384">
        <f t="shared" ca="1" si="1"/>
        <v>0</v>
      </c>
      <c r="AH6" s="384">
        <f t="shared" ca="1" si="1"/>
        <v>0</v>
      </c>
      <c r="AI6" s="384">
        <f t="shared" ca="1" si="1"/>
        <v>0</v>
      </c>
      <c r="AJ6" s="384">
        <f t="shared" ca="1" si="1"/>
        <v>0</v>
      </c>
      <c r="AK6" s="387"/>
      <c r="AL6" s="86"/>
      <c r="AM6" s="86"/>
      <c r="AN6" s="86"/>
      <c r="AO6" s="86"/>
    </row>
    <row r="7" spans="1:41" s="58" customFormat="1" ht="19.7" customHeight="1" x14ac:dyDescent="0.45">
      <c r="C7" s="61">
        <f ca="1">COUNTIF(I14:I1400,"&gt;0")</f>
        <v>0</v>
      </c>
      <c r="D7" s="61"/>
      <c r="E7" s="64" t="s">
        <v>82</v>
      </c>
      <c r="F7" s="63">
        <f ca="1">SUM(F2:F6)</f>
        <v>0</v>
      </c>
      <c r="G7" s="63">
        <f ca="1">SUM(G2:G6)</f>
        <v>0</v>
      </c>
      <c r="H7" s="63">
        <f t="shared" ref="H7:AJ7" ca="1" si="2">SUM(H2:H6)</f>
        <v>0</v>
      </c>
      <c r="I7" s="63"/>
      <c r="J7" s="63">
        <f t="shared" ca="1" si="2"/>
        <v>0</v>
      </c>
      <c r="K7" s="63">
        <f t="shared" ca="1" si="2"/>
        <v>0</v>
      </c>
      <c r="L7" s="63">
        <f t="shared" ca="1" si="2"/>
        <v>0</v>
      </c>
      <c r="M7" s="63">
        <f t="shared" ca="1" si="2"/>
        <v>0</v>
      </c>
      <c r="N7" s="63">
        <f t="shared" ca="1" si="2"/>
        <v>0</v>
      </c>
      <c r="O7" s="212">
        <f t="shared" ca="1" si="2"/>
        <v>0</v>
      </c>
      <c r="P7" s="63">
        <f t="shared" ca="1" si="2"/>
        <v>0</v>
      </c>
      <c r="Q7" s="63">
        <f t="shared" ca="1" si="2"/>
        <v>0</v>
      </c>
      <c r="R7" s="63">
        <f t="shared" ca="1" si="2"/>
        <v>0</v>
      </c>
      <c r="S7" s="63">
        <f t="shared" ca="1" si="2"/>
        <v>0</v>
      </c>
      <c r="T7" s="63">
        <f t="shared" ca="1" si="2"/>
        <v>0</v>
      </c>
      <c r="U7" s="63">
        <f t="shared" ca="1" si="2"/>
        <v>0</v>
      </c>
      <c r="V7" s="63">
        <f t="shared" ca="1" si="2"/>
        <v>0</v>
      </c>
      <c r="W7" s="63">
        <f t="shared" ca="1" si="2"/>
        <v>0</v>
      </c>
      <c r="X7" s="63">
        <f t="shared" ca="1" si="2"/>
        <v>0</v>
      </c>
      <c r="Y7" s="63"/>
      <c r="Z7" s="63">
        <f t="shared" ca="1" si="2"/>
        <v>0</v>
      </c>
      <c r="AA7" s="63">
        <f t="shared" ca="1" si="2"/>
        <v>0</v>
      </c>
      <c r="AB7" s="63">
        <f t="shared" ca="1" si="2"/>
        <v>0</v>
      </c>
      <c r="AC7" s="63">
        <f t="shared" ca="1" si="2"/>
        <v>0</v>
      </c>
      <c r="AD7" s="63">
        <f t="shared" ca="1" si="2"/>
        <v>0</v>
      </c>
      <c r="AE7" s="63">
        <f t="shared" ca="1" si="2"/>
        <v>0</v>
      </c>
      <c r="AF7" s="63">
        <f t="shared" ca="1" si="2"/>
        <v>0</v>
      </c>
      <c r="AG7" s="63">
        <f t="shared" ca="1" si="2"/>
        <v>0</v>
      </c>
      <c r="AH7" s="63">
        <f t="shared" ca="1" si="2"/>
        <v>0</v>
      </c>
      <c r="AI7" s="63">
        <f t="shared" ca="1" si="2"/>
        <v>0</v>
      </c>
      <c r="AJ7" s="63">
        <f t="shared" ca="1" si="2"/>
        <v>0</v>
      </c>
      <c r="AK7" s="62"/>
      <c r="AL7" s="86"/>
      <c r="AM7" s="86"/>
      <c r="AN7" s="86"/>
      <c r="AO7" s="86"/>
    </row>
    <row r="8" spans="1:41" s="58" customFormat="1" ht="19.7" customHeight="1" x14ac:dyDescent="0.45">
      <c r="A8" s="55"/>
      <c r="B8" s="55"/>
      <c r="C8" s="56"/>
      <c r="D8" s="56"/>
      <c r="E8" s="91" t="str">
        <f ca="1">"$E$14:$E$"&amp;COUNTA(E14:E1000)+14</f>
        <v>$E$14:$E$16</v>
      </c>
      <c r="F8" s="57">
        <f ca="1">SUBTOTAL(9,F$14:F$1400)</f>
        <v>0</v>
      </c>
      <c r="G8" s="57">
        <f ca="1">SUBTOTAL(9,G$14:G$1400)</f>
        <v>0</v>
      </c>
      <c r="H8" s="57">
        <f t="shared" ref="H8:AJ8" ca="1" si="3">SUBTOTAL(9,H$14:H$1400)</f>
        <v>0</v>
      </c>
      <c r="I8" s="57"/>
      <c r="J8" s="57">
        <f t="shared" ca="1" si="3"/>
        <v>0</v>
      </c>
      <c r="K8" s="57">
        <f t="shared" ca="1" si="3"/>
        <v>0</v>
      </c>
      <c r="L8" s="57">
        <f t="shared" si="3"/>
        <v>0</v>
      </c>
      <c r="M8" s="57">
        <f t="shared" ca="1" si="3"/>
        <v>0</v>
      </c>
      <c r="N8" s="57">
        <f t="shared" ca="1" si="3"/>
        <v>0</v>
      </c>
      <c r="O8" s="213">
        <f t="shared" si="3"/>
        <v>0</v>
      </c>
      <c r="P8" s="57">
        <f t="shared" ca="1" si="3"/>
        <v>0</v>
      </c>
      <c r="Q8" s="57">
        <f t="shared" si="3"/>
        <v>0</v>
      </c>
      <c r="R8" s="57">
        <f t="shared" ca="1" si="3"/>
        <v>0</v>
      </c>
      <c r="S8" s="57">
        <f t="shared" si="3"/>
        <v>0</v>
      </c>
      <c r="T8" s="57">
        <f t="shared" si="3"/>
        <v>0</v>
      </c>
      <c r="U8" s="57">
        <f t="shared" si="3"/>
        <v>0</v>
      </c>
      <c r="V8" s="57">
        <f t="shared" ca="1" si="3"/>
        <v>0</v>
      </c>
      <c r="W8" s="57">
        <f t="shared" ca="1" si="3"/>
        <v>0</v>
      </c>
      <c r="X8" s="57">
        <f t="shared" ca="1" si="3"/>
        <v>0</v>
      </c>
      <c r="Y8" s="57"/>
      <c r="Z8" s="57">
        <f t="shared" ca="1" si="3"/>
        <v>0</v>
      </c>
      <c r="AA8" s="57">
        <f t="shared" ca="1" si="3"/>
        <v>0</v>
      </c>
      <c r="AB8" s="57">
        <f t="shared" ca="1" si="3"/>
        <v>0</v>
      </c>
      <c r="AC8" s="57">
        <f t="shared" ca="1" si="3"/>
        <v>0</v>
      </c>
      <c r="AD8" s="57">
        <f t="shared" ca="1" si="3"/>
        <v>0</v>
      </c>
      <c r="AE8" s="57">
        <f t="shared" ca="1" si="3"/>
        <v>0</v>
      </c>
      <c r="AF8" s="57">
        <f t="shared" si="3"/>
        <v>0</v>
      </c>
      <c r="AG8" s="57">
        <f t="shared" si="3"/>
        <v>0</v>
      </c>
      <c r="AH8" s="57">
        <f t="shared" ca="1" si="3"/>
        <v>0</v>
      </c>
      <c r="AI8" s="57">
        <f t="shared" ca="1" si="3"/>
        <v>0</v>
      </c>
      <c r="AJ8" s="57">
        <f t="shared" ca="1" si="3"/>
        <v>0</v>
      </c>
      <c r="AK8" s="57"/>
      <c r="AL8" s="86"/>
      <c r="AM8" s="86"/>
      <c r="AN8" s="86"/>
      <c r="AO8" s="86"/>
    </row>
    <row r="9" spans="1:41" x14ac:dyDescent="0.45">
      <c r="A9" s="26"/>
      <c r="B9" s="26"/>
      <c r="C9" s="43"/>
      <c r="D9" s="43"/>
      <c r="E9" s="26"/>
      <c r="F9" s="26"/>
      <c r="G9" s="26"/>
      <c r="H9" s="26"/>
      <c r="I9" s="52"/>
      <c r="J9" s="54"/>
      <c r="K9" s="609" t="s">
        <v>111</v>
      </c>
      <c r="L9" s="590"/>
      <c r="M9" s="590"/>
      <c r="N9" s="590"/>
      <c r="O9" s="606" t="s">
        <v>369</v>
      </c>
      <c r="P9" s="606"/>
      <c r="Q9" s="611" t="s">
        <v>49</v>
      </c>
      <c r="R9" s="612"/>
      <c r="S9" s="613"/>
      <c r="T9" s="613"/>
      <c r="U9" s="163"/>
      <c r="V9" s="95"/>
      <c r="W9" s="604" t="s">
        <v>53</v>
      </c>
      <c r="X9" s="604"/>
      <c r="Y9" s="604"/>
      <c r="Z9" s="604"/>
      <c r="AA9" s="605"/>
      <c r="AB9" s="92"/>
      <c r="AC9" s="607" t="s">
        <v>56</v>
      </c>
      <c r="AD9" s="608"/>
      <c r="AE9" s="608"/>
      <c r="AF9" s="608"/>
      <c r="AG9" s="608"/>
      <c r="AH9" s="94"/>
      <c r="AI9" s="94"/>
      <c r="AJ9" s="26"/>
      <c r="AK9" s="42"/>
      <c r="AL9" s="86"/>
      <c r="AM9" s="86"/>
      <c r="AN9" s="86"/>
      <c r="AO9" s="86"/>
    </row>
    <row r="10" spans="1:41" ht="15" customHeight="1" x14ac:dyDescent="0.45">
      <c r="A10" s="622" t="s">
        <v>1</v>
      </c>
      <c r="B10" s="622" t="s">
        <v>2</v>
      </c>
      <c r="C10" s="622" t="s">
        <v>3</v>
      </c>
      <c r="D10" s="622" t="s">
        <v>4</v>
      </c>
      <c r="E10" s="622" t="s">
        <v>39</v>
      </c>
      <c r="F10" s="622" t="s">
        <v>6</v>
      </c>
      <c r="G10" s="622" t="s">
        <v>7</v>
      </c>
      <c r="H10" s="622" t="s">
        <v>40</v>
      </c>
      <c r="I10" s="625" t="s">
        <v>42</v>
      </c>
      <c r="J10" s="622" t="s">
        <v>41</v>
      </c>
      <c r="K10" s="618" t="s">
        <v>298</v>
      </c>
      <c r="L10" s="610" t="s">
        <v>44</v>
      </c>
      <c r="M10" s="610"/>
      <c r="N10" s="618" t="s">
        <v>299</v>
      </c>
      <c r="O10" s="214"/>
      <c r="P10" s="191"/>
      <c r="Q10" s="614" t="s">
        <v>79</v>
      </c>
      <c r="R10" s="614"/>
      <c r="S10" s="190"/>
      <c r="T10" s="192"/>
      <c r="U10" s="193"/>
      <c r="V10" s="96"/>
      <c r="W10" s="32"/>
      <c r="X10" s="26"/>
      <c r="Y10" s="26"/>
      <c r="Z10" s="26"/>
      <c r="AA10" s="32"/>
      <c r="AB10" s="599" t="s">
        <v>57</v>
      </c>
      <c r="AC10" s="615" t="s">
        <v>58</v>
      </c>
      <c r="AD10" s="616"/>
      <c r="AE10" s="615"/>
      <c r="AF10" s="616"/>
      <c r="AG10" s="617"/>
      <c r="AH10" s="599" t="s">
        <v>59</v>
      </c>
      <c r="AI10" s="632" t="s">
        <v>61</v>
      </c>
      <c r="AJ10" s="35"/>
      <c r="AK10" s="35"/>
      <c r="AL10" s="86"/>
      <c r="AM10" s="86"/>
      <c r="AN10" s="86"/>
      <c r="AO10" s="86"/>
    </row>
    <row r="11" spans="1:41" s="4" customFormat="1" ht="33" customHeight="1" x14ac:dyDescent="0.45">
      <c r="A11" s="622"/>
      <c r="B11" s="622"/>
      <c r="C11" s="622"/>
      <c r="D11" s="622"/>
      <c r="E11" s="622"/>
      <c r="F11" s="622"/>
      <c r="G11" s="622"/>
      <c r="H11" s="622"/>
      <c r="I11" s="625"/>
      <c r="J11" s="622"/>
      <c r="K11" s="619"/>
      <c r="L11" s="194" t="s">
        <v>45</v>
      </c>
      <c r="M11" s="195" t="s">
        <v>46</v>
      </c>
      <c r="N11" s="619"/>
      <c r="O11" s="185" t="s">
        <v>370</v>
      </c>
      <c r="P11" s="196" t="s">
        <v>371</v>
      </c>
      <c r="Q11" s="197" t="s">
        <v>51</v>
      </c>
      <c r="R11" s="198" t="s">
        <v>78</v>
      </c>
      <c r="S11" s="199" t="s">
        <v>50</v>
      </c>
      <c r="T11" s="200" t="s">
        <v>60</v>
      </c>
      <c r="U11" s="201" t="s">
        <v>77</v>
      </c>
      <c r="V11" s="97" t="s">
        <v>52</v>
      </c>
      <c r="W11" s="33" t="s">
        <v>43</v>
      </c>
      <c r="X11" s="196" t="s">
        <v>264</v>
      </c>
      <c r="Y11" s="196" t="s">
        <v>77</v>
      </c>
      <c r="Z11" s="103" t="s">
        <v>54</v>
      </c>
      <c r="AA11" s="33" t="s">
        <v>55</v>
      </c>
      <c r="AB11" s="599"/>
      <c r="AC11" s="25" t="s">
        <v>88</v>
      </c>
      <c r="AD11" s="28" t="s">
        <v>28</v>
      </c>
      <c r="AE11" s="34" t="s">
        <v>81</v>
      </c>
      <c r="AF11" s="126"/>
      <c r="AG11" s="30"/>
      <c r="AH11" s="599"/>
      <c r="AI11" s="632"/>
      <c r="AJ11" s="36" t="s">
        <v>62</v>
      </c>
      <c r="AK11" s="36" t="s">
        <v>63</v>
      </c>
      <c r="AL11" s="87"/>
      <c r="AM11" s="87"/>
      <c r="AN11" s="87"/>
      <c r="AO11" s="87"/>
    </row>
    <row r="12" spans="1:41" s="4" customFormat="1" ht="15" customHeight="1" x14ac:dyDescent="0.45">
      <c r="A12" s="29"/>
      <c r="B12" s="29"/>
      <c r="C12" s="29"/>
      <c r="D12" s="29"/>
      <c r="E12" s="29"/>
      <c r="F12" s="29"/>
      <c r="G12" s="602" t="str">
        <f>'1'!G12</f>
        <v>Link</v>
      </c>
      <c r="H12" s="603"/>
      <c r="I12" s="53"/>
      <c r="J12" s="29">
        <f>INDEX(Cham_Cong!$E$7:$P$8,1,MATCH(C1,Cham_Cong!$E$8:$P$8,0))</f>
        <v>27</v>
      </c>
      <c r="K12" s="40">
        <v>730000</v>
      </c>
      <c r="L12" s="160"/>
      <c r="M12" s="27">
        <v>1000000</v>
      </c>
      <c r="N12" s="41">
        <v>500000</v>
      </c>
      <c r="O12" s="167">
        <v>2</v>
      </c>
      <c r="P12" s="38"/>
      <c r="Q12" s="161">
        <f>Info!F9</f>
        <v>5</v>
      </c>
      <c r="R12" s="27">
        <f ca="1">Info!G10</f>
        <v>0</v>
      </c>
      <c r="S12" s="165"/>
      <c r="T12" s="166"/>
      <c r="U12" s="165"/>
      <c r="V12" s="98"/>
      <c r="W12" s="30"/>
      <c r="X12" s="29"/>
      <c r="Y12" s="29"/>
      <c r="Z12" s="29"/>
      <c r="AA12" s="30"/>
      <c r="AB12" s="93"/>
      <c r="AC12" s="37">
        <v>11000000</v>
      </c>
      <c r="AD12" s="37">
        <v>4400000</v>
      </c>
      <c r="AE12" s="39">
        <v>0.105</v>
      </c>
      <c r="AF12" s="39"/>
      <c r="AG12" s="39"/>
      <c r="AH12" s="93"/>
      <c r="AI12" s="93"/>
      <c r="AJ12" s="29"/>
      <c r="AK12" s="29"/>
      <c r="AL12" s="87"/>
      <c r="AM12" s="87"/>
      <c r="AN12" s="87"/>
      <c r="AO12" s="87"/>
    </row>
    <row r="13" spans="1:41" s="70" customFormat="1" x14ac:dyDescent="0.45">
      <c r="A13" s="49"/>
      <c r="B13" s="49" t="s">
        <v>24</v>
      </c>
      <c r="C13" s="89" t="s">
        <v>25</v>
      </c>
      <c r="D13" s="49" t="s">
        <v>26</v>
      </c>
      <c r="E13" s="49" t="s">
        <v>27</v>
      </c>
      <c r="F13" s="49" t="s">
        <v>28</v>
      </c>
      <c r="G13" s="49" t="s">
        <v>29</v>
      </c>
      <c r="H13" s="49" t="s">
        <v>185</v>
      </c>
      <c r="I13" s="90" t="s">
        <v>186</v>
      </c>
      <c r="J13" s="49" t="s">
        <v>80</v>
      </c>
      <c r="K13" s="49" t="s">
        <v>80</v>
      </c>
      <c r="L13" s="49" t="s">
        <v>391</v>
      </c>
      <c r="M13" s="49" t="s">
        <v>80</v>
      </c>
      <c r="N13" s="49" t="s">
        <v>80</v>
      </c>
      <c r="O13" s="49" t="s">
        <v>208</v>
      </c>
      <c r="P13" s="49" t="s">
        <v>80</v>
      </c>
      <c r="Q13" s="49"/>
      <c r="R13" s="49" t="s">
        <v>80</v>
      </c>
      <c r="S13" s="49" t="s">
        <v>80</v>
      </c>
      <c r="T13" s="49" t="s">
        <v>80</v>
      </c>
      <c r="U13" s="49" t="s">
        <v>80</v>
      </c>
      <c r="V13" s="49" t="s">
        <v>66</v>
      </c>
      <c r="W13" s="49"/>
      <c r="X13" s="49"/>
      <c r="Y13" s="49"/>
      <c r="Z13" s="49"/>
      <c r="AA13" s="49"/>
      <c r="AB13" s="49" t="s">
        <v>64</v>
      </c>
      <c r="AC13" s="49" t="s">
        <v>101</v>
      </c>
      <c r="AD13" s="49" t="s">
        <v>102</v>
      </c>
      <c r="AE13" s="49" t="s">
        <v>165</v>
      </c>
      <c r="AF13" s="49"/>
      <c r="AG13" s="49"/>
      <c r="AH13" s="49"/>
      <c r="AI13" s="49" t="s">
        <v>65</v>
      </c>
      <c r="AJ13" s="49" t="s">
        <v>67</v>
      </c>
      <c r="AK13" s="49"/>
      <c r="AL13" s="88" t="s">
        <v>32</v>
      </c>
      <c r="AM13" s="88" t="s">
        <v>33</v>
      </c>
      <c r="AN13" s="88" t="s">
        <v>34</v>
      </c>
      <c r="AO13" s="88" t="s">
        <v>35</v>
      </c>
    </row>
    <row r="14" spans="1:41" x14ac:dyDescent="0.45">
      <c r="A14" s="5">
        <f ca="1">IF(B14&lt;&gt;"",SUBTOTAL(3,$B$14:B14),"")</f>
        <v>1</v>
      </c>
      <c r="B14" s="3">
        <f ca="1">INDEX(INDIRECT(Danh_Sach!$N$1),ROWS($B$14:$B14),MATCH(B$13,INDIRECT(Danh_Sach!$N$2),0))</f>
        <v>0</v>
      </c>
      <c r="C14" s="5">
        <f ca="1">INDEX(INDIRECT(Danh_Sach!$N$1),ROWS($B$14:$B14),MATCH(C$13,INDIRECT(Danh_Sach!$N$2),0))</f>
        <v>0</v>
      </c>
      <c r="D14" s="5">
        <f ca="1">INDEX(INDIRECT(Danh_Sach!$N$1),ROWS($B$14:$B14),MATCH(D$13,INDIRECT(Danh_Sach!$N$2),0))</f>
        <v>0</v>
      </c>
      <c r="E14" s="5">
        <f ca="1">INDEX(INDIRECT(Danh_Sach!$N$1),ROWS($B$14:$B14),MATCH(E$13,INDIRECT(Danh_Sach!$N$2),0))</f>
        <v>0</v>
      </c>
      <c r="F14" s="5">
        <f t="array" aca="1" ref="F14" ca="1">INDEX(INDIRECT(NPT!$W$1),ROWS($B$14:B14),MATCH($C$1,INDIRECT(NPT!$W$2),0))</f>
        <v>0</v>
      </c>
      <c r="G14" s="11">
        <f ca="1">IF(AND($G$12="Link",H14&lt;&gt;0),H14,INDEX(INDIRECT(Danh_Sach!$N$1),ROWS($B$14:$B14),MATCH(G$13,INDIRECT(Danh_Sach!$N$2),0)))</f>
        <v>0</v>
      </c>
      <c r="H14" s="11">
        <f ca="1">IFERROR(INDEX(INDIRECT(BaoHiem!$A$3),ROWS($B$14:$B14),MATCH($C$1,INDIRECT(BaoHiem!$A$4),0)),0)</f>
        <v>0</v>
      </c>
      <c r="I14" s="72">
        <f t="array" aca="1" ref="I14" ca="1">INDEX(INDIRECT(Cham_Cong!$T$3),ROWS($B$14:B14),MATCH($C$1,INDIRECT(Cham_Cong!$T$4),0))</f>
        <v>0</v>
      </c>
      <c r="J14" s="11">
        <f ca="1">G14/$J$12*I14</f>
        <v>0</v>
      </c>
      <c r="K14" s="11">
        <f ca="1">IF(I14&gt;0,$K$12,0)</f>
        <v>0</v>
      </c>
      <c r="L14" s="11"/>
      <c r="M14" s="22">
        <f ca="1">IF(I14=0,0,$M$12*L14)</f>
        <v>0</v>
      </c>
      <c r="N14" s="11">
        <f ca="1">IF(I14&gt;0,$N$12,0)</f>
        <v>0</v>
      </c>
      <c r="P14" s="22">
        <f ca="1">IF(I14=0,0,ROUND(O14*$O$12*(G14/$J$12/8),0))</f>
        <v>0</v>
      </c>
      <c r="R14" s="11">
        <f ca="1">IF(I14&gt;0,$R$12*Q14,0)</f>
        <v>0</v>
      </c>
      <c r="S14" s="11"/>
      <c r="V14" s="11">
        <f ca="1">IF(I14=0,0,SUMIF($J$13:$U$13,"i_gross",J14:U14))</f>
        <v>0</v>
      </c>
      <c r="W14" s="22">
        <f ca="1">K14</f>
        <v>0</v>
      </c>
      <c r="X14" s="22">
        <f ca="1">M14+N14</f>
        <v>0</v>
      </c>
      <c r="Y14" s="22">
        <f>U14</f>
        <v>0</v>
      </c>
      <c r="Z14" s="22">
        <f ca="1">P14-P14/$O$12</f>
        <v>0</v>
      </c>
      <c r="AA14" s="22">
        <f ca="1">SUM(W14:Z14)</f>
        <v>0</v>
      </c>
      <c r="AB14" s="22">
        <f ca="1">IF(I14=0,0,V14-AA14)</f>
        <v>0</v>
      </c>
      <c r="AC14" s="22">
        <f ca="1">IF(AB14&gt;0,$AC$12,0)</f>
        <v>0</v>
      </c>
      <c r="AD14" s="22">
        <f ca="1">$AD$12*F14</f>
        <v>0</v>
      </c>
      <c r="AE14" s="22">
        <f ca="1">IF(AB14&gt;0,IF(ISNA(VLOOKUP(C14,Info!$C$22:$D$303,2,0))=FALSE,H14*1.5%,H14*$AE$12),0)</f>
        <v>0</v>
      </c>
      <c r="AH14" s="22">
        <f ca="1">MAX(AB14-SUM(AC14:AG14),0)</f>
        <v>0</v>
      </c>
      <c r="AI14" s="22">
        <f ca="1">IF(AH14&gt;0,(AH14-VLOOKUP(AH14-1,INDIRECT(TAXRATE!$E$1),1,1))*VLOOKUP(AH14,INDIRECT(TAXRATE!$E$1),2,1)+VLOOKUP(AH14-1,INDIRECT(TAXRATE!$E$1),3,1),0)</f>
        <v>0</v>
      </c>
      <c r="AJ14" s="22">
        <f ca="1">V14-AI14-AE14-AF14-AG14</f>
        <v>0</v>
      </c>
      <c r="AL14" s="3" t="str">
        <f ca="1">IF(INDEX(INDIRECT(Danh_Sach!$N$1),ROWS($B$14:$B14),MATCH(AL$13,INDIRECT(Danh_Sach!$N$2),0))=0,"",MONTH(INDEX(INDIRECT(Danh_Sach!$N$1),ROWS($B$14:$B14),MATCH(AL$13,INDIRECT(Danh_Sach!$N$2),0))))</f>
        <v/>
      </c>
      <c r="AM14" s="3" t="str">
        <f ca="1">IF(INDEX(INDIRECT(Danh_Sach!$N$1),ROWS($B$14:$B14),MATCH(AM$13,INDIRECT(Danh_Sach!$N$2),0))=0,"",MONTH(INDEX(INDIRECT(Danh_Sach!$N$1),ROWS($B$14:$B14),MATCH(AM$13,INDIRECT(Danh_Sach!$N$2),0))))</f>
        <v/>
      </c>
      <c r="AN14" s="3" t="str">
        <f ca="1">IF(INDEX(INDIRECT(Danh_Sach!$N$1),ROWS($B$14:$B14),MATCH(AN$13,INDIRECT(Danh_Sach!$N$2),0))=0,"",MONTH(INDEX(INDIRECT(Danh_Sach!$N$1),ROWS($B$14:$B14),MATCH(AN$13,INDIRECT(Danh_Sach!$N$2),0))))</f>
        <v/>
      </c>
      <c r="AO14" s="3" t="str">
        <f ca="1">IF(INDEX(INDIRECT(Danh_Sach!$N$1),ROWS($B$14:$B14),MATCH(AO$13,INDIRECT(Danh_Sach!$N$2),0))=0,"",MONTH(INDEX(INDIRECT(Danh_Sach!$N$1),ROWS($B$14:$B14),MATCH(AO$13,INDIRECT(Danh_Sach!$N$2),0))))</f>
        <v/>
      </c>
    </row>
    <row r="15" spans="1:41" x14ac:dyDescent="0.45">
      <c r="A15" s="5">
        <f ca="1">IF(B15&lt;&gt;"",SUBTOTAL(3,$B$14:B15),"")</f>
        <v>2</v>
      </c>
      <c r="B15" s="3">
        <f ca="1">INDEX(INDIRECT(Danh_Sach!$N$1),ROWS($B$14:$B15),MATCH(B$13,INDIRECT(Danh_Sach!$N$2),0))</f>
        <v>0</v>
      </c>
      <c r="C15" s="5">
        <f ca="1">INDEX(INDIRECT(Danh_Sach!$N$1),ROWS($B$14:$B15),MATCH(C$13,INDIRECT(Danh_Sach!$N$2),0))</f>
        <v>0</v>
      </c>
      <c r="D15" s="5">
        <f ca="1">INDEX(INDIRECT(Danh_Sach!$N$1),ROWS($B$14:$B15),MATCH(D$13,INDIRECT(Danh_Sach!$N$2),0))</f>
        <v>0</v>
      </c>
      <c r="E15" s="5">
        <f ca="1">INDEX(INDIRECT(Danh_Sach!$N$1),ROWS($B$14:$B15),MATCH(E$13,INDIRECT(Danh_Sach!$N$2),0))</f>
        <v>0</v>
      </c>
      <c r="F15" s="5">
        <f t="array" aca="1" ref="F15" ca="1">INDEX(INDIRECT(NPT!$W$1),ROWS($B$14:B15),MATCH($C$1,INDIRECT(NPT!$W$2),0))</f>
        <v>0</v>
      </c>
      <c r="G15" s="11">
        <f ca="1">IF(AND($G$12="Link",H15&lt;&gt;0),H15,INDEX(INDIRECT(Danh_Sach!$N$1),ROWS($B$14:$B15),MATCH(G$13,INDIRECT(Danh_Sach!$N$2),0)))</f>
        <v>0</v>
      </c>
      <c r="H15" s="11">
        <f ca="1">IFERROR(INDEX(INDIRECT(BaoHiem!$A$3),ROWS($B$14:$B15),MATCH($C$1,INDIRECT(BaoHiem!$A$4),0)),0)</f>
        <v>0</v>
      </c>
      <c r="I15" s="72">
        <f t="array" aca="1" ref="I15" ca="1">INDEX(INDIRECT(Cham_Cong!$T$3),ROWS($B$14:B15),MATCH($C$1,INDIRECT(Cham_Cong!$T$4),0))</f>
        <v>0</v>
      </c>
      <c r="J15" s="11">
        <f ca="1">G15/$J$12*I15</f>
        <v>0</v>
      </c>
      <c r="K15" s="11">
        <f ca="1">IF(I15&gt;0,$K$12,0)</f>
        <v>0</v>
      </c>
      <c r="L15" s="11"/>
      <c r="M15" s="22">
        <f ca="1">IF(I15=0,0,$M$12*L15)</f>
        <v>0</v>
      </c>
      <c r="N15" s="11">
        <f ca="1">IF(I15&gt;0,$N$12,0)</f>
        <v>0</v>
      </c>
      <c r="P15" s="22">
        <f ca="1">IF(I15=0,0,ROUND(O15*$O$12*(G15/$J$12/8),0))</f>
        <v>0</v>
      </c>
      <c r="R15" s="11">
        <f t="shared" ref="R15" ca="1" si="4">IF(I15&gt;0,$R$12*Q15,0)</f>
        <v>0</v>
      </c>
      <c r="S15" s="11"/>
      <c r="V15" s="11">
        <f ca="1">IF(I15=0,0,SUMIF($J$13:$U$13,"i_gross",J15:U15))</f>
        <v>0</v>
      </c>
      <c r="W15" s="22">
        <f ca="1">K15</f>
        <v>0</v>
      </c>
      <c r="X15" s="22">
        <f ca="1">M15+N15</f>
        <v>0</v>
      </c>
      <c r="Y15" s="22">
        <f>U15</f>
        <v>0</v>
      </c>
      <c r="Z15" s="22">
        <f ca="1">P15-P15/$O$12</f>
        <v>0</v>
      </c>
      <c r="AA15" s="22">
        <f ca="1">SUM(W15:Z15)</f>
        <v>0</v>
      </c>
      <c r="AB15" s="22">
        <f ca="1">IF(I15=0,0,V15-AA15)</f>
        <v>0</v>
      </c>
      <c r="AC15" s="22">
        <f ca="1">IF(AB15&gt;0,$AC$12,0)</f>
        <v>0</v>
      </c>
      <c r="AD15" s="22">
        <f ca="1">$AD$12*F15</f>
        <v>0</v>
      </c>
      <c r="AE15" s="22">
        <f ca="1">IF(AB15&gt;0,IF(ISNA(VLOOKUP(C15,Info!$C$22:$D$303,2,0))=FALSE,H15*1.5%,H15*$AE$12),0)</f>
        <v>0</v>
      </c>
      <c r="AH15" s="22">
        <f ca="1">MAX(AB15-SUM(AC15:AG15),0)</f>
        <v>0</v>
      </c>
      <c r="AI15" s="22">
        <f ca="1">IF(AH15&gt;0,(AH15-VLOOKUP(AH15-1,INDIRECT(TAXRATE!$E$1),1,1))*VLOOKUP(AH15,INDIRECT(TAXRATE!$E$1),2,1)+VLOOKUP(AH15-1,INDIRECT(TAXRATE!$E$1),3,1),0)</f>
        <v>0</v>
      </c>
      <c r="AJ15" s="22">
        <f ca="1">V15-AI15-AE15-AF15-AG15</f>
        <v>0</v>
      </c>
      <c r="AL15" s="3" t="str">
        <f ca="1">IF(INDEX(INDIRECT(Danh_Sach!$N$1),ROWS($B$14:$B15),MATCH(AL$13,INDIRECT(Danh_Sach!$N$2),0))=0,"",MONTH(INDEX(INDIRECT(Danh_Sach!$N$1),ROWS($B$14:$B15),MATCH(AL$13,INDIRECT(Danh_Sach!$N$2),0))))</f>
        <v/>
      </c>
      <c r="AM15" s="3" t="str">
        <f ca="1">IF(INDEX(INDIRECT(Danh_Sach!$N$1),ROWS($B$14:$B15),MATCH(AM$13,INDIRECT(Danh_Sach!$N$2),0))=0,"",MONTH(INDEX(INDIRECT(Danh_Sach!$N$1),ROWS($B$14:$B15),MATCH(AM$13,INDIRECT(Danh_Sach!$N$2),0))))</f>
        <v/>
      </c>
      <c r="AN15" s="3" t="str">
        <f ca="1">IF(INDEX(INDIRECT(Danh_Sach!$N$1),ROWS($B$14:$B15),MATCH(AN$13,INDIRECT(Danh_Sach!$N$2),0))=0,"",MONTH(INDEX(INDIRECT(Danh_Sach!$N$1),ROWS($B$14:$B15),MATCH(AN$13,INDIRECT(Danh_Sach!$N$2),0))))</f>
        <v/>
      </c>
      <c r="AO15" s="3" t="str">
        <f ca="1">IF(INDEX(INDIRECT(Danh_Sach!$N$1),ROWS($B$14:$B15),MATCH(AO$13,INDIRECT(Danh_Sach!$N$2),0))=0,"",MONTH(INDEX(INDIRECT(Danh_Sach!$N$1),ROWS($B$14:$B15),MATCH(AO$13,INDIRECT(Danh_Sach!$N$2),0))))</f>
        <v/>
      </c>
    </row>
    <row r="16" spans="1:41" x14ac:dyDescent="0.45">
      <c r="A16" s="5"/>
      <c r="E16" s="5"/>
      <c r="F16" s="5"/>
      <c r="G16" s="11"/>
      <c r="H16" s="11"/>
      <c r="I16" s="72"/>
      <c r="J16" s="11"/>
      <c r="K16" s="11"/>
      <c r="L16" s="11"/>
      <c r="M16" s="22"/>
      <c r="N16" s="11"/>
      <c r="P16" s="22"/>
      <c r="R16" s="11"/>
      <c r="S16" s="11"/>
      <c r="V16" s="11"/>
      <c r="W16" s="22"/>
      <c r="X16" s="22"/>
      <c r="Y16" s="22"/>
      <c r="Z16" s="22"/>
      <c r="AA16" s="22"/>
      <c r="AB16" s="22"/>
      <c r="AC16" s="22"/>
      <c r="AD16" s="22"/>
      <c r="AE16" s="22"/>
      <c r="AH16" s="22"/>
      <c r="AI16" s="22"/>
      <c r="AJ16" s="22"/>
    </row>
    <row r="17" spans="1:36" x14ac:dyDescent="0.45">
      <c r="A17" s="5"/>
      <c r="E17" s="5"/>
      <c r="F17" s="5"/>
      <c r="G17" s="11"/>
      <c r="H17" s="11"/>
      <c r="I17" s="72"/>
      <c r="J17" s="11"/>
      <c r="K17" s="11"/>
      <c r="L17" s="11"/>
      <c r="M17" s="22"/>
      <c r="N17" s="11"/>
      <c r="P17" s="22"/>
      <c r="R17" s="11"/>
      <c r="S17" s="11"/>
      <c r="V17" s="11"/>
      <c r="W17" s="22"/>
      <c r="X17" s="22"/>
      <c r="Y17" s="22"/>
      <c r="Z17" s="22"/>
      <c r="AA17" s="22"/>
      <c r="AB17" s="22"/>
      <c r="AC17" s="22"/>
      <c r="AD17" s="22"/>
      <c r="AE17" s="22"/>
      <c r="AH17" s="22"/>
      <c r="AI17" s="22"/>
      <c r="AJ17" s="22"/>
    </row>
    <row r="18" spans="1:36" x14ac:dyDescent="0.45">
      <c r="A18" s="5"/>
      <c r="E18" s="5"/>
      <c r="F18" s="5"/>
      <c r="G18" s="11"/>
      <c r="H18" s="11"/>
      <c r="I18" s="72"/>
      <c r="J18" s="11"/>
      <c r="K18" s="11"/>
      <c r="L18" s="11"/>
      <c r="M18" s="22"/>
      <c r="N18" s="11"/>
      <c r="P18" s="22"/>
      <c r="R18" s="11"/>
      <c r="S18" s="11"/>
      <c r="V18" s="11"/>
      <c r="W18" s="22"/>
      <c r="X18" s="22"/>
      <c r="Y18" s="22"/>
      <c r="Z18" s="22"/>
      <c r="AA18" s="22"/>
      <c r="AB18" s="22"/>
      <c r="AC18" s="22"/>
      <c r="AD18" s="22"/>
      <c r="AE18" s="22"/>
      <c r="AH18" s="22"/>
      <c r="AI18" s="22"/>
      <c r="AJ18" s="22"/>
    </row>
    <row r="19" spans="1:36" x14ac:dyDescent="0.45">
      <c r="A19" s="5"/>
      <c r="E19" s="5"/>
      <c r="F19" s="5"/>
      <c r="G19" s="11"/>
      <c r="H19" s="11"/>
      <c r="I19" s="72"/>
      <c r="J19" s="11"/>
      <c r="K19" s="11"/>
      <c r="L19" s="11"/>
      <c r="M19" s="22"/>
      <c r="N19" s="11"/>
      <c r="P19" s="22"/>
      <c r="R19" s="11"/>
      <c r="S19" s="11"/>
      <c r="V19" s="11"/>
      <c r="W19" s="22"/>
      <c r="X19" s="22"/>
      <c r="Y19" s="22"/>
      <c r="Z19" s="22"/>
      <c r="AA19" s="22"/>
      <c r="AB19" s="22"/>
      <c r="AC19" s="22"/>
      <c r="AD19" s="22"/>
      <c r="AE19" s="22"/>
      <c r="AH19" s="22"/>
      <c r="AI19" s="22"/>
      <c r="AJ19" s="22"/>
    </row>
    <row r="20" spans="1:36" x14ac:dyDescent="0.45">
      <c r="A20" s="5"/>
      <c r="E20" s="5"/>
      <c r="F20" s="5"/>
      <c r="G20" s="11"/>
      <c r="H20" s="11"/>
      <c r="I20" s="72"/>
      <c r="J20" s="11"/>
      <c r="K20" s="11"/>
      <c r="L20" s="11"/>
      <c r="M20" s="22"/>
      <c r="N20" s="11"/>
      <c r="P20" s="22"/>
      <c r="R20" s="11"/>
      <c r="S20" s="11"/>
      <c r="V20" s="11"/>
      <c r="W20" s="22"/>
      <c r="X20" s="22"/>
      <c r="Y20" s="22"/>
      <c r="Z20" s="22"/>
      <c r="AA20" s="22"/>
      <c r="AB20" s="22"/>
      <c r="AC20" s="22"/>
      <c r="AD20" s="22"/>
      <c r="AE20" s="22"/>
      <c r="AH20" s="22"/>
      <c r="AI20" s="22"/>
      <c r="AJ20" s="22"/>
    </row>
    <row r="21" spans="1:36" x14ac:dyDescent="0.45">
      <c r="A21" s="5"/>
      <c r="E21" s="5"/>
      <c r="F21" s="5"/>
      <c r="G21" s="11"/>
      <c r="H21" s="11"/>
      <c r="I21" s="72"/>
      <c r="J21" s="11"/>
      <c r="K21" s="11"/>
      <c r="L21" s="11"/>
      <c r="M21" s="22"/>
      <c r="N21" s="11"/>
      <c r="P21" s="22"/>
      <c r="R21" s="11"/>
      <c r="S21" s="11"/>
      <c r="V21" s="11"/>
      <c r="W21" s="22"/>
      <c r="X21" s="22"/>
      <c r="Y21" s="22"/>
      <c r="Z21" s="22"/>
      <c r="AA21" s="22"/>
      <c r="AB21" s="22"/>
      <c r="AC21" s="22"/>
      <c r="AD21" s="22"/>
      <c r="AE21" s="22"/>
      <c r="AH21" s="22"/>
      <c r="AI21" s="22"/>
      <c r="AJ21" s="22"/>
    </row>
    <row r="22" spans="1:36" x14ac:dyDescent="0.45">
      <c r="A22" s="5"/>
      <c r="E22" s="5"/>
      <c r="F22" s="5"/>
      <c r="G22" s="11"/>
      <c r="H22" s="11"/>
      <c r="I22" s="72"/>
      <c r="J22" s="11"/>
      <c r="K22" s="11"/>
      <c r="L22" s="11"/>
      <c r="M22" s="22"/>
      <c r="N22" s="11"/>
      <c r="P22" s="22"/>
      <c r="R22" s="11"/>
      <c r="S22" s="11"/>
      <c r="V22" s="11"/>
      <c r="W22" s="22"/>
      <c r="X22" s="22"/>
      <c r="Y22" s="22"/>
      <c r="Z22" s="22"/>
      <c r="AA22" s="22"/>
      <c r="AB22" s="22"/>
      <c r="AC22" s="22"/>
      <c r="AD22" s="22"/>
      <c r="AE22" s="22"/>
      <c r="AH22" s="22"/>
      <c r="AI22" s="22"/>
      <c r="AJ22" s="22"/>
    </row>
    <row r="23" spans="1:36" x14ac:dyDescent="0.45">
      <c r="A23" s="5"/>
      <c r="E23" s="5"/>
      <c r="F23" s="5"/>
      <c r="G23" s="11"/>
      <c r="H23" s="11"/>
      <c r="I23" s="72"/>
      <c r="J23" s="11"/>
      <c r="K23" s="11"/>
      <c r="L23" s="11"/>
      <c r="M23" s="22"/>
      <c r="N23" s="11"/>
      <c r="P23" s="22"/>
      <c r="R23" s="11"/>
      <c r="S23" s="11"/>
      <c r="V23" s="11"/>
      <c r="W23" s="22"/>
      <c r="X23" s="22"/>
      <c r="Y23" s="22"/>
      <c r="Z23" s="22"/>
      <c r="AA23" s="22"/>
      <c r="AB23" s="22"/>
      <c r="AC23" s="22"/>
      <c r="AD23" s="22"/>
      <c r="AE23" s="22"/>
      <c r="AH23" s="22"/>
      <c r="AI23" s="22"/>
      <c r="AJ23" s="22"/>
    </row>
    <row r="24" spans="1:36" x14ac:dyDescent="0.45">
      <c r="A24" s="5"/>
      <c r="E24" s="5"/>
      <c r="F24" s="5"/>
      <c r="G24" s="11"/>
      <c r="H24" s="11"/>
      <c r="I24" s="72"/>
      <c r="J24" s="11"/>
      <c r="K24" s="11"/>
      <c r="L24" s="11"/>
      <c r="M24" s="22"/>
      <c r="N24" s="11"/>
      <c r="P24" s="22"/>
      <c r="R24" s="11"/>
      <c r="S24" s="11"/>
      <c r="V24" s="11"/>
      <c r="W24" s="22"/>
      <c r="X24" s="22"/>
      <c r="Y24" s="22"/>
      <c r="Z24" s="22"/>
      <c r="AA24" s="22"/>
      <c r="AB24" s="22"/>
      <c r="AC24" s="22"/>
      <c r="AD24" s="22"/>
      <c r="AE24" s="22"/>
      <c r="AH24" s="22"/>
      <c r="AI24" s="22"/>
      <c r="AJ24" s="22"/>
    </row>
    <row r="25" spans="1:36" x14ac:dyDescent="0.45">
      <c r="A25" s="5"/>
      <c r="E25" s="5"/>
      <c r="F25" s="5"/>
      <c r="G25" s="11"/>
      <c r="H25" s="11"/>
      <c r="I25" s="72"/>
      <c r="J25" s="11"/>
      <c r="K25" s="11"/>
      <c r="L25" s="11"/>
      <c r="M25" s="22"/>
      <c r="N25" s="11"/>
      <c r="P25" s="22"/>
      <c r="R25" s="11"/>
      <c r="S25" s="11"/>
      <c r="V25" s="11"/>
      <c r="W25" s="22"/>
      <c r="X25" s="22"/>
      <c r="Y25" s="22"/>
      <c r="Z25" s="22"/>
      <c r="AA25" s="22"/>
      <c r="AB25" s="22"/>
      <c r="AC25" s="22"/>
      <c r="AD25" s="22"/>
      <c r="AE25" s="22"/>
      <c r="AH25" s="22"/>
      <c r="AI25" s="22"/>
      <c r="AJ25" s="22"/>
    </row>
    <row r="26" spans="1:36" x14ac:dyDescent="0.45">
      <c r="A26" s="5"/>
      <c r="E26" s="5"/>
      <c r="F26" s="5"/>
      <c r="G26" s="11"/>
      <c r="H26" s="11"/>
      <c r="I26" s="72"/>
      <c r="J26" s="11"/>
      <c r="K26" s="11"/>
      <c r="L26" s="11"/>
      <c r="M26" s="22"/>
      <c r="N26" s="11"/>
      <c r="P26" s="22"/>
      <c r="R26" s="11"/>
      <c r="S26" s="11"/>
      <c r="V26" s="11"/>
      <c r="W26" s="22"/>
      <c r="X26" s="22"/>
      <c r="Y26" s="22"/>
      <c r="Z26" s="22"/>
      <c r="AA26" s="22"/>
      <c r="AB26" s="22"/>
      <c r="AC26" s="22"/>
      <c r="AD26" s="22"/>
      <c r="AE26" s="22"/>
      <c r="AH26" s="22"/>
      <c r="AI26" s="22"/>
      <c r="AJ26" s="22"/>
    </row>
    <row r="27" spans="1:36" x14ac:dyDescent="0.45">
      <c r="A27" s="5"/>
      <c r="E27" s="5"/>
      <c r="F27" s="5"/>
      <c r="G27" s="11"/>
      <c r="H27" s="11"/>
      <c r="I27" s="72"/>
      <c r="J27" s="11"/>
      <c r="K27" s="11"/>
      <c r="L27" s="11"/>
      <c r="M27" s="22"/>
      <c r="N27" s="11"/>
      <c r="P27" s="22"/>
      <c r="R27" s="11"/>
      <c r="S27" s="11"/>
      <c r="V27" s="11"/>
      <c r="W27" s="22"/>
      <c r="X27" s="22"/>
      <c r="Y27" s="22"/>
      <c r="Z27" s="22"/>
      <c r="AA27" s="22"/>
      <c r="AB27" s="22"/>
      <c r="AC27" s="22"/>
      <c r="AD27" s="22"/>
      <c r="AE27" s="22"/>
      <c r="AH27" s="22"/>
      <c r="AI27" s="22"/>
      <c r="AJ27" s="22"/>
    </row>
    <row r="28" spans="1:36" x14ac:dyDescent="0.45">
      <c r="A28" s="5"/>
      <c r="E28" s="5"/>
      <c r="F28" s="5"/>
      <c r="G28" s="11"/>
      <c r="H28" s="11"/>
      <c r="I28" s="72"/>
      <c r="J28" s="11"/>
      <c r="K28" s="11"/>
      <c r="L28" s="11"/>
      <c r="M28" s="22"/>
      <c r="N28" s="11"/>
      <c r="P28" s="22"/>
      <c r="R28" s="11"/>
      <c r="S28" s="11"/>
      <c r="V28" s="11"/>
      <c r="W28" s="22"/>
      <c r="X28" s="22"/>
      <c r="Y28" s="22"/>
      <c r="Z28" s="22"/>
      <c r="AA28" s="22"/>
      <c r="AB28" s="22"/>
      <c r="AC28" s="22"/>
      <c r="AD28" s="22"/>
      <c r="AE28" s="22"/>
      <c r="AH28" s="22"/>
      <c r="AI28" s="22"/>
      <c r="AJ28" s="22"/>
    </row>
    <row r="29" spans="1:36" x14ac:dyDescent="0.45">
      <c r="A29" s="5"/>
      <c r="E29" s="5"/>
      <c r="F29" s="5"/>
      <c r="G29" s="11"/>
      <c r="H29" s="11"/>
      <c r="I29" s="72"/>
      <c r="J29" s="11"/>
      <c r="K29" s="11"/>
      <c r="L29" s="11"/>
      <c r="M29" s="22"/>
      <c r="N29" s="11"/>
      <c r="P29" s="22"/>
      <c r="R29" s="11"/>
      <c r="S29" s="11"/>
      <c r="V29" s="11"/>
      <c r="W29" s="22"/>
      <c r="X29" s="22"/>
      <c r="Y29" s="22"/>
      <c r="Z29" s="22"/>
      <c r="AA29" s="22"/>
      <c r="AB29" s="22"/>
      <c r="AC29" s="22"/>
      <c r="AD29" s="22"/>
      <c r="AE29" s="22"/>
      <c r="AH29" s="22"/>
      <c r="AI29" s="22"/>
      <c r="AJ29" s="22"/>
    </row>
    <row r="30" spans="1:36" x14ac:dyDescent="0.45">
      <c r="A30" s="5"/>
      <c r="E30" s="5"/>
      <c r="F30" s="5"/>
      <c r="G30" s="11"/>
      <c r="H30" s="11"/>
      <c r="I30" s="72"/>
      <c r="J30" s="11"/>
      <c r="K30" s="11"/>
      <c r="L30" s="11"/>
      <c r="M30" s="22"/>
      <c r="N30" s="11"/>
      <c r="P30" s="22"/>
      <c r="R30" s="11"/>
      <c r="S30" s="11"/>
      <c r="V30" s="11"/>
      <c r="W30" s="22"/>
      <c r="X30" s="22"/>
      <c r="Y30" s="22"/>
      <c r="Z30" s="22"/>
      <c r="AA30" s="22"/>
      <c r="AB30" s="22"/>
      <c r="AC30" s="22"/>
      <c r="AD30" s="22"/>
      <c r="AE30" s="22"/>
      <c r="AH30" s="22"/>
      <c r="AI30" s="22"/>
      <c r="AJ30" s="22"/>
    </row>
    <row r="31" spans="1:36" x14ac:dyDescent="0.45">
      <c r="A31" s="5"/>
      <c r="E31" s="5"/>
      <c r="F31" s="5"/>
      <c r="G31" s="11"/>
      <c r="H31" s="11"/>
      <c r="I31" s="72"/>
      <c r="J31" s="11"/>
      <c r="K31" s="11"/>
      <c r="L31" s="11"/>
      <c r="M31" s="22"/>
      <c r="N31" s="11"/>
      <c r="P31" s="22"/>
      <c r="R31" s="11"/>
      <c r="S31" s="11"/>
      <c r="V31" s="11"/>
      <c r="W31" s="22"/>
      <c r="X31" s="22"/>
      <c r="Y31" s="22"/>
      <c r="Z31" s="22"/>
      <c r="AA31" s="22"/>
      <c r="AB31" s="22"/>
      <c r="AC31" s="22"/>
      <c r="AD31" s="22"/>
      <c r="AE31" s="22"/>
      <c r="AH31" s="22"/>
      <c r="AI31" s="22"/>
      <c r="AJ31" s="22"/>
    </row>
    <row r="32" spans="1:36" x14ac:dyDescent="0.45">
      <c r="A32" s="5"/>
      <c r="E32" s="5"/>
      <c r="F32" s="5"/>
      <c r="G32" s="11"/>
      <c r="H32" s="11"/>
      <c r="I32" s="72"/>
      <c r="J32" s="11"/>
      <c r="K32" s="11"/>
      <c r="L32" s="11"/>
      <c r="M32" s="22"/>
      <c r="N32" s="11"/>
      <c r="P32" s="22"/>
      <c r="R32" s="11"/>
      <c r="S32" s="11"/>
      <c r="V32" s="11"/>
      <c r="W32" s="22"/>
      <c r="X32" s="22"/>
      <c r="Y32" s="22"/>
      <c r="Z32" s="22"/>
      <c r="AA32" s="22"/>
      <c r="AB32" s="22"/>
      <c r="AC32" s="22"/>
      <c r="AD32" s="22"/>
      <c r="AE32" s="22"/>
      <c r="AH32" s="22"/>
      <c r="AI32" s="22"/>
      <c r="AJ32" s="22"/>
    </row>
    <row r="33" spans="1:36" x14ac:dyDescent="0.45">
      <c r="A33" s="5"/>
      <c r="E33" s="5"/>
      <c r="F33" s="5"/>
      <c r="G33" s="11"/>
      <c r="H33" s="11"/>
      <c r="I33" s="72"/>
      <c r="J33" s="11"/>
      <c r="K33" s="11"/>
      <c r="L33" s="11"/>
      <c r="M33" s="22"/>
      <c r="N33" s="11"/>
      <c r="P33" s="22"/>
      <c r="R33" s="11"/>
      <c r="S33" s="11"/>
      <c r="V33" s="11"/>
      <c r="W33" s="22"/>
      <c r="X33" s="22"/>
      <c r="Y33" s="22"/>
      <c r="Z33" s="22"/>
      <c r="AA33" s="22"/>
      <c r="AB33" s="22"/>
      <c r="AC33" s="22"/>
      <c r="AD33" s="22"/>
      <c r="AE33" s="22"/>
      <c r="AH33" s="22"/>
      <c r="AI33" s="22"/>
      <c r="AJ33" s="22"/>
    </row>
    <row r="34" spans="1:36" x14ac:dyDescent="0.45">
      <c r="A34" s="5"/>
      <c r="E34" s="5"/>
      <c r="F34" s="5"/>
      <c r="G34" s="11"/>
      <c r="H34" s="11"/>
      <c r="I34" s="72"/>
      <c r="J34" s="11"/>
      <c r="K34" s="11"/>
      <c r="L34" s="11"/>
      <c r="M34" s="22"/>
      <c r="N34" s="11"/>
      <c r="P34" s="22"/>
      <c r="R34" s="11"/>
      <c r="S34" s="11"/>
      <c r="V34" s="11"/>
      <c r="W34" s="22"/>
      <c r="X34" s="22"/>
      <c r="Y34" s="22"/>
      <c r="Z34" s="22"/>
      <c r="AA34" s="22"/>
      <c r="AB34" s="22"/>
      <c r="AC34" s="22"/>
      <c r="AD34" s="22"/>
      <c r="AE34" s="22"/>
      <c r="AH34" s="22"/>
      <c r="AI34" s="22"/>
      <c r="AJ34" s="22"/>
    </row>
    <row r="35" spans="1:36" x14ac:dyDescent="0.45">
      <c r="A35" s="5"/>
      <c r="E35" s="5"/>
      <c r="F35" s="5"/>
      <c r="G35" s="11"/>
      <c r="H35" s="11"/>
      <c r="I35" s="72"/>
      <c r="J35" s="11"/>
      <c r="K35" s="11"/>
      <c r="L35" s="11"/>
      <c r="M35" s="22"/>
      <c r="N35" s="11"/>
      <c r="P35" s="22"/>
      <c r="R35" s="11"/>
      <c r="S35" s="11"/>
      <c r="V35" s="11"/>
      <c r="W35" s="22"/>
      <c r="X35" s="22"/>
      <c r="Y35" s="22"/>
      <c r="Z35" s="22"/>
      <c r="AA35" s="22"/>
      <c r="AB35" s="22"/>
      <c r="AC35" s="22"/>
      <c r="AD35" s="22"/>
      <c r="AE35" s="22"/>
      <c r="AH35" s="22"/>
      <c r="AI35" s="22"/>
      <c r="AJ35" s="22"/>
    </row>
    <row r="36" spans="1:36" x14ac:dyDescent="0.45">
      <c r="A36" s="5"/>
      <c r="E36" s="5"/>
      <c r="F36" s="5"/>
      <c r="G36" s="11"/>
      <c r="H36" s="11"/>
      <c r="I36" s="72"/>
      <c r="J36" s="11"/>
      <c r="K36" s="11"/>
      <c r="L36" s="11"/>
      <c r="M36" s="22"/>
      <c r="N36" s="11"/>
      <c r="P36" s="22"/>
      <c r="R36" s="11"/>
      <c r="S36" s="11"/>
      <c r="V36" s="11"/>
      <c r="W36" s="22"/>
      <c r="X36" s="22"/>
      <c r="Y36" s="22"/>
      <c r="Z36" s="22"/>
      <c r="AA36" s="22"/>
      <c r="AB36" s="22"/>
      <c r="AC36" s="22"/>
      <c r="AD36" s="22"/>
      <c r="AE36" s="22"/>
      <c r="AH36" s="22"/>
      <c r="AI36" s="22"/>
      <c r="AJ36" s="22"/>
    </row>
    <row r="37" spans="1:36" x14ac:dyDescent="0.45">
      <c r="A37" s="5"/>
      <c r="E37" s="5"/>
      <c r="F37" s="5"/>
      <c r="G37" s="11"/>
      <c r="H37" s="11"/>
      <c r="I37" s="72"/>
      <c r="J37" s="11"/>
      <c r="K37" s="11"/>
      <c r="L37" s="11"/>
      <c r="M37" s="22"/>
      <c r="N37" s="11"/>
      <c r="P37" s="22"/>
      <c r="R37" s="11"/>
      <c r="S37" s="11"/>
      <c r="V37" s="11"/>
      <c r="W37" s="22"/>
      <c r="X37" s="22"/>
      <c r="Y37" s="22"/>
      <c r="Z37" s="22"/>
      <c r="AA37" s="22"/>
      <c r="AB37" s="22"/>
      <c r="AC37" s="22"/>
      <c r="AD37" s="22"/>
      <c r="AE37" s="22"/>
      <c r="AH37" s="22"/>
      <c r="AI37" s="22"/>
      <c r="AJ37" s="22"/>
    </row>
    <row r="38" spans="1:36" x14ac:dyDescent="0.45">
      <c r="A38" s="5"/>
      <c r="E38" s="5"/>
      <c r="F38" s="5"/>
      <c r="G38" s="11"/>
      <c r="H38" s="11"/>
      <c r="I38" s="72"/>
      <c r="J38" s="11"/>
      <c r="K38" s="11"/>
      <c r="L38" s="11"/>
      <c r="M38" s="22"/>
      <c r="N38" s="11"/>
      <c r="P38" s="22"/>
      <c r="R38" s="11"/>
      <c r="S38" s="11"/>
      <c r="V38" s="11"/>
      <c r="W38" s="22"/>
      <c r="X38" s="22"/>
      <c r="Y38" s="22"/>
      <c r="Z38" s="22"/>
      <c r="AA38" s="22"/>
      <c r="AB38" s="22"/>
      <c r="AC38" s="22"/>
      <c r="AD38" s="22"/>
      <c r="AE38" s="22"/>
      <c r="AH38" s="22"/>
      <c r="AI38" s="22"/>
      <c r="AJ38" s="22"/>
    </row>
    <row r="39" spans="1:36" x14ac:dyDescent="0.45">
      <c r="A39" s="5"/>
      <c r="E39" s="5"/>
      <c r="F39" s="5"/>
      <c r="G39" s="11"/>
      <c r="H39" s="11"/>
      <c r="I39" s="72"/>
      <c r="J39" s="11"/>
      <c r="K39" s="11"/>
      <c r="M39" s="22"/>
      <c r="N39" s="11"/>
      <c r="P39" s="22"/>
      <c r="R39" s="11"/>
      <c r="S39" s="11"/>
      <c r="V39" s="11"/>
      <c r="W39" s="22"/>
      <c r="X39" s="22"/>
      <c r="Y39" s="22"/>
      <c r="Z39" s="22"/>
      <c r="AA39" s="22"/>
      <c r="AB39" s="22"/>
      <c r="AC39" s="22"/>
      <c r="AD39" s="22"/>
      <c r="AE39" s="22"/>
      <c r="AH39" s="22"/>
      <c r="AI39" s="22"/>
      <c r="AJ39" s="22"/>
    </row>
    <row r="40" spans="1:36" x14ac:dyDescent="0.45">
      <c r="A40" s="5"/>
      <c r="E40" s="5"/>
      <c r="F40" s="5"/>
      <c r="G40" s="11"/>
      <c r="H40" s="11"/>
      <c r="I40" s="72"/>
      <c r="J40" s="11"/>
      <c r="K40" s="11"/>
      <c r="M40" s="22"/>
      <c r="N40" s="11"/>
      <c r="P40" s="22"/>
      <c r="R40" s="11"/>
      <c r="S40" s="11"/>
      <c r="V40" s="11"/>
      <c r="W40" s="22"/>
      <c r="X40" s="22"/>
      <c r="Y40" s="22"/>
      <c r="Z40" s="22"/>
      <c r="AA40" s="22"/>
      <c r="AB40" s="22"/>
      <c r="AC40" s="22"/>
      <c r="AD40" s="22"/>
      <c r="AE40" s="22"/>
      <c r="AH40" s="22"/>
      <c r="AI40" s="22"/>
      <c r="AJ40" s="22"/>
    </row>
    <row r="41" spans="1:36" x14ac:dyDescent="0.45">
      <c r="A41" s="5"/>
      <c r="E41" s="5"/>
      <c r="F41" s="5"/>
      <c r="G41" s="11"/>
      <c r="H41" s="11"/>
      <c r="I41" s="72"/>
      <c r="J41" s="11"/>
      <c r="K41" s="11"/>
      <c r="M41" s="22"/>
      <c r="N41" s="11"/>
      <c r="P41" s="22"/>
      <c r="R41" s="11"/>
      <c r="S41" s="11"/>
      <c r="V41" s="11"/>
      <c r="W41" s="22"/>
      <c r="X41" s="22"/>
      <c r="Y41" s="22"/>
      <c r="Z41" s="22"/>
      <c r="AA41" s="22"/>
      <c r="AB41" s="22"/>
      <c r="AC41" s="22"/>
      <c r="AD41" s="22"/>
      <c r="AE41" s="22"/>
      <c r="AH41" s="22"/>
      <c r="AI41" s="22"/>
      <c r="AJ41" s="22"/>
    </row>
    <row r="42" spans="1:36" x14ac:dyDescent="0.45">
      <c r="A42" s="5"/>
      <c r="E42" s="5"/>
      <c r="F42" s="5"/>
      <c r="G42" s="11"/>
      <c r="H42" s="11"/>
      <c r="I42" s="72"/>
      <c r="J42" s="11"/>
      <c r="K42" s="11"/>
      <c r="M42" s="22"/>
      <c r="N42" s="11"/>
      <c r="P42" s="22"/>
      <c r="R42" s="11"/>
      <c r="S42" s="11"/>
      <c r="V42" s="11"/>
      <c r="W42" s="22"/>
      <c r="X42" s="22"/>
      <c r="Y42" s="22"/>
      <c r="Z42" s="22"/>
      <c r="AA42" s="22"/>
      <c r="AB42" s="22"/>
      <c r="AC42" s="22"/>
      <c r="AD42" s="22"/>
      <c r="AE42" s="22"/>
      <c r="AH42" s="22"/>
      <c r="AI42" s="22"/>
      <c r="AJ42" s="22"/>
    </row>
    <row r="43" spans="1:36" x14ac:dyDescent="0.45">
      <c r="A43" s="5"/>
      <c r="E43" s="5"/>
      <c r="F43" s="5"/>
      <c r="G43" s="11"/>
      <c r="H43" s="11"/>
      <c r="I43" s="72"/>
      <c r="J43" s="11"/>
      <c r="K43" s="11"/>
      <c r="M43" s="22"/>
      <c r="N43" s="11"/>
      <c r="P43" s="22"/>
      <c r="R43" s="11"/>
      <c r="S43" s="11"/>
      <c r="V43" s="11"/>
      <c r="W43" s="22"/>
      <c r="X43" s="22"/>
      <c r="Y43" s="22"/>
      <c r="Z43" s="22"/>
      <c r="AA43" s="22"/>
      <c r="AB43" s="22"/>
      <c r="AC43" s="22"/>
      <c r="AD43" s="22"/>
      <c r="AE43" s="22"/>
      <c r="AH43" s="22"/>
      <c r="AI43" s="22"/>
      <c r="AJ43" s="22"/>
    </row>
    <row r="44" spans="1:36" x14ac:dyDescent="0.45">
      <c r="A44" s="5"/>
      <c r="E44" s="5"/>
      <c r="F44" s="5"/>
      <c r="G44" s="11"/>
      <c r="H44" s="11"/>
      <c r="I44" s="72"/>
      <c r="J44" s="11"/>
      <c r="K44" s="11"/>
      <c r="M44" s="22"/>
      <c r="N44" s="11"/>
      <c r="P44" s="22"/>
      <c r="R44" s="11"/>
      <c r="S44" s="11"/>
      <c r="V44" s="11"/>
      <c r="W44" s="22"/>
      <c r="X44" s="22"/>
      <c r="Y44" s="22"/>
      <c r="Z44" s="22"/>
      <c r="AA44" s="22"/>
      <c r="AB44" s="22"/>
      <c r="AC44" s="22"/>
      <c r="AD44" s="22"/>
      <c r="AE44" s="22"/>
      <c r="AH44" s="22"/>
      <c r="AI44" s="22"/>
      <c r="AJ44" s="22"/>
    </row>
    <row r="45" spans="1:36" x14ac:dyDescent="0.45">
      <c r="A45" s="5"/>
      <c r="E45" s="5"/>
      <c r="F45" s="5"/>
      <c r="G45" s="11"/>
      <c r="H45" s="11"/>
      <c r="I45" s="72"/>
      <c r="J45" s="11"/>
      <c r="K45" s="11"/>
      <c r="M45" s="22"/>
      <c r="N45" s="11"/>
      <c r="P45" s="22"/>
      <c r="R45" s="11"/>
      <c r="S45" s="11"/>
      <c r="V45" s="11"/>
      <c r="W45" s="22"/>
      <c r="X45" s="22"/>
      <c r="Y45" s="22"/>
      <c r="Z45" s="22"/>
      <c r="AA45" s="22"/>
      <c r="AB45" s="22"/>
      <c r="AC45" s="22"/>
      <c r="AD45" s="22"/>
      <c r="AE45" s="22"/>
      <c r="AH45" s="22"/>
      <c r="AI45" s="22"/>
      <c r="AJ45" s="22"/>
    </row>
    <row r="46" spans="1:36" x14ac:dyDescent="0.45">
      <c r="A46" s="5"/>
      <c r="E46" s="5"/>
      <c r="F46" s="5"/>
      <c r="G46" s="11"/>
      <c r="H46" s="11"/>
      <c r="I46" s="72"/>
      <c r="J46" s="11"/>
      <c r="K46" s="11"/>
      <c r="M46" s="22"/>
      <c r="N46" s="11"/>
      <c r="O46" s="3"/>
      <c r="P46" s="22"/>
      <c r="R46" s="11"/>
      <c r="S46" s="11"/>
      <c r="V46" s="11"/>
      <c r="W46" s="22"/>
      <c r="X46" s="22"/>
      <c r="Y46" s="22"/>
      <c r="Z46" s="22"/>
      <c r="AA46" s="22"/>
      <c r="AB46" s="22"/>
      <c r="AC46" s="22"/>
      <c r="AD46" s="22"/>
      <c r="AE46" s="22"/>
      <c r="AH46" s="22"/>
      <c r="AI46" s="22"/>
      <c r="AJ46" s="22"/>
    </row>
    <row r="47" spans="1:36" x14ac:dyDescent="0.45">
      <c r="A47" s="5"/>
      <c r="E47" s="5"/>
      <c r="F47" s="5"/>
      <c r="G47" s="11"/>
      <c r="H47" s="11"/>
      <c r="I47" s="72"/>
      <c r="J47" s="11"/>
      <c r="K47" s="11"/>
      <c r="M47" s="22"/>
      <c r="N47" s="11"/>
      <c r="O47" s="3"/>
      <c r="P47" s="22"/>
      <c r="R47" s="11"/>
      <c r="S47" s="11"/>
      <c r="V47" s="11"/>
      <c r="W47" s="22"/>
      <c r="X47" s="22"/>
      <c r="Y47" s="22"/>
      <c r="Z47" s="22"/>
      <c r="AA47" s="22"/>
      <c r="AB47" s="22"/>
      <c r="AC47" s="22"/>
      <c r="AD47" s="22"/>
      <c r="AE47" s="22"/>
      <c r="AH47" s="22"/>
      <c r="AI47" s="22"/>
      <c r="AJ47" s="22"/>
    </row>
    <row r="48" spans="1:36" x14ac:dyDescent="0.45">
      <c r="A48" s="5"/>
      <c r="E48" s="5"/>
      <c r="F48" s="5"/>
      <c r="G48" s="11"/>
      <c r="H48" s="11"/>
      <c r="I48" s="72"/>
      <c r="J48" s="11"/>
      <c r="K48" s="11"/>
      <c r="M48" s="22"/>
      <c r="N48" s="11"/>
      <c r="O48" s="3"/>
      <c r="P48" s="22"/>
      <c r="R48" s="11"/>
      <c r="S48" s="11"/>
      <c r="V48" s="11"/>
      <c r="W48" s="22"/>
      <c r="X48" s="22"/>
      <c r="Y48" s="22"/>
      <c r="Z48" s="22"/>
      <c r="AA48" s="22"/>
      <c r="AB48" s="22"/>
      <c r="AC48" s="22"/>
      <c r="AD48" s="22"/>
      <c r="AE48" s="22"/>
      <c r="AH48" s="22"/>
      <c r="AI48" s="22"/>
      <c r="AJ48" s="22"/>
    </row>
    <row r="49" spans="1:36" x14ac:dyDescent="0.45">
      <c r="A49" s="5"/>
      <c r="E49" s="5"/>
      <c r="F49" s="5"/>
      <c r="G49" s="11"/>
      <c r="H49" s="11"/>
      <c r="I49" s="72"/>
      <c r="J49" s="11"/>
      <c r="K49" s="11"/>
      <c r="M49" s="22"/>
      <c r="N49" s="11"/>
      <c r="O49" s="3"/>
      <c r="P49" s="22"/>
      <c r="R49" s="11"/>
      <c r="S49" s="11"/>
      <c r="V49" s="11"/>
      <c r="W49" s="22"/>
      <c r="X49" s="22"/>
      <c r="Y49" s="22"/>
      <c r="Z49" s="22"/>
      <c r="AA49" s="22"/>
      <c r="AB49" s="22"/>
      <c r="AC49" s="22"/>
      <c r="AD49" s="22"/>
      <c r="AE49" s="22"/>
      <c r="AH49" s="22"/>
      <c r="AI49" s="22"/>
      <c r="AJ49" s="22"/>
    </row>
    <row r="50" spans="1:36" x14ac:dyDescent="0.45">
      <c r="A50" s="5"/>
      <c r="E50" s="5"/>
      <c r="F50" s="5"/>
      <c r="G50" s="11"/>
      <c r="H50" s="11"/>
      <c r="I50" s="72"/>
      <c r="J50" s="11"/>
      <c r="K50" s="11"/>
      <c r="M50" s="22"/>
      <c r="N50" s="11"/>
      <c r="O50" s="3"/>
      <c r="P50" s="22"/>
      <c r="R50" s="11"/>
      <c r="S50" s="11"/>
      <c r="V50" s="11"/>
      <c r="W50" s="22"/>
      <c r="X50" s="22"/>
      <c r="Y50" s="22"/>
      <c r="Z50" s="22"/>
      <c r="AA50" s="22"/>
      <c r="AB50" s="22"/>
      <c r="AC50" s="22"/>
      <c r="AD50" s="22"/>
      <c r="AE50" s="22"/>
      <c r="AH50" s="22"/>
      <c r="AI50" s="22"/>
      <c r="AJ50" s="22"/>
    </row>
  </sheetData>
  <autoFilter ref="A13:AO50" xr:uid="{00000000-0009-0000-0000-000008000000}"/>
  <mergeCells count="25">
    <mergeCell ref="AC9:AG9"/>
    <mergeCell ref="A10:A11"/>
    <mergeCell ref="B10:B11"/>
    <mergeCell ref="C10:C11"/>
    <mergeCell ref="D10:D11"/>
    <mergeCell ref="E10:E11"/>
    <mergeCell ref="K10:K11"/>
    <mergeCell ref="K9:N9"/>
    <mergeCell ref="O9:P9"/>
    <mergeCell ref="Q9:T9"/>
    <mergeCell ref="W9:AA9"/>
    <mergeCell ref="F10:F11"/>
    <mergeCell ref="G10:G11"/>
    <mergeCell ref="H10:H11"/>
    <mergeCell ref="I10:I11"/>
    <mergeCell ref="AH10:AH11"/>
    <mergeCell ref="AI10:AI11"/>
    <mergeCell ref="G12:H12"/>
    <mergeCell ref="L10:M10"/>
    <mergeCell ref="N10:N11"/>
    <mergeCell ref="Q10:R10"/>
    <mergeCell ref="AC10:AD10"/>
    <mergeCell ref="J10:J11"/>
    <mergeCell ref="AB10:AB11"/>
    <mergeCell ref="AE10:AG10"/>
  </mergeCells>
  <pageMargins left="0.7" right="0.7" top="0.75" bottom="0.75" header="0.3" footer="0.3"/>
  <pageSetup orientation="portrait" r:id="rId1"/>
  <drawing r:id="rId2"/>
  <legacyDrawing r:id="rId3"/>
  <controls>
    <mc:AlternateContent xmlns:mc="http://schemas.openxmlformats.org/markup-compatibility/2006">
      <mc:Choice Requires="x14">
        <control shapeId="15362" r:id="rId4" name="CommandButton1">
          <controlPr defaultSize="0" autoLine="0" r:id="rId5">
            <anchor moveWithCells="1">
              <from>
                <xdr:col>1</xdr:col>
                <xdr:colOff>171450</xdr:colOff>
                <xdr:row>5</xdr:row>
                <xdr:rowOff>9525</xdr:rowOff>
              </from>
              <to>
                <xdr:col>1</xdr:col>
                <xdr:colOff>1419225</xdr:colOff>
                <xdr:row>6</xdr:row>
                <xdr:rowOff>228600</xdr:rowOff>
              </to>
            </anchor>
          </controlPr>
        </control>
      </mc:Choice>
      <mc:Fallback>
        <control shapeId="15362" r:id="rId4"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hang4"/>
  <dimension ref="A1:AO50"/>
  <sheetViews>
    <sheetView showGridLines="0" topLeftCell="C1" workbookViewId="0">
      <selection activeCell="R28" sqref="R28"/>
    </sheetView>
  </sheetViews>
  <sheetFormatPr defaultColWidth="9.1328125" defaultRowHeight="14.25" x14ac:dyDescent="0.45"/>
  <cols>
    <col min="1" max="1" width="7.59765625" style="3" customWidth="1"/>
    <col min="2" max="2" width="24.1328125" style="3" customWidth="1"/>
    <col min="3" max="3" width="14.59765625" style="5" customWidth="1"/>
    <col min="4" max="4" width="14.86328125" style="5" customWidth="1"/>
    <col min="5" max="5" width="10.265625" style="3" customWidth="1"/>
    <col min="6" max="6" width="8.1328125" style="3" customWidth="1"/>
    <col min="7" max="7" width="14" style="3" customWidth="1"/>
    <col min="8" max="8" width="13.73046875" style="3" customWidth="1"/>
    <col min="9" max="9" width="8.265625" style="44" customWidth="1"/>
    <col min="10" max="10" width="15.1328125" style="3" customWidth="1"/>
    <col min="11" max="11" width="13.73046875" style="3" customWidth="1"/>
    <col min="12" max="12" width="9" style="3" customWidth="1"/>
    <col min="13" max="13" width="14.265625" style="3" customWidth="1"/>
    <col min="14" max="14" width="12.73046875" style="3" customWidth="1"/>
    <col min="15" max="15" width="8.86328125" style="5" customWidth="1"/>
    <col min="16" max="16" width="11.73046875" style="3" customWidth="1"/>
    <col min="17" max="17" width="11" style="3" customWidth="1"/>
    <col min="18" max="18" width="12.86328125" style="3" customWidth="1"/>
    <col min="19" max="19" width="13.59765625" style="3" hidden="1" customWidth="1"/>
    <col min="20" max="21" width="12.1328125" style="3" customWidth="1"/>
    <col min="22" max="22" width="16.1328125" style="3" customWidth="1"/>
    <col min="23" max="26" width="13.265625" style="3" customWidth="1"/>
    <col min="27" max="27" width="12.265625" style="3" customWidth="1"/>
    <col min="28" max="28" width="14.73046875" style="3" customWidth="1"/>
    <col min="29" max="29" width="14.265625" style="3" customWidth="1"/>
    <col min="30" max="30" width="12" style="3" customWidth="1"/>
    <col min="31" max="31" width="13.86328125" style="3" customWidth="1"/>
    <col min="32" max="33" width="9.1328125" style="3" hidden="1" customWidth="1"/>
    <col min="34" max="34" width="14" style="3" bestFit="1" customWidth="1"/>
    <col min="35" max="35" width="13" style="3" customWidth="1"/>
    <col min="36" max="37" width="13.73046875" style="3" customWidth="1"/>
    <col min="38" max="41" width="8.1328125" style="3" hidden="1" customWidth="1"/>
    <col min="42" max="16384" width="9.1328125" style="3"/>
  </cols>
  <sheetData>
    <row r="1" spans="1:41" ht="18" customHeight="1" thickBot="1" x14ac:dyDescent="0.5">
      <c r="A1" s="3" t="s">
        <v>376</v>
      </c>
      <c r="B1" s="59" t="s">
        <v>72</v>
      </c>
      <c r="C1" s="6">
        <v>4</v>
      </c>
      <c r="E1" s="376" t="s">
        <v>39</v>
      </c>
      <c r="F1" s="314"/>
      <c r="G1" s="377"/>
      <c r="H1" s="314"/>
      <c r="I1" s="378"/>
      <c r="J1" s="314"/>
      <c r="K1" s="314"/>
      <c r="L1" s="314"/>
      <c r="M1" s="314"/>
      <c r="N1" s="314"/>
      <c r="O1" s="377"/>
      <c r="P1" s="314"/>
      <c r="Q1" s="314"/>
      <c r="R1" s="314"/>
      <c r="S1" s="314"/>
      <c r="T1" s="314"/>
      <c r="U1" s="314"/>
      <c r="V1" s="314"/>
      <c r="W1" s="314"/>
      <c r="X1" s="314"/>
      <c r="Y1" s="314"/>
      <c r="Z1" s="314"/>
      <c r="AA1" s="314"/>
      <c r="AB1" s="314"/>
      <c r="AC1" s="314"/>
      <c r="AD1" s="314"/>
      <c r="AE1" s="314"/>
      <c r="AF1" s="314"/>
      <c r="AG1" s="314"/>
      <c r="AH1" s="314"/>
      <c r="AI1" s="314"/>
      <c r="AJ1" s="314"/>
      <c r="AK1" s="314"/>
      <c r="AL1" s="86"/>
      <c r="AM1" s="86"/>
      <c r="AN1" s="86"/>
      <c r="AO1" s="86"/>
    </row>
    <row r="2" spans="1:41" s="150" customFormat="1" ht="14.25" customHeight="1" thickTop="1" x14ac:dyDescent="0.45">
      <c r="C2" s="70"/>
      <c r="D2" s="70"/>
      <c r="E2" s="379">
        <f t="array" aca="1" ref="E2" ca="1">IFERROR(INDEX(INDIRECT($E$8),MATCH(0,COUNTIF(E$1:$E1,INDIRECT($E$8)&amp;""),0)),"")</f>
        <v>0</v>
      </c>
      <c r="F2" s="380">
        <f t="shared" ref="F2:U6" ca="1" si="0">SUMIFS(F$14:F$1400,$E$14:$E$1400,$E2)</f>
        <v>0</v>
      </c>
      <c r="G2" s="380">
        <f t="shared" ca="1" si="0"/>
        <v>0</v>
      </c>
      <c r="H2" s="380">
        <f t="shared" ca="1" si="0"/>
        <v>0</v>
      </c>
      <c r="I2" s="380"/>
      <c r="J2" s="380">
        <f t="shared" ca="1" si="0"/>
        <v>0</v>
      </c>
      <c r="K2" s="380">
        <f t="shared" ca="1" si="0"/>
        <v>0</v>
      </c>
      <c r="L2" s="380">
        <f t="shared" ca="1" si="0"/>
        <v>0</v>
      </c>
      <c r="M2" s="380">
        <f t="shared" ca="1" si="0"/>
        <v>0</v>
      </c>
      <c r="N2" s="380">
        <f t="shared" ca="1" si="0"/>
        <v>0</v>
      </c>
      <c r="O2" s="381">
        <f t="shared" ca="1" si="0"/>
        <v>0</v>
      </c>
      <c r="P2" s="380">
        <f t="shared" ca="1" si="0"/>
        <v>0</v>
      </c>
      <c r="Q2" s="380">
        <f t="shared" ca="1" si="0"/>
        <v>0</v>
      </c>
      <c r="R2" s="380">
        <f t="shared" ca="1" si="0"/>
        <v>0</v>
      </c>
      <c r="S2" s="380">
        <f t="shared" ca="1" si="0"/>
        <v>0</v>
      </c>
      <c r="T2" s="380">
        <f t="shared" ca="1" si="0"/>
        <v>0</v>
      </c>
      <c r="U2" s="380">
        <f t="shared" ca="1" si="0"/>
        <v>0</v>
      </c>
      <c r="V2" s="380">
        <f t="shared" ref="V2:AJ6" ca="1" si="1">SUMIFS(V$14:V$1400,$E$14:$E$1400,$E2)</f>
        <v>0</v>
      </c>
      <c r="W2" s="380">
        <f t="shared" ca="1" si="1"/>
        <v>0</v>
      </c>
      <c r="X2" s="380">
        <f ca="1">SUMIFS(X$14:X$1400,$E$14:$E$1400,$E2)</f>
        <v>0</v>
      </c>
      <c r="Y2" s="380"/>
      <c r="Z2" s="380">
        <f t="shared" ca="1" si="1"/>
        <v>0</v>
      </c>
      <c r="AA2" s="380">
        <f t="shared" ca="1" si="1"/>
        <v>0</v>
      </c>
      <c r="AB2" s="380">
        <f t="shared" ca="1" si="1"/>
        <v>0</v>
      </c>
      <c r="AC2" s="380">
        <f t="shared" ca="1" si="1"/>
        <v>0</v>
      </c>
      <c r="AD2" s="380">
        <f t="shared" ca="1" si="1"/>
        <v>0</v>
      </c>
      <c r="AE2" s="380">
        <f t="shared" ca="1" si="1"/>
        <v>0</v>
      </c>
      <c r="AF2" s="382">
        <f t="shared" ca="1" si="1"/>
        <v>0</v>
      </c>
      <c r="AG2" s="382">
        <f t="shared" ca="1" si="1"/>
        <v>0</v>
      </c>
      <c r="AH2" s="380">
        <f t="shared" ca="1" si="1"/>
        <v>0</v>
      </c>
      <c r="AI2" s="380">
        <f t="shared" ca="1" si="1"/>
        <v>0</v>
      </c>
      <c r="AJ2" s="380">
        <f t="shared" ca="1" si="1"/>
        <v>0</v>
      </c>
      <c r="AK2" s="383"/>
      <c r="AL2" s="86"/>
      <c r="AM2" s="86"/>
      <c r="AN2" s="86"/>
      <c r="AO2" s="86"/>
    </row>
    <row r="3" spans="1:41" s="150" customFormat="1" ht="14.25" customHeight="1" x14ac:dyDescent="0.45">
      <c r="C3" s="70"/>
      <c r="D3" s="70"/>
      <c r="E3" s="379">
        <f t="array" aca="1" ref="E3" ca="1">IFERROR(INDEX(INDIRECT($E$8),MATCH(0,COUNTIF(E$1:$E2,INDIRECT($E$8)&amp;""),0)),"")</f>
        <v>0</v>
      </c>
      <c r="F3" s="384">
        <f t="shared" ca="1" si="0"/>
        <v>0</v>
      </c>
      <c r="G3" s="384">
        <f t="shared" ca="1" si="0"/>
        <v>0</v>
      </c>
      <c r="H3" s="384">
        <f ca="1">SUMIFS(H$14:H$1400,$E$14:$E$1400,$E3)</f>
        <v>0</v>
      </c>
      <c r="I3" s="384"/>
      <c r="J3" s="384">
        <f t="shared" ca="1" si="0"/>
        <v>0</v>
      </c>
      <c r="K3" s="384">
        <f t="shared" ca="1" si="0"/>
        <v>0</v>
      </c>
      <c r="L3" s="384">
        <f t="shared" ca="1" si="0"/>
        <v>0</v>
      </c>
      <c r="M3" s="384">
        <f t="shared" ca="1" si="0"/>
        <v>0</v>
      </c>
      <c r="N3" s="384">
        <f t="shared" ca="1" si="0"/>
        <v>0</v>
      </c>
      <c r="O3" s="385">
        <f t="shared" ca="1" si="0"/>
        <v>0</v>
      </c>
      <c r="P3" s="384">
        <f t="shared" ca="1" si="0"/>
        <v>0</v>
      </c>
      <c r="Q3" s="384">
        <f t="shared" ca="1" si="0"/>
        <v>0</v>
      </c>
      <c r="R3" s="384">
        <f t="shared" ca="1" si="0"/>
        <v>0</v>
      </c>
      <c r="S3" s="384">
        <f t="shared" ca="1" si="0"/>
        <v>0</v>
      </c>
      <c r="T3" s="384">
        <f t="shared" ca="1" si="0"/>
        <v>0</v>
      </c>
      <c r="U3" s="384">
        <f t="shared" ca="1" si="0"/>
        <v>0</v>
      </c>
      <c r="V3" s="384">
        <f t="shared" ca="1" si="1"/>
        <v>0</v>
      </c>
      <c r="W3" s="384">
        <f t="shared" ca="1" si="1"/>
        <v>0</v>
      </c>
      <c r="X3" s="384">
        <f ca="1">SUMIFS(X$14:X$1400,$E$14:$E$1400,$E3)</f>
        <v>0</v>
      </c>
      <c r="Y3" s="384"/>
      <c r="Z3" s="384">
        <f t="shared" ca="1" si="1"/>
        <v>0</v>
      </c>
      <c r="AA3" s="384">
        <f t="shared" ca="1" si="1"/>
        <v>0</v>
      </c>
      <c r="AB3" s="384">
        <f t="shared" ca="1" si="1"/>
        <v>0</v>
      </c>
      <c r="AC3" s="384">
        <f t="shared" ca="1" si="1"/>
        <v>0</v>
      </c>
      <c r="AD3" s="384">
        <f t="shared" ca="1" si="1"/>
        <v>0</v>
      </c>
      <c r="AE3" s="384">
        <f t="shared" ca="1" si="1"/>
        <v>0</v>
      </c>
      <c r="AF3" s="386">
        <f t="shared" ca="1" si="1"/>
        <v>0</v>
      </c>
      <c r="AG3" s="386">
        <f t="shared" ca="1" si="1"/>
        <v>0</v>
      </c>
      <c r="AH3" s="384">
        <f t="shared" ca="1" si="1"/>
        <v>0</v>
      </c>
      <c r="AI3" s="384">
        <f t="shared" ca="1" si="1"/>
        <v>0</v>
      </c>
      <c r="AJ3" s="384">
        <f t="shared" ca="1" si="1"/>
        <v>0</v>
      </c>
      <c r="AK3" s="387"/>
      <c r="AL3" s="86"/>
      <c r="AM3" s="86"/>
      <c r="AN3" s="86"/>
      <c r="AO3" s="86"/>
    </row>
    <row r="4" spans="1:41" ht="14.25" customHeight="1" x14ac:dyDescent="0.45">
      <c r="E4" s="379">
        <f t="array" aca="1" ref="E4" ca="1">IFERROR(INDEX(INDIRECT($E$8),MATCH(0,COUNTIF(E$1:$E3,INDIRECT($E$8)&amp;""),0)),"")</f>
        <v>0</v>
      </c>
      <c r="F4" s="384">
        <f t="shared" ca="1" si="0"/>
        <v>0</v>
      </c>
      <c r="G4" s="384">
        <f t="shared" ca="1" si="0"/>
        <v>0</v>
      </c>
      <c r="H4" s="384">
        <f t="shared" ca="1" si="0"/>
        <v>0</v>
      </c>
      <c r="I4" s="384"/>
      <c r="J4" s="384">
        <f t="shared" ca="1" si="0"/>
        <v>0</v>
      </c>
      <c r="K4" s="384">
        <f t="shared" ca="1" si="0"/>
        <v>0</v>
      </c>
      <c r="L4" s="384">
        <f t="shared" ca="1" si="0"/>
        <v>0</v>
      </c>
      <c r="M4" s="384">
        <f t="shared" ca="1" si="0"/>
        <v>0</v>
      </c>
      <c r="N4" s="384">
        <f t="shared" ca="1" si="0"/>
        <v>0</v>
      </c>
      <c r="O4" s="385">
        <f t="shared" ca="1" si="0"/>
        <v>0</v>
      </c>
      <c r="P4" s="384">
        <f t="shared" ca="1" si="0"/>
        <v>0</v>
      </c>
      <c r="Q4" s="384">
        <f t="shared" ca="1" si="0"/>
        <v>0</v>
      </c>
      <c r="R4" s="384">
        <f t="shared" ca="1" si="0"/>
        <v>0</v>
      </c>
      <c r="S4" s="384">
        <f t="shared" ca="1" si="0"/>
        <v>0</v>
      </c>
      <c r="T4" s="384">
        <f t="shared" ca="1" si="0"/>
        <v>0</v>
      </c>
      <c r="U4" s="384">
        <f t="shared" ca="1" si="0"/>
        <v>0</v>
      </c>
      <c r="V4" s="384">
        <f t="shared" ca="1" si="1"/>
        <v>0</v>
      </c>
      <c r="W4" s="384">
        <f t="shared" ca="1" si="1"/>
        <v>0</v>
      </c>
      <c r="X4" s="384">
        <f t="shared" ca="1" si="1"/>
        <v>0</v>
      </c>
      <c r="Y4" s="384"/>
      <c r="Z4" s="384">
        <f t="shared" ca="1" si="1"/>
        <v>0</v>
      </c>
      <c r="AA4" s="384">
        <f t="shared" ca="1" si="1"/>
        <v>0</v>
      </c>
      <c r="AB4" s="384">
        <f t="shared" ca="1" si="1"/>
        <v>0</v>
      </c>
      <c r="AC4" s="384">
        <f t="shared" ca="1" si="1"/>
        <v>0</v>
      </c>
      <c r="AD4" s="384">
        <f t="shared" ca="1" si="1"/>
        <v>0</v>
      </c>
      <c r="AE4" s="384">
        <f t="shared" ca="1" si="1"/>
        <v>0</v>
      </c>
      <c r="AF4" s="384">
        <f t="shared" ca="1" si="1"/>
        <v>0</v>
      </c>
      <c r="AG4" s="384">
        <f t="shared" ca="1" si="1"/>
        <v>0</v>
      </c>
      <c r="AH4" s="384">
        <f t="shared" ca="1" si="1"/>
        <v>0</v>
      </c>
      <c r="AI4" s="384">
        <f t="shared" ca="1" si="1"/>
        <v>0</v>
      </c>
      <c r="AJ4" s="384">
        <f t="shared" ca="1" si="1"/>
        <v>0</v>
      </c>
      <c r="AK4" s="387"/>
      <c r="AL4" s="86"/>
      <c r="AM4" s="86"/>
      <c r="AN4" s="86"/>
      <c r="AO4" s="86"/>
    </row>
    <row r="5" spans="1:41" ht="14.25" customHeight="1" x14ac:dyDescent="0.45">
      <c r="E5" s="379">
        <f t="array" aca="1" ref="E5" ca="1">IFERROR(INDEX(INDIRECT($E$8),MATCH(0,COUNTIF(E$1:$E4,INDIRECT($E$8)&amp;""),0)),"")</f>
        <v>0</v>
      </c>
      <c r="F5" s="384">
        <f t="shared" ca="1" si="0"/>
        <v>0</v>
      </c>
      <c r="G5" s="384">
        <f t="shared" ca="1" si="0"/>
        <v>0</v>
      </c>
      <c r="H5" s="384">
        <f t="shared" ca="1" si="0"/>
        <v>0</v>
      </c>
      <c r="I5" s="384"/>
      <c r="J5" s="384">
        <f t="shared" ca="1" si="0"/>
        <v>0</v>
      </c>
      <c r="K5" s="384">
        <f t="shared" ca="1" si="0"/>
        <v>0</v>
      </c>
      <c r="L5" s="384">
        <f t="shared" ca="1" si="0"/>
        <v>0</v>
      </c>
      <c r="M5" s="384">
        <f t="shared" ca="1" si="0"/>
        <v>0</v>
      </c>
      <c r="N5" s="384">
        <f t="shared" ca="1" si="0"/>
        <v>0</v>
      </c>
      <c r="O5" s="385">
        <f t="shared" ca="1" si="0"/>
        <v>0</v>
      </c>
      <c r="P5" s="384">
        <f t="shared" ca="1" si="0"/>
        <v>0</v>
      </c>
      <c r="Q5" s="384">
        <f t="shared" ca="1" si="0"/>
        <v>0</v>
      </c>
      <c r="R5" s="384">
        <f t="shared" ca="1" si="0"/>
        <v>0</v>
      </c>
      <c r="S5" s="384">
        <f t="shared" ca="1" si="0"/>
        <v>0</v>
      </c>
      <c r="T5" s="384">
        <f t="shared" ca="1" si="0"/>
        <v>0</v>
      </c>
      <c r="U5" s="384">
        <f t="shared" ca="1" si="0"/>
        <v>0</v>
      </c>
      <c r="V5" s="384">
        <f t="shared" ca="1" si="1"/>
        <v>0</v>
      </c>
      <c r="W5" s="384">
        <f t="shared" ca="1" si="1"/>
        <v>0</v>
      </c>
      <c r="X5" s="384">
        <f t="shared" ca="1" si="1"/>
        <v>0</v>
      </c>
      <c r="Y5" s="384"/>
      <c r="Z5" s="384">
        <f t="shared" ca="1" si="1"/>
        <v>0</v>
      </c>
      <c r="AA5" s="384">
        <f t="shared" ca="1" si="1"/>
        <v>0</v>
      </c>
      <c r="AB5" s="384">
        <f t="shared" ca="1" si="1"/>
        <v>0</v>
      </c>
      <c r="AC5" s="384">
        <f t="shared" ca="1" si="1"/>
        <v>0</v>
      </c>
      <c r="AD5" s="384">
        <f t="shared" ca="1" si="1"/>
        <v>0</v>
      </c>
      <c r="AE5" s="384">
        <f t="shared" ca="1" si="1"/>
        <v>0</v>
      </c>
      <c r="AF5" s="384">
        <f t="shared" ca="1" si="1"/>
        <v>0</v>
      </c>
      <c r="AG5" s="384">
        <f t="shared" ca="1" si="1"/>
        <v>0</v>
      </c>
      <c r="AH5" s="384">
        <f t="shared" ca="1" si="1"/>
        <v>0</v>
      </c>
      <c r="AI5" s="384">
        <f t="shared" ca="1" si="1"/>
        <v>0</v>
      </c>
      <c r="AJ5" s="384">
        <f t="shared" ca="1" si="1"/>
        <v>0</v>
      </c>
      <c r="AK5" s="387"/>
      <c r="AL5" s="86"/>
      <c r="AM5" s="86"/>
      <c r="AN5" s="86"/>
      <c r="AO5" s="86"/>
    </row>
    <row r="6" spans="1:41" ht="13.5" customHeight="1" x14ac:dyDescent="0.45">
      <c r="E6" s="379">
        <f t="array" aca="1" ref="E6" ca="1">IFERROR(INDEX(INDIRECT($E$8),MATCH(0,COUNTIF(E$1:$E5,INDIRECT($E$8)&amp;""),0)),"")</f>
        <v>0</v>
      </c>
      <c r="F6" s="384">
        <f t="shared" ca="1" si="0"/>
        <v>0</v>
      </c>
      <c r="G6" s="384">
        <f t="shared" ca="1" si="0"/>
        <v>0</v>
      </c>
      <c r="H6" s="384">
        <f t="shared" ca="1" si="0"/>
        <v>0</v>
      </c>
      <c r="I6" s="384"/>
      <c r="J6" s="384">
        <f t="shared" ca="1" si="0"/>
        <v>0</v>
      </c>
      <c r="K6" s="384">
        <f t="shared" ca="1" si="0"/>
        <v>0</v>
      </c>
      <c r="L6" s="384">
        <f t="shared" ca="1" si="0"/>
        <v>0</v>
      </c>
      <c r="M6" s="384">
        <f t="shared" ca="1" si="0"/>
        <v>0</v>
      </c>
      <c r="N6" s="384">
        <f t="shared" ca="1" si="0"/>
        <v>0</v>
      </c>
      <c r="O6" s="385">
        <f t="shared" ca="1" si="0"/>
        <v>0</v>
      </c>
      <c r="P6" s="384">
        <f t="shared" ca="1" si="0"/>
        <v>0</v>
      </c>
      <c r="Q6" s="384">
        <f t="shared" ca="1" si="0"/>
        <v>0</v>
      </c>
      <c r="R6" s="384">
        <f t="shared" ca="1" si="0"/>
        <v>0</v>
      </c>
      <c r="S6" s="384">
        <f t="shared" ca="1" si="0"/>
        <v>0</v>
      </c>
      <c r="T6" s="384">
        <f t="shared" ca="1" si="0"/>
        <v>0</v>
      </c>
      <c r="U6" s="384">
        <f t="shared" ca="1" si="0"/>
        <v>0</v>
      </c>
      <c r="V6" s="384">
        <f t="shared" ca="1" si="1"/>
        <v>0</v>
      </c>
      <c r="W6" s="384">
        <f t="shared" ca="1" si="1"/>
        <v>0</v>
      </c>
      <c r="X6" s="384">
        <f ca="1">SUMIFS(X$14:X$1400,$E$14:$E$1400,$E6)</f>
        <v>0</v>
      </c>
      <c r="Y6" s="384"/>
      <c r="Z6" s="384">
        <f t="shared" ca="1" si="1"/>
        <v>0</v>
      </c>
      <c r="AA6" s="384">
        <f t="shared" ca="1" si="1"/>
        <v>0</v>
      </c>
      <c r="AB6" s="384">
        <f t="shared" ca="1" si="1"/>
        <v>0</v>
      </c>
      <c r="AC6" s="384">
        <f t="shared" ca="1" si="1"/>
        <v>0</v>
      </c>
      <c r="AD6" s="384">
        <f t="shared" ca="1" si="1"/>
        <v>0</v>
      </c>
      <c r="AE6" s="384">
        <f t="shared" ca="1" si="1"/>
        <v>0</v>
      </c>
      <c r="AF6" s="384">
        <f t="shared" ca="1" si="1"/>
        <v>0</v>
      </c>
      <c r="AG6" s="384">
        <f t="shared" ca="1" si="1"/>
        <v>0</v>
      </c>
      <c r="AH6" s="384">
        <f t="shared" ca="1" si="1"/>
        <v>0</v>
      </c>
      <c r="AI6" s="384">
        <f t="shared" ca="1" si="1"/>
        <v>0</v>
      </c>
      <c r="AJ6" s="384">
        <f t="shared" ca="1" si="1"/>
        <v>0</v>
      </c>
      <c r="AK6" s="387"/>
      <c r="AL6" s="86"/>
      <c r="AM6" s="86"/>
      <c r="AN6" s="86"/>
      <c r="AO6" s="86"/>
    </row>
    <row r="7" spans="1:41" s="58" customFormat="1" ht="19.7" customHeight="1" x14ac:dyDescent="0.45">
      <c r="C7" s="61">
        <f ca="1">COUNTIF(I14:I1400,"&gt;0")</f>
        <v>0</v>
      </c>
      <c r="D7" s="61"/>
      <c r="E7" s="64" t="s">
        <v>82</v>
      </c>
      <c r="F7" s="63">
        <f ca="1">SUM(F2:F6)</f>
        <v>0</v>
      </c>
      <c r="G7" s="63">
        <f ca="1">SUM(G2:G6)</f>
        <v>0</v>
      </c>
      <c r="H7" s="63">
        <f t="shared" ref="H7:AJ7" ca="1" si="2">SUM(H2:H6)</f>
        <v>0</v>
      </c>
      <c r="I7" s="63"/>
      <c r="J7" s="63">
        <f t="shared" ca="1" si="2"/>
        <v>0</v>
      </c>
      <c r="K7" s="63">
        <f t="shared" ca="1" si="2"/>
        <v>0</v>
      </c>
      <c r="L7" s="63">
        <f t="shared" ca="1" si="2"/>
        <v>0</v>
      </c>
      <c r="M7" s="63">
        <f t="shared" ca="1" si="2"/>
        <v>0</v>
      </c>
      <c r="N7" s="63">
        <f t="shared" ca="1" si="2"/>
        <v>0</v>
      </c>
      <c r="O7" s="212">
        <f t="shared" ca="1" si="2"/>
        <v>0</v>
      </c>
      <c r="P7" s="63">
        <f t="shared" ca="1" si="2"/>
        <v>0</v>
      </c>
      <c r="Q7" s="63">
        <f t="shared" ca="1" si="2"/>
        <v>0</v>
      </c>
      <c r="R7" s="63">
        <f t="shared" ca="1" si="2"/>
        <v>0</v>
      </c>
      <c r="S7" s="63">
        <f t="shared" ca="1" si="2"/>
        <v>0</v>
      </c>
      <c r="T7" s="63">
        <f t="shared" ca="1" si="2"/>
        <v>0</v>
      </c>
      <c r="U7" s="63">
        <f t="shared" ca="1" si="2"/>
        <v>0</v>
      </c>
      <c r="V7" s="63">
        <f t="shared" ca="1" si="2"/>
        <v>0</v>
      </c>
      <c r="W7" s="63">
        <f t="shared" ca="1" si="2"/>
        <v>0</v>
      </c>
      <c r="X7" s="63">
        <f t="shared" ca="1" si="2"/>
        <v>0</v>
      </c>
      <c r="Y7" s="63"/>
      <c r="Z7" s="63">
        <f t="shared" ca="1" si="2"/>
        <v>0</v>
      </c>
      <c r="AA7" s="63">
        <f t="shared" ca="1" si="2"/>
        <v>0</v>
      </c>
      <c r="AB7" s="63">
        <f t="shared" ca="1" si="2"/>
        <v>0</v>
      </c>
      <c r="AC7" s="63">
        <f t="shared" ca="1" si="2"/>
        <v>0</v>
      </c>
      <c r="AD7" s="63">
        <f t="shared" ca="1" si="2"/>
        <v>0</v>
      </c>
      <c r="AE7" s="63">
        <f t="shared" ca="1" si="2"/>
        <v>0</v>
      </c>
      <c r="AF7" s="63">
        <f t="shared" ca="1" si="2"/>
        <v>0</v>
      </c>
      <c r="AG7" s="63">
        <f t="shared" ca="1" si="2"/>
        <v>0</v>
      </c>
      <c r="AH7" s="63">
        <f t="shared" ca="1" si="2"/>
        <v>0</v>
      </c>
      <c r="AI7" s="63">
        <f t="shared" ca="1" si="2"/>
        <v>0</v>
      </c>
      <c r="AJ7" s="63">
        <f t="shared" ca="1" si="2"/>
        <v>0</v>
      </c>
      <c r="AK7" s="62"/>
      <c r="AL7" s="86"/>
      <c r="AM7" s="86"/>
      <c r="AN7" s="86"/>
      <c r="AO7" s="86"/>
    </row>
    <row r="8" spans="1:41" s="58" customFormat="1" ht="19.7" customHeight="1" x14ac:dyDescent="0.45">
      <c r="A8" s="55"/>
      <c r="B8" s="55"/>
      <c r="C8" s="56"/>
      <c r="D8" s="56"/>
      <c r="E8" s="91" t="str">
        <f ca="1">"$E$14:$E$"&amp;COUNTA(E14:E1000)+14</f>
        <v>$E$14:$E$16</v>
      </c>
      <c r="F8" s="57">
        <f ca="1">SUBTOTAL(9,F$14:F$1400)</f>
        <v>0</v>
      </c>
      <c r="G8" s="57">
        <f ca="1">SUBTOTAL(9,G$14:G$1400)</f>
        <v>0</v>
      </c>
      <c r="H8" s="57">
        <f t="shared" ref="H8:AJ8" ca="1" si="3">SUBTOTAL(9,H$14:H$1400)</f>
        <v>0</v>
      </c>
      <c r="I8" s="57"/>
      <c r="J8" s="57">
        <f t="shared" ca="1" si="3"/>
        <v>0</v>
      </c>
      <c r="K8" s="57">
        <f t="shared" ca="1" si="3"/>
        <v>0</v>
      </c>
      <c r="L8" s="57">
        <f t="shared" si="3"/>
        <v>0</v>
      </c>
      <c r="M8" s="57">
        <f t="shared" ca="1" si="3"/>
        <v>0</v>
      </c>
      <c r="N8" s="57">
        <f t="shared" ca="1" si="3"/>
        <v>0</v>
      </c>
      <c r="O8" s="213">
        <f t="shared" si="3"/>
        <v>0</v>
      </c>
      <c r="P8" s="57">
        <f t="shared" ca="1" si="3"/>
        <v>0</v>
      </c>
      <c r="Q8" s="57">
        <f t="shared" si="3"/>
        <v>0</v>
      </c>
      <c r="R8" s="57">
        <f t="shared" si="3"/>
        <v>0</v>
      </c>
      <c r="S8" s="57">
        <f t="shared" si="3"/>
        <v>0</v>
      </c>
      <c r="T8" s="57">
        <f t="shared" si="3"/>
        <v>0</v>
      </c>
      <c r="U8" s="57">
        <f t="shared" si="3"/>
        <v>0</v>
      </c>
      <c r="V8" s="57">
        <f t="shared" ca="1" si="3"/>
        <v>0</v>
      </c>
      <c r="W8" s="57">
        <f t="shared" ca="1" si="3"/>
        <v>0</v>
      </c>
      <c r="X8" s="57">
        <f t="shared" ca="1" si="3"/>
        <v>0</v>
      </c>
      <c r="Y8" s="57"/>
      <c r="Z8" s="57">
        <f t="shared" ca="1" si="3"/>
        <v>0</v>
      </c>
      <c r="AA8" s="57">
        <f t="shared" ca="1" si="3"/>
        <v>0</v>
      </c>
      <c r="AB8" s="57">
        <f t="shared" ca="1" si="3"/>
        <v>0</v>
      </c>
      <c r="AC8" s="57">
        <f t="shared" ca="1" si="3"/>
        <v>0</v>
      </c>
      <c r="AD8" s="57">
        <f t="shared" ca="1" si="3"/>
        <v>0</v>
      </c>
      <c r="AE8" s="57">
        <f t="shared" ca="1" si="3"/>
        <v>0</v>
      </c>
      <c r="AF8" s="57">
        <f t="shared" si="3"/>
        <v>0</v>
      </c>
      <c r="AG8" s="57">
        <f t="shared" si="3"/>
        <v>0</v>
      </c>
      <c r="AH8" s="57">
        <f t="shared" ca="1" si="3"/>
        <v>0</v>
      </c>
      <c r="AI8" s="57">
        <f t="shared" ca="1" si="3"/>
        <v>0</v>
      </c>
      <c r="AJ8" s="57">
        <f t="shared" ca="1" si="3"/>
        <v>0</v>
      </c>
      <c r="AK8" s="57"/>
      <c r="AL8" s="86"/>
      <c r="AM8" s="86"/>
      <c r="AN8" s="86"/>
      <c r="AO8" s="86"/>
    </row>
    <row r="9" spans="1:41" x14ac:dyDescent="0.45">
      <c r="A9" s="26"/>
      <c r="B9" s="26"/>
      <c r="C9" s="43"/>
      <c r="D9" s="43"/>
      <c r="E9" s="26"/>
      <c r="F9" s="26"/>
      <c r="G9" s="26"/>
      <c r="H9" s="26"/>
      <c r="I9" s="52"/>
      <c r="J9" s="54"/>
      <c r="K9" s="609" t="s">
        <v>111</v>
      </c>
      <c r="L9" s="590"/>
      <c r="M9" s="590"/>
      <c r="N9" s="590"/>
      <c r="O9" s="606" t="s">
        <v>369</v>
      </c>
      <c r="P9" s="606"/>
      <c r="Q9" s="611" t="s">
        <v>49</v>
      </c>
      <c r="R9" s="612"/>
      <c r="S9" s="613"/>
      <c r="T9" s="613"/>
      <c r="U9" s="163"/>
      <c r="V9" s="95"/>
      <c r="W9" s="604" t="s">
        <v>53</v>
      </c>
      <c r="X9" s="604"/>
      <c r="Y9" s="604"/>
      <c r="Z9" s="604"/>
      <c r="AA9" s="605"/>
      <c r="AB9" s="92"/>
      <c r="AC9" s="607" t="s">
        <v>56</v>
      </c>
      <c r="AD9" s="608"/>
      <c r="AE9" s="608"/>
      <c r="AF9" s="608"/>
      <c r="AG9" s="608"/>
      <c r="AH9" s="94"/>
      <c r="AI9" s="94"/>
      <c r="AJ9" s="26"/>
      <c r="AK9" s="42"/>
      <c r="AL9" s="86"/>
      <c r="AM9" s="86"/>
      <c r="AN9" s="86"/>
      <c r="AO9" s="86"/>
    </row>
    <row r="10" spans="1:41" ht="15" customHeight="1" x14ac:dyDescent="0.45">
      <c r="A10" s="622" t="s">
        <v>1</v>
      </c>
      <c r="B10" s="622" t="s">
        <v>2</v>
      </c>
      <c r="C10" s="622" t="s">
        <v>3</v>
      </c>
      <c r="D10" s="622" t="s">
        <v>4</v>
      </c>
      <c r="E10" s="622" t="s">
        <v>39</v>
      </c>
      <c r="F10" s="622" t="s">
        <v>6</v>
      </c>
      <c r="G10" s="622" t="s">
        <v>7</v>
      </c>
      <c r="H10" s="622" t="s">
        <v>40</v>
      </c>
      <c r="I10" s="625" t="s">
        <v>42</v>
      </c>
      <c r="J10" s="622" t="s">
        <v>41</v>
      </c>
      <c r="K10" s="627" t="s">
        <v>298</v>
      </c>
      <c r="L10" s="590" t="s">
        <v>44</v>
      </c>
      <c r="M10" s="590"/>
      <c r="N10" s="627" t="s">
        <v>299</v>
      </c>
      <c r="O10" s="163"/>
      <c r="P10" s="31"/>
      <c r="Q10" s="614" t="s">
        <v>79</v>
      </c>
      <c r="R10" s="614"/>
      <c r="S10" s="168"/>
      <c r="T10" s="170"/>
      <c r="U10" s="164"/>
      <c r="V10" s="96"/>
      <c r="W10" s="32"/>
      <c r="X10" s="26"/>
      <c r="Y10" s="26"/>
      <c r="Z10" s="26"/>
      <c r="AA10" s="32"/>
      <c r="AB10" s="599" t="s">
        <v>57</v>
      </c>
      <c r="AC10" s="615" t="s">
        <v>58</v>
      </c>
      <c r="AD10" s="616"/>
      <c r="AE10" s="615"/>
      <c r="AF10" s="616"/>
      <c r="AG10" s="617"/>
      <c r="AH10" s="599" t="s">
        <v>59</v>
      </c>
      <c r="AI10" s="632" t="s">
        <v>61</v>
      </c>
      <c r="AJ10" s="35"/>
      <c r="AK10" s="35"/>
      <c r="AL10" s="86"/>
      <c r="AM10" s="86"/>
      <c r="AN10" s="86"/>
      <c r="AO10" s="86"/>
    </row>
    <row r="11" spans="1:41" s="4" customFormat="1" ht="33" customHeight="1" x14ac:dyDescent="0.45">
      <c r="A11" s="622"/>
      <c r="B11" s="622"/>
      <c r="C11" s="622"/>
      <c r="D11" s="622"/>
      <c r="E11" s="622"/>
      <c r="F11" s="622"/>
      <c r="G11" s="622"/>
      <c r="H11" s="622"/>
      <c r="I11" s="625"/>
      <c r="J11" s="622"/>
      <c r="K11" s="628"/>
      <c r="L11" s="160" t="s">
        <v>45</v>
      </c>
      <c r="M11" s="25" t="s">
        <v>46</v>
      </c>
      <c r="N11" s="628"/>
      <c r="O11" s="203" t="s">
        <v>370</v>
      </c>
      <c r="P11" s="103" t="s">
        <v>371</v>
      </c>
      <c r="Q11" s="161" t="s">
        <v>51</v>
      </c>
      <c r="R11" s="28" t="s">
        <v>78</v>
      </c>
      <c r="S11" s="169" t="s">
        <v>50</v>
      </c>
      <c r="T11" s="171" t="s">
        <v>60</v>
      </c>
      <c r="U11" s="162" t="s">
        <v>77</v>
      </c>
      <c r="V11" s="97" t="s">
        <v>52</v>
      </c>
      <c r="W11" s="33" t="s">
        <v>43</v>
      </c>
      <c r="X11" s="196" t="s">
        <v>264</v>
      </c>
      <c r="Y11" s="196" t="s">
        <v>77</v>
      </c>
      <c r="Z11" s="103" t="s">
        <v>54</v>
      </c>
      <c r="AA11" s="33" t="s">
        <v>55</v>
      </c>
      <c r="AB11" s="599"/>
      <c r="AC11" s="25" t="s">
        <v>88</v>
      </c>
      <c r="AD11" s="28" t="s">
        <v>28</v>
      </c>
      <c r="AE11" s="34" t="s">
        <v>81</v>
      </c>
      <c r="AF11" s="126"/>
      <c r="AG11" s="30"/>
      <c r="AH11" s="599"/>
      <c r="AI11" s="632"/>
      <c r="AJ11" s="36" t="s">
        <v>62</v>
      </c>
      <c r="AK11" s="36" t="s">
        <v>63</v>
      </c>
      <c r="AL11" s="87"/>
      <c r="AM11" s="87"/>
      <c r="AN11" s="87"/>
      <c r="AO11" s="87"/>
    </row>
    <row r="12" spans="1:41" s="4" customFormat="1" ht="15" customHeight="1" x14ac:dyDescent="0.45">
      <c r="A12" s="29"/>
      <c r="B12" s="29"/>
      <c r="C12" s="29"/>
      <c r="D12" s="29"/>
      <c r="E12" s="29"/>
      <c r="F12" s="29"/>
      <c r="G12" s="602" t="str">
        <f>'1'!G12</f>
        <v>Link</v>
      </c>
      <c r="H12" s="603"/>
      <c r="I12" s="53"/>
      <c r="J12" s="29">
        <f>INDEX(Cham_Cong!$E$7:$P$8,1,MATCH(C1,Cham_Cong!$E$8:$P$8,0))</f>
        <v>25</v>
      </c>
      <c r="K12" s="40">
        <v>730000</v>
      </c>
      <c r="L12" s="160"/>
      <c r="M12" s="27">
        <v>1000000</v>
      </c>
      <c r="N12" s="41">
        <v>500000</v>
      </c>
      <c r="O12" s="167">
        <v>2</v>
      </c>
      <c r="P12" s="38"/>
      <c r="Q12" s="161"/>
      <c r="R12" s="25"/>
      <c r="S12" s="165"/>
      <c r="T12" s="166"/>
      <c r="U12" s="165"/>
      <c r="V12" s="98"/>
      <c r="W12" s="30"/>
      <c r="X12" s="29"/>
      <c r="Y12" s="29"/>
      <c r="Z12" s="29"/>
      <c r="AA12" s="30"/>
      <c r="AB12" s="93"/>
      <c r="AC12" s="37">
        <v>11000000</v>
      </c>
      <c r="AD12" s="37">
        <v>4400000</v>
      </c>
      <c r="AE12" s="39">
        <v>0.105</v>
      </c>
      <c r="AF12" s="39"/>
      <c r="AG12" s="39"/>
      <c r="AH12" s="93"/>
      <c r="AI12" s="93"/>
      <c r="AJ12" s="29"/>
      <c r="AK12" s="29"/>
      <c r="AL12" s="87"/>
      <c r="AM12" s="87"/>
      <c r="AN12" s="87"/>
      <c r="AO12" s="87"/>
    </row>
    <row r="13" spans="1:41" s="70" customFormat="1" x14ac:dyDescent="0.45">
      <c r="A13" s="49"/>
      <c r="B13" s="49" t="s">
        <v>24</v>
      </c>
      <c r="C13" s="89" t="s">
        <v>25</v>
      </c>
      <c r="D13" s="49" t="s">
        <v>26</v>
      </c>
      <c r="E13" s="49" t="s">
        <v>27</v>
      </c>
      <c r="F13" s="49" t="s">
        <v>28</v>
      </c>
      <c r="G13" s="49" t="s">
        <v>29</v>
      </c>
      <c r="H13" s="49" t="s">
        <v>185</v>
      </c>
      <c r="I13" s="90" t="s">
        <v>186</v>
      </c>
      <c r="J13" s="49" t="s">
        <v>80</v>
      </c>
      <c r="K13" s="49" t="s">
        <v>80</v>
      </c>
      <c r="L13" s="49" t="s">
        <v>391</v>
      </c>
      <c r="M13" s="49" t="s">
        <v>80</v>
      </c>
      <c r="N13" s="49" t="s">
        <v>80</v>
      </c>
      <c r="O13" s="49" t="s">
        <v>208</v>
      </c>
      <c r="P13" s="49" t="s">
        <v>80</v>
      </c>
      <c r="Q13" s="49"/>
      <c r="R13" s="49" t="s">
        <v>80</v>
      </c>
      <c r="S13" s="49" t="s">
        <v>80</v>
      </c>
      <c r="T13" s="49" t="s">
        <v>80</v>
      </c>
      <c r="U13" s="49" t="s">
        <v>80</v>
      </c>
      <c r="V13" s="49" t="s">
        <v>66</v>
      </c>
      <c r="W13" s="49"/>
      <c r="X13" s="49"/>
      <c r="Y13" s="49"/>
      <c r="Z13" s="49"/>
      <c r="AA13" s="49"/>
      <c r="AB13" s="49" t="s">
        <v>64</v>
      </c>
      <c r="AC13" s="49" t="s">
        <v>101</v>
      </c>
      <c r="AD13" s="49" t="s">
        <v>102</v>
      </c>
      <c r="AE13" s="49" t="s">
        <v>165</v>
      </c>
      <c r="AF13" s="49"/>
      <c r="AG13" s="49"/>
      <c r="AH13" s="49"/>
      <c r="AI13" s="49" t="s">
        <v>65</v>
      </c>
      <c r="AJ13" s="49" t="s">
        <v>67</v>
      </c>
      <c r="AK13" s="49"/>
      <c r="AL13" s="88" t="s">
        <v>32</v>
      </c>
      <c r="AM13" s="88" t="s">
        <v>33</v>
      </c>
      <c r="AN13" s="88" t="s">
        <v>34</v>
      </c>
      <c r="AO13" s="88" t="s">
        <v>35</v>
      </c>
    </row>
    <row r="14" spans="1:41" x14ac:dyDescent="0.45">
      <c r="A14" s="5">
        <f ca="1">IF(B14&lt;&gt;"",SUBTOTAL(3,$B$14:B14),"")</f>
        <v>1</v>
      </c>
      <c r="B14" s="3">
        <f ca="1">INDEX(INDIRECT(Danh_Sach!$N$1),ROWS($B$14:$B14),MATCH(B$13,INDIRECT(Danh_Sach!$N$2),0))</f>
        <v>0</v>
      </c>
      <c r="C14" s="187">
        <f ca="1">INDEX(INDIRECT(Danh_Sach!$N$1),ROWS($B$14:$B14),MATCH(C$13,INDIRECT(Danh_Sach!$N$2),0))</f>
        <v>0</v>
      </c>
      <c r="D14" s="187">
        <f ca="1">INDEX(INDIRECT(Danh_Sach!$N$1),ROWS($B$14:$B14),MATCH(D$13,INDIRECT(Danh_Sach!$N$2),0))</f>
        <v>0</v>
      </c>
      <c r="E14" s="5">
        <f ca="1">INDEX(INDIRECT(Danh_Sach!$N$1),ROWS($B$14:$B14),MATCH(E$13,INDIRECT(Danh_Sach!$N$2),0))</f>
        <v>0</v>
      </c>
      <c r="F14" s="5">
        <f t="array" aca="1" ref="F14" ca="1">INDEX(INDIRECT(NPT!$W$1),ROWS($B$14:B14),MATCH($C$1,INDIRECT(NPT!$W$2),0))</f>
        <v>0</v>
      </c>
      <c r="G14" s="11">
        <f ca="1">IF(AND($G$12="Link",H14&lt;&gt;0),H14,INDEX(INDIRECT(Danh_Sach!$N$1),ROWS($B$14:$B14),MATCH(G$13,INDIRECT(Danh_Sach!$N$2),0)))</f>
        <v>0</v>
      </c>
      <c r="H14" s="11">
        <f ca="1">IFERROR(INDEX(INDIRECT(BaoHiem!$A$3),ROWS($B$14:$B14),MATCH($C$1,INDIRECT(BaoHiem!$A$4),0)),0)</f>
        <v>0</v>
      </c>
      <c r="I14" s="72">
        <f t="array" aca="1" ref="I14" ca="1">INDEX(INDIRECT(Cham_Cong!$T$3),ROWS($B$14:B14),MATCH($C$1,INDIRECT(Cham_Cong!$T$4),0))</f>
        <v>0</v>
      </c>
      <c r="J14" s="11">
        <f ca="1">G14/$J$12*I14</f>
        <v>0</v>
      </c>
      <c r="K14" s="11">
        <f ca="1">IF(I14&gt;0,$K$12,0)</f>
        <v>0</v>
      </c>
      <c r="L14" s="11"/>
      <c r="M14" s="22">
        <f ca="1">IF(I14=0,0,$M$12*L14)</f>
        <v>0</v>
      </c>
      <c r="N14" s="11">
        <f ca="1">IF(I14&gt;0,$N$12,0)</f>
        <v>0</v>
      </c>
      <c r="P14" s="22">
        <f ca="1">IF(I14=0,0,ROUND(O14*$O$12*(G14/$J$12/8),0))</f>
        <v>0</v>
      </c>
      <c r="S14" s="11"/>
      <c r="V14" s="11">
        <f ca="1">IF(I14=0,0,SUMIF($J$13:$U$13,"i_gross",J14:U14))</f>
        <v>0</v>
      </c>
      <c r="W14" s="22">
        <f ca="1">K14</f>
        <v>0</v>
      </c>
      <c r="X14" s="22">
        <f ca="1">M14+N14</f>
        <v>0</v>
      </c>
      <c r="Y14" s="22">
        <f>U14</f>
        <v>0</v>
      </c>
      <c r="Z14" s="22">
        <f ca="1">P14-P14/$O$12</f>
        <v>0</v>
      </c>
      <c r="AA14" s="22">
        <f ca="1">SUM(W14:Z14)</f>
        <v>0</v>
      </c>
      <c r="AB14" s="22">
        <f ca="1">IF(I14=0,0,V14-AA14)</f>
        <v>0</v>
      </c>
      <c r="AC14" s="22">
        <f ca="1">IF(AB14&gt;0,$AC$12,0)</f>
        <v>0</v>
      </c>
      <c r="AD14" s="22">
        <f ca="1">$AD$12*F14</f>
        <v>0</v>
      </c>
      <c r="AE14" s="22">
        <f ca="1">IF(AB14&gt;0,IF(ISNA(VLOOKUP(C14,Info!$C$22:$D$303,2,0))=FALSE,H14*1.5%,H14*$AE$12),0)</f>
        <v>0</v>
      </c>
      <c r="AH14" s="22">
        <f ca="1">MAX(AB14-SUM(AC14:AG14),0)</f>
        <v>0</v>
      </c>
      <c r="AI14" s="22">
        <f ca="1">IF(AH14&gt;0,(AH14-VLOOKUP(AH14-1,INDIRECT(TAXRATE!$E$1),1,1))*VLOOKUP(AH14,INDIRECT(TAXRATE!$E$1),2,1)+VLOOKUP(AH14-1,INDIRECT(TAXRATE!$E$1),3,1),0)</f>
        <v>0</v>
      </c>
      <c r="AJ14" s="22">
        <f ca="1">V14-AI14-AE14-AF14-AG14</f>
        <v>0</v>
      </c>
      <c r="AL14" s="3" t="str">
        <f ca="1">IF(INDEX(INDIRECT(Danh_Sach!$N$1),ROWS($B$14:$B14),MATCH(AL$13,INDIRECT(Danh_Sach!$N$2),0))=0,"",MONTH(INDEX(INDIRECT(Danh_Sach!$N$1),ROWS($B$14:$B14),MATCH(AL$13,INDIRECT(Danh_Sach!$N$2),0))))</f>
        <v/>
      </c>
      <c r="AM14" s="3" t="str">
        <f ca="1">IF(INDEX(INDIRECT(Danh_Sach!$N$1),ROWS($B$14:$B14),MATCH(AM$13,INDIRECT(Danh_Sach!$N$2),0))=0,"",MONTH(INDEX(INDIRECT(Danh_Sach!$N$1),ROWS($B$14:$B14),MATCH(AM$13,INDIRECT(Danh_Sach!$N$2),0))))</f>
        <v/>
      </c>
      <c r="AN14" s="3" t="str">
        <f ca="1">IF(INDEX(INDIRECT(Danh_Sach!$N$1),ROWS($B$14:$B14),MATCH(AN$13,INDIRECT(Danh_Sach!$N$2),0))=0,"",MONTH(INDEX(INDIRECT(Danh_Sach!$N$1),ROWS($B$14:$B14),MATCH(AN$13,INDIRECT(Danh_Sach!$N$2),0))))</f>
        <v/>
      </c>
      <c r="AO14" s="3" t="str">
        <f ca="1">IF(INDEX(INDIRECT(Danh_Sach!$N$1),ROWS($B$14:$B14),MATCH(AO$13,INDIRECT(Danh_Sach!$N$2),0))=0,"",MONTH(INDEX(INDIRECT(Danh_Sach!$N$1),ROWS($B$14:$B14),MATCH(AO$13,INDIRECT(Danh_Sach!$N$2),0))))</f>
        <v/>
      </c>
    </row>
    <row r="15" spans="1:41" x14ac:dyDescent="0.45">
      <c r="A15" s="5">
        <f ca="1">IF(B15&lt;&gt;"",SUBTOTAL(3,$B$14:B15),"")</f>
        <v>2</v>
      </c>
      <c r="B15" s="3">
        <f ca="1">INDEX(INDIRECT(Danh_Sach!$N$1),ROWS($B$14:$B15),MATCH(B$13,INDIRECT(Danh_Sach!$N$2),0))</f>
        <v>0</v>
      </c>
      <c r="C15" s="187">
        <f ca="1">INDEX(INDIRECT(Danh_Sach!$N$1),ROWS($B$14:$B15),MATCH(C$13,INDIRECT(Danh_Sach!$N$2),0))</f>
        <v>0</v>
      </c>
      <c r="D15" s="187">
        <f ca="1">INDEX(INDIRECT(Danh_Sach!$N$1),ROWS($B$14:$B15),MATCH(D$13,INDIRECT(Danh_Sach!$N$2),0))</f>
        <v>0</v>
      </c>
      <c r="E15" s="5">
        <f ca="1">INDEX(INDIRECT(Danh_Sach!$N$1),ROWS($B$14:$B15),MATCH(E$13,INDIRECT(Danh_Sach!$N$2),0))</f>
        <v>0</v>
      </c>
      <c r="F15" s="5">
        <f t="array" aca="1" ref="F15" ca="1">INDEX(INDIRECT(NPT!$W$1),ROWS($B$14:B15),MATCH($C$1,INDIRECT(NPT!$W$2),0))</f>
        <v>0</v>
      </c>
      <c r="G15" s="11">
        <f ca="1">IF(AND($G$12="Link",H15&lt;&gt;0),H15,INDEX(INDIRECT(Danh_Sach!$N$1),ROWS($B$14:$B15),MATCH(G$13,INDIRECT(Danh_Sach!$N$2),0)))</f>
        <v>0</v>
      </c>
      <c r="H15" s="11">
        <f ca="1">IFERROR(INDEX(INDIRECT(BaoHiem!$A$3),ROWS($B$14:$B15),MATCH($C$1,INDIRECT(BaoHiem!$A$4),0)),0)</f>
        <v>0</v>
      </c>
      <c r="I15" s="72">
        <f t="array" aca="1" ref="I15" ca="1">INDEX(INDIRECT(Cham_Cong!$T$3),ROWS($B$14:B15),MATCH($C$1,INDIRECT(Cham_Cong!$T$4),0))</f>
        <v>0</v>
      </c>
      <c r="J15" s="11">
        <f ca="1">G15/$J$12*I15</f>
        <v>0</v>
      </c>
      <c r="K15" s="11">
        <f ca="1">IF(I15&gt;0,$K$12,0)</f>
        <v>0</v>
      </c>
      <c r="L15" s="11"/>
      <c r="M15" s="22">
        <f ca="1">IF(I15=0,0,$M$12*L15)</f>
        <v>0</v>
      </c>
      <c r="N15" s="11">
        <f ca="1">IF(I15&gt;0,$N$12,0)</f>
        <v>0</v>
      </c>
      <c r="P15" s="22">
        <f ca="1">IF(I15=0,0,ROUND(O15*$O$12*(G15/$J$12/8),0))</f>
        <v>0</v>
      </c>
      <c r="S15" s="11"/>
      <c r="V15" s="11">
        <f ca="1">IF(I15=0,0,SUMIF($J$13:$U$13,"i_gross",J15:U15))</f>
        <v>0</v>
      </c>
      <c r="W15" s="22">
        <f ca="1">K15</f>
        <v>0</v>
      </c>
      <c r="X15" s="22">
        <f ca="1">M15+N15</f>
        <v>0</v>
      </c>
      <c r="Y15" s="22">
        <f>U15</f>
        <v>0</v>
      </c>
      <c r="Z15" s="22">
        <f ca="1">P15-P15/$O$12</f>
        <v>0</v>
      </c>
      <c r="AA15" s="22">
        <f ca="1">SUM(W15:Z15)</f>
        <v>0</v>
      </c>
      <c r="AB15" s="22">
        <f ca="1">IF(I15=0,0,V15-AA15)</f>
        <v>0</v>
      </c>
      <c r="AC15" s="22">
        <f ca="1">IF(AB15&gt;0,$AC$12,0)</f>
        <v>0</v>
      </c>
      <c r="AD15" s="22">
        <f ca="1">$AD$12*F15</f>
        <v>0</v>
      </c>
      <c r="AE15" s="22">
        <f ca="1">IF(AB15&gt;0,IF(ISNA(VLOOKUP(C15,Info!$C$22:$D$303,2,0))=FALSE,H15*1.5%,H15*$AE$12),0)</f>
        <v>0</v>
      </c>
      <c r="AH15" s="22">
        <f ca="1">MAX(AB15-SUM(AC15:AG15),0)</f>
        <v>0</v>
      </c>
      <c r="AI15" s="22">
        <f ca="1">IF(AH15&gt;0,(AH15-VLOOKUP(AH15-1,INDIRECT(TAXRATE!$E$1),1,1))*VLOOKUP(AH15,INDIRECT(TAXRATE!$E$1),2,1)+VLOOKUP(AH15-1,INDIRECT(TAXRATE!$E$1),3,1),0)</f>
        <v>0</v>
      </c>
      <c r="AJ15" s="22">
        <f ca="1">V15-AI15-AE15-AF15-AG15</f>
        <v>0</v>
      </c>
      <c r="AL15" s="3" t="str">
        <f ca="1">IF(INDEX(INDIRECT(Danh_Sach!$N$1),ROWS($B$14:$B15),MATCH(AL$13,INDIRECT(Danh_Sach!$N$2),0))=0,"",MONTH(INDEX(INDIRECT(Danh_Sach!$N$1),ROWS($B$14:$B15),MATCH(AL$13,INDIRECT(Danh_Sach!$N$2),0))))</f>
        <v/>
      </c>
      <c r="AM15" s="3" t="str">
        <f ca="1">IF(INDEX(INDIRECT(Danh_Sach!$N$1),ROWS($B$14:$B15),MATCH(AM$13,INDIRECT(Danh_Sach!$N$2),0))=0,"",MONTH(INDEX(INDIRECT(Danh_Sach!$N$1),ROWS($B$14:$B15),MATCH(AM$13,INDIRECT(Danh_Sach!$N$2),0))))</f>
        <v/>
      </c>
      <c r="AN15" s="3" t="str">
        <f ca="1">IF(INDEX(INDIRECT(Danh_Sach!$N$1),ROWS($B$14:$B15),MATCH(AN$13,INDIRECT(Danh_Sach!$N$2),0))=0,"",MONTH(INDEX(INDIRECT(Danh_Sach!$N$1),ROWS($B$14:$B15),MATCH(AN$13,INDIRECT(Danh_Sach!$N$2),0))))</f>
        <v/>
      </c>
      <c r="AO15" s="3" t="str">
        <f ca="1">IF(INDEX(INDIRECT(Danh_Sach!$N$1),ROWS($B$14:$B15),MATCH(AO$13,INDIRECT(Danh_Sach!$N$2),0))=0,"",MONTH(INDEX(INDIRECT(Danh_Sach!$N$1),ROWS($B$14:$B15),MATCH(AO$13,INDIRECT(Danh_Sach!$N$2),0))))</f>
        <v/>
      </c>
    </row>
    <row r="16" spans="1:41" x14ac:dyDescent="0.45">
      <c r="A16" s="5"/>
      <c r="C16" s="187"/>
      <c r="D16" s="187"/>
      <c r="E16" s="5"/>
      <c r="F16" s="5"/>
      <c r="G16" s="11"/>
      <c r="H16" s="11"/>
      <c r="I16" s="72"/>
      <c r="J16" s="11"/>
      <c r="K16" s="11"/>
      <c r="L16" s="11"/>
      <c r="M16" s="22"/>
      <c r="N16" s="11"/>
      <c r="P16" s="22"/>
      <c r="S16" s="11"/>
      <c r="V16" s="11"/>
      <c r="W16" s="22"/>
      <c r="X16" s="22"/>
      <c r="Y16" s="22"/>
      <c r="Z16" s="22"/>
      <c r="AA16" s="22"/>
      <c r="AB16" s="22"/>
      <c r="AC16" s="22"/>
      <c r="AD16" s="22"/>
      <c r="AE16" s="22"/>
      <c r="AH16" s="22"/>
      <c r="AI16" s="22"/>
      <c r="AJ16" s="22"/>
    </row>
    <row r="17" spans="1:36" x14ac:dyDescent="0.45">
      <c r="A17" s="5"/>
      <c r="C17" s="187"/>
      <c r="D17" s="187"/>
      <c r="E17" s="5"/>
      <c r="F17" s="5"/>
      <c r="G17" s="11"/>
      <c r="H17" s="11"/>
      <c r="I17" s="72"/>
      <c r="J17" s="11"/>
      <c r="K17" s="11"/>
      <c r="L17" s="11"/>
      <c r="M17" s="22"/>
      <c r="N17" s="11"/>
      <c r="P17" s="22"/>
      <c r="S17" s="11"/>
      <c r="V17" s="11"/>
      <c r="W17" s="22"/>
      <c r="X17" s="22"/>
      <c r="Y17" s="22"/>
      <c r="Z17" s="22"/>
      <c r="AA17" s="22"/>
      <c r="AB17" s="22"/>
      <c r="AC17" s="22"/>
      <c r="AD17" s="22"/>
      <c r="AE17" s="22"/>
      <c r="AH17" s="22"/>
      <c r="AI17" s="22"/>
      <c r="AJ17" s="22"/>
    </row>
    <row r="18" spans="1:36" x14ac:dyDescent="0.45">
      <c r="A18" s="5"/>
      <c r="C18" s="187"/>
      <c r="D18" s="187"/>
      <c r="E18" s="5"/>
      <c r="F18" s="5"/>
      <c r="G18" s="11"/>
      <c r="H18" s="11"/>
      <c r="I18" s="72"/>
      <c r="J18" s="11"/>
      <c r="K18" s="11"/>
      <c r="L18" s="11"/>
      <c r="M18" s="22"/>
      <c r="N18" s="11"/>
      <c r="P18" s="22"/>
      <c r="S18" s="11"/>
      <c r="V18" s="11"/>
      <c r="W18" s="22"/>
      <c r="X18" s="22"/>
      <c r="Y18" s="22"/>
      <c r="Z18" s="22"/>
      <c r="AA18" s="22"/>
      <c r="AB18" s="22"/>
      <c r="AC18" s="22"/>
      <c r="AD18" s="22"/>
      <c r="AE18" s="22"/>
      <c r="AH18" s="22"/>
      <c r="AI18" s="22"/>
      <c r="AJ18" s="22"/>
    </row>
    <row r="19" spans="1:36" x14ac:dyDescent="0.45">
      <c r="A19" s="5"/>
      <c r="C19" s="187"/>
      <c r="D19" s="187"/>
      <c r="E19" s="5"/>
      <c r="F19" s="5"/>
      <c r="G19" s="11"/>
      <c r="H19" s="11"/>
      <c r="I19" s="72"/>
      <c r="J19" s="11"/>
      <c r="K19" s="11"/>
      <c r="L19" s="11"/>
      <c r="M19" s="22"/>
      <c r="N19" s="11"/>
      <c r="P19" s="22"/>
      <c r="S19" s="11"/>
      <c r="V19" s="11"/>
      <c r="W19" s="22"/>
      <c r="X19" s="22"/>
      <c r="Y19" s="22"/>
      <c r="Z19" s="22"/>
      <c r="AA19" s="22"/>
      <c r="AB19" s="22"/>
      <c r="AC19" s="22"/>
      <c r="AD19" s="22"/>
      <c r="AE19" s="22"/>
      <c r="AH19" s="22"/>
      <c r="AI19" s="22"/>
      <c r="AJ19" s="22"/>
    </row>
    <row r="20" spans="1:36" x14ac:dyDescent="0.45">
      <c r="A20" s="5"/>
      <c r="C20" s="187"/>
      <c r="D20" s="187"/>
      <c r="E20" s="5"/>
      <c r="F20" s="5"/>
      <c r="G20" s="11"/>
      <c r="H20" s="11"/>
      <c r="I20" s="72"/>
      <c r="J20" s="11"/>
      <c r="K20" s="11"/>
      <c r="L20" s="11"/>
      <c r="M20" s="22"/>
      <c r="N20" s="11"/>
      <c r="P20" s="22"/>
      <c r="S20" s="11"/>
      <c r="V20" s="11"/>
      <c r="W20" s="22"/>
      <c r="X20" s="22"/>
      <c r="Y20" s="22"/>
      <c r="Z20" s="22"/>
      <c r="AA20" s="22"/>
      <c r="AB20" s="22"/>
      <c r="AC20" s="22"/>
      <c r="AD20" s="22"/>
      <c r="AE20" s="22"/>
      <c r="AH20" s="22"/>
      <c r="AI20" s="22"/>
      <c r="AJ20" s="22"/>
    </row>
    <row r="21" spans="1:36" x14ac:dyDescent="0.45">
      <c r="A21" s="5"/>
      <c r="C21" s="187"/>
      <c r="D21" s="187"/>
      <c r="E21" s="5"/>
      <c r="F21" s="5"/>
      <c r="G21" s="11"/>
      <c r="H21" s="11"/>
      <c r="I21" s="72"/>
      <c r="J21" s="11"/>
      <c r="K21" s="11"/>
      <c r="L21" s="11"/>
      <c r="M21" s="22"/>
      <c r="N21" s="11"/>
      <c r="P21" s="22"/>
      <c r="S21" s="11"/>
      <c r="V21" s="11"/>
      <c r="W21" s="22"/>
      <c r="X21" s="22"/>
      <c r="Y21" s="22"/>
      <c r="Z21" s="22"/>
      <c r="AA21" s="22"/>
      <c r="AB21" s="22"/>
      <c r="AC21" s="22"/>
      <c r="AD21" s="22"/>
      <c r="AE21" s="22"/>
      <c r="AH21" s="22"/>
      <c r="AI21" s="22"/>
      <c r="AJ21" s="22"/>
    </row>
    <row r="22" spans="1:36" x14ac:dyDescent="0.45">
      <c r="A22" s="5"/>
      <c r="C22" s="187"/>
      <c r="D22" s="187"/>
      <c r="E22" s="5"/>
      <c r="F22" s="5"/>
      <c r="G22" s="11"/>
      <c r="H22" s="11"/>
      <c r="I22" s="72"/>
      <c r="J22" s="11"/>
      <c r="K22" s="11"/>
      <c r="L22" s="11"/>
      <c r="M22" s="22"/>
      <c r="N22" s="11"/>
      <c r="P22" s="22"/>
      <c r="S22" s="11"/>
      <c r="V22" s="11"/>
      <c r="W22" s="22"/>
      <c r="X22" s="22"/>
      <c r="Y22" s="22"/>
      <c r="Z22" s="22"/>
      <c r="AA22" s="22"/>
      <c r="AB22" s="22"/>
      <c r="AC22" s="22"/>
      <c r="AD22" s="22"/>
      <c r="AE22" s="22"/>
      <c r="AH22" s="22"/>
      <c r="AI22" s="22"/>
      <c r="AJ22" s="22"/>
    </row>
    <row r="23" spans="1:36" x14ac:dyDescent="0.45">
      <c r="A23" s="5"/>
      <c r="C23" s="187"/>
      <c r="D23" s="187"/>
      <c r="E23" s="5"/>
      <c r="F23" s="5"/>
      <c r="G23" s="11"/>
      <c r="H23" s="11"/>
      <c r="I23" s="72"/>
      <c r="J23" s="11"/>
      <c r="K23" s="11"/>
      <c r="L23" s="11"/>
      <c r="M23" s="22"/>
      <c r="N23" s="11"/>
      <c r="P23" s="22"/>
      <c r="S23" s="11"/>
      <c r="V23" s="11"/>
      <c r="W23" s="22"/>
      <c r="X23" s="22"/>
      <c r="Y23" s="22"/>
      <c r="Z23" s="22"/>
      <c r="AA23" s="22"/>
      <c r="AB23" s="22"/>
      <c r="AC23" s="22"/>
      <c r="AD23" s="22"/>
      <c r="AE23" s="22"/>
      <c r="AH23" s="22"/>
      <c r="AI23" s="22"/>
      <c r="AJ23" s="22"/>
    </row>
    <row r="24" spans="1:36" x14ac:dyDescent="0.45">
      <c r="A24" s="5"/>
      <c r="C24" s="187"/>
      <c r="D24" s="187"/>
      <c r="E24" s="5"/>
      <c r="F24" s="5"/>
      <c r="G24" s="11"/>
      <c r="H24" s="11"/>
      <c r="I24" s="72"/>
      <c r="J24" s="11"/>
      <c r="K24" s="11"/>
      <c r="L24" s="11"/>
      <c r="M24" s="22"/>
      <c r="N24" s="11"/>
      <c r="P24" s="22"/>
      <c r="S24" s="11"/>
      <c r="V24" s="11"/>
      <c r="W24" s="22"/>
      <c r="X24" s="22"/>
      <c r="Y24" s="22"/>
      <c r="Z24" s="22"/>
      <c r="AA24" s="22"/>
      <c r="AB24" s="22"/>
      <c r="AC24" s="22"/>
      <c r="AD24" s="22"/>
      <c r="AE24" s="22"/>
      <c r="AH24" s="22"/>
      <c r="AI24" s="22"/>
      <c r="AJ24" s="22"/>
    </row>
    <row r="25" spans="1:36" x14ac:dyDescent="0.45">
      <c r="A25" s="5"/>
      <c r="C25" s="187"/>
      <c r="D25" s="187"/>
      <c r="E25" s="5"/>
      <c r="F25" s="5"/>
      <c r="G25" s="11"/>
      <c r="H25" s="11"/>
      <c r="I25" s="72"/>
      <c r="J25" s="11"/>
      <c r="K25" s="11"/>
      <c r="L25" s="11"/>
      <c r="M25" s="22"/>
      <c r="N25" s="11"/>
      <c r="P25" s="22"/>
      <c r="S25" s="11"/>
      <c r="V25" s="11"/>
      <c r="W25" s="22"/>
      <c r="X25" s="22"/>
      <c r="Y25" s="22"/>
      <c r="Z25" s="22"/>
      <c r="AA25" s="22"/>
      <c r="AB25" s="22"/>
      <c r="AC25" s="22"/>
      <c r="AD25" s="22"/>
      <c r="AE25" s="22"/>
      <c r="AH25" s="22"/>
      <c r="AI25" s="22"/>
      <c r="AJ25" s="22"/>
    </row>
    <row r="26" spans="1:36" x14ac:dyDescent="0.45">
      <c r="A26" s="5"/>
      <c r="C26" s="187"/>
      <c r="D26" s="187"/>
      <c r="E26" s="5"/>
      <c r="F26" s="5"/>
      <c r="G26" s="11"/>
      <c r="H26" s="11"/>
      <c r="I26" s="72"/>
      <c r="J26" s="11"/>
      <c r="K26" s="11"/>
      <c r="L26" s="11"/>
      <c r="M26" s="22"/>
      <c r="N26" s="11"/>
      <c r="P26" s="22"/>
      <c r="S26" s="11"/>
      <c r="V26" s="11"/>
      <c r="W26" s="22"/>
      <c r="X26" s="22"/>
      <c r="Y26" s="22"/>
      <c r="Z26" s="22"/>
      <c r="AA26" s="22"/>
      <c r="AB26" s="22"/>
      <c r="AC26" s="22"/>
      <c r="AD26" s="22"/>
      <c r="AE26" s="22"/>
      <c r="AH26" s="22"/>
      <c r="AI26" s="22"/>
      <c r="AJ26" s="22"/>
    </row>
    <row r="27" spans="1:36" x14ac:dyDescent="0.45">
      <c r="A27" s="5"/>
      <c r="C27" s="187"/>
      <c r="D27" s="187"/>
      <c r="E27" s="5"/>
      <c r="F27" s="5"/>
      <c r="G27" s="11"/>
      <c r="H27" s="11"/>
      <c r="I27" s="72"/>
      <c r="J27" s="11"/>
      <c r="K27" s="11"/>
      <c r="L27" s="11"/>
      <c r="M27" s="22"/>
      <c r="N27" s="11"/>
      <c r="P27" s="22"/>
      <c r="S27" s="11"/>
      <c r="V27" s="11"/>
      <c r="W27" s="22"/>
      <c r="X27" s="22"/>
      <c r="Y27" s="22"/>
      <c r="Z27" s="22"/>
      <c r="AA27" s="22"/>
      <c r="AB27" s="22"/>
      <c r="AC27" s="22"/>
      <c r="AD27" s="22"/>
      <c r="AE27" s="22"/>
      <c r="AH27" s="22"/>
      <c r="AI27" s="22"/>
      <c r="AJ27" s="22"/>
    </row>
    <row r="28" spans="1:36" x14ac:dyDescent="0.45">
      <c r="A28" s="5"/>
      <c r="C28" s="187"/>
      <c r="D28" s="187"/>
      <c r="E28" s="5"/>
      <c r="F28" s="5"/>
      <c r="G28" s="11"/>
      <c r="H28" s="11"/>
      <c r="I28" s="72"/>
      <c r="J28" s="11"/>
      <c r="K28" s="11"/>
      <c r="L28" s="11"/>
      <c r="M28" s="22"/>
      <c r="N28" s="11"/>
      <c r="P28" s="22"/>
      <c r="S28" s="11"/>
      <c r="V28" s="11"/>
      <c r="W28" s="22"/>
      <c r="X28" s="22"/>
      <c r="Y28" s="22"/>
      <c r="Z28" s="22"/>
      <c r="AA28" s="22"/>
      <c r="AB28" s="22"/>
      <c r="AC28" s="22"/>
      <c r="AD28" s="22"/>
      <c r="AE28" s="22"/>
      <c r="AH28" s="22"/>
      <c r="AI28" s="22"/>
      <c r="AJ28" s="22"/>
    </row>
    <row r="29" spans="1:36" x14ac:dyDescent="0.45">
      <c r="A29" s="5"/>
      <c r="C29" s="187"/>
      <c r="D29" s="187"/>
      <c r="E29" s="5"/>
      <c r="F29" s="5"/>
      <c r="G29" s="11"/>
      <c r="H29" s="11"/>
      <c r="I29" s="72"/>
      <c r="J29" s="11"/>
      <c r="K29" s="11"/>
      <c r="L29" s="11"/>
      <c r="M29" s="22"/>
      <c r="N29" s="11"/>
      <c r="P29" s="22"/>
      <c r="S29" s="11"/>
      <c r="V29" s="11"/>
      <c r="W29" s="22"/>
      <c r="X29" s="22"/>
      <c r="Y29" s="22"/>
      <c r="Z29" s="22"/>
      <c r="AA29" s="22"/>
      <c r="AB29" s="22"/>
      <c r="AC29" s="22"/>
      <c r="AD29" s="22"/>
      <c r="AE29" s="22"/>
      <c r="AH29" s="22"/>
      <c r="AI29" s="22"/>
      <c r="AJ29" s="22"/>
    </row>
    <row r="30" spans="1:36" x14ac:dyDescent="0.45">
      <c r="A30" s="5"/>
      <c r="C30" s="187"/>
      <c r="D30" s="187"/>
      <c r="E30" s="5"/>
      <c r="F30" s="5"/>
      <c r="G30" s="11"/>
      <c r="H30" s="11"/>
      <c r="I30" s="72"/>
      <c r="J30" s="11"/>
      <c r="K30" s="11"/>
      <c r="L30" s="11"/>
      <c r="M30" s="22"/>
      <c r="N30" s="11"/>
      <c r="P30" s="22"/>
      <c r="S30" s="11"/>
      <c r="V30" s="11"/>
      <c r="W30" s="22"/>
      <c r="X30" s="22"/>
      <c r="Y30" s="22"/>
      <c r="Z30" s="22"/>
      <c r="AA30" s="22"/>
      <c r="AB30" s="22"/>
      <c r="AC30" s="22"/>
      <c r="AD30" s="22"/>
      <c r="AE30" s="22"/>
      <c r="AH30" s="22"/>
      <c r="AI30" s="22"/>
      <c r="AJ30" s="22"/>
    </row>
    <row r="31" spans="1:36" x14ac:dyDescent="0.45">
      <c r="A31" s="5"/>
      <c r="C31" s="187"/>
      <c r="D31" s="187"/>
      <c r="E31" s="5"/>
      <c r="F31" s="5"/>
      <c r="G31" s="11"/>
      <c r="H31" s="11"/>
      <c r="I31" s="72"/>
      <c r="J31" s="11"/>
      <c r="K31" s="11"/>
      <c r="L31" s="11"/>
      <c r="M31" s="22"/>
      <c r="N31" s="11"/>
      <c r="P31" s="22"/>
      <c r="S31" s="11"/>
      <c r="V31" s="11"/>
      <c r="W31" s="22"/>
      <c r="X31" s="22"/>
      <c r="Y31" s="22"/>
      <c r="Z31" s="22"/>
      <c r="AA31" s="22"/>
      <c r="AB31" s="22"/>
      <c r="AC31" s="22"/>
      <c r="AD31" s="22"/>
      <c r="AE31" s="22"/>
      <c r="AH31" s="22"/>
      <c r="AI31" s="22"/>
      <c r="AJ31" s="22"/>
    </row>
    <row r="32" spans="1:36" x14ac:dyDescent="0.45">
      <c r="A32" s="5"/>
      <c r="C32" s="187"/>
      <c r="D32" s="187"/>
      <c r="E32" s="5"/>
      <c r="F32" s="5"/>
      <c r="G32" s="11"/>
      <c r="H32" s="11"/>
      <c r="I32" s="72"/>
      <c r="J32" s="11"/>
      <c r="K32" s="11"/>
      <c r="L32" s="11"/>
      <c r="M32" s="22"/>
      <c r="N32" s="11"/>
      <c r="P32" s="22"/>
      <c r="S32" s="11"/>
      <c r="V32" s="11"/>
      <c r="W32" s="22"/>
      <c r="X32" s="22"/>
      <c r="Y32" s="22"/>
      <c r="Z32" s="22"/>
      <c r="AA32" s="22"/>
      <c r="AB32" s="22"/>
      <c r="AC32" s="22"/>
      <c r="AD32" s="22"/>
      <c r="AE32" s="22"/>
      <c r="AH32" s="22"/>
      <c r="AI32" s="22"/>
      <c r="AJ32" s="22"/>
    </row>
    <row r="33" spans="1:36" x14ac:dyDescent="0.45">
      <c r="A33" s="5"/>
      <c r="C33" s="187"/>
      <c r="D33" s="187"/>
      <c r="E33" s="5"/>
      <c r="F33" s="5"/>
      <c r="G33" s="11"/>
      <c r="H33" s="11"/>
      <c r="I33" s="72"/>
      <c r="J33" s="11"/>
      <c r="K33" s="11"/>
      <c r="L33" s="11"/>
      <c r="M33" s="22"/>
      <c r="N33" s="11"/>
      <c r="P33" s="22"/>
      <c r="S33" s="11"/>
      <c r="V33" s="11"/>
      <c r="W33" s="22"/>
      <c r="X33" s="22"/>
      <c r="Y33" s="22"/>
      <c r="Z33" s="22"/>
      <c r="AA33" s="22"/>
      <c r="AB33" s="22"/>
      <c r="AC33" s="22"/>
      <c r="AD33" s="22"/>
      <c r="AE33" s="22"/>
      <c r="AH33" s="22"/>
      <c r="AI33" s="22"/>
      <c r="AJ33" s="22"/>
    </row>
    <row r="34" spans="1:36" x14ac:dyDescent="0.45">
      <c r="A34" s="5"/>
      <c r="C34" s="187"/>
      <c r="D34" s="187"/>
      <c r="E34" s="5"/>
      <c r="F34" s="5"/>
      <c r="G34" s="11"/>
      <c r="H34" s="11"/>
      <c r="I34" s="72"/>
      <c r="J34" s="11"/>
      <c r="K34" s="11"/>
      <c r="L34" s="11"/>
      <c r="M34" s="22"/>
      <c r="N34" s="11"/>
      <c r="P34" s="22"/>
      <c r="S34" s="11"/>
      <c r="V34" s="11"/>
      <c r="W34" s="22"/>
      <c r="X34" s="22"/>
      <c r="Y34" s="22"/>
      <c r="Z34" s="22"/>
      <c r="AA34" s="22"/>
      <c r="AB34" s="22"/>
      <c r="AC34" s="22"/>
      <c r="AD34" s="22"/>
      <c r="AE34" s="22"/>
      <c r="AH34" s="22"/>
      <c r="AI34" s="22"/>
      <c r="AJ34" s="22"/>
    </row>
    <row r="35" spans="1:36" x14ac:dyDescent="0.45">
      <c r="A35" s="5"/>
      <c r="C35" s="187"/>
      <c r="D35" s="187"/>
      <c r="E35" s="5"/>
      <c r="F35" s="5"/>
      <c r="G35" s="11"/>
      <c r="H35" s="11"/>
      <c r="I35" s="72"/>
      <c r="J35" s="11"/>
      <c r="K35" s="11"/>
      <c r="L35" s="11"/>
      <c r="M35" s="22"/>
      <c r="N35" s="11"/>
      <c r="P35" s="22"/>
      <c r="S35" s="11"/>
      <c r="V35" s="11"/>
      <c r="W35" s="22"/>
      <c r="X35" s="22"/>
      <c r="Y35" s="22"/>
      <c r="Z35" s="22"/>
      <c r="AA35" s="22"/>
      <c r="AB35" s="22"/>
      <c r="AC35" s="22"/>
      <c r="AD35" s="22"/>
      <c r="AE35" s="22"/>
      <c r="AH35" s="22"/>
      <c r="AI35" s="22"/>
      <c r="AJ35" s="22"/>
    </row>
    <row r="36" spans="1:36" x14ac:dyDescent="0.45">
      <c r="A36" s="5"/>
      <c r="C36" s="187"/>
      <c r="D36" s="187"/>
      <c r="E36" s="5"/>
      <c r="F36" s="5"/>
      <c r="G36" s="11"/>
      <c r="H36" s="11"/>
      <c r="I36" s="72"/>
      <c r="J36" s="11"/>
      <c r="K36" s="11"/>
      <c r="L36" s="11"/>
      <c r="M36" s="22"/>
      <c r="N36" s="11"/>
      <c r="P36" s="22"/>
      <c r="S36" s="11"/>
      <c r="V36" s="11"/>
      <c r="W36" s="22"/>
      <c r="X36" s="22"/>
      <c r="Y36" s="22"/>
      <c r="Z36" s="22"/>
      <c r="AA36" s="22"/>
      <c r="AB36" s="22"/>
      <c r="AC36" s="22"/>
      <c r="AD36" s="22"/>
      <c r="AE36" s="22"/>
      <c r="AH36" s="22"/>
      <c r="AI36" s="22"/>
      <c r="AJ36" s="22"/>
    </row>
    <row r="37" spans="1:36" x14ac:dyDescent="0.45">
      <c r="A37" s="5"/>
      <c r="C37" s="187"/>
      <c r="D37" s="187"/>
      <c r="E37" s="5"/>
      <c r="F37" s="5"/>
      <c r="G37" s="11"/>
      <c r="H37" s="11"/>
      <c r="I37" s="72"/>
      <c r="J37" s="11"/>
      <c r="K37" s="11"/>
      <c r="L37" s="11"/>
      <c r="M37" s="22"/>
      <c r="N37" s="11"/>
      <c r="P37" s="22"/>
      <c r="S37" s="11"/>
      <c r="V37" s="11"/>
      <c r="W37" s="22"/>
      <c r="X37" s="22"/>
      <c r="Y37" s="22"/>
      <c r="Z37" s="22"/>
      <c r="AA37" s="22"/>
      <c r="AB37" s="22"/>
      <c r="AC37" s="22"/>
      <c r="AD37" s="22"/>
      <c r="AE37" s="22"/>
      <c r="AH37" s="22"/>
      <c r="AI37" s="22"/>
      <c r="AJ37" s="22"/>
    </row>
    <row r="38" spans="1:36" x14ac:dyDescent="0.45">
      <c r="A38" s="5"/>
      <c r="C38" s="187"/>
      <c r="D38" s="187"/>
      <c r="E38" s="5"/>
      <c r="F38" s="5"/>
      <c r="G38" s="11"/>
      <c r="H38" s="11"/>
      <c r="I38" s="72"/>
      <c r="J38" s="11"/>
      <c r="K38" s="11"/>
      <c r="L38" s="11"/>
      <c r="M38" s="22"/>
      <c r="N38" s="11"/>
      <c r="P38" s="22"/>
      <c r="S38" s="11"/>
      <c r="V38" s="11"/>
      <c r="W38" s="22"/>
      <c r="X38" s="22"/>
      <c r="Y38" s="22"/>
      <c r="Z38" s="22"/>
      <c r="AA38" s="22"/>
      <c r="AB38" s="22"/>
      <c r="AC38" s="22"/>
      <c r="AD38" s="22"/>
      <c r="AE38" s="22"/>
      <c r="AH38" s="22"/>
      <c r="AI38" s="22"/>
      <c r="AJ38" s="22"/>
    </row>
    <row r="39" spans="1:36" x14ac:dyDescent="0.45">
      <c r="A39" s="5"/>
      <c r="C39" s="187"/>
      <c r="D39" s="187"/>
      <c r="E39" s="5"/>
      <c r="F39" s="5"/>
      <c r="G39" s="11"/>
      <c r="H39" s="11"/>
      <c r="I39" s="72"/>
      <c r="J39" s="11"/>
      <c r="K39" s="11"/>
      <c r="M39" s="22"/>
      <c r="N39" s="11"/>
      <c r="P39" s="22"/>
      <c r="S39" s="11"/>
      <c r="V39" s="11"/>
      <c r="W39" s="22"/>
      <c r="X39" s="22"/>
      <c r="Y39" s="22"/>
      <c r="Z39" s="22"/>
      <c r="AA39" s="22"/>
      <c r="AB39" s="22"/>
      <c r="AC39" s="22"/>
      <c r="AD39" s="22"/>
      <c r="AE39" s="22"/>
      <c r="AH39" s="22"/>
      <c r="AI39" s="22"/>
      <c r="AJ39" s="22"/>
    </row>
    <row r="40" spans="1:36" x14ac:dyDescent="0.45">
      <c r="A40" s="5"/>
      <c r="C40" s="187"/>
      <c r="D40" s="187"/>
      <c r="E40" s="5"/>
      <c r="F40" s="5"/>
      <c r="G40" s="11"/>
      <c r="H40" s="11"/>
      <c r="I40" s="72"/>
      <c r="J40" s="11"/>
      <c r="K40" s="11"/>
      <c r="M40" s="22"/>
      <c r="N40" s="11"/>
      <c r="P40" s="22"/>
      <c r="S40" s="11"/>
      <c r="V40" s="11"/>
      <c r="W40" s="22"/>
      <c r="X40" s="22"/>
      <c r="Y40" s="22"/>
      <c r="Z40" s="22"/>
      <c r="AA40" s="22"/>
      <c r="AB40" s="22"/>
      <c r="AC40" s="22"/>
      <c r="AD40" s="22"/>
      <c r="AE40" s="22"/>
      <c r="AH40" s="22"/>
      <c r="AI40" s="22"/>
      <c r="AJ40" s="22"/>
    </row>
    <row r="41" spans="1:36" x14ac:dyDescent="0.45">
      <c r="A41" s="5"/>
      <c r="C41" s="187"/>
      <c r="D41" s="187"/>
      <c r="E41" s="5"/>
      <c r="F41" s="5"/>
      <c r="G41" s="11"/>
      <c r="H41" s="11"/>
      <c r="I41" s="72"/>
      <c r="J41" s="11"/>
      <c r="K41" s="11"/>
      <c r="M41" s="22"/>
      <c r="N41" s="11"/>
      <c r="P41" s="22"/>
      <c r="S41" s="11"/>
      <c r="V41" s="11"/>
      <c r="W41" s="22"/>
      <c r="X41" s="22"/>
      <c r="Y41" s="22"/>
      <c r="Z41" s="22"/>
      <c r="AA41" s="22"/>
      <c r="AB41" s="22"/>
      <c r="AC41" s="22"/>
      <c r="AD41" s="22"/>
      <c r="AE41" s="22"/>
      <c r="AH41" s="22"/>
      <c r="AI41" s="22"/>
      <c r="AJ41" s="22"/>
    </row>
    <row r="42" spans="1:36" x14ac:dyDescent="0.45">
      <c r="A42" s="5"/>
      <c r="C42" s="187"/>
      <c r="D42" s="187"/>
      <c r="E42" s="5"/>
      <c r="F42" s="5"/>
      <c r="G42" s="11"/>
      <c r="H42" s="11"/>
      <c r="I42" s="72"/>
      <c r="J42" s="11"/>
      <c r="K42" s="11"/>
      <c r="M42" s="22"/>
      <c r="N42" s="11"/>
      <c r="P42" s="22"/>
      <c r="S42" s="11"/>
      <c r="V42" s="11"/>
      <c r="W42" s="22"/>
      <c r="X42" s="22"/>
      <c r="Y42" s="22"/>
      <c r="Z42" s="22"/>
      <c r="AA42" s="22"/>
      <c r="AB42" s="22"/>
      <c r="AC42" s="22"/>
      <c r="AD42" s="22"/>
      <c r="AE42" s="22"/>
      <c r="AH42" s="22"/>
      <c r="AI42" s="22"/>
      <c r="AJ42" s="22"/>
    </row>
    <row r="43" spans="1:36" x14ac:dyDescent="0.45">
      <c r="A43" s="5"/>
      <c r="C43" s="187"/>
      <c r="D43" s="187"/>
      <c r="E43" s="5"/>
      <c r="F43" s="5"/>
      <c r="G43" s="11"/>
      <c r="H43" s="11"/>
      <c r="I43" s="72"/>
      <c r="J43" s="11"/>
      <c r="K43" s="11"/>
      <c r="M43" s="22"/>
      <c r="N43" s="11"/>
      <c r="P43" s="22"/>
      <c r="S43" s="11"/>
      <c r="V43" s="11"/>
      <c r="W43" s="22"/>
      <c r="X43" s="22"/>
      <c r="Y43" s="22"/>
      <c r="Z43" s="22"/>
      <c r="AA43" s="22"/>
      <c r="AB43" s="22"/>
      <c r="AC43" s="22"/>
      <c r="AD43" s="22"/>
      <c r="AE43" s="22"/>
      <c r="AH43" s="22"/>
      <c r="AI43" s="22"/>
      <c r="AJ43" s="22"/>
    </row>
    <row r="44" spans="1:36" x14ac:dyDescent="0.45">
      <c r="A44" s="5"/>
      <c r="C44" s="187"/>
      <c r="D44" s="187"/>
      <c r="E44" s="5"/>
      <c r="F44" s="5"/>
      <c r="G44" s="11"/>
      <c r="H44" s="11"/>
      <c r="I44" s="72"/>
      <c r="J44" s="11"/>
      <c r="K44" s="11"/>
      <c r="M44" s="22"/>
      <c r="N44" s="11"/>
      <c r="P44" s="22"/>
      <c r="S44" s="11"/>
      <c r="V44" s="11"/>
      <c r="W44" s="22"/>
      <c r="X44" s="22"/>
      <c r="Y44" s="22"/>
      <c r="Z44" s="22"/>
      <c r="AA44" s="22"/>
      <c r="AB44" s="22"/>
      <c r="AC44" s="22"/>
      <c r="AD44" s="22"/>
      <c r="AE44" s="22"/>
      <c r="AH44" s="22"/>
      <c r="AI44" s="22"/>
      <c r="AJ44" s="22"/>
    </row>
    <row r="45" spans="1:36" x14ac:dyDescent="0.45">
      <c r="A45" s="5"/>
      <c r="C45" s="187"/>
      <c r="D45" s="187"/>
      <c r="E45" s="5"/>
      <c r="F45" s="5"/>
      <c r="G45" s="11"/>
      <c r="H45" s="11"/>
      <c r="I45" s="72"/>
      <c r="J45" s="11"/>
      <c r="K45" s="11"/>
      <c r="M45" s="22"/>
      <c r="N45" s="11"/>
      <c r="P45" s="22"/>
      <c r="S45" s="11"/>
      <c r="V45" s="11"/>
      <c r="W45" s="22"/>
      <c r="X45" s="22"/>
      <c r="Y45" s="22"/>
      <c r="Z45" s="22"/>
      <c r="AA45" s="22"/>
      <c r="AB45" s="22"/>
      <c r="AC45" s="22"/>
      <c r="AD45" s="22"/>
      <c r="AE45" s="22"/>
      <c r="AH45" s="22"/>
      <c r="AI45" s="22"/>
      <c r="AJ45" s="22"/>
    </row>
    <row r="46" spans="1:36" x14ac:dyDescent="0.45">
      <c r="A46" s="5"/>
      <c r="C46" s="187"/>
      <c r="D46" s="187"/>
      <c r="E46" s="5"/>
      <c r="F46" s="5"/>
      <c r="G46" s="11"/>
      <c r="H46" s="11"/>
      <c r="I46" s="72"/>
      <c r="J46" s="11"/>
      <c r="K46" s="11"/>
      <c r="M46" s="22"/>
      <c r="N46" s="11"/>
      <c r="O46" s="3"/>
      <c r="P46" s="22"/>
      <c r="S46" s="11"/>
      <c r="V46" s="11"/>
      <c r="W46" s="22"/>
      <c r="X46" s="22"/>
      <c r="Y46" s="22"/>
      <c r="Z46" s="22"/>
      <c r="AA46" s="22"/>
      <c r="AB46" s="22"/>
      <c r="AC46" s="22"/>
      <c r="AD46" s="22"/>
      <c r="AE46" s="22"/>
      <c r="AH46" s="22"/>
      <c r="AI46" s="22"/>
      <c r="AJ46" s="22"/>
    </row>
    <row r="47" spans="1:36" x14ac:dyDescent="0.45">
      <c r="A47" s="5"/>
      <c r="C47" s="187"/>
      <c r="D47" s="187"/>
      <c r="E47" s="5"/>
      <c r="F47" s="5"/>
      <c r="G47" s="11"/>
      <c r="H47" s="11"/>
      <c r="I47" s="72"/>
      <c r="J47" s="11"/>
      <c r="K47" s="11"/>
      <c r="M47" s="22"/>
      <c r="N47" s="11"/>
      <c r="O47" s="3"/>
      <c r="P47" s="22"/>
      <c r="S47" s="11"/>
      <c r="V47" s="11"/>
      <c r="W47" s="22"/>
      <c r="X47" s="22"/>
      <c r="Y47" s="22"/>
      <c r="Z47" s="22"/>
      <c r="AA47" s="22"/>
      <c r="AB47" s="22"/>
      <c r="AC47" s="22"/>
      <c r="AD47" s="22"/>
      <c r="AE47" s="22"/>
      <c r="AH47" s="22"/>
      <c r="AI47" s="22"/>
      <c r="AJ47" s="22"/>
    </row>
    <row r="48" spans="1:36" x14ac:dyDescent="0.45">
      <c r="A48" s="5"/>
      <c r="C48" s="187"/>
      <c r="D48" s="187"/>
      <c r="E48" s="5"/>
      <c r="F48" s="5"/>
      <c r="G48" s="11"/>
      <c r="H48" s="11"/>
      <c r="I48" s="72"/>
      <c r="J48" s="11"/>
      <c r="K48" s="11"/>
      <c r="M48" s="22"/>
      <c r="N48" s="11"/>
      <c r="O48" s="3"/>
      <c r="P48" s="22"/>
      <c r="S48" s="11"/>
      <c r="V48" s="11"/>
      <c r="W48" s="22"/>
      <c r="X48" s="22"/>
      <c r="Y48" s="22"/>
      <c r="Z48" s="22"/>
      <c r="AA48" s="22"/>
      <c r="AB48" s="22"/>
      <c r="AC48" s="22"/>
      <c r="AD48" s="22"/>
      <c r="AE48" s="22"/>
      <c r="AH48" s="22"/>
      <c r="AI48" s="22"/>
      <c r="AJ48" s="22"/>
    </row>
    <row r="49" spans="1:36" x14ac:dyDescent="0.45">
      <c r="A49" s="5"/>
      <c r="C49" s="187"/>
      <c r="D49" s="187"/>
      <c r="E49" s="5"/>
      <c r="F49" s="5"/>
      <c r="G49" s="11"/>
      <c r="H49" s="11"/>
      <c r="I49" s="72"/>
      <c r="J49" s="11"/>
      <c r="K49" s="11"/>
      <c r="M49" s="22"/>
      <c r="N49" s="11"/>
      <c r="O49" s="3"/>
      <c r="P49" s="22"/>
      <c r="S49" s="11"/>
      <c r="V49" s="11"/>
      <c r="W49" s="22"/>
      <c r="X49" s="22"/>
      <c r="Y49" s="22"/>
      <c r="Z49" s="22"/>
      <c r="AA49" s="22"/>
      <c r="AB49" s="22"/>
      <c r="AC49" s="22"/>
      <c r="AD49" s="22"/>
      <c r="AE49" s="22"/>
      <c r="AH49" s="22"/>
      <c r="AI49" s="22"/>
      <c r="AJ49" s="22"/>
    </row>
    <row r="50" spans="1:36" x14ac:dyDescent="0.45">
      <c r="A50" s="5"/>
      <c r="C50" s="187"/>
      <c r="D50" s="187"/>
      <c r="E50" s="5"/>
      <c r="F50" s="5"/>
      <c r="G50" s="11"/>
      <c r="H50" s="11"/>
      <c r="I50" s="72"/>
      <c r="J50" s="11"/>
      <c r="K50" s="11"/>
      <c r="M50" s="22"/>
      <c r="N50" s="11"/>
      <c r="O50" s="3"/>
      <c r="P50" s="22"/>
      <c r="S50" s="11"/>
      <c r="V50" s="11"/>
      <c r="W50" s="22"/>
      <c r="X50" s="22"/>
      <c r="Y50" s="22"/>
      <c r="Z50" s="22"/>
      <c r="AA50" s="22"/>
      <c r="AB50" s="22"/>
      <c r="AC50" s="22"/>
      <c r="AD50" s="22"/>
      <c r="AE50" s="22"/>
      <c r="AH50" s="22"/>
      <c r="AI50" s="22"/>
      <c r="AJ50" s="22"/>
    </row>
  </sheetData>
  <autoFilter ref="A13:AO50" xr:uid="{00000000-0009-0000-0000-000009000000}"/>
  <mergeCells count="25">
    <mergeCell ref="H10:H11"/>
    <mergeCell ref="I10:I11"/>
    <mergeCell ref="AE10:AG10"/>
    <mergeCell ref="J10:J11"/>
    <mergeCell ref="L10:M10"/>
    <mergeCell ref="N10:N11"/>
    <mergeCell ref="Q10:R10"/>
    <mergeCell ref="AC10:AD10"/>
    <mergeCell ref="AB10:AB11"/>
    <mergeCell ref="AH10:AH11"/>
    <mergeCell ref="AI10:AI11"/>
    <mergeCell ref="G12:H12"/>
    <mergeCell ref="AC9:AG9"/>
    <mergeCell ref="A10:A11"/>
    <mergeCell ref="B10:B11"/>
    <mergeCell ref="C10:C11"/>
    <mergeCell ref="D10:D11"/>
    <mergeCell ref="E10:E11"/>
    <mergeCell ref="K10:K11"/>
    <mergeCell ref="K9:N9"/>
    <mergeCell ref="O9:P9"/>
    <mergeCell ref="Q9:T9"/>
    <mergeCell ref="W9:AA9"/>
    <mergeCell ref="F10:F11"/>
    <mergeCell ref="G10:G11"/>
  </mergeCells>
  <pageMargins left="0.7" right="0.7" top="0.75" bottom="0.75" header="0.3" footer="0.3"/>
  <pageSetup orientation="portrait" r:id="rId1"/>
  <drawing r:id="rId2"/>
  <legacyDrawing r:id="rId3"/>
  <controls>
    <mc:AlternateContent xmlns:mc="http://schemas.openxmlformats.org/markup-compatibility/2006">
      <mc:Choice Requires="x14">
        <control shapeId="16386" r:id="rId4" name="CommandButton1">
          <controlPr defaultSize="0" autoLine="0" r:id="rId5">
            <anchor moveWithCells="1">
              <from>
                <xdr:col>1</xdr:col>
                <xdr:colOff>95250</xdr:colOff>
                <xdr:row>5</xdr:row>
                <xdr:rowOff>9525</xdr:rowOff>
              </from>
              <to>
                <xdr:col>1</xdr:col>
                <xdr:colOff>1343025</xdr:colOff>
                <xdr:row>6</xdr:row>
                <xdr:rowOff>228600</xdr:rowOff>
              </to>
            </anchor>
          </controlPr>
        </control>
      </mc:Choice>
      <mc:Fallback>
        <control shapeId="16386" r:id="rId4" name="Command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hang5"/>
  <dimension ref="A1:AO50"/>
  <sheetViews>
    <sheetView showGridLines="0" topLeftCell="G1" workbookViewId="0">
      <selection activeCell="R28" sqref="R28"/>
    </sheetView>
  </sheetViews>
  <sheetFormatPr defaultColWidth="9.1328125" defaultRowHeight="14.25" x14ac:dyDescent="0.45"/>
  <cols>
    <col min="1" max="1" width="7.59765625" style="3" customWidth="1"/>
    <col min="2" max="2" width="24.1328125" style="3" customWidth="1"/>
    <col min="3" max="3" width="14.59765625" style="5" customWidth="1"/>
    <col min="4" max="4" width="14.86328125" style="5" customWidth="1"/>
    <col min="5" max="5" width="10.265625" style="3" customWidth="1"/>
    <col min="6" max="6" width="8.1328125" style="3" customWidth="1"/>
    <col min="7" max="7" width="14" style="3" customWidth="1"/>
    <col min="8" max="8" width="13.73046875" style="3" customWidth="1"/>
    <col min="9" max="9" width="8.265625" style="44" customWidth="1"/>
    <col min="10" max="10" width="15.1328125" style="3" customWidth="1"/>
    <col min="11" max="11" width="13.73046875" style="3" customWidth="1"/>
    <col min="12" max="12" width="9" style="3" customWidth="1"/>
    <col min="13" max="13" width="14.265625" style="3" customWidth="1"/>
    <col min="14" max="14" width="12.73046875" style="3" customWidth="1"/>
    <col min="15" max="15" width="8.86328125" style="5" customWidth="1"/>
    <col min="16" max="16" width="12.73046875" style="3" bestFit="1" customWidth="1"/>
    <col min="17" max="17" width="11" style="3" customWidth="1"/>
    <col min="18" max="18" width="12.86328125" style="3" customWidth="1"/>
    <col min="19" max="19" width="13.59765625" style="3" hidden="1" customWidth="1"/>
    <col min="20" max="21" width="12.1328125" style="3" customWidth="1"/>
    <col min="22" max="22" width="16.73046875" style="3" customWidth="1"/>
    <col min="23" max="26" width="13.265625" style="3" customWidth="1"/>
    <col min="27" max="27" width="12.265625" style="3" customWidth="1"/>
    <col min="28" max="28" width="14.73046875" style="3" customWidth="1"/>
    <col min="29" max="29" width="14.265625" style="3" customWidth="1"/>
    <col min="30" max="30" width="12" style="3" customWidth="1"/>
    <col min="31" max="31" width="13.86328125" style="3" customWidth="1"/>
    <col min="32" max="33" width="9.1328125" style="3" hidden="1" customWidth="1"/>
    <col min="34" max="34" width="14" style="3" bestFit="1" customWidth="1"/>
    <col min="35" max="35" width="13" style="3" customWidth="1"/>
    <col min="36" max="37" width="13.73046875" style="3" customWidth="1"/>
    <col min="38" max="41" width="8.1328125" style="3" hidden="1" customWidth="1"/>
    <col min="42" max="16384" width="9.1328125" style="3"/>
  </cols>
  <sheetData>
    <row r="1" spans="1:41" ht="18" customHeight="1" thickBot="1" x14ac:dyDescent="0.5">
      <c r="A1" s="3" t="s">
        <v>376</v>
      </c>
      <c r="B1" s="59" t="s">
        <v>72</v>
      </c>
      <c r="C1" s="6">
        <v>5</v>
      </c>
      <c r="E1" s="376" t="s">
        <v>39</v>
      </c>
      <c r="F1" s="314"/>
      <c r="G1" s="377"/>
      <c r="H1" s="314"/>
      <c r="I1" s="378"/>
      <c r="J1" s="314"/>
      <c r="K1" s="314"/>
      <c r="L1" s="314"/>
      <c r="M1" s="314"/>
      <c r="N1" s="314"/>
      <c r="O1" s="377"/>
      <c r="P1" s="314"/>
      <c r="Q1" s="314"/>
      <c r="R1" s="314"/>
      <c r="S1" s="314"/>
      <c r="T1" s="314"/>
      <c r="U1" s="314"/>
      <c r="V1" s="314"/>
      <c r="W1" s="314"/>
      <c r="X1" s="314"/>
      <c r="Y1" s="314"/>
      <c r="Z1" s="314"/>
      <c r="AA1" s="314"/>
      <c r="AB1" s="314"/>
      <c r="AC1" s="314"/>
      <c r="AD1" s="314"/>
      <c r="AE1" s="314"/>
      <c r="AF1" s="314"/>
      <c r="AG1" s="314"/>
      <c r="AH1" s="314"/>
      <c r="AI1" s="314"/>
      <c r="AJ1" s="314"/>
      <c r="AK1" s="314"/>
      <c r="AL1" s="86"/>
      <c r="AM1" s="86"/>
      <c r="AN1" s="86"/>
      <c r="AO1" s="86"/>
    </row>
    <row r="2" spans="1:41" s="150" customFormat="1" ht="14.25" customHeight="1" thickTop="1" x14ac:dyDescent="0.45">
      <c r="C2" s="70"/>
      <c r="D2" s="70"/>
      <c r="E2" s="379">
        <f t="array" aca="1" ref="E2" ca="1">IFERROR(INDEX(INDIRECT($E$8),MATCH(0,COUNTIF(E$1:$E1,INDIRECT($E$8)&amp;""),0)),"")</f>
        <v>0</v>
      </c>
      <c r="F2" s="380">
        <f t="shared" ref="F2:U6" ca="1" si="0">SUMIFS(F$14:F$1400,$E$14:$E$1400,$E2)</f>
        <v>0</v>
      </c>
      <c r="G2" s="380">
        <f t="shared" ca="1" si="0"/>
        <v>0</v>
      </c>
      <c r="H2" s="380">
        <f t="shared" ca="1" si="0"/>
        <v>0</v>
      </c>
      <c r="I2" s="380"/>
      <c r="J2" s="380">
        <f t="shared" ca="1" si="0"/>
        <v>0</v>
      </c>
      <c r="K2" s="380">
        <f t="shared" ca="1" si="0"/>
        <v>0</v>
      </c>
      <c r="L2" s="380">
        <f t="shared" ca="1" si="0"/>
        <v>0</v>
      </c>
      <c r="M2" s="380">
        <f t="shared" ca="1" si="0"/>
        <v>0</v>
      </c>
      <c r="N2" s="380">
        <f t="shared" ca="1" si="0"/>
        <v>0</v>
      </c>
      <c r="O2" s="381">
        <f t="shared" ca="1" si="0"/>
        <v>0</v>
      </c>
      <c r="P2" s="380">
        <f t="shared" ca="1" si="0"/>
        <v>0</v>
      </c>
      <c r="Q2" s="380">
        <f t="shared" ca="1" si="0"/>
        <v>0</v>
      </c>
      <c r="R2" s="380">
        <f t="shared" ca="1" si="0"/>
        <v>0</v>
      </c>
      <c r="S2" s="380">
        <f t="shared" ca="1" si="0"/>
        <v>0</v>
      </c>
      <c r="T2" s="380">
        <f t="shared" ca="1" si="0"/>
        <v>0</v>
      </c>
      <c r="U2" s="380">
        <f t="shared" ca="1" si="0"/>
        <v>0</v>
      </c>
      <c r="V2" s="380">
        <f t="shared" ref="V2:AJ6" ca="1" si="1">SUMIFS(V$14:V$1400,$E$14:$E$1400,$E2)</f>
        <v>0</v>
      </c>
      <c r="W2" s="380">
        <f t="shared" ca="1" si="1"/>
        <v>0</v>
      </c>
      <c r="X2" s="380">
        <f ca="1">SUMIFS(X$14:X$1400,$E$14:$E$1400,$E2)</f>
        <v>0</v>
      </c>
      <c r="Y2" s="380"/>
      <c r="Z2" s="380">
        <f t="shared" ca="1" si="1"/>
        <v>0</v>
      </c>
      <c r="AA2" s="380">
        <f t="shared" ca="1" si="1"/>
        <v>0</v>
      </c>
      <c r="AB2" s="380">
        <f t="shared" ca="1" si="1"/>
        <v>0</v>
      </c>
      <c r="AC2" s="380">
        <f t="shared" ca="1" si="1"/>
        <v>0</v>
      </c>
      <c r="AD2" s="380">
        <f t="shared" ca="1" si="1"/>
        <v>0</v>
      </c>
      <c r="AE2" s="380">
        <f t="shared" ca="1" si="1"/>
        <v>0</v>
      </c>
      <c r="AF2" s="382">
        <f t="shared" ca="1" si="1"/>
        <v>0</v>
      </c>
      <c r="AG2" s="382">
        <f t="shared" ca="1" si="1"/>
        <v>0</v>
      </c>
      <c r="AH2" s="380">
        <f t="shared" ca="1" si="1"/>
        <v>0</v>
      </c>
      <c r="AI2" s="380">
        <f t="shared" ca="1" si="1"/>
        <v>0</v>
      </c>
      <c r="AJ2" s="380">
        <f t="shared" ca="1" si="1"/>
        <v>0</v>
      </c>
      <c r="AK2" s="383"/>
      <c r="AL2" s="86"/>
      <c r="AM2" s="86"/>
      <c r="AN2" s="86"/>
      <c r="AO2" s="86"/>
    </row>
    <row r="3" spans="1:41" s="150" customFormat="1" ht="14.25" customHeight="1" x14ac:dyDescent="0.45">
      <c r="C3" s="70"/>
      <c r="D3" s="70"/>
      <c r="E3" s="379">
        <f t="array" aca="1" ref="E3" ca="1">IFERROR(INDEX(INDIRECT($E$8),MATCH(0,COUNTIF(E$1:$E2,INDIRECT($E$8)&amp;""),0)),"")</f>
        <v>0</v>
      </c>
      <c r="F3" s="384">
        <f t="shared" ca="1" si="0"/>
        <v>0</v>
      </c>
      <c r="G3" s="384">
        <f t="shared" ca="1" si="0"/>
        <v>0</v>
      </c>
      <c r="H3" s="384">
        <f ca="1">SUMIFS(H$14:H$1400,$E$14:$E$1400,$E3)</f>
        <v>0</v>
      </c>
      <c r="I3" s="384"/>
      <c r="J3" s="384">
        <f t="shared" ca="1" si="0"/>
        <v>0</v>
      </c>
      <c r="K3" s="384">
        <f t="shared" ca="1" si="0"/>
        <v>0</v>
      </c>
      <c r="L3" s="384">
        <f t="shared" ca="1" si="0"/>
        <v>0</v>
      </c>
      <c r="M3" s="384">
        <f t="shared" ca="1" si="0"/>
        <v>0</v>
      </c>
      <c r="N3" s="384">
        <f t="shared" ca="1" si="0"/>
        <v>0</v>
      </c>
      <c r="O3" s="385">
        <f t="shared" ca="1" si="0"/>
        <v>0</v>
      </c>
      <c r="P3" s="384">
        <f t="shared" ca="1" si="0"/>
        <v>0</v>
      </c>
      <c r="Q3" s="384">
        <f t="shared" ca="1" si="0"/>
        <v>0</v>
      </c>
      <c r="R3" s="384">
        <f t="shared" ca="1" si="0"/>
        <v>0</v>
      </c>
      <c r="S3" s="384">
        <f t="shared" ca="1" si="0"/>
        <v>0</v>
      </c>
      <c r="T3" s="384">
        <f t="shared" ca="1" si="0"/>
        <v>0</v>
      </c>
      <c r="U3" s="384">
        <f t="shared" ca="1" si="0"/>
        <v>0</v>
      </c>
      <c r="V3" s="384">
        <f t="shared" ca="1" si="1"/>
        <v>0</v>
      </c>
      <c r="W3" s="384">
        <f t="shared" ca="1" si="1"/>
        <v>0</v>
      </c>
      <c r="X3" s="384">
        <f ca="1">SUMIFS(X$14:X$1400,$E$14:$E$1400,$E3)</f>
        <v>0</v>
      </c>
      <c r="Y3" s="384"/>
      <c r="Z3" s="384">
        <f t="shared" ca="1" si="1"/>
        <v>0</v>
      </c>
      <c r="AA3" s="384">
        <f t="shared" ca="1" si="1"/>
        <v>0</v>
      </c>
      <c r="AB3" s="384">
        <f t="shared" ca="1" si="1"/>
        <v>0</v>
      </c>
      <c r="AC3" s="384">
        <f t="shared" ca="1" si="1"/>
        <v>0</v>
      </c>
      <c r="AD3" s="384">
        <f t="shared" ca="1" si="1"/>
        <v>0</v>
      </c>
      <c r="AE3" s="384">
        <f t="shared" ca="1" si="1"/>
        <v>0</v>
      </c>
      <c r="AF3" s="386">
        <f t="shared" ca="1" si="1"/>
        <v>0</v>
      </c>
      <c r="AG3" s="386">
        <f t="shared" ca="1" si="1"/>
        <v>0</v>
      </c>
      <c r="AH3" s="384">
        <f t="shared" ca="1" si="1"/>
        <v>0</v>
      </c>
      <c r="AI3" s="384">
        <f t="shared" ca="1" si="1"/>
        <v>0</v>
      </c>
      <c r="AJ3" s="384">
        <f t="shared" ca="1" si="1"/>
        <v>0</v>
      </c>
      <c r="AK3" s="387"/>
      <c r="AL3" s="86"/>
      <c r="AM3" s="86"/>
      <c r="AN3" s="86"/>
      <c r="AO3" s="86"/>
    </row>
    <row r="4" spans="1:41" ht="14.25" customHeight="1" x14ac:dyDescent="0.45">
      <c r="E4" s="379">
        <f t="array" aca="1" ref="E4" ca="1">IFERROR(INDEX(INDIRECT($E$8),MATCH(0,COUNTIF(E$1:$E3,INDIRECT($E$8)&amp;""),0)),"")</f>
        <v>0</v>
      </c>
      <c r="F4" s="384">
        <f t="shared" ca="1" si="0"/>
        <v>0</v>
      </c>
      <c r="G4" s="384">
        <f t="shared" ca="1" si="0"/>
        <v>0</v>
      </c>
      <c r="H4" s="384">
        <f t="shared" ca="1" si="0"/>
        <v>0</v>
      </c>
      <c r="I4" s="384"/>
      <c r="J4" s="384">
        <f t="shared" ca="1" si="0"/>
        <v>0</v>
      </c>
      <c r="K4" s="384">
        <f t="shared" ca="1" si="0"/>
        <v>0</v>
      </c>
      <c r="L4" s="384">
        <f t="shared" ca="1" si="0"/>
        <v>0</v>
      </c>
      <c r="M4" s="384">
        <f t="shared" ca="1" si="0"/>
        <v>0</v>
      </c>
      <c r="N4" s="384">
        <f t="shared" ca="1" si="0"/>
        <v>0</v>
      </c>
      <c r="O4" s="385">
        <f t="shared" ca="1" si="0"/>
        <v>0</v>
      </c>
      <c r="P4" s="384">
        <f t="shared" ca="1" si="0"/>
        <v>0</v>
      </c>
      <c r="Q4" s="384">
        <f t="shared" ca="1" si="0"/>
        <v>0</v>
      </c>
      <c r="R4" s="384">
        <f t="shared" ca="1" si="0"/>
        <v>0</v>
      </c>
      <c r="S4" s="384">
        <f t="shared" ca="1" si="0"/>
        <v>0</v>
      </c>
      <c r="T4" s="384">
        <f t="shared" ca="1" si="0"/>
        <v>0</v>
      </c>
      <c r="U4" s="384">
        <f t="shared" ca="1" si="0"/>
        <v>0</v>
      </c>
      <c r="V4" s="384">
        <f t="shared" ca="1" si="1"/>
        <v>0</v>
      </c>
      <c r="W4" s="384">
        <f t="shared" ca="1" si="1"/>
        <v>0</v>
      </c>
      <c r="X4" s="384">
        <f t="shared" ca="1" si="1"/>
        <v>0</v>
      </c>
      <c r="Y4" s="384"/>
      <c r="Z4" s="384">
        <f t="shared" ca="1" si="1"/>
        <v>0</v>
      </c>
      <c r="AA4" s="384">
        <f t="shared" ca="1" si="1"/>
        <v>0</v>
      </c>
      <c r="AB4" s="384">
        <f t="shared" ca="1" si="1"/>
        <v>0</v>
      </c>
      <c r="AC4" s="384">
        <f t="shared" ca="1" si="1"/>
        <v>0</v>
      </c>
      <c r="AD4" s="384">
        <f t="shared" ca="1" si="1"/>
        <v>0</v>
      </c>
      <c r="AE4" s="384">
        <f t="shared" ca="1" si="1"/>
        <v>0</v>
      </c>
      <c r="AF4" s="384">
        <f t="shared" ca="1" si="1"/>
        <v>0</v>
      </c>
      <c r="AG4" s="384">
        <f t="shared" ca="1" si="1"/>
        <v>0</v>
      </c>
      <c r="AH4" s="384">
        <f t="shared" ca="1" si="1"/>
        <v>0</v>
      </c>
      <c r="AI4" s="384">
        <f t="shared" ca="1" si="1"/>
        <v>0</v>
      </c>
      <c r="AJ4" s="384">
        <f t="shared" ca="1" si="1"/>
        <v>0</v>
      </c>
      <c r="AK4" s="387"/>
      <c r="AL4" s="86"/>
      <c r="AM4" s="86"/>
      <c r="AN4" s="86"/>
      <c r="AO4" s="86"/>
    </row>
    <row r="5" spans="1:41" ht="14.25" customHeight="1" x14ac:dyDescent="0.45">
      <c r="E5" s="379">
        <f t="array" aca="1" ref="E5" ca="1">IFERROR(INDEX(INDIRECT($E$8),MATCH(0,COUNTIF(E$1:$E4,INDIRECT($E$8)&amp;""),0)),"")</f>
        <v>0</v>
      </c>
      <c r="F5" s="384">
        <f t="shared" ca="1" si="0"/>
        <v>0</v>
      </c>
      <c r="G5" s="384">
        <f t="shared" ca="1" si="0"/>
        <v>0</v>
      </c>
      <c r="H5" s="384">
        <f t="shared" ca="1" si="0"/>
        <v>0</v>
      </c>
      <c r="I5" s="384"/>
      <c r="J5" s="384">
        <f t="shared" ca="1" si="0"/>
        <v>0</v>
      </c>
      <c r="K5" s="384">
        <f t="shared" ca="1" si="0"/>
        <v>0</v>
      </c>
      <c r="L5" s="384">
        <f t="shared" ca="1" si="0"/>
        <v>0</v>
      </c>
      <c r="M5" s="384">
        <f t="shared" ca="1" si="0"/>
        <v>0</v>
      </c>
      <c r="N5" s="384">
        <f t="shared" ca="1" si="0"/>
        <v>0</v>
      </c>
      <c r="O5" s="385">
        <f t="shared" ca="1" si="0"/>
        <v>0</v>
      </c>
      <c r="P5" s="384">
        <f t="shared" ca="1" si="0"/>
        <v>0</v>
      </c>
      <c r="Q5" s="384">
        <f t="shared" ca="1" si="0"/>
        <v>0</v>
      </c>
      <c r="R5" s="384">
        <f t="shared" ca="1" si="0"/>
        <v>0</v>
      </c>
      <c r="S5" s="384">
        <f t="shared" ca="1" si="0"/>
        <v>0</v>
      </c>
      <c r="T5" s="384">
        <f t="shared" ca="1" si="0"/>
        <v>0</v>
      </c>
      <c r="U5" s="384">
        <f t="shared" ca="1" si="0"/>
        <v>0</v>
      </c>
      <c r="V5" s="384">
        <f t="shared" ca="1" si="1"/>
        <v>0</v>
      </c>
      <c r="W5" s="384">
        <f t="shared" ca="1" si="1"/>
        <v>0</v>
      </c>
      <c r="X5" s="384">
        <f t="shared" ca="1" si="1"/>
        <v>0</v>
      </c>
      <c r="Y5" s="384"/>
      <c r="Z5" s="384">
        <f t="shared" ca="1" si="1"/>
        <v>0</v>
      </c>
      <c r="AA5" s="384">
        <f t="shared" ca="1" si="1"/>
        <v>0</v>
      </c>
      <c r="AB5" s="384">
        <f t="shared" ca="1" si="1"/>
        <v>0</v>
      </c>
      <c r="AC5" s="384">
        <f t="shared" ca="1" si="1"/>
        <v>0</v>
      </c>
      <c r="AD5" s="384">
        <f t="shared" ca="1" si="1"/>
        <v>0</v>
      </c>
      <c r="AE5" s="384">
        <f t="shared" ca="1" si="1"/>
        <v>0</v>
      </c>
      <c r="AF5" s="384">
        <f t="shared" ca="1" si="1"/>
        <v>0</v>
      </c>
      <c r="AG5" s="384">
        <f t="shared" ca="1" si="1"/>
        <v>0</v>
      </c>
      <c r="AH5" s="384">
        <f t="shared" ca="1" si="1"/>
        <v>0</v>
      </c>
      <c r="AI5" s="384">
        <f t="shared" ca="1" si="1"/>
        <v>0</v>
      </c>
      <c r="AJ5" s="384">
        <f t="shared" ca="1" si="1"/>
        <v>0</v>
      </c>
      <c r="AK5" s="387"/>
      <c r="AL5" s="86"/>
      <c r="AM5" s="86"/>
      <c r="AN5" s="86"/>
      <c r="AO5" s="86"/>
    </row>
    <row r="6" spans="1:41" ht="13.5" customHeight="1" x14ac:dyDescent="0.45">
      <c r="E6" s="379">
        <f t="array" aca="1" ref="E6" ca="1">IFERROR(INDEX(INDIRECT($E$8),MATCH(0,COUNTIF(E$1:$E5,INDIRECT($E$8)&amp;""),0)),"")</f>
        <v>0</v>
      </c>
      <c r="F6" s="384">
        <f t="shared" ca="1" si="0"/>
        <v>0</v>
      </c>
      <c r="G6" s="384">
        <f t="shared" ca="1" si="0"/>
        <v>0</v>
      </c>
      <c r="H6" s="384">
        <f t="shared" ca="1" si="0"/>
        <v>0</v>
      </c>
      <c r="I6" s="384"/>
      <c r="J6" s="384">
        <f t="shared" ca="1" si="0"/>
        <v>0</v>
      </c>
      <c r="K6" s="384">
        <f t="shared" ca="1" si="0"/>
        <v>0</v>
      </c>
      <c r="L6" s="384">
        <f t="shared" ca="1" si="0"/>
        <v>0</v>
      </c>
      <c r="M6" s="384">
        <f t="shared" ca="1" si="0"/>
        <v>0</v>
      </c>
      <c r="N6" s="384">
        <f t="shared" ca="1" si="0"/>
        <v>0</v>
      </c>
      <c r="O6" s="385">
        <f t="shared" ca="1" si="0"/>
        <v>0</v>
      </c>
      <c r="P6" s="384">
        <f t="shared" ca="1" si="0"/>
        <v>0</v>
      </c>
      <c r="Q6" s="384">
        <f t="shared" ca="1" si="0"/>
        <v>0</v>
      </c>
      <c r="R6" s="384">
        <f t="shared" ca="1" si="0"/>
        <v>0</v>
      </c>
      <c r="S6" s="384">
        <f t="shared" ca="1" si="0"/>
        <v>0</v>
      </c>
      <c r="T6" s="384">
        <f t="shared" ca="1" si="0"/>
        <v>0</v>
      </c>
      <c r="U6" s="384">
        <f t="shared" ca="1" si="0"/>
        <v>0</v>
      </c>
      <c r="V6" s="384">
        <f t="shared" ca="1" si="1"/>
        <v>0</v>
      </c>
      <c r="W6" s="384">
        <f t="shared" ca="1" si="1"/>
        <v>0</v>
      </c>
      <c r="X6" s="384">
        <f ca="1">SUMIFS(X$14:X$1400,$E$14:$E$1400,$E6)</f>
        <v>0</v>
      </c>
      <c r="Y6" s="384"/>
      <c r="Z6" s="384">
        <f t="shared" ca="1" si="1"/>
        <v>0</v>
      </c>
      <c r="AA6" s="384">
        <f t="shared" ca="1" si="1"/>
        <v>0</v>
      </c>
      <c r="AB6" s="384">
        <f t="shared" ca="1" si="1"/>
        <v>0</v>
      </c>
      <c r="AC6" s="384">
        <f t="shared" ca="1" si="1"/>
        <v>0</v>
      </c>
      <c r="AD6" s="384">
        <f t="shared" ca="1" si="1"/>
        <v>0</v>
      </c>
      <c r="AE6" s="384">
        <f t="shared" ca="1" si="1"/>
        <v>0</v>
      </c>
      <c r="AF6" s="384">
        <f t="shared" ca="1" si="1"/>
        <v>0</v>
      </c>
      <c r="AG6" s="384">
        <f t="shared" ca="1" si="1"/>
        <v>0</v>
      </c>
      <c r="AH6" s="384">
        <f t="shared" ca="1" si="1"/>
        <v>0</v>
      </c>
      <c r="AI6" s="384">
        <f t="shared" ca="1" si="1"/>
        <v>0</v>
      </c>
      <c r="AJ6" s="384">
        <f t="shared" ca="1" si="1"/>
        <v>0</v>
      </c>
      <c r="AK6" s="387"/>
      <c r="AL6" s="86"/>
      <c r="AM6" s="86"/>
      <c r="AN6" s="86"/>
      <c r="AO6" s="86"/>
    </row>
    <row r="7" spans="1:41" s="58" customFormat="1" ht="19.7" customHeight="1" x14ac:dyDescent="0.45">
      <c r="C7" s="61">
        <f ca="1">COUNTIF(I14:I1400,"&gt;0")</f>
        <v>0</v>
      </c>
      <c r="D7" s="61"/>
      <c r="E7" s="64" t="s">
        <v>82</v>
      </c>
      <c r="F7" s="63">
        <f ca="1">SUM(F2:F6)</f>
        <v>0</v>
      </c>
      <c r="G7" s="63">
        <f ca="1">SUM(G2:G6)</f>
        <v>0</v>
      </c>
      <c r="H7" s="63">
        <f t="shared" ref="H7:AJ7" ca="1" si="2">SUM(H2:H6)</f>
        <v>0</v>
      </c>
      <c r="I7" s="63"/>
      <c r="J7" s="63">
        <f t="shared" ca="1" si="2"/>
        <v>0</v>
      </c>
      <c r="K7" s="63">
        <f t="shared" ca="1" si="2"/>
        <v>0</v>
      </c>
      <c r="L7" s="63">
        <f t="shared" ca="1" si="2"/>
        <v>0</v>
      </c>
      <c r="M7" s="63">
        <f t="shared" ca="1" si="2"/>
        <v>0</v>
      </c>
      <c r="N7" s="63">
        <f t="shared" ca="1" si="2"/>
        <v>0</v>
      </c>
      <c r="O7" s="212">
        <f t="shared" ca="1" si="2"/>
        <v>0</v>
      </c>
      <c r="P7" s="63">
        <f t="shared" ca="1" si="2"/>
        <v>0</v>
      </c>
      <c r="Q7" s="63">
        <f t="shared" ca="1" si="2"/>
        <v>0</v>
      </c>
      <c r="R7" s="63">
        <f t="shared" ca="1" si="2"/>
        <v>0</v>
      </c>
      <c r="S7" s="63">
        <f t="shared" ca="1" si="2"/>
        <v>0</v>
      </c>
      <c r="T7" s="63">
        <f t="shared" ca="1" si="2"/>
        <v>0</v>
      </c>
      <c r="U7" s="63">
        <f t="shared" ca="1" si="2"/>
        <v>0</v>
      </c>
      <c r="V7" s="63">
        <f t="shared" ca="1" si="2"/>
        <v>0</v>
      </c>
      <c r="W7" s="63">
        <f t="shared" ca="1" si="2"/>
        <v>0</v>
      </c>
      <c r="X7" s="63">
        <f t="shared" ca="1" si="2"/>
        <v>0</v>
      </c>
      <c r="Y7" s="63"/>
      <c r="Z7" s="63">
        <f t="shared" ca="1" si="2"/>
        <v>0</v>
      </c>
      <c r="AA7" s="63">
        <f t="shared" ca="1" si="2"/>
        <v>0</v>
      </c>
      <c r="AB7" s="63">
        <f t="shared" ca="1" si="2"/>
        <v>0</v>
      </c>
      <c r="AC7" s="63">
        <f t="shared" ca="1" si="2"/>
        <v>0</v>
      </c>
      <c r="AD7" s="63">
        <f t="shared" ca="1" si="2"/>
        <v>0</v>
      </c>
      <c r="AE7" s="63">
        <f t="shared" ca="1" si="2"/>
        <v>0</v>
      </c>
      <c r="AF7" s="63">
        <f t="shared" ca="1" si="2"/>
        <v>0</v>
      </c>
      <c r="AG7" s="63">
        <f t="shared" ca="1" si="2"/>
        <v>0</v>
      </c>
      <c r="AH7" s="63">
        <f t="shared" ca="1" si="2"/>
        <v>0</v>
      </c>
      <c r="AI7" s="63">
        <f t="shared" ca="1" si="2"/>
        <v>0</v>
      </c>
      <c r="AJ7" s="63">
        <f t="shared" ca="1" si="2"/>
        <v>0</v>
      </c>
      <c r="AK7" s="62"/>
      <c r="AL7" s="86"/>
      <c r="AM7" s="86"/>
      <c r="AN7" s="86"/>
      <c r="AO7" s="86"/>
    </row>
    <row r="8" spans="1:41" s="58" customFormat="1" ht="19.7" customHeight="1" x14ac:dyDescent="0.45">
      <c r="A8" s="55"/>
      <c r="B8" s="55"/>
      <c r="C8" s="56"/>
      <c r="D8" s="56"/>
      <c r="E8" s="91" t="str">
        <f ca="1">"$E$14:$E$"&amp;COUNTA(E14:E1000)+14</f>
        <v>$E$14:$E$16</v>
      </c>
      <c r="F8" s="57">
        <f ca="1">SUBTOTAL(9,F$14:F$1400)</f>
        <v>0</v>
      </c>
      <c r="G8" s="57">
        <f ca="1">SUBTOTAL(9,G$14:G$1400)</f>
        <v>0</v>
      </c>
      <c r="H8" s="57">
        <f t="shared" ref="H8:AJ8" ca="1" si="3">SUBTOTAL(9,H$14:H$1400)</f>
        <v>0</v>
      </c>
      <c r="I8" s="57"/>
      <c r="J8" s="57">
        <f t="shared" ca="1" si="3"/>
        <v>0</v>
      </c>
      <c r="K8" s="57">
        <f t="shared" ca="1" si="3"/>
        <v>0</v>
      </c>
      <c r="L8" s="57">
        <f t="shared" si="3"/>
        <v>0</v>
      </c>
      <c r="M8" s="57">
        <f t="shared" ca="1" si="3"/>
        <v>0</v>
      </c>
      <c r="N8" s="57">
        <f t="shared" ca="1" si="3"/>
        <v>0</v>
      </c>
      <c r="O8" s="213">
        <f t="shared" si="3"/>
        <v>0</v>
      </c>
      <c r="P8" s="57">
        <f t="shared" ca="1" si="3"/>
        <v>0</v>
      </c>
      <c r="Q8" s="57">
        <f t="shared" si="3"/>
        <v>0</v>
      </c>
      <c r="R8" s="57">
        <f t="shared" si="3"/>
        <v>0</v>
      </c>
      <c r="S8" s="57">
        <f t="shared" si="3"/>
        <v>0</v>
      </c>
      <c r="T8" s="57">
        <f t="shared" si="3"/>
        <v>0</v>
      </c>
      <c r="U8" s="57">
        <f t="shared" si="3"/>
        <v>0</v>
      </c>
      <c r="V8" s="57">
        <f t="shared" ca="1" si="3"/>
        <v>0</v>
      </c>
      <c r="W8" s="57">
        <f t="shared" ca="1" si="3"/>
        <v>0</v>
      </c>
      <c r="X8" s="57">
        <f t="shared" ca="1" si="3"/>
        <v>0</v>
      </c>
      <c r="Y8" s="57"/>
      <c r="Z8" s="57">
        <f t="shared" ca="1" si="3"/>
        <v>0</v>
      </c>
      <c r="AA8" s="57">
        <f t="shared" ca="1" si="3"/>
        <v>0</v>
      </c>
      <c r="AB8" s="57">
        <f t="shared" ca="1" si="3"/>
        <v>0</v>
      </c>
      <c r="AC8" s="57">
        <f t="shared" ca="1" si="3"/>
        <v>0</v>
      </c>
      <c r="AD8" s="57">
        <f t="shared" ca="1" si="3"/>
        <v>0</v>
      </c>
      <c r="AE8" s="57">
        <f t="shared" ca="1" si="3"/>
        <v>0</v>
      </c>
      <c r="AF8" s="57">
        <f t="shared" si="3"/>
        <v>0</v>
      </c>
      <c r="AG8" s="57">
        <f t="shared" si="3"/>
        <v>0</v>
      </c>
      <c r="AH8" s="57">
        <f t="shared" ca="1" si="3"/>
        <v>0</v>
      </c>
      <c r="AI8" s="57">
        <f t="shared" ca="1" si="3"/>
        <v>0</v>
      </c>
      <c r="AJ8" s="57">
        <f t="shared" ca="1" si="3"/>
        <v>0</v>
      </c>
      <c r="AK8" s="57"/>
      <c r="AL8" s="86"/>
      <c r="AM8" s="86"/>
      <c r="AN8" s="86"/>
      <c r="AO8" s="86"/>
    </row>
    <row r="9" spans="1:41" x14ac:dyDescent="0.45">
      <c r="A9" s="26"/>
      <c r="B9" s="26"/>
      <c r="C9" s="43"/>
      <c r="D9" s="43"/>
      <c r="E9" s="26"/>
      <c r="F9" s="26"/>
      <c r="G9" s="26"/>
      <c r="H9" s="26"/>
      <c r="I9" s="52"/>
      <c r="J9" s="54"/>
      <c r="K9" s="609" t="s">
        <v>111</v>
      </c>
      <c r="L9" s="590"/>
      <c r="M9" s="590"/>
      <c r="N9" s="590"/>
      <c r="O9" s="606" t="s">
        <v>369</v>
      </c>
      <c r="P9" s="606"/>
      <c r="Q9" s="611" t="s">
        <v>49</v>
      </c>
      <c r="R9" s="612"/>
      <c r="S9" s="613"/>
      <c r="T9" s="613"/>
      <c r="U9" s="163"/>
      <c r="V9" s="95"/>
      <c r="W9" s="604" t="s">
        <v>53</v>
      </c>
      <c r="X9" s="604"/>
      <c r="Y9" s="604"/>
      <c r="Z9" s="604"/>
      <c r="AA9" s="605"/>
      <c r="AB9" s="92"/>
      <c r="AC9" s="607" t="s">
        <v>56</v>
      </c>
      <c r="AD9" s="608"/>
      <c r="AE9" s="608"/>
      <c r="AF9" s="608"/>
      <c r="AG9" s="608"/>
      <c r="AH9" s="94"/>
      <c r="AI9" s="94"/>
      <c r="AJ9" s="26"/>
      <c r="AK9" s="42"/>
      <c r="AL9" s="86"/>
      <c r="AM9" s="86"/>
      <c r="AN9" s="86"/>
      <c r="AO9" s="86"/>
    </row>
    <row r="10" spans="1:41" ht="15" customHeight="1" x14ac:dyDescent="0.45">
      <c r="A10" s="622" t="s">
        <v>1</v>
      </c>
      <c r="B10" s="622" t="s">
        <v>2</v>
      </c>
      <c r="C10" s="622" t="s">
        <v>3</v>
      </c>
      <c r="D10" s="622" t="s">
        <v>4</v>
      </c>
      <c r="E10" s="622" t="s">
        <v>39</v>
      </c>
      <c r="F10" s="622" t="s">
        <v>6</v>
      </c>
      <c r="G10" s="622" t="s">
        <v>7</v>
      </c>
      <c r="H10" s="622" t="s">
        <v>40</v>
      </c>
      <c r="I10" s="625" t="s">
        <v>42</v>
      </c>
      <c r="J10" s="622" t="s">
        <v>41</v>
      </c>
      <c r="K10" s="618" t="s">
        <v>298</v>
      </c>
      <c r="L10" s="610" t="s">
        <v>44</v>
      </c>
      <c r="M10" s="610"/>
      <c r="N10" s="618" t="s">
        <v>299</v>
      </c>
      <c r="O10" s="163"/>
      <c r="P10" s="31"/>
      <c r="Q10" s="614" t="s">
        <v>79</v>
      </c>
      <c r="R10" s="614"/>
      <c r="S10" s="168"/>
      <c r="T10" s="170"/>
      <c r="U10" s="164"/>
      <c r="V10" s="96"/>
      <c r="W10" s="32"/>
      <c r="X10" s="26"/>
      <c r="Y10" s="26"/>
      <c r="Z10" s="26"/>
      <c r="AA10" s="32"/>
      <c r="AB10" s="599" t="s">
        <v>57</v>
      </c>
      <c r="AC10" s="615" t="s">
        <v>58</v>
      </c>
      <c r="AD10" s="616"/>
      <c r="AE10" s="615"/>
      <c r="AF10" s="616"/>
      <c r="AG10" s="617"/>
      <c r="AH10" s="599" t="s">
        <v>59</v>
      </c>
      <c r="AI10" s="632" t="s">
        <v>61</v>
      </c>
      <c r="AJ10" s="35"/>
      <c r="AK10" s="35"/>
      <c r="AL10" s="86"/>
      <c r="AM10" s="86"/>
      <c r="AN10" s="86"/>
      <c r="AO10" s="86"/>
    </row>
    <row r="11" spans="1:41" s="4" customFormat="1" ht="33" customHeight="1" x14ac:dyDescent="0.45">
      <c r="A11" s="622"/>
      <c r="B11" s="622"/>
      <c r="C11" s="622"/>
      <c r="D11" s="622"/>
      <c r="E11" s="622"/>
      <c r="F11" s="622"/>
      <c r="G11" s="622"/>
      <c r="H11" s="622"/>
      <c r="I11" s="625"/>
      <c r="J11" s="622"/>
      <c r="K11" s="619"/>
      <c r="L11" s="194" t="s">
        <v>45</v>
      </c>
      <c r="M11" s="195" t="s">
        <v>46</v>
      </c>
      <c r="N11" s="619"/>
      <c r="O11" s="185" t="s">
        <v>370</v>
      </c>
      <c r="P11" s="196" t="s">
        <v>371</v>
      </c>
      <c r="Q11" s="197" t="s">
        <v>51</v>
      </c>
      <c r="R11" s="198" t="s">
        <v>78</v>
      </c>
      <c r="S11" s="199" t="s">
        <v>50</v>
      </c>
      <c r="T11" s="200" t="s">
        <v>60</v>
      </c>
      <c r="U11" s="201" t="s">
        <v>77</v>
      </c>
      <c r="V11" s="202" t="s">
        <v>52</v>
      </c>
      <c r="W11" s="33" t="s">
        <v>43</v>
      </c>
      <c r="X11" s="196" t="s">
        <v>264</v>
      </c>
      <c r="Y11" s="196" t="s">
        <v>77</v>
      </c>
      <c r="Z11" s="103" t="s">
        <v>54</v>
      </c>
      <c r="AA11" s="33" t="s">
        <v>55</v>
      </c>
      <c r="AB11" s="599"/>
      <c r="AC11" s="25" t="s">
        <v>88</v>
      </c>
      <c r="AD11" s="28" t="s">
        <v>28</v>
      </c>
      <c r="AE11" s="34" t="s">
        <v>81</v>
      </c>
      <c r="AF11" s="126"/>
      <c r="AG11" s="30"/>
      <c r="AH11" s="599"/>
      <c r="AI11" s="632"/>
      <c r="AJ11" s="36" t="s">
        <v>62</v>
      </c>
      <c r="AK11" s="36" t="s">
        <v>63</v>
      </c>
      <c r="AL11" s="87"/>
      <c r="AM11" s="87"/>
      <c r="AN11" s="87"/>
      <c r="AO11" s="87"/>
    </row>
    <row r="12" spans="1:41" s="4" customFormat="1" ht="15" customHeight="1" x14ac:dyDescent="0.45">
      <c r="A12" s="29"/>
      <c r="B12" s="29"/>
      <c r="C12" s="29"/>
      <c r="D12" s="29"/>
      <c r="E12" s="29"/>
      <c r="F12" s="29"/>
      <c r="G12" s="602" t="str">
        <f>'1'!G12</f>
        <v>Link</v>
      </c>
      <c r="H12" s="603"/>
      <c r="I12" s="53"/>
      <c r="J12" s="29">
        <f>INDEX(Cham_Cong!$E$7:$P$8,1,MATCH(C1,Cham_Cong!$E$8:$P$8,0))</f>
        <v>27</v>
      </c>
      <c r="K12" s="40">
        <v>730000</v>
      </c>
      <c r="L12" s="160"/>
      <c r="M12" s="27">
        <v>1000000</v>
      </c>
      <c r="N12" s="41">
        <v>500000</v>
      </c>
      <c r="O12" s="167">
        <v>2</v>
      </c>
      <c r="P12" s="38"/>
      <c r="Q12" s="161"/>
      <c r="R12" s="25"/>
      <c r="S12" s="165"/>
      <c r="T12" s="166"/>
      <c r="U12" s="165"/>
      <c r="V12" s="98"/>
      <c r="W12" s="30"/>
      <c r="X12" s="29"/>
      <c r="Y12" s="29"/>
      <c r="Z12" s="29"/>
      <c r="AA12" s="30"/>
      <c r="AB12" s="93"/>
      <c r="AC12" s="37">
        <v>11000000</v>
      </c>
      <c r="AD12" s="37">
        <v>4400000</v>
      </c>
      <c r="AE12" s="39">
        <v>0.105</v>
      </c>
      <c r="AF12" s="39"/>
      <c r="AG12" s="39"/>
      <c r="AH12" s="93"/>
      <c r="AI12" s="93"/>
      <c r="AJ12" s="29"/>
      <c r="AK12" s="29"/>
      <c r="AL12" s="87"/>
      <c r="AM12" s="87"/>
      <c r="AN12" s="87"/>
      <c r="AO12" s="87"/>
    </row>
    <row r="13" spans="1:41" s="70" customFormat="1" x14ac:dyDescent="0.45">
      <c r="A13" s="49"/>
      <c r="B13" s="49" t="s">
        <v>24</v>
      </c>
      <c r="C13" s="89" t="s">
        <v>25</v>
      </c>
      <c r="D13" s="49" t="s">
        <v>26</v>
      </c>
      <c r="E13" s="49" t="s">
        <v>27</v>
      </c>
      <c r="F13" s="49" t="s">
        <v>28</v>
      </c>
      <c r="G13" s="49" t="s">
        <v>29</v>
      </c>
      <c r="H13" s="49" t="s">
        <v>185</v>
      </c>
      <c r="I13" s="90" t="s">
        <v>186</v>
      </c>
      <c r="J13" s="49" t="s">
        <v>80</v>
      </c>
      <c r="K13" s="49" t="s">
        <v>80</v>
      </c>
      <c r="L13" s="49" t="s">
        <v>391</v>
      </c>
      <c r="M13" s="49" t="s">
        <v>80</v>
      </c>
      <c r="N13" s="49" t="s">
        <v>80</v>
      </c>
      <c r="O13" s="49" t="s">
        <v>208</v>
      </c>
      <c r="P13" s="49" t="s">
        <v>80</v>
      </c>
      <c r="Q13" s="49"/>
      <c r="R13" s="49" t="s">
        <v>80</v>
      </c>
      <c r="S13" s="49" t="s">
        <v>80</v>
      </c>
      <c r="T13" s="49" t="s">
        <v>80</v>
      </c>
      <c r="U13" s="49" t="s">
        <v>80</v>
      </c>
      <c r="V13" s="49" t="s">
        <v>66</v>
      </c>
      <c r="W13" s="49"/>
      <c r="X13" s="49"/>
      <c r="Y13" s="49"/>
      <c r="Z13" s="49"/>
      <c r="AA13" s="49"/>
      <c r="AB13" s="49" t="s">
        <v>64</v>
      </c>
      <c r="AC13" s="49" t="s">
        <v>101</v>
      </c>
      <c r="AD13" s="49" t="s">
        <v>102</v>
      </c>
      <c r="AE13" s="49" t="s">
        <v>165</v>
      </c>
      <c r="AF13" s="49"/>
      <c r="AG13" s="49"/>
      <c r="AH13" s="49"/>
      <c r="AI13" s="49" t="s">
        <v>65</v>
      </c>
      <c r="AJ13" s="49" t="s">
        <v>67</v>
      </c>
      <c r="AK13" s="49"/>
      <c r="AL13" s="88" t="s">
        <v>32</v>
      </c>
      <c r="AM13" s="88" t="s">
        <v>33</v>
      </c>
      <c r="AN13" s="88" t="s">
        <v>34</v>
      </c>
      <c r="AO13" s="88" t="s">
        <v>35</v>
      </c>
    </row>
    <row r="14" spans="1:41" x14ac:dyDescent="0.45">
      <c r="A14" s="5">
        <f ca="1">IF(B14&lt;&gt;"",SUBTOTAL(3,$B$14:B14),"")</f>
        <v>1</v>
      </c>
      <c r="B14" s="3">
        <f ca="1">INDEX(INDIRECT(Danh_Sach!$N$1),ROWS($B$14:$B14),MATCH(B$13,INDIRECT(Danh_Sach!$N$2),0))</f>
        <v>0</v>
      </c>
      <c r="C14" s="5">
        <f ca="1">INDEX(INDIRECT(Danh_Sach!$N$1),ROWS($B$14:$B14),MATCH(C$13,INDIRECT(Danh_Sach!$N$2),0))</f>
        <v>0</v>
      </c>
      <c r="D14" s="5">
        <f ca="1">INDEX(INDIRECT(Danh_Sach!$N$1),ROWS($B$14:$B14),MATCH(D$13,INDIRECT(Danh_Sach!$N$2),0))</f>
        <v>0</v>
      </c>
      <c r="E14" s="5">
        <f ca="1">INDEX(INDIRECT(Danh_Sach!$N$1),ROWS($B$14:$B14),MATCH(E$13,INDIRECT(Danh_Sach!$N$2),0))</f>
        <v>0</v>
      </c>
      <c r="F14" s="5">
        <f t="array" aca="1" ref="F14" ca="1">INDEX(INDIRECT(NPT!$W$1),ROWS($B$14:B14),MATCH($C$1,INDIRECT(NPT!$W$2),0))</f>
        <v>0</v>
      </c>
      <c r="G14" s="11">
        <f ca="1">IF(AND($G$12="Link",H14&lt;&gt;0),H14,INDEX(INDIRECT(Danh_Sach!$N$1),ROWS($B$14:$B14),MATCH(G$13,INDIRECT(Danh_Sach!$N$2),0)))</f>
        <v>0</v>
      </c>
      <c r="H14" s="11">
        <f ca="1">IFERROR(INDEX(INDIRECT(BaoHiem!$A$3),ROWS($B$14:$B14),MATCH($C$1,INDIRECT(BaoHiem!$A$4),0)),0)</f>
        <v>0</v>
      </c>
      <c r="I14" s="72">
        <f t="array" aca="1" ref="I14" ca="1">INDEX(INDIRECT(Cham_Cong!$T$3),ROWS($B$14:B14),MATCH($C$1,INDIRECT(Cham_Cong!$T$4),0))</f>
        <v>0</v>
      </c>
      <c r="J14" s="11">
        <f ca="1">G14/$J$12*I14</f>
        <v>0</v>
      </c>
      <c r="K14" s="11">
        <f ca="1">IF(I14&gt;0,$K$12,0)</f>
        <v>0</v>
      </c>
      <c r="L14" s="11"/>
      <c r="M14" s="22">
        <f ca="1">IF(I14=0,0,$M$12*L14)</f>
        <v>0</v>
      </c>
      <c r="N14" s="11">
        <f ca="1">IF(I14&gt;0,$N$12,0)</f>
        <v>0</v>
      </c>
      <c r="P14" s="22">
        <f ca="1">IF(I14=0,0,ROUND(O14*$O$12*(G14/$J$12/8),0))</f>
        <v>0</v>
      </c>
      <c r="R14" s="11"/>
      <c r="S14" s="11"/>
      <c r="V14" s="11">
        <f ca="1">IF(I14=0,0,SUMIF($J$13:$U$13,"i_gross",J14:U14))</f>
        <v>0</v>
      </c>
      <c r="W14" s="22">
        <f ca="1">K14</f>
        <v>0</v>
      </c>
      <c r="X14" s="22">
        <f ca="1">M14+N14</f>
        <v>0</v>
      </c>
      <c r="Y14" s="22">
        <f>U14</f>
        <v>0</v>
      </c>
      <c r="Z14" s="22">
        <f ca="1">P14-P14/$O$12</f>
        <v>0</v>
      </c>
      <c r="AA14" s="22">
        <f ca="1">SUM(W14:Z14)</f>
        <v>0</v>
      </c>
      <c r="AB14" s="22">
        <f ca="1">IF(I14=0,0,V14-AA14)</f>
        <v>0</v>
      </c>
      <c r="AC14" s="22">
        <f ca="1">IF(AB14&gt;0,$AC$12,0)</f>
        <v>0</v>
      </c>
      <c r="AD14" s="22">
        <f ca="1">$AD$12*F14</f>
        <v>0</v>
      </c>
      <c r="AE14" s="22">
        <f ca="1">IF(AB14&gt;0,IF(ISNA(VLOOKUP(C14,Info!$C$22:$D$303,2,0))=FALSE,H14*1.5%,H14*$AE$12),0)</f>
        <v>0</v>
      </c>
      <c r="AH14" s="22">
        <f ca="1">MAX(AB14-SUM(AC14:AG14),0)</f>
        <v>0</v>
      </c>
      <c r="AI14" s="22">
        <f ca="1">IF(AH14&gt;0,(AH14-VLOOKUP(AH14-1,INDIRECT(TAXRATE!$E$1),1,1))*VLOOKUP(AH14,INDIRECT(TAXRATE!$E$1),2,1)+VLOOKUP(AH14-1,INDIRECT(TAXRATE!$E$1),3,1),0)</f>
        <v>0</v>
      </c>
      <c r="AJ14" s="22">
        <f ca="1">V14-AI14-AE14-AF14-AG14</f>
        <v>0</v>
      </c>
      <c r="AL14" s="3" t="str">
        <f ca="1">IF(INDEX(INDIRECT(Danh_Sach!$N$1),ROWS($B$14:$B14),MATCH(AL$13,INDIRECT(Danh_Sach!$N$2),0))=0,"",MONTH(INDEX(INDIRECT(Danh_Sach!$N$1),ROWS($B$14:$B14),MATCH(AL$13,INDIRECT(Danh_Sach!$N$2),0))))</f>
        <v/>
      </c>
      <c r="AM14" s="3" t="str">
        <f ca="1">IF(INDEX(INDIRECT(Danh_Sach!$N$1),ROWS($B$14:$B14),MATCH(AM$13,INDIRECT(Danh_Sach!$N$2),0))=0,"",MONTH(INDEX(INDIRECT(Danh_Sach!$N$1),ROWS($B$14:$B14),MATCH(AM$13,INDIRECT(Danh_Sach!$N$2),0))))</f>
        <v/>
      </c>
      <c r="AN14" s="3" t="str">
        <f ca="1">IF(INDEX(INDIRECT(Danh_Sach!$N$1),ROWS($B$14:$B14),MATCH(AN$13,INDIRECT(Danh_Sach!$N$2),0))=0,"",MONTH(INDEX(INDIRECT(Danh_Sach!$N$1),ROWS($B$14:$B14),MATCH(AN$13,INDIRECT(Danh_Sach!$N$2),0))))</f>
        <v/>
      </c>
      <c r="AO14" s="3" t="str">
        <f ca="1">IF(INDEX(INDIRECT(Danh_Sach!$N$1),ROWS($B$14:$B14),MATCH(AO$13,INDIRECT(Danh_Sach!$N$2),0))=0,"",MONTH(INDEX(INDIRECT(Danh_Sach!$N$1),ROWS($B$14:$B14),MATCH(AO$13,INDIRECT(Danh_Sach!$N$2),0))))</f>
        <v/>
      </c>
    </row>
    <row r="15" spans="1:41" x14ac:dyDescent="0.45">
      <c r="A15" s="5">
        <f ca="1">IF(B15&lt;&gt;"",SUBTOTAL(3,$B$14:B15),"")</f>
        <v>2</v>
      </c>
      <c r="B15" s="3">
        <f ca="1">INDEX(INDIRECT(Danh_Sach!$N$1),ROWS($B$14:$B15),MATCH(B$13,INDIRECT(Danh_Sach!$N$2),0))</f>
        <v>0</v>
      </c>
      <c r="C15" s="5">
        <f ca="1">INDEX(INDIRECT(Danh_Sach!$N$1),ROWS($B$14:$B15),MATCH(C$13,INDIRECT(Danh_Sach!$N$2),0))</f>
        <v>0</v>
      </c>
      <c r="D15" s="5">
        <f ca="1">INDEX(INDIRECT(Danh_Sach!$N$1),ROWS($B$14:$B15),MATCH(D$13,INDIRECT(Danh_Sach!$N$2),0))</f>
        <v>0</v>
      </c>
      <c r="E15" s="5">
        <f ca="1">INDEX(INDIRECT(Danh_Sach!$N$1),ROWS($B$14:$B15),MATCH(E$13,INDIRECT(Danh_Sach!$N$2),0))</f>
        <v>0</v>
      </c>
      <c r="F15" s="5">
        <f t="array" aca="1" ref="F15" ca="1">INDEX(INDIRECT(NPT!$W$1),ROWS($B$14:B15),MATCH($C$1,INDIRECT(NPT!$W$2),0))</f>
        <v>0</v>
      </c>
      <c r="G15" s="11">
        <f ca="1">IF(AND($G$12="Link",H15&lt;&gt;0),H15,INDEX(INDIRECT(Danh_Sach!$N$1),ROWS($B$14:$B15),MATCH(G$13,INDIRECT(Danh_Sach!$N$2),0)))</f>
        <v>0</v>
      </c>
      <c r="H15" s="11">
        <f ca="1">IFERROR(INDEX(INDIRECT(BaoHiem!$A$3),ROWS($B$14:$B15),MATCH($C$1,INDIRECT(BaoHiem!$A$4),0)),0)</f>
        <v>0</v>
      </c>
      <c r="I15" s="72">
        <f t="array" aca="1" ref="I15" ca="1">INDEX(INDIRECT(Cham_Cong!$T$3),ROWS($B$14:B15),MATCH($C$1,INDIRECT(Cham_Cong!$T$4),0))</f>
        <v>0</v>
      </c>
      <c r="J15" s="11">
        <f ca="1">G15/$J$12*I15</f>
        <v>0</v>
      </c>
      <c r="K15" s="11">
        <f ca="1">IF(I15&gt;0,$K$12,0)</f>
        <v>0</v>
      </c>
      <c r="L15" s="11"/>
      <c r="M15" s="22">
        <f ca="1">IF(I15=0,0,$M$12*L15)</f>
        <v>0</v>
      </c>
      <c r="N15" s="11">
        <f ca="1">IF(I15&gt;0,$N$12,0)</f>
        <v>0</v>
      </c>
      <c r="P15" s="22">
        <f ca="1">IF(I15=0,0,ROUND(O15*$O$12*(G15/$J$12/8),0))</f>
        <v>0</v>
      </c>
      <c r="R15" s="11"/>
      <c r="S15" s="11"/>
      <c r="V15" s="11">
        <f ca="1">IF(I15=0,0,SUMIF($J$13:$U$13,"i_gross",J15:U15))</f>
        <v>0</v>
      </c>
      <c r="W15" s="22">
        <f ca="1">K15</f>
        <v>0</v>
      </c>
      <c r="X15" s="22">
        <f ca="1">M15+N15</f>
        <v>0</v>
      </c>
      <c r="Y15" s="22">
        <f>U15</f>
        <v>0</v>
      </c>
      <c r="Z15" s="22">
        <f ca="1">P15-P15/$O$12</f>
        <v>0</v>
      </c>
      <c r="AA15" s="22">
        <f ca="1">SUM(W15:Z15)</f>
        <v>0</v>
      </c>
      <c r="AB15" s="22">
        <f ca="1">IF(I15=0,0,V15-AA15)</f>
        <v>0</v>
      </c>
      <c r="AC15" s="22">
        <f ca="1">IF(AB15&gt;0,$AC$12,0)</f>
        <v>0</v>
      </c>
      <c r="AD15" s="22">
        <f ca="1">$AD$12*F15</f>
        <v>0</v>
      </c>
      <c r="AE15" s="22">
        <f ca="1">IF(AB15&gt;0,IF(ISNA(VLOOKUP(C15,Info!$C$22:$D$303,2,0))=FALSE,H15*1.5%,H15*$AE$12),0)</f>
        <v>0</v>
      </c>
      <c r="AH15" s="22">
        <f ca="1">MAX(AB15-SUM(AC15:AG15),0)</f>
        <v>0</v>
      </c>
      <c r="AI15" s="22">
        <f ca="1">IF(AH15&gt;0,(AH15-VLOOKUP(AH15-1,INDIRECT(TAXRATE!$E$1),1,1))*VLOOKUP(AH15,INDIRECT(TAXRATE!$E$1),2,1)+VLOOKUP(AH15-1,INDIRECT(TAXRATE!$E$1),3,1),0)</f>
        <v>0</v>
      </c>
      <c r="AJ15" s="22">
        <f ca="1">V15-AI15-AE15-AF15-AG15</f>
        <v>0</v>
      </c>
      <c r="AL15" s="3" t="str">
        <f ca="1">IF(INDEX(INDIRECT(Danh_Sach!$N$1),ROWS($B$14:$B15),MATCH(AL$13,INDIRECT(Danh_Sach!$N$2),0))=0,"",MONTH(INDEX(INDIRECT(Danh_Sach!$N$1),ROWS($B$14:$B15),MATCH(AL$13,INDIRECT(Danh_Sach!$N$2),0))))</f>
        <v/>
      </c>
      <c r="AM15" s="3" t="str">
        <f ca="1">IF(INDEX(INDIRECT(Danh_Sach!$N$1),ROWS($B$14:$B15),MATCH(AM$13,INDIRECT(Danh_Sach!$N$2),0))=0,"",MONTH(INDEX(INDIRECT(Danh_Sach!$N$1),ROWS($B$14:$B15),MATCH(AM$13,INDIRECT(Danh_Sach!$N$2),0))))</f>
        <v/>
      </c>
      <c r="AN15" s="3" t="str">
        <f ca="1">IF(INDEX(INDIRECT(Danh_Sach!$N$1),ROWS($B$14:$B15),MATCH(AN$13,INDIRECT(Danh_Sach!$N$2),0))=0,"",MONTH(INDEX(INDIRECT(Danh_Sach!$N$1),ROWS($B$14:$B15),MATCH(AN$13,INDIRECT(Danh_Sach!$N$2),0))))</f>
        <v/>
      </c>
      <c r="AO15" s="3" t="str">
        <f ca="1">IF(INDEX(INDIRECT(Danh_Sach!$N$1),ROWS($B$14:$B15),MATCH(AO$13,INDIRECT(Danh_Sach!$N$2),0))=0,"",MONTH(INDEX(INDIRECT(Danh_Sach!$N$1),ROWS($B$14:$B15),MATCH(AO$13,INDIRECT(Danh_Sach!$N$2),0))))</f>
        <v/>
      </c>
    </row>
    <row r="16" spans="1:41" x14ac:dyDescent="0.45">
      <c r="A16" s="5"/>
      <c r="E16" s="5"/>
      <c r="F16" s="5"/>
      <c r="G16" s="11"/>
      <c r="H16" s="11"/>
      <c r="I16" s="72"/>
      <c r="J16" s="11"/>
      <c r="K16" s="11"/>
      <c r="L16" s="11"/>
      <c r="M16" s="22"/>
      <c r="N16" s="11"/>
      <c r="P16" s="22"/>
      <c r="R16" s="11"/>
      <c r="S16" s="11"/>
      <c r="V16" s="11"/>
      <c r="W16" s="22"/>
      <c r="X16" s="22"/>
      <c r="Y16" s="22"/>
      <c r="Z16" s="22"/>
      <c r="AA16" s="22"/>
      <c r="AB16" s="22"/>
      <c r="AC16" s="22"/>
      <c r="AD16" s="22"/>
      <c r="AE16" s="22"/>
      <c r="AH16" s="22"/>
      <c r="AI16" s="22"/>
      <c r="AJ16" s="22"/>
    </row>
    <row r="17" spans="1:36" x14ac:dyDescent="0.45">
      <c r="A17" s="5"/>
      <c r="E17" s="5"/>
      <c r="F17" s="5"/>
      <c r="G17" s="11"/>
      <c r="H17" s="11"/>
      <c r="I17" s="72"/>
      <c r="J17" s="11"/>
      <c r="K17" s="11"/>
      <c r="L17" s="11"/>
      <c r="M17" s="22"/>
      <c r="N17" s="11"/>
      <c r="P17" s="22"/>
      <c r="R17" s="11"/>
      <c r="S17" s="11"/>
      <c r="V17" s="11"/>
      <c r="W17" s="22"/>
      <c r="X17" s="22"/>
      <c r="Y17" s="22"/>
      <c r="Z17" s="22"/>
      <c r="AA17" s="22"/>
      <c r="AB17" s="22"/>
      <c r="AC17" s="22"/>
      <c r="AD17" s="22"/>
      <c r="AE17" s="22"/>
      <c r="AH17" s="22"/>
      <c r="AI17" s="22"/>
      <c r="AJ17" s="22"/>
    </row>
    <row r="18" spans="1:36" x14ac:dyDescent="0.45">
      <c r="A18" s="5"/>
      <c r="E18" s="5"/>
      <c r="F18" s="5"/>
      <c r="G18" s="11"/>
      <c r="H18" s="11"/>
      <c r="I18" s="72"/>
      <c r="J18" s="11"/>
      <c r="K18" s="11"/>
      <c r="L18" s="11"/>
      <c r="M18" s="22"/>
      <c r="N18" s="11"/>
      <c r="P18" s="22"/>
      <c r="R18" s="11"/>
      <c r="S18" s="11"/>
      <c r="V18" s="11"/>
      <c r="W18" s="22"/>
      <c r="X18" s="22"/>
      <c r="Y18" s="22"/>
      <c r="Z18" s="22"/>
      <c r="AA18" s="22"/>
      <c r="AB18" s="22"/>
      <c r="AC18" s="22"/>
      <c r="AD18" s="22"/>
      <c r="AE18" s="22"/>
      <c r="AH18" s="22"/>
      <c r="AI18" s="22"/>
      <c r="AJ18" s="22"/>
    </row>
    <row r="19" spans="1:36" x14ac:dyDescent="0.45">
      <c r="A19" s="5"/>
      <c r="E19" s="5"/>
      <c r="F19" s="5"/>
      <c r="G19" s="11"/>
      <c r="H19" s="11"/>
      <c r="I19" s="72"/>
      <c r="J19" s="11"/>
      <c r="K19" s="11"/>
      <c r="L19" s="11"/>
      <c r="M19" s="22"/>
      <c r="N19" s="11"/>
      <c r="P19" s="22"/>
      <c r="R19" s="11"/>
      <c r="S19" s="11"/>
      <c r="V19" s="11"/>
      <c r="W19" s="22"/>
      <c r="X19" s="22"/>
      <c r="Y19" s="22"/>
      <c r="Z19" s="22"/>
      <c r="AA19" s="22"/>
      <c r="AB19" s="22"/>
      <c r="AC19" s="22"/>
      <c r="AD19" s="22"/>
      <c r="AE19" s="22"/>
      <c r="AH19" s="22"/>
      <c r="AI19" s="22"/>
      <c r="AJ19" s="22"/>
    </row>
    <row r="20" spans="1:36" x14ac:dyDescent="0.45">
      <c r="A20" s="5"/>
      <c r="E20" s="5"/>
      <c r="F20" s="5"/>
      <c r="G20" s="11"/>
      <c r="H20" s="11"/>
      <c r="I20" s="72"/>
      <c r="J20" s="11"/>
      <c r="K20" s="11"/>
      <c r="L20" s="11"/>
      <c r="M20" s="22"/>
      <c r="N20" s="11"/>
      <c r="P20" s="22"/>
      <c r="R20" s="11"/>
      <c r="S20" s="11"/>
      <c r="V20" s="11"/>
      <c r="W20" s="22"/>
      <c r="X20" s="22"/>
      <c r="Y20" s="22"/>
      <c r="Z20" s="22"/>
      <c r="AA20" s="22"/>
      <c r="AB20" s="22"/>
      <c r="AC20" s="22"/>
      <c r="AD20" s="22"/>
      <c r="AE20" s="22"/>
      <c r="AH20" s="22"/>
      <c r="AI20" s="22"/>
      <c r="AJ20" s="22"/>
    </row>
    <row r="21" spans="1:36" x14ac:dyDescent="0.45">
      <c r="A21" s="5"/>
      <c r="E21" s="5"/>
      <c r="F21" s="5"/>
      <c r="G21" s="11"/>
      <c r="H21" s="11"/>
      <c r="I21" s="72"/>
      <c r="J21" s="11"/>
      <c r="K21" s="11"/>
      <c r="L21" s="11"/>
      <c r="M21" s="22"/>
      <c r="N21" s="11"/>
      <c r="P21" s="22"/>
      <c r="R21" s="11"/>
      <c r="S21" s="11"/>
      <c r="V21" s="11"/>
      <c r="W21" s="22"/>
      <c r="X21" s="22"/>
      <c r="Y21" s="22"/>
      <c r="Z21" s="22"/>
      <c r="AA21" s="22"/>
      <c r="AB21" s="22"/>
      <c r="AC21" s="22"/>
      <c r="AD21" s="22"/>
      <c r="AE21" s="22"/>
      <c r="AH21" s="22"/>
      <c r="AI21" s="22"/>
      <c r="AJ21" s="22"/>
    </row>
    <row r="22" spans="1:36" x14ac:dyDescent="0.45">
      <c r="A22" s="5"/>
      <c r="E22" s="5"/>
      <c r="F22" s="5"/>
      <c r="G22" s="11"/>
      <c r="H22" s="11"/>
      <c r="I22" s="72"/>
      <c r="J22" s="11"/>
      <c r="K22" s="11"/>
      <c r="L22" s="11"/>
      <c r="M22" s="22"/>
      <c r="N22" s="11"/>
      <c r="P22" s="22"/>
      <c r="R22" s="11"/>
      <c r="S22" s="11"/>
      <c r="V22" s="11"/>
      <c r="W22" s="22"/>
      <c r="X22" s="22"/>
      <c r="Y22" s="22"/>
      <c r="Z22" s="22"/>
      <c r="AA22" s="22"/>
      <c r="AB22" s="22"/>
      <c r="AC22" s="22"/>
      <c r="AD22" s="22"/>
      <c r="AE22" s="22"/>
      <c r="AH22" s="22"/>
      <c r="AI22" s="22"/>
      <c r="AJ22" s="22"/>
    </row>
    <row r="23" spans="1:36" x14ac:dyDescent="0.45">
      <c r="A23" s="5"/>
      <c r="E23" s="5"/>
      <c r="F23" s="5"/>
      <c r="G23" s="11"/>
      <c r="H23" s="11"/>
      <c r="I23" s="72"/>
      <c r="J23" s="11"/>
      <c r="K23" s="11"/>
      <c r="L23" s="11"/>
      <c r="M23" s="22"/>
      <c r="N23" s="11"/>
      <c r="P23" s="22"/>
      <c r="R23" s="11"/>
      <c r="S23" s="11"/>
      <c r="V23" s="11"/>
      <c r="W23" s="22"/>
      <c r="X23" s="22"/>
      <c r="Y23" s="22"/>
      <c r="Z23" s="22"/>
      <c r="AA23" s="22"/>
      <c r="AB23" s="22"/>
      <c r="AC23" s="22"/>
      <c r="AD23" s="22"/>
      <c r="AE23" s="22"/>
      <c r="AH23" s="22"/>
      <c r="AI23" s="22"/>
      <c r="AJ23" s="22"/>
    </row>
    <row r="24" spans="1:36" x14ac:dyDescent="0.45">
      <c r="A24" s="5"/>
      <c r="E24" s="5"/>
      <c r="F24" s="5"/>
      <c r="G24" s="11"/>
      <c r="H24" s="11"/>
      <c r="I24" s="72"/>
      <c r="J24" s="11"/>
      <c r="K24" s="11"/>
      <c r="L24" s="11"/>
      <c r="M24" s="22"/>
      <c r="N24" s="11"/>
      <c r="P24" s="22"/>
      <c r="R24" s="11"/>
      <c r="S24" s="11"/>
      <c r="V24" s="11"/>
      <c r="W24" s="22"/>
      <c r="X24" s="22"/>
      <c r="Y24" s="22"/>
      <c r="Z24" s="22"/>
      <c r="AA24" s="22"/>
      <c r="AB24" s="22"/>
      <c r="AC24" s="22"/>
      <c r="AD24" s="22"/>
      <c r="AE24" s="22"/>
      <c r="AH24" s="22"/>
      <c r="AI24" s="22"/>
      <c r="AJ24" s="22"/>
    </row>
    <row r="25" spans="1:36" x14ac:dyDescent="0.45">
      <c r="A25" s="5"/>
      <c r="E25" s="5"/>
      <c r="F25" s="5"/>
      <c r="G25" s="11"/>
      <c r="H25" s="11"/>
      <c r="I25" s="72"/>
      <c r="J25" s="11"/>
      <c r="K25" s="11"/>
      <c r="L25" s="11"/>
      <c r="M25" s="22"/>
      <c r="N25" s="11"/>
      <c r="P25" s="22"/>
      <c r="R25" s="11"/>
      <c r="S25" s="11"/>
      <c r="V25" s="11"/>
      <c r="W25" s="22"/>
      <c r="X25" s="22"/>
      <c r="Y25" s="22"/>
      <c r="Z25" s="22"/>
      <c r="AA25" s="22"/>
      <c r="AB25" s="22"/>
      <c r="AC25" s="22"/>
      <c r="AD25" s="22"/>
      <c r="AE25" s="22"/>
      <c r="AH25" s="22"/>
      <c r="AI25" s="22"/>
      <c r="AJ25" s="22"/>
    </row>
    <row r="26" spans="1:36" x14ac:dyDescent="0.45">
      <c r="A26" s="5"/>
      <c r="E26" s="5"/>
      <c r="F26" s="5"/>
      <c r="G26" s="11"/>
      <c r="H26" s="11"/>
      <c r="I26" s="72"/>
      <c r="J26" s="11"/>
      <c r="K26" s="11"/>
      <c r="L26" s="11"/>
      <c r="M26" s="22"/>
      <c r="N26" s="11"/>
      <c r="P26" s="22"/>
      <c r="R26" s="11"/>
      <c r="S26" s="11"/>
      <c r="V26" s="11"/>
      <c r="W26" s="22"/>
      <c r="X26" s="22"/>
      <c r="Y26" s="22"/>
      <c r="Z26" s="22"/>
      <c r="AA26" s="22"/>
      <c r="AB26" s="22"/>
      <c r="AC26" s="22"/>
      <c r="AD26" s="22"/>
      <c r="AE26" s="22"/>
      <c r="AH26" s="22"/>
      <c r="AI26" s="22"/>
      <c r="AJ26" s="22"/>
    </row>
    <row r="27" spans="1:36" x14ac:dyDescent="0.45">
      <c r="A27" s="5"/>
      <c r="E27" s="5"/>
      <c r="F27" s="5"/>
      <c r="G27" s="11"/>
      <c r="H27" s="11"/>
      <c r="I27" s="72"/>
      <c r="J27" s="11"/>
      <c r="K27" s="11"/>
      <c r="L27" s="11"/>
      <c r="M27" s="22"/>
      <c r="N27" s="11"/>
      <c r="P27" s="22"/>
      <c r="R27" s="11"/>
      <c r="S27" s="11"/>
      <c r="V27" s="11"/>
      <c r="W27" s="22"/>
      <c r="X27" s="22"/>
      <c r="Y27" s="22"/>
      <c r="Z27" s="22"/>
      <c r="AA27" s="22"/>
      <c r="AB27" s="22"/>
      <c r="AC27" s="22"/>
      <c r="AD27" s="22"/>
      <c r="AE27" s="22"/>
      <c r="AH27" s="22"/>
      <c r="AI27" s="22"/>
      <c r="AJ27" s="22"/>
    </row>
    <row r="28" spans="1:36" x14ac:dyDescent="0.45">
      <c r="A28" s="5"/>
      <c r="E28" s="5"/>
      <c r="F28" s="5"/>
      <c r="G28" s="11"/>
      <c r="H28" s="11"/>
      <c r="I28" s="72"/>
      <c r="J28" s="11"/>
      <c r="K28" s="11"/>
      <c r="L28" s="11"/>
      <c r="M28" s="22"/>
      <c r="N28" s="11"/>
      <c r="P28" s="22"/>
      <c r="R28" s="11"/>
      <c r="S28" s="11"/>
      <c r="V28" s="11"/>
      <c r="W28" s="22"/>
      <c r="X28" s="22"/>
      <c r="Y28" s="22"/>
      <c r="Z28" s="22"/>
      <c r="AA28" s="22"/>
      <c r="AB28" s="22"/>
      <c r="AC28" s="22"/>
      <c r="AD28" s="22"/>
      <c r="AE28" s="22"/>
      <c r="AH28" s="22"/>
      <c r="AI28" s="22"/>
      <c r="AJ28" s="22"/>
    </row>
    <row r="29" spans="1:36" x14ac:dyDescent="0.45">
      <c r="A29" s="5"/>
      <c r="E29" s="5"/>
      <c r="F29" s="5"/>
      <c r="G29" s="11"/>
      <c r="H29" s="11"/>
      <c r="I29" s="72"/>
      <c r="J29" s="11"/>
      <c r="K29" s="11"/>
      <c r="L29" s="11"/>
      <c r="M29" s="22"/>
      <c r="N29" s="11"/>
      <c r="P29" s="22"/>
      <c r="R29" s="11"/>
      <c r="S29" s="11"/>
      <c r="V29" s="11"/>
      <c r="W29" s="22"/>
      <c r="X29" s="22"/>
      <c r="Y29" s="22"/>
      <c r="Z29" s="22"/>
      <c r="AA29" s="22"/>
      <c r="AB29" s="22"/>
      <c r="AC29" s="22"/>
      <c r="AD29" s="22"/>
      <c r="AE29" s="22"/>
      <c r="AH29" s="22"/>
      <c r="AI29" s="22"/>
      <c r="AJ29" s="22"/>
    </row>
    <row r="30" spans="1:36" x14ac:dyDescent="0.45">
      <c r="A30" s="5"/>
      <c r="E30" s="5"/>
      <c r="F30" s="5"/>
      <c r="G30" s="11"/>
      <c r="H30" s="11"/>
      <c r="I30" s="72"/>
      <c r="J30" s="11"/>
      <c r="K30" s="11"/>
      <c r="L30" s="11"/>
      <c r="M30" s="22"/>
      <c r="N30" s="11"/>
      <c r="P30" s="22"/>
      <c r="R30" s="11"/>
      <c r="S30" s="11"/>
      <c r="V30" s="11"/>
      <c r="W30" s="22"/>
      <c r="X30" s="22"/>
      <c r="Y30" s="22"/>
      <c r="Z30" s="22"/>
      <c r="AA30" s="22"/>
      <c r="AB30" s="22"/>
      <c r="AC30" s="22"/>
      <c r="AD30" s="22"/>
      <c r="AE30" s="22"/>
      <c r="AH30" s="22"/>
      <c r="AI30" s="22"/>
      <c r="AJ30" s="22"/>
    </row>
    <row r="31" spans="1:36" x14ac:dyDescent="0.45">
      <c r="A31" s="5"/>
      <c r="E31" s="5"/>
      <c r="F31" s="5"/>
      <c r="G31" s="11"/>
      <c r="H31" s="11"/>
      <c r="I31" s="72"/>
      <c r="J31" s="11"/>
      <c r="K31" s="11"/>
      <c r="L31" s="11"/>
      <c r="M31" s="22"/>
      <c r="N31" s="11"/>
      <c r="P31" s="22"/>
      <c r="R31" s="11"/>
      <c r="S31" s="11"/>
      <c r="V31" s="11"/>
      <c r="W31" s="22"/>
      <c r="X31" s="22"/>
      <c r="Y31" s="22"/>
      <c r="Z31" s="22"/>
      <c r="AA31" s="22"/>
      <c r="AB31" s="22"/>
      <c r="AC31" s="22"/>
      <c r="AD31" s="22"/>
      <c r="AE31" s="22"/>
      <c r="AH31" s="22"/>
      <c r="AI31" s="22"/>
      <c r="AJ31" s="22"/>
    </row>
    <row r="32" spans="1:36" x14ac:dyDescent="0.45">
      <c r="A32" s="5"/>
      <c r="E32" s="5"/>
      <c r="F32" s="5"/>
      <c r="G32" s="11"/>
      <c r="H32" s="11"/>
      <c r="I32" s="72"/>
      <c r="J32" s="11"/>
      <c r="K32" s="11"/>
      <c r="L32" s="11"/>
      <c r="M32" s="22"/>
      <c r="N32" s="11"/>
      <c r="P32" s="22"/>
      <c r="R32" s="11"/>
      <c r="S32" s="11"/>
      <c r="V32" s="11"/>
      <c r="W32" s="22"/>
      <c r="X32" s="22"/>
      <c r="Y32" s="22"/>
      <c r="Z32" s="22"/>
      <c r="AA32" s="22"/>
      <c r="AB32" s="22"/>
      <c r="AC32" s="22"/>
      <c r="AD32" s="22"/>
      <c r="AE32" s="22"/>
      <c r="AH32" s="22"/>
      <c r="AI32" s="22"/>
      <c r="AJ32" s="22"/>
    </row>
    <row r="33" spans="1:36" x14ac:dyDescent="0.45">
      <c r="A33" s="5"/>
      <c r="E33" s="5"/>
      <c r="F33" s="5"/>
      <c r="G33" s="11"/>
      <c r="H33" s="11"/>
      <c r="I33" s="72"/>
      <c r="J33" s="11"/>
      <c r="K33" s="11"/>
      <c r="L33" s="11"/>
      <c r="M33" s="22"/>
      <c r="N33" s="11"/>
      <c r="P33" s="22"/>
      <c r="R33" s="11"/>
      <c r="S33" s="11"/>
      <c r="V33" s="11"/>
      <c r="W33" s="22"/>
      <c r="X33" s="22"/>
      <c r="Y33" s="22"/>
      <c r="Z33" s="22"/>
      <c r="AA33" s="22"/>
      <c r="AB33" s="22"/>
      <c r="AC33" s="22"/>
      <c r="AD33" s="22"/>
      <c r="AE33" s="22"/>
      <c r="AH33" s="22"/>
      <c r="AI33" s="22"/>
      <c r="AJ33" s="22"/>
    </row>
    <row r="34" spans="1:36" x14ac:dyDescent="0.45">
      <c r="A34" s="5"/>
      <c r="E34" s="5"/>
      <c r="F34" s="5"/>
      <c r="G34" s="11"/>
      <c r="H34" s="11"/>
      <c r="I34" s="72"/>
      <c r="J34" s="11"/>
      <c r="K34" s="11"/>
      <c r="L34" s="11"/>
      <c r="M34" s="22"/>
      <c r="N34" s="11"/>
      <c r="P34" s="22"/>
      <c r="R34" s="11"/>
      <c r="S34" s="11"/>
      <c r="V34" s="11"/>
      <c r="W34" s="22"/>
      <c r="X34" s="22"/>
      <c r="Y34" s="22"/>
      <c r="Z34" s="22"/>
      <c r="AA34" s="22"/>
      <c r="AB34" s="22"/>
      <c r="AC34" s="22"/>
      <c r="AD34" s="22"/>
      <c r="AE34" s="22"/>
      <c r="AH34" s="22"/>
      <c r="AI34" s="22"/>
      <c r="AJ34" s="22"/>
    </row>
    <row r="35" spans="1:36" x14ac:dyDescent="0.45">
      <c r="A35" s="5"/>
      <c r="E35" s="5"/>
      <c r="F35" s="5"/>
      <c r="G35" s="11"/>
      <c r="H35" s="11"/>
      <c r="I35" s="72"/>
      <c r="J35" s="11"/>
      <c r="K35" s="11"/>
      <c r="L35" s="11"/>
      <c r="M35" s="22"/>
      <c r="N35" s="11"/>
      <c r="P35" s="22"/>
      <c r="R35" s="11"/>
      <c r="S35" s="11"/>
      <c r="V35" s="11"/>
      <c r="W35" s="22"/>
      <c r="X35" s="22"/>
      <c r="Y35" s="22"/>
      <c r="Z35" s="22"/>
      <c r="AA35" s="22"/>
      <c r="AB35" s="22"/>
      <c r="AC35" s="22"/>
      <c r="AD35" s="22"/>
      <c r="AE35" s="22"/>
      <c r="AH35" s="22"/>
      <c r="AI35" s="22"/>
      <c r="AJ35" s="22"/>
    </row>
    <row r="36" spans="1:36" x14ac:dyDescent="0.45">
      <c r="A36" s="5"/>
      <c r="E36" s="5"/>
      <c r="F36" s="5"/>
      <c r="G36" s="11"/>
      <c r="H36" s="11"/>
      <c r="I36" s="72"/>
      <c r="J36" s="11"/>
      <c r="K36" s="11"/>
      <c r="L36" s="11"/>
      <c r="M36" s="22"/>
      <c r="N36" s="11"/>
      <c r="P36" s="22"/>
      <c r="R36" s="11"/>
      <c r="S36" s="11"/>
      <c r="V36" s="11"/>
      <c r="W36" s="22"/>
      <c r="X36" s="22"/>
      <c r="Y36" s="22"/>
      <c r="Z36" s="22"/>
      <c r="AA36" s="22"/>
      <c r="AB36" s="22"/>
      <c r="AC36" s="22"/>
      <c r="AD36" s="22"/>
      <c r="AE36" s="22"/>
      <c r="AH36" s="22"/>
      <c r="AI36" s="22"/>
      <c r="AJ36" s="22"/>
    </row>
    <row r="37" spans="1:36" x14ac:dyDescent="0.45">
      <c r="A37" s="5"/>
      <c r="E37" s="5"/>
      <c r="F37" s="5"/>
      <c r="G37" s="11"/>
      <c r="H37" s="11"/>
      <c r="I37" s="72"/>
      <c r="J37" s="11"/>
      <c r="K37" s="11"/>
      <c r="L37" s="11"/>
      <c r="M37" s="22"/>
      <c r="N37" s="11"/>
      <c r="P37" s="22"/>
      <c r="R37" s="11"/>
      <c r="S37" s="11"/>
      <c r="V37" s="11"/>
      <c r="W37" s="22"/>
      <c r="X37" s="22"/>
      <c r="Y37" s="22"/>
      <c r="Z37" s="22"/>
      <c r="AA37" s="22"/>
      <c r="AB37" s="22"/>
      <c r="AC37" s="22"/>
      <c r="AD37" s="22"/>
      <c r="AE37" s="22"/>
      <c r="AH37" s="22"/>
      <c r="AI37" s="22"/>
      <c r="AJ37" s="22"/>
    </row>
    <row r="38" spans="1:36" x14ac:dyDescent="0.45">
      <c r="A38" s="5"/>
      <c r="E38" s="5"/>
      <c r="F38" s="5"/>
      <c r="G38" s="11"/>
      <c r="H38" s="11"/>
      <c r="I38" s="72"/>
      <c r="J38" s="11"/>
      <c r="K38" s="11"/>
      <c r="L38" s="11"/>
      <c r="M38" s="22"/>
      <c r="N38" s="11"/>
      <c r="P38" s="22"/>
      <c r="R38" s="11"/>
      <c r="S38" s="11"/>
      <c r="V38" s="11"/>
      <c r="W38" s="22"/>
      <c r="X38" s="22"/>
      <c r="Y38" s="22"/>
      <c r="Z38" s="22"/>
      <c r="AA38" s="22"/>
      <c r="AB38" s="22"/>
      <c r="AC38" s="22"/>
      <c r="AD38" s="22"/>
      <c r="AE38" s="22"/>
      <c r="AH38" s="22"/>
      <c r="AI38" s="22"/>
      <c r="AJ38" s="22"/>
    </row>
    <row r="39" spans="1:36" x14ac:dyDescent="0.45">
      <c r="A39" s="5"/>
      <c r="E39" s="5"/>
      <c r="F39" s="5"/>
      <c r="G39" s="11"/>
      <c r="H39" s="11"/>
      <c r="I39" s="72"/>
      <c r="J39" s="11"/>
      <c r="K39" s="11"/>
      <c r="M39" s="22"/>
      <c r="N39" s="11"/>
      <c r="P39" s="22"/>
      <c r="S39" s="11"/>
      <c r="V39" s="11"/>
      <c r="W39" s="22"/>
      <c r="X39" s="22"/>
      <c r="Y39" s="22"/>
      <c r="Z39" s="22"/>
      <c r="AA39" s="22"/>
      <c r="AB39" s="22"/>
      <c r="AC39" s="22"/>
      <c r="AD39" s="22"/>
      <c r="AE39" s="22"/>
      <c r="AH39" s="22"/>
      <c r="AI39" s="22"/>
      <c r="AJ39" s="22"/>
    </row>
    <row r="40" spans="1:36" x14ac:dyDescent="0.45">
      <c r="A40" s="5"/>
      <c r="E40" s="5"/>
      <c r="F40" s="5"/>
      <c r="G40" s="11"/>
      <c r="H40" s="11"/>
      <c r="I40" s="72"/>
      <c r="J40" s="11"/>
      <c r="K40" s="11"/>
      <c r="M40" s="22"/>
      <c r="N40" s="11"/>
      <c r="P40" s="22"/>
      <c r="S40" s="11"/>
      <c r="V40" s="11"/>
      <c r="W40" s="22"/>
      <c r="X40" s="22"/>
      <c r="Y40" s="22"/>
      <c r="Z40" s="22"/>
      <c r="AA40" s="22"/>
      <c r="AB40" s="22"/>
      <c r="AC40" s="22"/>
      <c r="AD40" s="22"/>
      <c r="AE40" s="22"/>
      <c r="AH40" s="22"/>
      <c r="AI40" s="22"/>
      <c r="AJ40" s="22"/>
    </row>
    <row r="41" spans="1:36" x14ac:dyDescent="0.45">
      <c r="A41" s="5"/>
      <c r="E41" s="5"/>
      <c r="F41" s="5"/>
      <c r="G41" s="11"/>
      <c r="H41" s="11"/>
      <c r="I41" s="72"/>
      <c r="J41" s="11"/>
      <c r="K41" s="11"/>
      <c r="M41" s="22"/>
      <c r="N41" s="11"/>
      <c r="P41" s="22"/>
      <c r="S41" s="11"/>
      <c r="V41" s="11"/>
      <c r="W41" s="22"/>
      <c r="X41" s="22"/>
      <c r="Y41" s="22"/>
      <c r="Z41" s="22"/>
      <c r="AA41" s="22"/>
      <c r="AB41" s="22"/>
      <c r="AC41" s="22"/>
      <c r="AD41" s="22"/>
      <c r="AE41" s="22"/>
      <c r="AH41" s="22"/>
      <c r="AI41" s="22"/>
      <c r="AJ41" s="22"/>
    </row>
    <row r="42" spans="1:36" x14ac:dyDescent="0.45">
      <c r="A42" s="5"/>
      <c r="E42" s="5"/>
      <c r="F42" s="5"/>
      <c r="G42" s="11"/>
      <c r="H42" s="11"/>
      <c r="I42" s="72"/>
      <c r="J42" s="11"/>
      <c r="K42" s="11"/>
      <c r="M42" s="22"/>
      <c r="N42" s="11"/>
      <c r="P42" s="22"/>
      <c r="S42" s="11"/>
      <c r="V42" s="11"/>
      <c r="W42" s="22"/>
      <c r="X42" s="22"/>
      <c r="Y42" s="22"/>
      <c r="Z42" s="22"/>
      <c r="AA42" s="22"/>
      <c r="AB42" s="22"/>
      <c r="AC42" s="22"/>
      <c r="AD42" s="22"/>
      <c r="AE42" s="22"/>
      <c r="AH42" s="22"/>
      <c r="AI42" s="22"/>
      <c r="AJ42" s="22"/>
    </row>
    <row r="43" spans="1:36" x14ac:dyDescent="0.45">
      <c r="A43" s="5"/>
      <c r="E43" s="5"/>
      <c r="F43" s="5"/>
      <c r="G43" s="11"/>
      <c r="H43" s="11"/>
      <c r="I43" s="72"/>
      <c r="J43" s="11"/>
      <c r="K43" s="11"/>
      <c r="M43" s="22"/>
      <c r="N43" s="11"/>
      <c r="P43" s="22"/>
      <c r="S43" s="11"/>
      <c r="V43" s="11"/>
      <c r="W43" s="22"/>
      <c r="X43" s="22"/>
      <c r="Y43" s="22"/>
      <c r="Z43" s="22"/>
      <c r="AA43" s="22"/>
      <c r="AB43" s="22"/>
      <c r="AC43" s="22"/>
      <c r="AD43" s="22"/>
      <c r="AE43" s="22"/>
      <c r="AH43" s="22"/>
      <c r="AI43" s="22"/>
      <c r="AJ43" s="22"/>
    </row>
    <row r="44" spans="1:36" x14ac:dyDescent="0.45">
      <c r="A44" s="5"/>
      <c r="E44" s="5"/>
      <c r="F44" s="5"/>
      <c r="G44" s="11"/>
      <c r="H44" s="11"/>
      <c r="I44" s="72"/>
      <c r="J44" s="11"/>
      <c r="K44" s="11"/>
      <c r="M44" s="22"/>
      <c r="N44" s="11"/>
      <c r="P44" s="22"/>
      <c r="S44" s="11"/>
      <c r="V44" s="11"/>
      <c r="W44" s="22"/>
      <c r="X44" s="22"/>
      <c r="Y44" s="22"/>
      <c r="Z44" s="22"/>
      <c r="AA44" s="22"/>
      <c r="AB44" s="22"/>
      <c r="AC44" s="22"/>
      <c r="AD44" s="22"/>
      <c r="AE44" s="22"/>
      <c r="AH44" s="22"/>
      <c r="AI44" s="22"/>
      <c r="AJ44" s="22"/>
    </row>
    <row r="45" spans="1:36" x14ac:dyDescent="0.45">
      <c r="A45" s="5"/>
      <c r="E45" s="5"/>
      <c r="F45" s="5"/>
      <c r="G45" s="11"/>
      <c r="H45" s="11"/>
      <c r="I45" s="72"/>
      <c r="J45" s="11"/>
      <c r="K45" s="11"/>
      <c r="M45" s="22"/>
      <c r="N45" s="11"/>
      <c r="P45" s="22"/>
      <c r="S45" s="11"/>
      <c r="V45" s="11"/>
      <c r="W45" s="22"/>
      <c r="X45" s="22"/>
      <c r="Y45" s="22"/>
      <c r="Z45" s="22"/>
      <c r="AA45" s="22"/>
      <c r="AB45" s="22"/>
      <c r="AC45" s="22"/>
      <c r="AD45" s="22"/>
      <c r="AE45" s="22"/>
      <c r="AH45" s="22"/>
      <c r="AI45" s="22"/>
      <c r="AJ45" s="22"/>
    </row>
    <row r="46" spans="1:36" x14ac:dyDescent="0.45">
      <c r="A46" s="5"/>
      <c r="E46" s="5"/>
      <c r="F46" s="5"/>
      <c r="G46" s="11"/>
      <c r="H46" s="11"/>
      <c r="I46" s="72"/>
      <c r="J46" s="11"/>
      <c r="K46" s="11"/>
      <c r="M46" s="22"/>
      <c r="N46" s="11"/>
      <c r="O46" s="3"/>
      <c r="P46" s="22"/>
      <c r="S46" s="11"/>
      <c r="V46" s="11"/>
      <c r="W46" s="22"/>
      <c r="X46" s="22"/>
      <c r="Y46" s="22"/>
      <c r="Z46" s="22"/>
      <c r="AA46" s="22"/>
      <c r="AB46" s="22"/>
      <c r="AC46" s="22"/>
      <c r="AD46" s="22"/>
      <c r="AE46" s="22"/>
      <c r="AH46" s="22"/>
      <c r="AI46" s="22"/>
      <c r="AJ46" s="22"/>
    </row>
    <row r="47" spans="1:36" x14ac:dyDescent="0.45">
      <c r="A47" s="5"/>
      <c r="E47" s="5"/>
      <c r="F47" s="5"/>
      <c r="G47" s="11"/>
      <c r="H47" s="11"/>
      <c r="I47" s="72"/>
      <c r="J47" s="11"/>
      <c r="K47" s="11"/>
      <c r="M47" s="22"/>
      <c r="N47" s="11"/>
      <c r="O47" s="3"/>
      <c r="P47" s="22"/>
      <c r="S47" s="11"/>
      <c r="V47" s="11"/>
      <c r="W47" s="22"/>
      <c r="X47" s="22"/>
      <c r="Y47" s="22"/>
      <c r="Z47" s="22"/>
      <c r="AA47" s="22"/>
      <c r="AB47" s="22"/>
      <c r="AC47" s="22"/>
      <c r="AD47" s="22"/>
      <c r="AE47" s="22"/>
      <c r="AH47" s="22"/>
      <c r="AI47" s="22"/>
      <c r="AJ47" s="22"/>
    </row>
    <row r="48" spans="1:36" x14ac:dyDescent="0.45">
      <c r="A48" s="5"/>
      <c r="E48" s="5"/>
      <c r="F48" s="5"/>
      <c r="G48" s="11"/>
      <c r="H48" s="11"/>
      <c r="I48" s="72"/>
      <c r="J48" s="11"/>
      <c r="K48" s="11"/>
      <c r="M48" s="22"/>
      <c r="N48" s="11"/>
      <c r="O48" s="3"/>
      <c r="P48" s="22"/>
      <c r="S48" s="11"/>
      <c r="V48" s="11"/>
      <c r="W48" s="22"/>
      <c r="X48" s="22"/>
      <c r="Y48" s="22"/>
      <c r="Z48" s="22"/>
      <c r="AA48" s="22"/>
      <c r="AB48" s="22"/>
      <c r="AC48" s="22"/>
      <c r="AD48" s="22"/>
      <c r="AE48" s="22"/>
      <c r="AH48" s="22"/>
      <c r="AI48" s="22"/>
      <c r="AJ48" s="22"/>
    </row>
    <row r="49" spans="1:36" x14ac:dyDescent="0.45">
      <c r="A49" s="5"/>
      <c r="E49" s="5"/>
      <c r="F49" s="5"/>
      <c r="G49" s="11"/>
      <c r="H49" s="11"/>
      <c r="I49" s="72"/>
      <c r="J49" s="11"/>
      <c r="K49" s="11"/>
      <c r="M49" s="22"/>
      <c r="N49" s="11"/>
      <c r="O49" s="3"/>
      <c r="P49" s="22"/>
      <c r="S49" s="11"/>
      <c r="V49" s="11"/>
      <c r="W49" s="22"/>
      <c r="X49" s="22"/>
      <c r="Y49" s="22"/>
      <c r="Z49" s="22"/>
      <c r="AA49" s="22"/>
      <c r="AB49" s="22"/>
      <c r="AC49" s="22"/>
      <c r="AD49" s="22"/>
      <c r="AE49" s="22"/>
      <c r="AH49" s="22"/>
      <c r="AI49" s="22"/>
      <c r="AJ49" s="22"/>
    </row>
    <row r="50" spans="1:36" x14ac:dyDescent="0.45">
      <c r="A50" s="5"/>
      <c r="E50" s="5"/>
      <c r="F50" s="5"/>
      <c r="G50" s="11"/>
      <c r="H50" s="11"/>
      <c r="I50" s="72"/>
      <c r="J50" s="11"/>
      <c r="K50" s="11"/>
      <c r="M50" s="22"/>
      <c r="N50" s="11"/>
      <c r="O50" s="3"/>
      <c r="P50" s="22"/>
      <c r="S50" s="11"/>
      <c r="V50" s="11"/>
      <c r="W50" s="22"/>
      <c r="X50" s="22"/>
      <c r="Y50" s="22"/>
      <c r="Z50" s="22"/>
      <c r="AA50" s="22"/>
      <c r="AB50" s="22"/>
      <c r="AC50" s="22"/>
      <c r="AD50" s="22"/>
      <c r="AE50" s="22"/>
      <c r="AH50" s="22"/>
      <c r="AI50" s="22"/>
      <c r="AJ50" s="22"/>
    </row>
  </sheetData>
  <autoFilter ref="A13:AO50" xr:uid="{00000000-0009-0000-0000-00000A000000}"/>
  <mergeCells count="25">
    <mergeCell ref="H10:H11"/>
    <mergeCell ref="I10:I11"/>
    <mergeCell ref="AE10:AG10"/>
    <mergeCell ref="J10:J11"/>
    <mergeCell ref="L10:M10"/>
    <mergeCell ref="N10:N11"/>
    <mergeCell ref="Q10:R10"/>
    <mergeCell ref="AC10:AD10"/>
    <mergeCell ref="AB10:AB11"/>
    <mergeCell ref="AH10:AH11"/>
    <mergeCell ref="AI10:AI11"/>
    <mergeCell ref="G12:H12"/>
    <mergeCell ref="AC9:AG9"/>
    <mergeCell ref="A10:A11"/>
    <mergeCell ref="B10:B11"/>
    <mergeCell ref="C10:C11"/>
    <mergeCell ref="D10:D11"/>
    <mergeCell ref="E10:E11"/>
    <mergeCell ref="K10:K11"/>
    <mergeCell ref="K9:N9"/>
    <mergeCell ref="O9:P9"/>
    <mergeCell ref="Q9:T9"/>
    <mergeCell ref="W9:AA9"/>
    <mergeCell ref="F10:F11"/>
    <mergeCell ref="G10:G11"/>
  </mergeCells>
  <pageMargins left="0.7" right="0.7" top="0.75" bottom="0.75" header="0.3" footer="0.3"/>
  <pageSetup orientation="portrait" r:id="rId1"/>
  <drawing r:id="rId2"/>
  <legacyDrawing r:id="rId3"/>
  <controls>
    <mc:AlternateContent xmlns:mc="http://schemas.openxmlformats.org/markup-compatibility/2006">
      <mc:Choice Requires="x14">
        <control shapeId="17410" r:id="rId4" name="CommandButton1">
          <controlPr defaultSize="0" autoLine="0" r:id="rId5">
            <anchor moveWithCells="1">
              <from>
                <xdr:col>1</xdr:col>
                <xdr:colOff>95250</xdr:colOff>
                <xdr:row>5</xdr:row>
                <xdr:rowOff>9525</xdr:rowOff>
              </from>
              <to>
                <xdr:col>1</xdr:col>
                <xdr:colOff>1343025</xdr:colOff>
                <xdr:row>6</xdr:row>
                <xdr:rowOff>228600</xdr:rowOff>
              </to>
            </anchor>
          </controlPr>
        </control>
      </mc:Choice>
      <mc:Fallback>
        <control shapeId="17410" r:id="rId4"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hang6">
    <tabColor theme="7"/>
  </sheetPr>
  <dimension ref="A1:AO50"/>
  <sheetViews>
    <sheetView showGridLines="0" topLeftCell="E1" workbookViewId="0">
      <selection activeCell="J24" sqref="J24"/>
    </sheetView>
  </sheetViews>
  <sheetFormatPr defaultColWidth="9.1328125" defaultRowHeight="14.25" x14ac:dyDescent="0.45"/>
  <cols>
    <col min="1" max="1" width="7.59765625" style="3" customWidth="1"/>
    <col min="2" max="2" width="24.1328125" style="3" customWidth="1"/>
    <col min="3" max="3" width="14.59765625" style="5" customWidth="1"/>
    <col min="4" max="4" width="14.86328125" style="5" customWidth="1"/>
    <col min="5" max="5" width="10.265625" style="3" customWidth="1"/>
    <col min="6" max="6" width="8.1328125" style="3" customWidth="1"/>
    <col min="7" max="7" width="14" style="3" customWidth="1"/>
    <col min="8" max="8" width="13.73046875" style="3" customWidth="1"/>
    <col min="9" max="9" width="8.265625" style="44" customWidth="1"/>
    <col min="10" max="10" width="15.1328125" style="3" customWidth="1"/>
    <col min="11" max="11" width="13.73046875" style="3" customWidth="1"/>
    <col min="12" max="12" width="9" style="3" customWidth="1"/>
    <col min="13" max="13" width="14.265625" style="3" customWidth="1"/>
    <col min="14" max="14" width="12.73046875" style="3" customWidth="1"/>
    <col min="15" max="15" width="8.86328125" style="5" customWidth="1"/>
    <col min="16" max="16" width="12.1328125" style="3" customWidth="1"/>
    <col min="17" max="17" width="11" style="3" customWidth="1"/>
    <col min="18" max="18" width="12.86328125" style="3" customWidth="1"/>
    <col min="19" max="19" width="13.59765625" style="3" hidden="1" customWidth="1"/>
    <col min="20" max="21" width="12.1328125" style="3" customWidth="1"/>
    <col min="22" max="22" width="16.1328125" style="3" customWidth="1"/>
    <col min="23" max="26" width="13.265625" style="3" customWidth="1"/>
    <col min="27" max="27" width="12.265625" style="3" customWidth="1"/>
    <col min="28" max="28" width="14.73046875" style="3" customWidth="1"/>
    <col min="29" max="29" width="14.265625" style="3" customWidth="1"/>
    <col min="30" max="30" width="12" style="3" customWidth="1"/>
    <col min="31" max="31" width="13.86328125" style="3" customWidth="1"/>
    <col min="32" max="33" width="9.1328125" style="3" hidden="1" customWidth="1"/>
    <col min="34" max="34" width="14" style="3" bestFit="1" customWidth="1"/>
    <col min="35" max="35" width="13" style="3" customWidth="1"/>
    <col min="36" max="37" width="13.73046875" style="3" customWidth="1"/>
    <col min="38" max="41" width="8.1328125" style="3" hidden="1" customWidth="1"/>
    <col min="42" max="16384" width="9.1328125" style="3"/>
  </cols>
  <sheetData>
    <row r="1" spans="1:41" ht="18" customHeight="1" thickBot="1" x14ac:dyDescent="0.5">
      <c r="A1" s="3" t="s">
        <v>376</v>
      </c>
      <c r="B1" s="59" t="s">
        <v>72</v>
      </c>
      <c r="C1" s="6">
        <v>6</v>
      </c>
      <c r="E1" s="376" t="s">
        <v>39</v>
      </c>
      <c r="F1" s="314"/>
      <c r="G1" s="377"/>
      <c r="H1" s="314"/>
      <c r="I1" s="378"/>
      <c r="J1" s="314"/>
      <c r="K1" s="314"/>
      <c r="L1" s="314"/>
      <c r="M1" s="314"/>
      <c r="N1" s="314"/>
      <c r="O1" s="377"/>
      <c r="P1" s="314"/>
      <c r="Q1" s="314"/>
      <c r="R1" s="314"/>
      <c r="S1" s="314"/>
      <c r="T1" s="314"/>
      <c r="U1" s="314"/>
      <c r="V1" s="314"/>
      <c r="W1" s="314"/>
      <c r="X1" s="314"/>
      <c r="Y1" s="314"/>
      <c r="Z1" s="314"/>
      <c r="AA1" s="314"/>
      <c r="AB1" s="314"/>
      <c r="AC1" s="314"/>
      <c r="AD1" s="314"/>
      <c r="AE1" s="314"/>
      <c r="AF1" s="314"/>
      <c r="AG1" s="314"/>
      <c r="AH1" s="314"/>
      <c r="AI1" s="314"/>
      <c r="AJ1" s="314"/>
      <c r="AK1" s="314"/>
      <c r="AL1" s="86"/>
      <c r="AM1" s="86"/>
      <c r="AN1" s="86"/>
      <c r="AO1" s="86"/>
    </row>
    <row r="2" spans="1:41" s="150" customFormat="1" ht="14.25" customHeight="1" thickTop="1" x14ac:dyDescent="0.45">
      <c r="C2" s="70"/>
      <c r="D2" s="70"/>
      <c r="E2" s="379">
        <f t="array" aca="1" ref="E2" ca="1">IFERROR(INDEX(INDIRECT($E$8),MATCH(0,COUNTIF(E$1:$E1,INDIRECT($E$8)&amp;""),0)),"")</f>
        <v>0</v>
      </c>
      <c r="F2" s="380">
        <f t="shared" ref="F2:U6" ca="1" si="0">SUMIFS(F$14:F$1400,$E$14:$E$1400,$E2)</f>
        <v>0</v>
      </c>
      <c r="G2" s="380">
        <f t="shared" ca="1" si="0"/>
        <v>0</v>
      </c>
      <c r="H2" s="380">
        <f t="shared" ca="1" si="0"/>
        <v>0</v>
      </c>
      <c r="I2" s="380"/>
      <c r="J2" s="380">
        <f t="shared" ca="1" si="0"/>
        <v>0</v>
      </c>
      <c r="K2" s="380">
        <f t="shared" ca="1" si="0"/>
        <v>0</v>
      </c>
      <c r="L2" s="380">
        <f t="shared" ca="1" si="0"/>
        <v>0</v>
      </c>
      <c r="M2" s="380">
        <f t="shared" ca="1" si="0"/>
        <v>0</v>
      </c>
      <c r="N2" s="380">
        <f t="shared" ca="1" si="0"/>
        <v>0</v>
      </c>
      <c r="O2" s="381">
        <f t="shared" ca="1" si="0"/>
        <v>0</v>
      </c>
      <c r="P2" s="380">
        <f t="shared" ca="1" si="0"/>
        <v>0</v>
      </c>
      <c r="Q2" s="380">
        <f t="shared" ca="1" si="0"/>
        <v>0</v>
      </c>
      <c r="R2" s="380">
        <f t="shared" ca="1" si="0"/>
        <v>0</v>
      </c>
      <c r="S2" s="380">
        <f t="shared" ca="1" si="0"/>
        <v>0</v>
      </c>
      <c r="T2" s="380">
        <f t="shared" ca="1" si="0"/>
        <v>0</v>
      </c>
      <c r="U2" s="380">
        <f t="shared" ca="1" si="0"/>
        <v>0</v>
      </c>
      <c r="V2" s="380">
        <f t="shared" ref="V2:AJ6" ca="1" si="1">SUMIFS(V$14:V$1400,$E$14:$E$1400,$E2)</f>
        <v>0</v>
      </c>
      <c r="W2" s="380">
        <f t="shared" ca="1" si="1"/>
        <v>0</v>
      </c>
      <c r="X2" s="380">
        <f ca="1">SUMIFS(X$14:X$1400,$E$14:$E$1400,$E2)</f>
        <v>0</v>
      </c>
      <c r="Y2" s="380"/>
      <c r="Z2" s="380">
        <f t="shared" ca="1" si="1"/>
        <v>0</v>
      </c>
      <c r="AA2" s="380">
        <f t="shared" ca="1" si="1"/>
        <v>0</v>
      </c>
      <c r="AB2" s="380">
        <f t="shared" ca="1" si="1"/>
        <v>0</v>
      </c>
      <c r="AC2" s="380">
        <f t="shared" ca="1" si="1"/>
        <v>0</v>
      </c>
      <c r="AD2" s="380">
        <f t="shared" ca="1" si="1"/>
        <v>0</v>
      </c>
      <c r="AE2" s="380">
        <f t="shared" ca="1" si="1"/>
        <v>0</v>
      </c>
      <c r="AF2" s="382">
        <f t="shared" ca="1" si="1"/>
        <v>0</v>
      </c>
      <c r="AG2" s="382">
        <f t="shared" ca="1" si="1"/>
        <v>0</v>
      </c>
      <c r="AH2" s="380">
        <f t="shared" ca="1" si="1"/>
        <v>0</v>
      </c>
      <c r="AI2" s="380">
        <f t="shared" ca="1" si="1"/>
        <v>0</v>
      </c>
      <c r="AJ2" s="380">
        <f t="shared" ca="1" si="1"/>
        <v>0</v>
      </c>
      <c r="AK2" s="383"/>
      <c r="AL2" s="86"/>
      <c r="AM2" s="86"/>
      <c r="AN2" s="86"/>
      <c r="AO2" s="86"/>
    </row>
    <row r="3" spans="1:41" s="150" customFormat="1" ht="14.25" customHeight="1" x14ac:dyDescent="0.45">
      <c r="C3" s="70"/>
      <c r="D3" s="70"/>
      <c r="E3" s="379">
        <f t="array" aca="1" ref="E3" ca="1">IFERROR(INDEX(INDIRECT($E$8),MATCH(0,COUNTIF(E$1:$E2,INDIRECT($E$8)&amp;""),0)),"")</f>
        <v>0</v>
      </c>
      <c r="F3" s="384">
        <f t="shared" ca="1" si="0"/>
        <v>0</v>
      </c>
      <c r="G3" s="384">
        <f t="shared" ca="1" si="0"/>
        <v>0</v>
      </c>
      <c r="H3" s="384">
        <f ca="1">SUMIFS(H$14:H$1400,$E$14:$E$1400,$E3)</f>
        <v>0</v>
      </c>
      <c r="I3" s="384"/>
      <c r="J3" s="384">
        <f t="shared" ca="1" si="0"/>
        <v>0</v>
      </c>
      <c r="K3" s="384">
        <f t="shared" ca="1" si="0"/>
        <v>0</v>
      </c>
      <c r="L3" s="384">
        <f t="shared" ca="1" si="0"/>
        <v>0</v>
      </c>
      <c r="M3" s="384">
        <f t="shared" ca="1" si="0"/>
        <v>0</v>
      </c>
      <c r="N3" s="384">
        <f t="shared" ca="1" si="0"/>
        <v>0</v>
      </c>
      <c r="O3" s="385">
        <f t="shared" ca="1" si="0"/>
        <v>0</v>
      </c>
      <c r="P3" s="384">
        <f t="shared" ca="1" si="0"/>
        <v>0</v>
      </c>
      <c r="Q3" s="384">
        <f t="shared" ca="1" si="0"/>
        <v>0</v>
      </c>
      <c r="R3" s="384">
        <f t="shared" ca="1" si="0"/>
        <v>0</v>
      </c>
      <c r="S3" s="384">
        <f t="shared" ca="1" si="0"/>
        <v>0</v>
      </c>
      <c r="T3" s="384">
        <f t="shared" ca="1" si="0"/>
        <v>0</v>
      </c>
      <c r="U3" s="384">
        <f t="shared" ca="1" si="0"/>
        <v>0</v>
      </c>
      <c r="V3" s="384">
        <f t="shared" ca="1" si="1"/>
        <v>0</v>
      </c>
      <c r="W3" s="384">
        <f t="shared" ca="1" si="1"/>
        <v>0</v>
      </c>
      <c r="X3" s="384">
        <f ca="1">SUMIFS(X$14:X$1400,$E$14:$E$1400,$E3)</f>
        <v>0</v>
      </c>
      <c r="Y3" s="384"/>
      <c r="Z3" s="384">
        <f t="shared" ca="1" si="1"/>
        <v>0</v>
      </c>
      <c r="AA3" s="384">
        <f t="shared" ca="1" si="1"/>
        <v>0</v>
      </c>
      <c r="AB3" s="384">
        <f t="shared" ca="1" si="1"/>
        <v>0</v>
      </c>
      <c r="AC3" s="384">
        <f t="shared" ca="1" si="1"/>
        <v>0</v>
      </c>
      <c r="AD3" s="384">
        <f t="shared" ca="1" si="1"/>
        <v>0</v>
      </c>
      <c r="AE3" s="384">
        <f t="shared" ca="1" si="1"/>
        <v>0</v>
      </c>
      <c r="AF3" s="386">
        <f t="shared" ca="1" si="1"/>
        <v>0</v>
      </c>
      <c r="AG3" s="386">
        <f t="shared" ca="1" si="1"/>
        <v>0</v>
      </c>
      <c r="AH3" s="384">
        <f t="shared" ca="1" si="1"/>
        <v>0</v>
      </c>
      <c r="AI3" s="384">
        <f t="shared" ca="1" si="1"/>
        <v>0</v>
      </c>
      <c r="AJ3" s="384">
        <f t="shared" ca="1" si="1"/>
        <v>0</v>
      </c>
      <c r="AK3" s="387"/>
      <c r="AL3" s="86"/>
      <c r="AM3" s="86"/>
      <c r="AN3" s="86"/>
      <c r="AO3" s="86"/>
    </row>
    <row r="4" spans="1:41" ht="14.25" customHeight="1" x14ac:dyDescent="0.45">
      <c r="E4" s="379">
        <f t="array" aca="1" ref="E4" ca="1">IFERROR(INDEX(INDIRECT($E$8),MATCH(0,COUNTIF(E$1:$E3,INDIRECT($E$8)&amp;""),0)),"")</f>
        <v>0</v>
      </c>
      <c r="F4" s="384">
        <f t="shared" ca="1" si="0"/>
        <v>0</v>
      </c>
      <c r="G4" s="384">
        <f t="shared" ca="1" si="0"/>
        <v>0</v>
      </c>
      <c r="H4" s="384">
        <f t="shared" ca="1" si="0"/>
        <v>0</v>
      </c>
      <c r="I4" s="384"/>
      <c r="J4" s="384">
        <f t="shared" ca="1" si="0"/>
        <v>0</v>
      </c>
      <c r="K4" s="384">
        <f t="shared" ca="1" si="0"/>
        <v>0</v>
      </c>
      <c r="L4" s="384">
        <f t="shared" ca="1" si="0"/>
        <v>0</v>
      </c>
      <c r="M4" s="384">
        <f t="shared" ca="1" si="0"/>
        <v>0</v>
      </c>
      <c r="N4" s="384">
        <f t="shared" ca="1" si="0"/>
        <v>0</v>
      </c>
      <c r="O4" s="385">
        <f t="shared" ca="1" si="0"/>
        <v>0</v>
      </c>
      <c r="P4" s="384">
        <f t="shared" ca="1" si="0"/>
        <v>0</v>
      </c>
      <c r="Q4" s="384">
        <f t="shared" ca="1" si="0"/>
        <v>0</v>
      </c>
      <c r="R4" s="384">
        <f t="shared" ca="1" si="0"/>
        <v>0</v>
      </c>
      <c r="S4" s="384">
        <f t="shared" ca="1" si="0"/>
        <v>0</v>
      </c>
      <c r="T4" s="384">
        <f t="shared" ca="1" si="0"/>
        <v>0</v>
      </c>
      <c r="U4" s="384">
        <f t="shared" ca="1" si="0"/>
        <v>0</v>
      </c>
      <c r="V4" s="384">
        <f t="shared" ca="1" si="1"/>
        <v>0</v>
      </c>
      <c r="W4" s="384">
        <f t="shared" ca="1" si="1"/>
        <v>0</v>
      </c>
      <c r="X4" s="384">
        <f t="shared" ca="1" si="1"/>
        <v>0</v>
      </c>
      <c r="Y4" s="384"/>
      <c r="Z4" s="384">
        <f t="shared" ca="1" si="1"/>
        <v>0</v>
      </c>
      <c r="AA4" s="384">
        <f t="shared" ca="1" si="1"/>
        <v>0</v>
      </c>
      <c r="AB4" s="384">
        <f t="shared" ca="1" si="1"/>
        <v>0</v>
      </c>
      <c r="AC4" s="384">
        <f t="shared" ca="1" si="1"/>
        <v>0</v>
      </c>
      <c r="AD4" s="384">
        <f t="shared" ca="1" si="1"/>
        <v>0</v>
      </c>
      <c r="AE4" s="384">
        <f t="shared" ca="1" si="1"/>
        <v>0</v>
      </c>
      <c r="AF4" s="384">
        <f t="shared" ca="1" si="1"/>
        <v>0</v>
      </c>
      <c r="AG4" s="384">
        <f t="shared" ca="1" si="1"/>
        <v>0</v>
      </c>
      <c r="AH4" s="384">
        <f t="shared" ca="1" si="1"/>
        <v>0</v>
      </c>
      <c r="AI4" s="384">
        <f t="shared" ca="1" si="1"/>
        <v>0</v>
      </c>
      <c r="AJ4" s="384">
        <f t="shared" ca="1" si="1"/>
        <v>0</v>
      </c>
      <c r="AK4" s="387"/>
      <c r="AL4" s="86"/>
      <c r="AM4" s="86"/>
      <c r="AN4" s="86"/>
      <c r="AO4" s="86"/>
    </row>
    <row r="5" spans="1:41" ht="14.25" customHeight="1" x14ac:dyDescent="0.45">
      <c r="E5" s="379">
        <f t="array" aca="1" ref="E5" ca="1">IFERROR(INDEX(INDIRECT($E$8),MATCH(0,COUNTIF(E$1:$E4,INDIRECT($E$8)&amp;""),0)),"")</f>
        <v>0</v>
      </c>
      <c r="F5" s="384">
        <f t="shared" ca="1" si="0"/>
        <v>0</v>
      </c>
      <c r="G5" s="384">
        <f t="shared" ca="1" si="0"/>
        <v>0</v>
      </c>
      <c r="H5" s="384">
        <f t="shared" ca="1" si="0"/>
        <v>0</v>
      </c>
      <c r="I5" s="384"/>
      <c r="J5" s="384">
        <f t="shared" ca="1" si="0"/>
        <v>0</v>
      </c>
      <c r="K5" s="384">
        <f t="shared" ca="1" si="0"/>
        <v>0</v>
      </c>
      <c r="L5" s="384">
        <f t="shared" ca="1" si="0"/>
        <v>0</v>
      </c>
      <c r="M5" s="384">
        <f t="shared" ca="1" si="0"/>
        <v>0</v>
      </c>
      <c r="N5" s="384">
        <f t="shared" ca="1" si="0"/>
        <v>0</v>
      </c>
      <c r="O5" s="385">
        <f t="shared" ca="1" si="0"/>
        <v>0</v>
      </c>
      <c r="P5" s="384">
        <f t="shared" ca="1" si="0"/>
        <v>0</v>
      </c>
      <c r="Q5" s="384">
        <f t="shared" ca="1" si="0"/>
        <v>0</v>
      </c>
      <c r="R5" s="384">
        <f t="shared" ca="1" si="0"/>
        <v>0</v>
      </c>
      <c r="S5" s="384">
        <f t="shared" ca="1" si="0"/>
        <v>0</v>
      </c>
      <c r="T5" s="384">
        <f t="shared" ca="1" si="0"/>
        <v>0</v>
      </c>
      <c r="U5" s="384">
        <f t="shared" ca="1" si="0"/>
        <v>0</v>
      </c>
      <c r="V5" s="384">
        <f t="shared" ca="1" si="1"/>
        <v>0</v>
      </c>
      <c r="W5" s="384">
        <f t="shared" ca="1" si="1"/>
        <v>0</v>
      </c>
      <c r="X5" s="384">
        <f t="shared" ca="1" si="1"/>
        <v>0</v>
      </c>
      <c r="Y5" s="384"/>
      <c r="Z5" s="384">
        <f t="shared" ca="1" si="1"/>
        <v>0</v>
      </c>
      <c r="AA5" s="384">
        <f t="shared" ca="1" si="1"/>
        <v>0</v>
      </c>
      <c r="AB5" s="384">
        <f t="shared" ca="1" si="1"/>
        <v>0</v>
      </c>
      <c r="AC5" s="384">
        <f t="shared" ca="1" si="1"/>
        <v>0</v>
      </c>
      <c r="AD5" s="384">
        <f t="shared" ca="1" si="1"/>
        <v>0</v>
      </c>
      <c r="AE5" s="384">
        <f t="shared" ca="1" si="1"/>
        <v>0</v>
      </c>
      <c r="AF5" s="384">
        <f t="shared" ca="1" si="1"/>
        <v>0</v>
      </c>
      <c r="AG5" s="384">
        <f t="shared" ca="1" si="1"/>
        <v>0</v>
      </c>
      <c r="AH5" s="384">
        <f t="shared" ca="1" si="1"/>
        <v>0</v>
      </c>
      <c r="AI5" s="384">
        <f t="shared" ca="1" si="1"/>
        <v>0</v>
      </c>
      <c r="AJ5" s="384">
        <f t="shared" ca="1" si="1"/>
        <v>0</v>
      </c>
      <c r="AK5" s="387"/>
      <c r="AL5" s="86"/>
      <c r="AM5" s="86"/>
      <c r="AN5" s="86"/>
      <c r="AO5" s="86"/>
    </row>
    <row r="6" spans="1:41" ht="13.5" customHeight="1" x14ac:dyDescent="0.45">
      <c r="E6" s="379">
        <f t="array" aca="1" ref="E6" ca="1">IFERROR(INDEX(INDIRECT($E$8),MATCH(0,COUNTIF(E$1:$E5,INDIRECT($E$8)&amp;""),0)),"")</f>
        <v>0</v>
      </c>
      <c r="F6" s="384">
        <f t="shared" ca="1" si="0"/>
        <v>0</v>
      </c>
      <c r="G6" s="384">
        <f t="shared" ca="1" si="0"/>
        <v>0</v>
      </c>
      <c r="H6" s="384">
        <f t="shared" ca="1" si="0"/>
        <v>0</v>
      </c>
      <c r="I6" s="384"/>
      <c r="J6" s="384">
        <f t="shared" ca="1" si="0"/>
        <v>0</v>
      </c>
      <c r="K6" s="384">
        <f t="shared" ca="1" si="0"/>
        <v>0</v>
      </c>
      <c r="L6" s="384">
        <f t="shared" ca="1" si="0"/>
        <v>0</v>
      </c>
      <c r="M6" s="384">
        <f t="shared" ca="1" si="0"/>
        <v>0</v>
      </c>
      <c r="N6" s="384">
        <f t="shared" ca="1" si="0"/>
        <v>0</v>
      </c>
      <c r="O6" s="385">
        <f t="shared" ca="1" si="0"/>
        <v>0</v>
      </c>
      <c r="P6" s="384">
        <f t="shared" ca="1" si="0"/>
        <v>0</v>
      </c>
      <c r="Q6" s="384">
        <f t="shared" ca="1" si="0"/>
        <v>0</v>
      </c>
      <c r="R6" s="384">
        <f t="shared" ca="1" si="0"/>
        <v>0</v>
      </c>
      <c r="S6" s="384">
        <f t="shared" ca="1" si="0"/>
        <v>0</v>
      </c>
      <c r="T6" s="384">
        <f t="shared" ca="1" si="0"/>
        <v>0</v>
      </c>
      <c r="U6" s="384">
        <f t="shared" ca="1" si="0"/>
        <v>0</v>
      </c>
      <c r="V6" s="384">
        <f t="shared" ca="1" si="1"/>
        <v>0</v>
      </c>
      <c r="W6" s="384">
        <f t="shared" ca="1" si="1"/>
        <v>0</v>
      </c>
      <c r="X6" s="384">
        <f ca="1">SUMIFS(X$14:X$1400,$E$14:$E$1400,$E6)</f>
        <v>0</v>
      </c>
      <c r="Y6" s="384"/>
      <c r="Z6" s="384">
        <f t="shared" ca="1" si="1"/>
        <v>0</v>
      </c>
      <c r="AA6" s="384">
        <f t="shared" ca="1" si="1"/>
        <v>0</v>
      </c>
      <c r="AB6" s="384">
        <f t="shared" ca="1" si="1"/>
        <v>0</v>
      </c>
      <c r="AC6" s="384">
        <f t="shared" ca="1" si="1"/>
        <v>0</v>
      </c>
      <c r="AD6" s="384">
        <f t="shared" ca="1" si="1"/>
        <v>0</v>
      </c>
      <c r="AE6" s="384">
        <f t="shared" ca="1" si="1"/>
        <v>0</v>
      </c>
      <c r="AF6" s="384">
        <f t="shared" ca="1" si="1"/>
        <v>0</v>
      </c>
      <c r="AG6" s="384">
        <f t="shared" ca="1" si="1"/>
        <v>0</v>
      </c>
      <c r="AH6" s="384">
        <f t="shared" ca="1" si="1"/>
        <v>0</v>
      </c>
      <c r="AI6" s="384">
        <f t="shared" ca="1" si="1"/>
        <v>0</v>
      </c>
      <c r="AJ6" s="384">
        <f t="shared" ca="1" si="1"/>
        <v>0</v>
      </c>
      <c r="AK6" s="387"/>
      <c r="AL6" s="86"/>
      <c r="AM6" s="86"/>
      <c r="AN6" s="86"/>
      <c r="AO6" s="86"/>
    </row>
    <row r="7" spans="1:41" s="58" customFormat="1" ht="19.7" customHeight="1" x14ac:dyDescent="0.45">
      <c r="C7" s="61">
        <f ca="1">COUNTIF(I14:I1400,"&gt;0")</f>
        <v>0</v>
      </c>
      <c r="D7" s="61"/>
      <c r="E7" s="64" t="s">
        <v>82</v>
      </c>
      <c r="F7" s="63">
        <f ca="1">SUM(F2:F6)</f>
        <v>0</v>
      </c>
      <c r="G7" s="63">
        <f ca="1">SUM(G2:G6)</f>
        <v>0</v>
      </c>
      <c r="H7" s="63">
        <f t="shared" ref="H7:AJ7" ca="1" si="2">SUM(H2:H6)</f>
        <v>0</v>
      </c>
      <c r="I7" s="63"/>
      <c r="J7" s="63">
        <f t="shared" ca="1" si="2"/>
        <v>0</v>
      </c>
      <c r="K7" s="63">
        <f t="shared" ca="1" si="2"/>
        <v>0</v>
      </c>
      <c r="L7" s="63">
        <f t="shared" ca="1" si="2"/>
        <v>0</v>
      </c>
      <c r="M7" s="63">
        <f t="shared" ca="1" si="2"/>
        <v>0</v>
      </c>
      <c r="N7" s="63">
        <f t="shared" ca="1" si="2"/>
        <v>0</v>
      </c>
      <c r="O7" s="212">
        <f t="shared" ca="1" si="2"/>
        <v>0</v>
      </c>
      <c r="P7" s="63">
        <f t="shared" ca="1" si="2"/>
        <v>0</v>
      </c>
      <c r="Q7" s="63">
        <f t="shared" ca="1" si="2"/>
        <v>0</v>
      </c>
      <c r="R7" s="63">
        <f t="shared" ca="1" si="2"/>
        <v>0</v>
      </c>
      <c r="S7" s="63">
        <f t="shared" ca="1" si="2"/>
        <v>0</v>
      </c>
      <c r="T7" s="63">
        <f t="shared" ca="1" si="2"/>
        <v>0</v>
      </c>
      <c r="U7" s="63">
        <f t="shared" ca="1" si="2"/>
        <v>0</v>
      </c>
      <c r="V7" s="63">
        <f t="shared" ca="1" si="2"/>
        <v>0</v>
      </c>
      <c r="W7" s="63">
        <f t="shared" ca="1" si="2"/>
        <v>0</v>
      </c>
      <c r="X7" s="63">
        <f t="shared" ca="1" si="2"/>
        <v>0</v>
      </c>
      <c r="Y7" s="63"/>
      <c r="Z7" s="63">
        <f t="shared" ca="1" si="2"/>
        <v>0</v>
      </c>
      <c r="AA7" s="63">
        <f t="shared" ca="1" si="2"/>
        <v>0</v>
      </c>
      <c r="AB7" s="63">
        <f t="shared" ca="1" si="2"/>
        <v>0</v>
      </c>
      <c r="AC7" s="63">
        <f t="shared" ca="1" si="2"/>
        <v>0</v>
      </c>
      <c r="AD7" s="63">
        <f t="shared" ca="1" si="2"/>
        <v>0</v>
      </c>
      <c r="AE7" s="63">
        <f t="shared" ca="1" si="2"/>
        <v>0</v>
      </c>
      <c r="AF7" s="63">
        <f t="shared" ca="1" si="2"/>
        <v>0</v>
      </c>
      <c r="AG7" s="63">
        <f t="shared" ca="1" si="2"/>
        <v>0</v>
      </c>
      <c r="AH7" s="63">
        <f t="shared" ca="1" si="2"/>
        <v>0</v>
      </c>
      <c r="AI7" s="63">
        <f t="shared" ca="1" si="2"/>
        <v>0</v>
      </c>
      <c r="AJ7" s="63">
        <f t="shared" ca="1" si="2"/>
        <v>0</v>
      </c>
      <c r="AK7" s="62"/>
      <c r="AL7" s="86"/>
      <c r="AM7" s="86"/>
      <c r="AN7" s="86"/>
      <c r="AO7" s="86"/>
    </row>
    <row r="8" spans="1:41" s="58" customFormat="1" ht="19.7" customHeight="1" x14ac:dyDescent="0.45">
      <c r="A8" s="55"/>
      <c r="B8" s="55"/>
      <c r="C8" s="56"/>
      <c r="D8" s="56"/>
      <c r="E8" s="91" t="str">
        <f ca="1">"$E$14:$E$"&amp;COUNTA(E14:E1000)+14</f>
        <v>$E$14:$E$16</v>
      </c>
      <c r="F8" s="57">
        <f ca="1">SUBTOTAL(9,F$14:F$1400)</f>
        <v>0</v>
      </c>
      <c r="G8" s="57">
        <f ca="1">SUBTOTAL(9,G$14:G$1400)</f>
        <v>0</v>
      </c>
      <c r="H8" s="57">
        <f t="shared" ref="H8:AJ8" ca="1" si="3">SUBTOTAL(9,H$14:H$1400)</f>
        <v>0</v>
      </c>
      <c r="I8" s="57"/>
      <c r="J8" s="57">
        <f t="shared" ca="1" si="3"/>
        <v>0</v>
      </c>
      <c r="K8" s="57">
        <f t="shared" ca="1" si="3"/>
        <v>0</v>
      </c>
      <c r="L8" s="57">
        <f t="shared" si="3"/>
        <v>0</v>
      </c>
      <c r="M8" s="57">
        <f t="shared" ca="1" si="3"/>
        <v>0</v>
      </c>
      <c r="N8" s="57">
        <f t="shared" ca="1" si="3"/>
        <v>0</v>
      </c>
      <c r="O8" s="213">
        <f t="shared" si="3"/>
        <v>0</v>
      </c>
      <c r="P8" s="57">
        <f t="shared" ca="1" si="3"/>
        <v>0</v>
      </c>
      <c r="Q8" s="57">
        <f t="shared" si="3"/>
        <v>0</v>
      </c>
      <c r="R8" s="57">
        <f t="shared" ca="1" si="3"/>
        <v>0</v>
      </c>
      <c r="S8" s="57">
        <f t="shared" si="3"/>
        <v>0</v>
      </c>
      <c r="T8" s="57">
        <f t="shared" si="3"/>
        <v>0</v>
      </c>
      <c r="U8" s="57">
        <f t="shared" si="3"/>
        <v>0</v>
      </c>
      <c r="V8" s="57">
        <f t="shared" ca="1" si="3"/>
        <v>0</v>
      </c>
      <c r="W8" s="57">
        <f t="shared" ca="1" si="3"/>
        <v>0</v>
      </c>
      <c r="X8" s="57">
        <f t="shared" ca="1" si="3"/>
        <v>0</v>
      </c>
      <c r="Y8" s="57"/>
      <c r="Z8" s="57">
        <f t="shared" ca="1" si="3"/>
        <v>0</v>
      </c>
      <c r="AA8" s="57">
        <f t="shared" ca="1" si="3"/>
        <v>0</v>
      </c>
      <c r="AB8" s="57">
        <f t="shared" ca="1" si="3"/>
        <v>0</v>
      </c>
      <c r="AC8" s="57">
        <f t="shared" ca="1" si="3"/>
        <v>0</v>
      </c>
      <c r="AD8" s="57">
        <f t="shared" ca="1" si="3"/>
        <v>0</v>
      </c>
      <c r="AE8" s="57">
        <f t="shared" ca="1" si="3"/>
        <v>0</v>
      </c>
      <c r="AF8" s="57">
        <f t="shared" si="3"/>
        <v>0</v>
      </c>
      <c r="AG8" s="57">
        <f t="shared" si="3"/>
        <v>0</v>
      </c>
      <c r="AH8" s="57">
        <f t="shared" ca="1" si="3"/>
        <v>0</v>
      </c>
      <c r="AI8" s="57">
        <f t="shared" ca="1" si="3"/>
        <v>0</v>
      </c>
      <c r="AJ8" s="57">
        <f t="shared" ca="1" si="3"/>
        <v>0</v>
      </c>
      <c r="AK8" s="57"/>
      <c r="AL8" s="86"/>
      <c r="AM8" s="86"/>
      <c r="AN8" s="86"/>
      <c r="AO8" s="86"/>
    </row>
    <row r="9" spans="1:41" x14ac:dyDescent="0.45">
      <c r="A9" s="26"/>
      <c r="B9" s="26"/>
      <c r="C9" s="43"/>
      <c r="D9" s="43"/>
      <c r="E9" s="26"/>
      <c r="F9" s="26"/>
      <c r="G9" s="26"/>
      <c r="H9" s="26"/>
      <c r="I9" s="52"/>
      <c r="J9" s="54"/>
      <c r="K9" s="609" t="s">
        <v>111</v>
      </c>
      <c r="L9" s="590"/>
      <c r="M9" s="590"/>
      <c r="N9" s="590"/>
      <c r="O9" s="606" t="s">
        <v>369</v>
      </c>
      <c r="P9" s="606"/>
      <c r="Q9" s="611" t="s">
        <v>49</v>
      </c>
      <c r="R9" s="612"/>
      <c r="S9" s="613"/>
      <c r="T9" s="613"/>
      <c r="U9" s="163"/>
      <c r="V9" s="95"/>
      <c r="W9" s="604" t="s">
        <v>53</v>
      </c>
      <c r="X9" s="604"/>
      <c r="Y9" s="604"/>
      <c r="Z9" s="604"/>
      <c r="AA9" s="605"/>
      <c r="AB9" s="92"/>
      <c r="AC9" s="607" t="s">
        <v>56</v>
      </c>
      <c r="AD9" s="608"/>
      <c r="AE9" s="608"/>
      <c r="AF9" s="608"/>
      <c r="AG9" s="608"/>
      <c r="AH9" s="94"/>
      <c r="AI9" s="94"/>
      <c r="AJ9" s="26"/>
      <c r="AK9" s="42"/>
      <c r="AL9" s="86"/>
      <c r="AM9" s="86"/>
      <c r="AN9" s="86"/>
      <c r="AO9" s="86"/>
    </row>
    <row r="10" spans="1:41" ht="15" customHeight="1" x14ac:dyDescent="0.45">
      <c r="A10" s="622" t="s">
        <v>1</v>
      </c>
      <c r="B10" s="622" t="s">
        <v>2</v>
      </c>
      <c r="C10" s="622" t="s">
        <v>3</v>
      </c>
      <c r="D10" s="622" t="s">
        <v>4</v>
      </c>
      <c r="E10" s="622" t="s">
        <v>39</v>
      </c>
      <c r="F10" s="622" t="s">
        <v>6</v>
      </c>
      <c r="G10" s="622" t="s">
        <v>7</v>
      </c>
      <c r="H10" s="622" t="s">
        <v>40</v>
      </c>
      <c r="I10" s="625" t="s">
        <v>42</v>
      </c>
      <c r="J10" s="622" t="s">
        <v>41</v>
      </c>
      <c r="K10" s="627" t="s">
        <v>298</v>
      </c>
      <c r="L10" s="590" t="s">
        <v>44</v>
      </c>
      <c r="M10" s="590"/>
      <c r="N10" s="627" t="s">
        <v>299</v>
      </c>
      <c r="O10" s="163"/>
      <c r="P10" s="31"/>
      <c r="Q10" s="614" t="s">
        <v>79</v>
      </c>
      <c r="R10" s="614"/>
      <c r="S10" s="168"/>
      <c r="T10" s="170"/>
      <c r="U10" s="164"/>
      <c r="V10" s="96"/>
      <c r="W10" s="32"/>
      <c r="X10" s="26"/>
      <c r="Y10" s="26"/>
      <c r="Z10" s="26"/>
      <c r="AA10" s="32"/>
      <c r="AB10" s="599" t="s">
        <v>57</v>
      </c>
      <c r="AC10" s="615" t="s">
        <v>58</v>
      </c>
      <c r="AD10" s="616"/>
      <c r="AE10" s="615"/>
      <c r="AF10" s="616"/>
      <c r="AG10" s="617"/>
      <c r="AH10" s="599" t="s">
        <v>59</v>
      </c>
      <c r="AI10" s="632" t="s">
        <v>61</v>
      </c>
      <c r="AJ10" s="35"/>
      <c r="AK10" s="35"/>
      <c r="AL10" s="86"/>
      <c r="AM10" s="86"/>
      <c r="AN10" s="86"/>
      <c r="AO10" s="86"/>
    </row>
    <row r="11" spans="1:41" s="4" customFormat="1" ht="33" customHeight="1" x14ac:dyDescent="0.45">
      <c r="A11" s="622"/>
      <c r="B11" s="622"/>
      <c r="C11" s="622"/>
      <c r="D11" s="622"/>
      <c r="E11" s="622"/>
      <c r="F11" s="622"/>
      <c r="G11" s="622"/>
      <c r="H11" s="622"/>
      <c r="I11" s="625"/>
      <c r="J11" s="622"/>
      <c r="K11" s="628"/>
      <c r="L11" s="160" t="s">
        <v>45</v>
      </c>
      <c r="M11" s="25" t="s">
        <v>46</v>
      </c>
      <c r="N11" s="628"/>
      <c r="O11" s="185" t="s">
        <v>370</v>
      </c>
      <c r="P11" s="103" t="s">
        <v>371</v>
      </c>
      <c r="Q11" s="161" t="s">
        <v>51</v>
      </c>
      <c r="R11" s="28" t="s">
        <v>78</v>
      </c>
      <c r="S11" s="169" t="s">
        <v>50</v>
      </c>
      <c r="T11" s="171" t="s">
        <v>60</v>
      </c>
      <c r="U11" s="162" t="s">
        <v>77</v>
      </c>
      <c r="V11" s="97" t="s">
        <v>52</v>
      </c>
      <c r="W11" s="33" t="s">
        <v>43</v>
      </c>
      <c r="X11" s="196" t="s">
        <v>264</v>
      </c>
      <c r="Y11" s="196" t="s">
        <v>77</v>
      </c>
      <c r="Z11" s="103" t="s">
        <v>54</v>
      </c>
      <c r="AA11" s="33" t="s">
        <v>55</v>
      </c>
      <c r="AB11" s="599"/>
      <c r="AC11" s="25" t="s">
        <v>88</v>
      </c>
      <c r="AD11" s="28" t="s">
        <v>28</v>
      </c>
      <c r="AE11" s="34" t="s">
        <v>81</v>
      </c>
      <c r="AF11" s="126"/>
      <c r="AG11" s="30"/>
      <c r="AH11" s="599"/>
      <c r="AI11" s="632"/>
      <c r="AJ11" s="36" t="s">
        <v>62</v>
      </c>
      <c r="AK11" s="36" t="s">
        <v>63</v>
      </c>
      <c r="AL11" s="87"/>
      <c r="AM11" s="87"/>
      <c r="AN11" s="87"/>
      <c r="AO11" s="87"/>
    </row>
    <row r="12" spans="1:41" s="4" customFormat="1" ht="15" customHeight="1" x14ac:dyDescent="0.45">
      <c r="A12" s="29"/>
      <c r="B12" s="29"/>
      <c r="C12" s="29"/>
      <c r="D12" s="29"/>
      <c r="E12" s="29"/>
      <c r="F12" s="29"/>
      <c r="G12" s="602" t="str">
        <f>'1'!G12</f>
        <v>Link</v>
      </c>
      <c r="H12" s="603"/>
      <c r="I12" s="53"/>
      <c r="J12" s="29">
        <f>INDEX(Cham_Cong!$E$7:$P$8,1,MATCH(C1,Cham_Cong!$E$8:$P$8,0))</f>
        <v>26</v>
      </c>
      <c r="K12" s="40">
        <v>730000</v>
      </c>
      <c r="L12" s="160"/>
      <c r="M12" s="27">
        <v>1000000</v>
      </c>
      <c r="N12" s="41">
        <v>500000</v>
      </c>
      <c r="O12" s="167">
        <v>2</v>
      </c>
      <c r="P12" s="38"/>
      <c r="Q12" s="161">
        <f>Info!F9</f>
        <v>5</v>
      </c>
      <c r="R12" s="25">
        <f ca="1">Info!G11</f>
        <v>0</v>
      </c>
      <c r="S12" s="165"/>
      <c r="T12" s="166"/>
      <c r="U12" s="165"/>
      <c r="V12" s="98"/>
      <c r="W12" s="30"/>
      <c r="X12" s="29"/>
      <c r="Y12" s="29"/>
      <c r="Z12" s="29"/>
      <c r="AA12" s="30"/>
      <c r="AB12" s="93"/>
      <c r="AC12" s="37">
        <v>11000000</v>
      </c>
      <c r="AD12" s="37">
        <v>4400000</v>
      </c>
      <c r="AE12" s="39">
        <v>0.105</v>
      </c>
      <c r="AF12" s="39"/>
      <c r="AG12" s="39"/>
      <c r="AH12" s="93"/>
      <c r="AI12" s="93"/>
      <c r="AJ12" s="29"/>
      <c r="AK12" s="29"/>
      <c r="AL12" s="87"/>
      <c r="AM12" s="87"/>
      <c r="AN12" s="87"/>
      <c r="AO12" s="87"/>
    </row>
    <row r="13" spans="1:41" s="70" customFormat="1" x14ac:dyDescent="0.45">
      <c r="A13" s="49"/>
      <c r="B13" s="49" t="s">
        <v>24</v>
      </c>
      <c r="C13" s="89" t="s">
        <v>25</v>
      </c>
      <c r="D13" s="49" t="s">
        <v>26</v>
      </c>
      <c r="E13" s="49" t="s">
        <v>27</v>
      </c>
      <c r="F13" s="49" t="s">
        <v>28</v>
      </c>
      <c r="G13" s="49" t="s">
        <v>29</v>
      </c>
      <c r="H13" s="49" t="s">
        <v>185</v>
      </c>
      <c r="I13" s="90" t="s">
        <v>186</v>
      </c>
      <c r="J13" s="49" t="s">
        <v>80</v>
      </c>
      <c r="K13" s="49" t="s">
        <v>80</v>
      </c>
      <c r="L13" s="49" t="s">
        <v>391</v>
      </c>
      <c r="M13" s="49" t="s">
        <v>80</v>
      </c>
      <c r="N13" s="49" t="s">
        <v>80</v>
      </c>
      <c r="O13" s="49" t="s">
        <v>208</v>
      </c>
      <c r="P13" s="49" t="s">
        <v>80</v>
      </c>
      <c r="Q13" s="49"/>
      <c r="R13" s="49" t="s">
        <v>80</v>
      </c>
      <c r="S13" s="49" t="s">
        <v>80</v>
      </c>
      <c r="T13" s="49" t="s">
        <v>80</v>
      </c>
      <c r="U13" s="49" t="s">
        <v>80</v>
      </c>
      <c r="V13" s="49" t="s">
        <v>66</v>
      </c>
      <c r="W13" s="49"/>
      <c r="X13" s="49"/>
      <c r="Y13" s="49"/>
      <c r="Z13" s="49"/>
      <c r="AA13" s="49"/>
      <c r="AB13" s="49" t="s">
        <v>64</v>
      </c>
      <c r="AC13" s="49" t="s">
        <v>101</v>
      </c>
      <c r="AD13" s="49" t="s">
        <v>102</v>
      </c>
      <c r="AE13" s="49" t="s">
        <v>165</v>
      </c>
      <c r="AF13" s="49"/>
      <c r="AG13" s="49"/>
      <c r="AH13" s="49"/>
      <c r="AI13" s="49" t="s">
        <v>65</v>
      </c>
      <c r="AJ13" s="49" t="s">
        <v>67</v>
      </c>
      <c r="AK13" s="49"/>
      <c r="AL13" s="88" t="s">
        <v>32</v>
      </c>
      <c r="AM13" s="88" t="s">
        <v>33</v>
      </c>
      <c r="AN13" s="88" t="s">
        <v>34</v>
      </c>
      <c r="AO13" s="88" t="s">
        <v>35</v>
      </c>
    </row>
    <row r="14" spans="1:41" x14ac:dyDescent="0.45">
      <c r="A14" s="5">
        <f ca="1">IF(B14&lt;&gt;"",SUBTOTAL(3,$B$14:B14),"")</f>
        <v>1</v>
      </c>
      <c r="B14" s="3">
        <f ca="1">INDEX(INDIRECT(Danh_Sach!$N$1),ROWS($B$14:$B14),MATCH(B$13,INDIRECT(Danh_Sach!$N$2),0))</f>
        <v>0</v>
      </c>
      <c r="C14" s="5">
        <f ca="1">INDEX(INDIRECT(Danh_Sach!$N$1),ROWS($B$14:$B14),MATCH(C$13,INDIRECT(Danh_Sach!$N$2),0))</f>
        <v>0</v>
      </c>
      <c r="D14" s="5">
        <f ca="1">INDEX(INDIRECT(Danh_Sach!$N$1),ROWS($B$14:$B14),MATCH(D$13,INDIRECT(Danh_Sach!$N$2),0))</f>
        <v>0</v>
      </c>
      <c r="E14" s="5">
        <f ca="1">INDEX(INDIRECT(Danh_Sach!$N$1),ROWS($B$14:$B14),MATCH(E$13,INDIRECT(Danh_Sach!$N$2),0))</f>
        <v>0</v>
      </c>
      <c r="F14" s="5">
        <f t="array" aca="1" ref="F14" ca="1">INDEX(INDIRECT(NPT!$W$1),ROWS($B$14:B14),MATCH($C$1,INDIRECT(NPT!$W$2),0))</f>
        <v>0</v>
      </c>
      <c r="G14" s="11">
        <f t="array" aca="1" ref="G14" ca="1">IF(AND($G$12="Link",H14&lt;&gt;0),H14,INDEX(INDIRECT(Danh_Sach!$N$1),ROWS($B$14:$B14),MATCH(G$13,INDIRECT(Danh_Sach!$N$2),0)))</f>
        <v>0</v>
      </c>
      <c r="H14" s="11">
        <f ca="1">IFERROR(INDEX(INDIRECT(BaoHiem!$A$3),ROWS($B$14:$B14),MATCH($C$1,INDIRECT(BaoHiem!$A$4),0)),0)</f>
        <v>0</v>
      </c>
      <c r="I14" s="72">
        <f t="array" aca="1" ref="I14" ca="1">INDEX(INDIRECT(Cham_Cong!$T$3),ROWS($B$14:B14),MATCH($C$1,INDIRECT(Cham_Cong!$T$4),0))</f>
        <v>0</v>
      </c>
      <c r="J14" s="11">
        <f ca="1">G14/$J$12*I14</f>
        <v>0</v>
      </c>
      <c r="K14" s="11">
        <f ca="1">IF(I14&gt;0,$K$12,0)</f>
        <v>0</v>
      </c>
      <c r="L14" s="11"/>
      <c r="M14" s="22">
        <f ca="1">IF(I14=0,0,$M$12*L14)</f>
        <v>0</v>
      </c>
      <c r="N14" s="11">
        <f ca="1">IF(I14&gt;0,$N$12,0)</f>
        <v>0</v>
      </c>
      <c r="P14" s="22">
        <f ca="1">IF(I14=0,0,ROUND(O14*$O$12*(G14/$J$12/8),0))</f>
        <v>0</v>
      </c>
      <c r="R14" s="11">
        <f ca="1">IF(I14&gt;0,$R$12*Q14,0)</f>
        <v>0</v>
      </c>
      <c r="S14" s="11"/>
      <c r="V14" s="11">
        <f ca="1">IF(I14=0,0,SUMIF($J$13:$U$13,"i_gross",J14:U14))</f>
        <v>0</v>
      </c>
      <c r="W14" s="22">
        <f ca="1">K14</f>
        <v>0</v>
      </c>
      <c r="X14" s="22">
        <f ca="1">M14+N14</f>
        <v>0</v>
      </c>
      <c r="Y14" s="22">
        <f>U14</f>
        <v>0</v>
      </c>
      <c r="Z14" s="22">
        <f ca="1">P14-P14/$O$12</f>
        <v>0</v>
      </c>
      <c r="AA14" s="22">
        <f ca="1">SUM(W14:Z14)</f>
        <v>0</v>
      </c>
      <c r="AB14" s="22">
        <f ca="1">IF(I14=0,0,V14-AA14)</f>
        <v>0</v>
      </c>
      <c r="AC14" s="22">
        <f ca="1">IF(AB14&gt;0,$AC$12,0)</f>
        <v>0</v>
      </c>
      <c r="AD14" s="22">
        <f ca="1">$AD$12*F14</f>
        <v>0</v>
      </c>
      <c r="AE14" s="22">
        <f ca="1">IF(AB14&gt;0,IF(ISNA(VLOOKUP(C14,Info!$C$22:$D$303,2,0))=FALSE,H14*1.5%,H14*$AE$12),0)</f>
        <v>0</v>
      </c>
      <c r="AH14" s="22">
        <f ca="1">MAX(AB14-SUM(AC14:AG14),0)</f>
        <v>0</v>
      </c>
      <c r="AI14" s="22">
        <f ca="1">IF(AH14&gt;0,(AH14-VLOOKUP(AH14-1,INDIRECT(TAXRATE!$E$1),1,1))*VLOOKUP(AH14,INDIRECT(TAXRATE!$E$1),2,1)+VLOOKUP(AH14-1,INDIRECT(TAXRATE!$E$1),3,1),0)</f>
        <v>0</v>
      </c>
      <c r="AJ14" s="22">
        <f ca="1">V14-AI14-AE14-AF14-AG14</f>
        <v>0</v>
      </c>
      <c r="AL14" s="3" t="str">
        <f ca="1">IF(INDEX(INDIRECT(Danh_Sach!$N$1),ROWS($B$14:$B14),MATCH(AL$13,INDIRECT(Danh_Sach!$N$2),0))=0,"",MONTH(INDEX(INDIRECT(Danh_Sach!$N$1),ROWS($B$14:$B14),MATCH(AL$13,INDIRECT(Danh_Sach!$N$2),0))))</f>
        <v/>
      </c>
      <c r="AM14" s="3" t="str">
        <f ca="1">IF(INDEX(INDIRECT(Danh_Sach!$N$1),ROWS($B$14:$B14),MATCH(AM$13,INDIRECT(Danh_Sach!$N$2),0))=0,"",MONTH(INDEX(INDIRECT(Danh_Sach!$N$1),ROWS($B$14:$B14),MATCH(AM$13,INDIRECT(Danh_Sach!$N$2),0))))</f>
        <v/>
      </c>
      <c r="AN14" s="3" t="str">
        <f ca="1">IF(INDEX(INDIRECT(Danh_Sach!$N$1),ROWS($B$14:$B14),MATCH(AN$13,INDIRECT(Danh_Sach!$N$2),0))=0,"",MONTH(INDEX(INDIRECT(Danh_Sach!$N$1),ROWS($B$14:$B14),MATCH(AN$13,INDIRECT(Danh_Sach!$N$2),0))))</f>
        <v/>
      </c>
      <c r="AO14" s="3" t="str">
        <f ca="1">IF(INDEX(INDIRECT(Danh_Sach!$N$1),ROWS($B$14:$B14),MATCH(AO$13,INDIRECT(Danh_Sach!$N$2),0))=0,"",MONTH(INDEX(INDIRECT(Danh_Sach!$N$1),ROWS($B$14:$B14),MATCH(AO$13,INDIRECT(Danh_Sach!$N$2),0))))</f>
        <v/>
      </c>
    </row>
    <row r="15" spans="1:41" x14ac:dyDescent="0.45">
      <c r="A15" s="5">
        <f ca="1">IF(B15&lt;&gt;"",SUBTOTAL(3,$B$14:B15),"")</f>
        <v>2</v>
      </c>
      <c r="B15" s="3">
        <f ca="1">INDEX(INDIRECT(Danh_Sach!$N$1),ROWS($B$14:$B15),MATCH(B$13,INDIRECT(Danh_Sach!$N$2),0))</f>
        <v>0</v>
      </c>
      <c r="C15" s="5">
        <f ca="1">INDEX(INDIRECT(Danh_Sach!$N$1),ROWS($B$14:$B15),MATCH(C$13,INDIRECT(Danh_Sach!$N$2),0))</f>
        <v>0</v>
      </c>
      <c r="D15" s="5">
        <f ca="1">INDEX(INDIRECT(Danh_Sach!$N$1),ROWS($B$14:$B15),MATCH(D$13,INDIRECT(Danh_Sach!$N$2),0))</f>
        <v>0</v>
      </c>
      <c r="E15" s="5">
        <f ca="1">INDEX(INDIRECT(Danh_Sach!$N$1),ROWS($B$14:$B15),MATCH(E$13,INDIRECT(Danh_Sach!$N$2),0))</f>
        <v>0</v>
      </c>
      <c r="F15" s="5">
        <f t="array" aca="1" ref="F15" ca="1">INDEX(INDIRECT(NPT!$W$1),ROWS($B$14:B15),MATCH($C$1,INDIRECT(NPT!$W$2),0))</f>
        <v>0</v>
      </c>
      <c r="G15" s="11">
        <f ca="1">IF(AND($G$12="Link",H15&lt;&gt;0),H15,INDEX(INDIRECT(Danh_Sach!$N$1),ROWS($B$14:$B15),MATCH(G$13,INDIRECT(Danh_Sach!$N$2),0)))</f>
        <v>0</v>
      </c>
      <c r="H15" s="11">
        <f ca="1">IFERROR(INDEX(INDIRECT(BaoHiem!$A$3),ROWS($B$14:$B15),MATCH($C$1,INDIRECT(BaoHiem!$A$4),0)),0)</f>
        <v>0</v>
      </c>
      <c r="I15" s="72">
        <f t="array" aca="1" ref="I15" ca="1">INDEX(INDIRECT(Cham_Cong!$T$3),ROWS($B$14:B15),MATCH($C$1,INDIRECT(Cham_Cong!$T$4),0))</f>
        <v>0</v>
      </c>
      <c r="J15" s="11">
        <f ca="1">G15/$J$12*I15</f>
        <v>0</v>
      </c>
      <c r="K15" s="11">
        <f ca="1">IF(I15&gt;0,$K$12,0)</f>
        <v>0</v>
      </c>
      <c r="L15" s="11"/>
      <c r="M15" s="22">
        <f ca="1">IF(I15=0,0,$M$12*L15)</f>
        <v>0</v>
      </c>
      <c r="N15" s="11">
        <f ca="1">IF(I15&gt;0,$N$12,0)</f>
        <v>0</v>
      </c>
      <c r="P15" s="22">
        <f ca="1">IF(I15=0,0,ROUND(O15*$O$12*(G15/$J$12/8),0))</f>
        <v>0</v>
      </c>
      <c r="R15" s="11">
        <f t="shared" ref="R15" ca="1" si="4">IF(I15&gt;0,$R$12*Q15,0)</f>
        <v>0</v>
      </c>
      <c r="S15" s="11"/>
      <c r="V15" s="11">
        <f ca="1">IF(I15=0,0,SUMIF($J$13:$U$13,"i_gross",J15:U15))</f>
        <v>0</v>
      </c>
      <c r="W15" s="22">
        <f ca="1">K15</f>
        <v>0</v>
      </c>
      <c r="X15" s="22">
        <f ca="1">M15+N15</f>
        <v>0</v>
      </c>
      <c r="Y15" s="22">
        <f>U15</f>
        <v>0</v>
      </c>
      <c r="Z15" s="22">
        <f ca="1">P15-P15/$O$12</f>
        <v>0</v>
      </c>
      <c r="AA15" s="22">
        <f ca="1">SUM(W15:Z15)</f>
        <v>0</v>
      </c>
      <c r="AB15" s="22">
        <f ca="1">IF(I15=0,0,V15-AA15)</f>
        <v>0</v>
      </c>
      <c r="AC15" s="22">
        <f ca="1">IF(AB15&gt;0,$AC$12,0)</f>
        <v>0</v>
      </c>
      <c r="AD15" s="22">
        <f ca="1">$AD$12*F15</f>
        <v>0</v>
      </c>
      <c r="AE15" s="22">
        <f ca="1">IF(AB15&gt;0,IF(ISNA(VLOOKUP(C15,Info!$C$22:$D$303,2,0))=FALSE,H15*1.5%,H15*$AE$12),0)</f>
        <v>0</v>
      </c>
      <c r="AH15" s="22">
        <f ca="1">MAX(AB15-SUM(AC15:AG15),0)</f>
        <v>0</v>
      </c>
      <c r="AI15" s="22">
        <f ca="1">IF(AH15&gt;0,(AH15-VLOOKUP(AH15-1,INDIRECT(TAXRATE!$E$1),1,1))*VLOOKUP(AH15,INDIRECT(TAXRATE!$E$1),2,1)+VLOOKUP(AH15-1,INDIRECT(TAXRATE!$E$1),3,1),0)</f>
        <v>0</v>
      </c>
      <c r="AJ15" s="22">
        <f ca="1">V15-AI15-AE15-AF15-AG15</f>
        <v>0</v>
      </c>
      <c r="AL15" s="3" t="str">
        <f ca="1">IF(INDEX(INDIRECT(Danh_Sach!$N$1),ROWS($B$14:$B15),MATCH(AL$13,INDIRECT(Danh_Sach!$N$2),0))=0,"",MONTH(INDEX(INDIRECT(Danh_Sach!$N$1),ROWS($B$14:$B15),MATCH(AL$13,INDIRECT(Danh_Sach!$N$2),0))))</f>
        <v/>
      </c>
      <c r="AM15" s="3" t="str">
        <f ca="1">IF(INDEX(INDIRECT(Danh_Sach!$N$1),ROWS($B$14:$B15),MATCH(AM$13,INDIRECT(Danh_Sach!$N$2),0))=0,"",MONTH(INDEX(INDIRECT(Danh_Sach!$N$1),ROWS($B$14:$B15),MATCH(AM$13,INDIRECT(Danh_Sach!$N$2),0))))</f>
        <v/>
      </c>
      <c r="AN15" s="3" t="str">
        <f ca="1">IF(INDEX(INDIRECT(Danh_Sach!$N$1),ROWS($B$14:$B15),MATCH(AN$13,INDIRECT(Danh_Sach!$N$2),0))=0,"",MONTH(INDEX(INDIRECT(Danh_Sach!$N$1),ROWS($B$14:$B15),MATCH(AN$13,INDIRECT(Danh_Sach!$N$2),0))))</f>
        <v/>
      </c>
      <c r="AO15" s="3" t="str">
        <f ca="1">IF(INDEX(INDIRECT(Danh_Sach!$N$1),ROWS($B$14:$B15),MATCH(AO$13,INDIRECT(Danh_Sach!$N$2),0))=0,"",MONTH(INDEX(INDIRECT(Danh_Sach!$N$1),ROWS($B$14:$B15),MATCH(AO$13,INDIRECT(Danh_Sach!$N$2),0))))</f>
        <v/>
      </c>
    </row>
    <row r="16" spans="1:41" x14ac:dyDescent="0.45">
      <c r="A16" s="5"/>
      <c r="E16" s="5"/>
      <c r="F16" s="5"/>
      <c r="G16" s="11"/>
      <c r="H16" s="11"/>
      <c r="I16" s="72"/>
      <c r="J16" s="11"/>
      <c r="K16" s="11"/>
      <c r="L16" s="11"/>
      <c r="M16" s="22"/>
      <c r="N16" s="11"/>
      <c r="P16" s="22"/>
      <c r="R16" s="11"/>
      <c r="S16" s="11"/>
      <c r="V16" s="11"/>
      <c r="W16" s="22"/>
      <c r="X16" s="22"/>
      <c r="Y16" s="22"/>
      <c r="Z16" s="22"/>
      <c r="AA16" s="22"/>
      <c r="AB16" s="22"/>
      <c r="AC16" s="22"/>
      <c r="AD16" s="22"/>
      <c r="AE16" s="22"/>
      <c r="AH16" s="22"/>
      <c r="AI16" s="22"/>
      <c r="AJ16" s="22"/>
    </row>
    <row r="17" spans="1:36" x14ac:dyDescent="0.45">
      <c r="A17" s="5"/>
      <c r="E17" s="5"/>
      <c r="F17" s="5"/>
      <c r="G17" s="11"/>
      <c r="H17" s="11"/>
      <c r="I17" s="72"/>
      <c r="J17" s="11"/>
      <c r="K17" s="11"/>
      <c r="L17" s="11"/>
      <c r="M17" s="22"/>
      <c r="N17" s="11"/>
      <c r="P17" s="22"/>
      <c r="R17" s="11"/>
      <c r="S17" s="11"/>
      <c r="V17" s="11"/>
      <c r="W17" s="22"/>
      <c r="X17" s="22"/>
      <c r="Y17" s="22"/>
      <c r="Z17" s="22"/>
      <c r="AA17" s="22"/>
      <c r="AB17" s="22"/>
      <c r="AC17" s="22"/>
      <c r="AD17" s="22"/>
      <c r="AE17" s="22"/>
      <c r="AH17" s="22"/>
      <c r="AI17" s="22"/>
      <c r="AJ17" s="22"/>
    </row>
    <row r="18" spans="1:36" x14ac:dyDescent="0.45">
      <c r="A18" s="5"/>
      <c r="E18" s="5"/>
      <c r="F18" s="5"/>
      <c r="G18" s="11"/>
      <c r="H18" s="11"/>
      <c r="I18" s="72"/>
      <c r="J18" s="11"/>
      <c r="K18" s="11"/>
      <c r="L18" s="11"/>
      <c r="M18" s="22"/>
      <c r="N18" s="11"/>
      <c r="P18" s="22"/>
      <c r="R18" s="11"/>
      <c r="S18" s="11"/>
      <c r="V18" s="11"/>
      <c r="W18" s="22"/>
      <c r="X18" s="22"/>
      <c r="Y18" s="22"/>
      <c r="Z18" s="22"/>
      <c r="AA18" s="22"/>
      <c r="AB18" s="22"/>
      <c r="AC18" s="22"/>
      <c r="AD18" s="22"/>
      <c r="AE18" s="22"/>
      <c r="AH18" s="22"/>
      <c r="AI18" s="22"/>
      <c r="AJ18" s="22"/>
    </row>
    <row r="19" spans="1:36" x14ac:dyDescent="0.45">
      <c r="A19" s="5"/>
      <c r="E19" s="5"/>
      <c r="F19" s="5"/>
      <c r="G19" s="11"/>
      <c r="H19" s="11"/>
      <c r="I19" s="72"/>
      <c r="J19" s="11"/>
      <c r="K19" s="11"/>
      <c r="L19" s="11"/>
      <c r="M19" s="22"/>
      <c r="N19" s="11"/>
      <c r="P19" s="22"/>
      <c r="R19" s="11"/>
      <c r="S19" s="11"/>
      <c r="V19" s="11"/>
      <c r="W19" s="22"/>
      <c r="X19" s="22"/>
      <c r="Y19" s="22"/>
      <c r="Z19" s="22"/>
      <c r="AA19" s="22"/>
      <c r="AB19" s="22"/>
      <c r="AC19" s="22"/>
      <c r="AD19" s="22"/>
      <c r="AE19" s="22"/>
      <c r="AH19" s="22"/>
      <c r="AI19" s="22"/>
      <c r="AJ19" s="22"/>
    </row>
    <row r="20" spans="1:36" x14ac:dyDescent="0.45">
      <c r="A20" s="5"/>
      <c r="E20" s="5"/>
      <c r="F20" s="5"/>
      <c r="G20" s="11"/>
      <c r="H20" s="11"/>
      <c r="I20" s="72"/>
      <c r="J20" s="11"/>
      <c r="K20" s="11"/>
      <c r="L20" s="11"/>
      <c r="M20" s="22"/>
      <c r="N20" s="11"/>
      <c r="P20" s="22"/>
      <c r="R20" s="11"/>
      <c r="S20" s="11"/>
      <c r="V20" s="11"/>
      <c r="W20" s="22"/>
      <c r="X20" s="22"/>
      <c r="Y20" s="22"/>
      <c r="Z20" s="22"/>
      <c r="AA20" s="22"/>
      <c r="AB20" s="22"/>
      <c r="AC20" s="22"/>
      <c r="AD20" s="22"/>
      <c r="AE20" s="22"/>
      <c r="AH20" s="22"/>
      <c r="AI20" s="22"/>
      <c r="AJ20" s="22"/>
    </row>
    <row r="21" spans="1:36" x14ac:dyDescent="0.45">
      <c r="A21" s="5"/>
      <c r="E21" s="5"/>
      <c r="F21" s="5"/>
      <c r="G21" s="11"/>
      <c r="H21" s="11"/>
      <c r="I21" s="72"/>
      <c r="J21" s="11"/>
      <c r="K21" s="11"/>
      <c r="L21" s="11"/>
      <c r="M21" s="22"/>
      <c r="N21" s="11"/>
      <c r="P21" s="22"/>
      <c r="R21" s="11"/>
      <c r="S21" s="11"/>
      <c r="V21" s="11"/>
      <c r="W21" s="22"/>
      <c r="X21" s="22"/>
      <c r="Y21" s="22"/>
      <c r="Z21" s="22"/>
      <c r="AA21" s="22"/>
      <c r="AB21" s="22"/>
      <c r="AC21" s="22"/>
      <c r="AD21" s="22"/>
      <c r="AE21" s="22"/>
      <c r="AH21" s="22"/>
      <c r="AI21" s="22"/>
      <c r="AJ21" s="22"/>
    </row>
    <row r="22" spans="1:36" x14ac:dyDescent="0.45">
      <c r="A22" s="5"/>
      <c r="E22" s="5"/>
      <c r="F22" s="5"/>
      <c r="G22" s="11"/>
      <c r="H22" s="11"/>
      <c r="I22" s="72"/>
      <c r="J22" s="11"/>
      <c r="K22" s="11"/>
      <c r="L22" s="11"/>
      <c r="M22" s="22"/>
      <c r="N22" s="11"/>
      <c r="P22" s="22"/>
      <c r="R22" s="11"/>
      <c r="S22" s="11"/>
      <c r="V22" s="11"/>
      <c r="W22" s="22"/>
      <c r="X22" s="22"/>
      <c r="Y22" s="22"/>
      <c r="Z22" s="22"/>
      <c r="AA22" s="22"/>
      <c r="AB22" s="22"/>
      <c r="AC22" s="22"/>
      <c r="AD22" s="22"/>
      <c r="AE22" s="22"/>
      <c r="AH22" s="22"/>
      <c r="AI22" s="22"/>
      <c r="AJ22" s="22"/>
    </row>
    <row r="23" spans="1:36" x14ac:dyDescent="0.45">
      <c r="A23" s="5"/>
      <c r="E23" s="5"/>
      <c r="F23" s="5"/>
      <c r="G23" s="11"/>
      <c r="H23" s="11"/>
      <c r="I23" s="72"/>
      <c r="J23" s="11"/>
      <c r="K23" s="11"/>
      <c r="L23" s="11"/>
      <c r="M23" s="22"/>
      <c r="N23" s="11"/>
      <c r="P23" s="22"/>
      <c r="R23" s="11"/>
      <c r="S23" s="11"/>
      <c r="V23" s="11"/>
      <c r="W23" s="22"/>
      <c r="X23" s="22"/>
      <c r="Y23" s="22"/>
      <c r="Z23" s="22"/>
      <c r="AA23" s="22"/>
      <c r="AB23" s="22"/>
      <c r="AC23" s="22"/>
      <c r="AD23" s="22"/>
      <c r="AE23" s="22"/>
      <c r="AH23" s="22"/>
      <c r="AI23" s="22"/>
      <c r="AJ23" s="22"/>
    </row>
    <row r="24" spans="1:36" x14ac:dyDescent="0.45">
      <c r="A24" s="5"/>
      <c r="E24" s="5"/>
      <c r="F24" s="5"/>
      <c r="G24" s="11"/>
      <c r="H24" s="11"/>
      <c r="I24" s="72"/>
      <c r="J24" s="11"/>
      <c r="K24" s="11"/>
      <c r="L24" s="11"/>
      <c r="M24" s="22"/>
      <c r="N24" s="11"/>
      <c r="P24" s="22"/>
      <c r="R24" s="11"/>
      <c r="S24" s="11"/>
      <c r="V24" s="11"/>
      <c r="W24" s="22"/>
      <c r="X24" s="22"/>
      <c r="Y24" s="22"/>
      <c r="Z24" s="22"/>
      <c r="AA24" s="22"/>
      <c r="AB24" s="22"/>
      <c r="AC24" s="22"/>
      <c r="AD24" s="22"/>
      <c r="AE24" s="22"/>
      <c r="AH24" s="22"/>
      <c r="AI24" s="22"/>
      <c r="AJ24" s="22"/>
    </row>
    <row r="25" spans="1:36" x14ac:dyDescent="0.45">
      <c r="A25" s="5"/>
      <c r="E25" s="5"/>
      <c r="F25" s="5"/>
      <c r="G25" s="11"/>
      <c r="H25" s="11"/>
      <c r="I25" s="72"/>
      <c r="J25" s="11"/>
      <c r="K25" s="11"/>
      <c r="L25" s="11"/>
      <c r="M25" s="22"/>
      <c r="N25" s="11"/>
      <c r="P25" s="22"/>
      <c r="R25" s="11"/>
      <c r="S25" s="11"/>
      <c r="V25" s="11"/>
      <c r="W25" s="22"/>
      <c r="X25" s="22"/>
      <c r="Y25" s="22"/>
      <c r="Z25" s="22"/>
      <c r="AA25" s="22"/>
      <c r="AB25" s="22"/>
      <c r="AC25" s="22"/>
      <c r="AD25" s="22"/>
      <c r="AE25" s="22"/>
      <c r="AH25" s="22"/>
      <c r="AI25" s="22"/>
      <c r="AJ25" s="22"/>
    </row>
    <row r="26" spans="1:36" x14ac:dyDescent="0.45">
      <c r="A26" s="5"/>
      <c r="E26" s="5"/>
      <c r="F26" s="5"/>
      <c r="G26" s="11"/>
      <c r="H26" s="11"/>
      <c r="I26" s="72"/>
      <c r="J26" s="11"/>
      <c r="K26" s="11"/>
      <c r="L26" s="11"/>
      <c r="M26" s="22"/>
      <c r="N26" s="11"/>
      <c r="P26" s="22"/>
      <c r="R26" s="11"/>
      <c r="S26" s="11"/>
      <c r="V26" s="11"/>
      <c r="W26" s="22"/>
      <c r="X26" s="22"/>
      <c r="Y26" s="22"/>
      <c r="Z26" s="22"/>
      <c r="AA26" s="22"/>
      <c r="AB26" s="22"/>
      <c r="AC26" s="22"/>
      <c r="AD26" s="22"/>
      <c r="AE26" s="22"/>
      <c r="AH26" s="22"/>
      <c r="AI26" s="22"/>
      <c r="AJ26" s="22"/>
    </row>
    <row r="27" spans="1:36" x14ac:dyDescent="0.45">
      <c r="A27" s="5"/>
      <c r="E27" s="5"/>
      <c r="F27" s="5"/>
      <c r="G27" s="11"/>
      <c r="H27" s="11"/>
      <c r="I27" s="72"/>
      <c r="J27" s="11"/>
      <c r="K27" s="11"/>
      <c r="L27" s="11"/>
      <c r="M27" s="22"/>
      <c r="N27" s="11"/>
      <c r="P27" s="22"/>
      <c r="R27" s="11"/>
      <c r="S27" s="11"/>
      <c r="V27" s="11"/>
      <c r="W27" s="22"/>
      <c r="X27" s="22"/>
      <c r="Y27" s="22"/>
      <c r="Z27" s="22"/>
      <c r="AA27" s="22"/>
      <c r="AB27" s="22"/>
      <c r="AC27" s="22"/>
      <c r="AD27" s="22"/>
      <c r="AE27" s="22"/>
      <c r="AH27" s="22"/>
      <c r="AI27" s="22"/>
      <c r="AJ27" s="22"/>
    </row>
    <row r="28" spans="1:36" x14ac:dyDescent="0.45">
      <c r="A28" s="5"/>
      <c r="E28" s="5"/>
      <c r="F28" s="5"/>
      <c r="G28" s="11"/>
      <c r="H28" s="11"/>
      <c r="I28" s="72"/>
      <c r="J28" s="11"/>
      <c r="K28" s="11"/>
      <c r="L28" s="11"/>
      <c r="M28" s="22"/>
      <c r="N28" s="11"/>
      <c r="P28" s="22"/>
      <c r="R28" s="11"/>
      <c r="S28" s="11"/>
      <c r="V28" s="11"/>
      <c r="W28" s="22"/>
      <c r="X28" s="22"/>
      <c r="Y28" s="22"/>
      <c r="Z28" s="22"/>
      <c r="AA28" s="22"/>
      <c r="AB28" s="22"/>
      <c r="AC28" s="22"/>
      <c r="AD28" s="22"/>
      <c r="AE28" s="22"/>
      <c r="AH28" s="22"/>
      <c r="AI28" s="22"/>
      <c r="AJ28" s="22"/>
    </row>
    <row r="29" spans="1:36" x14ac:dyDescent="0.45">
      <c r="A29" s="5"/>
      <c r="E29" s="5"/>
      <c r="F29" s="5"/>
      <c r="G29" s="11"/>
      <c r="H29" s="11"/>
      <c r="I29" s="72"/>
      <c r="J29" s="11"/>
      <c r="K29" s="11"/>
      <c r="L29" s="11"/>
      <c r="M29" s="22"/>
      <c r="N29" s="11"/>
      <c r="P29" s="22"/>
      <c r="R29" s="11"/>
      <c r="S29" s="11"/>
      <c r="V29" s="11"/>
      <c r="W29" s="22"/>
      <c r="X29" s="22"/>
      <c r="Y29" s="22"/>
      <c r="Z29" s="22"/>
      <c r="AA29" s="22"/>
      <c r="AB29" s="22"/>
      <c r="AC29" s="22"/>
      <c r="AD29" s="22"/>
      <c r="AE29" s="22"/>
      <c r="AH29" s="22"/>
      <c r="AI29" s="22"/>
      <c r="AJ29" s="22"/>
    </row>
    <row r="30" spans="1:36" x14ac:dyDescent="0.45">
      <c r="A30" s="5"/>
      <c r="E30" s="5"/>
      <c r="F30" s="5"/>
      <c r="G30" s="11"/>
      <c r="H30" s="11"/>
      <c r="I30" s="72"/>
      <c r="J30" s="11"/>
      <c r="K30" s="11"/>
      <c r="L30" s="11"/>
      <c r="M30" s="22"/>
      <c r="N30" s="11"/>
      <c r="P30" s="22"/>
      <c r="R30" s="11"/>
      <c r="S30" s="11"/>
      <c r="V30" s="11"/>
      <c r="W30" s="22"/>
      <c r="X30" s="22"/>
      <c r="Y30" s="22"/>
      <c r="Z30" s="22"/>
      <c r="AA30" s="22"/>
      <c r="AB30" s="22"/>
      <c r="AC30" s="22"/>
      <c r="AD30" s="22"/>
      <c r="AE30" s="22"/>
      <c r="AH30" s="22"/>
      <c r="AI30" s="22"/>
      <c r="AJ30" s="22"/>
    </row>
    <row r="31" spans="1:36" x14ac:dyDescent="0.45">
      <c r="A31" s="5"/>
      <c r="E31" s="5"/>
      <c r="F31" s="5"/>
      <c r="G31" s="11"/>
      <c r="H31" s="11"/>
      <c r="I31" s="72"/>
      <c r="J31" s="11"/>
      <c r="K31" s="11"/>
      <c r="L31" s="11"/>
      <c r="M31" s="22"/>
      <c r="N31" s="11"/>
      <c r="P31" s="22"/>
      <c r="R31" s="11"/>
      <c r="S31" s="11"/>
      <c r="V31" s="11"/>
      <c r="W31" s="22"/>
      <c r="X31" s="22"/>
      <c r="Y31" s="22"/>
      <c r="Z31" s="22"/>
      <c r="AA31" s="22"/>
      <c r="AB31" s="22"/>
      <c r="AC31" s="22"/>
      <c r="AD31" s="22"/>
      <c r="AE31" s="22"/>
      <c r="AH31" s="22"/>
      <c r="AI31" s="22"/>
      <c r="AJ31" s="22"/>
    </row>
    <row r="32" spans="1:36" x14ac:dyDescent="0.45">
      <c r="A32" s="5"/>
      <c r="E32" s="5"/>
      <c r="F32" s="5"/>
      <c r="G32" s="11"/>
      <c r="H32" s="11"/>
      <c r="I32" s="72"/>
      <c r="J32" s="11"/>
      <c r="K32" s="11"/>
      <c r="L32" s="11"/>
      <c r="M32" s="22"/>
      <c r="N32" s="11"/>
      <c r="P32" s="22"/>
      <c r="R32" s="11"/>
      <c r="S32" s="11"/>
      <c r="V32" s="11"/>
      <c r="W32" s="22"/>
      <c r="X32" s="22"/>
      <c r="Y32" s="22"/>
      <c r="Z32" s="22"/>
      <c r="AA32" s="22"/>
      <c r="AB32" s="22"/>
      <c r="AC32" s="22"/>
      <c r="AD32" s="22"/>
      <c r="AE32" s="22"/>
      <c r="AH32" s="22"/>
      <c r="AI32" s="22"/>
      <c r="AJ32" s="22"/>
    </row>
    <row r="33" spans="1:36" x14ac:dyDescent="0.45">
      <c r="A33" s="5"/>
      <c r="E33" s="5"/>
      <c r="F33" s="5"/>
      <c r="G33" s="11"/>
      <c r="H33" s="11"/>
      <c r="I33" s="72"/>
      <c r="J33" s="11"/>
      <c r="K33" s="11"/>
      <c r="L33" s="11"/>
      <c r="M33" s="22"/>
      <c r="N33" s="11"/>
      <c r="P33" s="22"/>
      <c r="R33" s="11"/>
      <c r="S33" s="11"/>
      <c r="V33" s="11"/>
      <c r="W33" s="22"/>
      <c r="X33" s="22"/>
      <c r="Y33" s="22"/>
      <c r="Z33" s="22"/>
      <c r="AA33" s="22"/>
      <c r="AB33" s="22"/>
      <c r="AC33" s="22"/>
      <c r="AD33" s="22"/>
      <c r="AE33" s="22"/>
      <c r="AH33" s="22"/>
      <c r="AI33" s="22"/>
      <c r="AJ33" s="22"/>
    </row>
    <row r="34" spans="1:36" x14ac:dyDescent="0.45">
      <c r="A34" s="5"/>
      <c r="E34" s="5"/>
      <c r="F34" s="5"/>
      <c r="G34" s="11"/>
      <c r="H34" s="11"/>
      <c r="I34" s="72"/>
      <c r="J34" s="11"/>
      <c r="K34" s="11"/>
      <c r="L34" s="11"/>
      <c r="M34" s="22"/>
      <c r="N34" s="11"/>
      <c r="P34" s="22"/>
      <c r="R34" s="11"/>
      <c r="S34" s="11"/>
      <c r="V34" s="11"/>
      <c r="W34" s="22"/>
      <c r="X34" s="22"/>
      <c r="Y34" s="22"/>
      <c r="Z34" s="22"/>
      <c r="AA34" s="22"/>
      <c r="AB34" s="22"/>
      <c r="AC34" s="22"/>
      <c r="AD34" s="22"/>
      <c r="AE34" s="22"/>
      <c r="AH34" s="22"/>
      <c r="AI34" s="22"/>
      <c r="AJ34" s="22"/>
    </row>
    <row r="35" spans="1:36" x14ac:dyDescent="0.45">
      <c r="A35" s="5"/>
      <c r="E35" s="5"/>
      <c r="F35" s="5"/>
      <c r="G35" s="11"/>
      <c r="H35" s="11"/>
      <c r="I35" s="72"/>
      <c r="J35" s="11"/>
      <c r="K35" s="11"/>
      <c r="L35" s="11"/>
      <c r="M35" s="22"/>
      <c r="N35" s="11"/>
      <c r="P35" s="22"/>
      <c r="R35" s="11"/>
      <c r="S35" s="11"/>
      <c r="V35" s="11"/>
      <c r="W35" s="22"/>
      <c r="X35" s="22"/>
      <c r="Y35" s="22"/>
      <c r="Z35" s="22"/>
      <c r="AA35" s="22"/>
      <c r="AB35" s="22"/>
      <c r="AC35" s="22"/>
      <c r="AD35" s="22"/>
      <c r="AE35" s="22"/>
      <c r="AH35" s="22"/>
      <c r="AI35" s="22"/>
      <c r="AJ35" s="22"/>
    </row>
    <row r="36" spans="1:36" x14ac:dyDescent="0.45">
      <c r="A36" s="5"/>
      <c r="E36" s="5"/>
      <c r="F36" s="5"/>
      <c r="G36" s="11"/>
      <c r="H36" s="11"/>
      <c r="I36" s="72"/>
      <c r="J36" s="11"/>
      <c r="K36" s="11"/>
      <c r="L36" s="11"/>
      <c r="M36" s="22"/>
      <c r="N36" s="11"/>
      <c r="P36" s="22"/>
      <c r="R36" s="11"/>
      <c r="S36" s="11"/>
      <c r="V36" s="11"/>
      <c r="W36" s="22"/>
      <c r="X36" s="22"/>
      <c r="Y36" s="22"/>
      <c r="Z36" s="22"/>
      <c r="AA36" s="22"/>
      <c r="AB36" s="22"/>
      <c r="AC36" s="22"/>
      <c r="AD36" s="22"/>
      <c r="AE36" s="22"/>
      <c r="AH36" s="22"/>
      <c r="AI36" s="22"/>
      <c r="AJ36" s="22"/>
    </row>
    <row r="37" spans="1:36" x14ac:dyDescent="0.45">
      <c r="A37" s="5"/>
      <c r="E37" s="5"/>
      <c r="F37" s="5"/>
      <c r="G37" s="11"/>
      <c r="H37" s="11"/>
      <c r="I37" s="72"/>
      <c r="J37" s="11"/>
      <c r="K37" s="11"/>
      <c r="L37" s="11"/>
      <c r="M37" s="22"/>
      <c r="N37" s="11"/>
      <c r="P37" s="22"/>
      <c r="R37" s="11"/>
      <c r="S37" s="11"/>
      <c r="V37" s="11"/>
      <c r="W37" s="22"/>
      <c r="X37" s="22"/>
      <c r="Y37" s="22"/>
      <c r="Z37" s="22"/>
      <c r="AA37" s="22"/>
      <c r="AB37" s="22"/>
      <c r="AC37" s="22"/>
      <c r="AD37" s="22"/>
      <c r="AE37" s="22"/>
      <c r="AH37" s="22"/>
      <c r="AI37" s="22"/>
      <c r="AJ37" s="22"/>
    </row>
    <row r="38" spans="1:36" x14ac:dyDescent="0.45">
      <c r="A38" s="5"/>
      <c r="E38" s="5"/>
      <c r="F38" s="5"/>
      <c r="G38" s="11"/>
      <c r="H38" s="11"/>
      <c r="I38" s="72"/>
      <c r="J38" s="11"/>
      <c r="K38" s="11"/>
      <c r="L38" s="11"/>
      <c r="M38" s="22"/>
      <c r="N38" s="11"/>
      <c r="P38" s="22"/>
      <c r="R38" s="11"/>
      <c r="S38" s="11"/>
      <c r="V38" s="11"/>
      <c r="W38" s="22"/>
      <c r="X38" s="22"/>
      <c r="Y38" s="22"/>
      <c r="Z38" s="22"/>
      <c r="AA38" s="22"/>
      <c r="AB38" s="22"/>
      <c r="AC38" s="22"/>
      <c r="AD38" s="22"/>
      <c r="AE38" s="22"/>
      <c r="AH38" s="22"/>
      <c r="AI38" s="22"/>
      <c r="AJ38" s="22"/>
    </row>
    <row r="39" spans="1:36" x14ac:dyDescent="0.45">
      <c r="A39" s="5"/>
      <c r="E39" s="5"/>
      <c r="F39" s="5"/>
      <c r="G39" s="11"/>
      <c r="H39" s="11"/>
      <c r="I39" s="72"/>
      <c r="J39" s="11"/>
      <c r="K39" s="11"/>
      <c r="M39" s="22"/>
      <c r="N39" s="11"/>
      <c r="P39" s="22"/>
      <c r="R39" s="11"/>
      <c r="S39" s="11"/>
      <c r="V39" s="11"/>
      <c r="W39" s="22"/>
      <c r="X39" s="22"/>
      <c r="Y39" s="22"/>
      <c r="Z39" s="22"/>
      <c r="AA39" s="22"/>
      <c r="AB39" s="22"/>
      <c r="AC39" s="22"/>
      <c r="AD39" s="22"/>
      <c r="AE39" s="22"/>
      <c r="AH39" s="22"/>
      <c r="AI39" s="22"/>
      <c r="AJ39" s="22"/>
    </row>
    <row r="40" spans="1:36" x14ac:dyDescent="0.45">
      <c r="A40" s="5"/>
      <c r="E40" s="5"/>
      <c r="F40" s="5"/>
      <c r="G40" s="11"/>
      <c r="H40" s="11"/>
      <c r="I40" s="72"/>
      <c r="J40" s="11"/>
      <c r="K40" s="11"/>
      <c r="M40" s="22"/>
      <c r="N40" s="11"/>
      <c r="P40" s="22"/>
      <c r="R40" s="11"/>
      <c r="S40" s="11"/>
      <c r="V40" s="11"/>
      <c r="W40" s="22"/>
      <c r="X40" s="22"/>
      <c r="Y40" s="22"/>
      <c r="Z40" s="22"/>
      <c r="AA40" s="22"/>
      <c r="AB40" s="22"/>
      <c r="AC40" s="22"/>
      <c r="AD40" s="22"/>
      <c r="AE40" s="22"/>
      <c r="AH40" s="22"/>
      <c r="AI40" s="22"/>
      <c r="AJ40" s="22"/>
    </row>
    <row r="41" spans="1:36" x14ac:dyDescent="0.45">
      <c r="A41" s="5"/>
      <c r="E41" s="5"/>
      <c r="F41" s="5"/>
      <c r="G41" s="11"/>
      <c r="H41" s="11"/>
      <c r="I41" s="72"/>
      <c r="J41" s="11"/>
      <c r="K41" s="11"/>
      <c r="M41" s="22"/>
      <c r="N41" s="11"/>
      <c r="P41" s="22"/>
      <c r="R41" s="11"/>
      <c r="S41" s="11"/>
      <c r="V41" s="11"/>
      <c r="W41" s="22"/>
      <c r="X41" s="22"/>
      <c r="Y41" s="22"/>
      <c r="Z41" s="22"/>
      <c r="AA41" s="22"/>
      <c r="AB41" s="22"/>
      <c r="AC41" s="22"/>
      <c r="AD41" s="22"/>
      <c r="AE41" s="22"/>
      <c r="AH41" s="22"/>
      <c r="AI41" s="22"/>
      <c r="AJ41" s="22"/>
    </row>
    <row r="42" spans="1:36" x14ac:dyDescent="0.45">
      <c r="A42" s="5"/>
      <c r="E42" s="5"/>
      <c r="F42" s="5"/>
      <c r="G42" s="11"/>
      <c r="H42" s="11"/>
      <c r="I42" s="72"/>
      <c r="J42" s="11"/>
      <c r="K42" s="11"/>
      <c r="M42" s="22"/>
      <c r="N42" s="11"/>
      <c r="P42" s="22"/>
      <c r="R42" s="11"/>
      <c r="S42" s="11"/>
      <c r="V42" s="11"/>
      <c r="W42" s="22"/>
      <c r="X42" s="22"/>
      <c r="Y42" s="22"/>
      <c r="Z42" s="22"/>
      <c r="AA42" s="22"/>
      <c r="AB42" s="22"/>
      <c r="AC42" s="22"/>
      <c r="AD42" s="22"/>
      <c r="AE42" s="22"/>
      <c r="AH42" s="22"/>
      <c r="AI42" s="22"/>
      <c r="AJ42" s="22"/>
    </row>
    <row r="43" spans="1:36" x14ac:dyDescent="0.45">
      <c r="A43" s="5"/>
      <c r="E43" s="5"/>
      <c r="F43" s="5"/>
      <c r="G43" s="11"/>
      <c r="H43" s="11"/>
      <c r="I43" s="72"/>
      <c r="J43" s="11"/>
      <c r="K43" s="11"/>
      <c r="M43" s="22"/>
      <c r="N43" s="11"/>
      <c r="P43" s="22"/>
      <c r="R43" s="11"/>
      <c r="S43" s="11"/>
      <c r="V43" s="11"/>
      <c r="W43" s="22"/>
      <c r="X43" s="22"/>
      <c r="Y43" s="22"/>
      <c r="Z43" s="22"/>
      <c r="AA43" s="22"/>
      <c r="AB43" s="22"/>
      <c r="AC43" s="22"/>
      <c r="AD43" s="22"/>
      <c r="AE43" s="22"/>
      <c r="AH43" s="22"/>
      <c r="AI43" s="22"/>
      <c r="AJ43" s="22"/>
    </row>
    <row r="44" spans="1:36" x14ac:dyDescent="0.45">
      <c r="A44" s="5"/>
      <c r="E44" s="5"/>
      <c r="F44" s="5"/>
      <c r="G44" s="11"/>
      <c r="H44" s="11"/>
      <c r="I44" s="72"/>
      <c r="J44" s="11"/>
      <c r="K44" s="11"/>
      <c r="M44" s="22"/>
      <c r="N44" s="11"/>
      <c r="P44" s="22"/>
      <c r="R44" s="11"/>
      <c r="S44" s="11"/>
      <c r="V44" s="11"/>
      <c r="W44" s="22"/>
      <c r="X44" s="22"/>
      <c r="Y44" s="22"/>
      <c r="Z44" s="22"/>
      <c r="AA44" s="22"/>
      <c r="AB44" s="22"/>
      <c r="AC44" s="22"/>
      <c r="AD44" s="22"/>
      <c r="AE44" s="22"/>
      <c r="AH44" s="22"/>
      <c r="AI44" s="22"/>
      <c r="AJ44" s="22"/>
    </row>
    <row r="45" spans="1:36" x14ac:dyDescent="0.45">
      <c r="A45" s="5"/>
      <c r="E45" s="5"/>
      <c r="F45" s="5"/>
      <c r="G45" s="11"/>
      <c r="H45" s="11"/>
      <c r="I45" s="72"/>
      <c r="J45" s="11"/>
      <c r="K45" s="11"/>
      <c r="M45" s="22"/>
      <c r="N45" s="11"/>
      <c r="P45" s="22"/>
      <c r="R45" s="11"/>
      <c r="S45" s="11"/>
      <c r="V45" s="11"/>
      <c r="W45" s="22"/>
      <c r="X45" s="22"/>
      <c r="Y45" s="22"/>
      <c r="Z45" s="22"/>
      <c r="AA45" s="22"/>
      <c r="AB45" s="22"/>
      <c r="AC45" s="22"/>
      <c r="AD45" s="22"/>
      <c r="AE45" s="22"/>
      <c r="AH45" s="22"/>
      <c r="AI45" s="22"/>
      <c r="AJ45" s="22"/>
    </row>
    <row r="46" spans="1:36" x14ac:dyDescent="0.45">
      <c r="A46" s="5"/>
      <c r="E46" s="5"/>
      <c r="F46" s="5"/>
      <c r="G46" s="11"/>
      <c r="H46" s="11"/>
      <c r="I46" s="72"/>
      <c r="J46" s="11"/>
      <c r="K46" s="11"/>
      <c r="M46" s="22"/>
      <c r="N46" s="11"/>
      <c r="O46" s="3"/>
      <c r="P46" s="22"/>
      <c r="R46" s="11"/>
      <c r="S46" s="11"/>
      <c r="V46" s="11"/>
      <c r="W46" s="22"/>
      <c r="X46" s="22"/>
      <c r="Y46" s="22"/>
      <c r="Z46" s="22"/>
      <c r="AA46" s="22"/>
      <c r="AB46" s="22"/>
      <c r="AC46" s="22"/>
      <c r="AD46" s="22"/>
      <c r="AE46" s="22"/>
      <c r="AH46" s="22"/>
      <c r="AI46" s="22"/>
      <c r="AJ46" s="22"/>
    </row>
    <row r="47" spans="1:36" x14ac:dyDescent="0.45">
      <c r="A47" s="5"/>
      <c r="E47" s="5"/>
      <c r="F47" s="5"/>
      <c r="G47" s="11"/>
      <c r="H47" s="11"/>
      <c r="I47" s="72"/>
      <c r="J47" s="11"/>
      <c r="K47" s="11"/>
      <c r="M47" s="22"/>
      <c r="N47" s="11"/>
      <c r="O47" s="3"/>
      <c r="P47" s="22"/>
      <c r="R47" s="11"/>
      <c r="S47" s="11"/>
      <c r="V47" s="11"/>
      <c r="W47" s="22"/>
      <c r="X47" s="22"/>
      <c r="Y47" s="22"/>
      <c r="Z47" s="22"/>
      <c r="AA47" s="22"/>
      <c r="AB47" s="22"/>
      <c r="AC47" s="22"/>
      <c r="AD47" s="22"/>
      <c r="AE47" s="22"/>
      <c r="AH47" s="22"/>
      <c r="AI47" s="22"/>
      <c r="AJ47" s="22"/>
    </row>
    <row r="48" spans="1:36" x14ac:dyDescent="0.45">
      <c r="A48" s="5"/>
      <c r="E48" s="5"/>
      <c r="F48" s="5"/>
      <c r="G48" s="11"/>
      <c r="H48" s="11"/>
      <c r="I48" s="72"/>
      <c r="J48" s="11"/>
      <c r="K48" s="11"/>
      <c r="M48" s="22"/>
      <c r="N48" s="11"/>
      <c r="O48" s="3"/>
      <c r="P48" s="22"/>
      <c r="R48" s="11"/>
      <c r="S48" s="11"/>
      <c r="V48" s="11"/>
      <c r="W48" s="22"/>
      <c r="X48" s="22"/>
      <c r="Y48" s="22"/>
      <c r="Z48" s="22"/>
      <c r="AA48" s="22"/>
      <c r="AB48" s="22"/>
      <c r="AC48" s="22"/>
      <c r="AD48" s="22"/>
      <c r="AE48" s="22"/>
      <c r="AH48" s="22"/>
      <c r="AI48" s="22"/>
      <c r="AJ48" s="22"/>
    </row>
    <row r="49" spans="1:36" x14ac:dyDescent="0.45">
      <c r="A49" s="5"/>
      <c r="E49" s="5"/>
      <c r="F49" s="5"/>
      <c r="G49" s="11"/>
      <c r="H49" s="11"/>
      <c r="I49" s="72"/>
      <c r="J49" s="11"/>
      <c r="K49" s="11"/>
      <c r="M49" s="22"/>
      <c r="N49" s="11"/>
      <c r="O49" s="3"/>
      <c r="P49" s="22"/>
      <c r="R49" s="11"/>
      <c r="S49" s="11"/>
      <c r="V49" s="11"/>
      <c r="W49" s="22"/>
      <c r="X49" s="22"/>
      <c r="Y49" s="22"/>
      <c r="Z49" s="22"/>
      <c r="AA49" s="22"/>
      <c r="AB49" s="22"/>
      <c r="AC49" s="22"/>
      <c r="AD49" s="22"/>
      <c r="AE49" s="22"/>
      <c r="AH49" s="22"/>
      <c r="AI49" s="22"/>
      <c r="AJ49" s="22"/>
    </row>
    <row r="50" spans="1:36" x14ac:dyDescent="0.45">
      <c r="A50" s="5"/>
      <c r="E50" s="5"/>
      <c r="F50" s="5"/>
      <c r="G50" s="11"/>
      <c r="H50" s="11"/>
      <c r="I50" s="72"/>
      <c r="J50" s="11"/>
      <c r="K50" s="11"/>
      <c r="M50" s="22"/>
      <c r="N50" s="11"/>
      <c r="O50" s="3"/>
      <c r="P50" s="22"/>
      <c r="R50" s="11"/>
      <c r="S50" s="11"/>
      <c r="V50" s="11"/>
      <c r="W50" s="22"/>
      <c r="X50" s="22"/>
      <c r="Y50" s="22"/>
      <c r="Z50" s="22"/>
      <c r="AA50" s="22"/>
      <c r="AB50" s="22"/>
      <c r="AC50" s="22"/>
      <c r="AD50" s="22"/>
      <c r="AE50" s="22"/>
      <c r="AH50" s="22"/>
      <c r="AI50" s="22"/>
      <c r="AJ50" s="22"/>
    </row>
  </sheetData>
  <autoFilter ref="A13:AO50" xr:uid="{00000000-0009-0000-0000-00000B000000}"/>
  <mergeCells count="25">
    <mergeCell ref="H10:H11"/>
    <mergeCell ref="I10:I11"/>
    <mergeCell ref="AE10:AG10"/>
    <mergeCell ref="J10:J11"/>
    <mergeCell ref="L10:M10"/>
    <mergeCell ref="N10:N11"/>
    <mergeCell ref="Q10:R10"/>
    <mergeCell ref="AC10:AD10"/>
    <mergeCell ref="AB10:AB11"/>
    <mergeCell ref="AH10:AH11"/>
    <mergeCell ref="AI10:AI11"/>
    <mergeCell ref="G12:H12"/>
    <mergeCell ref="AC9:AG9"/>
    <mergeCell ref="A10:A11"/>
    <mergeCell ref="B10:B11"/>
    <mergeCell ref="C10:C11"/>
    <mergeCell ref="D10:D11"/>
    <mergeCell ref="E10:E11"/>
    <mergeCell ref="K10:K11"/>
    <mergeCell ref="K9:N9"/>
    <mergeCell ref="O9:P9"/>
    <mergeCell ref="Q9:T9"/>
    <mergeCell ref="W9:AA9"/>
    <mergeCell ref="F10:F11"/>
    <mergeCell ref="G10:G11"/>
  </mergeCells>
  <pageMargins left="0.7" right="0.7" top="0.75" bottom="0.75" header="0.3" footer="0.3"/>
  <pageSetup orientation="portrait" r:id="rId1"/>
  <drawing r:id="rId2"/>
  <legacyDrawing r:id="rId3"/>
  <controls>
    <mc:AlternateContent xmlns:mc="http://schemas.openxmlformats.org/markup-compatibility/2006">
      <mc:Choice Requires="x14">
        <control shapeId="18434" r:id="rId4" name="CommandButton1">
          <controlPr defaultSize="0" autoLine="0" r:id="rId5">
            <anchor moveWithCells="1">
              <from>
                <xdr:col>1</xdr:col>
                <xdr:colOff>95250</xdr:colOff>
                <xdr:row>5</xdr:row>
                <xdr:rowOff>9525</xdr:rowOff>
              </from>
              <to>
                <xdr:col>1</xdr:col>
                <xdr:colOff>1343025</xdr:colOff>
                <xdr:row>6</xdr:row>
                <xdr:rowOff>228600</xdr:rowOff>
              </to>
            </anchor>
          </controlPr>
        </control>
      </mc:Choice>
      <mc:Fallback>
        <control shapeId="18434" r:id="rId4"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hang7"/>
  <dimension ref="A1:AO50"/>
  <sheetViews>
    <sheetView showGridLines="0" topLeftCell="W1" workbookViewId="0">
      <selection activeCell="R28" sqref="R28"/>
    </sheetView>
  </sheetViews>
  <sheetFormatPr defaultColWidth="9.1328125" defaultRowHeight="14.25" x14ac:dyDescent="0.45"/>
  <cols>
    <col min="1" max="1" width="7.59765625" style="3" customWidth="1"/>
    <col min="2" max="2" width="24.1328125" style="3" customWidth="1"/>
    <col min="3" max="3" width="14.59765625" style="5" customWidth="1"/>
    <col min="4" max="4" width="14.86328125" style="5" customWidth="1"/>
    <col min="5" max="5" width="10.265625" style="3" customWidth="1"/>
    <col min="6" max="6" width="8.1328125" style="3" customWidth="1"/>
    <col min="7" max="7" width="14" style="3" customWidth="1"/>
    <col min="8" max="8" width="13.73046875" style="3" customWidth="1"/>
    <col min="9" max="9" width="8.265625" style="44" customWidth="1"/>
    <col min="10" max="10" width="15.1328125" style="3" customWidth="1"/>
    <col min="11" max="11" width="13.73046875" style="3" customWidth="1"/>
    <col min="12" max="12" width="9" style="3" customWidth="1"/>
    <col min="13" max="13" width="14.265625" style="3" customWidth="1"/>
    <col min="14" max="14" width="12.73046875" style="3" customWidth="1"/>
    <col min="15" max="15" width="8.86328125" style="5" customWidth="1"/>
    <col min="16" max="16" width="10.265625" style="3" customWidth="1"/>
    <col min="17" max="17" width="11" style="3" customWidth="1"/>
    <col min="18" max="18" width="12.86328125" style="3" customWidth="1"/>
    <col min="19" max="19" width="13.59765625" style="3" hidden="1" customWidth="1"/>
    <col min="20" max="21" width="12.1328125" style="3" customWidth="1"/>
    <col min="22" max="22" width="16.1328125" style="3" customWidth="1"/>
    <col min="23" max="26" width="13.265625" style="3" customWidth="1"/>
    <col min="27" max="27" width="12.265625" style="3" customWidth="1"/>
    <col min="28" max="28" width="14.73046875" style="3" customWidth="1"/>
    <col min="29" max="29" width="14.265625" style="3" customWidth="1"/>
    <col min="30" max="30" width="12" style="3" customWidth="1"/>
    <col min="31" max="31" width="13.86328125" style="3" customWidth="1"/>
    <col min="32" max="33" width="9.1328125" style="3" hidden="1" customWidth="1"/>
    <col min="34" max="34" width="14" style="3" bestFit="1" customWidth="1"/>
    <col min="35" max="35" width="13" style="3" customWidth="1"/>
    <col min="36" max="37" width="13.73046875" style="3" customWidth="1"/>
    <col min="38" max="41" width="8.1328125" style="3" hidden="1" customWidth="1"/>
    <col min="42" max="16384" width="9.1328125" style="3"/>
  </cols>
  <sheetData>
    <row r="1" spans="1:41" ht="18" customHeight="1" thickBot="1" x14ac:dyDescent="0.5">
      <c r="A1" s="3" t="s">
        <v>376</v>
      </c>
      <c r="B1" s="59" t="s">
        <v>72</v>
      </c>
      <c r="C1" s="6">
        <v>7</v>
      </c>
      <c r="E1" s="376" t="s">
        <v>39</v>
      </c>
      <c r="F1" s="314"/>
      <c r="G1" s="377"/>
      <c r="H1" s="314"/>
      <c r="I1" s="378"/>
      <c r="J1" s="314"/>
      <c r="K1" s="314"/>
      <c r="L1" s="314"/>
      <c r="M1" s="314"/>
      <c r="N1" s="314"/>
      <c r="O1" s="377"/>
      <c r="P1" s="314"/>
      <c r="Q1" s="314"/>
      <c r="R1" s="314"/>
      <c r="S1" s="314"/>
      <c r="T1" s="314"/>
      <c r="U1" s="314"/>
      <c r="V1" s="314"/>
      <c r="W1" s="314"/>
      <c r="X1" s="314"/>
      <c r="Y1" s="314"/>
      <c r="Z1" s="314"/>
      <c r="AA1" s="314"/>
      <c r="AB1" s="314"/>
      <c r="AC1" s="314"/>
      <c r="AD1" s="314"/>
      <c r="AE1" s="314"/>
      <c r="AF1" s="314"/>
      <c r="AG1" s="314"/>
      <c r="AH1" s="314"/>
      <c r="AI1" s="314"/>
      <c r="AJ1" s="314"/>
      <c r="AK1" s="314"/>
      <c r="AL1" s="86"/>
      <c r="AM1" s="86"/>
      <c r="AN1" s="86"/>
      <c r="AO1" s="86"/>
    </row>
    <row r="2" spans="1:41" s="150" customFormat="1" ht="14.25" customHeight="1" thickTop="1" x14ac:dyDescent="0.45">
      <c r="C2" s="70"/>
      <c r="D2" s="70"/>
      <c r="E2" s="379">
        <f t="array" aca="1" ref="E2" ca="1">IFERROR(INDEX(INDIRECT($E$8),MATCH(0,COUNTIF(E$1:$E1,INDIRECT($E$8)&amp;""),0)),"")</f>
        <v>0</v>
      </c>
      <c r="F2" s="380">
        <f t="shared" ref="F2:U6" ca="1" si="0">SUMIFS(F$14:F$1400,$E$14:$E$1400,$E2)</f>
        <v>0</v>
      </c>
      <c r="G2" s="380">
        <f t="shared" ca="1" si="0"/>
        <v>0</v>
      </c>
      <c r="H2" s="380">
        <f t="shared" ca="1" si="0"/>
        <v>0</v>
      </c>
      <c r="I2" s="380"/>
      <c r="J2" s="380">
        <f t="shared" ca="1" si="0"/>
        <v>0</v>
      </c>
      <c r="K2" s="380">
        <f t="shared" ca="1" si="0"/>
        <v>0</v>
      </c>
      <c r="L2" s="380">
        <f t="shared" ca="1" si="0"/>
        <v>0</v>
      </c>
      <c r="M2" s="380">
        <f t="shared" ca="1" si="0"/>
        <v>0</v>
      </c>
      <c r="N2" s="380">
        <f t="shared" ca="1" si="0"/>
        <v>0</v>
      </c>
      <c r="O2" s="381">
        <f t="shared" ca="1" si="0"/>
        <v>0</v>
      </c>
      <c r="P2" s="380">
        <f t="shared" ca="1" si="0"/>
        <v>0</v>
      </c>
      <c r="Q2" s="380">
        <f t="shared" ca="1" si="0"/>
        <v>0</v>
      </c>
      <c r="R2" s="380">
        <f t="shared" ca="1" si="0"/>
        <v>0</v>
      </c>
      <c r="S2" s="380">
        <f t="shared" ca="1" si="0"/>
        <v>0</v>
      </c>
      <c r="T2" s="380">
        <f t="shared" ca="1" si="0"/>
        <v>0</v>
      </c>
      <c r="U2" s="380">
        <f t="shared" ca="1" si="0"/>
        <v>0</v>
      </c>
      <c r="V2" s="380">
        <f t="shared" ref="V2:AJ6" ca="1" si="1">SUMIFS(V$14:V$1400,$E$14:$E$1400,$E2)</f>
        <v>0</v>
      </c>
      <c r="W2" s="380">
        <f t="shared" ca="1" si="1"/>
        <v>0</v>
      </c>
      <c r="X2" s="380">
        <f ca="1">SUMIFS(X$14:X$1400,$E$14:$E$1400,$E2)</f>
        <v>0</v>
      </c>
      <c r="Y2" s="380"/>
      <c r="Z2" s="380">
        <f t="shared" ca="1" si="1"/>
        <v>0</v>
      </c>
      <c r="AA2" s="380">
        <f t="shared" ca="1" si="1"/>
        <v>0</v>
      </c>
      <c r="AB2" s="380">
        <f t="shared" ca="1" si="1"/>
        <v>0</v>
      </c>
      <c r="AC2" s="380">
        <f t="shared" ca="1" si="1"/>
        <v>0</v>
      </c>
      <c r="AD2" s="380">
        <f t="shared" ca="1" si="1"/>
        <v>0</v>
      </c>
      <c r="AE2" s="380">
        <f t="shared" ca="1" si="1"/>
        <v>0</v>
      </c>
      <c r="AF2" s="382">
        <f t="shared" ca="1" si="1"/>
        <v>0</v>
      </c>
      <c r="AG2" s="382">
        <f t="shared" ca="1" si="1"/>
        <v>0</v>
      </c>
      <c r="AH2" s="380">
        <f t="shared" ca="1" si="1"/>
        <v>0</v>
      </c>
      <c r="AI2" s="380">
        <f t="shared" ca="1" si="1"/>
        <v>0</v>
      </c>
      <c r="AJ2" s="380">
        <f t="shared" ca="1" si="1"/>
        <v>0</v>
      </c>
      <c r="AK2" s="383"/>
      <c r="AL2" s="86"/>
      <c r="AM2" s="86"/>
      <c r="AN2" s="86"/>
      <c r="AO2" s="86"/>
    </row>
    <row r="3" spans="1:41" s="150" customFormat="1" ht="14.25" customHeight="1" x14ac:dyDescent="0.45">
      <c r="C3" s="70"/>
      <c r="D3" s="70"/>
      <c r="E3" s="379">
        <f t="array" aca="1" ref="E3" ca="1">IFERROR(INDEX(INDIRECT($E$8),MATCH(0,COUNTIF(E$1:$E2,INDIRECT($E$8)&amp;""),0)),"")</f>
        <v>0</v>
      </c>
      <c r="F3" s="384">
        <f t="shared" ca="1" si="0"/>
        <v>0</v>
      </c>
      <c r="G3" s="384">
        <f t="shared" ca="1" si="0"/>
        <v>0</v>
      </c>
      <c r="H3" s="384">
        <f ca="1">SUMIFS(H$14:H$1400,$E$14:$E$1400,$E3)</f>
        <v>0</v>
      </c>
      <c r="I3" s="384"/>
      <c r="J3" s="384">
        <f t="shared" ca="1" si="0"/>
        <v>0</v>
      </c>
      <c r="K3" s="384">
        <f t="shared" ca="1" si="0"/>
        <v>0</v>
      </c>
      <c r="L3" s="384">
        <f t="shared" ca="1" si="0"/>
        <v>0</v>
      </c>
      <c r="M3" s="384">
        <f t="shared" ca="1" si="0"/>
        <v>0</v>
      </c>
      <c r="N3" s="384">
        <f t="shared" ca="1" si="0"/>
        <v>0</v>
      </c>
      <c r="O3" s="385">
        <f t="shared" ca="1" si="0"/>
        <v>0</v>
      </c>
      <c r="P3" s="384">
        <f t="shared" ca="1" si="0"/>
        <v>0</v>
      </c>
      <c r="Q3" s="384">
        <f t="shared" ca="1" si="0"/>
        <v>0</v>
      </c>
      <c r="R3" s="384">
        <f t="shared" ca="1" si="0"/>
        <v>0</v>
      </c>
      <c r="S3" s="384">
        <f t="shared" ca="1" si="0"/>
        <v>0</v>
      </c>
      <c r="T3" s="384">
        <f t="shared" ca="1" si="0"/>
        <v>0</v>
      </c>
      <c r="U3" s="384">
        <f t="shared" ca="1" si="0"/>
        <v>0</v>
      </c>
      <c r="V3" s="384">
        <f t="shared" ca="1" si="1"/>
        <v>0</v>
      </c>
      <c r="W3" s="384">
        <f t="shared" ca="1" si="1"/>
        <v>0</v>
      </c>
      <c r="X3" s="384">
        <f ca="1">SUMIFS(X$14:X$1400,$E$14:$E$1400,$E3)</f>
        <v>0</v>
      </c>
      <c r="Y3" s="384"/>
      <c r="Z3" s="384">
        <f t="shared" ca="1" si="1"/>
        <v>0</v>
      </c>
      <c r="AA3" s="384">
        <f t="shared" ca="1" si="1"/>
        <v>0</v>
      </c>
      <c r="AB3" s="384">
        <f t="shared" ca="1" si="1"/>
        <v>0</v>
      </c>
      <c r="AC3" s="384">
        <f t="shared" ca="1" si="1"/>
        <v>0</v>
      </c>
      <c r="AD3" s="384">
        <f t="shared" ca="1" si="1"/>
        <v>0</v>
      </c>
      <c r="AE3" s="384">
        <f t="shared" ca="1" si="1"/>
        <v>0</v>
      </c>
      <c r="AF3" s="386">
        <f t="shared" ca="1" si="1"/>
        <v>0</v>
      </c>
      <c r="AG3" s="386">
        <f t="shared" ca="1" si="1"/>
        <v>0</v>
      </c>
      <c r="AH3" s="384">
        <f t="shared" ca="1" si="1"/>
        <v>0</v>
      </c>
      <c r="AI3" s="384">
        <f t="shared" ca="1" si="1"/>
        <v>0</v>
      </c>
      <c r="AJ3" s="384">
        <f t="shared" ca="1" si="1"/>
        <v>0</v>
      </c>
      <c r="AK3" s="387"/>
      <c r="AL3" s="86"/>
      <c r="AM3" s="86"/>
      <c r="AN3" s="86"/>
      <c r="AO3" s="86"/>
    </row>
    <row r="4" spans="1:41" ht="14.25" customHeight="1" x14ac:dyDescent="0.45">
      <c r="E4" s="379">
        <f t="array" aca="1" ref="E4" ca="1">IFERROR(INDEX(INDIRECT($E$8),MATCH(0,COUNTIF(E$1:$E3,INDIRECT($E$8)&amp;""),0)),"")</f>
        <v>0</v>
      </c>
      <c r="F4" s="384">
        <f t="shared" ca="1" si="0"/>
        <v>0</v>
      </c>
      <c r="G4" s="384">
        <f t="shared" ca="1" si="0"/>
        <v>0</v>
      </c>
      <c r="H4" s="384">
        <f t="shared" ca="1" si="0"/>
        <v>0</v>
      </c>
      <c r="I4" s="384"/>
      <c r="J4" s="384">
        <f t="shared" ca="1" si="0"/>
        <v>0</v>
      </c>
      <c r="K4" s="384">
        <f t="shared" ca="1" si="0"/>
        <v>0</v>
      </c>
      <c r="L4" s="384">
        <f t="shared" ca="1" si="0"/>
        <v>0</v>
      </c>
      <c r="M4" s="384">
        <f t="shared" ca="1" si="0"/>
        <v>0</v>
      </c>
      <c r="N4" s="384">
        <f t="shared" ca="1" si="0"/>
        <v>0</v>
      </c>
      <c r="O4" s="385">
        <f t="shared" ca="1" si="0"/>
        <v>0</v>
      </c>
      <c r="P4" s="384">
        <f t="shared" ca="1" si="0"/>
        <v>0</v>
      </c>
      <c r="Q4" s="384">
        <f t="shared" ca="1" si="0"/>
        <v>0</v>
      </c>
      <c r="R4" s="384">
        <f t="shared" ca="1" si="0"/>
        <v>0</v>
      </c>
      <c r="S4" s="384">
        <f t="shared" ca="1" si="0"/>
        <v>0</v>
      </c>
      <c r="T4" s="384">
        <f t="shared" ca="1" si="0"/>
        <v>0</v>
      </c>
      <c r="U4" s="384">
        <f t="shared" ca="1" si="0"/>
        <v>0</v>
      </c>
      <c r="V4" s="384">
        <f t="shared" ca="1" si="1"/>
        <v>0</v>
      </c>
      <c r="W4" s="384">
        <f t="shared" ca="1" si="1"/>
        <v>0</v>
      </c>
      <c r="X4" s="384">
        <f t="shared" ca="1" si="1"/>
        <v>0</v>
      </c>
      <c r="Y4" s="384"/>
      <c r="Z4" s="384">
        <f t="shared" ca="1" si="1"/>
        <v>0</v>
      </c>
      <c r="AA4" s="384">
        <f t="shared" ca="1" si="1"/>
        <v>0</v>
      </c>
      <c r="AB4" s="384">
        <f t="shared" ca="1" si="1"/>
        <v>0</v>
      </c>
      <c r="AC4" s="384">
        <f t="shared" ca="1" si="1"/>
        <v>0</v>
      </c>
      <c r="AD4" s="384">
        <f t="shared" ca="1" si="1"/>
        <v>0</v>
      </c>
      <c r="AE4" s="384">
        <f t="shared" ca="1" si="1"/>
        <v>0</v>
      </c>
      <c r="AF4" s="384">
        <f t="shared" ca="1" si="1"/>
        <v>0</v>
      </c>
      <c r="AG4" s="384">
        <f t="shared" ca="1" si="1"/>
        <v>0</v>
      </c>
      <c r="AH4" s="384">
        <f t="shared" ca="1" si="1"/>
        <v>0</v>
      </c>
      <c r="AI4" s="384">
        <f t="shared" ca="1" si="1"/>
        <v>0</v>
      </c>
      <c r="AJ4" s="384">
        <f t="shared" ca="1" si="1"/>
        <v>0</v>
      </c>
      <c r="AK4" s="387"/>
      <c r="AL4" s="86"/>
      <c r="AM4" s="86"/>
      <c r="AN4" s="86"/>
      <c r="AO4" s="86"/>
    </row>
    <row r="5" spans="1:41" ht="14.25" customHeight="1" x14ac:dyDescent="0.45">
      <c r="E5" s="379">
        <f t="array" aca="1" ref="E5" ca="1">IFERROR(INDEX(INDIRECT($E$8),MATCH(0,COUNTIF(E$1:$E4,INDIRECT($E$8)&amp;""),0)),"")</f>
        <v>0</v>
      </c>
      <c r="F5" s="384">
        <f t="shared" ca="1" si="0"/>
        <v>0</v>
      </c>
      <c r="G5" s="384">
        <f t="shared" ca="1" si="0"/>
        <v>0</v>
      </c>
      <c r="H5" s="384">
        <f t="shared" ca="1" si="0"/>
        <v>0</v>
      </c>
      <c r="I5" s="384"/>
      <c r="J5" s="384">
        <f t="shared" ca="1" si="0"/>
        <v>0</v>
      </c>
      <c r="K5" s="384">
        <f t="shared" ca="1" si="0"/>
        <v>0</v>
      </c>
      <c r="L5" s="384">
        <f t="shared" ca="1" si="0"/>
        <v>0</v>
      </c>
      <c r="M5" s="384">
        <f t="shared" ca="1" si="0"/>
        <v>0</v>
      </c>
      <c r="N5" s="384">
        <f t="shared" ca="1" si="0"/>
        <v>0</v>
      </c>
      <c r="O5" s="385">
        <f t="shared" ca="1" si="0"/>
        <v>0</v>
      </c>
      <c r="P5" s="384">
        <f t="shared" ca="1" si="0"/>
        <v>0</v>
      </c>
      <c r="Q5" s="384">
        <f t="shared" ca="1" si="0"/>
        <v>0</v>
      </c>
      <c r="R5" s="384">
        <f t="shared" ca="1" si="0"/>
        <v>0</v>
      </c>
      <c r="S5" s="384">
        <f t="shared" ca="1" si="0"/>
        <v>0</v>
      </c>
      <c r="T5" s="384">
        <f t="shared" ca="1" si="0"/>
        <v>0</v>
      </c>
      <c r="U5" s="384">
        <f t="shared" ca="1" si="0"/>
        <v>0</v>
      </c>
      <c r="V5" s="384">
        <f t="shared" ca="1" si="1"/>
        <v>0</v>
      </c>
      <c r="W5" s="384">
        <f t="shared" ca="1" si="1"/>
        <v>0</v>
      </c>
      <c r="X5" s="384">
        <f t="shared" ca="1" si="1"/>
        <v>0</v>
      </c>
      <c r="Y5" s="384"/>
      <c r="Z5" s="384">
        <f t="shared" ca="1" si="1"/>
        <v>0</v>
      </c>
      <c r="AA5" s="384">
        <f t="shared" ca="1" si="1"/>
        <v>0</v>
      </c>
      <c r="AB5" s="384">
        <f t="shared" ca="1" si="1"/>
        <v>0</v>
      </c>
      <c r="AC5" s="384">
        <f t="shared" ca="1" si="1"/>
        <v>0</v>
      </c>
      <c r="AD5" s="384">
        <f t="shared" ca="1" si="1"/>
        <v>0</v>
      </c>
      <c r="AE5" s="384">
        <f t="shared" ca="1" si="1"/>
        <v>0</v>
      </c>
      <c r="AF5" s="384">
        <f t="shared" ca="1" si="1"/>
        <v>0</v>
      </c>
      <c r="AG5" s="384">
        <f t="shared" ca="1" si="1"/>
        <v>0</v>
      </c>
      <c r="AH5" s="384">
        <f t="shared" ca="1" si="1"/>
        <v>0</v>
      </c>
      <c r="AI5" s="384">
        <f t="shared" ca="1" si="1"/>
        <v>0</v>
      </c>
      <c r="AJ5" s="384">
        <f t="shared" ca="1" si="1"/>
        <v>0</v>
      </c>
      <c r="AK5" s="387"/>
      <c r="AL5" s="86"/>
      <c r="AM5" s="86"/>
      <c r="AN5" s="86"/>
      <c r="AO5" s="86"/>
    </row>
    <row r="6" spans="1:41" ht="13.5" customHeight="1" x14ac:dyDescent="0.45">
      <c r="E6" s="379">
        <f t="array" aca="1" ref="E6" ca="1">IFERROR(INDEX(INDIRECT($E$8),MATCH(0,COUNTIF(E$1:$E5,INDIRECT($E$8)&amp;""),0)),"")</f>
        <v>0</v>
      </c>
      <c r="F6" s="384">
        <f t="shared" ca="1" si="0"/>
        <v>0</v>
      </c>
      <c r="G6" s="384">
        <f t="shared" ca="1" si="0"/>
        <v>0</v>
      </c>
      <c r="H6" s="384">
        <f t="shared" ca="1" si="0"/>
        <v>0</v>
      </c>
      <c r="I6" s="384"/>
      <c r="J6" s="384">
        <f t="shared" ca="1" si="0"/>
        <v>0</v>
      </c>
      <c r="K6" s="384">
        <f t="shared" ca="1" si="0"/>
        <v>0</v>
      </c>
      <c r="L6" s="384">
        <f t="shared" ca="1" si="0"/>
        <v>0</v>
      </c>
      <c r="M6" s="384">
        <f t="shared" ca="1" si="0"/>
        <v>0</v>
      </c>
      <c r="N6" s="384">
        <f t="shared" ca="1" si="0"/>
        <v>0</v>
      </c>
      <c r="O6" s="385">
        <f t="shared" ca="1" si="0"/>
        <v>0</v>
      </c>
      <c r="P6" s="384">
        <f t="shared" ca="1" si="0"/>
        <v>0</v>
      </c>
      <c r="Q6" s="384">
        <f t="shared" ca="1" si="0"/>
        <v>0</v>
      </c>
      <c r="R6" s="384">
        <f t="shared" ca="1" si="0"/>
        <v>0</v>
      </c>
      <c r="S6" s="384">
        <f t="shared" ca="1" si="0"/>
        <v>0</v>
      </c>
      <c r="T6" s="384">
        <f t="shared" ca="1" si="0"/>
        <v>0</v>
      </c>
      <c r="U6" s="384">
        <f t="shared" ca="1" si="0"/>
        <v>0</v>
      </c>
      <c r="V6" s="384">
        <f t="shared" ca="1" si="1"/>
        <v>0</v>
      </c>
      <c r="W6" s="384">
        <f t="shared" ca="1" si="1"/>
        <v>0</v>
      </c>
      <c r="X6" s="384">
        <f ca="1">SUMIFS(X$14:X$1400,$E$14:$E$1400,$E6)</f>
        <v>0</v>
      </c>
      <c r="Y6" s="384"/>
      <c r="Z6" s="384">
        <f t="shared" ca="1" si="1"/>
        <v>0</v>
      </c>
      <c r="AA6" s="384">
        <f t="shared" ca="1" si="1"/>
        <v>0</v>
      </c>
      <c r="AB6" s="384">
        <f t="shared" ca="1" si="1"/>
        <v>0</v>
      </c>
      <c r="AC6" s="384">
        <f t="shared" ca="1" si="1"/>
        <v>0</v>
      </c>
      <c r="AD6" s="384">
        <f t="shared" ca="1" si="1"/>
        <v>0</v>
      </c>
      <c r="AE6" s="384">
        <f t="shared" ca="1" si="1"/>
        <v>0</v>
      </c>
      <c r="AF6" s="384">
        <f t="shared" ca="1" si="1"/>
        <v>0</v>
      </c>
      <c r="AG6" s="384">
        <f t="shared" ca="1" si="1"/>
        <v>0</v>
      </c>
      <c r="AH6" s="384">
        <f t="shared" ca="1" si="1"/>
        <v>0</v>
      </c>
      <c r="AI6" s="384">
        <f t="shared" ca="1" si="1"/>
        <v>0</v>
      </c>
      <c r="AJ6" s="384">
        <f t="shared" ca="1" si="1"/>
        <v>0</v>
      </c>
      <c r="AK6" s="387"/>
      <c r="AL6" s="86"/>
      <c r="AM6" s="86"/>
      <c r="AN6" s="86"/>
      <c r="AO6" s="86"/>
    </row>
    <row r="7" spans="1:41" s="58" customFormat="1" ht="19.7" customHeight="1" x14ac:dyDescent="0.45">
      <c r="C7" s="61">
        <f ca="1">COUNTIF(I14:I1400,"&gt;0")</f>
        <v>0</v>
      </c>
      <c r="D7" s="61"/>
      <c r="E7" s="64" t="s">
        <v>82</v>
      </c>
      <c r="F7" s="63">
        <f ca="1">SUM(F2:F6)</f>
        <v>0</v>
      </c>
      <c r="G7" s="63">
        <f ca="1">SUM(G2:G6)</f>
        <v>0</v>
      </c>
      <c r="H7" s="63">
        <f t="shared" ref="H7:AJ7" ca="1" si="2">SUM(H2:H6)</f>
        <v>0</v>
      </c>
      <c r="I7" s="63"/>
      <c r="J7" s="63">
        <f t="shared" ca="1" si="2"/>
        <v>0</v>
      </c>
      <c r="K7" s="63">
        <f t="shared" ca="1" si="2"/>
        <v>0</v>
      </c>
      <c r="L7" s="63">
        <f t="shared" ca="1" si="2"/>
        <v>0</v>
      </c>
      <c r="M7" s="63">
        <f t="shared" ca="1" si="2"/>
        <v>0</v>
      </c>
      <c r="N7" s="63">
        <f t="shared" ca="1" si="2"/>
        <v>0</v>
      </c>
      <c r="O7" s="212">
        <f t="shared" ca="1" si="2"/>
        <v>0</v>
      </c>
      <c r="P7" s="63">
        <f t="shared" ca="1" si="2"/>
        <v>0</v>
      </c>
      <c r="Q7" s="63">
        <f t="shared" ca="1" si="2"/>
        <v>0</v>
      </c>
      <c r="R7" s="63">
        <f t="shared" ca="1" si="2"/>
        <v>0</v>
      </c>
      <c r="S7" s="63">
        <f t="shared" ca="1" si="2"/>
        <v>0</v>
      </c>
      <c r="T7" s="63">
        <f t="shared" ca="1" si="2"/>
        <v>0</v>
      </c>
      <c r="U7" s="63">
        <f t="shared" ca="1" si="2"/>
        <v>0</v>
      </c>
      <c r="V7" s="63">
        <f t="shared" ca="1" si="2"/>
        <v>0</v>
      </c>
      <c r="W7" s="63">
        <f t="shared" ca="1" si="2"/>
        <v>0</v>
      </c>
      <c r="X7" s="63">
        <f t="shared" ca="1" si="2"/>
        <v>0</v>
      </c>
      <c r="Y7" s="63"/>
      <c r="Z7" s="63">
        <f t="shared" ca="1" si="2"/>
        <v>0</v>
      </c>
      <c r="AA7" s="63">
        <f t="shared" ca="1" si="2"/>
        <v>0</v>
      </c>
      <c r="AB7" s="63">
        <f t="shared" ca="1" si="2"/>
        <v>0</v>
      </c>
      <c r="AC7" s="63">
        <f t="shared" ca="1" si="2"/>
        <v>0</v>
      </c>
      <c r="AD7" s="63">
        <f t="shared" ca="1" si="2"/>
        <v>0</v>
      </c>
      <c r="AE7" s="63">
        <f t="shared" ca="1" si="2"/>
        <v>0</v>
      </c>
      <c r="AF7" s="63">
        <f t="shared" ca="1" si="2"/>
        <v>0</v>
      </c>
      <c r="AG7" s="63">
        <f t="shared" ca="1" si="2"/>
        <v>0</v>
      </c>
      <c r="AH7" s="63">
        <f t="shared" ca="1" si="2"/>
        <v>0</v>
      </c>
      <c r="AI7" s="63">
        <f t="shared" ca="1" si="2"/>
        <v>0</v>
      </c>
      <c r="AJ7" s="63">
        <f t="shared" ca="1" si="2"/>
        <v>0</v>
      </c>
      <c r="AK7" s="62"/>
      <c r="AL7" s="86"/>
      <c r="AM7" s="86"/>
      <c r="AN7" s="86"/>
      <c r="AO7" s="86"/>
    </row>
    <row r="8" spans="1:41" s="58" customFormat="1" ht="19.7" customHeight="1" x14ac:dyDescent="0.45">
      <c r="A8" s="55"/>
      <c r="B8" s="55"/>
      <c r="C8" s="56"/>
      <c r="D8" s="56"/>
      <c r="E8" s="91" t="str">
        <f ca="1">"$E$14:$E$"&amp;COUNTA(E14:E1000)+14</f>
        <v>$E$14:$E$16</v>
      </c>
      <c r="F8" s="57">
        <f ca="1">SUBTOTAL(9,F$14:F$1400)</f>
        <v>0</v>
      </c>
      <c r="G8" s="57">
        <f ca="1">SUBTOTAL(9,G$14:G$1400)</f>
        <v>0</v>
      </c>
      <c r="H8" s="57">
        <f t="shared" ref="H8:AJ8" ca="1" si="3">SUBTOTAL(9,H$14:H$1400)</f>
        <v>0</v>
      </c>
      <c r="I8" s="57"/>
      <c r="J8" s="57">
        <f t="shared" ca="1" si="3"/>
        <v>0</v>
      </c>
      <c r="K8" s="57">
        <f t="shared" ca="1" si="3"/>
        <v>0</v>
      </c>
      <c r="L8" s="57">
        <f t="shared" si="3"/>
        <v>0</v>
      </c>
      <c r="M8" s="57">
        <f t="shared" ca="1" si="3"/>
        <v>0</v>
      </c>
      <c r="N8" s="57">
        <f t="shared" ca="1" si="3"/>
        <v>0</v>
      </c>
      <c r="O8" s="213">
        <f t="shared" si="3"/>
        <v>0</v>
      </c>
      <c r="P8" s="57">
        <f t="shared" ca="1" si="3"/>
        <v>0</v>
      </c>
      <c r="Q8" s="57">
        <f t="shared" si="3"/>
        <v>0</v>
      </c>
      <c r="R8" s="57">
        <f t="shared" si="3"/>
        <v>0</v>
      </c>
      <c r="S8" s="57">
        <f t="shared" si="3"/>
        <v>0</v>
      </c>
      <c r="T8" s="57">
        <f t="shared" si="3"/>
        <v>0</v>
      </c>
      <c r="U8" s="57">
        <f t="shared" si="3"/>
        <v>0</v>
      </c>
      <c r="V8" s="57">
        <f t="shared" ca="1" si="3"/>
        <v>0</v>
      </c>
      <c r="W8" s="57">
        <f t="shared" ca="1" si="3"/>
        <v>0</v>
      </c>
      <c r="X8" s="57">
        <f t="shared" ca="1" si="3"/>
        <v>0</v>
      </c>
      <c r="Y8" s="57"/>
      <c r="Z8" s="57">
        <f t="shared" ca="1" si="3"/>
        <v>0</v>
      </c>
      <c r="AA8" s="57">
        <f t="shared" ca="1" si="3"/>
        <v>0</v>
      </c>
      <c r="AB8" s="57">
        <f t="shared" ca="1" si="3"/>
        <v>0</v>
      </c>
      <c r="AC8" s="57">
        <f t="shared" ca="1" si="3"/>
        <v>0</v>
      </c>
      <c r="AD8" s="57">
        <f t="shared" ca="1" si="3"/>
        <v>0</v>
      </c>
      <c r="AE8" s="57">
        <f t="shared" ca="1" si="3"/>
        <v>0</v>
      </c>
      <c r="AF8" s="57">
        <f t="shared" si="3"/>
        <v>0</v>
      </c>
      <c r="AG8" s="57">
        <f t="shared" si="3"/>
        <v>0</v>
      </c>
      <c r="AH8" s="57">
        <f t="shared" ca="1" si="3"/>
        <v>0</v>
      </c>
      <c r="AI8" s="57">
        <f t="shared" ca="1" si="3"/>
        <v>0</v>
      </c>
      <c r="AJ8" s="57">
        <f t="shared" ca="1" si="3"/>
        <v>0</v>
      </c>
      <c r="AK8" s="57"/>
      <c r="AL8" s="86"/>
      <c r="AM8" s="86"/>
      <c r="AN8" s="86"/>
      <c r="AO8" s="86"/>
    </row>
    <row r="9" spans="1:41" x14ac:dyDescent="0.45">
      <c r="A9" s="26"/>
      <c r="B9" s="26"/>
      <c r="C9" s="43"/>
      <c r="D9" s="43"/>
      <c r="E9" s="26"/>
      <c r="F9" s="26"/>
      <c r="G9" s="26"/>
      <c r="H9" s="26"/>
      <c r="I9" s="52"/>
      <c r="J9" s="54"/>
      <c r="K9" s="609" t="s">
        <v>111</v>
      </c>
      <c r="L9" s="590"/>
      <c r="M9" s="590"/>
      <c r="N9" s="590"/>
      <c r="O9" s="606" t="s">
        <v>369</v>
      </c>
      <c r="P9" s="606"/>
      <c r="Q9" s="611" t="s">
        <v>49</v>
      </c>
      <c r="R9" s="612"/>
      <c r="S9" s="613"/>
      <c r="T9" s="613"/>
      <c r="U9" s="163"/>
      <c r="V9" s="95"/>
      <c r="W9" s="604" t="s">
        <v>53</v>
      </c>
      <c r="X9" s="604"/>
      <c r="Y9" s="604"/>
      <c r="Z9" s="604"/>
      <c r="AA9" s="605"/>
      <c r="AB9" s="92"/>
      <c r="AC9" s="607" t="s">
        <v>56</v>
      </c>
      <c r="AD9" s="608"/>
      <c r="AE9" s="608"/>
      <c r="AF9" s="608"/>
      <c r="AG9" s="608"/>
      <c r="AH9" s="94"/>
      <c r="AI9" s="94"/>
      <c r="AJ9" s="26"/>
      <c r="AK9" s="42"/>
      <c r="AL9" s="86"/>
      <c r="AM9" s="86"/>
      <c r="AN9" s="86"/>
      <c r="AO9" s="86"/>
    </row>
    <row r="10" spans="1:41" ht="15" customHeight="1" x14ac:dyDescent="0.45">
      <c r="A10" s="622" t="s">
        <v>1</v>
      </c>
      <c r="B10" s="622" t="s">
        <v>2</v>
      </c>
      <c r="C10" s="622" t="s">
        <v>3</v>
      </c>
      <c r="D10" s="622" t="s">
        <v>4</v>
      </c>
      <c r="E10" s="622" t="s">
        <v>39</v>
      </c>
      <c r="F10" s="622" t="s">
        <v>6</v>
      </c>
      <c r="G10" s="622" t="s">
        <v>7</v>
      </c>
      <c r="H10" s="622" t="s">
        <v>40</v>
      </c>
      <c r="I10" s="625" t="s">
        <v>42</v>
      </c>
      <c r="J10" s="622" t="s">
        <v>41</v>
      </c>
      <c r="K10" s="627" t="s">
        <v>298</v>
      </c>
      <c r="L10" s="590" t="s">
        <v>44</v>
      </c>
      <c r="M10" s="590"/>
      <c r="N10" s="627" t="s">
        <v>299</v>
      </c>
      <c r="O10" s="163"/>
      <c r="P10" s="31"/>
      <c r="Q10" s="614" t="s">
        <v>79</v>
      </c>
      <c r="R10" s="614"/>
      <c r="S10" s="168"/>
      <c r="T10" s="170"/>
      <c r="U10" s="164"/>
      <c r="V10" s="96"/>
      <c r="W10" s="32"/>
      <c r="X10" s="26"/>
      <c r="Y10" s="26"/>
      <c r="Z10" s="26"/>
      <c r="AA10" s="32"/>
      <c r="AB10" s="599" t="s">
        <v>57</v>
      </c>
      <c r="AC10" s="615" t="s">
        <v>58</v>
      </c>
      <c r="AD10" s="616"/>
      <c r="AE10" s="615"/>
      <c r="AF10" s="616"/>
      <c r="AG10" s="617"/>
      <c r="AH10" s="599" t="s">
        <v>59</v>
      </c>
      <c r="AI10" s="632" t="s">
        <v>61</v>
      </c>
      <c r="AJ10" s="35"/>
      <c r="AK10" s="35"/>
      <c r="AL10" s="86"/>
      <c r="AM10" s="86"/>
      <c r="AN10" s="86"/>
      <c r="AO10" s="86"/>
    </row>
    <row r="11" spans="1:41" s="4" customFormat="1" ht="33" customHeight="1" x14ac:dyDescent="0.45">
      <c r="A11" s="622"/>
      <c r="B11" s="622"/>
      <c r="C11" s="622"/>
      <c r="D11" s="622"/>
      <c r="E11" s="622"/>
      <c r="F11" s="622"/>
      <c r="G11" s="622"/>
      <c r="H11" s="622"/>
      <c r="I11" s="625"/>
      <c r="J11" s="622"/>
      <c r="K11" s="628"/>
      <c r="L11" s="160" t="s">
        <v>45</v>
      </c>
      <c r="M11" s="25" t="s">
        <v>46</v>
      </c>
      <c r="N11" s="628"/>
      <c r="O11" s="203" t="s">
        <v>370</v>
      </c>
      <c r="P11" s="103" t="s">
        <v>371</v>
      </c>
      <c r="Q11" s="161" t="s">
        <v>51</v>
      </c>
      <c r="R11" s="28" t="s">
        <v>78</v>
      </c>
      <c r="S11" s="169" t="s">
        <v>50</v>
      </c>
      <c r="T11" s="171" t="s">
        <v>60</v>
      </c>
      <c r="U11" s="162" t="s">
        <v>77</v>
      </c>
      <c r="V11" s="97" t="s">
        <v>52</v>
      </c>
      <c r="W11" s="33" t="s">
        <v>43</v>
      </c>
      <c r="X11" s="196" t="s">
        <v>264</v>
      </c>
      <c r="Y11" s="196" t="s">
        <v>77</v>
      </c>
      <c r="Z11" s="103" t="s">
        <v>54</v>
      </c>
      <c r="AA11" s="33" t="s">
        <v>55</v>
      </c>
      <c r="AB11" s="599"/>
      <c r="AC11" s="25" t="s">
        <v>88</v>
      </c>
      <c r="AD11" s="28" t="s">
        <v>28</v>
      </c>
      <c r="AE11" s="34" t="s">
        <v>81</v>
      </c>
      <c r="AF11" s="126"/>
      <c r="AG11" s="30"/>
      <c r="AH11" s="599"/>
      <c r="AI11" s="632"/>
      <c r="AJ11" s="36" t="s">
        <v>62</v>
      </c>
      <c r="AK11" s="36" t="s">
        <v>63</v>
      </c>
      <c r="AL11" s="87"/>
      <c r="AM11" s="87"/>
      <c r="AN11" s="87"/>
      <c r="AO11" s="87"/>
    </row>
    <row r="12" spans="1:41" s="4" customFormat="1" ht="15" customHeight="1" x14ac:dyDescent="0.45">
      <c r="A12" s="29"/>
      <c r="B12" s="29"/>
      <c r="C12" s="29"/>
      <c r="D12" s="29"/>
      <c r="E12" s="29"/>
      <c r="F12" s="29"/>
      <c r="G12" s="602" t="str">
        <f>'1'!G12</f>
        <v>Link</v>
      </c>
      <c r="H12" s="603"/>
      <c r="I12" s="53"/>
      <c r="J12" s="29">
        <f>INDEX(Cham_Cong!$E$7:$P$8,1,MATCH(C1,Cham_Cong!$E$8:$P$8,0))</f>
        <v>26</v>
      </c>
      <c r="K12" s="40">
        <v>730000</v>
      </c>
      <c r="L12" s="160"/>
      <c r="M12" s="27">
        <v>1000000</v>
      </c>
      <c r="N12" s="41">
        <v>500000</v>
      </c>
      <c r="O12" s="167">
        <v>2</v>
      </c>
      <c r="P12" s="38"/>
      <c r="Q12" s="161"/>
      <c r="R12" s="25"/>
      <c r="S12" s="165"/>
      <c r="T12" s="166"/>
      <c r="U12" s="165"/>
      <c r="V12" s="98"/>
      <c r="W12" s="30"/>
      <c r="X12" s="29"/>
      <c r="Y12" s="29"/>
      <c r="Z12" s="29"/>
      <c r="AA12" s="30"/>
      <c r="AB12" s="93"/>
      <c r="AC12" s="37">
        <v>11000000</v>
      </c>
      <c r="AD12" s="37">
        <v>4400000</v>
      </c>
      <c r="AE12" s="39">
        <v>0.105</v>
      </c>
      <c r="AF12" s="39"/>
      <c r="AG12" s="39"/>
      <c r="AH12" s="93"/>
      <c r="AI12" s="93"/>
      <c r="AJ12" s="29"/>
      <c r="AK12" s="29"/>
      <c r="AL12" s="87"/>
      <c r="AM12" s="87"/>
      <c r="AN12" s="87"/>
      <c r="AO12" s="87"/>
    </row>
    <row r="13" spans="1:41" s="70" customFormat="1" x14ac:dyDescent="0.45">
      <c r="A13" s="49"/>
      <c r="B13" s="49" t="s">
        <v>24</v>
      </c>
      <c r="C13" s="89" t="s">
        <v>25</v>
      </c>
      <c r="D13" s="49" t="s">
        <v>26</v>
      </c>
      <c r="E13" s="49" t="s">
        <v>27</v>
      </c>
      <c r="F13" s="49" t="s">
        <v>28</v>
      </c>
      <c r="G13" s="49" t="s">
        <v>29</v>
      </c>
      <c r="H13" s="49" t="s">
        <v>185</v>
      </c>
      <c r="I13" s="90" t="s">
        <v>186</v>
      </c>
      <c r="J13" s="49" t="s">
        <v>80</v>
      </c>
      <c r="K13" s="49" t="s">
        <v>80</v>
      </c>
      <c r="L13" s="49" t="s">
        <v>391</v>
      </c>
      <c r="M13" s="49" t="s">
        <v>80</v>
      </c>
      <c r="N13" s="49" t="s">
        <v>80</v>
      </c>
      <c r="O13" s="49" t="s">
        <v>208</v>
      </c>
      <c r="P13" s="49" t="s">
        <v>80</v>
      </c>
      <c r="Q13" s="49"/>
      <c r="R13" s="49" t="s">
        <v>80</v>
      </c>
      <c r="S13" s="49" t="s">
        <v>80</v>
      </c>
      <c r="T13" s="49" t="s">
        <v>80</v>
      </c>
      <c r="U13" s="49" t="s">
        <v>80</v>
      </c>
      <c r="V13" s="49" t="s">
        <v>66</v>
      </c>
      <c r="W13" s="49"/>
      <c r="X13" s="49"/>
      <c r="Y13" s="49"/>
      <c r="Z13" s="49"/>
      <c r="AA13" s="49"/>
      <c r="AB13" s="49" t="s">
        <v>64</v>
      </c>
      <c r="AC13" s="49" t="s">
        <v>101</v>
      </c>
      <c r="AD13" s="49" t="s">
        <v>102</v>
      </c>
      <c r="AE13" s="49" t="s">
        <v>165</v>
      </c>
      <c r="AF13" s="49"/>
      <c r="AG13" s="49"/>
      <c r="AH13" s="49"/>
      <c r="AI13" s="49" t="s">
        <v>65</v>
      </c>
      <c r="AJ13" s="49" t="s">
        <v>67</v>
      </c>
      <c r="AK13" s="49"/>
      <c r="AL13" s="88" t="s">
        <v>32</v>
      </c>
      <c r="AM13" s="88" t="s">
        <v>33</v>
      </c>
      <c r="AN13" s="88" t="s">
        <v>34</v>
      </c>
      <c r="AO13" s="88" t="s">
        <v>35</v>
      </c>
    </row>
    <row r="14" spans="1:41" x14ac:dyDescent="0.45">
      <c r="A14" s="5">
        <f ca="1">IF(B14&lt;&gt;"",SUBTOTAL(3,$B$14:B14),"")</f>
        <v>1</v>
      </c>
      <c r="B14" s="3">
        <f ca="1">INDEX(INDIRECT(Danh_Sach!$N$1),ROWS($B$14:$B14),MATCH(B$13,INDIRECT(Danh_Sach!$N$2),0))</f>
        <v>0</v>
      </c>
      <c r="C14" s="5">
        <f ca="1">INDEX(INDIRECT(Danh_Sach!$N$1),ROWS($B$14:$B14),MATCH(C$13,INDIRECT(Danh_Sach!$N$2),0))</f>
        <v>0</v>
      </c>
      <c r="D14" s="5">
        <f ca="1">INDEX(INDIRECT(Danh_Sach!$N$1),ROWS($B$14:$B14),MATCH(D$13,INDIRECT(Danh_Sach!$N$2),0))</f>
        <v>0</v>
      </c>
      <c r="E14" s="5">
        <f ca="1">INDEX(INDIRECT(Danh_Sach!$N$1),ROWS($B$14:$B14),MATCH(E$13,INDIRECT(Danh_Sach!$N$2),0))</f>
        <v>0</v>
      </c>
      <c r="F14" s="5">
        <f t="array" aca="1" ref="F14" ca="1">INDEX(INDIRECT(NPT!$W$1),ROWS($B$14:B14),MATCH($C$1,INDIRECT(NPT!$W$2),0))</f>
        <v>0</v>
      </c>
      <c r="G14" s="11">
        <f ca="1">IF(AND($G$12="Link",H14&lt;&gt;0),H14,INDEX(INDIRECT(Danh_Sach!$N$1),ROWS($B$14:$B14),MATCH(G$13,INDIRECT(Danh_Sach!$N$2),0)))</f>
        <v>0</v>
      </c>
      <c r="H14" s="11">
        <f ca="1">IFERROR(INDEX(INDIRECT(BaoHiem!$A$3),ROWS($B$14:$B14),MATCH($C$1,INDIRECT(BaoHiem!$A$4),0)),0)</f>
        <v>0</v>
      </c>
      <c r="I14" s="72">
        <f t="array" aca="1" ref="I14" ca="1">INDEX(INDIRECT(Cham_Cong!$T$3),ROWS($B$14:B14),MATCH($C$1,INDIRECT(Cham_Cong!$T$4),0))</f>
        <v>0</v>
      </c>
      <c r="J14" s="11">
        <f ca="1">G14/$J$12*I14</f>
        <v>0</v>
      </c>
      <c r="K14" s="11">
        <f ca="1">IF(I14&gt;0,$K$12,0)</f>
        <v>0</v>
      </c>
      <c r="L14" s="11"/>
      <c r="M14" s="22">
        <f ca="1">IF(I14=0,0,$M$12*L14)</f>
        <v>0</v>
      </c>
      <c r="N14" s="11">
        <f ca="1">IF(I14&gt;0,$N$12,0)</f>
        <v>0</v>
      </c>
      <c r="P14" s="22">
        <f ca="1">IF(I14=0,0,ROUND(O14*$O$12*(G14/$J$12/8),0))</f>
        <v>0</v>
      </c>
      <c r="R14" s="11"/>
      <c r="S14" s="11"/>
      <c r="V14" s="11">
        <f ca="1">IF(I14=0,0,SUMIF($J$13:$U$13,"i_gross",J14:U14))</f>
        <v>0</v>
      </c>
      <c r="W14" s="22">
        <f ca="1">K14</f>
        <v>0</v>
      </c>
      <c r="X14" s="22">
        <f ca="1">M14+N14</f>
        <v>0</v>
      </c>
      <c r="Y14" s="22">
        <f>U14</f>
        <v>0</v>
      </c>
      <c r="Z14" s="22">
        <f ca="1">P14-P14/$O$12</f>
        <v>0</v>
      </c>
      <c r="AA14" s="22">
        <f ca="1">SUM(W14:Z14)</f>
        <v>0</v>
      </c>
      <c r="AB14" s="22">
        <f ca="1">IF(I14=0,0,V14-AA14)</f>
        <v>0</v>
      </c>
      <c r="AC14" s="22">
        <f ca="1">IF(AB14&gt;0,$AC$12,0)</f>
        <v>0</v>
      </c>
      <c r="AD14" s="22">
        <f ca="1">$AD$12*F14</f>
        <v>0</v>
      </c>
      <c r="AE14" s="22">
        <f ca="1">IF(AB14&gt;0,IF(ISNA(VLOOKUP(C14,Info!$C$22:$D$303,2,0))=FALSE,H14*1.5%,H14*$AE$12),0)</f>
        <v>0</v>
      </c>
      <c r="AH14" s="22">
        <f ca="1">MAX(AB14-SUM(AC14:AG14),0)</f>
        <v>0</v>
      </c>
      <c r="AI14" s="22">
        <f ca="1">IF(AH14&gt;0,(AH14-VLOOKUP(AH14-1,INDIRECT(TAXRATE!$E$1),1,1))*VLOOKUP(AH14,INDIRECT(TAXRATE!$E$1),2,1)+VLOOKUP(AH14-1,INDIRECT(TAXRATE!$E$1),3,1),0)</f>
        <v>0</v>
      </c>
      <c r="AJ14" s="22">
        <f ca="1">V14-AI14-AE14-AF14-AG14</f>
        <v>0</v>
      </c>
      <c r="AL14" s="3" t="str">
        <f ca="1">IF(INDEX(INDIRECT(Danh_Sach!$N$1),ROWS($B$14:$B14),MATCH(AL$13,INDIRECT(Danh_Sach!$N$2),0))=0,"",MONTH(INDEX(INDIRECT(Danh_Sach!$N$1),ROWS($B$14:$B14),MATCH(AL$13,INDIRECT(Danh_Sach!$N$2),0))))</f>
        <v/>
      </c>
      <c r="AM14" s="3" t="str">
        <f ca="1">IF(INDEX(INDIRECT(Danh_Sach!$N$1),ROWS($B$14:$B14),MATCH(AM$13,INDIRECT(Danh_Sach!$N$2),0))=0,"",MONTH(INDEX(INDIRECT(Danh_Sach!$N$1),ROWS($B$14:$B14),MATCH(AM$13,INDIRECT(Danh_Sach!$N$2),0))))</f>
        <v/>
      </c>
      <c r="AN14" s="3" t="str">
        <f ca="1">IF(INDEX(INDIRECT(Danh_Sach!$N$1),ROWS($B$14:$B14),MATCH(AN$13,INDIRECT(Danh_Sach!$N$2),0))=0,"",MONTH(INDEX(INDIRECT(Danh_Sach!$N$1),ROWS($B$14:$B14),MATCH(AN$13,INDIRECT(Danh_Sach!$N$2),0))))</f>
        <v/>
      </c>
      <c r="AO14" s="3" t="str">
        <f ca="1">IF(INDEX(INDIRECT(Danh_Sach!$N$1),ROWS($B$14:$B14),MATCH(AO$13,INDIRECT(Danh_Sach!$N$2),0))=0,"",MONTH(INDEX(INDIRECT(Danh_Sach!$N$1),ROWS($B$14:$B14),MATCH(AO$13,INDIRECT(Danh_Sach!$N$2),0))))</f>
        <v/>
      </c>
    </row>
    <row r="15" spans="1:41" x14ac:dyDescent="0.45">
      <c r="A15" s="5">
        <f ca="1">IF(B15&lt;&gt;"",SUBTOTAL(3,$B$14:B15),"")</f>
        <v>2</v>
      </c>
      <c r="B15" s="3">
        <f ca="1">INDEX(INDIRECT(Danh_Sach!$N$1),ROWS($B$14:$B15),MATCH(B$13,INDIRECT(Danh_Sach!$N$2),0))</f>
        <v>0</v>
      </c>
      <c r="C15" s="5">
        <f ca="1">INDEX(INDIRECT(Danh_Sach!$N$1),ROWS($B$14:$B15),MATCH(C$13,INDIRECT(Danh_Sach!$N$2),0))</f>
        <v>0</v>
      </c>
      <c r="D15" s="5">
        <f ca="1">INDEX(INDIRECT(Danh_Sach!$N$1),ROWS($B$14:$B15),MATCH(D$13,INDIRECT(Danh_Sach!$N$2),0))</f>
        <v>0</v>
      </c>
      <c r="E15" s="5">
        <f ca="1">INDEX(INDIRECT(Danh_Sach!$N$1),ROWS($B$14:$B15),MATCH(E$13,INDIRECT(Danh_Sach!$N$2),0))</f>
        <v>0</v>
      </c>
      <c r="F15" s="5">
        <f t="array" aca="1" ref="F15" ca="1">INDEX(INDIRECT(NPT!$W$1),ROWS($B$14:B15),MATCH($C$1,INDIRECT(NPT!$W$2),0))</f>
        <v>0</v>
      </c>
      <c r="G15" s="11">
        <f ca="1">IF(AND($G$12="Link",H15&lt;&gt;0),H15,INDEX(INDIRECT(Danh_Sach!$N$1),ROWS($B$14:$B15),MATCH(G$13,INDIRECT(Danh_Sach!$N$2),0)))</f>
        <v>0</v>
      </c>
      <c r="H15" s="11">
        <f ca="1">IFERROR(INDEX(INDIRECT(BaoHiem!$A$3),ROWS($B$14:$B15),MATCH($C$1,INDIRECT(BaoHiem!$A$4),0)),0)</f>
        <v>0</v>
      </c>
      <c r="I15" s="72">
        <f t="array" aca="1" ref="I15" ca="1">INDEX(INDIRECT(Cham_Cong!$T$3),ROWS($B$14:B15),MATCH($C$1,INDIRECT(Cham_Cong!$T$4),0))</f>
        <v>0</v>
      </c>
      <c r="J15" s="11">
        <f ca="1">G15/$J$12*I15</f>
        <v>0</v>
      </c>
      <c r="K15" s="11">
        <f ca="1">IF(I15&gt;0,$K$12,0)</f>
        <v>0</v>
      </c>
      <c r="L15" s="11"/>
      <c r="M15" s="22">
        <f ca="1">IF(I15=0,0,$M$12*L15)</f>
        <v>0</v>
      </c>
      <c r="N15" s="11">
        <f ca="1">IF(I15&gt;0,$N$12,0)</f>
        <v>0</v>
      </c>
      <c r="P15" s="22">
        <f ca="1">IF(I15=0,0,ROUND(O15*$O$12*(G15/$J$12/8),0))</f>
        <v>0</v>
      </c>
      <c r="R15" s="11"/>
      <c r="S15" s="11"/>
      <c r="V15" s="11">
        <f ca="1">IF(I15=0,0,SUMIF($J$13:$U$13,"i_gross",J15:U15))</f>
        <v>0</v>
      </c>
      <c r="W15" s="22">
        <f ca="1">K15</f>
        <v>0</v>
      </c>
      <c r="X15" s="22">
        <f ca="1">M15+N15</f>
        <v>0</v>
      </c>
      <c r="Y15" s="22">
        <f>U15</f>
        <v>0</v>
      </c>
      <c r="Z15" s="22">
        <f ca="1">P15-P15/$O$12</f>
        <v>0</v>
      </c>
      <c r="AA15" s="22">
        <f ca="1">SUM(W15:Z15)</f>
        <v>0</v>
      </c>
      <c r="AB15" s="22">
        <f ca="1">IF(I15=0,0,V15-AA15)</f>
        <v>0</v>
      </c>
      <c r="AC15" s="22">
        <f ca="1">IF(AB15&gt;0,$AC$12,0)</f>
        <v>0</v>
      </c>
      <c r="AD15" s="22">
        <f ca="1">$AD$12*F15</f>
        <v>0</v>
      </c>
      <c r="AE15" s="22">
        <f ca="1">IF(AB15&gt;0,IF(ISNA(VLOOKUP(C15,Info!$C$22:$D$303,2,0))=FALSE,H15*1.5%,H15*$AE$12),0)</f>
        <v>0</v>
      </c>
      <c r="AH15" s="22">
        <f ca="1">MAX(AB15-SUM(AC15:AG15),0)</f>
        <v>0</v>
      </c>
      <c r="AI15" s="22">
        <f ca="1">IF(AH15&gt;0,(AH15-VLOOKUP(AH15-1,INDIRECT(TAXRATE!$E$1),1,1))*VLOOKUP(AH15,INDIRECT(TAXRATE!$E$1),2,1)+VLOOKUP(AH15-1,INDIRECT(TAXRATE!$E$1),3,1),0)</f>
        <v>0</v>
      </c>
      <c r="AJ15" s="22">
        <f ca="1">V15-AI15-AE15-AF15-AG15</f>
        <v>0</v>
      </c>
      <c r="AL15" s="3" t="str">
        <f ca="1">IF(INDEX(INDIRECT(Danh_Sach!$N$1),ROWS($B$14:$B15),MATCH(AL$13,INDIRECT(Danh_Sach!$N$2),0))=0,"",MONTH(INDEX(INDIRECT(Danh_Sach!$N$1),ROWS($B$14:$B15),MATCH(AL$13,INDIRECT(Danh_Sach!$N$2),0))))</f>
        <v/>
      </c>
      <c r="AM15" s="3" t="str">
        <f ca="1">IF(INDEX(INDIRECT(Danh_Sach!$N$1),ROWS($B$14:$B15),MATCH(AM$13,INDIRECT(Danh_Sach!$N$2),0))=0,"",MONTH(INDEX(INDIRECT(Danh_Sach!$N$1),ROWS($B$14:$B15),MATCH(AM$13,INDIRECT(Danh_Sach!$N$2),0))))</f>
        <v/>
      </c>
      <c r="AN15" s="3" t="str">
        <f ca="1">IF(INDEX(INDIRECT(Danh_Sach!$N$1),ROWS($B$14:$B15),MATCH(AN$13,INDIRECT(Danh_Sach!$N$2),0))=0,"",MONTH(INDEX(INDIRECT(Danh_Sach!$N$1),ROWS($B$14:$B15),MATCH(AN$13,INDIRECT(Danh_Sach!$N$2),0))))</f>
        <v/>
      </c>
      <c r="AO15" s="3" t="str">
        <f ca="1">IF(INDEX(INDIRECT(Danh_Sach!$N$1),ROWS($B$14:$B15),MATCH(AO$13,INDIRECT(Danh_Sach!$N$2),0))=0,"",MONTH(INDEX(INDIRECT(Danh_Sach!$N$1),ROWS($B$14:$B15),MATCH(AO$13,INDIRECT(Danh_Sach!$N$2),0))))</f>
        <v/>
      </c>
    </row>
    <row r="16" spans="1:41" x14ac:dyDescent="0.45">
      <c r="A16" s="5"/>
      <c r="E16" s="5"/>
      <c r="F16" s="5"/>
      <c r="G16" s="11"/>
      <c r="H16" s="11"/>
      <c r="I16" s="72"/>
      <c r="J16" s="11"/>
      <c r="K16" s="11"/>
      <c r="L16" s="11"/>
      <c r="M16" s="22"/>
      <c r="N16" s="11"/>
      <c r="P16" s="22"/>
      <c r="R16" s="11"/>
      <c r="S16" s="11"/>
      <c r="V16" s="11"/>
      <c r="W16" s="22"/>
      <c r="X16" s="22"/>
      <c r="Y16" s="22"/>
      <c r="Z16" s="22"/>
      <c r="AA16" s="22"/>
      <c r="AB16" s="22"/>
      <c r="AC16" s="22"/>
      <c r="AD16" s="22"/>
      <c r="AE16" s="22"/>
      <c r="AH16" s="22"/>
      <c r="AI16" s="22"/>
      <c r="AJ16" s="22"/>
    </row>
    <row r="17" spans="1:36" x14ac:dyDescent="0.45">
      <c r="A17" s="5"/>
      <c r="E17" s="5"/>
      <c r="F17" s="5"/>
      <c r="G17" s="11"/>
      <c r="H17" s="11"/>
      <c r="I17" s="72"/>
      <c r="J17" s="11"/>
      <c r="K17" s="11"/>
      <c r="L17" s="11"/>
      <c r="M17" s="22"/>
      <c r="N17" s="11"/>
      <c r="P17" s="22"/>
      <c r="R17" s="11"/>
      <c r="S17" s="11"/>
      <c r="V17" s="11"/>
      <c r="W17" s="22"/>
      <c r="X17" s="22"/>
      <c r="Y17" s="22"/>
      <c r="Z17" s="22"/>
      <c r="AA17" s="22"/>
      <c r="AB17" s="22"/>
      <c r="AC17" s="22"/>
      <c r="AD17" s="22"/>
      <c r="AE17" s="22"/>
      <c r="AH17" s="22"/>
      <c r="AI17" s="22"/>
      <c r="AJ17" s="22"/>
    </row>
    <row r="18" spans="1:36" x14ac:dyDescent="0.45">
      <c r="A18" s="5"/>
      <c r="E18" s="5"/>
      <c r="F18" s="5"/>
      <c r="G18" s="11"/>
      <c r="H18" s="11"/>
      <c r="I18" s="72"/>
      <c r="J18" s="11"/>
      <c r="K18" s="11"/>
      <c r="L18" s="11"/>
      <c r="M18" s="22"/>
      <c r="N18" s="11"/>
      <c r="P18" s="22"/>
      <c r="R18" s="11"/>
      <c r="S18" s="11"/>
      <c r="V18" s="11"/>
      <c r="W18" s="22"/>
      <c r="X18" s="22"/>
      <c r="Y18" s="22"/>
      <c r="Z18" s="22"/>
      <c r="AA18" s="22"/>
      <c r="AB18" s="22"/>
      <c r="AC18" s="22"/>
      <c r="AD18" s="22"/>
      <c r="AE18" s="22"/>
      <c r="AH18" s="22"/>
      <c r="AI18" s="22"/>
      <c r="AJ18" s="22"/>
    </row>
    <row r="19" spans="1:36" x14ac:dyDescent="0.45">
      <c r="A19" s="5"/>
      <c r="E19" s="5"/>
      <c r="F19" s="5"/>
      <c r="G19" s="11"/>
      <c r="H19" s="11"/>
      <c r="I19" s="72"/>
      <c r="J19" s="11"/>
      <c r="K19" s="11"/>
      <c r="L19" s="11"/>
      <c r="M19" s="22"/>
      <c r="N19" s="11"/>
      <c r="P19" s="22"/>
      <c r="R19" s="11"/>
      <c r="S19" s="11"/>
      <c r="V19" s="11"/>
      <c r="W19" s="22"/>
      <c r="X19" s="22"/>
      <c r="Y19" s="22"/>
      <c r="Z19" s="22"/>
      <c r="AA19" s="22"/>
      <c r="AB19" s="22"/>
      <c r="AC19" s="22"/>
      <c r="AD19" s="22"/>
      <c r="AE19" s="22"/>
      <c r="AH19" s="22"/>
      <c r="AI19" s="22"/>
      <c r="AJ19" s="22"/>
    </row>
    <row r="20" spans="1:36" x14ac:dyDescent="0.45">
      <c r="A20" s="5"/>
      <c r="E20" s="5"/>
      <c r="F20" s="5"/>
      <c r="G20" s="11"/>
      <c r="H20" s="11"/>
      <c r="I20" s="72"/>
      <c r="J20" s="11"/>
      <c r="K20" s="11"/>
      <c r="L20" s="11"/>
      <c r="M20" s="22"/>
      <c r="N20" s="11"/>
      <c r="P20" s="22"/>
      <c r="R20" s="11"/>
      <c r="S20" s="11"/>
      <c r="V20" s="11"/>
      <c r="W20" s="22"/>
      <c r="X20" s="22"/>
      <c r="Y20" s="22"/>
      <c r="Z20" s="22"/>
      <c r="AA20" s="22"/>
      <c r="AB20" s="22"/>
      <c r="AC20" s="22"/>
      <c r="AD20" s="22"/>
      <c r="AE20" s="22"/>
      <c r="AH20" s="22"/>
      <c r="AI20" s="22"/>
      <c r="AJ20" s="22"/>
    </row>
    <row r="21" spans="1:36" x14ac:dyDescent="0.45">
      <c r="A21" s="5"/>
      <c r="E21" s="5"/>
      <c r="F21" s="5"/>
      <c r="G21" s="11"/>
      <c r="H21" s="11"/>
      <c r="I21" s="72"/>
      <c r="J21" s="11"/>
      <c r="K21" s="11"/>
      <c r="L21" s="11"/>
      <c r="M21" s="22"/>
      <c r="N21" s="11"/>
      <c r="P21" s="22"/>
      <c r="R21" s="11"/>
      <c r="S21" s="11"/>
      <c r="V21" s="11"/>
      <c r="W21" s="22"/>
      <c r="X21" s="22"/>
      <c r="Y21" s="22"/>
      <c r="Z21" s="22"/>
      <c r="AA21" s="22"/>
      <c r="AB21" s="22"/>
      <c r="AC21" s="22"/>
      <c r="AD21" s="22"/>
      <c r="AE21" s="22"/>
      <c r="AH21" s="22"/>
      <c r="AI21" s="22"/>
      <c r="AJ21" s="22"/>
    </row>
    <row r="22" spans="1:36" x14ac:dyDescent="0.45">
      <c r="A22" s="5"/>
      <c r="E22" s="5"/>
      <c r="F22" s="5"/>
      <c r="G22" s="11"/>
      <c r="H22" s="11"/>
      <c r="I22" s="72"/>
      <c r="J22" s="11"/>
      <c r="K22" s="11"/>
      <c r="L22" s="11"/>
      <c r="M22" s="22"/>
      <c r="N22" s="11"/>
      <c r="P22" s="22"/>
      <c r="R22" s="11"/>
      <c r="S22" s="11"/>
      <c r="V22" s="11"/>
      <c r="W22" s="22"/>
      <c r="X22" s="22"/>
      <c r="Y22" s="22"/>
      <c r="Z22" s="22"/>
      <c r="AA22" s="22"/>
      <c r="AB22" s="22"/>
      <c r="AC22" s="22"/>
      <c r="AD22" s="22"/>
      <c r="AE22" s="22"/>
      <c r="AH22" s="22"/>
      <c r="AI22" s="22"/>
      <c r="AJ22" s="22"/>
    </row>
    <row r="23" spans="1:36" x14ac:dyDescent="0.45">
      <c r="A23" s="5"/>
      <c r="E23" s="5"/>
      <c r="F23" s="5"/>
      <c r="G23" s="11"/>
      <c r="H23" s="11"/>
      <c r="I23" s="72"/>
      <c r="J23" s="11"/>
      <c r="K23" s="11"/>
      <c r="L23" s="11"/>
      <c r="M23" s="22"/>
      <c r="N23" s="11"/>
      <c r="P23" s="22"/>
      <c r="R23" s="11"/>
      <c r="S23" s="11"/>
      <c r="V23" s="11"/>
      <c r="W23" s="22"/>
      <c r="X23" s="22"/>
      <c r="Y23" s="22"/>
      <c r="Z23" s="22"/>
      <c r="AA23" s="22"/>
      <c r="AB23" s="22"/>
      <c r="AC23" s="22"/>
      <c r="AD23" s="22"/>
      <c r="AE23" s="22"/>
      <c r="AH23" s="22"/>
      <c r="AI23" s="22"/>
      <c r="AJ23" s="22"/>
    </row>
    <row r="24" spans="1:36" x14ac:dyDescent="0.45">
      <c r="A24" s="5"/>
      <c r="E24" s="5"/>
      <c r="F24" s="5"/>
      <c r="G24" s="11"/>
      <c r="H24" s="11"/>
      <c r="I24" s="72"/>
      <c r="J24" s="11"/>
      <c r="K24" s="11"/>
      <c r="L24" s="11"/>
      <c r="M24" s="22"/>
      <c r="N24" s="11"/>
      <c r="P24" s="22"/>
      <c r="R24" s="11"/>
      <c r="S24" s="11"/>
      <c r="V24" s="11"/>
      <c r="W24" s="22"/>
      <c r="X24" s="22"/>
      <c r="Y24" s="22"/>
      <c r="Z24" s="22"/>
      <c r="AA24" s="22"/>
      <c r="AB24" s="22"/>
      <c r="AC24" s="22"/>
      <c r="AD24" s="22"/>
      <c r="AE24" s="22"/>
      <c r="AH24" s="22"/>
      <c r="AI24" s="22"/>
      <c r="AJ24" s="22"/>
    </row>
    <row r="25" spans="1:36" x14ac:dyDescent="0.45">
      <c r="A25" s="5"/>
      <c r="E25" s="5"/>
      <c r="F25" s="5"/>
      <c r="G25" s="11"/>
      <c r="H25" s="11"/>
      <c r="I25" s="72"/>
      <c r="J25" s="11"/>
      <c r="K25" s="11"/>
      <c r="L25" s="11"/>
      <c r="M25" s="22"/>
      <c r="N25" s="11"/>
      <c r="P25" s="22"/>
      <c r="R25" s="11"/>
      <c r="S25" s="11"/>
      <c r="V25" s="11"/>
      <c r="W25" s="22"/>
      <c r="X25" s="22"/>
      <c r="Y25" s="22"/>
      <c r="Z25" s="22"/>
      <c r="AA25" s="22"/>
      <c r="AB25" s="22"/>
      <c r="AC25" s="22"/>
      <c r="AD25" s="22"/>
      <c r="AE25" s="22"/>
      <c r="AH25" s="22"/>
      <c r="AI25" s="22"/>
      <c r="AJ25" s="22"/>
    </row>
    <row r="26" spans="1:36" x14ac:dyDescent="0.45">
      <c r="A26" s="5"/>
      <c r="E26" s="5"/>
      <c r="F26" s="5"/>
      <c r="G26" s="11"/>
      <c r="H26" s="11"/>
      <c r="I26" s="72"/>
      <c r="J26" s="11"/>
      <c r="K26" s="11"/>
      <c r="L26" s="11"/>
      <c r="M26" s="22"/>
      <c r="N26" s="11"/>
      <c r="P26" s="22"/>
      <c r="R26" s="11"/>
      <c r="S26" s="11"/>
      <c r="V26" s="11"/>
      <c r="W26" s="22"/>
      <c r="X26" s="22"/>
      <c r="Y26" s="22"/>
      <c r="Z26" s="22"/>
      <c r="AA26" s="22"/>
      <c r="AB26" s="22"/>
      <c r="AC26" s="22"/>
      <c r="AD26" s="22"/>
      <c r="AE26" s="22"/>
      <c r="AH26" s="22"/>
      <c r="AI26" s="22"/>
      <c r="AJ26" s="22"/>
    </row>
    <row r="27" spans="1:36" x14ac:dyDescent="0.45">
      <c r="A27" s="5"/>
      <c r="E27" s="5"/>
      <c r="F27" s="5"/>
      <c r="G27" s="11"/>
      <c r="H27" s="11"/>
      <c r="I27" s="72"/>
      <c r="J27" s="11"/>
      <c r="K27" s="11"/>
      <c r="L27" s="11"/>
      <c r="M27" s="22"/>
      <c r="N27" s="11"/>
      <c r="P27" s="22"/>
      <c r="R27" s="11"/>
      <c r="S27" s="11"/>
      <c r="V27" s="11"/>
      <c r="W27" s="22"/>
      <c r="X27" s="22"/>
      <c r="Y27" s="22"/>
      <c r="Z27" s="22"/>
      <c r="AA27" s="22"/>
      <c r="AB27" s="22"/>
      <c r="AC27" s="22"/>
      <c r="AD27" s="22"/>
      <c r="AE27" s="22"/>
      <c r="AH27" s="22"/>
      <c r="AI27" s="22"/>
      <c r="AJ27" s="22"/>
    </row>
    <row r="28" spans="1:36" x14ac:dyDescent="0.45">
      <c r="A28" s="5"/>
      <c r="E28" s="5"/>
      <c r="F28" s="5"/>
      <c r="G28" s="11"/>
      <c r="H28" s="11"/>
      <c r="I28" s="72"/>
      <c r="J28" s="11"/>
      <c r="K28" s="11"/>
      <c r="L28" s="11"/>
      <c r="M28" s="22"/>
      <c r="N28" s="11"/>
      <c r="P28" s="22"/>
      <c r="R28" s="11"/>
      <c r="S28" s="11"/>
      <c r="V28" s="11"/>
      <c r="W28" s="22"/>
      <c r="X28" s="22"/>
      <c r="Y28" s="22"/>
      <c r="Z28" s="22"/>
      <c r="AA28" s="22"/>
      <c r="AB28" s="22"/>
      <c r="AC28" s="22"/>
      <c r="AD28" s="22"/>
      <c r="AE28" s="22"/>
      <c r="AH28" s="22"/>
      <c r="AI28" s="22"/>
      <c r="AJ28" s="22"/>
    </row>
    <row r="29" spans="1:36" x14ac:dyDescent="0.45">
      <c r="A29" s="5"/>
      <c r="E29" s="5"/>
      <c r="F29" s="5"/>
      <c r="G29" s="11"/>
      <c r="H29" s="11"/>
      <c r="I29" s="72"/>
      <c r="J29" s="11"/>
      <c r="K29" s="11"/>
      <c r="L29" s="11"/>
      <c r="M29" s="22"/>
      <c r="N29" s="11"/>
      <c r="P29" s="22"/>
      <c r="R29" s="11"/>
      <c r="S29" s="11"/>
      <c r="V29" s="11"/>
      <c r="W29" s="22"/>
      <c r="X29" s="22"/>
      <c r="Y29" s="22"/>
      <c r="Z29" s="22"/>
      <c r="AA29" s="22"/>
      <c r="AB29" s="22"/>
      <c r="AC29" s="22"/>
      <c r="AD29" s="22"/>
      <c r="AE29" s="22"/>
      <c r="AH29" s="22"/>
      <c r="AI29" s="22"/>
      <c r="AJ29" s="22"/>
    </row>
    <row r="30" spans="1:36" x14ac:dyDescent="0.45">
      <c r="A30" s="5"/>
      <c r="E30" s="5"/>
      <c r="F30" s="5"/>
      <c r="G30" s="11"/>
      <c r="H30" s="11"/>
      <c r="I30" s="72"/>
      <c r="J30" s="11"/>
      <c r="K30" s="11"/>
      <c r="L30" s="11"/>
      <c r="M30" s="22"/>
      <c r="N30" s="11"/>
      <c r="P30" s="22"/>
      <c r="R30" s="11"/>
      <c r="S30" s="11"/>
      <c r="V30" s="11"/>
      <c r="W30" s="22"/>
      <c r="X30" s="22"/>
      <c r="Y30" s="22"/>
      <c r="Z30" s="22"/>
      <c r="AA30" s="22"/>
      <c r="AB30" s="22"/>
      <c r="AC30" s="22"/>
      <c r="AD30" s="22"/>
      <c r="AE30" s="22"/>
      <c r="AH30" s="22"/>
      <c r="AI30" s="22"/>
      <c r="AJ30" s="22"/>
    </row>
    <row r="31" spans="1:36" x14ac:dyDescent="0.45">
      <c r="A31" s="5"/>
      <c r="E31" s="5"/>
      <c r="F31" s="5"/>
      <c r="G31" s="11"/>
      <c r="H31" s="11"/>
      <c r="I31" s="72"/>
      <c r="J31" s="11"/>
      <c r="K31" s="11"/>
      <c r="L31" s="11"/>
      <c r="M31" s="22"/>
      <c r="N31" s="11"/>
      <c r="P31" s="22"/>
      <c r="R31" s="11"/>
      <c r="S31" s="11"/>
      <c r="V31" s="11"/>
      <c r="W31" s="22"/>
      <c r="X31" s="22"/>
      <c r="Y31" s="22"/>
      <c r="Z31" s="22"/>
      <c r="AA31" s="22"/>
      <c r="AB31" s="22"/>
      <c r="AC31" s="22"/>
      <c r="AD31" s="22"/>
      <c r="AE31" s="22"/>
      <c r="AH31" s="22"/>
      <c r="AI31" s="22"/>
      <c r="AJ31" s="22"/>
    </row>
    <row r="32" spans="1:36" x14ac:dyDescent="0.45">
      <c r="A32" s="5"/>
      <c r="E32" s="5"/>
      <c r="F32" s="5"/>
      <c r="G32" s="11"/>
      <c r="H32" s="11"/>
      <c r="I32" s="72"/>
      <c r="J32" s="11"/>
      <c r="K32" s="11"/>
      <c r="L32" s="11"/>
      <c r="M32" s="22"/>
      <c r="N32" s="11"/>
      <c r="P32" s="22"/>
      <c r="R32" s="11"/>
      <c r="S32" s="11"/>
      <c r="V32" s="11"/>
      <c r="W32" s="22"/>
      <c r="X32" s="22"/>
      <c r="Y32" s="22"/>
      <c r="Z32" s="22"/>
      <c r="AA32" s="22"/>
      <c r="AB32" s="22"/>
      <c r="AC32" s="22"/>
      <c r="AD32" s="22"/>
      <c r="AE32" s="22"/>
      <c r="AH32" s="22"/>
      <c r="AI32" s="22"/>
      <c r="AJ32" s="22"/>
    </row>
    <row r="33" spans="1:36" x14ac:dyDescent="0.45">
      <c r="A33" s="5"/>
      <c r="E33" s="5"/>
      <c r="F33" s="5"/>
      <c r="G33" s="11"/>
      <c r="H33" s="11"/>
      <c r="I33" s="72"/>
      <c r="J33" s="11"/>
      <c r="K33" s="11"/>
      <c r="L33" s="11"/>
      <c r="M33" s="22"/>
      <c r="N33" s="11"/>
      <c r="P33" s="22"/>
      <c r="R33" s="11"/>
      <c r="S33" s="11"/>
      <c r="V33" s="11"/>
      <c r="W33" s="22"/>
      <c r="X33" s="22"/>
      <c r="Y33" s="22"/>
      <c r="Z33" s="22"/>
      <c r="AA33" s="22"/>
      <c r="AB33" s="22"/>
      <c r="AC33" s="22"/>
      <c r="AD33" s="22"/>
      <c r="AE33" s="22"/>
      <c r="AH33" s="22"/>
      <c r="AI33" s="22"/>
      <c r="AJ33" s="22"/>
    </row>
    <row r="34" spans="1:36" x14ac:dyDescent="0.45">
      <c r="A34" s="5"/>
      <c r="E34" s="5"/>
      <c r="F34" s="5"/>
      <c r="G34" s="11"/>
      <c r="H34" s="11"/>
      <c r="I34" s="72"/>
      <c r="J34" s="11"/>
      <c r="K34" s="11"/>
      <c r="L34" s="11"/>
      <c r="M34" s="22"/>
      <c r="N34" s="11"/>
      <c r="P34" s="22"/>
      <c r="R34" s="11"/>
      <c r="S34" s="11"/>
      <c r="V34" s="11"/>
      <c r="W34" s="22"/>
      <c r="X34" s="22"/>
      <c r="Y34" s="22"/>
      <c r="Z34" s="22"/>
      <c r="AA34" s="22"/>
      <c r="AB34" s="22"/>
      <c r="AC34" s="22"/>
      <c r="AD34" s="22"/>
      <c r="AE34" s="22"/>
      <c r="AH34" s="22"/>
      <c r="AI34" s="22"/>
      <c r="AJ34" s="22"/>
    </row>
    <row r="35" spans="1:36" x14ac:dyDescent="0.45">
      <c r="A35" s="5"/>
      <c r="E35" s="5"/>
      <c r="F35" s="5"/>
      <c r="G35" s="11"/>
      <c r="H35" s="11"/>
      <c r="I35" s="72"/>
      <c r="J35" s="11"/>
      <c r="K35" s="11"/>
      <c r="L35" s="11"/>
      <c r="M35" s="22"/>
      <c r="N35" s="11"/>
      <c r="P35" s="22"/>
      <c r="R35" s="11"/>
      <c r="S35" s="11"/>
      <c r="V35" s="11"/>
      <c r="W35" s="22"/>
      <c r="X35" s="22"/>
      <c r="Y35" s="22"/>
      <c r="Z35" s="22"/>
      <c r="AA35" s="22"/>
      <c r="AB35" s="22"/>
      <c r="AC35" s="22"/>
      <c r="AD35" s="22"/>
      <c r="AE35" s="22"/>
      <c r="AH35" s="22"/>
      <c r="AI35" s="22"/>
      <c r="AJ35" s="22"/>
    </row>
    <row r="36" spans="1:36" x14ac:dyDescent="0.45">
      <c r="A36" s="5"/>
      <c r="E36" s="5"/>
      <c r="F36" s="5"/>
      <c r="G36" s="11"/>
      <c r="H36" s="11"/>
      <c r="I36" s="72"/>
      <c r="J36" s="11"/>
      <c r="K36" s="11"/>
      <c r="L36" s="11"/>
      <c r="M36" s="22"/>
      <c r="N36" s="11"/>
      <c r="P36" s="22"/>
      <c r="R36" s="11"/>
      <c r="S36" s="11"/>
      <c r="V36" s="11"/>
      <c r="W36" s="22"/>
      <c r="X36" s="22"/>
      <c r="Y36" s="22"/>
      <c r="Z36" s="22"/>
      <c r="AA36" s="22"/>
      <c r="AB36" s="22"/>
      <c r="AC36" s="22"/>
      <c r="AD36" s="22"/>
      <c r="AE36" s="22"/>
      <c r="AH36" s="22"/>
      <c r="AI36" s="22"/>
      <c r="AJ36" s="22"/>
    </row>
    <row r="37" spans="1:36" x14ac:dyDescent="0.45">
      <c r="A37" s="5"/>
      <c r="E37" s="5"/>
      <c r="F37" s="5"/>
      <c r="G37" s="11"/>
      <c r="H37" s="11"/>
      <c r="I37" s="72"/>
      <c r="J37" s="11"/>
      <c r="K37" s="11"/>
      <c r="L37" s="11"/>
      <c r="M37" s="22"/>
      <c r="N37" s="11"/>
      <c r="P37" s="22"/>
      <c r="R37" s="11"/>
      <c r="S37" s="11"/>
      <c r="V37" s="11"/>
      <c r="W37" s="22"/>
      <c r="X37" s="22"/>
      <c r="Y37" s="22"/>
      <c r="Z37" s="22"/>
      <c r="AA37" s="22"/>
      <c r="AB37" s="22"/>
      <c r="AC37" s="22"/>
      <c r="AD37" s="22"/>
      <c r="AE37" s="22"/>
      <c r="AH37" s="22"/>
      <c r="AI37" s="22"/>
      <c r="AJ37" s="22"/>
    </row>
    <row r="38" spans="1:36" x14ac:dyDescent="0.45">
      <c r="A38" s="5"/>
      <c r="E38" s="5"/>
      <c r="F38" s="5"/>
      <c r="G38" s="11"/>
      <c r="H38" s="11"/>
      <c r="I38" s="72"/>
      <c r="J38" s="11"/>
      <c r="K38" s="11"/>
      <c r="L38" s="11"/>
      <c r="M38" s="22"/>
      <c r="N38" s="11"/>
      <c r="P38" s="22"/>
      <c r="R38" s="11"/>
      <c r="S38" s="11"/>
      <c r="V38" s="11"/>
      <c r="W38" s="22"/>
      <c r="X38" s="22"/>
      <c r="Y38" s="22"/>
      <c r="Z38" s="22"/>
      <c r="AA38" s="22"/>
      <c r="AB38" s="22"/>
      <c r="AC38" s="22"/>
      <c r="AD38" s="22"/>
      <c r="AE38" s="22"/>
      <c r="AH38" s="22"/>
      <c r="AI38" s="22"/>
      <c r="AJ38" s="22"/>
    </row>
    <row r="39" spans="1:36" x14ac:dyDescent="0.45">
      <c r="A39" s="5"/>
      <c r="E39" s="5"/>
      <c r="F39" s="5"/>
      <c r="G39" s="11"/>
      <c r="H39" s="11"/>
      <c r="I39" s="72"/>
      <c r="J39" s="11"/>
      <c r="K39" s="11"/>
      <c r="M39" s="22"/>
      <c r="N39" s="11"/>
      <c r="P39" s="22"/>
      <c r="S39" s="11"/>
      <c r="V39" s="11"/>
      <c r="W39" s="22"/>
      <c r="X39" s="22"/>
      <c r="Y39" s="22"/>
      <c r="Z39" s="22"/>
      <c r="AA39" s="22"/>
      <c r="AB39" s="22"/>
      <c r="AC39" s="22"/>
      <c r="AD39" s="22"/>
      <c r="AE39" s="22"/>
      <c r="AH39" s="22"/>
      <c r="AI39" s="22"/>
      <c r="AJ39" s="22"/>
    </row>
    <row r="40" spans="1:36" x14ac:dyDescent="0.45">
      <c r="A40" s="5"/>
      <c r="E40" s="5"/>
      <c r="F40" s="5"/>
      <c r="G40" s="11"/>
      <c r="H40" s="11"/>
      <c r="I40" s="72"/>
      <c r="J40" s="11"/>
      <c r="K40" s="11"/>
      <c r="M40" s="22"/>
      <c r="N40" s="11"/>
      <c r="P40" s="22"/>
      <c r="S40" s="11"/>
      <c r="V40" s="11"/>
      <c r="W40" s="22"/>
      <c r="X40" s="22"/>
      <c r="Y40" s="22"/>
      <c r="Z40" s="22"/>
      <c r="AA40" s="22"/>
      <c r="AB40" s="22"/>
      <c r="AC40" s="22"/>
      <c r="AD40" s="22"/>
      <c r="AE40" s="22"/>
      <c r="AH40" s="22"/>
      <c r="AI40" s="22"/>
      <c r="AJ40" s="22"/>
    </row>
    <row r="41" spans="1:36" x14ac:dyDescent="0.45">
      <c r="A41" s="5"/>
      <c r="E41" s="5"/>
      <c r="F41" s="5"/>
      <c r="G41" s="11"/>
      <c r="H41" s="11"/>
      <c r="I41" s="72"/>
      <c r="J41" s="11"/>
      <c r="K41" s="11"/>
      <c r="M41" s="22"/>
      <c r="N41" s="11"/>
      <c r="P41" s="22"/>
      <c r="S41" s="11"/>
      <c r="V41" s="11"/>
      <c r="W41" s="22"/>
      <c r="X41" s="22"/>
      <c r="Y41" s="22"/>
      <c r="Z41" s="22"/>
      <c r="AA41" s="22"/>
      <c r="AB41" s="22"/>
      <c r="AC41" s="22"/>
      <c r="AD41" s="22"/>
      <c r="AE41" s="22"/>
      <c r="AH41" s="22"/>
      <c r="AI41" s="22"/>
      <c r="AJ41" s="22"/>
    </row>
    <row r="42" spans="1:36" x14ac:dyDescent="0.45">
      <c r="A42" s="5"/>
      <c r="E42" s="5"/>
      <c r="F42" s="5"/>
      <c r="G42" s="11"/>
      <c r="H42" s="11"/>
      <c r="I42" s="72"/>
      <c r="J42" s="11"/>
      <c r="K42" s="11"/>
      <c r="M42" s="22"/>
      <c r="N42" s="11"/>
      <c r="P42" s="22"/>
      <c r="S42" s="11"/>
      <c r="V42" s="11"/>
      <c r="W42" s="22"/>
      <c r="X42" s="22"/>
      <c r="Y42" s="22"/>
      <c r="Z42" s="22"/>
      <c r="AA42" s="22"/>
      <c r="AB42" s="22"/>
      <c r="AC42" s="22"/>
      <c r="AD42" s="22"/>
      <c r="AE42" s="22"/>
      <c r="AH42" s="22"/>
      <c r="AI42" s="22"/>
      <c r="AJ42" s="22"/>
    </row>
    <row r="43" spans="1:36" x14ac:dyDescent="0.45">
      <c r="A43" s="5"/>
      <c r="E43" s="5"/>
      <c r="F43" s="5"/>
      <c r="G43" s="11"/>
      <c r="H43" s="11"/>
      <c r="I43" s="72"/>
      <c r="J43" s="11"/>
      <c r="K43" s="11"/>
      <c r="M43" s="22"/>
      <c r="N43" s="11"/>
      <c r="P43" s="22"/>
      <c r="S43" s="11"/>
      <c r="V43" s="11"/>
      <c r="W43" s="22"/>
      <c r="X43" s="22"/>
      <c r="Y43" s="22"/>
      <c r="Z43" s="22"/>
      <c r="AA43" s="22"/>
      <c r="AB43" s="22"/>
      <c r="AC43" s="22"/>
      <c r="AD43" s="22"/>
      <c r="AE43" s="22"/>
      <c r="AH43" s="22"/>
      <c r="AI43" s="22"/>
      <c r="AJ43" s="22"/>
    </row>
    <row r="44" spans="1:36" x14ac:dyDescent="0.45">
      <c r="A44" s="5"/>
      <c r="E44" s="5"/>
      <c r="F44" s="5"/>
      <c r="G44" s="11"/>
      <c r="H44" s="11"/>
      <c r="I44" s="72"/>
      <c r="J44" s="11"/>
      <c r="K44" s="11"/>
      <c r="M44" s="22"/>
      <c r="N44" s="11"/>
      <c r="P44" s="22"/>
      <c r="S44" s="11"/>
      <c r="V44" s="11"/>
      <c r="W44" s="22"/>
      <c r="X44" s="22"/>
      <c r="Y44" s="22"/>
      <c r="Z44" s="22"/>
      <c r="AA44" s="22"/>
      <c r="AB44" s="22"/>
      <c r="AC44" s="22"/>
      <c r="AD44" s="22"/>
      <c r="AE44" s="22"/>
      <c r="AH44" s="22"/>
      <c r="AI44" s="22"/>
      <c r="AJ44" s="22"/>
    </row>
    <row r="45" spans="1:36" x14ac:dyDescent="0.45">
      <c r="A45" s="5"/>
      <c r="E45" s="5"/>
      <c r="F45" s="5"/>
      <c r="G45" s="11"/>
      <c r="H45" s="11"/>
      <c r="I45" s="72"/>
      <c r="J45" s="11"/>
      <c r="K45" s="11"/>
      <c r="M45" s="22"/>
      <c r="N45" s="11"/>
      <c r="P45" s="22"/>
      <c r="S45" s="11"/>
      <c r="V45" s="11"/>
      <c r="W45" s="22"/>
      <c r="X45" s="22"/>
      <c r="Y45" s="22"/>
      <c r="Z45" s="22"/>
      <c r="AA45" s="22"/>
      <c r="AB45" s="22"/>
      <c r="AC45" s="22"/>
      <c r="AD45" s="22"/>
      <c r="AE45" s="22"/>
      <c r="AH45" s="22"/>
      <c r="AI45" s="22"/>
      <c r="AJ45" s="22"/>
    </row>
    <row r="46" spans="1:36" x14ac:dyDescent="0.45">
      <c r="A46" s="5"/>
      <c r="E46" s="5"/>
      <c r="F46" s="5"/>
      <c r="G46" s="11"/>
      <c r="H46" s="11"/>
      <c r="I46" s="72"/>
      <c r="J46" s="11"/>
      <c r="K46" s="11"/>
      <c r="M46" s="22"/>
      <c r="N46" s="11"/>
      <c r="O46" s="3"/>
      <c r="P46" s="22"/>
      <c r="S46" s="11"/>
      <c r="V46" s="11"/>
      <c r="W46" s="22"/>
      <c r="X46" s="22"/>
      <c r="Y46" s="22"/>
      <c r="Z46" s="22"/>
      <c r="AA46" s="22"/>
      <c r="AB46" s="22"/>
      <c r="AC46" s="22"/>
      <c r="AD46" s="22"/>
      <c r="AE46" s="22"/>
      <c r="AH46" s="22"/>
      <c r="AI46" s="22"/>
      <c r="AJ46" s="22"/>
    </row>
    <row r="47" spans="1:36" x14ac:dyDescent="0.45">
      <c r="A47" s="5"/>
      <c r="E47" s="5"/>
      <c r="F47" s="5"/>
      <c r="G47" s="11"/>
      <c r="H47" s="11"/>
      <c r="I47" s="72"/>
      <c r="J47" s="11"/>
      <c r="K47" s="11"/>
      <c r="M47" s="22"/>
      <c r="N47" s="11"/>
      <c r="O47" s="3"/>
      <c r="P47" s="22"/>
      <c r="S47" s="11"/>
      <c r="V47" s="11"/>
      <c r="W47" s="22"/>
      <c r="X47" s="22"/>
      <c r="Y47" s="22"/>
      <c r="Z47" s="22"/>
      <c r="AA47" s="22"/>
      <c r="AB47" s="22"/>
      <c r="AC47" s="22"/>
      <c r="AD47" s="22"/>
      <c r="AE47" s="22"/>
      <c r="AH47" s="22"/>
      <c r="AI47" s="22"/>
      <c r="AJ47" s="22"/>
    </row>
    <row r="48" spans="1:36" x14ac:dyDescent="0.45">
      <c r="A48" s="5"/>
      <c r="E48" s="5"/>
      <c r="F48" s="5"/>
      <c r="G48" s="11"/>
      <c r="H48" s="11"/>
      <c r="I48" s="72"/>
      <c r="J48" s="11"/>
      <c r="K48" s="11"/>
      <c r="M48" s="22"/>
      <c r="N48" s="11"/>
      <c r="O48" s="3"/>
      <c r="P48" s="22"/>
      <c r="S48" s="11"/>
      <c r="V48" s="11"/>
      <c r="W48" s="22"/>
      <c r="X48" s="22"/>
      <c r="Y48" s="22"/>
      <c r="Z48" s="22"/>
      <c r="AA48" s="22"/>
      <c r="AB48" s="22"/>
      <c r="AC48" s="22"/>
      <c r="AD48" s="22"/>
      <c r="AE48" s="22"/>
      <c r="AH48" s="22"/>
      <c r="AI48" s="22"/>
      <c r="AJ48" s="22"/>
    </row>
    <row r="49" spans="1:36" x14ac:dyDescent="0.45">
      <c r="A49" s="5"/>
      <c r="E49" s="5"/>
      <c r="F49" s="5"/>
      <c r="G49" s="11"/>
      <c r="H49" s="11"/>
      <c r="I49" s="72"/>
      <c r="J49" s="11"/>
      <c r="K49" s="11"/>
      <c r="M49" s="22"/>
      <c r="N49" s="11"/>
      <c r="O49" s="3"/>
      <c r="P49" s="22"/>
      <c r="S49" s="11"/>
      <c r="V49" s="11"/>
      <c r="W49" s="22"/>
      <c r="X49" s="22"/>
      <c r="Y49" s="22"/>
      <c r="Z49" s="22"/>
      <c r="AA49" s="22"/>
      <c r="AB49" s="22"/>
      <c r="AC49" s="22"/>
      <c r="AD49" s="22"/>
      <c r="AE49" s="22"/>
      <c r="AH49" s="22"/>
      <c r="AI49" s="22"/>
      <c r="AJ49" s="22"/>
    </row>
    <row r="50" spans="1:36" x14ac:dyDescent="0.45">
      <c r="A50" s="5"/>
      <c r="E50" s="5"/>
      <c r="F50" s="5"/>
      <c r="G50" s="11"/>
      <c r="H50" s="11"/>
      <c r="I50" s="72"/>
      <c r="J50" s="11"/>
      <c r="K50" s="11"/>
      <c r="M50" s="22"/>
      <c r="N50" s="11"/>
      <c r="O50" s="3"/>
      <c r="P50" s="22"/>
      <c r="S50" s="11"/>
      <c r="V50" s="11"/>
      <c r="W50" s="22"/>
      <c r="X50" s="22"/>
      <c r="Y50" s="22"/>
      <c r="Z50" s="22"/>
      <c r="AA50" s="22"/>
      <c r="AB50" s="22"/>
      <c r="AC50" s="22"/>
      <c r="AD50" s="22"/>
      <c r="AE50" s="22"/>
      <c r="AH50" s="22"/>
      <c r="AI50" s="22"/>
      <c r="AJ50" s="22"/>
    </row>
  </sheetData>
  <autoFilter ref="A13:AO36" xr:uid="{00000000-0009-0000-0000-00000C000000}"/>
  <mergeCells count="25">
    <mergeCell ref="H10:H11"/>
    <mergeCell ref="I10:I11"/>
    <mergeCell ref="AE10:AG10"/>
    <mergeCell ref="J10:J11"/>
    <mergeCell ref="L10:M10"/>
    <mergeCell ref="N10:N11"/>
    <mergeCell ref="Q10:R10"/>
    <mergeCell ref="AC10:AD10"/>
    <mergeCell ref="AB10:AB11"/>
    <mergeCell ref="AH10:AH11"/>
    <mergeCell ref="AI10:AI11"/>
    <mergeCell ref="G12:H12"/>
    <mergeCell ref="AC9:AG9"/>
    <mergeCell ref="A10:A11"/>
    <mergeCell ref="B10:B11"/>
    <mergeCell ref="C10:C11"/>
    <mergeCell ref="D10:D11"/>
    <mergeCell ref="E10:E11"/>
    <mergeCell ref="K10:K11"/>
    <mergeCell ref="K9:N9"/>
    <mergeCell ref="O9:P9"/>
    <mergeCell ref="Q9:T9"/>
    <mergeCell ref="W9:AA9"/>
    <mergeCell ref="F10:F11"/>
    <mergeCell ref="G10:G11"/>
  </mergeCells>
  <pageMargins left="0.7" right="0.7" top="0.75" bottom="0.75" header="0.3" footer="0.3"/>
  <pageSetup orientation="portrait" r:id="rId1"/>
  <drawing r:id="rId2"/>
  <legacyDrawing r:id="rId3"/>
  <controls>
    <mc:AlternateContent xmlns:mc="http://schemas.openxmlformats.org/markup-compatibility/2006">
      <mc:Choice Requires="x14">
        <control shapeId="19458" r:id="rId4" name="CommandButton1">
          <controlPr defaultSize="0" autoLine="0" r:id="rId5">
            <anchor moveWithCells="1">
              <from>
                <xdr:col>1</xdr:col>
                <xdr:colOff>95250</xdr:colOff>
                <xdr:row>5</xdr:row>
                <xdr:rowOff>9525</xdr:rowOff>
              </from>
              <to>
                <xdr:col>1</xdr:col>
                <xdr:colOff>1343025</xdr:colOff>
                <xdr:row>6</xdr:row>
                <xdr:rowOff>228600</xdr:rowOff>
              </to>
            </anchor>
          </controlPr>
        </control>
      </mc:Choice>
      <mc:Fallback>
        <control shapeId="19458" r:id="rId4"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hang8"/>
  <dimension ref="A1:AO50"/>
  <sheetViews>
    <sheetView showGridLines="0" topLeftCell="J1" workbookViewId="0">
      <selection activeCell="R28" sqref="R28"/>
    </sheetView>
  </sheetViews>
  <sheetFormatPr defaultColWidth="9.1328125" defaultRowHeight="14.25" x14ac:dyDescent="0.45"/>
  <cols>
    <col min="1" max="1" width="7.59765625" style="3" customWidth="1"/>
    <col min="2" max="2" width="24.1328125" style="3" customWidth="1"/>
    <col min="3" max="3" width="14.59765625" style="5" customWidth="1"/>
    <col min="4" max="4" width="14.86328125" style="5" customWidth="1"/>
    <col min="5" max="5" width="10.265625" style="3" customWidth="1"/>
    <col min="6" max="6" width="8.1328125" style="3" customWidth="1"/>
    <col min="7" max="7" width="14" style="3" customWidth="1"/>
    <col min="8" max="8" width="13.73046875" style="3" customWidth="1"/>
    <col min="9" max="9" width="8.265625" style="44" customWidth="1"/>
    <col min="10" max="10" width="15.1328125" style="3" customWidth="1"/>
    <col min="11" max="11" width="13.73046875" style="3" customWidth="1"/>
    <col min="12" max="12" width="9" style="3" customWidth="1"/>
    <col min="13" max="13" width="14.265625" style="3" customWidth="1"/>
    <col min="14" max="14" width="12.73046875" style="3" customWidth="1"/>
    <col min="15" max="15" width="8.86328125" style="5" customWidth="1"/>
    <col min="16" max="16" width="10.265625" style="3" customWidth="1"/>
    <col min="17" max="17" width="11" style="3" customWidth="1"/>
    <col min="18" max="18" width="12.86328125" style="3" customWidth="1"/>
    <col min="19" max="19" width="13.59765625" style="3" hidden="1" customWidth="1"/>
    <col min="20" max="21" width="12.1328125" style="3" customWidth="1"/>
    <col min="22" max="22" width="16.1328125" style="3" customWidth="1"/>
    <col min="23" max="26" width="13.265625" style="3" customWidth="1"/>
    <col min="27" max="27" width="12.265625" style="3" customWidth="1"/>
    <col min="28" max="28" width="14.73046875" style="3" customWidth="1"/>
    <col min="29" max="29" width="14.265625" style="3" customWidth="1"/>
    <col min="30" max="30" width="12" style="3" customWidth="1"/>
    <col min="31" max="31" width="13.86328125" style="3" customWidth="1"/>
    <col min="32" max="33" width="9.1328125" style="3" hidden="1" customWidth="1"/>
    <col min="34" max="34" width="14" style="3" bestFit="1" customWidth="1"/>
    <col min="35" max="35" width="13" style="3" customWidth="1"/>
    <col min="36" max="37" width="13.73046875" style="3" customWidth="1"/>
    <col min="38" max="41" width="8.1328125" style="3" hidden="1" customWidth="1"/>
    <col min="42" max="16384" width="9.1328125" style="3"/>
  </cols>
  <sheetData>
    <row r="1" spans="1:41" ht="18" customHeight="1" thickBot="1" x14ac:dyDescent="0.5">
      <c r="A1" s="3" t="s">
        <v>376</v>
      </c>
      <c r="B1" s="59" t="s">
        <v>72</v>
      </c>
      <c r="C1" s="6">
        <v>8</v>
      </c>
      <c r="E1" s="376" t="s">
        <v>39</v>
      </c>
      <c r="F1" s="314"/>
      <c r="G1" s="377"/>
      <c r="H1" s="314"/>
      <c r="I1" s="378"/>
      <c r="J1" s="314"/>
      <c r="K1" s="314"/>
      <c r="L1" s="314"/>
      <c r="M1" s="314"/>
      <c r="N1" s="314"/>
      <c r="O1" s="377"/>
      <c r="P1" s="314"/>
      <c r="Q1" s="314"/>
      <c r="R1" s="314"/>
      <c r="S1" s="314"/>
      <c r="T1" s="314"/>
      <c r="U1" s="314"/>
      <c r="V1" s="314"/>
      <c r="W1" s="314"/>
      <c r="X1" s="314"/>
      <c r="Y1" s="314"/>
      <c r="Z1" s="314"/>
      <c r="AA1" s="314"/>
      <c r="AB1" s="314"/>
      <c r="AC1" s="314"/>
      <c r="AD1" s="314"/>
      <c r="AE1" s="314"/>
      <c r="AF1" s="314"/>
      <c r="AG1" s="314"/>
      <c r="AH1" s="314"/>
      <c r="AI1" s="314"/>
      <c r="AJ1" s="314"/>
      <c r="AK1" s="314"/>
      <c r="AL1" s="86"/>
      <c r="AM1" s="86"/>
      <c r="AN1" s="86"/>
      <c r="AO1" s="86"/>
    </row>
    <row r="2" spans="1:41" s="150" customFormat="1" ht="14.25" customHeight="1" thickTop="1" x14ac:dyDescent="0.45">
      <c r="C2" s="70"/>
      <c r="D2" s="70"/>
      <c r="E2" s="379">
        <f t="array" aca="1" ref="E2" ca="1">IFERROR(INDEX(INDIRECT($E$8),MATCH(0,COUNTIF(E$1:$E1,INDIRECT($E$8)&amp;""),0)),"")</f>
        <v>0</v>
      </c>
      <c r="F2" s="380">
        <f t="shared" ref="F2:U6" ca="1" si="0">SUMIFS(F$14:F$1400,$E$14:$E$1400,$E2)</f>
        <v>0</v>
      </c>
      <c r="G2" s="380">
        <f t="shared" ca="1" si="0"/>
        <v>0</v>
      </c>
      <c r="H2" s="380">
        <f t="shared" ca="1" si="0"/>
        <v>0</v>
      </c>
      <c r="I2" s="380"/>
      <c r="J2" s="380">
        <f t="shared" ca="1" si="0"/>
        <v>0</v>
      </c>
      <c r="K2" s="380">
        <f t="shared" ca="1" si="0"/>
        <v>0</v>
      </c>
      <c r="L2" s="380">
        <f t="shared" ca="1" si="0"/>
        <v>0</v>
      </c>
      <c r="M2" s="380">
        <f t="shared" ca="1" si="0"/>
        <v>0</v>
      </c>
      <c r="N2" s="380">
        <f t="shared" ca="1" si="0"/>
        <v>0</v>
      </c>
      <c r="O2" s="381">
        <f t="shared" ca="1" si="0"/>
        <v>0</v>
      </c>
      <c r="P2" s="380">
        <f t="shared" ca="1" si="0"/>
        <v>0</v>
      </c>
      <c r="Q2" s="380">
        <f t="shared" ca="1" si="0"/>
        <v>0</v>
      </c>
      <c r="R2" s="380">
        <f t="shared" ca="1" si="0"/>
        <v>0</v>
      </c>
      <c r="S2" s="380">
        <f t="shared" ca="1" si="0"/>
        <v>0</v>
      </c>
      <c r="T2" s="380">
        <f t="shared" ca="1" si="0"/>
        <v>0</v>
      </c>
      <c r="U2" s="380">
        <f t="shared" ca="1" si="0"/>
        <v>0</v>
      </c>
      <c r="V2" s="380">
        <f ca="1">SUMIFS(V$14:V$1400,$E$14:$E$1400,$E2)</f>
        <v>0</v>
      </c>
      <c r="W2" s="380">
        <f t="shared" ref="V2:AJ6" ca="1" si="1">SUMIFS(W$14:W$1400,$E$14:$E$1400,$E2)</f>
        <v>0</v>
      </c>
      <c r="X2" s="380">
        <f ca="1">SUMIFS(X$14:X$1400,$E$14:$E$1400,$E2)</f>
        <v>0</v>
      </c>
      <c r="Y2" s="380"/>
      <c r="Z2" s="380">
        <f t="shared" ca="1" si="1"/>
        <v>0</v>
      </c>
      <c r="AA2" s="380">
        <f t="shared" ca="1" si="1"/>
        <v>0</v>
      </c>
      <c r="AB2" s="380">
        <f t="shared" ca="1" si="1"/>
        <v>0</v>
      </c>
      <c r="AC2" s="380">
        <f t="shared" ca="1" si="1"/>
        <v>0</v>
      </c>
      <c r="AD2" s="380">
        <f t="shared" ca="1" si="1"/>
        <v>0</v>
      </c>
      <c r="AE2" s="380">
        <f t="shared" ca="1" si="1"/>
        <v>0</v>
      </c>
      <c r="AF2" s="382">
        <f t="shared" ca="1" si="1"/>
        <v>0</v>
      </c>
      <c r="AG2" s="382">
        <f t="shared" ca="1" si="1"/>
        <v>0</v>
      </c>
      <c r="AH2" s="380">
        <f t="shared" ca="1" si="1"/>
        <v>0</v>
      </c>
      <c r="AI2" s="380">
        <f t="shared" ca="1" si="1"/>
        <v>0</v>
      </c>
      <c r="AJ2" s="380">
        <f t="shared" ca="1" si="1"/>
        <v>0</v>
      </c>
      <c r="AK2" s="383"/>
      <c r="AL2" s="86"/>
      <c r="AM2" s="86"/>
      <c r="AN2" s="86"/>
      <c r="AO2" s="86"/>
    </row>
    <row r="3" spans="1:41" s="150" customFormat="1" ht="14.25" customHeight="1" x14ac:dyDescent="0.45">
      <c r="C3" s="70"/>
      <c r="D3" s="70"/>
      <c r="E3" s="379">
        <f t="array" aca="1" ref="E3" ca="1">IFERROR(INDEX(INDIRECT($E$8),MATCH(0,COUNTIF(E$1:$E2,INDIRECT($E$8)&amp;""),0)),"")</f>
        <v>0</v>
      </c>
      <c r="F3" s="384">
        <f t="shared" ca="1" si="0"/>
        <v>0</v>
      </c>
      <c r="G3" s="384">
        <f t="shared" ca="1" si="0"/>
        <v>0</v>
      </c>
      <c r="H3" s="384">
        <f ca="1">SUMIFS(H$14:H$1400,$E$14:$E$1400,$E3)</f>
        <v>0</v>
      </c>
      <c r="I3" s="384"/>
      <c r="J3" s="384">
        <f t="shared" ca="1" si="0"/>
        <v>0</v>
      </c>
      <c r="K3" s="384">
        <f t="shared" ca="1" si="0"/>
        <v>0</v>
      </c>
      <c r="L3" s="384">
        <f t="shared" ca="1" si="0"/>
        <v>0</v>
      </c>
      <c r="M3" s="384">
        <f t="shared" ca="1" si="0"/>
        <v>0</v>
      </c>
      <c r="N3" s="384">
        <f t="shared" ca="1" si="0"/>
        <v>0</v>
      </c>
      <c r="O3" s="385">
        <f t="shared" ca="1" si="0"/>
        <v>0</v>
      </c>
      <c r="P3" s="384">
        <f t="shared" ca="1" si="0"/>
        <v>0</v>
      </c>
      <c r="Q3" s="384">
        <f t="shared" ca="1" si="0"/>
        <v>0</v>
      </c>
      <c r="R3" s="384">
        <f t="shared" ca="1" si="0"/>
        <v>0</v>
      </c>
      <c r="S3" s="384">
        <f t="shared" ca="1" si="0"/>
        <v>0</v>
      </c>
      <c r="T3" s="384">
        <f t="shared" ca="1" si="0"/>
        <v>0</v>
      </c>
      <c r="U3" s="384">
        <f t="shared" ca="1" si="0"/>
        <v>0</v>
      </c>
      <c r="V3" s="384">
        <f t="shared" ca="1" si="1"/>
        <v>0</v>
      </c>
      <c r="W3" s="384">
        <f t="shared" ca="1" si="1"/>
        <v>0</v>
      </c>
      <c r="X3" s="384">
        <f ca="1">SUMIFS(X$14:X$1400,$E$14:$E$1400,$E3)</f>
        <v>0</v>
      </c>
      <c r="Y3" s="384"/>
      <c r="Z3" s="384">
        <f t="shared" ca="1" si="1"/>
        <v>0</v>
      </c>
      <c r="AA3" s="384">
        <f t="shared" ca="1" si="1"/>
        <v>0</v>
      </c>
      <c r="AB3" s="384">
        <f t="shared" ca="1" si="1"/>
        <v>0</v>
      </c>
      <c r="AC3" s="384">
        <f t="shared" ca="1" si="1"/>
        <v>0</v>
      </c>
      <c r="AD3" s="384">
        <f t="shared" ca="1" si="1"/>
        <v>0</v>
      </c>
      <c r="AE3" s="384">
        <f t="shared" ca="1" si="1"/>
        <v>0</v>
      </c>
      <c r="AF3" s="386">
        <f t="shared" ca="1" si="1"/>
        <v>0</v>
      </c>
      <c r="AG3" s="386">
        <f t="shared" ca="1" si="1"/>
        <v>0</v>
      </c>
      <c r="AH3" s="384">
        <f t="shared" ca="1" si="1"/>
        <v>0</v>
      </c>
      <c r="AI3" s="384">
        <f t="shared" ca="1" si="1"/>
        <v>0</v>
      </c>
      <c r="AJ3" s="384">
        <f t="shared" ca="1" si="1"/>
        <v>0</v>
      </c>
      <c r="AK3" s="387"/>
      <c r="AL3" s="86"/>
      <c r="AM3" s="86"/>
      <c r="AN3" s="86"/>
      <c r="AO3" s="86"/>
    </row>
    <row r="4" spans="1:41" ht="14.25" customHeight="1" x14ac:dyDescent="0.45">
      <c r="E4" s="379">
        <f t="array" aca="1" ref="E4" ca="1">IFERROR(INDEX(INDIRECT($E$8),MATCH(0,COUNTIF(E$1:$E3,INDIRECT($E$8)&amp;""),0)),"")</f>
        <v>0</v>
      </c>
      <c r="F4" s="384">
        <f t="shared" ca="1" si="0"/>
        <v>0</v>
      </c>
      <c r="G4" s="384">
        <f t="shared" ca="1" si="0"/>
        <v>0</v>
      </c>
      <c r="H4" s="384">
        <f t="shared" ca="1" si="0"/>
        <v>0</v>
      </c>
      <c r="I4" s="384"/>
      <c r="J4" s="384">
        <f t="shared" ca="1" si="0"/>
        <v>0</v>
      </c>
      <c r="K4" s="384">
        <f t="shared" ca="1" si="0"/>
        <v>0</v>
      </c>
      <c r="L4" s="384">
        <f t="shared" ca="1" si="0"/>
        <v>0</v>
      </c>
      <c r="M4" s="384">
        <f t="shared" ca="1" si="0"/>
        <v>0</v>
      </c>
      <c r="N4" s="384">
        <f t="shared" ca="1" si="0"/>
        <v>0</v>
      </c>
      <c r="O4" s="385">
        <f t="shared" ca="1" si="0"/>
        <v>0</v>
      </c>
      <c r="P4" s="384">
        <f t="shared" ca="1" si="0"/>
        <v>0</v>
      </c>
      <c r="Q4" s="384">
        <f t="shared" ca="1" si="0"/>
        <v>0</v>
      </c>
      <c r="R4" s="384">
        <f t="shared" ca="1" si="0"/>
        <v>0</v>
      </c>
      <c r="S4" s="384">
        <f t="shared" ca="1" si="0"/>
        <v>0</v>
      </c>
      <c r="T4" s="384">
        <f t="shared" ca="1" si="0"/>
        <v>0</v>
      </c>
      <c r="U4" s="384">
        <f t="shared" ca="1" si="0"/>
        <v>0</v>
      </c>
      <c r="V4" s="384">
        <f t="shared" ca="1" si="1"/>
        <v>0</v>
      </c>
      <c r="W4" s="384">
        <f t="shared" ca="1" si="1"/>
        <v>0</v>
      </c>
      <c r="X4" s="384">
        <f t="shared" ca="1" si="1"/>
        <v>0</v>
      </c>
      <c r="Y4" s="384"/>
      <c r="Z4" s="384">
        <f t="shared" ca="1" si="1"/>
        <v>0</v>
      </c>
      <c r="AA4" s="384">
        <f t="shared" ca="1" si="1"/>
        <v>0</v>
      </c>
      <c r="AB4" s="384">
        <f t="shared" ca="1" si="1"/>
        <v>0</v>
      </c>
      <c r="AC4" s="384">
        <f t="shared" ca="1" si="1"/>
        <v>0</v>
      </c>
      <c r="AD4" s="384">
        <f t="shared" ca="1" si="1"/>
        <v>0</v>
      </c>
      <c r="AE4" s="384">
        <f t="shared" ca="1" si="1"/>
        <v>0</v>
      </c>
      <c r="AF4" s="384">
        <f t="shared" ca="1" si="1"/>
        <v>0</v>
      </c>
      <c r="AG4" s="384">
        <f t="shared" ca="1" si="1"/>
        <v>0</v>
      </c>
      <c r="AH4" s="384">
        <f t="shared" ca="1" si="1"/>
        <v>0</v>
      </c>
      <c r="AI4" s="384">
        <f t="shared" ca="1" si="1"/>
        <v>0</v>
      </c>
      <c r="AJ4" s="384">
        <f t="shared" ca="1" si="1"/>
        <v>0</v>
      </c>
      <c r="AK4" s="387"/>
      <c r="AL4" s="86"/>
      <c r="AM4" s="86"/>
      <c r="AN4" s="86"/>
      <c r="AO4" s="86"/>
    </row>
    <row r="5" spans="1:41" ht="14.25" customHeight="1" x14ac:dyDescent="0.45">
      <c r="E5" s="379">
        <f t="array" aca="1" ref="E5" ca="1">IFERROR(INDEX(INDIRECT($E$8),MATCH(0,COUNTIF(E$1:$E4,INDIRECT($E$8)&amp;""),0)),"")</f>
        <v>0</v>
      </c>
      <c r="F5" s="384">
        <f t="shared" ca="1" si="0"/>
        <v>0</v>
      </c>
      <c r="G5" s="384">
        <f t="shared" ca="1" si="0"/>
        <v>0</v>
      </c>
      <c r="H5" s="384">
        <f t="shared" ca="1" si="0"/>
        <v>0</v>
      </c>
      <c r="I5" s="384"/>
      <c r="J5" s="384">
        <f t="shared" ca="1" si="0"/>
        <v>0</v>
      </c>
      <c r="K5" s="384">
        <f t="shared" ca="1" si="0"/>
        <v>0</v>
      </c>
      <c r="L5" s="384">
        <f t="shared" ca="1" si="0"/>
        <v>0</v>
      </c>
      <c r="M5" s="384">
        <f t="shared" ca="1" si="0"/>
        <v>0</v>
      </c>
      <c r="N5" s="384">
        <f t="shared" ca="1" si="0"/>
        <v>0</v>
      </c>
      <c r="O5" s="385">
        <f t="shared" ca="1" si="0"/>
        <v>0</v>
      </c>
      <c r="P5" s="384">
        <f t="shared" ca="1" si="0"/>
        <v>0</v>
      </c>
      <c r="Q5" s="384">
        <f t="shared" ca="1" si="0"/>
        <v>0</v>
      </c>
      <c r="R5" s="384">
        <f t="shared" ca="1" si="0"/>
        <v>0</v>
      </c>
      <c r="S5" s="384">
        <f t="shared" ca="1" si="0"/>
        <v>0</v>
      </c>
      <c r="T5" s="384">
        <f t="shared" ca="1" si="0"/>
        <v>0</v>
      </c>
      <c r="U5" s="384">
        <f t="shared" ca="1" si="0"/>
        <v>0</v>
      </c>
      <c r="V5" s="384">
        <f t="shared" ca="1" si="1"/>
        <v>0</v>
      </c>
      <c r="W5" s="384">
        <f t="shared" ca="1" si="1"/>
        <v>0</v>
      </c>
      <c r="X5" s="384">
        <f t="shared" ca="1" si="1"/>
        <v>0</v>
      </c>
      <c r="Y5" s="384"/>
      <c r="Z5" s="384">
        <f t="shared" ca="1" si="1"/>
        <v>0</v>
      </c>
      <c r="AA5" s="384">
        <f t="shared" ca="1" si="1"/>
        <v>0</v>
      </c>
      <c r="AB5" s="384">
        <f t="shared" ca="1" si="1"/>
        <v>0</v>
      </c>
      <c r="AC5" s="384">
        <f t="shared" ca="1" si="1"/>
        <v>0</v>
      </c>
      <c r="AD5" s="384">
        <f t="shared" ca="1" si="1"/>
        <v>0</v>
      </c>
      <c r="AE5" s="384">
        <f t="shared" ca="1" si="1"/>
        <v>0</v>
      </c>
      <c r="AF5" s="384">
        <f t="shared" ca="1" si="1"/>
        <v>0</v>
      </c>
      <c r="AG5" s="384">
        <f t="shared" ca="1" si="1"/>
        <v>0</v>
      </c>
      <c r="AH5" s="384">
        <f t="shared" ca="1" si="1"/>
        <v>0</v>
      </c>
      <c r="AI5" s="384">
        <f t="shared" ca="1" si="1"/>
        <v>0</v>
      </c>
      <c r="AJ5" s="384">
        <f t="shared" ca="1" si="1"/>
        <v>0</v>
      </c>
      <c r="AK5" s="387"/>
      <c r="AL5" s="86"/>
      <c r="AM5" s="86"/>
      <c r="AN5" s="86"/>
      <c r="AO5" s="86"/>
    </row>
    <row r="6" spans="1:41" ht="13.5" customHeight="1" x14ac:dyDescent="0.45">
      <c r="E6" s="379">
        <f t="array" aca="1" ref="E6" ca="1">IFERROR(INDEX(INDIRECT($E$8),MATCH(0,COUNTIF(E$1:$E5,INDIRECT($E$8)&amp;""),0)),"")</f>
        <v>0</v>
      </c>
      <c r="F6" s="384">
        <f t="shared" ca="1" si="0"/>
        <v>0</v>
      </c>
      <c r="G6" s="384">
        <f t="shared" ca="1" si="0"/>
        <v>0</v>
      </c>
      <c r="H6" s="384">
        <f t="shared" ca="1" si="0"/>
        <v>0</v>
      </c>
      <c r="I6" s="384"/>
      <c r="J6" s="384">
        <f t="shared" ca="1" si="0"/>
        <v>0</v>
      </c>
      <c r="K6" s="384">
        <f t="shared" ca="1" si="0"/>
        <v>0</v>
      </c>
      <c r="L6" s="384">
        <f t="shared" ca="1" si="0"/>
        <v>0</v>
      </c>
      <c r="M6" s="384">
        <f t="shared" ca="1" si="0"/>
        <v>0</v>
      </c>
      <c r="N6" s="384">
        <f t="shared" ca="1" si="0"/>
        <v>0</v>
      </c>
      <c r="O6" s="385">
        <f t="shared" ca="1" si="0"/>
        <v>0</v>
      </c>
      <c r="P6" s="384">
        <f t="shared" ca="1" si="0"/>
        <v>0</v>
      </c>
      <c r="Q6" s="384">
        <f t="shared" ca="1" si="0"/>
        <v>0</v>
      </c>
      <c r="R6" s="384">
        <f t="shared" ca="1" si="0"/>
        <v>0</v>
      </c>
      <c r="S6" s="384">
        <f t="shared" ca="1" si="0"/>
        <v>0</v>
      </c>
      <c r="T6" s="384">
        <f t="shared" ca="1" si="0"/>
        <v>0</v>
      </c>
      <c r="U6" s="384">
        <f t="shared" ca="1" si="0"/>
        <v>0</v>
      </c>
      <c r="V6" s="384">
        <f t="shared" ca="1" si="1"/>
        <v>0</v>
      </c>
      <c r="W6" s="384">
        <f t="shared" ca="1" si="1"/>
        <v>0</v>
      </c>
      <c r="X6" s="384">
        <f ca="1">SUMIFS(X$14:X$1400,$E$14:$E$1400,$E6)</f>
        <v>0</v>
      </c>
      <c r="Y6" s="384"/>
      <c r="Z6" s="384">
        <f t="shared" ca="1" si="1"/>
        <v>0</v>
      </c>
      <c r="AA6" s="384">
        <f t="shared" ca="1" si="1"/>
        <v>0</v>
      </c>
      <c r="AB6" s="384">
        <f t="shared" ca="1" si="1"/>
        <v>0</v>
      </c>
      <c r="AC6" s="384">
        <f t="shared" ca="1" si="1"/>
        <v>0</v>
      </c>
      <c r="AD6" s="384">
        <f t="shared" ca="1" si="1"/>
        <v>0</v>
      </c>
      <c r="AE6" s="384">
        <f t="shared" ca="1" si="1"/>
        <v>0</v>
      </c>
      <c r="AF6" s="384">
        <f t="shared" ca="1" si="1"/>
        <v>0</v>
      </c>
      <c r="AG6" s="384">
        <f t="shared" ca="1" si="1"/>
        <v>0</v>
      </c>
      <c r="AH6" s="384">
        <f t="shared" ca="1" si="1"/>
        <v>0</v>
      </c>
      <c r="AI6" s="384">
        <f t="shared" ca="1" si="1"/>
        <v>0</v>
      </c>
      <c r="AJ6" s="384">
        <f t="shared" ca="1" si="1"/>
        <v>0</v>
      </c>
      <c r="AK6" s="387"/>
      <c r="AL6" s="86"/>
      <c r="AM6" s="86"/>
      <c r="AN6" s="86"/>
      <c r="AO6" s="86"/>
    </row>
    <row r="7" spans="1:41" s="58" customFormat="1" ht="19.7" customHeight="1" x14ac:dyDescent="0.45">
      <c r="C7" s="61">
        <f ca="1">COUNTIF(I14:I1400,"&gt;0")</f>
        <v>0</v>
      </c>
      <c r="D7" s="61"/>
      <c r="E7" s="64" t="s">
        <v>82</v>
      </c>
      <c r="F7" s="63">
        <f ca="1">SUM(F2:F6)</f>
        <v>0</v>
      </c>
      <c r="G7" s="63">
        <f ca="1">SUM(G2:G6)</f>
        <v>0</v>
      </c>
      <c r="H7" s="63">
        <f t="shared" ref="H7:AJ7" ca="1" si="2">SUM(H2:H6)</f>
        <v>0</v>
      </c>
      <c r="I7" s="63"/>
      <c r="J7" s="63">
        <f t="shared" ca="1" si="2"/>
        <v>0</v>
      </c>
      <c r="K7" s="63">
        <f t="shared" ca="1" si="2"/>
        <v>0</v>
      </c>
      <c r="L7" s="63">
        <f t="shared" ca="1" si="2"/>
        <v>0</v>
      </c>
      <c r="M7" s="63">
        <f t="shared" ca="1" si="2"/>
        <v>0</v>
      </c>
      <c r="N7" s="63">
        <f t="shared" ca="1" si="2"/>
        <v>0</v>
      </c>
      <c r="O7" s="212">
        <f t="shared" ca="1" si="2"/>
        <v>0</v>
      </c>
      <c r="P7" s="63">
        <f t="shared" ca="1" si="2"/>
        <v>0</v>
      </c>
      <c r="Q7" s="63">
        <f t="shared" ca="1" si="2"/>
        <v>0</v>
      </c>
      <c r="R7" s="63">
        <f t="shared" ca="1" si="2"/>
        <v>0</v>
      </c>
      <c r="S7" s="63">
        <f t="shared" ca="1" si="2"/>
        <v>0</v>
      </c>
      <c r="T7" s="63">
        <f t="shared" ca="1" si="2"/>
        <v>0</v>
      </c>
      <c r="U7" s="63">
        <f t="shared" ca="1" si="2"/>
        <v>0</v>
      </c>
      <c r="V7" s="63">
        <f t="shared" ca="1" si="2"/>
        <v>0</v>
      </c>
      <c r="W7" s="63">
        <f t="shared" ca="1" si="2"/>
        <v>0</v>
      </c>
      <c r="X7" s="63">
        <f t="shared" ca="1" si="2"/>
        <v>0</v>
      </c>
      <c r="Y7" s="63"/>
      <c r="Z7" s="63">
        <f t="shared" ca="1" si="2"/>
        <v>0</v>
      </c>
      <c r="AA7" s="63">
        <f t="shared" ca="1" si="2"/>
        <v>0</v>
      </c>
      <c r="AB7" s="63">
        <f t="shared" ca="1" si="2"/>
        <v>0</v>
      </c>
      <c r="AC7" s="63">
        <f t="shared" ca="1" si="2"/>
        <v>0</v>
      </c>
      <c r="AD7" s="63">
        <f t="shared" ca="1" si="2"/>
        <v>0</v>
      </c>
      <c r="AE7" s="63">
        <f t="shared" ca="1" si="2"/>
        <v>0</v>
      </c>
      <c r="AF7" s="63">
        <f t="shared" ca="1" si="2"/>
        <v>0</v>
      </c>
      <c r="AG7" s="63">
        <f t="shared" ca="1" si="2"/>
        <v>0</v>
      </c>
      <c r="AH7" s="63">
        <f t="shared" ca="1" si="2"/>
        <v>0</v>
      </c>
      <c r="AI7" s="63">
        <f t="shared" ca="1" si="2"/>
        <v>0</v>
      </c>
      <c r="AJ7" s="63">
        <f t="shared" ca="1" si="2"/>
        <v>0</v>
      </c>
      <c r="AK7" s="62"/>
      <c r="AL7" s="86"/>
      <c r="AM7" s="86"/>
      <c r="AN7" s="86"/>
      <c r="AO7" s="86"/>
    </row>
    <row r="8" spans="1:41" s="58" customFormat="1" ht="19.7" customHeight="1" x14ac:dyDescent="0.45">
      <c r="A8" s="55"/>
      <c r="B8" s="55"/>
      <c r="C8" s="56"/>
      <c r="D8" s="56"/>
      <c r="E8" s="91" t="str">
        <f ca="1">"$E$14:$E$"&amp;COUNTA(E14:E1000)+14</f>
        <v>$E$14:$E$16</v>
      </c>
      <c r="F8" s="57">
        <f ca="1">SUBTOTAL(9,F$14:F$1400)</f>
        <v>0</v>
      </c>
      <c r="G8" s="57">
        <f ca="1">SUBTOTAL(9,G$14:G$1400)</f>
        <v>0</v>
      </c>
      <c r="H8" s="57">
        <f t="shared" ref="H8:AJ8" ca="1" si="3">SUBTOTAL(9,H$14:H$1400)</f>
        <v>0</v>
      </c>
      <c r="I8" s="57"/>
      <c r="J8" s="57">
        <f t="shared" ca="1" si="3"/>
        <v>0</v>
      </c>
      <c r="K8" s="57">
        <f t="shared" ca="1" si="3"/>
        <v>0</v>
      </c>
      <c r="L8" s="57">
        <f t="shared" si="3"/>
        <v>0</v>
      </c>
      <c r="M8" s="57">
        <f t="shared" ca="1" si="3"/>
        <v>0</v>
      </c>
      <c r="N8" s="57">
        <f t="shared" ca="1" si="3"/>
        <v>0</v>
      </c>
      <c r="O8" s="213">
        <f t="shared" si="3"/>
        <v>0</v>
      </c>
      <c r="P8" s="57">
        <f t="shared" ca="1" si="3"/>
        <v>0</v>
      </c>
      <c r="Q8" s="57">
        <f t="shared" si="3"/>
        <v>0</v>
      </c>
      <c r="R8" s="57">
        <f t="shared" si="3"/>
        <v>0</v>
      </c>
      <c r="S8" s="57">
        <f t="shared" si="3"/>
        <v>0</v>
      </c>
      <c r="T8" s="57">
        <f t="shared" si="3"/>
        <v>0</v>
      </c>
      <c r="U8" s="57">
        <f t="shared" si="3"/>
        <v>0</v>
      </c>
      <c r="V8" s="57">
        <f t="shared" ca="1" si="3"/>
        <v>0</v>
      </c>
      <c r="W8" s="57">
        <f t="shared" ca="1" si="3"/>
        <v>0</v>
      </c>
      <c r="X8" s="57">
        <f t="shared" ca="1" si="3"/>
        <v>0</v>
      </c>
      <c r="Y8" s="57"/>
      <c r="Z8" s="57">
        <f t="shared" ca="1" si="3"/>
        <v>0</v>
      </c>
      <c r="AA8" s="57">
        <f t="shared" ca="1" si="3"/>
        <v>0</v>
      </c>
      <c r="AB8" s="57">
        <f t="shared" ca="1" si="3"/>
        <v>0</v>
      </c>
      <c r="AC8" s="57">
        <f t="shared" ca="1" si="3"/>
        <v>0</v>
      </c>
      <c r="AD8" s="57">
        <f t="shared" ca="1" si="3"/>
        <v>0</v>
      </c>
      <c r="AE8" s="57">
        <f t="shared" ca="1" si="3"/>
        <v>0</v>
      </c>
      <c r="AF8" s="57">
        <f t="shared" si="3"/>
        <v>0</v>
      </c>
      <c r="AG8" s="57">
        <f t="shared" si="3"/>
        <v>0</v>
      </c>
      <c r="AH8" s="57">
        <f t="shared" ca="1" si="3"/>
        <v>0</v>
      </c>
      <c r="AI8" s="57">
        <f t="shared" ca="1" si="3"/>
        <v>0</v>
      </c>
      <c r="AJ8" s="57">
        <f t="shared" ca="1" si="3"/>
        <v>0</v>
      </c>
      <c r="AK8" s="57"/>
      <c r="AL8" s="86"/>
      <c r="AM8" s="86"/>
      <c r="AN8" s="86"/>
      <c r="AO8" s="86"/>
    </row>
    <row r="9" spans="1:41" x14ac:dyDescent="0.45">
      <c r="A9" s="26"/>
      <c r="B9" s="26"/>
      <c r="C9" s="43"/>
      <c r="D9" s="43"/>
      <c r="E9" s="26"/>
      <c r="F9" s="26"/>
      <c r="G9" s="26"/>
      <c r="H9" s="26"/>
      <c r="I9" s="52"/>
      <c r="J9" s="54"/>
      <c r="K9" s="609" t="s">
        <v>111</v>
      </c>
      <c r="L9" s="590"/>
      <c r="M9" s="590"/>
      <c r="N9" s="590"/>
      <c r="O9" s="606" t="s">
        <v>369</v>
      </c>
      <c r="P9" s="606"/>
      <c r="Q9" s="611" t="s">
        <v>49</v>
      </c>
      <c r="R9" s="612"/>
      <c r="S9" s="613"/>
      <c r="T9" s="613"/>
      <c r="U9" s="163"/>
      <c r="V9" s="95"/>
      <c r="W9" s="604" t="s">
        <v>53</v>
      </c>
      <c r="X9" s="604"/>
      <c r="Y9" s="604"/>
      <c r="Z9" s="604"/>
      <c r="AA9" s="605"/>
      <c r="AB9" s="92"/>
      <c r="AC9" s="607" t="s">
        <v>56</v>
      </c>
      <c r="AD9" s="608"/>
      <c r="AE9" s="608"/>
      <c r="AF9" s="608"/>
      <c r="AG9" s="608"/>
      <c r="AH9" s="94"/>
      <c r="AI9" s="94"/>
      <c r="AJ9" s="26"/>
      <c r="AK9" s="42"/>
      <c r="AL9" s="86"/>
      <c r="AM9" s="86"/>
      <c r="AN9" s="86"/>
      <c r="AO9" s="86"/>
    </row>
    <row r="10" spans="1:41" ht="15" customHeight="1" x14ac:dyDescent="0.45">
      <c r="A10" s="622" t="s">
        <v>1</v>
      </c>
      <c r="B10" s="622" t="s">
        <v>2</v>
      </c>
      <c r="C10" s="622" t="s">
        <v>3</v>
      </c>
      <c r="D10" s="622" t="s">
        <v>4</v>
      </c>
      <c r="E10" s="622" t="s">
        <v>39</v>
      </c>
      <c r="F10" s="622" t="s">
        <v>6</v>
      </c>
      <c r="G10" s="622" t="s">
        <v>7</v>
      </c>
      <c r="H10" s="622" t="s">
        <v>40</v>
      </c>
      <c r="I10" s="625" t="s">
        <v>42</v>
      </c>
      <c r="J10" s="622" t="s">
        <v>41</v>
      </c>
      <c r="K10" s="627" t="s">
        <v>298</v>
      </c>
      <c r="L10" s="590" t="s">
        <v>44</v>
      </c>
      <c r="M10" s="590"/>
      <c r="N10" s="627" t="s">
        <v>299</v>
      </c>
      <c r="O10" s="163"/>
      <c r="P10" s="31"/>
      <c r="Q10" s="614" t="s">
        <v>79</v>
      </c>
      <c r="R10" s="614"/>
      <c r="S10" s="168"/>
      <c r="T10" s="170"/>
      <c r="U10" s="164"/>
      <c r="V10" s="96"/>
      <c r="W10" s="32"/>
      <c r="X10" s="26"/>
      <c r="Y10" s="26"/>
      <c r="Z10" s="26"/>
      <c r="AA10" s="32"/>
      <c r="AB10" s="599" t="s">
        <v>57</v>
      </c>
      <c r="AC10" s="615" t="s">
        <v>58</v>
      </c>
      <c r="AD10" s="616"/>
      <c r="AE10" s="615"/>
      <c r="AF10" s="616"/>
      <c r="AG10" s="617"/>
      <c r="AH10" s="599" t="s">
        <v>59</v>
      </c>
      <c r="AI10" s="632" t="s">
        <v>61</v>
      </c>
      <c r="AJ10" s="35"/>
      <c r="AK10" s="35"/>
      <c r="AL10" s="86"/>
      <c r="AM10" s="86"/>
      <c r="AN10" s="86"/>
      <c r="AO10" s="86"/>
    </row>
    <row r="11" spans="1:41" s="4" customFormat="1" ht="33" customHeight="1" x14ac:dyDescent="0.45">
      <c r="A11" s="622"/>
      <c r="B11" s="622"/>
      <c r="C11" s="622"/>
      <c r="D11" s="622"/>
      <c r="E11" s="622"/>
      <c r="F11" s="622"/>
      <c r="G11" s="622"/>
      <c r="H11" s="622"/>
      <c r="I11" s="625"/>
      <c r="J11" s="622"/>
      <c r="K11" s="628"/>
      <c r="L11" s="160" t="s">
        <v>45</v>
      </c>
      <c r="M11" s="25" t="s">
        <v>46</v>
      </c>
      <c r="N11" s="628"/>
      <c r="O11" s="203" t="s">
        <v>370</v>
      </c>
      <c r="P11" s="103" t="s">
        <v>371</v>
      </c>
      <c r="Q11" s="161" t="s">
        <v>51</v>
      </c>
      <c r="R11" s="28" t="s">
        <v>78</v>
      </c>
      <c r="S11" s="169" t="s">
        <v>50</v>
      </c>
      <c r="T11" s="171" t="s">
        <v>60</v>
      </c>
      <c r="U11" s="162" t="s">
        <v>77</v>
      </c>
      <c r="V11" s="97" t="s">
        <v>52</v>
      </c>
      <c r="W11" s="33" t="s">
        <v>43</v>
      </c>
      <c r="X11" s="196" t="s">
        <v>264</v>
      </c>
      <c r="Y11" s="196" t="s">
        <v>77</v>
      </c>
      <c r="Z11" s="103" t="s">
        <v>54</v>
      </c>
      <c r="AA11" s="33" t="s">
        <v>55</v>
      </c>
      <c r="AB11" s="599"/>
      <c r="AC11" s="25" t="s">
        <v>88</v>
      </c>
      <c r="AD11" s="28" t="s">
        <v>28</v>
      </c>
      <c r="AE11" s="34" t="s">
        <v>81</v>
      </c>
      <c r="AF11" s="126"/>
      <c r="AG11" s="30"/>
      <c r="AH11" s="599"/>
      <c r="AI11" s="632"/>
      <c r="AJ11" s="36" t="s">
        <v>62</v>
      </c>
      <c r="AK11" s="36" t="s">
        <v>63</v>
      </c>
      <c r="AL11" s="87"/>
      <c r="AM11" s="87"/>
      <c r="AN11" s="87"/>
      <c r="AO11" s="87"/>
    </row>
    <row r="12" spans="1:41" s="4" customFormat="1" ht="15" customHeight="1" x14ac:dyDescent="0.45">
      <c r="A12" s="29"/>
      <c r="B12" s="29"/>
      <c r="C12" s="29"/>
      <c r="D12" s="29"/>
      <c r="E12" s="29"/>
      <c r="F12" s="29"/>
      <c r="G12" s="602" t="str">
        <f>'1'!G12</f>
        <v>Link</v>
      </c>
      <c r="H12" s="603"/>
      <c r="I12" s="53"/>
      <c r="J12" s="29">
        <f>INDEX(Cham_Cong!$E$7:$P$8,1,MATCH(C1,Cham_Cong!$E$8:$P$8,0))</f>
        <v>27</v>
      </c>
      <c r="K12" s="40">
        <v>730000</v>
      </c>
      <c r="L12" s="160"/>
      <c r="M12" s="27">
        <v>1000000</v>
      </c>
      <c r="N12" s="41">
        <v>500000</v>
      </c>
      <c r="O12" s="167">
        <v>2</v>
      </c>
      <c r="P12" s="38"/>
      <c r="Q12" s="161"/>
      <c r="R12" s="25"/>
      <c r="S12" s="165"/>
      <c r="T12" s="166"/>
      <c r="U12" s="165"/>
      <c r="V12" s="98"/>
      <c r="W12" s="30"/>
      <c r="X12" s="29"/>
      <c r="Y12" s="29"/>
      <c r="Z12" s="29"/>
      <c r="AA12" s="30"/>
      <c r="AB12" s="93"/>
      <c r="AC12" s="37">
        <v>11000000</v>
      </c>
      <c r="AD12" s="37">
        <v>4400000</v>
      </c>
      <c r="AE12" s="39">
        <v>0.105</v>
      </c>
      <c r="AF12" s="39"/>
      <c r="AG12" s="39"/>
      <c r="AH12" s="93"/>
      <c r="AI12" s="93"/>
      <c r="AJ12" s="29"/>
      <c r="AK12" s="29"/>
      <c r="AL12" s="87"/>
      <c r="AM12" s="87"/>
      <c r="AN12" s="87"/>
      <c r="AO12" s="87"/>
    </row>
    <row r="13" spans="1:41" s="70" customFormat="1" x14ac:dyDescent="0.45">
      <c r="A13" s="49"/>
      <c r="B13" s="49" t="s">
        <v>24</v>
      </c>
      <c r="C13" s="89" t="s">
        <v>25</v>
      </c>
      <c r="D13" s="49" t="s">
        <v>26</v>
      </c>
      <c r="E13" s="49" t="s">
        <v>27</v>
      </c>
      <c r="F13" s="49" t="s">
        <v>28</v>
      </c>
      <c r="G13" s="49" t="s">
        <v>29</v>
      </c>
      <c r="H13" s="49" t="s">
        <v>185</v>
      </c>
      <c r="I13" s="90" t="s">
        <v>186</v>
      </c>
      <c r="J13" s="49" t="s">
        <v>80</v>
      </c>
      <c r="K13" s="49" t="s">
        <v>80</v>
      </c>
      <c r="L13" s="49" t="s">
        <v>391</v>
      </c>
      <c r="M13" s="49" t="s">
        <v>80</v>
      </c>
      <c r="N13" s="49" t="s">
        <v>80</v>
      </c>
      <c r="O13" s="49" t="s">
        <v>208</v>
      </c>
      <c r="P13" s="49" t="s">
        <v>80</v>
      </c>
      <c r="Q13" s="49"/>
      <c r="R13" s="49" t="s">
        <v>80</v>
      </c>
      <c r="S13" s="49" t="s">
        <v>80</v>
      </c>
      <c r="T13" s="49" t="s">
        <v>80</v>
      </c>
      <c r="U13" s="49" t="s">
        <v>80</v>
      </c>
      <c r="V13" s="49" t="s">
        <v>66</v>
      </c>
      <c r="W13" s="49"/>
      <c r="X13" s="49"/>
      <c r="Y13" s="49"/>
      <c r="Z13" s="49"/>
      <c r="AA13" s="49"/>
      <c r="AB13" s="49" t="s">
        <v>64</v>
      </c>
      <c r="AC13" s="49" t="s">
        <v>101</v>
      </c>
      <c r="AD13" s="49" t="s">
        <v>102</v>
      </c>
      <c r="AE13" s="49" t="s">
        <v>165</v>
      </c>
      <c r="AF13" s="49"/>
      <c r="AG13" s="49"/>
      <c r="AH13" s="49"/>
      <c r="AI13" s="49" t="s">
        <v>65</v>
      </c>
      <c r="AJ13" s="49" t="s">
        <v>67</v>
      </c>
      <c r="AK13" s="49"/>
      <c r="AL13" s="88" t="s">
        <v>32</v>
      </c>
      <c r="AM13" s="88" t="s">
        <v>33</v>
      </c>
      <c r="AN13" s="88" t="s">
        <v>34</v>
      </c>
      <c r="AO13" s="88" t="s">
        <v>35</v>
      </c>
    </row>
    <row r="14" spans="1:41" x14ac:dyDescent="0.45">
      <c r="A14" s="5">
        <f ca="1">IF(B14&lt;&gt;"",SUBTOTAL(3,$B$14:B14),"")</f>
        <v>1</v>
      </c>
      <c r="B14" s="3">
        <f ca="1">INDEX(INDIRECT(Danh_Sach!$N$1),ROWS($B$14:$B14),MATCH(B$13,INDIRECT(Danh_Sach!$N$2),0))</f>
        <v>0</v>
      </c>
      <c r="C14" s="5">
        <f ca="1">INDEX(INDIRECT(Danh_Sach!$N$1),ROWS($B$14:$B14),MATCH(C$13,INDIRECT(Danh_Sach!$N$2),0))</f>
        <v>0</v>
      </c>
      <c r="D14" s="5">
        <f ca="1">INDEX(INDIRECT(Danh_Sach!$N$1),ROWS($B$14:$B14),MATCH(D$13,INDIRECT(Danh_Sach!$N$2),0))</f>
        <v>0</v>
      </c>
      <c r="E14" s="5">
        <f ca="1">INDEX(INDIRECT(Danh_Sach!$N$1),ROWS($B$14:$B14),MATCH(E$13,INDIRECT(Danh_Sach!$N$2),0))</f>
        <v>0</v>
      </c>
      <c r="F14" s="5">
        <f t="array" aca="1" ref="F14" ca="1">INDEX(INDIRECT(NPT!$W$1),ROWS($B$14:B14),MATCH($C$1,INDIRECT(NPT!$W$2),0))</f>
        <v>0</v>
      </c>
      <c r="G14" s="11">
        <f ca="1">IF(AND($G$12="Link",H14&lt;&gt;0),H14,INDEX(INDIRECT(Danh_Sach!$N$1),ROWS($B$14:$B14),MATCH(G$13,INDIRECT(Danh_Sach!$N$2),0)))</f>
        <v>0</v>
      </c>
      <c r="H14" s="11">
        <f ca="1">IFERROR(INDEX(INDIRECT(BaoHiem!$A$3),ROWS($B$14:$B14),MATCH($C$1,INDIRECT(BaoHiem!$A$4),0)),0)</f>
        <v>0</v>
      </c>
      <c r="I14" s="72">
        <f t="array" aca="1" ref="I14" ca="1">INDEX(INDIRECT(Cham_Cong!$T$3),ROWS($B$14:B14),MATCH($C$1,INDIRECT(Cham_Cong!$T$4),0))</f>
        <v>0</v>
      </c>
      <c r="J14" s="11">
        <f ca="1">G14/$J$12*I14</f>
        <v>0</v>
      </c>
      <c r="K14" s="11">
        <f ca="1">IF(I14&gt;0,$K$12,0)</f>
        <v>0</v>
      </c>
      <c r="L14" s="11"/>
      <c r="M14" s="22">
        <f ca="1">IF(I14=0,0,$M$12*L14)</f>
        <v>0</v>
      </c>
      <c r="N14" s="11">
        <f ca="1">IF(I14&gt;0,$N$12,0)</f>
        <v>0</v>
      </c>
      <c r="P14" s="22">
        <f ca="1">IF(I14=0,0,ROUND(O14*$O$12*(G14/$J$12/8),0))</f>
        <v>0</v>
      </c>
      <c r="S14" s="11"/>
      <c r="V14" s="11">
        <f ca="1">IF(I14=0,0,SUMIF($J$13:$U$13,"i_gross",J14:U14))</f>
        <v>0</v>
      </c>
      <c r="W14" s="22">
        <f ca="1">K14</f>
        <v>0</v>
      </c>
      <c r="X14" s="22">
        <f ca="1">M14+N14</f>
        <v>0</v>
      </c>
      <c r="Y14" s="22">
        <f>U14</f>
        <v>0</v>
      </c>
      <c r="Z14" s="22">
        <f ca="1">P14-P14/$O$12</f>
        <v>0</v>
      </c>
      <c r="AA14" s="22">
        <f ca="1">SUM(W14:Z14)</f>
        <v>0</v>
      </c>
      <c r="AB14" s="22">
        <f ca="1">IF(I14=0,0,V14-AA14)</f>
        <v>0</v>
      </c>
      <c r="AC14" s="22">
        <f ca="1">IF(AB14&gt;0,$AC$12,0)</f>
        <v>0</v>
      </c>
      <c r="AD14" s="22">
        <f ca="1">$AD$12*F14</f>
        <v>0</v>
      </c>
      <c r="AE14" s="22">
        <f ca="1">IF(AB14&gt;0,IF(ISNA(VLOOKUP(C14,Info!$C$22:$D$303,2,0))=FALSE,H14*1.5%,H14*$AE$12),0)</f>
        <v>0</v>
      </c>
      <c r="AH14" s="22">
        <f ca="1">MAX(AB14-SUM(AC14:AG14),0)</f>
        <v>0</v>
      </c>
      <c r="AI14" s="22">
        <f ca="1">IF(AH14&gt;0,(AH14-VLOOKUP(AH14-1,INDIRECT(TAXRATE!$E$1),1,1))*VLOOKUP(AH14,INDIRECT(TAXRATE!$E$1),2,1)+VLOOKUP(AH14-1,INDIRECT(TAXRATE!$E$1),3,1),0)</f>
        <v>0</v>
      </c>
      <c r="AJ14" s="22">
        <f ca="1">V14-AI14-AE14-AF14-AG14</f>
        <v>0</v>
      </c>
      <c r="AL14" s="3" t="str">
        <f ca="1">IF(INDEX(INDIRECT(Danh_Sach!$N$1),ROWS($B$14:$B14),MATCH(AL$13,INDIRECT(Danh_Sach!$N$2),0))=0,"",MONTH(INDEX(INDIRECT(Danh_Sach!$N$1),ROWS($B$14:$B14),MATCH(AL$13,INDIRECT(Danh_Sach!$N$2),0))))</f>
        <v/>
      </c>
      <c r="AM14" s="3" t="str">
        <f ca="1">IF(INDEX(INDIRECT(Danh_Sach!$N$1),ROWS($B$14:$B14),MATCH(AM$13,INDIRECT(Danh_Sach!$N$2),0))=0,"",MONTH(INDEX(INDIRECT(Danh_Sach!$N$1),ROWS($B$14:$B14),MATCH(AM$13,INDIRECT(Danh_Sach!$N$2),0))))</f>
        <v/>
      </c>
      <c r="AN14" s="3" t="str">
        <f ca="1">IF(INDEX(INDIRECT(Danh_Sach!$N$1),ROWS($B$14:$B14),MATCH(AN$13,INDIRECT(Danh_Sach!$N$2),0))=0,"",MONTH(INDEX(INDIRECT(Danh_Sach!$N$1),ROWS($B$14:$B14),MATCH(AN$13,INDIRECT(Danh_Sach!$N$2),0))))</f>
        <v/>
      </c>
      <c r="AO14" s="3" t="str">
        <f ca="1">IF(INDEX(INDIRECT(Danh_Sach!$N$1),ROWS($B$14:$B14),MATCH(AO$13,INDIRECT(Danh_Sach!$N$2),0))=0,"",MONTH(INDEX(INDIRECT(Danh_Sach!$N$1),ROWS($B$14:$B14),MATCH(AO$13,INDIRECT(Danh_Sach!$N$2),0))))</f>
        <v/>
      </c>
    </row>
    <row r="15" spans="1:41" x14ac:dyDescent="0.45">
      <c r="A15" s="5">
        <f ca="1">IF(B15&lt;&gt;"",SUBTOTAL(3,$B$14:B15),"")</f>
        <v>2</v>
      </c>
      <c r="B15" s="3">
        <f ca="1">INDEX(INDIRECT(Danh_Sach!$N$1),ROWS($B$14:$B15),MATCH(B$13,INDIRECT(Danh_Sach!$N$2),0))</f>
        <v>0</v>
      </c>
      <c r="C15" s="5">
        <f ca="1">INDEX(INDIRECT(Danh_Sach!$N$1),ROWS($B$14:$B15),MATCH(C$13,INDIRECT(Danh_Sach!$N$2),0))</f>
        <v>0</v>
      </c>
      <c r="D15" s="5">
        <f ca="1">INDEX(INDIRECT(Danh_Sach!$N$1),ROWS($B$14:$B15),MATCH(D$13,INDIRECT(Danh_Sach!$N$2),0))</f>
        <v>0</v>
      </c>
      <c r="E15" s="5">
        <f ca="1">INDEX(INDIRECT(Danh_Sach!$N$1),ROWS($B$14:$B15),MATCH(E$13,INDIRECT(Danh_Sach!$N$2),0))</f>
        <v>0</v>
      </c>
      <c r="F15" s="5">
        <f t="array" aca="1" ref="F15" ca="1">INDEX(INDIRECT(NPT!$W$1),ROWS($B$14:B15),MATCH($C$1,INDIRECT(NPT!$W$2),0))</f>
        <v>0</v>
      </c>
      <c r="G15" s="11">
        <f ca="1">IF(AND($G$12="Link",H15&lt;&gt;0),H15,INDEX(INDIRECT(Danh_Sach!$N$1),ROWS($B$14:$B15),MATCH(G$13,INDIRECT(Danh_Sach!$N$2),0)))</f>
        <v>0</v>
      </c>
      <c r="H15" s="11">
        <f ca="1">IFERROR(INDEX(INDIRECT(BaoHiem!$A$3),ROWS($B$14:$B15),MATCH($C$1,INDIRECT(BaoHiem!$A$4),0)),0)</f>
        <v>0</v>
      </c>
      <c r="I15" s="72">
        <f t="array" aca="1" ref="I15" ca="1">INDEX(INDIRECT(Cham_Cong!$T$3),ROWS($B$14:B15),MATCH($C$1,INDIRECT(Cham_Cong!$T$4),0))</f>
        <v>0</v>
      </c>
      <c r="J15" s="11">
        <f ca="1">G15/$J$12*I15</f>
        <v>0</v>
      </c>
      <c r="K15" s="11">
        <f ca="1">IF(I15&gt;0,$K$12,0)</f>
        <v>0</v>
      </c>
      <c r="L15" s="11"/>
      <c r="M15" s="22">
        <f ca="1">IF(I15=0,0,$M$12*L15)</f>
        <v>0</v>
      </c>
      <c r="N15" s="11">
        <f ca="1">IF(I15&gt;0,$N$12,0)</f>
        <v>0</v>
      </c>
      <c r="P15" s="22">
        <f ca="1">IF(I15=0,0,ROUND(O15*$O$12*(G15/$J$12/8),0))</f>
        <v>0</v>
      </c>
      <c r="S15" s="11"/>
      <c r="V15" s="11">
        <f ca="1">IF(I15=0,0,SUMIF($J$13:$U$13,"i_gross",J15:U15))</f>
        <v>0</v>
      </c>
      <c r="W15" s="22">
        <f ca="1">K15</f>
        <v>0</v>
      </c>
      <c r="X15" s="22">
        <f ca="1">M15+N15</f>
        <v>0</v>
      </c>
      <c r="Y15" s="22">
        <f>U15</f>
        <v>0</v>
      </c>
      <c r="Z15" s="22">
        <f ca="1">P15-P15/$O$12</f>
        <v>0</v>
      </c>
      <c r="AA15" s="22">
        <f ca="1">SUM(W15:Z15)</f>
        <v>0</v>
      </c>
      <c r="AB15" s="22">
        <f ca="1">IF(I15=0,0,V15-AA15)</f>
        <v>0</v>
      </c>
      <c r="AC15" s="22">
        <f ca="1">IF(AB15&gt;0,$AC$12,0)</f>
        <v>0</v>
      </c>
      <c r="AD15" s="22">
        <f ca="1">$AD$12*F15</f>
        <v>0</v>
      </c>
      <c r="AE15" s="22">
        <f ca="1">IF(AB15&gt;0,IF(ISNA(VLOOKUP(C15,Info!$C$22:$D$303,2,0))=FALSE,H15*1.5%,H15*$AE$12),0)</f>
        <v>0</v>
      </c>
      <c r="AH15" s="22">
        <f ca="1">MAX(AB15-SUM(AC15:AG15),0)</f>
        <v>0</v>
      </c>
      <c r="AI15" s="22">
        <f ca="1">IF(AH15&gt;0,(AH15-VLOOKUP(AH15-1,INDIRECT(TAXRATE!$E$1),1,1))*VLOOKUP(AH15,INDIRECT(TAXRATE!$E$1),2,1)+VLOOKUP(AH15-1,INDIRECT(TAXRATE!$E$1),3,1),0)</f>
        <v>0</v>
      </c>
      <c r="AJ15" s="22">
        <f ca="1">V15-AI15-AE15-AF15-AG15</f>
        <v>0</v>
      </c>
      <c r="AL15" s="3" t="str">
        <f ca="1">IF(INDEX(INDIRECT(Danh_Sach!$N$1),ROWS($B$14:$B15),MATCH(AL$13,INDIRECT(Danh_Sach!$N$2),0))=0,"",MONTH(INDEX(INDIRECT(Danh_Sach!$N$1),ROWS($B$14:$B15),MATCH(AL$13,INDIRECT(Danh_Sach!$N$2),0))))</f>
        <v/>
      </c>
      <c r="AM15" s="3" t="str">
        <f ca="1">IF(INDEX(INDIRECT(Danh_Sach!$N$1),ROWS($B$14:$B15),MATCH(AM$13,INDIRECT(Danh_Sach!$N$2),0))=0,"",MONTH(INDEX(INDIRECT(Danh_Sach!$N$1),ROWS($B$14:$B15),MATCH(AM$13,INDIRECT(Danh_Sach!$N$2),0))))</f>
        <v/>
      </c>
      <c r="AN15" s="3" t="str">
        <f ca="1">IF(INDEX(INDIRECT(Danh_Sach!$N$1),ROWS($B$14:$B15),MATCH(AN$13,INDIRECT(Danh_Sach!$N$2),0))=0,"",MONTH(INDEX(INDIRECT(Danh_Sach!$N$1),ROWS($B$14:$B15),MATCH(AN$13,INDIRECT(Danh_Sach!$N$2),0))))</f>
        <v/>
      </c>
      <c r="AO15" s="3" t="str">
        <f ca="1">IF(INDEX(INDIRECT(Danh_Sach!$N$1),ROWS($B$14:$B15),MATCH(AO$13,INDIRECT(Danh_Sach!$N$2),0))=0,"",MONTH(INDEX(INDIRECT(Danh_Sach!$N$1),ROWS($B$14:$B15),MATCH(AO$13,INDIRECT(Danh_Sach!$N$2),0))))</f>
        <v/>
      </c>
    </row>
    <row r="16" spans="1:41" x14ac:dyDescent="0.45">
      <c r="A16" s="5"/>
      <c r="E16" s="5"/>
      <c r="F16" s="5"/>
      <c r="G16" s="11"/>
      <c r="H16" s="11"/>
      <c r="I16" s="72"/>
      <c r="J16" s="11"/>
      <c r="K16" s="11"/>
      <c r="L16" s="11"/>
      <c r="M16" s="22"/>
      <c r="N16" s="11"/>
      <c r="P16" s="22"/>
      <c r="S16" s="11"/>
      <c r="V16" s="11"/>
      <c r="W16" s="22"/>
      <c r="X16" s="22"/>
      <c r="Y16" s="22"/>
      <c r="Z16" s="22"/>
      <c r="AA16" s="22"/>
      <c r="AB16" s="22"/>
      <c r="AC16" s="22"/>
      <c r="AD16" s="22"/>
      <c r="AE16" s="22"/>
      <c r="AH16" s="22"/>
      <c r="AI16" s="22"/>
      <c r="AJ16" s="22"/>
    </row>
    <row r="17" spans="1:36" x14ac:dyDescent="0.45">
      <c r="A17" s="5"/>
      <c r="E17" s="5"/>
      <c r="F17" s="5"/>
      <c r="G17" s="11"/>
      <c r="H17" s="11"/>
      <c r="I17" s="72"/>
      <c r="J17" s="11"/>
      <c r="K17" s="11"/>
      <c r="L17" s="11"/>
      <c r="M17" s="22"/>
      <c r="N17" s="11"/>
      <c r="P17" s="22"/>
      <c r="S17" s="11"/>
      <c r="V17" s="11"/>
      <c r="W17" s="22"/>
      <c r="X17" s="22"/>
      <c r="Y17" s="22"/>
      <c r="Z17" s="22"/>
      <c r="AA17" s="22"/>
      <c r="AB17" s="22"/>
      <c r="AC17" s="22"/>
      <c r="AD17" s="22"/>
      <c r="AE17" s="22"/>
      <c r="AH17" s="22"/>
      <c r="AI17" s="22"/>
      <c r="AJ17" s="22"/>
    </row>
    <row r="18" spans="1:36" x14ac:dyDescent="0.45">
      <c r="A18" s="5"/>
      <c r="E18" s="5"/>
      <c r="F18" s="5"/>
      <c r="G18" s="11"/>
      <c r="H18" s="11"/>
      <c r="I18" s="72"/>
      <c r="J18" s="11"/>
      <c r="K18" s="11"/>
      <c r="L18" s="11"/>
      <c r="M18" s="22"/>
      <c r="N18" s="11"/>
      <c r="P18" s="22"/>
      <c r="S18" s="11"/>
      <c r="V18" s="11"/>
      <c r="W18" s="22"/>
      <c r="X18" s="22"/>
      <c r="Y18" s="22"/>
      <c r="Z18" s="22"/>
      <c r="AA18" s="22"/>
      <c r="AB18" s="22"/>
      <c r="AC18" s="22"/>
      <c r="AD18" s="22"/>
      <c r="AE18" s="22"/>
      <c r="AH18" s="22"/>
      <c r="AI18" s="22"/>
      <c r="AJ18" s="22"/>
    </row>
    <row r="19" spans="1:36" x14ac:dyDescent="0.45">
      <c r="A19" s="5"/>
      <c r="E19" s="5"/>
      <c r="F19" s="5"/>
      <c r="G19" s="11"/>
      <c r="H19" s="11"/>
      <c r="I19" s="72"/>
      <c r="J19" s="11"/>
      <c r="K19" s="11"/>
      <c r="L19" s="11"/>
      <c r="M19" s="22"/>
      <c r="N19" s="11"/>
      <c r="P19" s="22"/>
      <c r="S19" s="11"/>
      <c r="V19" s="11"/>
      <c r="W19" s="22"/>
      <c r="X19" s="22"/>
      <c r="Y19" s="22"/>
      <c r="Z19" s="22"/>
      <c r="AA19" s="22"/>
      <c r="AB19" s="22"/>
      <c r="AC19" s="22"/>
      <c r="AD19" s="22"/>
      <c r="AE19" s="22"/>
      <c r="AH19" s="22"/>
      <c r="AI19" s="22"/>
      <c r="AJ19" s="22"/>
    </row>
    <row r="20" spans="1:36" x14ac:dyDescent="0.45">
      <c r="A20" s="5"/>
      <c r="E20" s="5"/>
      <c r="F20" s="5"/>
      <c r="G20" s="11"/>
      <c r="H20" s="11"/>
      <c r="I20" s="72"/>
      <c r="J20" s="11"/>
      <c r="K20" s="11"/>
      <c r="L20" s="11"/>
      <c r="M20" s="22"/>
      <c r="N20" s="11"/>
      <c r="P20" s="22"/>
      <c r="S20" s="11"/>
      <c r="V20" s="11"/>
      <c r="W20" s="22"/>
      <c r="X20" s="22"/>
      <c r="Y20" s="22"/>
      <c r="Z20" s="22"/>
      <c r="AA20" s="22"/>
      <c r="AB20" s="22"/>
      <c r="AC20" s="22"/>
      <c r="AD20" s="22"/>
      <c r="AE20" s="22"/>
      <c r="AH20" s="22"/>
      <c r="AI20" s="22"/>
      <c r="AJ20" s="22"/>
    </row>
    <row r="21" spans="1:36" x14ac:dyDescent="0.45">
      <c r="A21" s="5"/>
      <c r="E21" s="5"/>
      <c r="F21" s="5"/>
      <c r="G21" s="11"/>
      <c r="H21" s="11"/>
      <c r="I21" s="72"/>
      <c r="J21" s="11"/>
      <c r="K21" s="11"/>
      <c r="L21" s="11"/>
      <c r="M21" s="22"/>
      <c r="N21" s="11"/>
      <c r="P21" s="22"/>
      <c r="S21" s="11"/>
      <c r="V21" s="11"/>
      <c r="W21" s="22"/>
      <c r="X21" s="22"/>
      <c r="Y21" s="22"/>
      <c r="Z21" s="22"/>
      <c r="AA21" s="22"/>
      <c r="AB21" s="22"/>
      <c r="AC21" s="22"/>
      <c r="AD21" s="22"/>
      <c r="AE21" s="22"/>
      <c r="AH21" s="22"/>
      <c r="AI21" s="22"/>
      <c r="AJ21" s="22"/>
    </row>
    <row r="22" spans="1:36" x14ac:dyDescent="0.45">
      <c r="A22" s="5"/>
      <c r="E22" s="5"/>
      <c r="F22" s="5"/>
      <c r="G22" s="11"/>
      <c r="H22" s="11"/>
      <c r="I22" s="72"/>
      <c r="J22" s="11"/>
      <c r="K22" s="11"/>
      <c r="L22" s="11"/>
      <c r="M22" s="22"/>
      <c r="N22" s="11"/>
      <c r="P22" s="22"/>
      <c r="S22" s="11"/>
      <c r="V22" s="11"/>
      <c r="W22" s="22"/>
      <c r="X22" s="22"/>
      <c r="Y22" s="22"/>
      <c r="Z22" s="22"/>
      <c r="AA22" s="22"/>
      <c r="AB22" s="22"/>
      <c r="AC22" s="22"/>
      <c r="AD22" s="22"/>
      <c r="AE22" s="22"/>
      <c r="AH22" s="22"/>
      <c r="AI22" s="22"/>
      <c r="AJ22" s="22"/>
    </row>
    <row r="23" spans="1:36" x14ac:dyDescent="0.45">
      <c r="A23" s="5"/>
      <c r="E23" s="5"/>
      <c r="F23" s="5"/>
      <c r="G23" s="11"/>
      <c r="H23" s="11"/>
      <c r="I23" s="72"/>
      <c r="J23" s="11"/>
      <c r="K23" s="11"/>
      <c r="L23" s="11"/>
      <c r="M23" s="22"/>
      <c r="N23" s="11"/>
      <c r="P23" s="22"/>
      <c r="S23" s="11"/>
      <c r="V23" s="11"/>
      <c r="W23" s="22"/>
      <c r="X23" s="22"/>
      <c r="Y23" s="22"/>
      <c r="Z23" s="22"/>
      <c r="AA23" s="22"/>
      <c r="AB23" s="22"/>
      <c r="AC23" s="22"/>
      <c r="AD23" s="22"/>
      <c r="AE23" s="22"/>
      <c r="AH23" s="22"/>
      <c r="AI23" s="22"/>
      <c r="AJ23" s="22"/>
    </row>
    <row r="24" spans="1:36" x14ac:dyDescent="0.45">
      <c r="A24" s="5"/>
      <c r="E24" s="5"/>
      <c r="F24" s="5"/>
      <c r="G24" s="11"/>
      <c r="H24" s="11"/>
      <c r="I24" s="72"/>
      <c r="J24" s="11"/>
      <c r="K24" s="11"/>
      <c r="L24" s="11"/>
      <c r="M24" s="22"/>
      <c r="N24" s="11"/>
      <c r="P24" s="22"/>
      <c r="S24" s="11"/>
      <c r="V24" s="11"/>
      <c r="W24" s="22"/>
      <c r="X24" s="22"/>
      <c r="Y24" s="22"/>
      <c r="Z24" s="22"/>
      <c r="AA24" s="22"/>
      <c r="AB24" s="22"/>
      <c r="AC24" s="22"/>
      <c r="AD24" s="22"/>
      <c r="AE24" s="22"/>
      <c r="AH24" s="22"/>
      <c r="AI24" s="22"/>
      <c r="AJ24" s="22"/>
    </row>
    <row r="25" spans="1:36" x14ac:dyDescent="0.45">
      <c r="A25" s="5"/>
      <c r="E25" s="5"/>
      <c r="F25" s="5"/>
      <c r="G25" s="11"/>
      <c r="H25" s="11"/>
      <c r="I25" s="72"/>
      <c r="J25" s="11"/>
      <c r="K25" s="11"/>
      <c r="L25" s="11"/>
      <c r="M25" s="22"/>
      <c r="N25" s="11"/>
      <c r="P25" s="22"/>
      <c r="S25" s="11"/>
      <c r="V25" s="11"/>
      <c r="W25" s="22"/>
      <c r="X25" s="22"/>
      <c r="Y25" s="22"/>
      <c r="Z25" s="22"/>
      <c r="AA25" s="22"/>
      <c r="AB25" s="22"/>
      <c r="AC25" s="22"/>
      <c r="AD25" s="22"/>
      <c r="AE25" s="22"/>
      <c r="AH25" s="22"/>
      <c r="AI25" s="22"/>
      <c r="AJ25" s="22"/>
    </row>
    <row r="26" spans="1:36" x14ac:dyDescent="0.45">
      <c r="A26" s="5"/>
      <c r="E26" s="5"/>
      <c r="F26" s="5"/>
      <c r="G26" s="11"/>
      <c r="H26" s="11"/>
      <c r="I26" s="72"/>
      <c r="J26" s="11"/>
      <c r="K26" s="11"/>
      <c r="L26" s="11"/>
      <c r="M26" s="22"/>
      <c r="N26" s="11"/>
      <c r="P26" s="22"/>
      <c r="S26" s="11"/>
      <c r="V26" s="11"/>
      <c r="W26" s="22"/>
      <c r="X26" s="22"/>
      <c r="Y26" s="22"/>
      <c r="Z26" s="22"/>
      <c r="AA26" s="22"/>
      <c r="AB26" s="22"/>
      <c r="AC26" s="22"/>
      <c r="AD26" s="22"/>
      <c r="AE26" s="22"/>
      <c r="AH26" s="22"/>
      <c r="AI26" s="22"/>
      <c r="AJ26" s="22"/>
    </row>
    <row r="27" spans="1:36" x14ac:dyDescent="0.45">
      <c r="A27" s="5"/>
      <c r="E27" s="5"/>
      <c r="F27" s="5"/>
      <c r="G27" s="11"/>
      <c r="H27" s="11"/>
      <c r="I27" s="72"/>
      <c r="J27" s="11"/>
      <c r="K27" s="11"/>
      <c r="L27" s="11"/>
      <c r="M27" s="22"/>
      <c r="N27" s="11"/>
      <c r="P27" s="22"/>
      <c r="S27" s="11"/>
      <c r="V27" s="11"/>
      <c r="W27" s="22"/>
      <c r="X27" s="22"/>
      <c r="Y27" s="22"/>
      <c r="Z27" s="22"/>
      <c r="AA27" s="22"/>
      <c r="AB27" s="22"/>
      <c r="AC27" s="22"/>
      <c r="AD27" s="22"/>
      <c r="AE27" s="22"/>
      <c r="AH27" s="22"/>
      <c r="AI27" s="22"/>
      <c r="AJ27" s="22"/>
    </row>
    <row r="28" spans="1:36" x14ac:dyDescent="0.45">
      <c r="A28" s="5"/>
      <c r="E28" s="5"/>
      <c r="F28" s="5"/>
      <c r="G28" s="11"/>
      <c r="H28" s="11"/>
      <c r="I28" s="72"/>
      <c r="J28" s="11"/>
      <c r="K28" s="11"/>
      <c r="L28" s="11"/>
      <c r="M28" s="22"/>
      <c r="N28" s="11"/>
      <c r="P28" s="22"/>
      <c r="S28" s="11"/>
      <c r="V28" s="11"/>
      <c r="W28" s="22"/>
      <c r="X28" s="22"/>
      <c r="Y28" s="22"/>
      <c r="Z28" s="22"/>
      <c r="AA28" s="22"/>
      <c r="AB28" s="22"/>
      <c r="AC28" s="22"/>
      <c r="AD28" s="22"/>
      <c r="AE28" s="22"/>
      <c r="AH28" s="22"/>
      <c r="AI28" s="22"/>
      <c r="AJ28" s="22"/>
    </row>
    <row r="29" spans="1:36" x14ac:dyDescent="0.45">
      <c r="A29" s="5"/>
      <c r="E29" s="5"/>
      <c r="F29" s="5"/>
      <c r="G29" s="11"/>
      <c r="H29" s="11"/>
      <c r="I29" s="72"/>
      <c r="J29" s="11"/>
      <c r="K29" s="11"/>
      <c r="L29" s="11"/>
      <c r="M29" s="22"/>
      <c r="N29" s="11"/>
      <c r="P29" s="22"/>
      <c r="S29" s="11"/>
      <c r="V29" s="11"/>
      <c r="W29" s="22"/>
      <c r="X29" s="22"/>
      <c r="Y29" s="22"/>
      <c r="Z29" s="22"/>
      <c r="AA29" s="22"/>
      <c r="AB29" s="22"/>
      <c r="AC29" s="22"/>
      <c r="AD29" s="22"/>
      <c r="AE29" s="22"/>
      <c r="AH29" s="22"/>
      <c r="AI29" s="22"/>
      <c r="AJ29" s="22"/>
    </row>
    <row r="30" spans="1:36" x14ac:dyDescent="0.45">
      <c r="A30" s="5"/>
      <c r="E30" s="5"/>
      <c r="F30" s="5"/>
      <c r="G30" s="11"/>
      <c r="H30" s="11"/>
      <c r="I30" s="72"/>
      <c r="J30" s="11"/>
      <c r="K30" s="11"/>
      <c r="L30" s="11"/>
      <c r="M30" s="22"/>
      <c r="N30" s="11"/>
      <c r="P30" s="22"/>
      <c r="S30" s="11"/>
      <c r="V30" s="11"/>
      <c r="W30" s="22"/>
      <c r="X30" s="22"/>
      <c r="Y30" s="22"/>
      <c r="Z30" s="22"/>
      <c r="AA30" s="22"/>
      <c r="AB30" s="22"/>
      <c r="AC30" s="22"/>
      <c r="AD30" s="22"/>
      <c r="AE30" s="22"/>
      <c r="AH30" s="22"/>
      <c r="AI30" s="22"/>
      <c r="AJ30" s="22"/>
    </row>
    <row r="31" spans="1:36" x14ac:dyDescent="0.45">
      <c r="A31" s="5"/>
      <c r="E31" s="5"/>
      <c r="F31" s="5"/>
      <c r="G31" s="11"/>
      <c r="H31" s="11"/>
      <c r="I31" s="72"/>
      <c r="J31" s="11"/>
      <c r="K31" s="11"/>
      <c r="L31" s="11"/>
      <c r="M31" s="22"/>
      <c r="N31" s="11"/>
      <c r="P31" s="22"/>
      <c r="S31" s="11"/>
      <c r="V31" s="11"/>
      <c r="W31" s="22"/>
      <c r="X31" s="22"/>
      <c r="Y31" s="22"/>
      <c r="Z31" s="22"/>
      <c r="AA31" s="22"/>
      <c r="AB31" s="22"/>
      <c r="AC31" s="22"/>
      <c r="AD31" s="22"/>
      <c r="AE31" s="22"/>
      <c r="AH31" s="22"/>
      <c r="AI31" s="22"/>
      <c r="AJ31" s="22"/>
    </row>
    <row r="32" spans="1:36" x14ac:dyDescent="0.45">
      <c r="A32" s="5"/>
      <c r="E32" s="5"/>
      <c r="F32" s="5"/>
      <c r="G32" s="11"/>
      <c r="H32" s="11"/>
      <c r="I32" s="72"/>
      <c r="J32" s="11"/>
      <c r="K32" s="11"/>
      <c r="L32" s="11"/>
      <c r="M32" s="22"/>
      <c r="N32" s="11"/>
      <c r="P32" s="22"/>
      <c r="S32" s="11"/>
      <c r="V32" s="11"/>
      <c r="W32" s="22"/>
      <c r="X32" s="22"/>
      <c r="Y32" s="22"/>
      <c r="Z32" s="22"/>
      <c r="AA32" s="22"/>
      <c r="AB32" s="22"/>
      <c r="AC32" s="22"/>
      <c r="AD32" s="22"/>
      <c r="AE32" s="22"/>
      <c r="AH32" s="22"/>
      <c r="AI32" s="22"/>
      <c r="AJ32" s="22"/>
    </row>
    <row r="33" spans="1:36" x14ac:dyDescent="0.45">
      <c r="A33" s="5"/>
      <c r="E33" s="5"/>
      <c r="F33" s="5"/>
      <c r="G33" s="11"/>
      <c r="H33" s="11"/>
      <c r="I33" s="72"/>
      <c r="J33" s="11"/>
      <c r="K33" s="11"/>
      <c r="L33" s="11"/>
      <c r="M33" s="22"/>
      <c r="N33" s="11"/>
      <c r="P33" s="22"/>
      <c r="S33" s="11"/>
      <c r="V33" s="11"/>
      <c r="W33" s="22"/>
      <c r="X33" s="22"/>
      <c r="Y33" s="22"/>
      <c r="Z33" s="22"/>
      <c r="AA33" s="22"/>
      <c r="AB33" s="22"/>
      <c r="AC33" s="22"/>
      <c r="AD33" s="22"/>
      <c r="AE33" s="22"/>
      <c r="AH33" s="22"/>
      <c r="AI33" s="22"/>
      <c r="AJ33" s="22"/>
    </row>
    <row r="34" spans="1:36" x14ac:dyDescent="0.45">
      <c r="A34" s="5"/>
      <c r="E34" s="5"/>
      <c r="F34" s="5"/>
      <c r="G34" s="11"/>
      <c r="H34" s="11"/>
      <c r="I34" s="72"/>
      <c r="J34" s="11"/>
      <c r="K34" s="11"/>
      <c r="L34" s="11"/>
      <c r="M34" s="22"/>
      <c r="N34" s="11"/>
      <c r="P34" s="22"/>
      <c r="S34" s="11"/>
      <c r="V34" s="11"/>
      <c r="W34" s="22"/>
      <c r="X34" s="22"/>
      <c r="Y34" s="22"/>
      <c r="Z34" s="22"/>
      <c r="AA34" s="22"/>
      <c r="AB34" s="22"/>
      <c r="AC34" s="22"/>
      <c r="AD34" s="22"/>
      <c r="AE34" s="22"/>
      <c r="AH34" s="22"/>
      <c r="AI34" s="22"/>
      <c r="AJ34" s="22"/>
    </row>
    <row r="35" spans="1:36" x14ac:dyDescent="0.45">
      <c r="A35" s="5"/>
      <c r="E35" s="5"/>
      <c r="F35" s="5"/>
      <c r="G35" s="11"/>
      <c r="H35" s="11"/>
      <c r="I35" s="72"/>
      <c r="J35" s="11"/>
      <c r="K35" s="11"/>
      <c r="L35" s="11"/>
      <c r="M35" s="22"/>
      <c r="N35" s="11"/>
      <c r="P35" s="22"/>
      <c r="S35" s="11"/>
      <c r="V35" s="11"/>
      <c r="W35" s="22"/>
      <c r="X35" s="22"/>
      <c r="Y35" s="22"/>
      <c r="Z35" s="22"/>
      <c r="AA35" s="22"/>
      <c r="AB35" s="22"/>
      <c r="AC35" s="22"/>
      <c r="AD35" s="22"/>
      <c r="AE35" s="22"/>
      <c r="AH35" s="22"/>
      <c r="AI35" s="22"/>
      <c r="AJ35" s="22"/>
    </row>
    <row r="36" spans="1:36" x14ac:dyDescent="0.45">
      <c r="A36" s="5"/>
      <c r="E36" s="5"/>
      <c r="F36" s="5"/>
      <c r="G36" s="11"/>
      <c r="H36" s="11"/>
      <c r="I36" s="72"/>
      <c r="J36" s="11"/>
      <c r="K36" s="11"/>
      <c r="L36" s="11"/>
      <c r="M36" s="22"/>
      <c r="N36" s="11"/>
      <c r="P36" s="22"/>
      <c r="S36" s="11"/>
      <c r="V36" s="11"/>
      <c r="W36" s="22"/>
      <c r="X36" s="22"/>
      <c r="Y36" s="22"/>
      <c r="Z36" s="22"/>
      <c r="AA36" s="22"/>
      <c r="AB36" s="22"/>
      <c r="AC36" s="22"/>
      <c r="AD36" s="22"/>
      <c r="AE36" s="22"/>
      <c r="AH36" s="22"/>
      <c r="AI36" s="22"/>
      <c r="AJ36" s="22"/>
    </row>
    <row r="37" spans="1:36" x14ac:dyDescent="0.45">
      <c r="A37" s="5"/>
      <c r="E37" s="5"/>
      <c r="F37" s="5"/>
      <c r="G37" s="11"/>
      <c r="H37" s="11"/>
      <c r="I37" s="72"/>
      <c r="J37" s="11"/>
      <c r="K37" s="11"/>
      <c r="L37" s="11"/>
      <c r="M37" s="22"/>
      <c r="N37" s="11"/>
      <c r="P37" s="22"/>
      <c r="S37" s="11"/>
      <c r="V37" s="11"/>
      <c r="W37" s="22"/>
      <c r="X37" s="22"/>
      <c r="Y37" s="22"/>
      <c r="Z37" s="22"/>
      <c r="AA37" s="22"/>
      <c r="AB37" s="22"/>
      <c r="AC37" s="22"/>
      <c r="AD37" s="22"/>
      <c r="AE37" s="22"/>
      <c r="AH37" s="22"/>
      <c r="AI37" s="22"/>
      <c r="AJ37" s="22"/>
    </row>
    <row r="38" spans="1:36" x14ac:dyDescent="0.45">
      <c r="A38" s="5"/>
      <c r="E38" s="5"/>
      <c r="F38" s="5"/>
      <c r="G38" s="11"/>
      <c r="H38" s="11"/>
      <c r="I38" s="72"/>
      <c r="J38" s="11"/>
      <c r="K38" s="11"/>
      <c r="L38" s="11"/>
      <c r="M38" s="22"/>
      <c r="N38" s="11"/>
      <c r="P38" s="22"/>
      <c r="S38" s="11"/>
      <c r="V38" s="11"/>
      <c r="W38" s="22"/>
      <c r="X38" s="22"/>
      <c r="Y38" s="22"/>
      <c r="Z38" s="22"/>
      <c r="AA38" s="22"/>
      <c r="AB38" s="22"/>
      <c r="AC38" s="22"/>
      <c r="AD38" s="22"/>
      <c r="AE38" s="22"/>
      <c r="AH38" s="22"/>
      <c r="AI38" s="22"/>
      <c r="AJ38" s="22"/>
    </row>
    <row r="39" spans="1:36" x14ac:dyDescent="0.45">
      <c r="A39" s="5"/>
      <c r="E39" s="5"/>
      <c r="F39" s="5"/>
      <c r="G39" s="11"/>
      <c r="H39" s="11"/>
      <c r="I39" s="72"/>
      <c r="J39" s="11"/>
      <c r="K39" s="11"/>
      <c r="M39" s="22"/>
      <c r="N39" s="11"/>
      <c r="P39" s="22"/>
      <c r="S39" s="11"/>
      <c r="V39" s="11"/>
      <c r="W39" s="22"/>
      <c r="X39" s="22"/>
      <c r="Y39" s="22"/>
      <c r="Z39" s="22"/>
      <c r="AA39" s="22"/>
      <c r="AB39" s="22"/>
      <c r="AC39" s="22"/>
      <c r="AD39" s="22"/>
      <c r="AE39" s="22"/>
      <c r="AH39" s="22"/>
      <c r="AI39" s="22"/>
      <c r="AJ39" s="22"/>
    </row>
    <row r="40" spans="1:36" x14ac:dyDescent="0.45">
      <c r="A40" s="5"/>
      <c r="E40" s="5"/>
      <c r="F40" s="5"/>
      <c r="G40" s="11"/>
      <c r="H40" s="11"/>
      <c r="I40" s="72"/>
      <c r="J40" s="11"/>
      <c r="K40" s="11"/>
      <c r="M40" s="22"/>
      <c r="N40" s="11"/>
      <c r="P40" s="22"/>
      <c r="S40" s="11"/>
      <c r="V40" s="11"/>
      <c r="W40" s="22"/>
      <c r="X40" s="22"/>
      <c r="Y40" s="22"/>
      <c r="Z40" s="22"/>
      <c r="AA40" s="22"/>
      <c r="AB40" s="22"/>
      <c r="AC40" s="22"/>
      <c r="AD40" s="22"/>
      <c r="AE40" s="22"/>
      <c r="AH40" s="22"/>
      <c r="AI40" s="22"/>
      <c r="AJ40" s="22"/>
    </row>
    <row r="41" spans="1:36" x14ac:dyDescent="0.45">
      <c r="A41" s="5"/>
      <c r="E41" s="5"/>
      <c r="F41" s="5"/>
      <c r="G41" s="11"/>
      <c r="H41" s="11"/>
      <c r="I41" s="72"/>
      <c r="J41" s="11"/>
      <c r="K41" s="11"/>
      <c r="M41" s="22"/>
      <c r="N41" s="11"/>
      <c r="P41" s="22"/>
      <c r="S41" s="11"/>
      <c r="V41" s="11"/>
      <c r="W41" s="22"/>
      <c r="X41" s="22"/>
      <c r="Y41" s="22"/>
      <c r="Z41" s="22"/>
      <c r="AA41" s="22"/>
      <c r="AB41" s="22"/>
      <c r="AC41" s="22"/>
      <c r="AD41" s="22"/>
      <c r="AE41" s="22"/>
      <c r="AH41" s="22"/>
      <c r="AI41" s="22"/>
      <c r="AJ41" s="22"/>
    </row>
    <row r="42" spans="1:36" x14ac:dyDescent="0.45">
      <c r="A42" s="5"/>
      <c r="E42" s="5"/>
      <c r="F42" s="5"/>
      <c r="G42" s="11"/>
      <c r="H42" s="11"/>
      <c r="I42" s="72"/>
      <c r="J42" s="11"/>
      <c r="K42" s="11"/>
      <c r="M42" s="22"/>
      <c r="N42" s="11"/>
      <c r="P42" s="22"/>
      <c r="S42" s="11"/>
      <c r="V42" s="11"/>
      <c r="W42" s="22"/>
      <c r="X42" s="22"/>
      <c r="Y42" s="22"/>
      <c r="Z42" s="22"/>
      <c r="AA42" s="22"/>
      <c r="AB42" s="22"/>
      <c r="AC42" s="22"/>
      <c r="AD42" s="22"/>
      <c r="AE42" s="22"/>
      <c r="AH42" s="22"/>
      <c r="AI42" s="22"/>
      <c r="AJ42" s="22"/>
    </row>
    <row r="43" spans="1:36" x14ac:dyDescent="0.45">
      <c r="A43" s="5"/>
      <c r="E43" s="5"/>
      <c r="F43" s="5"/>
      <c r="G43" s="11"/>
      <c r="H43" s="11"/>
      <c r="I43" s="72"/>
      <c r="J43" s="11"/>
      <c r="K43" s="11"/>
      <c r="M43" s="22"/>
      <c r="N43" s="11"/>
      <c r="P43" s="22"/>
      <c r="S43" s="11"/>
      <c r="V43" s="11"/>
      <c r="W43" s="22"/>
      <c r="X43" s="22"/>
      <c r="Y43" s="22"/>
      <c r="Z43" s="22"/>
      <c r="AA43" s="22"/>
      <c r="AB43" s="22"/>
      <c r="AC43" s="22"/>
      <c r="AD43" s="22"/>
      <c r="AE43" s="22"/>
      <c r="AH43" s="22"/>
      <c r="AI43" s="22"/>
      <c r="AJ43" s="22"/>
    </row>
    <row r="44" spans="1:36" x14ac:dyDescent="0.45">
      <c r="A44" s="5"/>
      <c r="E44" s="5"/>
      <c r="F44" s="5"/>
      <c r="G44" s="11"/>
      <c r="H44" s="11"/>
      <c r="I44" s="72"/>
      <c r="J44" s="11"/>
      <c r="K44" s="11"/>
      <c r="M44" s="22"/>
      <c r="N44" s="11"/>
      <c r="P44" s="22"/>
      <c r="S44" s="11"/>
      <c r="V44" s="11"/>
      <c r="W44" s="22"/>
      <c r="X44" s="22"/>
      <c r="Y44" s="22"/>
      <c r="Z44" s="22"/>
      <c r="AA44" s="22"/>
      <c r="AB44" s="22"/>
      <c r="AC44" s="22"/>
      <c r="AD44" s="22"/>
      <c r="AE44" s="22"/>
      <c r="AH44" s="22"/>
      <c r="AI44" s="22"/>
      <c r="AJ44" s="22"/>
    </row>
    <row r="45" spans="1:36" x14ac:dyDescent="0.45">
      <c r="A45" s="5"/>
      <c r="E45" s="5"/>
      <c r="F45" s="5"/>
      <c r="G45" s="11"/>
      <c r="H45" s="11"/>
      <c r="I45" s="72"/>
      <c r="J45" s="11"/>
      <c r="K45" s="11"/>
      <c r="M45" s="22"/>
      <c r="N45" s="11"/>
      <c r="P45" s="22"/>
      <c r="S45" s="11"/>
      <c r="V45" s="11"/>
      <c r="W45" s="22"/>
      <c r="X45" s="22"/>
      <c r="Y45" s="22"/>
      <c r="Z45" s="22"/>
      <c r="AA45" s="22"/>
      <c r="AB45" s="22"/>
      <c r="AC45" s="22"/>
      <c r="AD45" s="22"/>
      <c r="AE45" s="22"/>
      <c r="AH45" s="22"/>
      <c r="AI45" s="22"/>
      <c r="AJ45" s="22"/>
    </row>
    <row r="46" spans="1:36" x14ac:dyDescent="0.45">
      <c r="A46" s="5"/>
      <c r="E46" s="5"/>
      <c r="F46" s="5"/>
      <c r="G46" s="11"/>
      <c r="H46" s="11"/>
      <c r="I46" s="72"/>
      <c r="J46" s="11"/>
      <c r="K46" s="11"/>
      <c r="M46" s="22"/>
      <c r="N46" s="11"/>
      <c r="O46" s="3"/>
      <c r="P46" s="22"/>
      <c r="S46" s="11"/>
      <c r="V46" s="11"/>
      <c r="W46" s="22"/>
      <c r="X46" s="22"/>
      <c r="Y46" s="22"/>
      <c r="Z46" s="22"/>
      <c r="AA46" s="22"/>
      <c r="AB46" s="22"/>
      <c r="AC46" s="22"/>
      <c r="AD46" s="22"/>
      <c r="AE46" s="22"/>
      <c r="AH46" s="22"/>
      <c r="AI46" s="22"/>
      <c r="AJ46" s="22"/>
    </row>
    <row r="47" spans="1:36" x14ac:dyDescent="0.45">
      <c r="A47" s="5"/>
      <c r="E47" s="5"/>
      <c r="F47" s="5"/>
      <c r="G47" s="11"/>
      <c r="H47" s="11"/>
      <c r="I47" s="72"/>
      <c r="J47" s="11"/>
      <c r="K47" s="11"/>
      <c r="M47" s="22"/>
      <c r="N47" s="11"/>
      <c r="O47" s="3"/>
      <c r="P47" s="22"/>
      <c r="S47" s="11"/>
      <c r="V47" s="11"/>
      <c r="W47" s="22"/>
      <c r="X47" s="22"/>
      <c r="Y47" s="22"/>
      <c r="Z47" s="22"/>
      <c r="AA47" s="22"/>
      <c r="AB47" s="22"/>
      <c r="AC47" s="22"/>
      <c r="AD47" s="22"/>
      <c r="AE47" s="22"/>
      <c r="AH47" s="22"/>
      <c r="AI47" s="22"/>
      <c r="AJ47" s="22"/>
    </row>
    <row r="48" spans="1:36" x14ac:dyDescent="0.45">
      <c r="A48" s="5"/>
      <c r="E48" s="5"/>
      <c r="F48" s="5"/>
      <c r="G48" s="11"/>
      <c r="H48" s="11"/>
      <c r="I48" s="72"/>
      <c r="J48" s="11"/>
      <c r="K48" s="11"/>
      <c r="M48" s="22"/>
      <c r="N48" s="11"/>
      <c r="O48" s="3"/>
      <c r="P48" s="22"/>
      <c r="S48" s="11"/>
      <c r="V48" s="11"/>
      <c r="W48" s="22"/>
      <c r="X48" s="22"/>
      <c r="Y48" s="22"/>
      <c r="Z48" s="22"/>
      <c r="AA48" s="22"/>
      <c r="AB48" s="22"/>
      <c r="AC48" s="22"/>
      <c r="AD48" s="22"/>
      <c r="AE48" s="22"/>
      <c r="AH48" s="22"/>
      <c r="AI48" s="22"/>
      <c r="AJ48" s="22"/>
    </row>
    <row r="49" spans="1:36" x14ac:dyDescent="0.45">
      <c r="A49" s="5"/>
      <c r="E49" s="5"/>
      <c r="F49" s="5"/>
      <c r="G49" s="11"/>
      <c r="H49" s="11"/>
      <c r="I49" s="72"/>
      <c r="J49" s="11"/>
      <c r="K49" s="11"/>
      <c r="M49" s="22"/>
      <c r="N49" s="11"/>
      <c r="O49" s="3"/>
      <c r="P49" s="22"/>
      <c r="S49" s="11"/>
      <c r="V49" s="11"/>
      <c r="W49" s="22"/>
      <c r="X49" s="22"/>
      <c r="Y49" s="22"/>
      <c r="Z49" s="22"/>
      <c r="AA49" s="22"/>
      <c r="AB49" s="22"/>
      <c r="AC49" s="22"/>
      <c r="AD49" s="22"/>
      <c r="AE49" s="22"/>
      <c r="AH49" s="22"/>
      <c r="AI49" s="22"/>
      <c r="AJ49" s="22"/>
    </row>
    <row r="50" spans="1:36" x14ac:dyDescent="0.45">
      <c r="A50" s="5"/>
      <c r="E50" s="5"/>
      <c r="F50" s="5"/>
      <c r="G50" s="11"/>
      <c r="H50" s="11"/>
      <c r="I50" s="72"/>
      <c r="J50" s="11"/>
      <c r="K50" s="11"/>
      <c r="M50" s="22"/>
      <c r="N50" s="11"/>
      <c r="O50" s="3"/>
      <c r="P50" s="22"/>
      <c r="S50" s="11"/>
      <c r="V50" s="11"/>
      <c r="W50" s="22"/>
      <c r="X50" s="22"/>
      <c r="Y50" s="22"/>
      <c r="Z50" s="22"/>
      <c r="AA50" s="22"/>
      <c r="AB50" s="22"/>
      <c r="AC50" s="22"/>
      <c r="AD50" s="22"/>
      <c r="AE50" s="22"/>
      <c r="AH50" s="22"/>
      <c r="AI50" s="22"/>
      <c r="AJ50" s="22"/>
    </row>
  </sheetData>
  <autoFilter ref="A13:AO36" xr:uid="{00000000-0009-0000-0000-00000D000000}"/>
  <mergeCells count="25">
    <mergeCell ref="H10:H11"/>
    <mergeCell ref="I10:I11"/>
    <mergeCell ref="AE10:AG10"/>
    <mergeCell ref="J10:J11"/>
    <mergeCell ref="L10:M10"/>
    <mergeCell ref="N10:N11"/>
    <mergeCell ref="Q10:R10"/>
    <mergeCell ref="AC10:AD10"/>
    <mergeCell ref="AB10:AB11"/>
    <mergeCell ref="AH10:AH11"/>
    <mergeCell ref="AI10:AI11"/>
    <mergeCell ref="G12:H12"/>
    <mergeCell ref="AC9:AG9"/>
    <mergeCell ref="A10:A11"/>
    <mergeCell ref="B10:B11"/>
    <mergeCell ref="C10:C11"/>
    <mergeCell ref="D10:D11"/>
    <mergeCell ref="E10:E11"/>
    <mergeCell ref="K10:K11"/>
    <mergeCell ref="K9:N9"/>
    <mergeCell ref="O9:P9"/>
    <mergeCell ref="Q9:T9"/>
    <mergeCell ref="W9:AA9"/>
    <mergeCell ref="F10:F11"/>
    <mergeCell ref="G10:G11"/>
  </mergeCells>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CommandButton1">
          <controlPr defaultSize="0" autoLine="0" r:id="rId5">
            <anchor moveWithCells="1">
              <from>
                <xdr:col>1</xdr:col>
                <xdr:colOff>95250</xdr:colOff>
                <xdr:row>5</xdr:row>
                <xdr:rowOff>9525</xdr:rowOff>
              </from>
              <to>
                <xdr:col>1</xdr:col>
                <xdr:colOff>1343025</xdr:colOff>
                <xdr:row>6</xdr:row>
                <xdr:rowOff>228600</xdr:rowOff>
              </to>
            </anchor>
          </controlPr>
        </control>
      </mc:Choice>
      <mc:Fallback>
        <control shapeId="20482" r:id="rId4"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hang9">
    <tabColor theme="7"/>
  </sheetPr>
  <dimension ref="A1:AO50"/>
  <sheetViews>
    <sheetView showGridLines="0" topLeftCell="E1" workbookViewId="0">
      <selection activeCell="R28" sqref="R28"/>
    </sheetView>
  </sheetViews>
  <sheetFormatPr defaultColWidth="9.1328125" defaultRowHeight="14.25" x14ac:dyDescent="0.45"/>
  <cols>
    <col min="1" max="1" width="7.59765625" style="3" customWidth="1"/>
    <col min="2" max="2" width="24.1328125" style="3" customWidth="1"/>
    <col min="3" max="3" width="14.59765625" style="5" customWidth="1"/>
    <col min="4" max="4" width="14.86328125" style="5" customWidth="1"/>
    <col min="5" max="5" width="10.265625" style="3" customWidth="1"/>
    <col min="6" max="6" width="8.1328125" style="3" customWidth="1"/>
    <col min="7" max="7" width="14" style="3" customWidth="1"/>
    <col min="8" max="8" width="13.73046875" style="3" customWidth="1"/>
    <col min="9" max="9" width="8.265625" style="44" customWidth="1"/>
    <col min="10" max="10" width="15.1328125" style="3" customWidth="1"/>
    <col min="11" max="11" width="13.73046875" style="3" customWidth="1"/>
    <col min="12" max="12" width="9" style="3" customWidth="1"/>
    <col min="13" max="13" width="14.265625" style="3" customWidth="1"/>
    <col min="14" max="14" width="12.73046875" style="3" customWidth="1"/>
    <col min="15" max="15" width="8.86328125" style="5" customWidth="1"/>
    <col min="16" max="16" width="10.265625" style="3" customWidth="1"/>
    <col min="17" max="17" width="11" style="3" customWidth="1"/>
    <col min="18" max="18" width="13.86328125" style="3" customWidth="1"/>
    <col min="19" max="19" width="13.59765625" style="3" hidden="1" customWidth="1"/>
    <col min="20" max="21" width="12.1328125" style="3" customWidth="1"/>
    <col min="22" max="22" width="16.1328125" style="3" customWidth="1"/>
    <col min="23" max="26" width="13.265625" style="3" customWidth="1"/>
    <col min="27" max="27" width="12.265625" style="3" customWidth="1"/>
    <col min="28" max="28" width="14.73046875" style="3" customWidth="1"/>
    <col min="29" max="29" width="14.265625" style="3" customWidth="1"/>
    <col min="30" max="30" width="12" style="3" customWidth="1"/>
    <col min="31" max="31" width="13.86328125" style="3" customWidth="1"/>
    <col min="32" max="33" width="9.1328125" style="3" hidden="1" customWidth="1"/>
    <col min="34" max="34" width="14" style="3" bestFit="1" customWidth="1"/>
    <col min="35" max="35" width="13" style="3" customWidth="1"/>
    <col min="36" max="37" width="13.73046875" style="3" customWidth="1"/>
    <col min="38" max="41" width="8.1328125" style="3" hidden="1" customWidth="1"/>
    <col min="42" max="16384" width="9.1328125" style="3"/>
  </cols>
  <sheetData>
    <row r="1" spans="1:41" ht="18" customHeight="1" thickBot="1" x14ac:dyDescent="0.5">
      <c r="A1" s="3" t="s">
        <v>376</v>
      </c>
      <c r="B1" s="59" t="s">
        <v>72</v>
      </c>
      <c r="C1" s="6">
        <v>9</v>
      </c>
      <c r="E1" s="376" t="s">
        <v>39</v>
      </c>
      <c r="F1" s="314"/>
      <c r="G1" s="377"/>
      <c r="H1" s="314"/>
      <c r="I1" s="378"/>
      <c r="J1" s="314"/>
      <c r="K1" s="314"/>
      <c r="L1" s="314"/>
      <c r="M1" s="314"/>
      <c r="N1" s="314"/>
      <c r="O1" s="377"/>
      <c r="P1" s="314"/>
      <c r="Q1" s="314"/>
      <c r="R1" s="314"/>
      <c r="S1" s="314"/>
      <c r="T1" s="314"/>
      <c r="U1" s="314"/>
      <c r="V1" s="314"/>
      <c r="W1" s="314"/>
      <c r="X1" s="314"/>
      <c r="Y1" s="314"/>
      <c r="Z1" s="314"/>
      <c r="AA1" s="314"/>
      <c r="AB1" s="314"/>
      <c r="AC1" s="314"/>
      <c r="AD1" s="314"/>
      <c r="AE1" s="314"/>
      <c r="AF1" s="314"/>
      <c r="AG1" s="314"/>
      <c r="AH1" s="314"/>
      <c r="AI1" s="314"/>
      <c r="AJ1" s="314"/>
      <c r="AK1" s="314"/>
      <c r="AL1" s="86"/>
      <c r="AM1" s="86"/>
      <c r="AN1" s="86"/>
      <c r="AO1" s="86"/>
    </row>
    <row r="2" spans="1:41" s="150" customFormat="1" ht="14.25" customHeight="1" thickTop="1" x14ac:dyDescent="0.45">
      <c r="C2" s="70"/>
      <c r="D2" s="70"/>
      <c r="E2" s="379">
        <f t="array" aca="1" ref="E2" ca="1">IFERROR(INDEX(INDIRECT($E$8),MATCH(0,COUNTIF(E$1:$E1,INDIRECT($E$8)&amp;""),0)),"")</f>
        <v>0</v>
      </c>
      <c r="F2" s="380">
        <f t="shared" ref="F2:U6" ca="1" si="0">SUMIFS(F$14:F$1400,$E$14:$E$1400,$E2)</f>
        <v>0</v>
      </c>
      <c r="G2" s="380">
        <f t="shared" ca="1" si="0"/>
        <v>0</v>
      </c>
      <c r="H2" s="380">
        <f t="shared" ca="1" si="0"/>
        <v>0</v>
      </c>
      <c r="I2" s="380"/>
      <c r="J2" s="380">
        <f t="shared" ca="1" si="0"/>
        <v>0</v>
      </c>
      <c r="K2" s="380">
        <f t="shared" ca="1" si="0"/>
        <v>0</v>
      </c>
      <c r="L2" s="380">
        <f t="shared" ca="1" si="0"/>
        <v>0</v>
      </c>
      <c r="M2" s="380">
        <f t="shared" ca="1" si="0"/>
        <v>0</v>
      </c>
      <c r="N2" s="380">
        <f t="shared" ca="1" si="0"/>
        <v>0</v>
      </c>
      <c r="O2" s="381">
        <f t="shared" ca="1" si="0"/>
        <v>0</v>
      </c>
      <c r="P2" s="380">
        <f t="shared" ca="1" si="0"/>
        <v>0</v>
      </c>
      <c r="Q2" s="380">
        <f t="shared" ca="1" si="0"/>
        <v>0</v>
      </c>
      <c r="R2" s="380">
        <f t="shared" ca="1" si="0"/>
        <v>0</v>
      </c>
      <c r="S2" s="380">
        <f t="shared" ca="1" si="0"/>
        <v>0</v>
      </c>
      <c r="T2" s="380">
        <f t="shared" ca="1" si="0"/>
        <v>0</v>
      </c>
      <c r="U2" s="380">
        <f t="shared" ca="1" si="0"/>
        <v>0</v>
      </c>
      <c r="V2" s="380">
        <f t="shared" ref="V2:AJ6" ca="1" si="1">SUMIFS(V$14:V$1400,$E$14:$E$1400,$E2)</f>
        <v>0</v>
      </c>
      <c r="W2" s="380">
        <f t="shared" ca="1" si="1"/>
        <v>0</v>
      </c>
      <c r="X2" s="380">
        <f ca="1">SUMIFS(X$14:X$1400,$E$14:$E$1400,$E2)</f>
        <v>0</v>
      </c>
      <c r="Y2" s="380"/>
      <c r="Z2" s="380">
        <f t="shared" ca="1" si="1"/>
        <v>0</v>
      </c>
      <c r="AA2" s="380">
        <f t="shared" ca="1" si="1"/>
        <v>0</v>
      </c>
      <c r="AB2" s="380">
        <f t="shared" ca="1" si="1"/>
        <v>0</v>
      </c>
      <c r="AC2" s="380">
        <f t="shared" ca="1" si="1"/>
        <v>0</v>
      </c>
      <c r="AD2" s="380">
        <f t="shared" ca="1" si="1"/>
        <v>0</v>
      </c>
      <c r="AE2" s="380">
        <f t="shared" ca="1" si="1"/>
        <v>0</v>
      </c>
      <c r="AF2" s="382">
        <f t="shared" ca="1" si="1"/>
        <v>0</v>
      </c>
      <c r="AG2" s="382">
        <f t="shared" ca="1" si="1"/>
        <v>0</v>
      </c>
      <c r="AH2" s="380">
        <f t="shared" ca="1" si="1"/>
        <v>0</v>
      </c>
      <c r="AI2" s="380">
        <f t="shared" ca="1" si="1"/>
        <v>0</v>
      </c>
      <c r="AJ2" s="380">
        <f t="shared" ca="1" si="1"/>
        <v>0</v>
      </c>
      <c r="AK2" s="383"/>
      <c r="AL2" s="86"/>
      <c r="AM2" s="86"/>
      <c r="AN2" s="86"/>
      <c r="AO2" s="86"/>
    </row>
    <row r="3" spans="1:41" s="150" customFormat="1" ht="14.25" customHeight="1" x14ac:dyDescent="0.45">
      <c r="C3" s="70"/>
      <c r="D3" s="70"/>
      <c r="E3" s="379">
        <f t="array" aca="1" ref="E3" ca="1">IFERROR(INDEX(INDIRECT($E$8),MATCH(0,COUNTIF(E$1:$E2,INDIRECT($E$8)&amp;""),0)),"")</f>
        <v>0</v>
      </c>
      <c r="F3" s="384">
        <f t="shared" ca="1" si="0"/>
        <v>0</v>
      </c>
      <c r="G3" s="384">
        <f t="shared" ca="1" si="0"/>
        <v>0</v>
      </c>
      <c r="H3" s="384">
        <f ca="1">SUMIFS(H$14:H$1400,$E$14:$E$1400,$E3)</f>
        <v>0</v>
      </c>
      <c r="I3" s="384"/>
      <c r="J3" s="384">
        <f t="shared" ca="1" si="0"/>
        <v>0</v>
      </c>
      <c r="K3" s="384">
        <f t="shared" ca="1" si="0"/>
        <v>0</v>
      </c>
      <c r="L3" s="384">
        <f t="shared" ca="1" si="0"/>
        <v>0</v>
      </c>
      <c r="M3" s="384">
        <f t="shared" ca="1" si="0"/>
        <v>0</v>
      </c>
      <c r="N3" s="384">
        <f t="shared" ca="1" si="0"/>
        <v>0</v>
      </c>
      <c r="O3" s="385">
        <f t="shared" ca="1" si="0"/>
        <v>0</v>
      </c>
      <c r="P3" s="384">
        <f t="shared" ca="1" si="0"/>
        <v>0</v>
      </c>
      <c r="Q3" s="384">
        <f t="shared" ca="1" si="0"/>
        <v>0</v>
      </c>
      <c r="R3" s="384">
        <f t="shared" ca="1" si="0"/>
        <v>0</v>
      </c>
      <c r="S3" s="384">
        <f t="shared" ca="1" si="0"/>
        <v>0</v>
      </c>
      <c r="T3" s="384">
        <f t="shared" ca="1" si="0"/>
        <v>0</v>
      </c>
      <c r="U3" s="384">
        <f t="shared" ca="1" si="0"/>
        <v>0</v>
      </c>
      <c r="V3" s="384">
        <f t="shared" ca="1" si="1"/>
        <v>0</v>
      </c>
      <c r="W3" s="384">
        <f t="shared" ca="1" si="1"/>
        <v>0</v>
      </c>
      <c r="X3" s="384">
        <f ca="1">SUMIFS(X$14:X$1400,$E$14:$E$1400,$E3)</f>
        <v>0</v>
      </c>
      <c r="Y3" s="384"/>
      <c r="Z3" s="384">
        <f t="shared" ca="1" si="1"/>
        <v>0</v>
      </c>
      <c r="AA3" s="384">
        <f t="shared" ca="1" si="1"/>
        <v>0</v>
      </c>
      <c r="AB3" s="384">
        <f t="shared" ca="1" si="1"/>
        <v>0</v>
      </c>
      <c r="AC3" s="384">
        <f t="shared" ca="1" si="1"/>
        <v>0</v>
      </c>
      <c r="AD3" s="384">
        <f t="shared" ca="1" si="1"/>
        <v>0</v>
      </c>
      <c r="AE3" s="384">
        <f t="shared" ca="1" si="1"/>
        <v>0</v>
      </c>
      <c r="AF3" s="386">
        <f t="shared" ca="1" si="1"/>
        <v>0</v>
      </c>
      <c r="AG3" s="386">
        <f t="shared" ca="1" si="1"/>
        <v>0</v>
      </c>
      <c r="AH3" s="384">
        <f t="shared" ca="1" si="1"/>
        <v>0</v>
      </c>
      <c r="AI3" s="384">
        <f t="shared" ca="1" si="1"/>
        <v>0</v>
      </c>
      <c r="AJ3" s="384">
        <f t="shared" ca="1" si="1"/>
        <v>0</v>
      </c>
      <c r="AK3" s="387"/>
      <c r="AL3" s="86"/>
      <c r="AM3" s="86"/>
      <c r="AN3" s="86"/>
      <c r="AO3" s="86"/>
    </row>
    <row r="4" spans="1:41" ht="14.25" customHeight="1" x14ac:dyDescent="0.45">
      <c r="E4" s="379">
        <f t="array" aca="1" ref="E4" ca="1">IFERROR(INDEX(INDIRECT($E$8),MATCH(0,COUNTIF(E$1:$E3,INDIRECT($E$8)&amp;""),0)),"")</f>
        <v>0</v>
      </c>
      <c r="F4" s="384">
        <f t="shared" ca="1" si="0"/>
        <v>0</v>
      </c>
      <c r="G4" s="384">
        <f t="shared" ca="1" si="0"/>
        <v>0</v>
      </c>
      <c r="H4" s="384">
        <f t="shared" ca="1" si="0"/>
        <v>0</v>
      </c>
      <c r="I4" s="384"/>
      <c r="J4" s="384">
        <f t="shared" ca="1" si="0"/>
        <v>0</v>
      </c>
      <c r="K4" s="384">
        <f t="shared" ca="1" si="0"/>
        <v>0</v>
      </c>
      <c r="L4" s="384">
        <f t="shared" ca="1" si="0"/>
        <v>0</v>
      </c>
      <c r="M4" s="384">
        <f t="shared" ca="1" si="0"/>
        <v>0</v>
      </c>
      <c r="N4" s="384">
        <f t="shared" ca="1" si="0"/>
        <v>0</v>
      </c>
      <c r="O4" s="385">
        <f t="shared" ca="1" si="0"/>
        <v>0</v>
      </c>
      <c r="P4" s="384">
        <f t="shared" ca="1" si="0"/>
        <v>0</v>
      </c>
      <c r="Q4" s="384">
        <f t="shared" ca="1" si="0"/>
        <v>0</v>
      </c>
      <c r="R4" s="384">
        <f t="shared" ca="1" si="0"/>
        <v>0</v>
      </c>
      <c r="S4" s="384">
        <f t="shared" ca="1" si="0"/>
        <v>0</v>
      </c>
      <c r="T4" s="384">
        <f t="shared" ca="1" si="0"/>
        <v>0</v>
      </c>
      <c r="U4" s="384">
        <f t="shared" ca="1" si="0"/>
        <v>0</v>
      </c>
      <c r="V4" s="384">
        <f t="shared" ca="1" si="1"/>
        <v>0</v>
      </c>
      <c r="W4" s="384">
        <f t="shared" ca="1" si="1"/>
        <v>0</v>
      </c>
      <c r="X4" s="384">
        <f t="shared" ca="1" si="1"/>
        <v>0</v>
      </c>
      <c r="Y4" s="384"/>
      <c r="Z4" s="384">
        <f t="shared" ca="1" si="1"/>
        <v>0</v>
      </c>
      <c r="AA4" s="384">
        <f t="shared" ca="1" si="1"/>
        <v>0</v>
      </c>
      <c r="AB4" s="384">
        <f t="shared" ca="1" si="1"/>
        <v>0</v>
      </c>
      <c r="AC4" s="384">
        <f t="shared" ca="1" si="1"/>
        <v>0</v>
      </c>
      <c r="AD4" s="384">
        <f t="shared" ca="1" si="1"/>
        <v>0</v>
      </c>
      <c r="AE4" s="384">
        <f t="shared" ca="1" si="1"/>
        <v>0</v>
      </c>
      <c r="AF4" s="384">
        <f t="shared" ca="1" si="1"/>
        <v>0</v>
      </c>
      <c r="AG4" s="384">
        <f t="shared" ca="1" si="1"/>
        <v>0</v>
      </c>
      <c r="AH4" s="384">
        <f t="shared" ca="1" si="1"/>
        <v>0</v>
      </c>
      <c r="AI4" s="384">
        <f t="shared" ca="1" si="1"/>
        <v>0</v>
      </c>
      <c r="AJ4" s="384">
        <f t="shared" ca="1" si="1"/>
        <v>0</v>
      </c>
      <c r="AK4" s="387"/>
      <c r="AL4" s="86"/>
      <c r="AM4" s="86"/>
      <c r="AN4" s="86"/>
      <c r="AO4" s="86"/>
    </row>
    <row r="5" spans="1:41" ht="14.25" customHeight="1" x14ac:dyDescent="0.45">
      <c r="E5" s="379">
        <f t="array" aca="1" ref="E5" ca="1">IFERROR(INDEX(INDIRECT($E$8),MATCH(0,COUNTIF(E$1:$E4,INDIRECT($E$8)&amp;""),0)),"")</f>
        <v>0</v>
      </c>
      <c r="F5" s="384">
        <f t="shared" ca="1" si="0"/>
        <v>0</v>
      </c>
      <c r="G5" s="384">
        <f t="shared" ca="1" si="0"/>
        <v>0</v>
      </c>
      <c r="H5" s="384">
        <f t="shared" ca="1" si="0"/>
        <v>0</v>
      </c>
      <c r="I5" s="384"/>
      <c r="J5" s="384">
        <f t="shared" ca="1" si="0"/>
        <v>0</v>
      </c>
      <c r="K5" s="384">
        <f t="shared" ca="1" si="0"/>
        <v>0</v>
      </c>
      <c r="L5" s="384">
        <f t="shared" ca="1" si="0"/>
        <v>0</v>
      </c>
      <c r="M5" s="384">
        <f t="shared" ca="1" si="0"/>
        <v>0</v>
      </c>
      <c r="N5" s="384">
        <f t="shared" ca="1" si="0"/>
        <v>0</v>
      </c>
      <c r="O5" s="385">
        <f t="shared" ca="1" si="0"/>
        <v>0</v>
      </c>
      <c r="P5" s="384">
        <f t="shared" ca="1" si="0"/>
        <v>0</v>
      </c>
      <c r="Q5" s="384">
        <f t="shared" ca="1" si="0"/>
        <v>0</v>
      </c>
      <c r="R5" s="384">
        <f t="shared" ca="1" si="0"/>
        <v>0</v>
      </c>
      <c r="S5" s="384">
        <f t="shared" ca="1" si="0"/>
        <v>0</v>
      </c>
      <c r="T5" s="384">
        <f t="shared" ca="1" si="0"/>
        <v>0</v>
      </c>
      <c r="U5" s="384">
        <f t="shared" ca="1" si="0"/>
        <v>0</v>
      </c>
      <c r="V5" s="384">
        <f t="shared" ca="1" si="1"/>
        <v>0</v>
      </c>
      <c r="W5" s="384">
        <f t="shared" ca="1" si="1"/>
        <v>0</v>
      </c>
      <c r="X5" s="384">
        <f t="shared" ca="1" si="1"/>
        <v>0</v>
      </c>
      <c r="Y5" s="384"/>
      <c r="Z5" s="384">
        <f t="shared" ca="1" si="1"/>
        <v>0</v>
      </c>
      <c r="AA5" s="384">
        <f t="shared" ca="1" si="1"/>
        <v>0</v>
      </c>
      <c r="AB5" s="384">
        <f t="shared" ca="1" si="1"/>
        <v>0</v>
      </c>
      <c r="AC5" s="384">
        <f t="shared" ca="1" si="1"/>
        <v>0</v>
      </c>
      <c r="AD5" s="384">
        <f t="shared" ca="1" si="1"/>
        <v>0</v>
      </c>
      <c r="AE5" s="384">
        <f t="shared" ca="1" si="1"/>
        <v>0</v>
      </c>
      <c r="AF5" s="384">
        <f t="shared" ca="1" si="1"/>
        <v>0</v>
      </c>
      <c r="AG5" s="384">
        <f t="shared" ca="1" si="1"/>
        <v>0</v>
      </c>
      <c r="AH5" s="384">
        <f t="shared" ca="1" si="1"/>
        <v>0</v>
      </c>
      <c r="AI5" s="384">
        <f t="shared" ca="1" si="1"/>
        <v>0</v>
      </c>
      <c r="AJ5" s="384">
        <f t="shared" ca="1" si="1"/>
        <v>0</v>
      </c>
      <c r="AK5" s="387"/>
      <c r="AL5" s="86"/>
      <c r="AM5" s="86"/>
      <c r="AN5" s="86"/>
      <c r="AO5" s="86"/>
    </row>
    <row r="6" spans="1:41" ht="13.5" customHeight="1" x14ac:dyDescent="0.45">
      <c r="E6" s="379">
        <f t="array" aca="1" ref="E6" ca="1">IFERROR(INDEX(INDIRECT($E$8),MATCH(0,COUNTIF(E$1:$E5,INDIRECT($E$8)&amp;""),0)),"")</f>
        <v>0</v>
      </c>
      <c r="F6" s="384">
        <f t="shared" ca="1" si="0"/>
        <v>0</v>
      </c>
      <c r="G6" s="384">
        <f t="shared" ca="1" si="0"/>
        <v>0</v>
      </c>
      <c r="H6" s="384">
        <f t="shared" ca="1" si="0"/>
        <v>0</v>
      </c>
      <c r="I6" s="384"/>
      <c r="J6" s="384">
        <f t="shared" ca="1" si="0"/>
        <v>0</v>
      </c>
      <c r="K6" s="384">
        <f t="shared" ca="1" si="0"/>
        <v>0</v>
      </c>
      <c r="L6" s="384">
        <f t="shared" ca="1" si="0"/>
        <v>0</v>
      </c>
      <c r="M6" s="384">
        <f t="shared" ca="1" si="0"/>
        <v>0</v>
      </c>
      <c r="N6" s="384">
        <f t="shared" ca="1" si="0"/>
        <v>0</v>
      </c>
      <c r="O6" s="385">
        <f t="shared" ca="1" si="0"/>
        <v>0</v>
      </c>
      <c r="P6" s="384">
        <f t="shared" ca="1" si="0"/>
        <v>0</v>
      </c>
      <c r="Q6" s="384">
        <f t="shared" ca="1" si="0"/>
        <v>0</v>
      </c>
      <c r="R6" s="384">
        <f t="shared" ca="1" si="0"/>
        <v>0</v>
      </c>
      <c r="S6" s="384">
        <f t="shared" ca="1" si="0"/>
        <v>0</v>
      </c>
      <c r="T6" s="384">
        <f t="shared" ca="1" si="0"/>
        <v>0</v>
      </c>
      <c r="U6" s="384">
        <f t="shared" ca="1" si="0"/>
        <v>0</v>
      </c>
      <c r="V6" s="384">
        <f t="shared" ca="1" si="1"/>
        <v>0</v>
      </c>
      <c r="W6" s="384">
        <f t="shared" ca="1" si="1"/>
        <v>0</v>
      </c>
      <c r="X6" s="384">
        <f ca="1">SUMIFS(X$14:X$1400,$E$14:$E$1400,$E6)</f>
        <v>0</v>
      </c>
      <c r="Y6" s="384"/>
      <c r="Z6" s="384">
        <f t="shared" ca="1" si="1"/>
        <v>0</v>
      </c>
      <c r="AA6" s="384">
        <f t="shared" ca="1" si="1"/>
        <v>0</v>
      </c>
      <c r="AB6" s="384">
        <f t="shared" ca="1" si="1"/>
        <v>0</v>
      </c>
      <c r="AC6" s="384">
        <f t="shared" ca="1" si="1"/>
        <v>0</v>
      </c>
      <c r="AD6" s="384">
        <f t="shared" ca="1" si="1"/>
        <v>0</v>
      </c>
      <c r="AE6" s="384">
        <f t="shared" ca="1" si="1"/>
        <v>0</v>
      </c>
      <c r="AF6" s="384">
        <f t="shared" ca="1" si="1"/>
        <v>0</v>
      </c>
      <c r="AG6" s="384">
        <f t="shared" ca="1" si="1"/>
        <v>0</v>
      </c>
      <c r="AH6" s="384">
        <f t="shared" ca="1" si="1"/>
        <v>0</v>
      </c>
      <c r="AI6" s="384">
        <f t="shared" ca="1" si="1"/>
        <v>0</v>
      </c>
      <c r="AJ6" s="384">
        <f t="shared" ca="1" si="1"/>
        <v>0</v>
      </c>
      <c r="AK6" s="387"/>
      <c r="AL6" s="86"/>
      <c r="AM6" s="86"/>
      <c r="AN6" s="86"/>
      <c r="AO6" s="86"/>
    </row>
    <row r="7" spans="1:41" s="58" customFormat="1" ht="19.7" customHeight="1" x14ac:dyDescent="0.45">
      <c r="C7" s="61">
        <f ca="1">COUNTIF(I14:I1400,"&gt;0")</f>
        <v>0</v>
      </c>
      <c r="D7" s="61"/>
      <c r="E7" s="64" t="s">
        <v>82</v>
      </c>
      <c r="F7" s="63">
        <f ca="1">SUM(F2:F6)</f>
        <v>0</v>
      </c>
      <c r="G7" s="63">
        <f ca="1">SUM(G2:G6)</f>
        <v>0</v>
      </c>
      <c r="H7" s="63">
        <f t="shared" ref="H7:AJ7" ca="1" si="2">SUM(H2:H6)</f>
        <v>0</v>
      </c>
      <c r="I7" s="63"/>
      <c r="J7" s="63">
        <f t="shared" ca="1" si="2"/>
        <v>0</v>
      </c>
      <c r="K7" s="63">
        <f t="shared" ca="1" si="2"/>
        <v>0</v>
      </c>
      <c r="L7" s="63">
        <f t="shared" ca="1" si="2"/>
        <v>0</v>
      </c>
      <c r="M7" s="63">
        <f t="shared" ca="1" si="2"/>
        <v>0</v>
      </c>
      <c r="N7" s="63">
        <f t="shared" ca="1" si="2"/>
        <v>0</v>
      </c>
      <c r="O7" s="212">
        <f t="shared" ca="1" si="2"/>
        <v>0</v>
      </c>
      <c r="P7" s="63">
        <f t="shared" ca="1" si="2"/>
        <v>0</v>
      </c>
      <c r="Q7" s="63">
        <f t="shared" ca="1" si="2"/>
        <v>0</v>
      </c>
      <c r="R7" s="63">
        <f t="shared" ca="1" si="2"/>
        <v>0</v>
      </c>
      <c r="S7" s="63">
        <f t="shared" ca="1" si="2"/>
        <v>0</v>
      </c>
      <c r="T7" s="63">
        <f t="shared" ca="1" si="2"/>
        <v>0</v>
      </c>
      <c r="U7" s="63">
        <f t="shared" ca="1" si="2"/>
        <v>0</v>
      </c>
      <c r="V7" s="63">
        <f t="shared" ca="1" si="2"/>
        <v>0</v>
      </c>
      <c r="W7" s="63">
        <f t="shared" ca="1" si="2"/>
        <v>0</v>
      </c>
      <c r="X7" s="63">
        <f t="shared" ca="1" si="2"/>
        <v>0</v>
      </c>
      <c r="Y7" s="63"/>
      <c r="Z7" s="63">
        <f t="shared" ca="1" si="2"/>
        <v>0</v>
      </c>
      <c r="AA7" s="63">
        <f t="shared" ca="1" si="2"/>
        <v>0</v>
      </c>
      <c r="AB7" s="63">
        <f t="shared" ca="1" si="2"/>
        <v>0</v>
      </c>
      <c r="AC7" s="63">
        <f t="shared" ca="1" si="2"/>
        <v>0</v>
      </c>
      <c r="AD7" s="63">
        <f t="shared" ca="1" si="2"/>
        <v>0</v>
      </c>
      <c r="AE7" s="63">
        <f t="shared" ca="1" si="2"/>
        <v>0</v>
      </c>
      <c r="AF7" s="63">
        <f t="shared" ca="1" si="2"/>
        <v>0</v>
      </c>
      <c r="AG7" s="63">
        <f t="shared" ca="1" si="2"/>
        <v>0</v>
      </c>
      <c r="AH7" s="63">
        <f t="shared" ca="1" si="2"/>
        <v>0</v>
      </c>
      <c r="AI7" s="63">
        <f t="shared" ca="1" si="2"/>
        <v>0</v>
      </c>
      <c r="AJ7" s="63">
        <f t="shared" ca="1" si="2"/>
        <v>0</v>
      </c>
      <c r="AK7" s="62"/>
      <c r="AL7" s="86"/>
      <c r="AM7" s="86"/>
      <c r="AN7" s="86"/>
      <c r="AO7" s="86"/>
    </row>
    <row r="8" spans="1:41" s="58" customFormat="1" ht="19.7" customHeight="1" x14ac:dyDescent="0.45">
      <c r="A8" s="55"/>
      <c r="B8" s="55"/>
      <c r="C8" s="56"/>
      <c r="D8" s="56"/>
      <c r="E8" s="91" t="str">
        <f ca="1">"$E$14:$E$"&amp;COUNTA(E14:E1000)+14</f>
        <v>$E$14:$E$16</v>
      </c>
      <c r="F8" s="57">
        <f ca="1">SUBTOTAL(9,F$14:F$1400)</f>
        <v>0</v>
      </c>
      <c r="G8" s="57">
        <f ca="1">SUBTOTAL(9,G$14:G$1400)</f>
        <v>0</v>
      </c>
      <c r="H8" s="57">
        <f t="shared" ref="H8:AJ8" ca="1" si="3">SUBTOTAL(9,H$14:H$1400)</f>
        <v>0</v>
      </c>
      <c r="I8" s="57"/>
      <c r="J8" s="57">
        <f t="shared" ca="1" si="3"/>
        <v>0</v>
      </c>
      <c r="K8" s="57">
        <f t="shared" ca="1" si="3"/>
        <v>0</v>
      </c>
      <c r="L8" s="57">
        <f t="shared" si="3"/>
        <v>0</v>
      </c>
      <c r="M8" s="57">
        <f t="shared" ca="1" si="3"/>
        <v>0</v>
      </c>
      <c r="N8" s="57">
        <f t="shared" ca="1" si="3"/>
        <v>0</v>
      </c>
      <c r="O8" s="213">
        <f t="shared" si="3"/>
        <v>0</v>
      </c>
      <c r="P8" s="57">
        <f t="shared" ca="1" si="3"/>
        <v>0</v>
      </c>
      <c r="Q8" s="57">
        <f t="shared" si="3"/>
        <v>0</v>
      </c>
      <c r="R8" s="57">
        <f t="shared" ca="1" si="3"/>
        <v>0</v>
      </c>
      <c r="S8" s="57">
        <f t="shared" si="3"/>
        <v>0</v>
      </c>
      <c r="T8" s="57">
        <f t="shared" si="3"/>
        <v>0</v>
      </c>
      <c r="U8" s="57">
        <f t="shared" si="3"/>
        <v>0</v>
      </c>
      <c r="V8" s="57">
        <f t="shared" ca="1" si="3"/>
        <v>0</v>
      </c>
      <c r="W8" s="57">
        <f t="shared" ca="1" si="3"/>
        <v>0</v>
      </c>
      <c r="X8" s="57">
        <f t="shared" ca="1" si="3"/>
        <v>0</v>
      </c>
      <c r="Y8" s="57"/>
      <c r="Z8" s="57">
        <f t="shared" ca="1" si="3"/>
        <v>0</v>
      </c>
      <c r="AA8" s="57">
        <f t="shared" ca="1" si="3"/>
        <v>0</v>
      </c>
      <c r="AB8" s="57">
        <f t="shared" ca="1" si="3"/>
        <v>0</v>
      </c>
      <c r="AC8" s="57">
        <f t="shared" ca="1" si="3"/>
        <v>0</v>
      </c>
      <c r="AD8" s="57">
        <f t="shared" ca="1" si="3"/>
        <v>0</v>
      </c>
      <c r="AE8" s="57">
        <f t="shared" ca="1" si="3"/>
        <v>0</v>
      </c>
      <c r="AF8" s="57">
        <f t="shared" si="3"/>
        <v>0</v>
      </c>
      <c r="AG8" s="57">
        <f t="shared" si="3"/>
        <v>0</v>
      </c>
      <c r="AH8" s="57">
        <f t="shared" ca="1" si="3"/>
        <v>0</v>
      </c>
      <c r="AI8" s="57">
        <f t="shared" ca="1" si="3"/>
        <v>0</v>
      </c>
      <c r="AJ8" s="57">
        <f t="shared" ca="1" si="3"/>
        <v>0</v>
      </c>
      <c r="AK8" s="57"/>
      <c r="AL8" s="86"/>
      <c r="AM8" s="86"/>
      <c r="AN8" s="86"/>
      <c r="AO8" s="86"/>
    </row>
    <row r="9" spans="1:41" x14ac:dyDescent="0.45">
      <c r="A9" s="26"/>
      <c r="B9" s="26"/>
      <c r="C9" s="43"/>
      <c r="D9" s="43"/>
      <c r="E9" s="26"/>
      <c r="F9" s="26"/>
      <c r="G9" s="26"/>
      <c r="H9" s="26"/>
      <c r="I9" s="52"/>
      <c r="J9" s="54"/>
      <c r="K9" s="609" t="s">
        <v>111</v>
      </c>
      <c r="L9" s="590"/>
      <c r="M9" s="590"/>
      <c r="N9" s="590"/>
      <c r="O9" s="606" t="s">
        <v>369</v>
      </c>
      <c r="P9" s="606"/>
      <c r="Q9" s="611" t="s">
        <v>49</v>
      </c>
      <c r="R9" s="612"/>
      <c r="S9" s="613"/>
      <c r="T9" s="613"/>
      <c r="U9" s="163"/>
      <c r="V9" s="95"/>
      <c r="W9" s="604" t="s">
        <v>53</v>
      </c>
      <c r="X9" s="604"/>
      <c r="Y9" s="604"/>
      <c r="Z9" s="604"/>
      <c r="AA9" s="605"/>
      <c r="AB9" s="92"/>
      <c r="AC9" s="607" t="s">
        <v>56</v>
      </c>
      <c r="AD9" s="608"/>
      <c r="AE9" s="608"/>
      <c r="AF9" s="608"/>
      <c r="AG9" s="608"/>
      <c r="AH9" s="94"/>
      <c r="AI9" s="94"/>
      <c r="AJ9" s="26"/>
      <c r="AK9" s="42"/>
      <c r="AL9" s="86"/>
      <c r="AM9" s="86"/>
      <c r="AN9" s="86"/>
      <c r="AO9" s="86"/>
    </row>
    <row r="10" spans="1:41" ht="15" customHeight="1" x14ac:dyDescent="0.45">
      <c r="A10" s="622" t="s">
        <v>1</v>
      </c>
      <c r="B10" s="622" t="s">
        <v>2</v>
      </c>
      <c r="C10" s="622" t="s">
        <v>3</v>
      </c>
      <c r="D10" s="622" t="s">
        <v>4</v>
      </c>
      <c r="E10" s="622" t="s">
        <v>39</v>
      </c>
      <c r="F10" s="622" t="s">
        <v>6</v>
      </c>
      <c r="G10" s="622" t="s">
        <v>7</v>
      </c>
      <c r="H10" s="622" t="s">
        <v>40</v>
      </c>
      <c r="I10" s="625" t="s">
        <v>42</v>
      </c>
      <c r="J10" s="622" t="s">
        <v>41</v>
      </c>
      <c r="K10" s="627" t="s">
        <v>298</v>
      </c>
      <c r="L10" s="590" t="s">
        <v>44</v>
      </c>
      <c r="M10" s="590"/>
      <c r="N10" s="627" t="s">
        <v>299</v>
      </c>
      <c r="O10" s="163"/>
      <c r="P10" s="31"/>
      <c r="Q10" s="614" t="s">
        <v>79</v>
      </c>
      <c r="R10" s="614"/>
      <c r="S10" s="168"/>
      <c r="T10" s="170"/>
      <c r="U10" s="164"/>
      <c r="V10" s="96"/>
      <c r="W10" s="32"/>
      <c r="X10" s="26"/>
      <c r="Y10" s="26"/>
      <c r="Z10" s="26"/>
      <c r="AA10" s="32"/>
      <c r="AB10" s="599" t="s">
        <v>57</v>
      </c>
      <c r="AC10" s="615" t="s">
        <v>58</v>
      </c>
      <c r="AD10" s="616"/>
      <c r="AE10" s="615"/>
      <c r="AF10" s="616"/>
      <c r="AG10" s="617"/>
      <c r="AH10" s="599" t="s">
        <v>59</v>
      </c>
      <c r="AI10" s="632" t="s">
        <v>61</v>
      </c>
      <c r="AJ10" s="35"/>
      <c r="AK10" s="35"/>
      <c r="AL10" s="86"/>
      <c r="AM10" s="86"/>
      <c r="AN10" s="86"/>
      <c r="AO10" s="86"/>
    </row>
    <row r="11" spans="1:41" s="4" customFormat="1" ht="33" customHeight="1" x14ac:dyDescent="0.45">
      <c r="A11" s="622"/>
      <c r="B11" s="622"/>
      <c r="C11" s="622"/>
      <c r="D11" s="622"/>
      <c r="E11" s="622"/>
      <c r="F11" s="622"/>
      <c r="G11" s="622"/>
      <c r="H11" s="622"/>
      <c r="I11" s="625"/>
      <c r="J11" s="622"/>
      <c r="K11" s="628"/>
      <c r="L11" s="160" t="s">
        <v>45</v>
      </c>
      <c r="M11" s="25" t="s">
        <v>46</v>
      </c>
      <c r="N11" s="628"/>
      <c r="O11" s="203" t="s">
        <v>370</v>
      </c>
      <c r="P11" s="103" t="s">
        <v>371</v>
      </c>
      <c r="Q11" s="161" t="s">
        <v>51</v>
      </c>
      <c r="R11" s="28" t="s">
        <v>78</v>
      </c>
      <c r="S11" s="169" t="s">
        <v>50</v>
      </c>
      <c r="T11" s="171" t="s">
        <v>60</v>
      </c>
      <c r="U11" s="162" t="s">
        <v>77</v>
      </c>
      <c r="V11" s="97" t="s">
        <v>52</v>
      </c>
      <c r="W11" s="33" t="s">
        <v>43</v>
      </c>
      <c r="X11" s="196" t="s">
        <v>264</v>
      </c>
      <c r="Y11" s="196" t="s">
        <v>77</v>
      </c>
      <c r="Z11" s="103" t="s">
        <v>54</v>
      </c>
      <c r="AA11" s="33" t="s">
        <v>55</v>
      </c>
      <c r="AB11" s="599"/>
      <c r="AC11" s="25" t="s">
        <v>88</v>
      </c>
      <c r="AD11" s="28" t="s">
        <v>28</v>
      </c>
      <c r="AE11" s="34" t="s">
        <v>81</v>
      </c>
      <c r="AF11" s="126"/>
      <c r="AG11" s="30"/>
      <c r="AH11" s="599"/>
      <c r="AI11" s="632"/>
      <c r="AJ11" s="36" t="s">
        <v>62</v>
      </c>
      <c r="AK11" s="36" t="s">
        <v>63</v>
      </c>
      <c r="AL11" s="87"/>
      <c r="AM11" s="87"/>
      <c r="AN11" s="87"/>
      <c r="AO11" s="87"/>
    </row>
    <row r="12" spans="1:41" s="4" customFormat="1" ht="15" customHeight="1" x14ac:dyDescent="0.45">
      <c r="A12" s="29"/>
      <c r="B12" s="29"/>
      <c r="C12" s="29"/>
      <c r="D12" s="29"/>
      <c r="E12" s="29"/>
      <c r="F12" s="29"/>
      <c r="G12" s="602" t="str">
        <f>'1'!G12</f>
        <v>Link</v>
      </c>
      <c r="H12" s="603"/>
      <c r="I12" s="53"/>
      <c r="J12" s="29">
        <f>INDEX(Cham_Cong!$E$7:$P$8,1,MATCH(C1,Cham_Cong!$E$8:$P$8,0))</f>
        <v>26</v>
      </c>
      <c r="K12" s="40">
        <v>730000</v>
      </c>
      <c r="L12" s="160"/>
      <c r="M12" s="27">
        <v>1000000</v>
      </c>
      <c r="N12" s="41">
        <v>200000</v>
      </c>
      <c r="O12" s="167">
        <v>2</v>
      </c>
      <c r="P12" s="38"/>
      <c r="Q12" s="161">
        <f>Info!F9</f>
        <v>5</v>
      </c>
      <c r="R12" s="27">
        <f ca="1">Info!G12</f>
        <v>0</v>
      </c>
      <c r="S12" s="165"/>
      <c r="T12" s="166"/>
      <c r="U12" s="165"/>
      <c r="V12" s="98"/>
      <c r="W12" s="30"/>
      <c r="X12" s="29"/>
      <c r="Y12" s="29"/>
      <c r="Z12" s="29"/>
      <c r="AA12" s="30"/>
      <c r="AB12" s="93"/>
      <c r="AC12" s="37">
        <v>11000000</v>
      </c>
      <c r="AD12" s="37">
        <v>4400000</v>
      </c>
      <c r="AE12" s="39">
        <v>0.105</v>
      </c>
      <c r="AF12" s="39"/>
      <c r="AG12" s="39"/>
      <c r="AH12" s="93"/>
      <c r="AI12" s="93"/>
      <c r="AJ12" s="29"/>
      <c r="AK12" s="29"/>
      <c r="AL12" s="87"/>
      <c r="AM12" s="87"/>
      <c r="AN12" s="87"/>
      <c r="AO12" s="87"/>
    </row>
    <row r="13" spans="1:41" s="70" customFormat="1" x14ac:dyDescent="0.45">
      <c r="A13" s="49"/>
      <c r="B13" s="49" t="s">
        <v>24</v>
      </c>
      <c r="C13" s="89" t="s">
        <v>25</v>
      </c>
      <c r="D13" s="49" t="s">
        <v>26</v>
      </c>
      <c r="E13" s="49" t="s">
        <v>27</v>
      </c>
      <c r="F13" s="49" t="s">
        <v>28</v>
      </c>
      <c r="G13" s="49" t="s">
        <v>29</v>
      </c>
      <c r="H13" s="49" t="s">
        <v>185</v>
      </c>
      <c r="I13" s="90" t="s">
        <v>186</v>
      </c>
      <c r="J13" s="49" t="s">
        <v>80</v>
      </c>
      <c r="K13" s="49" t="s">
        <v>80</v>
      </c>
      <c r="L13" s="49" t="s">
        <v>391</v>
      </c>
      <c r="M13" s="49" t="s">
        <v>80</v>
      </c>
      <c r="N13" s="49" t="s">
        <v>80</v>
      </c>
      <c r="O13" s="49" t="s">
        <v>208</v>
      </c>
      <c r="P13" s="49" t="s">
        <v>80</v>
      </c>
      <c r="Q13" s="49"/>
      <c r="R13" s="49" t="s">
        <v>80</v>
      </c>
      <c r="S13" s="49" t="s">
        <v>80</v>
      </c>
      <c r="T13" s="49" t="s">
        <v>80</v>
      </c>
      <c r="U13" s="49" t="s">
        <v>80</v>
      </c>
      <c r="V13" s="49" t="s">
        <v>66</v>
      </c>
      <c r="W13" s="49"/>
      <c r="X13" s="49"/>
      <c r="Y13" s="49"/>
      <c r="Z13" s="49"/>
      <c r="AA13" s="49"/>
      <c r="AB13" s="49" t="s">
        <v>64</v>
      </c>
      <c r="AC13" s="49" t="s">
        <v>101</v>
      </c>
      <c r="AD13" s="49" t="s">
        <v>102</v>
      </c>
      <c r="AE13" s="49" t="s">
        <v>165</v>
      </c>
      <c r="AF13" s="49"/>
      <c r="AG13" s="49"/>
      <c r="AH13" s="49"/>
      <c r="AI13" s="49" t="s">
        <v>65</v>
      </c>
      <c r="AJ13" s="49" t="s">
        <v>67</v>
      </c>
      <c r="AK13" s="49"/>
      <c r="AL13" s="88" t="s">
        <v>32</v>
      </c>
      <c r="AM13" s="88" t="s">
        <v>33</v>
      </c>
      <c r="AN13" s="88" t="s">
        <v>34</v>
      </c>
      <c r="AO13" s="88" t="s">
        <v>35</v>
      </c>
    </row>
    <row r="14" spans="1:41" x14ac:dyDescent="0.45">
      <c r="A14" s="5">
        <f ca="1">IF(B14&lt;&gt;"",SUBTOTAL(3,$B$14:B14),"")</f>
        <v>1</v>
      </c>
      <c r="B14" s="3">
        <f ca="1">INDEX(INDIRECT(Danh_Sach!$N$1),ROWS($B$14:$B14),MATCH(B$13,INDIRECT(Danh_Sach!$N$2),0))</f>
        <v>0</v>
      </c>
      <c r="C14" s="5">
        <f ca="1">INDEX(INDIRECT(Danh_Sach!$N$1),ROWS($B$14:$B14),MATCH(C$13,INDIRECT(Danh_Sach!$N$2),0))</f>
        <v>0</v>
      </c>
      <c r="D14" s="5">
        <f ca="1">INDEX(INDIRECT(Danh_Sach!$N$1),ROWS($B$14:$B14),MATCH(D$13,INDIRECT(Danh_Sach!$N$2),0))</f>
        <v>0</v>
      </c>
      <c r="E14" s="5">
        <f ca="1">INDEX(INDIRECT(Danh_Sach!$N$1),ROWS($B$14:$B14),MATCH(E$13,INDIRECT(Danh_Sach!$N$2),0))</f>
        <v>0</v>
      </c>
      <c r="F14" s="5">
        <f t="array" aca="1" ref="F14" ca="1">INDEX(INDIRECT(NPT!$W$1),ROWS($B$14:B14),MATCH($C$1,INDIRECT(NPT!$W$2),0))</f>
        <v>0</v>
      </c>
      <c r="G14" s="11">
        <f ca="1">IF(AND($G$12="Link",H14&lt;&gt;0),H14,INDEX(INDIRECT(Danh_Sach!$N$1),ROWS($B$14:$B14),MATCH(G$13,INDIRECT(Danh_Sach!$N$2),0)))</f>
        <v>0</v>
      </c>
      <c r="H14" s="11">
        <f ca="1">IFERROR(INDEX(INDIRECT(BaoHiem!$A$3),ROWS($B$14:$B14),MATCH($C$1,INDIRECT(BaoHiem!$A$4),0)),0)</f>
        <v>0</v>
      </c>
      <c r="I14" s="72">
        <f t="array" aca="1" ref="I14" ca="1">INDEX(INDIRECT(Cham_Cong!$T$3),ROWS($B$14:B14),MATCH($C$1,INDIRECT(Cham_Cong!$T$4),0))</f>
        <v>0</v>
      </c>
      <c r="J14" s="11">
        <f ca="1">G14/$J$12*I14</f>
        <v>0</v>
      </c>
      <c r="K14" s="11">
        <f ca="1">IF(I14&gt;0,$K$12,0)</f>
        <v>0</v>
      </c>
      <c r="L14" s="11"/>
      <c r="M14" s="22">
        <f ca="1">IF(I14=0,0,$M$12*L14)</f>
        <v>0</v>
      </c>
      <c r="N14" s="11">
        <f ca="1">IF(I14&gt;0,$N$12,0)</f>
        <v>0</v>
      </c>
      <c r="P14" s="22">
        <f ca="1">IF(I14=0,0,ROUND(O14*$O$12*(G14/$J$12/8),0))</f>
        <v>0</v>
      </c>
      <c r="R14" s="11">
        <f ca="1">IF(I14&gt;0,$R$12*Q14,0)</f>
        <v>0</v>
      </c>
      <c r="S14" s="11"/>
      <c r="V14" s="11">
        <f ca="1">IF(I14=0,0,SUMIF($J$13:$U$13,"i_gross",J14:U14))</f>
        <v>0</v>
      </c>
      <c r="W14" s="22">
        <f ca="1">K14</f>
        <v>0</v>
      </c>
      <c r="X14" s="22">
        <f ca="1">M14+N14</f>
        <v>0</v>
      </c>
      <c r="Y14" s="22">
        <f>U14</f>
        <v>0</v>
      </c>
      <c r="Z14" s="22">
        <f ca="1">P14-P14/$O$12</f>
        <v>0</v>
      </c>
      <c r="AA14" s="22">
        <f ca="1">SUM(W14:Z14)</f>
        <v>0</v>
      </c>
      <c r="AB14" s="22">
        <f ca="1">IF(I14=0,0,V14-AA14)</f>
        <v>0</v>
      </c>
      <c r="AC14" s="22">
        <f ca="1">IF(AB14&gt;0,$AC$12,0)</f>
        <v>0</v>
      </c>
      <c r="AD14" s="22">
        <f ca="1">$AD$12*F14</f>
        <v>0</v>
      </c>
      <c r="AE14" s="22">
        <f ca="1">IF(AB14&gt;0,IF(ISNA(VLOOKUP(C14,Info!$C$22:$D$303,2,0))=FALSE,H14*1.5%,H14*$AE$12),0)</f>
        <v>0</v>
      </c>
      <c r="AH14" s="22">
        <f ca="1">MAX(AB14-SUM(AC14:AG14),0)</f>
        <v>0</v>
      </c>
      <c r="AI14" s="22">
        <f ca="1">IF(AH14&gt;0,(AH14-VLOOKUP(AH14-1,INDIRECT(TAXRATE!$E$1),1,1))*VLOOKUP(AH14,INDIRECT(TAXRATE!$E$1),2,1)+VLOOKUP(AH14-1,INDIRECT(TAXRATE!$E$1),3,1),0)</f>
        <v>0</v>
      </c>
      <c r="AJ14" s="22">
        <f ca="1">V14-AI14-AE14-AF14-AG14</f>
        <v>0</v>
      </c>
      <c r="AL14" s="3" t="str">
        <f ca="1">IF(INDEX(INDIRECT(Danh_Sach!$N$1),ROWS($B$14:$B14),MATCH(AL$13,INDIRECT(Danh_Sach!$N$2),0))=0,"",MONTH(INDEX(INDIRECT(Danh_Sach!$N$1),ROWS($B$14:$B14),MATCH(AL$13,INDIRECT(Danh_Sach!$N$2),0))))</f>
        <v/>
      </c>
      <c r="AM14" s="3" t="str">
        <f ca="1">IF(INDEX(INDIRECT(Danh_Sach!$N$1),ROWS($B$14:$B14),MATCH(AM$13,INDIRECT(Danh_Sach!$N$2),0))=0,"",MONTH(INDEX(INDIRECT(Danh_Sach!$N$1),ROWS($B$14:$B14),MATCH(AM$13,INDIRECT(Danh_Sach!$N$2),0))))</f>
        <v/>
      </c>
      <c r="AN14" s="3" t="str">
        <f ca="1">IF(INDEX(INDIRECT(Danh_Sach!$N$1),ROWS($B$14:$B14),MATCH(AN$13,INDIRECT(Danh_Sach!$N$2),0))=0,"",MONTH(INDEX(INDIRECT(Danh_Sach!$N$1),ROWS($B$14:$B14),MATCH(AN$13,INDIRECT(Danh_Sach!$N$2),0))))</f>
        <v/>
      </c>
      <c r="AO14" s="3" t="str">
        <f ca="1">IF(INDEX(INDIRECT(Danh_Sach!$N$1),ROWS($B$14:$B14),MATCH(AO$13,INDIRECT(Danh_Sach!$N$2),0))=0,"",MONTH(INDEX(INDIRECT(Danh_Sach!$N$1),ROWS($B$14:$B14),MATCH(AO$13,INDIRECT(Danh_Sach!$N$2),0))))</f>
        <v/>
      </c>
    </row>
    <row r="15" spans="1:41" x14ac:dyDescent="0.45">
      <c r="A15" s="5">
        <f ca="1">IF(B15&lt;&gt;"",SUBTOTAL(3,$B$14:B15),"")</f>
        <v>2</v>
      </c>
      <c r="B15" s="3">
        <f ca="1">INDEX(INDIRECT(Danh_Sach!$N$1),ROWS($B$14:$B15),MATCH(B$13,INDIRECT(Danh_Sach!$N$2),0))</f>
        <v>0</v>
      </c>
      <c r="C15" s="5">
        <f ca="1">INDEX(INDIRECT(Danh_Sach!$N$1),ROWS($B$14:$B15),MATCH(C$13,INDIRECT(Danh_Sach!$N$2),0))</f>
        <v>0</v>
      </c>
      <c r="D15" s="5">
        <f ca="1">INDEX(INDIRECT(Danh_Sach!$N$1),ROWS($B$14:$B15),MATCH(D$13,INDIRECT(Danh_Sach!$N$2),0))</f>
        <v>0</v>
      </c>
      <c r="E15" s="5">
        <f ca="1">INDEX(INDIRECT(Danh_Sach!$N$1),ROWS($B$14:$B15),MATCH(E$13,INDIRECT(Danh_Sach!$N$2),0))</f>
        <v>0</v>
      </c>
      <c r="F15" s="5">
        <f t="array" aca="1" ref="F15" ca="1">INDEX(INDIRECT(NPT!$W$1),ROWS($B$14:B15),MATCH($C$1,INDIRECT(NPT!$W$2),0))</f>
        <v>0</v>
      </c>
      <c r="G15" s="11">
        <f ca="1">IF(AND($G$12="Link",H15&lt;&gt;0),H15,INDEX(INDIRECT(Danh_Sach!$N$1),ROWS($B$14:$B15),MATCH(G$13,INDIRECT(Danh_Sach!$N$2),0)))</f>
        <v>0</v>
      </c>
      <c r="H15" s="11">
        <f ca="1">IFERROR(INDEX(INDIRECT(BaoHiem!$A$3),ROWS($B$14:$B15),MATCH($C$1,INDIRECT(BaoHiem!$A$4),0)),0)</f>
        <v>0</v>
      </c>
      <c r="I15" s="72">
        <f t="array" aca="1" ref="I15" ca="1">INDEX(INDIRECT(Cham_Cong!$T$3),ROWS($B$14:B15),MATCH($C$1,INDIRECT(Cham_Cong!$T$4),0))</f>
        <v>0</v>
      </c>
      <c r="J15" s="11">
        <f ca="1">G15/$J$12*I15</f>
        <v>0</v>
      </c>
      <c r="K15" s="11">
        <f ca="1">IF(I15&gt;0,$K$12,0)</f>
        <v>0</v>
      </c>
      <c r="L15" s="11"/>
      <c r="M15" s="22">
        <f ca="1">IF(I15=0,0,$M$12*L15)</f>
        <v>0</v>
      </c>
      <c r="N15" s="11">
        <f ca="1">IF(I15&gt;0,$N$12,0)</f>
        <v>0</v>
      </c>
      <c r="P15" s="22">
        <f ca="1">IF(I15=0,0,ROUND(O15*$O$12*(G15/$J$12/8),0))</f>
        <v>0</v>
      </c>
      <c r="R15" s="11">
        <f t="shared" ref="R15" ca="1" si="4">IF(I15&gt;0,$R$12*Q15,0)</f>
        <v>0</v>
      </c>
      <c r="S15" s="11"/>
      <c r="V15" s="11">
        <f ca="1">IF(I15=0,0,SUMIF($J$13:$U$13,"i_gross",J15:U15))</f>
        <v>0</v>
      </c>
      <c r="W15" s="22">
        <f ca="1">K15</f>
        <v>0</v>
      </c>
      <c r="X15" s="22">
        <f ca="1">M15+N15</f>
        <v>0</v>
      </c>
      <c r="Y15" s="22">
        <f>U15</f>
        <v>0</v>
      </c>
      <c r="Z15" s="22">
        <f ca="1">P15-P15/$O$12</f>
        <v>0</v>
      </c>
      <c r="AA15" s="22">
        <f ca="1">SUM(W15:Z15)</f>
        <v>0</v>
      </c>
      <c r="AB15" s="22">
        <f ca="1">IF(I15=0,0,V15-AA15)</f>
        <v>0</v>
      </c>
      <c r="AC15" s="22">
        <f ca="1">IF(AB15&gt;0,$AC$12,0)</f>
        <v>0</v>
      </c>
      <c r="AD15" s="22">
        <f ca="1">$AD$12*F15</f>
        <v>0</v>
      </c>
      <c r="AE15" s="22">
        <f ca="1">IF(AB15&gt;0,IF(ISNA(VLOOKUP(C15,Info!$C$22:$D$303,2,0))=FALSE,H15*1.5%,H15*$AE$12),0)</f>
        <v>0</v>
      </c>
      <c r="AH15" s="22">
        <f ca="1">MAX(AB15-SUM(AC15:AG15),0)</f>
        <v>0</v>
      </c>
      <c r="AI15" s="22">
        <f ca="1">IF(AH15&gt;0,(AH15-VLOOKUP(AH15-1,INDIRECT(TAXRATE!$E$1),1,1))*VLOOKUP(AH15,INDIRECT(TAXRATE!$E$1),2,1)+VLOOKUP(AH15-1,INDIRECT(TAXRATE!$E$1),3,1),0)</f>
        <v>0</v>
      </c>
      <c r="AJ15" s="22">
        <f ca="1">V15-AI15-AE15-AF15-AG15</f>
        <v>0</v>
      </c>
      <c r="AL15" s="3" t="str">
        <f ca="1">IF(INDEX(INDIRECT(Danh_Sach!$N$1),ROWS($B$14:$B15),MATCH(AL$13,INDIRECT(Danh_Sach!$N$2),0))=0,"",MONTH(INDEX(INDIRECT(Danh_Sach!$N$1),ROWS($B$14:$B15),MATCH(AL$13,INDIRECT(Danh_Sach!$N$2),0))))</f>
        <v/>
      </c>
      <c r="AM15" s="3" t="str">
        <f ca="1">IF(INDEX(INDIRECT(Danh_Sach!$N$1),ROWS($B$14:$B15),MATCH(AM$13,INDIRECT(Danh_Sach!$N$2),0))=0,"",MONTH(INDEX(INDIRECT(Danh_Sach!$N$1),ROWS($B$14:$B15),MATCH(AM$13,INDIRECT(Danh_Sach!$N$2),0))))</f>
        <v/>
      </c>
      <c r="AN15" s="3" t="str">
        <f ca="1">IF(INDEX(INDIRECT(Danh_Sach!$N$1),ROWS($B$14:$B15),MATCH(AN$13,INDIRECT(Danh_Sach!$N$2),0))=0,"",MONTH(INDEX(INDIRECT(Danh_Sach!$N$1),ROWS($B$14:$B15),MATCH(AN$13,INDIRECT(Danh_Sach!$N$2),0))))</f>
        <v/>
      </c>
      <c r="AO15" s="3" t="str">
        <f ca="1">IF(INDEX(INDIRECT(Danh_Sach!$N$1),ROWS($B$14:$B15),MATCH(AO$13,INDIRECT(Danh_Sach!$N$2),0))=0,"",MONTH(INDEX(INDIRECT(Danh_Sach!$N$1),ROWS($B$14:$B15),MATCH(AO$13,INDIRECT(Danh_Sach!$N$2),0))))</f>
        <v/>
      </c>
    </row>
    <row r="16" spans="1:41" x14ac:dyDescent="0.45">
      <c r="A16" s="5"/>
      <c r="E16" s="5"/>
      <c r="F16" s="5"/>
      <c r="G16" s="11"/>
      <c r="H16" s="11"/>
      <c r="I16" s="72"/>
      <c r="J16" s="11"/>
      <c r="K16" s="11"/>
      <c r="L16" s="11"/>
      <c r="M16" s="22"/>
      <c r="N16" s="11"/>
      <c r="P16" s="22"/>
      <c r="R16" s="11"/>
      <c r="S16" s="11"/>
      <c r="V16" s="11"/>
      <c r="W16" s="22"/>
      <c r="X16" s="22"/>
      <c r="Y16" s="22"/>
      <c r="Z16" s="22"/>
      <c r="AA16" s="22"/>
      <c r="AB16" s="22"/>
      <c r="AC16" s="22"/>
      <c r="AD16" s="22"/>
      <c r="AE16" s="22"/>
      <c r="AH16" s="22"/>
      <c r="AI16" s="22"/>
      <c r="AJ16" s="22"/>
    </row>
    <row r="17" spans="1:36" x14ac:dyDescent="0.45">
      <c r="A17" s="5"/>
      <c r="E17" s="5"/>
      <c r="F17" s="5"/>
      <c r="G17" s="11"/>
      <c r="H17" s="11"/>
      <c r="I17" s="72"/>
      <c r="J17" s="11"/>
      <c r="K17" s="11"/>
      <c r="L17" s="11"/>
      <c r="M17" s="22"/>
      <c r="N17" s="11"/>
      <c r="P17" s="22"/>
      <c r="R17" s="11"/>
      <c r="S17" s="11"/>
      <c r="V17" s="11"/>
      <c r="W17" s="22"/>
      <c r="X17" s="22"/>
      <c r="Y17" s="22"/>
      <c r="Z17" s="22"/>
      <c r="AA17" s="22"/>
      <c r="AB17" s="22"/>
      <c r="AC17" s="22"/>
      <c r="AD17" s="22"/>
      <c r="AE17" s="22"/>
      <c r="AH17" s="22"/>
      <c r="AI17" s="22"/>
      <c r="AJ17" s="22"/>
    </row>
    <row r="18" spans="1:36" x14ac:dyDescent="0.45">
      <c r="A18" s="5"/>
      <c r="E18" s="5"/>
      <c r="F18" s="5"/>
      <c r="G18" s="11"/>
      <c r="H18" s="11"/>
      <c r="I18" s="72"/>
      <c r="J18" s="11"/>
      <c r="K18" s="11"/>
      <c r="L18" s="11"/>
      <c r="M18" s="22"/>
      <c r="N18" s="11"/>
      <c r="P18" s="22"/>
      <c r="R18" s="11"/>
      <c r="S18" s="11"/>
      <c r="V18" s="11"/>
      <c r="W18" s="22"/>
      <c r="X18" s="22"/>
      <c r="Y18" s="22"/>
      <c r="Z18" s="22"/>
      <c r="AA18" s="22"/>
      <c r="AB18" s="22"/>
      <c r="AC18" s="22"/>
      <c r="AD18" s="22"/>
      <c r="AE18" s="22"/>
      <c r="AH18" s="22"/>
      <c r="AI18" s="22"/>
      <c r="AJ18" s="22"/>
    </row>
    <row r="19" spans="1:36" x14ac:dyDescent="0.45">
      <c r="A19" s="5"/>
      <c r="E19" s="5"/>
      <c r="F19" s="5"/>
      <c r="G19" s="11"/>
      <c r="H19" s="11"/>
      <c r="I19" s="72"/>
      <c r="J19" s="11"/>
      <c r="K19" s="11"/>
      <c r="L19" s="11"/>
      <c r="M19" s="22"/>
      <c r="N19" s="11"/>
      <c r="P19" s="22"/>
      <c r="R19" s="11"/>
      <c r="S19" s="11"/>
      <c r="V19" s="11"/>
      <c r="W19" s="22"/>
      <c r="X19" s="22"/>
      <c r="Y19" s="22"/>
      <c r="Z19" s="22"/>
      <c r="AA19" s="22"/>
      <c r="AB19" s="22"/>
      <c r="AC19" s="22"/>
      <c r="AD19" s="22"/>
      <c r="AE19" s="22"/>
      <c r="AH19" s="22"/>
      <c r="AI19" s="22"/>
      <c r="AJ19" s="22"/>
    </row>
    <row r="20" spans="1:36" x14ac:dyDescent="0.45">
      <c r="A20" s="5"/>
      <c r="E20" s="5"/>
      <c r="F20" s="5"/>
      <c r="G20" s="11"/>
      <c r="H20" s="11"/>
      <c r="I20" s="72"/>
      <c r="J20" s="11"/>
      <c r="K20" s="11"/>
      <c r="L20" s="11"/>
      <c r="M20" s="22"/>
      <c r="N20" s="11"/>
      <c r="P20" s="22"/>
      <c r="R20" s="11"/>
      <c r="S20" s="11"/>
      <c r="V20" s="11"/>
      <c r="W20" s="22"/>
      <c r="X20" s="22"/>
      <c r="Y20" s="22"/>
      <c r="Z20" s="22"/>
      <c r="AA20" s="22"/>
      <c r="AB20" s="22"/>
      <c r="AC20" s="22"/>
      <c r="AD20" s="22"/>
      <c r="AE20" s="22"/>
      <c r="AH20" s="22"/>
      <c r="AI20" s="22"/>
      <c r="AJ20" s="22"/>
    </row>
    <row r="21" spans="1:36" x14ac:dyDescent="0.45">
      <c r="A21" s="5"/>
      <c r="E21" s="5"/>
      <c r="F21" s="5"/>
      <c r="G21" s="11"/>
      <c r="H21" s="11"/>
      <c r="I21" s="72"/>
      <c r="J21" s="11"/>
      <c r="K21" s="11"/>
      <c r="L21" s="11"/>
      <c r="M21" s="22"/>
      <c r="N21" s="11"/>
      <c r="P21" s="22"/>
      <c r="R21" s="11"/>
      <c r="S21" s="11"/>
      <c r="V21" s="11"/>
      <c r="W21" s="22"/>
      <c r="X21" s="22"/>
      <c r="Y21" s="22"/>
      <c r="Z21" s="22"/>
      <c r="AA21" s="22"/>
      <c r="AB21" s="22"/>
      <c r="AC21" s="22"/>
      <c r="AD21" s="22"/>
      <c r="AE21" s="22"/>
      <c r="AH21" s="22"/>
      <c r="AI21" s="22"/>
      <c r="AJ21" s="22"/>
    </row>
    <row r="22" spans="1:36" x14ac:dyDescent="0.45">
      <c r="A22" s="5"/>
      <c r="E22" s="5"/>
      <c r="F22" s="5"/>
      <c r="G22" s="11"/>
      <c r="H22" s="11"/>
      <c r="I22" s="72"/>
      <c r="J22" s="11"/>
      <c r="K22" s="11"/>
      <c r="L22" s="11"/>
      <c r="M22" s="22"/>
      <c r="N22" s="11"/>
      <c r="P22" s="22"/>
      <c r="R22" s="11"/>
      <c r="S22" s="11"/>
      <c r="V22" s="11"/>
      <c r="W22" s="22"/>
      <c r="X22" s="22"/>
      <c r="Y22" s="22"/>
      <c r="Z22" s="22"/>
      <c r="AA22" s="22"/>
      <c r="AB22" s="22"/>
      <c r="AC22" s="22"/>
      <c r="AD22" s="22"/>
      <c r="AE22" s="22"/>
      <c r="AH22" s="22"/>
      <c r="AI22" s="22"/>
      <c r="AJ22" s="22"/>
    </row>
    <row r="23" spans="1:36" x14ac:dyDescent="0.45">
      <c r="A23" s="5"/>
      <c r="E23" s="5"/>
      <c r="F23" s="5"/>
      <c r="G23" s="11"/>
      <c r="H23" s="11"/>
      <c r="I23" s="72"/>
      <c r="J23" s="11"/>
      <c r="K23" s="11"/>
      <c r="L23" s="11"/>
      <c r="M23" s="22"/>
      <c r="N23" s="11"/>
      <c r="P23" s="22"/>
      <c r="R23" s="11"/>
      <c r="S23" s="11"/>
      <c r="V23" s="11"/>
      <c r="W23" s="22"/>
      <c r="X23" s="22"/>
      <c r="Y23" s="22"/>
      <c r="Z23" s="22"/>
      <c r="AA23" s="22"/>
      <c r="AB23" s="22"/>
      <c r="AC23" s="22"/>
      <c r="AD23" s="22"/>
      <c r="AE23" s="22"/>
      <c r="AH23" s="22"/>
      <c r="AI23" s="22"/>
      <c r="AJ23" s="22"/>
    </row>
    <row r="24" spans="1:36" x14ac:dyDescent="0.45">
      <c r="A24" s="5"/>
      <c r="E24" s="5"/>
      <c r="F24" s="5"/>
      <c r="G24" s="11"/>
      <c r="H24" s="11"/>
      <c r="I24" s="72"/>
      <c r="J24" s="11"/>
      <c r="K24" s="11"/>
      <c r="L24" s="11"/>
      <c r="M24" s="22"/>
      <c r="N24" s="11"/>
      <c r="P24" s="22"/>
      <c r="R24" s="11"/>
      <c r="S24" s="11"/>
      <c r="V24" s="11"/>
      <c r="W24" s="22"/>
      <c r="X24" s="22"/>
      <c r="Y24" s="22"/>
      <c r="Z24" s="22"/>
      <c r="AA24" s="22"/>
      <c r="AB24" s="22"/>
      <c r="AC24" s="22"/>
      <c r="AD24" s="22"/>
      <c r="AE24" s="22"/>
      <c r="AH24" s="22"/>
      <c r="AI24" s="22"/>
      <c r="AJ24" s="22"/>
    </row>
    <row r="25" spans="1:36" x14ac:dyDescent="0.45">
      <c r="A25" s="5"/>
      <c r="E25" s="5"/>
      <c r="F25" s="5"/>
      <c r="G25" s="11"/>
      <c r="H25" s="11"/>
      <c r="I25" s="72"/>
      <c r="J25" s="11"/>
      <c r="K25" s="11"/>
      <c r="L25" s="11"/>
      <c r="M25" s="22"/>
      <c r="N25" s="11"/>
      <c r="P25" s="22"/>
      <c r="R25" s="11"/>
      <c r="S25" s="11"/>
      <c r="V25" s="11"/>
      <c r="W25" s="22"/>
      <c r="X25" s="22"/>
      <c r="Y25" s="22"/>
      <c r="Z25" s="22"/>
      <c r="AA25" s="22"/>
      <c r="AB25" s="22"/>
      <c r="AC25" s="22"/>
      <c r="AD25" s="22"/>
      <c r="AE25" s="22"/>
      <c r="AH25" s="22"/>
      <c r="AI25" s="22"/>
      <c r="AJ25" s="22"/>
    </row>
    <row r="26" spans="1:36" x14ac:dyDescent="0.45">
      <c r="A26" s="5"/>
      <c r="E26" s="5"/>
      <c r="F26" s="5"/>
      <c r="G26" s="11"/>
      <c r="H26" s="11"/>
      <c r="I26" s="72"/>
      <c r="J26" s="11"/>
      <c r="K26" s="11"/>
      <c r="L26" s="11"/>
      <c r="M26" s="22"/>
      <c r="N26" s="11"/>
      <c r="P26" s="22"/>
      <c r="R26" s="11"/>
      <c r="S26" s="11"/>
      <c r="V26" s="11"/>
      <c r="W26" s="22"/>
      <c r="X26" s="22"/>
      <c r="Y26" s="22"/>
      <c r="Z26" s="22"/>
      <c r="AA26" s="22"/>
      <c r="AB26" s="22"/>
      <c r="AC26" s="22"/>
      <c r="AD26" s="22"/>
      <c r="AE26" s="22"/>
      <c r="AH26" s="22"/>
      <c r="AI26" s="22"/>
      <c r="AJ26" s="22"/>
    </row>
    <row r="27" spans="1:36" x14ac:dyDescent="0.45">
      <c r="A27" s="5"/>
      <c r="E27" s="5"/>
      <c r="F27" s="5"/>
      <c r="G27" s="11"/>
      <c r="H27" s="11"/>
      <c r="I27" s="72"/>
      <c r="J27" s="11"/>
      <c r="K27" s="11"/>
      <c r="L27" s="11"/>
      <c r="M27" s="22"/>
      <c r="N27" s="11"/>
      <c r="P27" s="22"/>
      <c r="R27" s="11"/>
      <c r="S27" s="11"/>
      <c r="V27" s="11"/>
      <c r="W27" s="22"/>
      <c r="X27" s="22"/>
      <c r="Y27" s="22"/>
      <c r="Z27" s="22"/>
      <c r="AA27" s="22"/>
      <c r="AB27" s="22"/>
      <c r="AC27" s="22"/>
      <c r="AD27" s="22"/>
      <c r="AE27" s="22"/>
      <c r="AH27" s="22"/>
      <c r="AI27" s="22"/>
      <c r="AJ27" s="22"/>
    </row>
    <row r="28" spans="1:36" x14ac:dyDescent="0.45">
      <c r="A28" s="5"/>
      <c r="E28" s="5"/>
      <c r="F28" s="5"/>
      <c r="G28" s="11"/>
      <c r="H28" s="11"/>
      <c r="I28" s="72"/>
      <c r="J28" s="11"/>
      <c r="K28" s="11"/>
      <c r="L28" s="11"/>
      <c r="M28" s="22"/>
      <c r="N28" s="11"/>
      <c r="P28" s="22"/>
      <c r="R28" s="11"/>
      <c r="S28" s="11"/>
      <c r="V28" s="11"/>
      <c r="W28" s="22"/>
      <c r="X28" s="22"/>
      <c r="Y28" s="22"/>
      <c r="Z28" s="22"/>
      <c r="AA28" s="22"/>
      <c r="AB28" s="22"/>
      <c r="AC28" s="22"/>
      <c r="AD28" s="22"/>
      <c r="AE28" s="22"/>
      <c r="AH28" s="22"/>
      <c r="AI28" s="22"/>
      <c r="AJ28" s="22"/>
    </row>
    <row r="29" spans="1:36" x14ac:dyDescent="0.45">
      <c r="A29" s="5"/>
      <c r="E29" s="5"/>
      <c r="F29" s="5"/>
      <c r="G29" s="11"/>
      <c r="H29" s="11"/>
      <c r="I29" s="72"/>
      <c r="J29" s="11"/>
      <c r="K29" s="11"/>
      <c r="L29" s="11"/>
      <c r="M29" s="22"/>
      <c r="N29" s="11"/>
      <c r="P29" s="22"/>
      <c r="R29" s="11"/>
      <c r="S29" s="11"/>
      <c r="V29" s="11"/>
      <c r="W29" s="22"/>
      <c r="X29" s="22"/>
      <c r="Y29" s="22"/>
      <c r="Z29" s="22"/>
      <c r="AA29" s="22"/>
      <c r="AB29" s="22"/>
      <c r="AC29" s="22"/>
      <c r="AD29" s="22"/>
      <c r="AE29" s="22"/>
      <c r="AH29" s="22"/>
      <c r="AI29" s="22"/>
      <c r="AJ29" s="22"/>
    </row>
    <row r="30" spans="1:36" x14ac:dyDescent="0.45">
      <c r="A30" s="5"/>
      <c r="E30" s="5"/>
      <c r="F30" s="5"/>
      <c r="G30" s="11"/>
      <c r="H30" s="11"/>
      <c r="I30" s="72"/>
      <c r="J30" s="11"/>
      <c r="K30" s="11"/>
      <c r="L30" s="11"/>
      <c r="M30" s="22"/>
      <c r="N30" s="11"/>
      <c r="P30" s="22"/>
      <c r="R30" s="11"/>
      <c r="S30" s="11"/>
      <c r="V30" s="11"/>
      <c r="W30" s="22"/>
      <c r="X30" s="22"/>
      <c r="Y30" s="22"/>
      <c r="Z30" s="22"/>
      <c r="AA30" s="22"/>
      <c r="AB30" s="22"/>
      <c r="AC30" s="22"/>
      <c r="AD30" s="22"/>
      <c r="AE30" s="22"/>
      <c r="AH30" s="22"/>
      <c r="AI30" s="22"/>
      <c r="AJ30" s="22"/>
    </row>
    <row r="31" spans="1:36" x14ac:dyDescent="0.45">
      <c r="A31" s="5"/>
      <c r="E31" s="5"/>
      <c r="F31" s="5"/>
      <c r="G31" s="11"/>
      <c r="H31" s="11"/>
      <c r="I31" s="72"/>
      <c r="J31" s="11"/>
      <c r="K31" s="11"/>
      <c r="L31" s="11"/>
      <c r="M31" s="22"/>
      <c r="N31" s="11"/>
      <c r="P31" s="22"/>
      <c r="R31" s="11"/>
      <c r="S31" s="11"/>
      <c r="V31" s="11"/>
      <c r="W31" s="22"/>
      <c r="X31" s="22"/>
      <c r="Y31" s="22"/>
      <c r="Z31" s="22"/>
      <c r="AA31" s="22"/>
      <c r="AB31" s="22"/>
      <c r="AC31" s="22"/>
      <c r="AD31" s="22"/>
      <c r="AE31" s="22"/>
      <c r="AH31" s="22"/>
      <c r="AI31" s="22"/>
      <c r="AJ31" s="22"/>
    </row>
    <row r="32" spans="1:36" x14ac:dyDescent="0.45">
      <c r="A32" s="5"/>
      <c r="E32" s="5"/>
      <c r="F32" s="5"/>
      <c r="G32" s="11"/>
      <c r="H32" s="11"/>
      <c r="I32" s="72"/>
      <c r="J32" s="11"/>
      <c r="K32" s="11"/>
      <c r="L32" s="11"/>
      <c r="M32" s="22"/>
      <c r="N32" s="11"/>
      <c r="P32" s="22"/>
      <c r="R32" s="11"/>
      <c r="S32" s="11"/>
      <c r="V32" s="11"/>
      <c r="W32" s="22"/>
      <c r="X32" s="22"/>
      <c r="Y32" s="22"/>
      <c r="Z32" s="22"/>
      <c r="AA32" s="22"/>
      <c r="AB32" s="22"/>
      <c r="AC32" s="22"/>
      <c r="AD32" s="22"/>
      <c r="AE32" s="22"/>
      <c r="AH32" s="22"/>
      <c r="AI32" s="22"/>
      <c r="AJ32" s="22"/>
    </row>
    <row r="33" spans="1:36" x14ac:dyDescent="0.45">
      <c r="A33" s="5"/>
      <c r="E33" s="5"/>
      <c r="F33" s="5"/>
      <c r="G33" s="11"/>
      <c r="H33" s="11"/>
      <c r="I33" s="72"/>
      <c r="J33" s="11"/>
      <c r="K33" s="11"/>
      <c r="L33" s="11"/>
      <c r="M33" s="22"/>
      <c r="N33" s="11"/>
      <c r="P33" s="22"/>
      <c r="R33" s="11"/>
      <c r="S33" s="11"/>
      <c r="V33" s="11"/>
      <c r="W33" s="22"/>
      <c r="X33" s="22"/>
      <c r="Y33" s="22"/>
      <c r="Z33" s="22"/>
      <c r="AA33" s="22"/>
      <c r="AB33" s="22"/>
      <c r="AC33" s="22"/>
      <c r="AD33" s="22"/>
      <c r="AE33" s="22"/>
      <c r="AH33" s="22"/>
      <c r="AI33" s="22"/>
      <c r="AJ33" s="22"/>
    </row>
    <row r="34" spans="1:36" x14ac:dyDescent="0.45">
      <c r="A34" s="5"/>
      <c r="E34" s="5"/>
      <c r="F34" s="5"/>
      <c r="G34" s="11"/>
      <c r="H34" s="11"/>
      <c r="I34" s="72"/>
      <c r="J34" s="11"/>
      <c r="K34" s="11"/>
      <c r="L34" s="11"/>
      <c r="M34" s="22"/>
      <c r="N34" s="11"/>
      <c r="P34" s="22"/>
      <c r="R34" s="11"/>
      <c r="S34" s="11"/>
      <c r="V34" s="11"/>
      <c r="W34" s="22"/>
      <c r="X34" s="22"/>
      <c r="Y34" s="22"/>
      <c r="Z34" s="22"/>
      <c r="AA34" s="22"/>
      <c r="AB34" s="22"/>
      <c r="AC34" s="22"/>
      <c r="AD34" s="22"/>
      <c r="AE34" s="22"/>
      <c r="AH34" s="22"/>
      <c r="AI34" s="22"/>
      <c r="AJ34" s="22"/>
    </row>
    <row r="35" spans="1:36" x14ac:dyDescent="0.45">
      <c r="A35" s="5"/>
      <c r="E35" s="5"/>
      <c r="F35" s="5"/>
      <c r="G35" s="11"/>
      <c r="H35" s="11"/>
      <c r="I35" s="72"/>
      <c r="J35" s="11"/>
      <c r="K35" s="11"/>
      <c r="L35" s="11"/>
      <c r="M35" s="22"/>
      <c r="N35" s="11"/>
      <c r="P35" s="22"/>
      <c r="R35" s="11"/>
      <c r="S35" s="11"/>
      <c r="V35" s="11"/>
      <c r="W35" s="22"/>
      <c r="X35" s="22"/>
      <c r="Y35" s="22"/>
      <c r="Z35" s="22"/>
      <c r="AA35" s="22"/>
      <c r="AB35" s="22"/>
      <c r="AC35" s="22"/>
      <c r="AD35" s="22"/>
      <c r="AE35" s="22"/>
      <c r="AH35" s="22"/>
      <c r="AI35" s="22"/>
      <c r="AJ35" s="22"/>
    </row>
    <row r="36" spans="1:36" x14ac:dyDescent="0.45">
      <c r="A36" s="5"/>
      <c r="E36" s="5"/>
      <c r="F36" s="5"/>
      <c r="G36" s="11"/>
      <c r="H36" s="11"/>
      <c r="I36" s="72"/>
      <c r="J36" s="11"/>
      <c r="K36" s="11"/>
      <c r="L36" s="11"/>
      <c r="M36" s="22"/>
      <c r="N36" s="11"/>
      <c r="P36" s="22"/>
      <c r="R36" s="11"/>
      <c r="S36" s="11"/>
      <c r="V36" s="11"/>
      <c r="W36" s="22"/>
      <c r="X36" s="22"/>
      <c r="Y36" s="22"/>
      <c r="Z36" s="22"/>
      <c r="AA36" s="22"/>
      <c r="AB36" s="22"/>
      <c r="AC36" s="22"/>
      <c r="AD36" s="22"/>
      <c r="AE36" s="22"/>
      <c r="AH36" s="22"/>
      <c r="AI36" s="22"/>
      <c r="AJ36" s="22"/>
    </row>
    <row r="37" spans="1:36" x14ac:dyDescent="0.45">
      <c r="A37" s="5"/>
      <c r="E37" s="5"/>
      <c r="F37" s="5"/>
      <c r="G37" s="11"/>
      <c r="H37" s="11"/>
      <c r="I37" s="72"/>
      <c r="J37" s="11"/>
      <c r="K37" s="11"/>
      <c r="L37" s="11"/>
      <c r="M37" s="22"/>
      <c r="N37" s="11"/>
      <c r="P37" s="22"/>
      <c r="R37" s="11"/>
      <c r="S37" s="11"/>
      <c r="V37" s="11"/>
      <c r="W37" s="22"/>
      <c r="X37" s="22"/>
      <c r="Y37" s="22"/>
      <c r="Z37" s="22"/>
      <c r="AA37" s="22"/>
      <c r="AB37" s="22"/>
      <c r="AC37" s="22"/>
      <c r="AD37" s="22"/>
      <c r="AE37" s="22"/>
      <c r="AH37" s="22"/>
      <c r="AI37" s="22"/>
      <c r="AJ37" s="22"/>
    </row>
    <row r="38" spans="1:36" x14ac:dyDescent="0.45">
      <c r="A38" s="5"/>
      <c r="E38" s="5"/>
      <c r="F38" s="5"/>
      <c r="G38" s="11"/>
      <c r="H38" s="11"/>
      <c r="I38" s="72"/>
      <c r="J38" s="11"/>
      <c r="K38" s="11"/>
      <c r="L38" s="11"/>
      <c r="M38" s="22"/>
      <c r="N38" s="11"/>
      <c r="P38" s="22"/>
      <c r="R38" s="11"/>
      <c r="S38" s="11"/>
      <c r="V38" s="11"/>
      <c r="W38" s="22"/>
      <c r="X38" s="22"/>
      <c r="Y38" s="22"/>
      <c r="Z38" s="22"/>
      <c r="AA38" s="22"/>
      <c r="AB38" s="22"/>
      <c r="AC38" s="22"/>
      <c r="AD38" s="22"/>
      <c r="AE38" s="22"/>
      <c r="AH38" s="22"/>
      <c r="AI38" s="22"/>
      <c r="AJ38" s="22"/>
    </row>
    <row r="39" spans="1:36" x14ac:dyDescent="0.45">
      <c r="A39" s="5"/>
      <c r="E39" s="5"/>
      <c r="F39" s="5"/>
      <c r="G39" s="11"/>
      <c r="H39" s="11"/>
      <c r="I39" s="72"/>
      <c r="J39" s="11"/>
      <c r="K39" s="11"/>
      <c r="M39" s="22"/>
      <c r="N39" s="11"/>
      <c r="P39" s="22"/>
      <c r="R39" s="11"/>
      <c r="S39" s="11"/>
      <c r="V39" s="11"/>
      <c r="W39" s="22"/>
      <c r="X39" s="22"/>
      <c r="Y39" s="22"/>
      <c r="Z39" s="22"/>
      <c r="AA39" s="22"/>
      <c r="AB39" s="22"/>
      <c r="AC39" s="22"/>
      <c r="AD39" s="22"/>
      <c r="AE39" s="22"/>
      <c r="AH39" s="22"/>
      <c r="AI39" s="22"/>
      <c r="AJ39" s="22"/>
    </row>
    <row r="40" spans="1:36" x14ac:dyDescent="0.45">
      <c r="A40" s="5"/>
      <c r="E40" s="5"/>
      <c r="F40" s="5"/>
      <c r="G40" s="11"/>
      <c r="H40" s="11"/>
      <c r="I40" s="72"/>
      <c r="J40" s="11"/>
      <c r="K40" s="11"/>
      <c r="M40" s="22"/>
      <c r="N40" s="11"/>
      <c r="P40" s="22"/>
      <c r="R40" s="11"/>
      <c r="S40" s="11"/>
      <c r="V40" s="11"/>
      <c r="W40" s="22"/>
      <c r="X40" s="22"/>
      <c r="Y40" s="22"/>
      <c r="Z40" s="22"/>
      <c r="AA40" s="22"/>
      <c r="AB40" s="22"/>
      <c r="AC40" s="22"/>
      <c r="AD40" s="22"/>
      <c r="AE40" s="22"/>
      <c r="AH40" s="22"/>
      <c r="AI40" s="22"/>
      <c r="AJ40" s="22"/>
    </row>
    <row r="41" spans="1:36" x14ac:dyDescent="0.45">
      <c r="A41" s="5"/>
      <c r="E41" s="5"/>
      <c r="F41" s="5"/>
      <c r="G41" s="11"/>
      <c r="H41" s="11"/>
      <c r="I41" s="72"/>
      <c r="J41" s="11"/>
      <c r="K41" s="11"/>
      <c r="M41" s="22"/>
      <c r="N41" s="11"/>
      <c r="P41" s="22"/>
      <c r="R41" s="11"/>
      <c r="S41" s="11"/>
      <c r="V41" s="11"/>
      <c r="W41" s="22"/>
      <c r="X41" s="22"/>
      <c r="Y41" s="22"/>
      <c r="Z41" s="22"/>
      <c r="AA41" s="22"/>
      <c r="AB41" s="22"/>
      <c r="AC41" s="22"/>
      <c r="AD41" s="22"/>
      <c r="AE41" s="22"/>
      <c r="AH41" s="22"/>
      <c r="AI41" s="22"/>
      <c r="AJ41" s="22"/>
    </row>
    <row r="42" spans="1:36" x14ac:dyDescent="0.45">
      <c r="A42" s="5"/>
      <c r="E42" s="5"/>
      <c r="F42" s="5"/>
      <c r="G42" s="11"/>
      <c r="H42" s="11"/>
      <c r="I42" s="72"/>
      <c r="J42" s="11"/>
      <c r="K42" s="11"/>
      <c r="M42" s="22"/>
      <c r="N42" s="11"/>
      <c r="P42" s="22"/>
      <c r="R42" s="11"/>
      <c r="S42" s="11"/>
      <c r="V42" s="11"/>
      <c r="W42" s="22"/>
      <c r="X42" s="22"/>
      <c r="Y42" s="22"/>
      <c r="Z42" s="22"/>
      <c r="AA42" s="22"/>
      <c r="AB42" s="22"/>
      <c r="AC42" s="22"/>
      <c r="AD42" s="22"/>
      <c r="AE42" s="22"/>
      <c r="AH42" s="22"/>
      <c r="AI42" s="22"/>
      <c r="AJ42" s="22"/>
    </row>
    <row r="43" spans="1:36" x14ac:dyDescent="0.45">
      <c r="A43" s="5"/>
      <c r="E43" s="5"/>
      <c r="F43" s="5"/>
      <c r="G43" s="11"/>
      <c r="H43" s="11"/>
      <c r="I43" s="72"/>
      <c r="J43" s="11"/>
      <c r="K43" s="11"/>
      <c r="M43" s="22"/>
      <c r="N43" s="11"/>
      <c r="P43" s="22"/>
      <c r="R43" s="11"/>
      <c r="S43" s="11"/>
      <c r="V43" s="11"/>
      <c r="W43" s="22"/>
      <c r="X43" s="22"/>
      <c r="Y43" s="22"/>
      <c r="Z43" s="22"/>
      <c r="AA43" s="22"/>
      <c r="AB43" s="22"/>
      <c r="AC43" s="22"/>
      <c r="AD43" s="22"/>
      <c r="AE43" s="22"/>
      <c r="AH43" s="22"/>
      <c r="AI43" s="22"/>
      <c r="AJ43" s="22"/>
    </row>
    <row r="44" spans="1:36" x14ac:dyDescent="0.45">
      <c r="A44" s="5"/>
      <c r="E44" s="5"/>
      <c r="F44" s="5"/>
      <c r="G44" s="11"/>
      <c r="H44" s="11"/>
      <c r="I44" s="72"/>
      <c r="J44" s="11"/>
      <c r="K44" s="11"/>
      <c r="M44" s="22"/>
      <c r="N44" s="11"/>
      <c r="P44" s="22"/>
      <c r="R44" s="11"/>
      <c r="S44" s="11"/>
      <c r="V44" s="11"/>
      <c r="W44" s="22"/>
      <c r="X44" s="22"/>
      <c r="Y44" s="22"/>
      <c r="Z44" s="22"/>
      <c r="AA44" s="22"/>
      <c r="AB44" s="22"/>
      <c r="AC44" s="22"/>
      <c r="AD44" s="22"/>
      <c r="AE44" s="22"/>
      <c r="AH44" s="22"/>
      <c r="AI44" s="22"/>
      <c r="AJ44" s="22"/>
    </row>
    <row r="45" spans="1:36" x14ac:dyDescent="0.45">
      <c r="A45" s="5"/>
      <c r="E45" s="5"/>
      <c r="F45" s="5"/>
      <c r="G45" s="11"/>
      <c r="H45" s="11"/>
      <c r="I45" s="72"/>
      <c r="J45" s="11"/>
      <c r="K45" s="11"/>
      <c r="M45" s="22"/>
      <c r="N45" s="11"/>
      <c r="P45" s="22"/>
      <c r="R45" s="11"/>
      <c r="S45" s="11"/>
      <c r="V45" s="11"/>
      <c r="W45" s="22"/>
      <c r="X45" s="22"/>
      <c r="Y45" s="22"/>
      <c r="Z45" s="22"/>
      <c r="AA45" s="22"/>
      <c r="AB45" s="22"/>
      <c r="AC45" s="22"/>
      <c r="AD45" s="22"/>
      <c r="AE45" s="22"/>
      <c r="AH45" s="22"/>
      <c r="AI45" s="22"/>
      <c r="AJ45" s="22"/>
    </row>
    <row r="46" spans="1:36" x14ac:dyDescent="0.45">
      <c r="A46" s="5"/>
      <c r="E46" s="5"/>
      <c r="F46" s="5"/>
      <c r="G46" s="11"/>
      <c r="H46" s="11"/>
      <c r="I46" s="72"/>
      <c r="J46" s="11"/>
      <c r="K46" s="11"/>
      <c r="M46" s="22"/>
      <c r="N46" s="11"/>
      <c r="O46" s="3"/>
      <c r="P46" s="22"/>
      <c r="R46" s="11"/>
      <c r="S46" s="11"/>
      <c r="V46" s="11"/>
      <c r="W46" s="22"/>
      <c r="X46" s="22"/>
      <c r="Y46" s="22"/>
      <c r="Z46" s="22"/>
      <c r="AA46" s="22"/>
      <c r="AB46" s="22"/>
      <c r="AC46" s="22"/>
      <c r="AD46" s="22"/>
      <c r="AE46" s="22"/>
      <c r="AH46" s="22"/>
      <c r="AI46" s="22"/>
      <c r="AJ46" s="22"/>
    </row>
    <row r="47" spans="1:36" x14ac:dyDescent="0.45">
      <c r="A47" s="5"/>
      <c r="E47" s="5"/>
      <c r="F47" s="5"/>
      <c r="G47" s="11"/>
      <c r="H47" s="11"/>
      <c r="I47" s="72"/>
      <c r="J47" s="11"/>
      <c r="K47" s="11"/>
      <c r="M47" s="22"/>
      <c r="N47" s="11"/>
      <c r="O47" s="3"/>
      <c r="P47" s="22"/>
      <c r="R47" s="11"/>
      <c r="S47" s="11"/>
      <c r="V47" s="11"/>
      <c r="W47" s="22"/>
      <c r="X47" s="22"/>
      <c r="Y47" s="22"/>
      <c r="Z47" s="22"/>
      <c r="AA47" s="22"/>
      <c r="AB47" s="22"/>
      <c r="AC47" s="22"/>
      <c r="AD47" s="22"/>
      <c r="AE47" s="22"/>
      <c r="AH47" s="22"/>
      <c r="AI47" s="22"/>
      <c r="AJ47" s="22"/>
    </row>
    <row r="48" spans="1:36" x14ac:dyDescent="0.45">
      <c r="A48" s="5"/>
      <c r="E48" s="5"/>
      <c r="F48" s="5"/>
      <c r="G48" s="11"/>
      <c r="H48" s="11"/>
      <c r="I48" s="72"/>
      <c r="J48" s="11"/>
      <c r="K48" s="11"/>
      <c r="M48" s="22"/>
      <c r="N48" s="11"/>
      <c r="O48" s="3"/>
      <c r="P48" s="22"/>
      <c r="R48" s="11"/>
      <c r="S48" s="11"/>
      <c r="V48" s="11"/>
      <c r="W48" s="22"/>
      <c r="X48" s="22"/>
      <c r="Y48" s="22"/>
      <c r="Z48" s="22"/>
      <c r="AA48" s="22"/>
      <c r="AB48" s="22"/>
      <c r="AC48" s="22"/>
      <c r="AD48" s="22"/>
      <c r="AE48" s="22"/>
      <c r="AH48" s="22"/>
      <c r="AI48" s="22"/>
      <c r="AJ48" s="22"/>
    </row>
    <row r="49" spans="1:36" x14ac:dyDescent="0.45">
      <c r="A49" s="5"/>
      <c r="E49" s="5"/>
      <c r="F49" s="5"/>
      <c r="G49" s="11"/>
      <c r="H49" s="11"/>
      <c r="I49" s="72"/>
      <c r="J49" s="11"/>
      <c r="K49" s="11"/>
      <c r="M49" s="22"/>
      <c r="N49" s="11"/>
      <c r="O49" s="3"/>
      <c r="P49" s="22"/>
      <c r="R49" s="11"/>
      <c r="S49" s="11"/>
      <c r="V49" s="11"/>
      <c r="W49" s="22"/>
      <c r="X49" s="22"/>
      <c r="Y49" s="22"/>
      <c r="Z49" s="22"/>
      <c r="AA49" s="22"/>
      <c r="AB49" s="22"/>
      <c r="AC49" s="22"/>
      <c r="AD49" s="22"/>
      <c r="AE49" s="22"/>
      <c r="AH49" s="22"/>
      <c r="AI49" s="22"/>
      <c r="AJ49" s="22"/>
    </row>
    <row r="50" spans="1:36" x14ac:dyDescent="0.45">
      <c r="A50" s="5"/>
      <c r="E50" s="5"/>
      <c r="F50" s="5"/>
      <c r="G50" s="11"/>
      <c r="H50" s="11"/>
      <c r="I50" s="72"/>
      <c r="J50" s="11"/>
      <c r="K50" s="11"/>
      <c r="M50" s="22"/>
      <c r="N50" s="11"/>
      <c r="O50" s="3"/>
      <c r="P50" s="22"/>
      <c r="R50" s="11"/>
      <c r="S50" s="11"/>
      <c r="V50" s="11"/>
      <c r="W50" s="22"/>
      <c r="X50" s="22"/>
      <c r="Y50" s="22"/>
      <c r="Z50" s="22"/>
      <c r="AA50" s="22"/>
      <c r="AB50" s="22"/>
      <c r="AC50" s="22"/>
      <c r="AD50" s="22"/>
      <c r="AE50" s="22"/>
      <c r="AH50" s="22"/>
      <c r="AI50" s="22"/>
      <c r="AJ50" s="22"/>
    </row>
  </sheetData>
  <autoFilter ref="A13:AO36" xr:uid="{00000000-0009-0000-0000-00000E000000}"/>
  <mergeCells count="25">
    <mergeCell ref="H10:H11"/>
    <mergeCell ref="I10:I11"/>
    <mergeCell ref="AE10:AG10"/>
    <mergeCell ref="J10:J11"/>
    <mergeCell ref="L10:M10"/>
    <mergeCell ref="N10:N11"/>
    <mergeCell ref="Q10:R10"/>
    <mergeCell ref="AC10:AD10"/>
    <mergeCell ref="AB10:AB11"/>
    <mergeCell ref="AH10:AH11"/>
    <mergeCell ref="AI10:AI11"/>
    <mergeCell ref="G12:H12"/>
    <mergeCell ref="AC9:AG9"/>
    <mergeCell ref="A10:A11"/>
    <mergeCell ref="B10:B11"/>
    <mergeCell ref="C10:C11"/>
    <mergeCell ref="D10:D11"/>
    <mergeCell ref="E10:E11"/>
    <mergeCell ref="K10:K11"/>
    <mergeCell ref="K9:N9"/>
    <mergeCell ref="O9:P9"/>
    <mergeCell ref="Q9:T9"/>
    <mergeCell ref="W9:AA9"/>
    <mergeCell ref="F10:F11"/>
    <mergeCell ref="G10:G11"/>
  </mergeCells>
  <pageMargins left="0.7" right="0.7" top="0.75" bottom="0.75" header="0.3" footer="0.3"/>
  <pageSetup orientation="portrait" r:id="rId1"/>
  <drawing r:id="rId2"/>
  <legacyDrawing r:id="rId3"/>
  <controls>
    <mc:AlternateContent xmlns:mc="http://schemas.openxmlformats.org/markup-compatibility/2006">
      <mc:Choice Requires="x14">
        <control shapeId="21506" r:id="rId4" name="CommandButton1">
          <controlPr defaultSize="0" autoLine="0" r:id="rId5">
            <anchor moveWithCells="1">
              <from>
                <xdr:col>1</xdr:col>
                <xdr:colOff>95250</xdr:colOff>
                <xdr:row>5</xdr:row>
                <xdr:rowOff>9525</xdr:rowOff>
              </from>
              <to>
                <xdr:col>1</xdr:col>
                <xdr:colOff>1343025</xdr:colOff>
                <xdr:row>6</xdr:row>
                <xdr:rowOff>228600</xdr:rowOff>
              </to>
            </anchor>
          </controlPr>
        </control>
      </mc:Choice>
      <mc:Fallback>
        <control shapeId="21506" r:id="rId4" name="Command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hang10"/>
  <dimension ref="A1:AO50"/>
  <sheetViews>
    <sheetView showGridLines="0" topLeftCell="J1" workbookViewId="0">
      <selection activeCell="R28" sqref="R28"/>
    </sheetView>
  </sheetViews>
  <sheetFormatPr defaultColWidth="9.1328125" defaultRowHeight="14.25" x14ac:dyDescent="0.45"/>
  <cols>
    <col min="1" max="1" width="7.59765625" style="3" customWidth="1"/>
    <col min="2" max="2" width="24.1328125" style="3" customWidth="1"/>
    <col min="3" max="3" width="14.59765625" style="5" customWidth="1"/>
    <col min="4" max="4" width="14.86328125" style="5" customWidth="1"/>
    <col min="5" max="5" width="10.265625" style="3" customWidth="1"/>
    <col min="6" max="6" width="8.1328125" style="3" customWidth="1"/>
    <col min="7" max="7" width="14" style="3" customWidth="1"/>
    <col min="8" max="8" width="13.73046875" style="3" customWidth="1"/>
    <col min="9" max="9" width="8.265625" style="44" customWidth="1"/>
    <col min="10" max="10" width="15.1328125" style="3" customWidth="1"/>
    <col min="11" max="11" width="13.73046875" style="3" customWidth="1"/>
    <col min="12" max="12" width="9" style="3" customWidth="1"/>
    <col min="13" max="13" width="14.265625" style="3" customWidth="1"/>
    <col min="14" max="14" width="12.73046875" style="3" customWidth="1"/>
    <col min="15" max="15" width="8.86328125" style="5" customWidth="1"/>
    <col min="16" max="16" width="10.265625" style="3" customWidth="1"/>
    <col min="17" max="17" width="11" style="3" customWidth="1"/>
    <col min="18" max="18" width="12.86328125" style="3" customWidth="1"/>
    <col min="19" max="19" width="13.59765625" style="3" customWidth="1"/>
    <col min="20" max="21" width="12.1328125" style="3" customWidth="1"/>
    <col min="22" max="22" width="16.1328125" style="3" customWidth="1"/>
    <col min="23" max="26" width="13.265625" style="3" customWidth="1"/>
    <col min="27" max="27" width="12.265625" style="3" customWidth="1"/>
    <col min="28" max="28" width="14.73046875" style="3" customWidth="1"/>
    <col min="29" max="29" width="14.265625" style="3" customWidth="1"/>
    <col min="30" max="30" width="12" style="3" customWidth="1"/>
    <col min="31" max="31" width="13.86328125" style="3" customWidth="1"/>
    <col min="32" max="33" width="9.1328125" style="3" hidden="1" customWidth="1"/>
    <col min="34" max="34" width="14" style="3" bestFit="1" customWidth="1"/>
    <col min="35" max="35" width="13" style="3" customWidth="1"/>
    <col min="36" max="37" width="13.73046875" style="3" customWidth="1"/>
    <col min="38" max="41" width="8.1328125" style="3" hidden="1" customWidth="1"/>
    <col min="42" max="16384" width="9.1328125" style="3"/>
  </cols>
  <sheetData>
    <row r="1" spans="1:41" ht="18" customHeight="1" thickBot="1" x14ac:dyDescent="0.5">
      <c r="A1" s="3" t="s">
        <v>376</v>
      </c>
      <c r="B1" s="59" t="s">
        <v>72</v>
      </c>
      <c r="C1" s="6">
        <v>10</v>
      </c>
      <c r="E1" s="376" t="s">
        <v>39</v>
      </c>
      <c r="F1" s="314"/>
      <c r="G1" s="377"/>
      <c r="H1" s="314"/>
      <c r="I1" s="378"/>
      <c r="J1" s="314"/>
      <c r="K1" s="314"/>
      <c r="L1" s="314"/>
      <c r="M1" s="314"/>
      <c r="N1" s="314"/>
      <c r="O1" s="377"/>
      <c r="P1" s="314"/>
      <c r="Q1" s="314"/>
      <c r="R1" s="314"/>
      <c r="S1" s="314"/>
      <c r="T1" s="314"/>
      <c r="U1" s="314"/>
      <c r="V1" s="314"/>
      <c r="W1" s="314"/>
      <c r="X1" s="314"/>
      <c r="Y1" s="314"/>
      <c r="Z1" s="314"/>
      <c r="AA1" s="314"/>
      <c r="AB1" s="314"/>
      <c r="AC1" s="314"/>
      <c r="AD1" s="314"/>
      <c r="AE1" s="314"/>
      <c r="AF1" s="314"/>
      <c r="AG1" s="314"/>
      <c r="AH1" s="314"/>
      <c r="AI1" s="314"/>
      <c r="AJ1" s="314"/>
      <c r="AK1" s="314"/>
      <c r="AL1" s="86"/>
      <c r="AM1" s="86"/>
      <c r="AN1" s="86"/>
      <c r="AO1" s="86"/>
    </row>
    <row r="2" spans="1:41" s="150" customFormat="1" ht="14.25" customHeight="1" thickTop="1" x14ac:dyDescent="0.45">
      <c r="C2" s="70"/>
      <c r="D2" s="70"/>
      <c r="E2" s="379">
        <f t="array" aca="1" ref="E2" ca="1">IFERROR(INDEX(INDIRECT($E$8),MATCH(0,COUNTIF(E$1:$E1,INDIRECT($E$8)&amp;""),0)),"")</f>
        <v>0</v>
      </c>
      <c r="F2" s="380">
        <f t="shared" ref="F2:U6" ca="1" si="0">SUMIFS(F$14:F$1400,$E$14:$E$1400,$E2)</f>
        <v>0</v>
      </c>
      <c r="G2" s="380">
        <f t="shared" ca="1" si="0"/>
        <v>0</v>
      </c>
      <c r="H2" s="380">
        <f t="shared" ca="1" si="0"/>
        <v>0</v>
      </c>
      <c r="I2" s="380"/>
      <c r="J2" s="380">
        <f t="shared" ca="1" si="0"/>
        <v>0</v>
      </c>
      <c r="K2" s="380">
        <f t="shared" ca="1" si="0"/>
        <v>0</v>
      </c>
      <c r="L2" s="380">
        <f t="shared" ca="1" si="0"/>
        <v>0</v>
      </c>
      <c r="M2" s="380">
        <f t="shared" ca="1" si="0"/>
        <v>0</v>
      </c>
      <c r="N2" s="380">
        <f t="shared" ca="1" si="0"/>
        <v>0</v>
      </c>
      <c r="O2" s="381">
        <f t="shared" ca="1" si="0"/>
        <v>0</v>
      </c>
      <c r="P2" s="380">
        <f t="shared" ca="1" si="0"/>
        <v>0</v>
      </c>
      <c r="Q2" s="380">
        <f t="shared" ca="1" si="0"/>
        <v>0</v>
      </c>
      <c r="R2" s="380">
        <f t="shared" ca="1" si="0"/>
        <v>0</v>
      </c>
      <c r="S2" s="380">
        <f t="shared" ca="1" si="0"/>
        <v>0</v>
      </c>
      <c r="T2" s="380">
        <f t="shared" ca="1" si="0"/>
        <v>0</v>
      </c>
      <c r="U2" s="380">
        <f t="shared" ca="1" si="0"/>
        <v>0</v>
      </c>
      <c r="V2" s="380">
        <f t="shared" ref="V2:AJ6" ca="1" si="1">SUMIFS(V$14:V$1400,$E$14:$E$1400,$E2)</f>
        <v>0</v>
      </c>
      <c r="W2" s="380">
        <f t="shared" ca="1" si="1"/>
        <v>0</v>
      </c>
      <c r="X2" s="380">
        <f ca="1">SUMIFS(X$14:X$1400,$E$14:$E$1400,$E2)</f>
        <v>0</v>
      </c>
      <c r="Y2" s="380"/>
      <c r="Z2" s="380">
        <f t="shared" ca="1" si="1"/>
        <v>0</v>
      </c>
      <c r="AA2" s="380">
        <f t="shared" ca="1" si="1"/>
        <v>0</v>
      </c>
      <c r="AB2" s="380">
        <f t="shared" ca="1" si="1"/>
        <v>0</v>
      </c>
      <c r="AC2" s="380">
        <f t="shared" ca="1" si="1"/>
        <v>0</v>
      </c>
      <c r="AD2" s="380">
        <f t="shared" ca="1" si="1"/>
        <v>0</v>
      </c>
      <c r="AE2" s="380">
        <f t="shared" ca="1" si="1"/>
        <v>0</v>
      </c>
      <c r="AF2" s="382">
        <f t="shared" ca="1" si="1"/>
        <v>0</v>
      </c>
      <c r="AG2" s="382">
        <f t="shared" ca="1" si="1"/>
        <v>0</v>
      </c>
      <c r="AH2" s="380">
        <f t="shared" ca="1" si="1"/>
        <v>0</v>
      </c>
      <c r="AI2" s="380">
        <f t="shared" ca="1" si="1"/>
        <v>0</v>
      </c>
      <c r="AJ2" s="380">
        <f t="shared" ca="1" si="1"/>
        <v>0</v>
      </c>
      <c r="AK2" s="383"/>
      <c r="AL2" s="86"/>
      <c r="AM2" s="86"/>
      <c r="AN2" s="86"/>
      <c r="AO2" s="86"/>
    </row>
    <row r="3" spans="1:41" s="150" customFormat="1" ht="14.25" customHeight="1" x14ac:dyDescent="0.45">
      <c r="C3" s="70"/>
      <c r="D3" s="70"/>
      <c r="E3" s="379">
        <f t="array" aca="1" ref="E3" ca="1">IFERROR(INDEX(INDIRECT($E$8),MATCH(0,COUNTIF(E$1:$E2,INDIRECT($E$8)&amp;""),0)),"")</f>
        <v>0</v>
      </c>
      <c r="F3" s="384">
        <f t="shared" ca="1" si="0"/>
        <v>0</v>
      </c>
      <c r="G3" s="384">
        <f t="shared" ca="1" si="0"/>
        <v>0</v>
      </c>
      <c r="H3" s="384">
        <f ca="1">SUMIFS(H$14:H$1400,$E$14:$E$1400,$E3)</f>
        <v>0</v>
      </c>
      <c r="I3" s="384"/>
      <c r="J3" s="384">
        <f t="shared" ca="1" si="0"/>
        <v>0</v>
      </c>
      <c r="K3" s="384">
        <f t="shared" ca="1" si="0"/>
        <v>0</v>
      </c>
      <c r="L3" s="384">
        <f t="shared" ca="1" si="0"/>
        <v>0</v>
      </c>
      <c r="M3" s="384">
        <f t="shared" ca="1" si="0"/>
        <v>0</v>
      </c>
      <c r="N3" s="384">
        <f t="shared" ca="1" si="0"/>
        <v>0</v>
      </c>
      <c r="O3" s="385">
        <f t="shared" ca="1" si="0"/>
        <v>0</v>
      </c>
      <c r="P3" s="384">
        <f t="shared" ca="1" si="0"/>
        <v>0</v>
      </c>
      <c r="Q3" s="384">
        <f t="shared" ca="1" si="0"/>
        <v>0</v>
      </c>
      <c r="R3" s="384">
        <f t="shared" ca="1" si="0"/>
        <v>0</v>
      </c>
      <c r="S3" s="384">
        <f t="shared" ca="1" si="0"/>
        <v>0</v>
      </c>
      <c r="T3" s="384">
        <f t="shared" ca="1" si="0"/>
        <v>0</v>
      </c>
      <c r="U3" s="384">
        <f t="shared" ca="1" si="0"/>
        <v>0</v>
      </c>
      <c r="V3" s="384">
        <f t="shared" ca="1" si="1"/>
        <v>0</v>
      </c>
      <c r="W3" s="384">
        <f t="shared" ca="1" si="1"/>
        <v>0</v>
      </c>
      <c r="X3" s="384">
        <f ca="1">SUMIFS(X$14:X$1400,$E$14:$E$1400,$E3)</f>
        <v>0</v>
      </c>
      <c r="Y3" s="384"/>
      <c r="Z3" s="384">
        <f t="shared" ca="1" si="1"/>
        <v>0</v>
      </c>
      <c r="AA3" s="384">
        <f t="shared" ca="1" si="1"/>
        <v>0</v>
      </c>
      <c r="AB3" s="384">
        <f t="shared" ca="1" si="1"/>
        <v>0</v>
      </c>
      <c r="AC3" s="384">
        <f t="shared" ca="1" si="1"/>
        <v>0</v>
      </c>
      <c r="AD3" s="384">
        <f t="shared" ca="1" si="1"/>
        <v>0</v>
      </c>
      <c r="AE3" s="384">
        <f t="shared" ca="1" si="1"/>
        <v>0</v>
      </c>
      <c r="AF3" s="386">
        <f t="shared" ca="1" si="1"/>
        <v>0</v>
      </c>
      <c r="AG3" s="386">
        <f t="shared" ca="1" si="1"/>
        <v>0</v>
      </c>
      <c r="AH3" s="384">
        <f t="shared" ca="1" si="1"/>
        <v>0</v>
      </c>
      <c r="AI3" s="384">
        <f t="shared" ca="1" si="1"/>
        <v>0</v>
      </c>
      <c r="AJ3" s="384">
        <f t="shared" ca="1" si="1"/>
        <v>0</v>
      </c>
      <c r="AK3" s="387"/>
      <c r="AL3" s="86"/>
      <c r="AM3" s="86"/>
      <c r="AN3" s="86"/>
      <c r="AO3" s="86"/>
    </row>
    <row r="4" spans="1:41" ht="14.25" customHeight="1" x14ac:dyDescent="0.45">
      <c r="E4" s="379">
        <f t="array" aca="1" ref="E4" ca="1">IFERROR(INDEX(INDIRECT($E$8),MATCH(0,COUNTIF(E$1:$E3,INDIRECT($E$8)&amp;""),0)),"")</f>
        <v>0</v>
      </c>
      <c r="F4" s="384">
        <f t="shared" ca="1" si="0"/>
        <v>0</v>
      </c>
      <c r="G4" s="384">
        <f t="shared" ca="1" si="0"/>
        <v>0</v>
      </c>
      <c r="H4" s="384">
        <f t="shared" ca="1" si="0"/>
        <v>0</v>
      </c>
      <c r="I4" s="384"/>
      <c r="J4" s="384">
        <f t="shared" ca="1" si="0"/>
        <v>0</v>
      </c>
      <c r="K4" s="384">
        <f t="shared" ca="1" si="0"/>
        <v>0</v>
      </c>
      <c r="L4" s="384">
        <f t="shared" ca="1" si="0"/>
        <v>0</v>
      </c>
      <c r="M4" s="384">
        <f t="shared" ca="1" si="0"/>
        <v>0</v>
      </c>
      <c r="N4" s="384">
        <f t="shared" ca="1" si="0"/>
        <v>0</v>
      </c>
      <c r="O4" s="385">
        <f t="shared" ca="1" si="0"/>
        <v>0</v>
      </c>
      <c r="P4" s="384">
        <f t="shared" ca="1" si="0"/>
        <v>0</v>
      </c>
      <c r="Q4" s="384">
        <f t="shared" ca="1" si="0"/>
        <v>0</v>
      </c>
      <c r="R4" s="384">
        <f t="shared" ca="1" si="0"/>
        <v>0</v>
      </c>
      <c r="S4" s="384">
        <f t="shared" ca="1" si="0"/>
        <v>0</v>
      </c>
      <c r="T4" s="384">
        <f t="shared" ca="1" si="0"/>
        <v>0</v>
      </c>
      <c r="U4" s="384">
        <f t="shared" ca="1" si="0"/>
        <v>0</v>
      </c>
      <c r="V4" s="384">
        <f t="shared" ca="1" si="1"/>
        <v>0</v>
      </c>
      <c r="W4" s="384">
        <f t="shared" ca="1" si="1"/>
        <v>0</v>
      </c>
      <c r="X4" s="384">
        <f t="shared" ca="1" si="1"/>
        <v>0</v>
      </c>
      <c r="Y4" s="384"/>
      <c r="Z4" s="384">
        <f t="shared" ca="1" si="1"/>
        <v>0</v>
      </c>
      <c r="AA4" s="384">
        <f t="shared" ca="1" si="1"/>
        <v>0</v>
      </c>
      <c r="AB4" s="384">
        <f t="shared" ca="1" si="1"/>
        <v>0</v>
      </c>
      <c r="AC4" s="384">
        <f t="shared" ca="1" si="1"/>
        <v>0</v>
      </c>
      <c r="AD4" s="384">
        <f t="shared" ca="1" si="1"/>
        <v>0</v>
      </c>
      <c r="AE4" s="384">
        <f t="shared" ca="1" si="1"/>
        <v>0</v>
      </c>
      <c r="AF4" s="384">
        <f t="shared" ca="1" si="1"/>
        <v>0</v>
      </c>
      <c r="AG4" s="384">
        <f t="shared" ca="1" si="1"/>
        <v>0</v>
      </c>
      <c r="AH4" s="384">
        <f t="shared" ca="1" si="1"/>
        <v>0</v>
      </c>
      <c r="AI4" s="384">
        <f t="shared" ca="1" si="1"/>
        <v>0</v>
      </c>
      <c r="AJ4" s="384">
        <f t="shared" ca="1" si="1"/>
        <v>0</v>
      </c>
      <c r="AK4" s="387"/>
      <c r="AL4" s="86"/>
      <c r="AM4" s="86"/>
      <c r="AN4" s="86"/>
      <c r="AO4" s="86"/>
    </row>
    <row r="5" spans="1:41" ht="14.25" customHeight="1" x14ac:dyDescent="0.45">
      <c r="E5" s="379">
        <f t="array" aca="1" ref="E5" ca="1">IFERROR(INDEX(INDIRECT($E$8),MATCH(0,COUNTIF(E$1:$E4,INDIRECT($E$8)&amp;""),0)),"")</f>
        <v>0</v>
      </c>
      <c r="F5" s="384">
        <f t="shared" ca="1" si="0"/>
        <v>0</v>
      </c>
      <c r="G5" s="384">
        <f t="shared" ca="1" si="0"/>
        <v>0</v>
      </c>
      <c r="H5" s="384">
        <f t="shared" ca="1" si="0"/>
        <v>0</v>
      </c>
      <c r="I5" s="384"/>
      <c r="J5" s="384">
        <f t="shared" ca="1" si="0"/>
        <v>0</v>
      </c>
      <c r="K5" s="384">
        <f t="shared" ca="1" si="0"/>
        <v>0</v>
      </c>
      <c r="L5" s="384">
        <f t="shared" ca="1" si="0"/>
        <v>0</v>
      </c>
      <c r="M5" s="384">
        <f t="shared" ca="1" si="0"/>
        <v>0</v>
      </c>
      <c r="N5" s="384">
        <f t="shared" ca="1" si="0"/>
        <v>0</v>
      </c>
      <c r="O5" s="385">
        <f t="shared" ca="1" si="0"/>
        <v>0</v>
      </c>
      <c r="P5" s="384">
        <f t="shared" ca="1" si="0"/>
        <v>0</v>
      </c>
      <c r="Q5" s="384">
        <f t="shared" ca="1" si="0"/>
        <v>0</v>
      </c>
      <c r="R5" s="384">
        <f t="shared" ca="1" si="0"/>
        <v>0</v>
      </c>
      <c r="S5" s="384">
        <f t="shared" ca="1" si="0"/>
        <v>0</v>
      </c>
      <c r="T5" s="384">
        <f t="shared" ca="1" si="0"/>
        <v>0</v>
      </c>
      <c r="U5" s="384">
        <f t="shared" ca="1" si="0"/>
        <v>0</v>
      </c>
      <c r="V5" s="384">
        <f t="shared" ca="1" si="1"/>
        <v>0</v>
      </c>
      <c r="W5" s="384">
        <f t="shared" ca="1" si="1"/>
        <v>0</v>
      </c>
      <c r="X5" s="384">
        <f t="shared" ca="1" si="1"/>
        <v>0</v>
      </c>
      <c r="Y5" s="384"/>
      <c r="Z5" s="384">
        <f t="shared" ca="1" si="1"/>
        <v>0</v>
      </c>
      <c r="AA5" s="384">
        <f t="shared" ca="1" si="1"/>
        <v>0</v>
      </c>
      <c r="AB5" s="384">
        <f t="shared" ca="1" si="1"/>
        <v>0</v>
      </c>
      <c r="AC5" s="384">
        <f t="shared" ca="1" si="1"/>
        <v>0</v>
      </c>
      <c r="AD5" s="384">
        <f t="shared" ca="1" si="1"/>
        <v>0</v>
      </c>
      <c r="AE5" s="384">
        <f t="shared" ca="1" si="1"/>
        <v>0</v>
      </c>
      <c r="AF5" s="384">
        <f t="shared" ca="1" si="1"/>
        <v>0</v>
      </c>
      <c r="AG5" s="384">
        <f t="shared" ca="1" si="1"/>
        <v>0</v>
      </c>
      <c r="AH5" s="384">
        <f t="shared" ca="1" si="1"/>
        <v>0</v>
      </c>
      <c r="AI5" s="384">
        <f t="shared" ca="1" si="1"/>
        <v>0</v>
      </c>
      <c r="AJ5" s="384">
        <f t="shared" ca="1" si="1"/>
        <v>0</v>
      </c>
      <c r="AK5" s="387"/>
      <c r="AL5" s="86"/>
      <c r="AM5" s="86"/>
      <c r="AN5" s="86"/>
      <c r="AO5" s="86"/>
    </row>
    <row r="6" spans="1:41" ht="13.5" customHeight="1" x14ac:dyDescent="0.45">
      <c r="E6" s="379">
        <f t="array" aca="1" ref="E6" ca="1">IFERROR(INDEX(INDIRECT($E$8),MATCH(0,COUNTIF(E$1:$E5,INDIRECT($E$8)&amp;""),0)),"")</f>
        <v>0</v>
      </c>
      <c r="F6" s="384">
        <f t="shared" ca="1" si="0"/>
        <v>0</v>
      </c>
      <c r="G6" s="384">
        <f t="shared" ca="1" si="0"/>
        <v>0</v>
      </c>
      <c r="H6" s="384">
        <f t="shared" ca="1" si="0"/>
        <v>0</v>
      </c>
      <c r="I6" s="384"/>
      <c r="J6" s="384">
        <f t="shared" ca="1" si="0"/>
        <v>0</v>
      </c>
      <c r="K6" s="384">
        <f t="shared" ca="1" si="0"/>
        <v>0</v>
      </c>
      <c r="L6" s="384">
        <f t="shared" ca="1" si="0"/>
        <v>0</v>
      </c>
      <c r="M6" s="384">
        <f t="shared" ca="1" si="0"/>
        <v>0</v>
      </c>
      <c r="N6" s="384">
        <f t="shared" ca="1" si="0"/>
        <v>0</v>
      </c>
      <c r="O6" s="385">
        <f t="shared" ca="1" si="0"/>
        <v>0</v>
      </c>
      <c r="P6" s="384">
        <f t="shared" ca="1" si="0"/>
        <v>0</v>
      </c>
      <c r="Q6" s="384">
        <f t="shared" ca="1" si="0"/>
        <v>0</v>
      </c>
      <c r="R6" s="384">
        <f t="shared" ca="1" si="0"/>
        <v>0</v>
      </c>
      <c r="S6" s="384">
        <f t="shared" ca="1" si="0"/>
        <v>0</v>
      </c>
      <c r="T6" s="384">
        <f t="shared" ca="1" si="0"/>
        <v>0</v>
      </c>
      <c r="U6" s="384">
        <f t="shared" ca="1" si="0"/>
        <v>0</v>
      </c>
      <c r="V6" s="384">
        <f t="shared" ca="1" si="1"/>
        <v>0</v>
      </c>
      <c r="W6" s="384">
        <f t="shared" ca="1" si="1"/>
        <v>0</v>
      </c>
      <c r="X6" s="384">
        <f ca="1">SUMIFS(X$14:X$1400,$E$14:$E$1400,$E6)</f>
        <v>0</v>
      </c>
      <c r="Y6" s="384"/>
      <c r="Z6" s="384">
        <f t="shared" ca="1" si="1"/>
        <v>0</v>
      </c>
      <c r="AA6" s="384">
        <f t="shared" ca="1" si="1"/>
        <v>0</v>
      </c>
      <c r="AB6" s="384">
        <f t="shared" ca="1" si="1"/>
        <v>0</v>
      </c>
      <c r="AC6" s="384">
        <f t="shared" ca="1" si="1"/>
        <v>0</v>
      </c>
      <c r="AD6" s="384">
        <f t="shared" ca="1" si="1"/>
        <v>0</v>
      </c>
      <c r="AE6" s="384">
        <f t="shared" ca="1" si="1"/>
        <v>0</v>
      </c>
      <c r="AF6" s="384">
        <f t="shared" ca="1" si="1"/>
        <v>0</v>
      </c>
      <c r="AG6" s="384">
        <f t="shared" ca="1" si="1"/>
        <v>0</v>
      </c>
      <c r="AH6" s="384">
        <f t="shared" ca="1" si="1"/>
        <v>0</v>
      </c>
      <c r="AI6" s="384">
        <f t="shared" ca="1" si="1"/>
        <v>0</v>
      </c>
      <c r="AJ6" s="384">
        <f t="shared" ca="1" si="1"/>
        <v>0</v>
      </c>
      <c r="AK6" s="387"/>
      <c r="AL6" s="86"/>
      <c r="AM6" s="86"/>
      <c r="AN6" s="86"/>
      <c r="AO6" s="86"/>
    </row>
    <row r="7" spans="1:41" s="58" customFormat="1" ht="19.7" customHeight="1" x14ac:dyDescent="0.45">
      <c r="C7" s="61">
        <f ca="1">COUNTIF(I14:I1400,"&gt;0")</f>
        <v>0</v>
      </c>
      <c r="D7" s="61"/>
      <c r="E7" s="64" t="s">
        <v>82</v>
      </c>
      <c r="F7" s="63">
        <f ca="1">SUM(F2:F6)</f>
        <v>0</v>
      </c>
      <c r="G7" s="63">
        <f ca="1">SUM(G2:G6)</f>
        <v>0</v>
      </c>
      <c r="H7" s="63">
        <f t="shared" ref="H7:AJ7" ca="1" si="2">SUM(H2:H6)</f>
        <v>0</v>
      </c>
      <c r="I7" s="63"/>
      <c r="J7" s="63">
        <f t="shared" ca="1" si="2"/>
        <v>0</v>
      </c>
      <c r="K7" s="63">
        <f t="shared" ca="1" si="2"/>
        <v>0</v>
      </c>
      <c r="L7" s="63">
        <f t="shared" ca="1" si="2"/>
        <v>0</v>
      </c>
      <c r="M7" s="63">
        <f t="shared" ca="1" si="2"/>
        <v>0</v>
      </c>
      <c r="N7" s="63">
        <f t="shared" ca="1" si="2"/>
        <v>0</v>
      </c>
      <c r="O7" s="212">
        <f t="shared" ca="1" si="2"/>
        <v>0</v>
      </c>
      <c r="P7" s="63">
        <f t="shared" ca="1" si="2"/>
        <v>0</v>
      </c>
      <c r="Q7" s="63">
        <f t="shared" ca="1" si="2"/>
        <v>0</v>
      </c>
      <c r="R7" s="63">
        <f t="shared" ca="1" si="2"/>
        <v>0</v>
      </c>
      <c r="S7" s="63">
        <f t="shared" ca="1" si="2"/>
        <v>0</v>
      </c>
      <c r="T7" s="63">
        <f t="shared" ca="1" si="2"/>
        <v>0</v>
      </c>
      <c r="U7" s="63">
        <f t="shared" ca="1" si="2"/>
        <v>0</v>
      </c>
      <c r="V7" s="63">
        <f t="shared" ca="1" si="2"/>
        <v>0</v>
      </c>
      <c r="W7" s="63">
        <f t="shared" ca="1" si="2"/>
        <v>0</v>
      </c>
      <c r="X7" s="63">
        <f t="shared" ca="1" si="2"/>
        <v>0</v>
      </c>
      <c r="Y7" s="63"/>
      <c r="Z7" s="63">
        <f t="shared" ca="1" si="2"/>
        <v>0</v>
      </c>
      <c r="AA7" s="63">
        <f t="shared" ca="1" si="2"/>
        <v>0</v>
      </c>
      <c r="AB7" s="63">
        <f t="shared" ca="1" si="2"/>
        <v>0</v>
      </c>
      <c r="AC7" s="63">
        <f t="shared" ca="1" si="2"/>
        <v>0</v>
      </c>
      <c r="AD7" s="63">
        <f t="shared" ca="1" si="2"/>
        <v>0</v>
      </c>
      <c r="AE7" s="63">
        <f t="shared" ca="1" si="2"/>
        <v>0</v>
      </c>
      <c r="AF7" s="63">
        <f t="shared" ca="1" si="2"/>
        <v>0</v>
      </c>
      <c r="AG7" s="63">
        <f t="shared" ca="1" si="2"/>
        <v>0</v>
      </c>
      <c r="AH7" s="63">
        <f t="shared" ca="1" si="2"/>
        <v>0</v>
      </c>
      <c r="AI7" s="63">
        <f t="shared" ca="1" si="2"/>
        <v>0</v>
      </c>
      <c r="AJ7" s="63">
        <f t="shared" ca="1" si="2"/>
        <v>0</v>
      </c>
      <c r="AK7" s="62"/>
      <c r="AL7" s="86"/>
      <c r="AM7" s="86"/>
      <c r="AN7" s="86"/>
      <c r="AO7" s="86"/>
    </row>
    <row r="8" spans="1:41" s="58" customFormat="1" ht="19.7" customHeight="1" x14ac:dyDescent="0.45">
      <c r="A8" s="55"/>
      <c r="B8" s="55"/>
      <c r="C8" s="56"/>
      <c r="D8" s="56"/>
      <c r="E8" s="91" t="str">
        <f ca="1">"$E$14:$E$"&amp;COUNTA(E14:E1000)+14</f>
        <v>$E$14:$E$16</v>
      </c>
      <c r="F8" s="57">
        <f ca="1">SUBTOTAL(9,F$14:F$1400)</f>
        <v>0</v>
      </c>
      <c r="G8" s="57">
        <f ca="1">SUBTOTAL(9,G$14:G$1400)</f>
        <v>0</v>
      </c>
      <c r="H8" s="57">
        <f t="shared" ref="H8:AJ8" ca="1" si="3">SUBTOTAL(9,H$14:H$1400)</f>
        <v>0</v>
      </c>
      <c r="I8" s="57"/>
      <c r="J8" s="57">
        <f t="shared" ca="1" si="3"/>
        <v>0</v>
      </c>
      <c r="K8" s="57">
        <f t="shared" ca="1" si="3"/>
        <v>0</v>
      </c>
      <c r="L8" s="57">
        <f t="shared" si="3"/>
        <v>0</v>
      </c>
      <c r="M8" s="57">
        <f t="shared" ca="1" si="3"/>
        <v>0</v>
      </c>
      <c r="N8" s="57">
        <f t="shared" ca="1" si="3"/>
        <v>0</v>
      </c>
      <c r="O8" s="213">
        <f t="shared" si="3"/>
        <v>0</v>
      </c>
      <c r="P8" s="57">
        <f t="shared" ca="1" si="3"/>
        <v>0</v>
      </c>
      <c r="Q8" s="57">
        <f t="shared" si="3"/>
        <v>0</v>
      </c>
      <c r="R8" s="57">
        <f t="shared" si="3"/>
        <v>0</v>
      </c>
      <c r="S8" s="57">
        <f t="shared" si="3"/>
        <v>0</v>
      </c>
      <c r="T8" s="57">
        <f t="shared" si="3"/>
        <v>0</v>
      </c>
      <c r="U8" s="57">
        <f t="shared" si="3"/>
        <v>0</v>
      </c>
      <c r="V8" s="57">
        <f t="shared" ca="1" si="3"/>
        <v>0</v>
      </c>
      <c r="W8" s="57">
        <f t="shared" ca="1" si="3"/>
        <v>0</v>
      </c>
      <c r="X8" s="57">
        <f t="shared" ca="1" si="3"/>
        <v>0</v>
      </c>
      <c r="Y8" s="57"/>
      <c r="Z8" s="57">
        <f t="shared" ca="1" si="3"/>
        <v>0</v>
      </c>
      <c r="AA8" s="57">
        <f t="shared" ca="1" si="3"/>
        <v>0</v>
      </c>
      <c r="AB8" s="57">
        <f t="shared" ca="1" si="3"/>
        <v>0</v>
      </c>
      <c r="AC8" s="57">
        <f t="shared" ca="1" si="3"/>
        <v>0</v>
      </c>
      <c r="AD8" s="57">
        <f t="shared" ca="1" si="3"/>
        <v>0</v>
      </c>
      <c r="AE8" s="57">
        <f t="shared" ca="1" si="3"/>
        <v>0</v>
      </c>
      <c r="AF8" s="57">
        <f t="shared" si="3"/>
        <v>0</v>
      </c>
      <c r="AG8" s="57">
        <f t="shared" si="3"/>
        <v>0</v>
      </c>
      <c r="AH8" s="57">
        <f t="shared" ca="1" si="3"/>
        <v>0</v>
      </c>
      <c r="AI8" s="57">
        <f t="shared" ca="1" si="3"/>
        <v>0</v>
      </c>
      <c r="AJ8" s="57">
        <f t="shared" ca="1" si="3"/>
        <v>0</v>
      </c>
      <c r="AK8" s="57"/>
      <c r="AL8" s="86"/>
      <c r="AM8" s="86"/>
      <c r="AN8" s="86"/>
      <c r="AO8" s="86"/>
    </row>
    <row r="9" spans="1:41" x14ac:dyDescent="0.45">
      <c r="A9" s="26"/>
      <c r="B9" s="26"/>
      <c r="C9" s="43"/>
      <c r="D9" s="43"/>
      <c r="E9" s="26"/>
      <c r="F9" s="26"/>
      <c r="G9" s="26"/>
      <c r="H9" s="26"/>
      <c r="I9" s="52"/>
      <c r="J9" s="54"/>
      <c r="K9" s="609" t="s">
        <v>111</v>
      </c>
      <c r="L9" s="590"/>
      <c r="M9" s="590"/>
      <c r="N9" s="590"/>
      <c r="O9" s="606" t="s">
        <v>369</v>
      </c>
      <c r="P9" s="606"/>
      <c r="Q9" s="611" t="s">
        <v>49</v>
      </c>
      <c r="R9" s="612"/>
      <c r="S9" s="613"/>
      <c r="T9" s="613"/>
      <c r="U9" s="163"/>
      <c r="V9" s="95"/>
      <c r="W9" s="604" t="s">
        <v>53</v>
      </c>
      <c r="X9" s="604"/>
      <c r="Y9" s="604"/>
      <c r="Z9" s="604"/>
      <c r="AA9" s="605"/>
      <c r="AB9" s="92"/>
      <c r="AC9" s="607" t="s">
        <v>56</v>
      </c>
      <c r="AD9" s="608"/>
      <c r="AE9" s="608"/>
      <c r="AF9" s="608"/>
      <c r="AG9" s="608"/>
      <c r="AH9" s="94"/>
      <c r="AI9" s="94"/>
      <c r="AJ9" s="26"/>
      <c r="AK9" s="42"/>
      <c r="AL9" s="86"/>
      <c r="AM9" s="86"/>
      <c r="AN9" s="86"/>
      <c r="AO9" s="86"/>
    </row>
    <row r="10" spans="1:41" ht="15" customHeight="1" x14ac:dyDescent="0.45">
      <c r="A10" s="622" t="s">
        <v>1</v>
      </c>
      <c r="B10" s="622" t="s">
        <v>2</v>
      </c>
      <c r="C10" s="622" t="s">
        <v>3</v>
      </c>
      <c r="D10" s="622" t="s">
        <v>4</v>
      </c>
      <c r="E10" s="622" t="s">
        <v>39</v>
      </c>
      <c r="F10" s="622" t="s">
        <v>6</v>
      </c>
      <c r="G10" s="622" t="s">
        <v>7</v>
      </c>
      <c r="H10" s="622" t="s">
        <v>40</v>
      </c>
      <c r="I10" s="625" t="s">
        <v>42</v>
      </c>
      <c r="J10" s="622" t="s">
        <v>41</v>
      </c>
      <c r="K10" s="627" t="s">
        <v>298</v>
      </c>
      <c r="L10" s="590" t="s">
        <v>44</v>
      </c>
      <c r="M10" s="590"/>
      <c r="N10" s="627" t="s">
        <v>299</v>
      </c>
      <c r="O10" s="163"/>
      <c r="P10" s="31"/>
      <c r="Q10" s="614" t="s">
        <v>79</v>
      </c>
      <c r="R10" s="614"/>
      <c r="S10" s="168"/>
      <c r="T10" s="170"/>
      <c r="U10" s="164"/>
      <c r="V10" s="96"/>
      <c r="W10" s="32"/>
      <c r="X10" s="26"/>
      <c r="Y10" s="26"/>
      <c r="Z10" s="26"/>
      <c r="AA10" s="32"/>
      <c r="AB10" s="599" t="s">
        <v>57</v>
      </c>
      <c r="AC10" s="615" t="s">
        <v>58</v>
      </c>
      <c r="AD10" s="616"/>
      <c r="AE10" s="615"/>
      <c r="AF10" s="616"/>
      <c r="AG10" s="617"/>
      <c r="AH10" s="599" t="s">
        <v>59</v>
      </c>
      <c r="AI10" s="632" t="s">
        <v>61</v>
      </c>
      <c r="AJ10" s="35"/>
      <c r="AK10" s="35"/>
      <c r="AL10" s="86"/>
      <c r="AM10" s="86"/>
      <c r="AN10" s="86"/>
      <c r="AO10" s="86"/>
    </row>
    <row r="11" spans="1:41" s="4" customFormat="1" ht="33" customHeight="1" x14ac:dyDescent="0.45">
      <c r="A11" s="622"/>
      <c r="B11" s="622"/>
      <c r="C11" s="622"/>
      <c r="D11" s="622"/>
      <c r="E11" s="622"/>
      <c r="F11" s="622"/>
      <c r="G11" s="622"/>
      <c r="H11" s="622"/>
      <c r="I11" s="625"/>
      <c r="J11" s="622"/>
      <c r="K11" s="628"/>
      <c r="L11" s="160" t="s">
        <v>45</v>
      </c>
      <c r="M11" s="25" t="s">
        <v>46</v>
      </c>
      <c r="N11" s="628"/>
      <c r="O11" s="203" t="s">
        <v>370</v>
      </c>
      <c r="P11" s="103" t="s">
        <v>371</v>
      </c>
      <c r="Q11" s="161" t="s">
        <v>51</v>
      </c>
      <c r="R11" s="28" t="s">
        <v>78</v>
      </c>
      <c r="S11" s="169" t="s">
        <v>50</v>
      </c>
      <c r="T11" s="171" t="s">
        <v>60</v>
      </c>
      <c r="U11" s="162" t="s">
        <v>77</v>
      </c>
      <c r="V11" s="97" t="s">
        <v>52</v>
      </c>
      <c r="W11" s="33" t="s">
        <v>43</v>
      </c>
      <c r="X11" s="196" t="s">
        <v>264</v>
      </c>
      <c r="Y11" s="196" t="s">
        <v>77</v>
      </c>
      <c r="Z11" s="103" t="s">
        <v>54</v>
      </c>
      <c r="AA11" s="33" t="s">
        <v>55</v>
      </c>
      <c r="AB11" s="599"/>
      <c r="AC11" s="25" t="s">
        <v>88</v>
      </c>
      <c r="AD11" s="28" t="s">
        <v>28</v>
      </c>
      <c r="AE11" s="34" t="s">
        <v>81</v>
      </c>
      <c r="AF11" s="126"/>
      <c r="AG11" s="30"/>
      <c r="AH11" s="599"/>
      <c r="AI11" s="632"/>
      <c r="AJ11" s="36" t="s">
        <v>62</v>
      </c>
      <c r="AK11" s="36" t="s">
        <v>63</v>
      </c>
      <c r="AL11" s="87"/>
      <c r="AM11" s="87"/>
      <c r="AN11" s="87"/>
      <c r="AO11" s="87"/>
    </row>
    <row r="12" spans="1:41" s="4" customFormat="1" ht="15" customHeight="1" x14ac:dyDescent="0.45">
      <c r="A12" s="29"/>
      <c r="B12" s="29"/>
      <c r="C12" s="29"/>
      <c r="D12" s="29"/>
      <c r="E12" s="29"/>
      <c r="F12" s="29"/>
      <c r="G12" s="602" t="str">
        <f>'1'!G12</f>
        <v>Link</v>
      </c>
      <c r="H12" s="603"/>
      <c r="I12" s="53"/>
      <c r="J12" s="29">
        <f>INDEX(Cham_Cong!$E$7:$P$8,1,MATCH(C1,Cham_Cong!$E$8:$P$8,0))</f>
        <v>26</v>
      </c>
      <c r="K12" s="40">
        <v>730000</v>
      </c>
      <c r="L12" s="160"/>
      <c r="M12" s="27">
        <v>1000000</v>
      </c>
      <c r="N12" s="41">
        <v>500000</v>
      </c>
      <c r="O12" s="167">
        <v>2</v>
      </c>
      <c r="P12" s="38"/>
      <c r="Q12" s="161"/>
      <c r="R12" s="25"/>
      <c r="S12" s="165"/>
      <c r="T12" s="166"/>
      <c r="U12" s="165"/>
      <c r="V12" s="98"/>
      <c r="W12" s="30"/>
      <c r="X12" s="29"/>
      <c r="Y12" s="29"/>
      <c r="Z12" s="29"/>
      <c r="AA12" s="30"/>
      <c r="AB12" s="93"/>
      <c r="AC12" s="37">
        <v>11000000</v>
      </c>
      <c r="AD12" s="37">
        <v>4400000</v>
      </c>
      <c r="AE12" s="39">
        <v>0.105</v>
      </c>
      <c r="AF12" s="39"/>
      <c r="AG12" s="39"/>
      <c r="AH12" s="93"/>
      <c r="AI12" s="93"/>
      <c r="AJ12" s="29"/>
      <c r="AK12" s="29"/>
      <c r="AL12" s="87"/>
      <c r="AM12" s="87"/>
      <c r="AN12" s="87"/>
      <c r="AO12" s="87"/>
    </row>
    <row r="13" spans="1:41" s="70" customFormat="1" x14ac:dyDescent="0.45">
      <c r="A13" s="49"/>
      <c r="B13" s="49" t="s">
        <v>24</v>
      </c>
      <c r="C13" s="89" t="s">
        <v>25</v>
      </c>
      <c r="D13" s="49" t="s">
        <v>26</v>
      </c>
      <c r="E13" s="49" t="s">
        <v>27</v>
      </c>
      <c r="F13" s="49" t="s">
        <v>28</v>
      </c>
      <c r="G13" s="49" t="s">
        <v>29</v>
      </c>
      <c r="H13" s="49" t="s">
        <v>185</v>
      </c>
      <c r="I13" s="90" t="s">
        <v>186</v>
      </c>
      <c r="J13" s="49" t="s">
        <v>80</v>
      </c>
      <c r="K13" s="49" t="s">
        <v>80</v>
      </c>
      <c r="L13" s="49" t="s">
        <v>391</v>
      </c>
      <c r="M13" s="49" t="s">
        <v>80</v>
      </c>
      <c r="N13" s="49" t="s">
        <v>80</v>
      </c>
      <c r="O13" s="49" t="s">
        <v>208</v>
      </c>
      <c r="P13" s="49" t="s">
        <v>80</v>
      </c>
      <c r="Q13" s="49"/>
      <c r="R13" s="49" t="s">
        <v>80</v>
      </c>
      <c r="S13" s="49" t="s">
        <v>80</v>
      </c>
      <c r="T13" s="49" t="s">
        <v>80</v>
      </c>
      <c r="U13" s="49" t="s">
        <v>80</v>
      </c>
      <c r="V13" s="49" t="s">
        <v>66</v>
      </c>
      <c r="W13" s="49"/>
      <c r="X13" s="49"/>
      <c r="Y13" s="49"/>
      <c r="Z13" s="49"/>
      <c r="AA13" s="49"/>
      <c r="AB13" s="49" t="s">
        <v>64</v>
      </c>
      <c r="AC13" s="49" t="s">
        <v>101</v>
      </c>
      <c r="AD13" s="49" t="s">
        <v>102</v>
      </c>
      <c r="AE13" s="49" t="s">
        <v>165</v>
      </c>
      <c r="AF13" s="49"/>
      <c r="AG13" s="49"/>
      <c r="AH13" s="49"/>
      <c r="AI13" s="49" t="s">
        <v>65</v>
      </c>
      <c r="AJ13" s="49" t="s">
        <v>67</v>
      </c>
      <c r="AK13" s="49"/>
      <c r="AL13" s="88" t="s">
        <v>32</v>
      </c>
      <c r="AM13" s="88" t="s">
        <v>33</v>
      </c>
      <c r="AN13" s="88" t="s">
        <v>34</v>
      </c>
      <c r="AO13" s="88" t="s">
        <v>35</v>
      </c>
    </row>
    <row r="14" spans="1:41" x14ac:dyDescent="0.45">
      <c r="A14" s="5">
        <f ca="1">IF(B14&lt;&gt;"",SUBTOTAL(3,$B$14:B14),"")</f>
        <v>1</v>
      </c>
      <c r="B14" s="3">
        <f ca="1">INDEX(INDIRECT(Danh_Sach!$N$1),ROWS($B$14:$B14),MATCH(B$13,INDIRECT(Danh_Sach!$N$2),0))</f>
        <v>0</v>
      </c>
      <c r="C14" s="5">
        <f ca="1">INDEX(INDIRECT(Danh_Sach!$N$1),ROWS($B$14:$B14),MATCH(C$13,INDIRECT(Danh_Sach!$N$2),0))</f>
        <v>0</v>
      </c>
      <c r="D14" s="5">
        <f ca="1">INDEX(INDIRECT(Danh_Sach!$N$1),ROWS($B$14:$B14),MATCH(D$13,INDIRECT(Danh_Sach!$N$2),0))</f>
        <v>0</v>
      </c>
      <c r="E14" s="5">
        <f ca="1">INDEX(INDIRECT(Danh_Sach!$N$1),ROWS($B$14:$B14),MATCH(E$13,INDIRECT(Danh_Sach!$N$2),0))</f>
        <v>0</v>
      </c>
      <c r="F14" s="5">
        <f t="array" aca="1" ref="F14" ca="1">INDEX(INDIRECT(NPT!$W$1),ROWS($B$14:B14),MATCH($C$1,INDIRECT(NPT!$W$2),0))</f>
        <v>0</v>
      </c>
      <c r="G14" s="11">
        <f ca="1">IF(AND($G$12="Link",H14&lt;&gt;0),H14,INDEX(INDIRECT(Danh_Sach!$N$1),ROWS($B$14:$B14),MATCH(G$13,INDIRECT(Danh_Sach!$N$2),0)))</f>
        <v>0</v>
      </c>
      <c r="H14" s="11">
        <f ca="1">IFERROR(INDEX(INDIRECT(BaoHiem!$A$3),ROWS($B$14:$B14),MATCH($C$1,INDIRECT(BaoHiem!$A$4),0)),0)</f>
        <v>0</v>
      </c>
      <c r="I14" s="72">
        <f t="array" aca="1" ref="I14" ca="1">INDEX(INDIRECT(Cham_Cong!$T$3),ROWS($B$14:B14),MATCH($C$1,INDIRECT(Cham_Cong!$T$4),0))</f>
        <v>0</v>
      </c>
      <c r="J14" s="11">
        <f ca="1">G14/$J$12*I14</f>
        <v>0</v>
      </c>
      <c r="K14" s="11">
        <f ca="1">IF(I14&gt;0,$K$12,0)</f>
        <v>0</v>
      </c>
      <c r="L14" s="11"/>
      <c r="M14" s="22">
        <f ca="1">IF(I14=0,0,$M$12*L14)</f>
        <v>0</v>
      </c>
      <c r="N14" s="11">
        <f ca="1">IF(I14&gt;0,$N$12,0)</f>
        <v>0</v>
      </c>
      <c r="P14" s="22">
        <f ca="1">IF(I14=0,0,ROUND(O14*$O$12*(G14/$J$12/8),0))</f>
        <v>0</v>
      </c>
      <c r="R14" s="11"/>
      <c r="S14" s="11"/>
      <c r="V14" s="11">
        <f ca="1">IF(I14=0,0,SUMIF($J$13:$U$13,"i_gross",J14:U14))</f>
        <v>0</v>
      </c>
      <c r="W14" s="22">
        <f ca="1">K14</f>
        <v>0</v>
      </c>
      <c r="X14" s="22">
        <f ca="1">M14+N14</f>
        <v>0</v>
      </c>
      <c r="Y14" s="22">
        <f>U14</f>
        <v>0</v>
      </c>
      <c r="Z14" s="22">
        <f ca="1">P14-P14/$O$12</f>
        <v>0</v>
      </c>
      <c r="AA14" s="22">
        <f ca="1">SUM(W14:Z14)</f>
        <v>0</v>
      </c>
      <c r="AB14" s="22">
        <f ca="1">IF(I14=0,0,V14-AA14)</f>
        <v>0</v>
      </c>
      <c r="AC14" s="22">
        <f ca="1">IF(AB14&gt;0,$AC$12,0)</f>
        <v>0</v>
      </c>
      <c r="AD14" s="22">
        <f ca="1">$AD$12*F14</f>
        <v>0</v>
      </c>
      <c r="AE14" s="22">
        <f ca="1">IF(AB14&gt;0,IF(ISNA(VLOOKUP(C14,Info!$C$22:$D$303,2,0))=FALSE,H14*1.5%,H14*$AE$12),0)</f>
        <v>0</v>
      </c>
      <c r="AH14" s="22">
        <f ca="1">MAX(AB14-SUM(AC14:AG14),0)</f>
        <v>0</v>
      </c>
      <c r="AI14" s="22">
        <f ca="1">IF(AH14&gt;0,(AH14-VLOOKUP(AH14-1,INDIRECT(TAXRATE!$E$1),1,1))*VLOOKUP(AH14,INDIRECT(TAXRATE!$E$1),2,1)+VLOOKUP(AH14-1,INDIRECT(TAXRATE!$E$1),3,1),0)</f>
        <v>0</v>
      </c>
      <c r="AJ14" s="22">
        <f ca="1">V14-AI14-AE14-AF14-AG14</f>
        <v>0</v>
      </c>
      <c r="AL14" s="3" t="str">
        <f ca="1">IF(INDEX(INDIRECT(Danh_Sach!$N$1),ROWS($B$14:$B14),MATCH(AL$13,INDIRECT(Danh_Sach!$N$2),0))=0,"",MONTH(INDEX(INDIRECT(Danh_Sach!$N$1),ROWS($B$14:$B14),MATCH(AL$13,INDIRECT(Danh_Sach!$N$2),0))))</f>
        <v/>
      </c>
      <c r="AM14" s="3" t="str">
        <f ca="1">IF(INDEX(INDIRECT(Danh_Sach!$N$1),ROWS($B$14:$B14),MATCH(AM$13,INDIRECT(Danh_Sach!$N$2),0))=0,"",MONTH(INDEX(INDIRECT(Danh_Sach!$N$1),ROWS($B$14:$B14),MATCH(AM$13,INDIRECT(Danh_Sach!$N$2),0))))</f>
        <v/>
      </c>
      <c r="AN14" s="3" t="str">
        <f ca="1">IF(INDEX(INDIRECT(Danh_Sach!$N$1),ROWS($B$14:$B14),MATCH(AN$13,INDIRECT(Danh_Sach!$N$2),0))=0,"",MONTH(INDEX(INDIRECT(Danh_Sach!$N$1),ROWS($B$14:$B14),MATCH(AN$13,INDIRECT(Danh_Sach!$N$2),0))))</f>
        <v/>
      </c>
      <c r="AO14" s="3" t="str">
        <f ca="1">IF(INDEX(INDIRECT(Danh_Sach!$N$1),ROWS($B$14:$B14),MATCH(AO$13,INDIRECT(Danh_Sach!$N$2),0))=0,"",MONTH(INDEX(INDIRECT(Danh_Sach!$N$1),ROWS($B$14:$B14),MATCH(AO$13,INDIRECT(Danh_Sach!$N$2),0))))</f>
        <v/>
      </c>
    </row>
    <row r="15" spans="1:41" x14ac:dyDescent="0.45">
      <c r="A15" s="5">
        <f ca="1">IF(B15&lt;&gt;"",SUBTOTAL(3,$B$14:B15),"")</f>
        <v>2</v>
      </c>
      <c r="B15" s="3">
        <f ca="1">INDEX(INDIRECT(Danh_Sach!$N$1),ROWS($B$14:$B15),MATCH(B$13,INDIRECT(Danh_Sach!$N$2),0))</f>
        <v>0</v>
      </c>
      <c r="C15" s="5">
        <f ca="1">INDEX(INDIRECT(Danh_Sach!$N$1),ROWS($B$14:$B15),MATCH(C$13,INDIRECT(Danh_Sach!$N$2),0))</f>
        <v>0</v>
      </c>
      <c r="D15" s="5">
        <f ca="1">INDEX(INDIRECT(Danh_Sach!$N$1),ROWS($B$14:$B15),MATCH(D$13,INDIRECT(Danh_Sach!$N$2),0))</f>
        <v>0</v>
      </c>
      <c r="E15" s="5">
        <f ca="1">INDEX(INDIRECT(Danh_Sach!$N$1),ROWS($B$14:$B15),MATCH(E$13,INDIRECT(Danh_Sach!$N$2),0))</f>
        <v>0</v>
      </c>
      <c r="F15" s="5">
        <f t="array" aca="1" ref="F15" ca="1">INDEX(INDIRECT(NPT!$W$1),ROWS($B$14:B15),MATCH($C$1,INDIRECT(NPT!$W$2),0))</f>
        <v>0</v>
      </c>
      <c r="G15" s="11">
        <f ca="1">IF(AND($G$12="Link",H15&lt;&gt;0),H15,INDEX(INDIRECT(Danh_Sach!$N$1),ROWS($B$14:$B15),MATCH(G$13,INDIRECT(Danh_Sach!$N$2),0)))</f>
        <v>0</v>
      </c>
      <c r="H15" s="11">
        <f ca="1">IFERROR(INDEX(INDIRECT(BaoHiem!$A$3),ROWS($B$14:$B15),MATCH($C$1,INDIRECT(BaoHiem!$A$4),0)),0)</f>
        <v>0</v>
      </c>
      <c r="I15" s="72">
        <f t="array" aca="1" ref="I15" ca="1">INDEX(INDIRECT(Cham_Cong!$T$3),ROWS($B$14:B15),MATCH($C$1,INDIRECT(Cham_Cong!$T$4),0))</f>
        <v>0</v>
      </c>
      <c r="J15" s="11">
        <f ca="1">G15/$J$12*I15</f>
        <v>0</v>
      </c>
      <c r="K15" s="11">
        <f ca="1">IF(I15&gt;0,$K$12,0)</f>
        <v>0</v>
      </c>
      <c r="L15" s="11"/>
      <c r="M15" s="22">
        <f ca="1">IF(I15=0,0,$M$12*L15)</f>
        <v>0</v>
      </c>
      <c r="N15" s="11">
        <f ca="1">IF(I15&gt;0,$N$12,0)</f>
        <v>0</v>
      </c>
      <c r="P15" s="22">
        <f ca="1">IF(I15=0,0,ROUND(O15*$O$12*(G15/$J$12/8),0))</f>
        <v>0</v>
      </c>
      <c r="R15" s="11"/>
      <c r="S15" s="11"/>
      <c r="V15" s="11">
        <f ca="1">IF(I15=0,0,SUMIF($J$13:$U$13,"i_gross",J15:U15))</f>
        <v>0</v>
      </c>
      <c r="W15" s="22">
        <f ca="1">K15</f>
        <v>0</v>
      </c>
      <c r="X15" s="22">
        <f ca="1">M15+N15</f>
        <v>0</v>
      </c>
      <c r="Y15" s="22">
        <f>U15</f>
        <v>0</v>
      </c>
      <c r="Z15" s="22">
        <f ca="1">P15-P15/$O$12</f>
        <v>0</v>
      </c>
      <c r="AA15" s="22">
        <f ca="1">SUM(W15:Z15)</f>
        <v>0</v>
      </c>
      <c r="AB15" s="22">
        <f ca="1">IF(I15=0,0,V15-AA15)</f>
        <v>0</v>
      </c>
      <c r="AC15" s="22">
        <f ca="1">IF(AB15&gt;0,$AC$12,0)</f>
        <v>0</v>
      </c>
      <c r="AD15" s="22">
        <f ca="1">$AD$12*F15</f>
        <v>0</v>
      </c>
      <c r="AE15" s="22">
        <f ca="1">IF(AB15&gt;0,IF(ISNA(VLOOKUP(C15,Info!$C$22:$D$303,2,0))=FALSE,H15*1.5%,H15*$AE$12),0)</f>
        <v>0</v>
      </c>
      <c r="AH15" s="22">
        <f ca="1">MAX(AB15-SUM(AC15:AG15),0)</f>
        <v>0</v>
      </c>
      <c r="AI15" s="22">
        <f ca="1">IF(AH15&gt;0,(AH15-VLOOKUP(AH15-1,INDIRECT(TAXRATE!$E$1),1,1))*VLOOKUP(AH15,INDIRECT(TAXRATE!$E$1),2,1)+VLOOKUP(AH15-1,INDIRECT(TAXRATE!$E$1),3,1),0)</f>
        <v>0</v>
      </c>
      <c r="AJ15" s="22">
        <f ca="1">V15-AI15-AE15-AF15-AG15</f>
        <v>0</v>
      </c>
      <c r="AL15" s="3" t="str">
        <f ca="1">IF(INDEX(INDIRECT(Danh_Sach!$N$1),ROWS($B$14:$B15),MATCH(AL$13,INDIRECT(Danh_Sach!$N$2),0))=0,"",MONTH(INDEX(INDIRECT(Danh_Sach!$N$1),ROWS($B$14:$B15),MATCH(AL$13,INDIRECT(Danh_Sach!$N$2),0))))</f>
        <v/>
      </c>
      <c r="AM15" s="3" t="str">
        <f ca="1">IF(INDEX(INDIRECT(Danh_Sach!$N$1),ROWS($B$14:$B15),MATCH(AM$13,INDIRECT(Danh_Sach!$N$2),0))=0,"",MONTH(INDEX(INDIRECT(Danh_Sach!$N$1),ROWS($B$14:$B15),MATCH(AM$13,INDIRECT(Danh_Sach!$N$2),0))))</f>
        <v/>
      </c>
      <c r="AN15" s="3" t="str">
        <f ca="1">IF(INDEX(INDIRECT(Danh_Sach!$N$1),ROWS($B$14:$B15),MATCH(AN$13,INDIRECT(Danh_Sach!$N$2),0))=0,"",MONTH(INDEX(INDIRECT(Danh_Sach!$N$1),ROWS($B$14:$B15),MATCH(AN$13,INDIRECT(Danh_Sach!$N$2),0))))</f>
        <v/>
      </c>
      <c r="AO15" s="3" t="str">
        <f ca="1">IF(INDEX(INDIRECT(Danh_Sach!$N$1),ROWS($B$14:$B15),MATCH(AO$13,INDIRECT(Danh_Sach!$N$2),0))=0,"",MONTH(INDEX(INDIRECT(Danh_Sach!$N$1),ROWS($B$14:$B15),MATCH(AO$13,INDIRECT(Danh_Sach!$N$2),0))))</f>
        <v/>
      </c>
    </row>
    <row r="16" spans="1:41" x14ac:dyDescent="0.45">
      <c r="A16" s="5"/>
      <c r="E16" s="5"/>
      <c r="F16" s="5"/>
      <c r="G16" s="11"/>
      <c r="H16" s="11"/>
      <c r="I16" s="72"/>
      <c r="J16" s="11"/>
      <c r="K16" s="11"/>
      <c r="L16" s="11"/>
      <c r="M16" s="22"/>
      <c r="N16" s="11"/>
      <c r="P16" s="22"/>
      <c r="R16" s="11"/>
      <c r="S16" s="11"/>
      <c r="V16" s="11"/>
      <c r="W16" s="22"/>
      <c r="X16" s="22"/>
      <c r="Y16" s="22"/>
      <c r="Z16" s="22"/>
      <c r="AA16" s="22"/>
      <c r="AB16" s="22"/>
      <c r="AC16" s="22"/>
      <c r="AD16" s="22"/>
      <c r="AE16" s="22"/>
      <c r="AH16" s="22"/>
      <c r="AI16" s="22"/>
      <c r="AJ16" s="22"/>
    </row>
    <row r="17" spans="1:36" x14ac:dyDescent="0.45">
      <c r="A17" s="5"/>
      <c r="E17" s="5"/>
      <c r="F17" s="5"/>
      <c r="G17" s="11"/>
      <c r="H17" s="11"/>
      <c r="I17" s="72"/>
      <c r="J17" s="11"/>
      <c r="K17" s="11"/>
      <c r="L17" s="11"/>
      <c r="M17" s="22"/>
      <c r="N17" s="11"/>
      <c r="P17" s="22"/>
      <c r="R17" s="11"/>
      <c r="S17" s="11"/>
      <c r="V17" s="11"/>
      <c r="W17" s="22"/>
      <c r="X17" s="22"/>
      <c r="Y17" s="22"/>
      <c r="Z17" s="22"/>
      <c r="AA17" s="22"/>
      <c r="AB17" s="22"/>
      <c r="AC17" s="22"/>
      <c r="AD17" s="22"/>
      <c r="AE17" s="22"/>
      <c r="AH17" s="22"/>
      <c r="AI17" s="22"/>
      <c r="AJ17" s="22"/>
    </row>
    <row r="18" spans="1:36" x14ac:dyDescent="0.45">
      <c r="A18" s="5"/>
      <c r="E18" s="5"/>
      <c r="F18" s="5"/>
      <c r="G18" s="11"/>
      <c r="H18" s="11"/>
      <c r="I18" s="72"/>
      <c r="J18" s="11"/>
      <c r="K18" s="11"/>
      <c r="L18" s="11"/>
      <c r="M18" s="22"/>
      <c r="N18" s="11"/>
      <c r="P18" s="22"/>
      <c r="R18" s="11"/>
      <c r="S18" s="11"/>
      <c r="V18" s="11"/>
      <c r="W18" s="22"/>
      <c r="X18" s="22"/>
      <c r="Y18" s="22"/>
      <c r="Z18" s="22"/>
      <c r="AA18" s="22"/>
      <c r="AB18" s="22"/>
      <c r="AC18" s="22"/>
      <c r="AD18" s="22"/>
      <c r="AE18" s="22"/>
      <c r="AH18" s="22"/>
      <c r="AI18" s="22"/>
      <c r="AJ18" s="22"/>
    </row>
    <row r="19" spans="1:36" x14ac:dyDescent="0.45">
      <c r="A19" s="5"/>
      <c r="E19" s="5"/>
      <c r="F19" s="5"/>
      <c r="G19" s="11"/>
      <c r="H19" s="11"/>
      <c r="I19" s="72"/>
      <c r="J19" s="11"/>
      <c r="K19" s="11"/>
      <c r="L19" s="11"/>
      <c r="M19" s="22"/>
      <c r="N19" s="11"/>
      <c r="P19" s="22"/>
      <c r="R19" s="11"/>
      <c r="S19" s="11"/>
      <c r="V19" s="11"/>
      <c r="W19" s="22"/>
      <c r="X19" s="22"/>
      <c r="Y19" s="22"/>
      <c r="Z19" s="22"/>
      <c r="AA19" s="22"/>
      <c r="AB19" s="22"/>
      <c r="AC19" s="22"/>
      <c r="AD19" s="22"/>
      <c r="AE19" s="22"/>
      <c r="AH19" s="22"/>
      <c r="AI19" s="22"/>
      <c r="AJ19" s="22"/>
    </row>
    <row r="20" spans="1:36" x14ac:dyDescent="0.45">
      <c r="A20" s="5"/>
      <c r="E20" s="5"/>
      <c r="F20" s="5"/>
      <c r="G20" s="11"/>
      <c r="H20" s="11"/>
      <c r="I20" s="72"/>
      <c r="J20" s="11"/>
      <c r="K20" s="11"/>
      <c r="L20" s="11"/>
      <c r="M20" s="22"/>
      <c r="N20" s="11"/>
      <c r="P20" s="22"/>
      <c r="R20" s="11"/>
      <c r="S20" s="11"/>
      <c r="V20" s="11"/>
      <c r="W20" s="22"/>
      <c r="X20" s="22"/>
      <c r="Y20" s="22"/>
      <c r="Z20" s="22"/>
      <c r="AA20" s="22"/>
      <c r="AB20" s="22"/>
      <c r="AC20" s="22"/>
      <c r="AD20" s="22"/>
      <c r="AE20" s="22"/>
      <c r="AH20" s="22"/>
      <c r="AI20" s="22"/>
      <c r="AJ20" s="22"/>
    </row>
    <row r="21" spans="1:36" x14ac:dyDescent="0.45">
      <c r="A21" s="5"/>
      <c r="E21" s="5"/>
      <c r="F21" s="5"/>
      <c r="G21" s="11"/>
      <c r="H21" s="11"/>
      <c r="I21" s="72"/>
      <c r="J21" s="11"/>
      <c r="K21" s="11"/>
      <c r="L21" s="11"/>
      <c r="M21" s="22"/>
      <c r="N21" s="11"/>
      <c r="P21" s="22"/>
      <c r="R21" s="11"/>
      <c r="S21" s="11"/>
      <c r="V21" s="11"/>
      <c r="W21" s="22"/>
      <c r="X21" s="22"/>
      <c r="Y21" s="22"/>
      <c r="Z21" s="22"/>
      <c r="AA21" s="22"/>
      <c r="AB21" s="22"/>
      <c r="AC21" s="22"/>
      <c r="AD21" s="22"/>
      <c r="AE21" s="22"/>
      <c r="AH21" s="22"/>
      <c r="AI21" s="22"/>
      <c r="AJ21" s="22"/>
    </row>
    <row r="22" spans="1:36" x14ac:dyDescent="0.45">
      <c r="A22" s="5"/>
      <c r="E22" s="5"/>
      <c r="F22" s="5"/>
      <c r="G22" s="11"/>
      <c r="H22" s="11"/>
      <c r="I22" s="72"/>
      <c r="J22" s="11"/>
      <c r="K22" s="11"/>
      <c r="L22" s="11"/>
      <c r="M22" s="22"/>
      <c r="N22" s="11"/>
      <c r="P22" s="22"/>
      <c r="R22" s="11"/>
      <c r="S22" s="11"/>
      <c r="V22" s="11"/>
      <c r="W22" s="22"/>
      <c r="X22" s="22"/>
      <c r="Y22" s="22"/>
      <c r="Z22" s="22"/>
      <c r="AA22" s="22"/>
      <c r="AB22" s="22"/>
      <c r="AC22" s="22"/>
      <c r="AD22" s="22"/>
      <c r="AE22" s="22"/>
      <c r="AH22" s="22"/>
      <c r="AI22" s="22"/>
      <c r="AJ22" s="22"/>
    </row>
    <row r="23" spans="1:36" x14ac:dyDescent="0.45">
      <c r="A23" s="5"/>
      <c r="E23" s="5"/>
      <c r="F23" s="5"/>
      <c r="G23" s="11"/>
      <c r="H23" s="11"/>
      <c r="I23" s="72"/>
      <c r="J23" s="11"/>
      <c r="K23" s="11"/>
      <c r="L23" s="11"/>
      <c r="M23" s="22"/>
      <c r="N23" s="11"/>
      <c r="P23" s="22"/>
      <c r="R23" s="11"/>
      <c r="S23" s="11"/>
      <c r="V23" s="11"/>
      <c r="W23" s="22"/>
      <c r="X23" s="22"/>
      <c r="Y23" s="22"/>
      <c r="Z23" s="22"/>
      <c r="AA23" s="22"/>
      <c r="AB23" s="22"/>
      <c r="AC23" s="22"/>
      <c r="AD23" s="22"/>
      <c r="AE23" s="22"/>
      <c r="AH23" s="22"/>
      <c r="AI23" s="22"/>
      <c r="AJ23" s="22"/>
    </row>
    <row r="24" spans="1:36" x14ac:dyDescent="0.45">
      <c r="A24" s="5"/>
      <c r="E24" s="5"/>
      <c r="F24" s="5"/>
      <c r="G24" s="11"/>
      <c r="H24" s="11"/>
      <c r="I24" s="72"/>
      <c r="J24" s="11"/>
      <c r="K24" s="11"/>
      <c r="L24" s="11"/>
      <c r="M24" s="22"/>
      <c r="N24" s="11"/>
      <c r="P24" s="22"/>
      <c r="R24" s="11"/>
      <c r="S24" s="11"/>
      <c r="V24" s="11"/>
      <c r="W24" s="22"/>
      <c r="X24" s="22"/>
      <c r="Y24" s="22"/>
      <c r="Z24" s="22"/>
      <c r="AA24" s="22"/>
      <c r="AB24" s="22"/>
      <c r="AC24" s="22"/>
      <c r="AD24" s="22"/>
      <c r="AE24" s="22"/>
      <c r="AH24" s="22"/>
      <c r="AI24" s="22"/>
      <c r="AJ24" s="22"/>
    </row>
    <row r="25" spans="1:36" x14ac:dyDescent="0.45">
      <c r="A25" s="5"/>
      <c r="E25" s="5"/>
      <c r="F25" s="5"/>
      <c r="G25" s="11"/>
      <c r="H25" s="11"/>
      <c r="I25" s="72"/>
      <c r="J25" s="11"/>
      <c r="K25" s="11"/>
      <c r="L25" s="11"/>
      <c r="M25" s="22"/>
      <c r="N25" s="11"/>
      <c r="P25" s="22"/>
      <c r="R25" s="11"/>
      <c r="S25" s="11"/>
      <c r="V25" s="11"/>
      <c r="W25" s="22"/>
      <c r="X25" s="22"/>
      <c r="Y25" s="22"/>
      <c r="Z25" s="22"/>
      <c r="AA25" s="22"/>
      <c r="AB25" s="22"/>
      <c r="AC25" s="22"/>
      <c r="AD25" s="22"/>
      <c r="AE25" s="22"/>
      <c r="AH25" s="22"/>
      <c r="AI25" s="22"/>
      <c r="AJ25" s="22"/>
    </row>
    <row r="26" spans="1:36" x14ac:dyDescent="0.45">
      <c r="A26" s="5"/>
      <c r="E26" s="5"/>
      <c r="F26" s="5"/>
      <c r="G26" s="11"/>
      <c r="H26" s="11"/>
      <c r="I26" s="72"/>
      <c r="J26" s="11"/>
      <c r="K26" s="11"/>
      <c r="L26" s="11"/>
      <c r="M26" s="22"/>
      <c r="N26" s="11"/>
      <c r="P26" s="22"/>
      <c r="R26" s="11"/>
      <c r="S26" s="11"/>
      <c r="V26" s="11"/>
      <c r="W26" s="22"/>
      <c r="X26" s="22"/>
      <c r="Y26" s="22"/>
      <c r="Z26" s="22"/>
      <c r="AA26" s="22"/>
      <c r="AB26" s="22"/>
      <c r="AC26" s="22"/>
      <c r="AD26" s="22"/>
      <c r="AE26" s="22"/>
      <c r="AH26" s="22"/>
      <c r="AI26" s="22"/>
      <c r="AJ26" s="22"/>
    </row>
    <row r="27" spans="1:36" x14ac:dyDescent="0.45">
      <c r="A27" s="5"/>
      <c r="E27" s="5"/>
      <c r="F27" s="5"/>
      <c r="G27" s="11"/>
      <c r="H27" s="11"/>
      <c r="I27" s="72"/>
      <c r="J27" s="11"/>
      <c r="K27" s="11"/>
      <c r="L27" s="11"/>
      <c r="M27" s="22"/>
      <c r="N27" s="11"/>
      <c r="P27" s="22"/>
      <c r="R27" s="11"/>
      <c r="S27" s="11"/>
      <c r="V27" s="11"/>
      <c r="W27" s="22"/>
      <c r="X27" s="22"/>
      <c r="Y27" s="22"/>
      <c r="Z27" s="22"/>
      <c r="AA27" s="22"/>
      <c r="AB27" s="22"/>
      <c r="AC27" s="22"/>
      <c r="AD27" s="22"/>
      <c r="AE27" s="22"/>
      <c r="AH27" s="22"/>
      <c r="AI27" s="22"/>
      <c r="AJ27" s="22"/>
    </row>
    <row r="28" spans="1:36" x14ac:dyDescent="0.45">
      <c r="A28" s="5"/>
      <c r="E28" s="5"/>
      <c r="F28" s="5"/>
      <c r="G28" s="11"/>
      <c r="H28" s="11"/>
      <c r="I28" s="72"/>
      <c r="J28" s="11"/>
      <c r="K28" s="11"/>
      <c r="L28" s="11"/>
      <c r="M28" s="22"/>
      <c r="N28" s="11"/>
      <c r="P28" s="22"/>
      <c r="R28" s="11"/>
      <c r="S28" s="11"/>
      <c r="V28" s="11"/>
      <c r="W28" s="22"/>
      <c r="X28" s="22"/>
      <c r="Y28" s="22"/>
      <c r="Z28" s="22"/>
      <c r="AA28" s="22"/>
      <c r="AB28" s="22"/>
      <c r="AC28" s="22"/>
      <c r="AD28" s="22"/>
      <c r="AE28" s="22"/>
      <c r="AH28" s="22"/>
      <c r="AI28" s="22"/>
      <c r="AJ28" s="22"/>
    </row>
    <row r="29" spans="1:36" x14ac:dyDescent="0.45">
      <c r="A29" s="5"/>
      <c r="E29" s="5"/>
      <c r="F29" s="5"/>
      <c r="G29" s="11"/>
      <c r="H29" s="11"/>
      <c r="I29" s="72"/>
      <c r="J29" s="11"/>
      <c r="K29" s="11"/>
      <c r="L29" s="11"/>
      <c r="M29" s="22"/>
      <c r="N29" s="11"/>
      <c r="P29" s="22"/>
      <c r="R29" s="11"/>
      <c r="S29" s="11"/>
      <c r="V29" s="11"/>
      <c r="W29" s="22"/>
      <c r="X29" s="22"/>
      <c r="Y29" s="22"/>
      <c r="Z29" s="22"/>
      <c r="AA29" s="22"/>
      <c r="AB29" s="22"/>
      <c r="AC29" s="22"/>
      <c r="AD29" s="22"/>
      <c r="AE29" s="22"/>
      <c r="AH29" s="22"/>
      <c r="AI29" s="22"/>
      <c r="AJ29" s="22"/>
    </row>
    <row r="30" spans="1:36" x14ac:dyDescent="0.45">
      <c r="A30" s="5"/>
      <c r="E30" s="5"/>
      <c r="F30" s="5"/>
      <c r="G30" s="11"/>
      <c r="H30" s="11"/>
      <c r="I30" s="72"/>
      <c r="J30" s="11"/>
      <c r="K30" s="11"/>
      <c r="L30" s="11"/>
      <c r="M30" s="22"/>
      <c r="N30" s="11"/>
      <c r="P30" s="22"/>
      <c r="R30" s="11"/>
      <c r="S30" s="11"/>
      <c r="V30" s="11"/>
      <c r="W30" s="22"/>
      <c r="X30" s="22"/>
      <c r="Y30" s="22"/>
      <c r="Z30" s="22"/>
      <c r="AA30" s="22"/>
      <c r="AB30" s="22"/>
      <c r="AC30" s="22"/>
      <c r="AD30" s="22"/>
      <c r="AE30" s="22"/>
      <c r="AH30" s="22"/>
      <c r="AI30" s="22"/>
      <c r="AJ30" s="22"/>
    </row>
    <row r="31" spans="1:36" x14ac:dyDescent="0.45">
      <c r="A31" s="5"/>
      <c r="E31" s="5"/>
      <c r="F31" s="5"/>
      <c r="G31" s="11"/>
      <c r="H31" s="11"/>
      <c r="I31" s="72"/>
      <c r="J31" s="11"/>
      <c r="K31" s="11"/>
      <c r="L31" s="11"/>
      <c r="M31" s="22"/>
      <c r="N31" s="11"/>
      <c r="P31" s="22"/>
      <c r="R31" s="11"/>
      <c r="S31" s="11"/>
      <c r="V31" s="11"/>
      <c r="W31" s="22"/>
      <c r="X31" s="22"/>
      <c r="Y31" s="22"/>
      <c r="Z31" s="22"/>
      <c r="AA31" s="22"/>
      <c r="AB31" s="22"/>
      <c r="AC31" s="22"/>
      <c r="AD31" s="22"/>
      <c r="AE31" s="22"/>
      <c r="AH31" s="22"/>
      <c r="AI31" s="22"/>
      <c r="AJ31" s="22"/>
    </row>
    <row r="32" spans="1:36" x14ac:dyDescent="0.45">
      <c r="A32" s="5"/>
      <c r="E32" s="5"/>
      <c r="F32" s="5"/>
      <c r="G32" s="11"/>
      <c r="H32" s="11"/>
      <c r="I32" s="72"/>
      <c r="J32" s="11"/>
      <c r="K32" s="11"/>
      <c r="L32" s="11"/>
      <c r="M32" s="22"/>
      <c r="N32" s="11"/>
      <c r="P32" s="22"/>
      <c r="R32" s="11"/>
      <c r="S32" s="11"/>
      <c r="V32" s="11"/>
      <c r="W32" s="22"/>
      <c r="X32" s="22"/>
      <c r="Y32" s="22"/>
      <c r="Z32" s="22"/>
      <c r="AA32" s="22"/>
      <c r="AB32" s="22"/>
      <c r="AC32" s="22"/>
      <c r="AD32" s="22"/>
      <c r="AE32" s="22"/>
      <c r="AH32" s="22"/>
      <c r="AI32" s="22"/>
      <c r="AJ32" s="22"/>
    </row>
    <row r="33" spans="1:36" x14ac:dyDescent="0.45">
      <c r="A33" s="5"/>
      <c r="E33" s="5"/>
      <c r="F33" s="5"/>
      <c r="G33" s="11"/>
      <c r="H33" s="11"/>
      <c r="I33" s="72"/>
      <c r="J33" s="11"/>
      <c r="K33" s="11"/>
      <c r="L33" s="11"/>
      <c r="M33" s="22"/>
      <c r="N33" s="11"/>
      <c r="P33" s="22"/>
      <c r="R33" s="11"/>
      <c r="S33" s="11"/>
      <c r="V33" s="11"/>
      <c r="W33" s="22"/>
      <c r="X33" s="22"/>
      <c r="Y33" s="22"/>
      <c r="Z33" s="22"/>
      <c r="AA33" s="22"/>
      <c r="AB33" s="22"/>
      <c r="AC33" s="22"/>
      <c r="AD33" s="22"/>
      <c r="AE33" s="22"/>
      <c r="AH33" s="22"/>
      <c r="AI33" s="22"/>
      <c r="AJ33" s="22"/>
    </row>
    <row r="34" spans="1:36" x14ac:dyDescent="0.45">
      <c r="A34" s="5"/>
      <c r="E34" s="5"/>
      <c r="F34" s="5"/>
      <c r="G34" s="11"/>
      <c r="H34" s="11"/>
      <c r="I34" s="72"/>
      <c r="J34" s="11"/>
      <c r="K34" s="11"/>
      <c r="L34" s="11"/>
      <c r="M34" s="22"/>
      <c r="N34" s="11"/>
      <c r="P34" s="22"/>
      <c r="R34" s="11"/>
      <c r="S34" s="11"/>
      <c r="V34" s="11"/>
      <c r="W34" s="22"/>
      <c r="X34" s="22"/>
      <c r="Y34" s="22"/>
      <c r="Z34" s="22"/>
      <c r="AA34" s="22"/>
      <c r="AB34" s="22"/>
      <c r="AC34" s="22"/>
      <c r="AD34" s="22"/>
      <c r="AE34" s="22"/>
      <c r="AH34" s="22"/>
      <c r="AI34" s="22"/>
      <c r="AJ34" s="22"/>
    </row>
    <row r="35" spans="1:36" x14ac:dyDescent="0.45">
      <c r="A35" s="5"/>
      <c r="E35" s="5"/>
      <c r="F35" s="5"/>
      <c r="G35" s="11"/>
      <c r="H35" s="11"/>
      <c r="I35" s="72"/>
      <c r="J35" s="11"/>
      <c r="K35" s="11"/>
      <c r="L35" s="11"/>
      <c r="M35" s="22"/>
      <c r="N35" s="11"/>
      <c r="P35" s="22"/>
      <c r="R35" s="11"/>
      <c r="S35" s="11"/>
      <c r="V35" s="11"/>
      <c r="W35" s="22"/>
      <c r="X35" s="22"/>
      <c r="Y35" s="22"/>
      <c r="Z35" s="22"/>
      <c r="AA35" s="22"/>
      <c r="AB35" s="22"/>
      <c r="AC35" s="22"/>
      <c r="AD35" s="22"/>
      <c r="AE35" s="22"/>
      <c r="AH35" s="22"/>
      <c r="AI35" s="22"/>
      <c r="AJ35" s="22"/>
    </row>
    <row r="36" spans="1:36" x14ac:dyDescent="0.45">
      <c r="A36" s="5"/>
      <c r="E36" s="5"/>
      <c r="F36" s="5"/>
      <c r="G36" s="11"/>
      <c r="H36" s="11"/>
      <c r="I36" s="72"/>
      <c r="J36" s="11"/>
      <c r="K36" s="11"/>
      <c r="L36" s="11"/>
      <c r="M36" s="22"/>
      <c r="N36" s="11"/>
      <c r="P36" s="22"/>
      <c r="R36" s="11"/>
      <c r="S36" s="11"/>
      <c r="V36" s="11"/>
      <c r="W36" s="22"/>
      <c r="X36" s="22"/>
      <c r="Y36" s="22"/>
      <c r="Z36" s="22"/>
      <c r="AA36" s="22"/>
      <c r="AB36" s="22"/>
      <c r="AC36" s="22"/>
      <c r="AD36" s="22"/>
      <c r="AE36" s="22"/>
      <c r="AH36" s="22"/>
      <c r="AI36" s="22"/>
      <c r="AJ36" s="22"/>
    </row>
    <row r="37" spans="1:36" x14ac:dyDescent="0.45">
      <c r="A37" s="5"/>
      <c r="E37" s="5"/>
      <c r="F37" s="5"/>
      <c r="G37" s="11"/>
      <c r="H37" s="11"/>
      <c r="I37" s="72"/>
      <c r="J37" s="11"/>
      <c r="K37" s="11"/>
      <c r="L37" s="11"/>
      <c r="M37" s="22"/>
      <c r="N37" s="11"/>
      <c r="P37" s="22"/>
      <c r="R37" s="11"/>
      <c r="S37" s="11"/>
      <c r="V37" s="11"/>
      <c r="W37" s="22"/>
      <c r="X37" s="22"/>
      <c r="Y37" s="22"/>
      <c r="Z37" s="22"/>
      <c r="AA37" s="22"/>
      <c r="AB37" s="22"/>
      <c r="AC37" s="22"/>
      <c r="AD37" s="22"/>
      <c r="AE37" s="22"/>
      <c r="AH37" s="22"/>
      <c r="AI37" s="22"/>
      <c r="AJ37" s="22"/>
    </row>
    <row r="38" spans="1:36" x14ac:dyDescent="0.45">
      <c r="A38" s="5"/>
      <c r="E38" s="5"/>
      <c r="F38" s="5"/>
      <c r="G38" s="11"/>
      <c r="H38" s="11"/>
      <c r="I38" s="72"/>
      <c r="J38" s="11"/>
      <c r="K38" s="11"/>
      <c r="L38" s="11"/>
      <c r="M38" s="22"/>
      <c r="N38" s="11"/>
      <c r="P38" s="22"/>
      <c r="R38" s="11"/>
      <c r="S38" s="11"/>
      <c r="V38" s="11"/>
      <c r="W38" s="22"/>
      <c r="X38" s="22"/>
      <c r="Y38" s="22"/>
      <c r="Z38" s="22"/>
      <c r="AA38" s="22"/>
      <c r="AB38" s="22"/>
      <c r="AC38" s="22"/>
      <c r="AD38" s="22"/>
      <c r="AE38" s="22"/>
      <c r="AH38" s="22"/>
      <c r="AI38" s="22"/>
      <c r="AJ38" s="22"/>
    </row>
    <row r="39" spans="1:36" x14ac:dyDescent="0.45">
      <c r="A39" s="5"/>
      <c r="E39" s="5"/>
      <c r="F39" s="5"/>
      <c r="G39" s="11"/>
      <c r="H39" s="11"/>
      <c r="I39" s="72"/>
      <c r="J39" s="11"/>
      <c r="K39" s="11"/>
      <c r="M39" s="22"/>
      <c r="N39" s="11"/>
      <c r="P39" s="22"/>
      <c r="S39" s="11"/>
      <c r="V39" s="11"/>
      <c r="W39" s="22"/>
      <c r="X39" s="22"/>
      <c r="Y39" s="22"/>
      <c r="Z39" s="22"/>
      <c r="AA39" s="22"/>
      <c r="AB39" s="22"/>
      <c r="AC39" s="22"/>
      <c r="AD39" s="22"/>
      <c r="AE39" s="22"/>
      <c r="AH39" s="22"/>
      <c r="AI39" s="22"/>
      <c r="AJ39" s="22"/>
    </row>
    <row r="40" spans="1:36" x14ac:dyDescent="0.45">
      <c r="A40" s="5"/>
      <c r="E40" s="5"/>
      <c r="F40" s="5"/>
      <c r="G40" s="11"/>
      <c r="H40" s="11"/>
      <c r="I40" s="72"/>
      <c r="J40" s="11"/>
      <c r="K40" s="11"/>
      <c r="M40" s="22"/>
      <c r="N40" s="11"/>
      <c r="P40" s="22"/>
      <c r="S40" s="11"/>
      <c r="V40" s="11"/>
      <c r="W40" s="22"/>
      <c r="X40" s="22"/>
      <c r="Y40" s="22"/>
      <c r="Z40" s="22"/>
      <c r="AA40" s="22"/>
      <c r="AB40" s="22"/>
      <c r="AC40" s="22"/>
      <c r="AD40" s="22"/>
      <c r="AE40" s="22"/>
      <c r="AH40" s="22"/>
      <c r="AI40" s="22"/>
      <c r="AJ40" s="22"/>
    </row>
    <row r="41" spans="1:36" x14ac:dyDescent="0.45">
      <c r="A41" s="5"/>
      <c r="E41" s="5"/>
      <c r="F41" s="5"/>
      <c r="G41" s="11"/>
      <c r="H41" s="11"/>
      <c r="I41" s="72"/>
      <c r="J41" s="11"/>
      <c r="K41" s="11"/>
      <c r="M41" s="22"/>
      <c r="N41" s="11"/>
      <c r="P41" s="22"/>
      <c r="S41" s="11"/>
      <c r="V41" s="11"/>
      <c r="W41" s="22"/>
      <c r="X41" s="22"/>
      <c r="Y41" s="22"/>
      <c r="Z41" s="22"/>
      <c r="AA41" s="22"/>
      <c r="AB41" s="22"/>
      <c r="AC41" s="22"/>
      <c r="AD41" s="22"/>
      <c r="AE41" s="22"/>
      <c r="AH41" s="22"/>
      <c r="AI41" s="22"/>
      <c r="AJ41" s="22"/>
    </row>
    <row r="42" spans="1:36" x14ac:dyDescent="0.45">
      <c r="A42" s="5"/>
      <c r="E42" s="5"/>
      <c r="F42" s="5"/>
      <c r="G42" s="11"/>
      <c r="H42" s="11"/>
      <c r="I42" s="72"/>
      <c r="J42" s="11"/>
      <c r="K42" s="11"/>
      <c r="M42" s="22"/>
      <c r="N42" s="11"/>
      <c r="P42" s="22"/>
      <c r="S42" s="11"/>
      <c r="V42" s="11"/>
      <c r="W42" s="22"/>
      <c r="X42" s="22"/>
      <c r="Y42" s="22"/>
      <c r="Z42" s="22"/>
      <c r="AA42" s="22"/>
      <c r="AB42" s="22"/>
      <c r="AC42" s="22"/>
      <c r="AD42" s="22"/>
      <c r="AE42" s="22"/>
      <c r="AH42" s="22"/>
      <c r="AI42" s="22"/>
      <c r="AJ42" s="22"/>
    </row>
    <row r="43" spans="1:36" x14ac:dyDescent="0.45">
      <c r="A43" s="5"/>
      <c r="E43" s="5"/>
      <c r="F43" s="5"/>
      <c r="G43" s="11"/>
      <c r="H43" s="11"/>
      <c r="I43" s="72"/>
      <c r="J43" s="11"/>
      <c r="K43" s="11"/>
      <c r="M43" s="22"/>
      <c r="N43" s="11"/>
      <c r="P43" s="22"/>
      <c r="S43" s="11"/>
      <c r="V43" s="11"/>
      <c r="W43" s="22"/>
      <c r="X43" s="22"/>
      <c r="Y43" s="22"/>
      <c r="Z43" s="22"/>
      <c r="AA43" s="22"/>
      <c r="AB43" s="22"/>
      <c r="AC43" s="22"/>
      <c r="AD43" s="22"/>
      <c r="AE43" s="22"/>
      <c r="AH43" s="22"/>
      <c r="AI43" s="22"/>
      <c r="AJ43" s="22"/>
    </row>
    <row r="44" spans="1:36" x14ac:dyDescent="0.45">
      <c r="A44" s="5"/>
      <c r="E44" s="5"/>
      <c r="F44" s="5"/>
      <c r="G44" s="11"/>
      <c r="H44" s="11"/>
      <c r="I44" s="72"/>
      <c r="J44" s="11"/>
      <c r="K44" s="11"/>
      <c r="M44" s="22"/>
      <c r="N44" s="11"/>
      <c r="P44" s="22"/>
      <c r="S44" s="11"/>
      <c r="V44" s="11"/>
      <c r="W44" s="22"/>
      <c r="X44" s="22"/>
      <c r="Y44" s="22"/>
      <c r="Z44" s="22"/>
      <c r="AA44" s="22"/>
      <c r="AB44" s="22"/>
      <c r="AC44" s="22"/>
      <c r="AD44" s="22"/>
      <c r="AE44" s="22"/>
      <c r="AH44" s="22"/>
      <c r="AI44" s="22"/>
      <c r="AJ44" s="22"/>
    </row>
    <row r="45" spans="1:36" x14ac:dyDescent="0.45">
      <c r="A45" s="5"/>
      <c r="E45" s="5"/>
      <c r="F45" s="5"/>
      <c r="G45" s="11"/>
      <c r="H45" s="11"/>
      <c r="I45" s="72"/>
      <c r="J45" s="11"/>
      <c r="K45" s="11"/>
      <c r="M45" s="22"/>
      <c r="N45" s="11"/>
      <c r="P45" s="22"/>
      <c r="S45" s="11"/>
      <c r="V45" s="11"/>
      <c r="W45" s="22"/>
      <c r="X45" s="22"/>
      <c r="Y45" s="22"/>
      <c r="Z45" s="22"/>
      <c r="AA45" s="22"/>
      <c r="AB45" s="22"/>
      <c r="AC45" s="22"/>
      <c r="AD45" s="22"/>
      <c r="AE45" s="22"/>
      <c r="AH45" s="22"/>
      <c r="AI45" s="22"/>
      <c r="AJ45" s="22"/>
    </row>
    <row r="46" spans="1:36" x14ac:dyDescent="0.45">
      <c r="A46" s="5"/>
      <c r="E46" s="5"/>
      <c r="F46" s="5"/>
      <c r="G46" s="11"/>
      <c r="H46" s="11"/>
      <c r="I46" s="72"/>
      <c r="J46" s="11"/>
      <c r="K46" s="11"/>
      <c r="M46" s="22"/>
      <c r="N46" s="11"/>
      <c r="O46" s="3"/>
      <c r="P46" s="22"/>
      <c r="S46" s="11"/>
      <c r="V46" s="11"/>
      <c r="W46" s="22"/>
      <c r="X46" s="22"/>
      <c r="Y46" s="22"/>
      <c r="Z46" s="22"/>
      <c r="AA46" s="22"/>
      <c r="AB46" s="22"/>
      <c r="AC46" s="22"/>
      <c r="AD46" s="22"/>
      <c r="AE46" s="22"/>
      <c r="AH46" s="22"/>
      <c r="AI46" s="22"/>
      <c r="AJ46" s="22"/>
    </row>
    <row r="47" spans="1:36" x14ac:dyDescent="0.45">
      <c r="A47" s="5"/>
      <c r="E47" s="5"/>
      <c r="F47" s="5"/>
      <c r="G47" s="11"/>
      <c r="H47" s="11"/>
      <c r="I47" s="72"/>
      <c r="J47" s="11"/>
      <c r="K47" s="11"/>
      <c r="M47" s="22"/>
      <c r="N47" s="11"/>
      <c r="O47" s="3"/>
      <c r="P47" s="22"/>
      <c r="S47" s="11"/>
      <c r="V47" s="11"/>
      <c r="W47" s="22"/>
      <c r="X47" s="22"/>
      <c r="Y47" s="22"/>
      <c r="Z47" s="22"/>
      <c r="AA47" s="22"/>
      <c r="AB47" s="22"/>
      <c r="AC47" s="22"/>
      <c r="AD47" s="22"/>
      <c r="AE47" s="22"/>
      <c r="AH47" s="22"/>
      <c r="AI47" s="22"/>
      <c r="AJ47" s="22"/>
    </row>
    <row r="48" spans="1:36" x14ac:dyDescent="0.45">
      <c r="A48" s="5"/>
      <c r="E48" s="5"/>
      <c r="F48" s="5"/>
      <c r="G48" s="11"/>
      <c r="H48" s="11"/>
      <c r="I48" s="72"/>
      <c r="J48" s="11"/>
      <c r="K48" s="11"/>
      <c r="M48" s="22"/>
      <c r="N48" s="11"/>
      <c r="O48" s="3"/>
      <c r="P48" s="22"/>
      <c r="S48" s="11"/>
      <c r="V48" s="11"/>
      <c r="W48" s="22"/>
      <c r="X48" s="22"/>
      <c r="Y48" s="22"/>
      <c r="Z48" s="22"/>
      <c r="AA48" s="22"/>
      <c r="AB48" s="22"/>
      <c r="AC48" s="22"/>
      <c r="AD48" s="22"/>
      <c r="AE48" s="22"/>
      <c r="AH48" s="22"/>
      <c r="AI48" s="22"/>
      <c r="AJ48" s="22"/>
    </row>
    <row r="49" spans="1:36" x14ac:dyDescent="0.45">
      <c r="A49" s="5"/>
      <c r="E49" s="5"/>
      <c r="F49" s="5"/>
      <c r="G49" s="11"/>
      <c r="H49" s="11"/>
      <c r="I49" s="72"/>
      <c r="J49" s="11"/>
      <c r="K49" s="11"/>
      <c r="M49" s="22"/>
      <c r="N49" s="11"/>
      <c r="O49" s="3"/>
      <c r="P49" s="22"/>
      <c r="S49" s="11"/>
      <c r="V49" s="11"/>
      <c r="W49" s="22"/>
      <c r="X49" s="22"/>
      <c r="Y49" s="22"/>
      <c r="Z49" s="22"/>
      <c r="AA49" s="22"/>
      <c r="AB49" s="22"/>
      <c r="AC49" s="22"/>
      <c r="AD49" s="22"/>
      <c r="AE49" s="22"/>
      <c r="AH49" s="22"/>
      <c r="AI49" s="22"/>
      <c r="AJ49" s="22"/>
    </row>
    <row r="50" spans="1:36" x14ac:dyDescent="0.45">
      <c r="A50" s="5"/>
      <c r="E50" s="5"/>
      <c r="F50" s="5"/>
      <c r="G50" s="11"/>
      <c r="H50" s="11"/>
      <c r="I50" s="72"/>
      <c r="J50" s="11"/>
      <c r="K50" s="11"/>
      <c r="M50" s="22"/>
      <c r="N50" s="11"/>
      <c r="O50" s="3"/>
      <c r="P50" s="22"/>
      <c r="S50" s="11"/>
      <c r="V50" s="11"/>
      <c r="W50" s="22"/>
      <c r="X50" s="22"/>
      <c r="Y50" s="22"/>
      <c r="Z50" s="22"/>
      <c r="AA50" s="22"/>
      <c r="AB50" s="22"/>
      <c r="AC50" s="22"/>
      <c r="AD50" s="22"/>
      <c r="AE50" s="22"/>
      <c r="AH50" s="22"/>
      <c r="AI50" s="22"/>
      <c r="AJ50" s="22"/>
    </row>
  </sheetData>
  <autoFilter ref="A13:AO36" xr:uid="{00000000-0009-0000-0000-00000F000000}"/>
  <mergeCells count="25">
    <mergeCell ref="H10:H11"/>
    <mergeCell ref="I10:I11"/>
    <mergeCell ref="AE10:AG10"/>
    <mergeCell ref="J10:J11"/>
    <mergeCell ref="L10:M10"/>
    <mergeCell ref="N10:N11"/>
    <mergeCell ref="Q10:R10"/>
    <mergeCell ref="AC10:AD10"/>
    <mergeCell ref="AB10:AB11"/>
    <mergeCell ref="AH10:AH11"/>
    <mergeCell ref="AI10:AI11"/>
    <mergeCell ref="G12:H12"/>
    <mergeCell ref="AC9:AG9"/>
    <mergeCell ref="A10:A11"/>
    <mergeCell ref="B10:B11"/>
    <mergeCell ref="C10:C11"/>
    <mergeCell ref="D10:D11"/>
    <mergeCell ref="E10:E11"/>
    <mergeCell ref="K10:K11"/>
    <mergeCell ref="K9:N9"/>
    <mergeCell ref="O9:P9"/>
    <mergeCell ref="Q9:T9"/>
    <mergeCell ref="W9:AA9"/>
    <mergeCell ref="F10:F11"/>
    <mergeCell ref="G10:G11"/>
  </mergeCells>
  <pageMargins left="0.7" right="0.7" top="0.75" bottom="0.75" header="0.3" footer="0.3"/>
  <pageSetup orientation="portrait" r:id="rId1"/>
  <drawing r:id="rId2"/>
  <legacyDrawing r:id="rId3"/>
  <controls>
    <mc:AlternateContent xmlns:mc="http://schemas.openxmlformats.org/markup-compatibility/2006">
      <mc:Choice Requires="x14">
        <control shapeId="22530" r:id="rId4" name="CommandButton1">
          <controlPr defaultSize="0" autoLine="0" r:id="rId5">
            <anchor moveWithCells="1">
              <from>
                <xdr:col>1</xdr:col>
                <xdr:colOff>95250</xdr:colOff>
                <xdr:row>5</xdr:row>
                <xdr:rowOff>9525</xdr:rowOff>
              </from>
              <to>
                <xdr:col>1</xdr:col>
                <xdr:colOff>1343025</xdr:colOff>
                <xdr:row>6</xdr:row>
                <xdr:rowOff>228600</xdr:rowOff>
              </to>
            </anchor>
          </controlPr>
        </control>
      </mc:Choice>
      <mc:Fallback>
        <control shapeId="22530" r:id="rId4" name="Command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hang11"/>
  <dimension ref="A1:AO50"/>
  <sheetViews>
    <sheetView showGridLines="0" topLeftCell="G1" workbookViewId="0">
      <selection activeCell="R28" sqref="R28"/>
    </sheetView>
  </sheetViews>
  <sheetFormatPr defaultColWidth="9.1328125" defaultRowHeight="14.25" x14ac:dyDescent="0.45"/>
  <cols>
    <col min="1" max="1" width="7.59765625" style="3" customWidth="1"/>
    <col min="2" max="2" width="24.1328125" style="3" customWidth="1"/>
    <col min="3" max="3" width="14.59765625" style="5" customWidth="1"/>
    <col min="4" max="4" width="14.86328125" style="5" customWidth="1"/>
    <col min="5" max="5" width="10.265625" style="3" customWidth="1"/>
    <col min="6" max="6" width="8.1328125" style="3" customWidth="1"/>
    <col min="7" max="7" width="14" style="3" customWidth="1"/>
    <col min="8" max="8" width="13.73046875" style="3" customWidth="1"/>
    <col min="9" max="9" width="8.265625" style="44" customWidth="1"/>
    <col min="10" max="10" width="15.1328125" style="3" customWidth="1"/>
    <col min="11" max="11" width="13.73046875" style="3" customWidth="1"/>
    <col min="12" max="12" width="9" style="3" customWidth="1"/>
    <col min="13" max="13" width="14.265625" style="3" customWidth="1"/>
    <col min="14" max="14" width="12.73046875" style="3" customWidth="1"/>
    <col min="15" max="15" width="8.86328125" style="5" customWidth="1"/>
    <col min="16" max="16" width="10.265625" style="3" customWidth="1"/>
    <col min="17" max="17" width="11" style="3" customWidth="1"/>
    <col min="18" max="18" width="12.86328125" style="3" customWidth="1"/>
    <col min="19" max="19" width="13.59765625" style="3" hidden="1" customWidth="1"/>
    <col min="20" max="21" width="12.1328125" style="3" customWidth="1"/>
    <col min="22" max="22" width="16.1328125" style="3" customWidth="1"/>
    <col min="23" max="26" width="13.265625" style="3" customWidth="1"/>
    <col min="27" max="27" width="12.265625" style="3" customWidth="1"/>
    <col min="28" max="28" width="14.73046875" style="3" customWidth="1"/>
    <col min="29" max="29" width="14.265625" style="3" customWidth="1"/>
    <col min="30" max="30" width="12" style="3" customWidth="1"/>
    <col min="31" max="31" width="13.86328125" style="3" customWidth="1"/>
    <col min="32" max="33" width="9.1328125" style="3" hidden="1" customWidth="1"/>
    <col min="34" max="34" width="14" style="3" bestFit="1" customWidth="1"/>
    <col min="35" max="35" width="13" style="3" customWidth="1"/>
    <col min="36" max="37" width="13.73046875" style="3" customWidth="1"/>
    <col min="38" max="41" width="8.1328125" style="3" hidden="1" customWidth="1"/>
    <col min="42" max="16384" width="9.1328125" style="3"/>
  </cols>
  <sheetData>
    <row r="1" spans="1:41" ht="18" customHeight="1" thickBot="1" x14ac:dyDescent="0.5">
      <c r="A1" s="3" t="s">
        <v>376</v>
      </c>
      <c r="B1" s="59" t="s">
        <v>72</v>
      </c>
      <c r="C1" s="6">
        <v>11</v>
      </c>
      <c r="E1" s="376" t="s">
        <v>39</v>
      </c>
      <c r="F1" s="314"/>
      <c r="G1" s="377"/>
      <c r="H1" s="314"/>
      <c r="I1" s="378"/>
      <c r="J1" s="314"/>
      <c r="K1" s="314"/>
      <c r="L1" s="314"/>
      <c r="M1" s="314"/>
      <c r="N1" s="314"/>
      <c r="O1" s="377"/>
      <c r="P1" s="314"/>
      <c r="Q1" s="314"/>
      <c r="R1" s="314"/>
      <c r="S1" s="314"/>
      <c r="T1" s="314"/>
      <c r="U1" s="314"/>
      <c r="V1" s="314"/>
      <c r="W1" s="314"/>
      <c r="X1" s="314"/>
      <c r="Y1" s="314"/>
      <c r="Z1" s="314"/>
      <c r="AA1" s="314"/>
      <c r="AB1" s="314"/>
      <c r="AC1" s="314"/>
      <c r="AD1" s="314"/>
      <c r="AE1" s="314"/>
      <c r="AF1" s="314"/>
      <c r="AG1" s="314"/>
      <c r="AH1" s="314"/>
      <c r="AI1" s="314"/>
      <c r="AJ1" s="314"/>
      <c r="AK1" s="314"/>
      <c r="AL1" s="86"/>
      <c r="AM1" s="86"/>
      <c r="AN1" s="86"/>
      <c r="AO1" s="86"/>
    </row>
    <row r="2" spans="1:41" s="150" customFormat="1" ht="14.25" customHeight="1" thickTop="1" x14ac:dyDescent="0.45">
      <c r="C2" s="70"/>
      <c r="D2" s="70"/>
      <c r="E2" s="379">
        <f t="array" aca="1" ref="E2" ca="1">IFERROR(INDEX(INDIRECT($E$8),MATCH(0,COUNTIF(E$1:$E1,INDIRECT($E$8)&amp;""),0)),"")</f>
        <v>0</v>
      </c>
      <c r="F2" s="380">
        <f t="shared" ref="F2:U6" ca="1" si="0">SUMIFS(F$14:F$1400,$E$14:$E$1400,$E2)</f>
        <v>0</v>
      </c>
      <c r="G2" s="380">
        <f t="shared" ca="1" si="0"/>
        <v>0</v>
      </c>
      <c r="H2" s="380">
        <f t="shared" ca="1" si="0"/>
        <v>0</v>
      </c>
      <c r="I2" s="380"/>
      <c r="J2" s="380">
        <f t="shared" ca="1" si="0"/>
        <v>0</v>
      </c>
      <c r="K2" s="380">
        <f t="shared" ca="1" si="0"/>
        <v>0</v>
      </c>
      <c r="L2" s="380">
        <f t="shared" ca="1" si="0"/>
        <v>0</v>
      </c>
      <c r="M2" s="380">
        <f t="shared" ca="1" si="0"/>
        <v>0</v>
      </c>
      <c r="N2" s="380">
        <f t="shared" ca="1" si="0"/>
        <v>0</v>
      </c>
      <c r="O2" s="381">
        <f t="shared" ca="1" si="0"/>
        <v>0</v>
      </c>
      <c r="P2" s="380">
        <f t="shared" ca="1" si="0"/>
        <v>0</v>
      </c>
      <c r="Q2" s="380">
        <f t="shared" ca="1" si="0"/>
        <v>0</v>
      </c>
      <c r="R2" s="380">
        <f t="shared" ca="1" si="0"/>
        <v>0</v>
      </c>
      <c r="S2" s="380">
        <f t="shared" ca="1" si="0"/>
        <v>0</v>
      </c>
      <c r="T2" s="380">
        <f t="shared" ca="1" si="0"/>
        <v>0</v>
      </c>
      <c r="U2" s="380">
        <f t="shared" ca="1" si="0"/>
        <v>0</v>
      </c>
      <c r="V2" s="380">
        <f t="shared" ref="V2:AJ6" ca="1" si="1">SUMIFS(V$14:V$1400,$E$14:$E$1400,$E2)</f>
        <v>0</v>
      </c>
      <c r="W2" s="380">
        <f t="shared" ca="1" si="1"/>
        <v>0</v>
      </c>
      <c r="X2" s="380">
        <f ca="1">SUMIFS(X$14:X$1400,$E$14:$E$1400,$E2)</f>
        <v>0</v>
      </c>
      <c r="Y2" s="380"/>
      <c r="Z2" s="380">
        <f t="shared" ca="1" si="1"/>
        <v>0</v>
      </c>
      <c r="AA2" s="380">
        <f t="shared" ca="1" si="1"/>
        <v>0</v>
      </c>
      <c r="AB2" s="380">
        <f t="shared" ca="1" si="1"/>
        <v>0</v>
      </c>
      <c r="AC2" s="380">
        <f t="shared" ca="1" si="1"/>
        <v>0</v>
      </c>
      <c r="AD2" s="380">
        <f t="shared" ca="1" si="1"/>
        <v>0</v>
      </c>
      <c r="AE2" s="380">
        <f t="shared" ca="1" si="1"/>
        <v>0</v>
      </c>
      <c r="AF2" s="382">
        <f t="shared" ca="1" si="1"/>
        <v>0</v>
      </c>
      <c r="AG2" s="382">
        <f t="shared" ca="1" si="1"/>
        <v>0</v>
      </c>
      <c r="AH2" s="380">
        <f t="shared" ca="1" si="1"/>
        <v>0</v>
      </c>
      <c r="AI2" s="380">
        <f t="shared" ca="1" si="1"/>
        <v>0</v>
      </c>
      <c r="AJ2" s="380">
        <f t="shared" ca="1" si="1"/>
        <v>0</v>
      </c>
      <c r="AK2" s="383"/>
      <c r="AL2" s="86"/>
      <c r="AM2" s="86"/>
      <c r="AN2" s="86"/>
      <c r="AO2" s="86"/>
    </row>
    <row r="3" spans="1:41" s="150" customFormat="1" ht="14.25" customHeight="1" x14ac:dyDescent="0.45">
      <c r="C3" s="70"/>
      <c r="D3" s="70"/>
      <c r="E3" s="379">
        <f t="array" aca="1" ref="E3" ca="1">IFERROR(INDEX(INDIRECT($E$8),MATCH(0,COUNTIF(E$1:$E2,INDIRECT($E$8)&amp;""),0)),"")</f>
        <v>0</v>
      </c>
      <c r="F3" s="384">
        <f t="shared" ca="1" si="0"/>
        <v>0</v>
      </c>
      <c r="G3" s="384">
        <f t="shared" ca="1" si="0"/>
        <v>0</v>
      </c>
      <c r="H3" s="384">
        <f ca="1">SUMIFS(H$14:H$1400,$E$14:$E$1400,$E3)</f>
        <v>0</v>
      </c>
      <c r="I3" s="384"/>
      <c r="J3" s="384">
        <f t="shared" ca="1" si="0"/>
        <v>0</v>
      </c>
      <c r="K3" s="384">
        <f t="shared" ca="1" si="0"/>
        <v>0</v>
      </c>
      <c r="L3" s="384">
        <f t="shared" ca="1" si="0"/>
        <v>0</v>
      </c>
      <c r="M3" s="384">
        <f t="shared" ca="1" si="0"/>
        <v>0</v>
      </c>
      <c r="N3" s="384">
        <f t="shared" ca="1" si="0"/>
        <v>0</v>
      </c>
      <c r="O3" s="385">
        <f t="shared" ca="1" si="0"/>
        <v>0</v>
      </c>
      <c r="P3" s="384">
        <f t="shared" ca="1" si="0"/>
        <v>0</v>
      </c>
      <c r="Q3" s="384">
        <f t="shared" ca="1" si="0"/>
        <v>0</v>
      </c>
      <c r="R3" s="384">
        <f t="shared" ca="1" si="0"/>
        <v>0</v>
      </c>
      <c r="S3" s="384">
        <f t="shared" ca="1" si="0"/>
        <v>0</v>
      </c>
      <c r="T3" s="384">
        <f t="shared" ca="1" si="0"/>
        <v>0</v>
      </c>
      <c r="U3" s="384">
        <f t="shared" ca="1" si="0"/>
        <v>0</v>
      </c>
      <c r="V3" s="384">
        <f t="shared" ca="1" si="1"/>
        <v>0</v>
      </c>
      <c r="W3" s="384">
        <f t="shared" ca="1" si="1"/>
        <v>0</v>
      </c>
      <c r="X3" s="384">
        <f ca="1">SUMIFS(X$14:X$1400,$E$14:$E$1400,$E3)</f>
        <v>0</v>
      </c>
      <c r="Y3" s="384"/>
      <c r="Z3" s="384">
        <f t="shared" ca="1" si="1"/>
        <v>0</v>
      </c>
      <c r="AA3" s="384">
        <f t="shared" ca="1" si="1"/>
        <v>0</v>
      </c>
      <c r="AB3" s="384">
        <f t="shared" ca="1" si="1"/>
        <v>0</v>
      </c>
      <c r="AC3" s="384">
        <f t="shared" ca="1" si="1"/>
        <v>0</v>
      </c>
      <c r="AD3" s="384">
        <f t="shared" ca="1" si="1"/>
        <v>0</v>
      </c>
      <c r="AE3" s="384">
        <f t="shared" ca="1" si="1"/>
        <v>0</v>
      </c>
      <c r="AF3" s="386">
        <f t="shared" ca="1" si="1"/>
        <v>0</v>
      </c>
      <c r="AG3" s="386">
        <f t="shared" ca="1" si="1"/>
        <v>0</v>
      </c>
      <c r="AH3" s="384">
        <f t="shared" ca="1" si="1"/>
        <v>0</v>
      </c>
      <c r="AI3" s="384">
        <f t="shared" ca="1" si="1"/>
        <v>0</v>
      </c>
      <c r="AJ3" s="384">
        <f t="shared" ca="1" si="1"/>
        <v>0</v>
      </c>
      <c r="AK3" s="387"/>
      <c r="AL3" s="86"/>
      <c r="AM3" s="86"/>
      <c r="AN3" s="86"/>
      <c r="AO3" s="86"/>
    </row>
    <row r="4" spans="1:41" ht="14.25" customHeight="1" x14ac:dyDescent="0.45">
      <c r="E4" s="379">
        <f t="array" aca="1" ref="E4" ca="1">IFERROR(INDEX(INDIRECT($E$8),MATCH(0,COUNTIF(E$1:$E3,INDIRECT($E$8)&amp;""),0)),"")</f>
        <v>0</v>
      </c>
      <c r="F4" s="384">
        <f t="shared" ca="1" si="0"/>
        <v>0</v>
      </c>
      <c r="G4" s="384">
        <f t="shared" ca="1" si="0"/>
        <v>0</v>
      </c>
      <c r="H4" s="384">
        <f t="shared" ca="1" si="0"/>
        <v>0</v>
      </c>
      <c r="I4" s="384"/>
      <c r="J4" s="384">
        <f t="shared" ca="1" si="0"/>
        <v>0</v>
      </c>
      <c r="K4" s="384">
        <f t="shared" ca="1" si="0"/>
        <v>0</v>
      </c>
      <c r="L4" s="384">
        <f t="shared" ca="1" si="0"/>
        <v>0</v>
      </c>
      <c r="M4" s="384">
        <f t="shared" ca="1" si="0"/>
        <v>0</v>
      </c>
      <c r="N4" s="384">
        <f t="shared" ca="1" si="0"/>
        <v>0</v>
      </c>
      <c r="O4" s="385">
        <f t="shared" ca="1" si="0"/>
        <v>0</v>
      </c>
      <c r="P4" s="384">
        <f t="shared" ca="1" si="0"/>
        <v>0</v>
      </c>
      <c r="Q4" s="384">
        <f t="shared" ca="1" si="0"/>
        <v>0</v>
      </c>
      <c r="R4" s="384">
        <f t="shared" ca="1" si="0"/>
        <v>0</v>
      </c>
      <c r="S4" s="384">
        <f t="shared" ca="1" si="0"/>
        <v>0</v>
      </c>
      <c r="T4" s="384">
        <f t="shared" ca="1" si="0"/>
        <v>0</v>
      </c>
      <c r="U4" s="384">
        <f t="shared" ca="1" si="0"/>
        <v>0</v>
      </c>
      <c r="V4" s="384">
        <f t="shared" ca="1" si="1"/>
        <v>0</v>
      </c>
      <c r="W4" s="384">
        <f t="shared" ca="1" si="1"/>
        <v>0</v>
      </c>
      <c r="X4" s="384">
        <f t="shared" ca="1" si="1"/>
        <v>0</v>
      </c>
      <c r="Y4" s="384"/>
      <c r="Z4" s="384">
        <f t="shared" ca="1" si="1"/>
        <v>0</v>
      </c>
      <c r="AA4" s="384">
        <f t="shared" ca="1" si="1"/>
        <v>0</v>
      </c>
      <c r="AB4" s="384">
        <f t="shared" ca="1" si="1"/>
        <v>0</v>
      </c>
      <c r="AC4" s="384">
        <f t="shared" ca="1" si="1"/>
        <v>0</v>
      </c>
      <c r="AD4" s="384">
        <f t="shared" ca="1" si="1"/>
        <v>0</v>
      </c>
      <c r="AE4" s="384">
        <f t="shared" ca="1" si="1"/>
        <v>0</v>
      </c>
      <c r="AF4" s="384">
        <f t="shared" ca="1" si="1"/>
        <v>0</v>
      </c>
      <c r="AG4" s="384">
        <f t="shared" ca="1" si="1"/>
        <v>0</v>
      </c>
      <c r="AH4" s="384">
        <f t="shared" ca="1" si="1"/>
        <v>0</v>
      </c>
      <c r="AI4" s="384">
        <f t="shared" ca="1" si="1"/>
        <v>0</v>
      </c>
      <c r="AJ4" s="384">
        <f t="shared" ca="1" si="1"/>
        <v>0</v>
      </c>
      <c r="AK4" s="387"/>
      <c r="AL4" s="86"/>
      <c r="AM4" s="86"/>
      <c r="AN4" s="86"/>
      <c r="AO4" s="86"/>
    </row>
    <row r="5" spans="1:41" ht="14.25" customHeight="1" x14ac:dyDescent="0.45">
      <c r="E5" s="379">
        <f t="array" aca="1" ref="E5" ca="1">IFERROR(INDEX(INDIRECT($E$8),MATCH(0,COUNTIF(E$1:$E4,INDIRECT($E$8)&amp;""),0)),"")</f>
        <v>0</v>
      </c>
      <c r="F5" s="384">
        <f t="shared" ca="1" si="0"/>
        <v>0</v>
      </c>
      <c r="G5" s="384">
        <f t="shared" ca="1" si="0"/>
        <v>0</v>
      </c>
      <c r="H5" s="384">
        <f t="shared" ca="1" si="0"/>
        <v>0</v>
      </c>
      <c r="I5" s="384"/>
      <c r="J5" s="384">
        <f t="shared" ca="1" si="0"/>
        <v>0</v>
      </c>
      <c r="K5" s="384">
        <f t="shared" ca="1" si="0"/>
        <v>0</v>
      </c>
      <c r="L5" s="384">
        <f t="shared" ca="1" si="0"/>
        <v>0</v>
      </c>
      <c r="M5" s="384">
        <f t="shared" ca="1" si="0"/>
        <v>0</v>
      </c>
      <c r="N5" s="384">
        <f t="shared" ca="1" si="0"/>
        <v>0</v>
      </c>
      <c r="O5" s="385">
        <f t="shared" ca="1" si="0"/>
        <v>0</v>
      </c>
      <c r="P5" s="384">
        <f t="shared" ca="1" si="0"/>
        <v>0</v>
      </c>
      <c r="Q5" s="384">
        <f t="shared" ca="1" si="0"/>
        <v>0</v>
      </c>
      <c r="R5" s="384">
        <f t="shared" ca="1" si="0"/>
        <v>0</v>
      </c>
      <c r="S5" s="384">
        <f t="shared" ca="1" si="0"/>
        <v>0</v>
      </c>
      <c r="T5" s="384">
        <f t="shared" ca="1" si="0"/>
        <v>0</v>
      </c>
      <c r="U5" s="384">
        <f t="shared" ca="1" si="0"/>
        <v>0</v>
      </c>
      <c r="V5" s="384">
        <f t="shared" ca="1" si="1"/>
        <v>0</v>
      </c>
      <c r="W5" s="384">
        <f t="shared" ca="1" si="1"/>
        <v>0</v>
      </c>
      <c r="X5" s="384">
        <f t="shared" ca="1" si="1"/>
        <v>0</v>
      </c>
      <c r="Y5" s="384"/>
      <c r="Z5" s="384">
        <f t="shared" ca="1" si="1"/>
        <v>0</v>
      </c>
      <c r="AA5" s="384">
        <f t="shared" ca="1" si="1"/>
        <v>0</v>
      </c>
      <c r="AB5" s="384">
        <f t="shared" ca="1" si="1"/>
        <v>0</v>
      </c>
      <c r="AC5" s="384">
        <f t="shared" ca="1" si="1"/>
        <v>0</v>
      </c>
      <c r="AD5" s="384">
        <f t="shared" ca="1" si="1"/>
        <v>0</v>
      </c>
      <c r="AE5" s="384">
        <f t="shared" ca="1" si="1"/>
        <v>0</v>
      </c>
      <c r="AF5" s="384">
        <f t="shared" ca="1" si="1"/>
        <v>0</v>
      </c>
      <c r="AG5" s="384">
        <f t="shared" ca="1" si="1"/>
        <v>0</v>
      </c>
      <c r="AH5" s="384">
        <f t="shared" ca="1" si="1"/>
        <v>0</v>
      </c>
      <c r="AI5" s="384">
        <f t="shared" ca="1" si="1"/>
        <v>0</v>
      </c>
      <c r="AJ5" s="384">
        <f t="shared" ca="1" si="1"/>
        <v>0</v>
      </c>
      <c r="AK5" s="387"/>
      <c r="AL5" s="86"/>
      <c r="AM5" s="86"/>
      <c r="AN5" s="86"/>
      <c r="AO5" s="86"/>
    </row>
    <row r="6" spans="1:41" ht="13.5" customHeight="1" x14ac:dyDescent="0.45">
      <c r="E6" s="379">
        <f t="array" aca="1" ref="E6" ca="1">IFERROR(INDEX(INDIRECT($E$8),MATCH(0,COUNTIF(E$1:$E5,INDIRECT($E$8)&amp;""),0)),"")</f>
        <v>0</v>
      </c>
      <c r="F6" s="384">
        <f t="shared" ca="1" si="0"/>
        <v>0</v>
      </c>
      <c r="G6" s="384">
        <f t="shared" ca="1" si="0"/>
        <v>0</v>
      </c>
      <c r="H6" s="384">
        <f t="shared" ca="1" si="0"/>
        <v>0</v>
      </c>
      <c r="I6" s="384"/>
      <c r="J6" s="384">
        <f t="shared" ca="1" si="0"/>
        <v>0</v>
      </c>
      <c r="K6" s="384">
        <f t="shared" ca="1" si="0"/>
        <v>0</v>
      </c>
      <c r="L6" s="384">
        <f t="shared" ca="1" si="0"/>
        <v>0</v>
      </c>
      <c r="M6" s="384">
        <f t="shared" ca="1" si="0"/>
        <v>0</v>
      </c>
      <c r="N6" s="384">
        <f t="shared" ca="1" si="0"/>
        <v>0</v>
      </c>
      <c r="O6" s="385">
        <f t="shared" ca="1" si="0"/>
        <v>0</v>
      </c>
      <c r="P6" s="384">
        <f t="shared" ca="1" si="0"/>
        <v>0</v>
      </c>
      <c r="Q6" s="384">
        <f t="shared" ca="1" si="0"/>
        <v>0</v>
      </c>
      <c r="R6" s="384">
        <f t="shared" ca="1" si="0"/>
        <v>0</v>
      </c>
      <c r="S6" s="384">
        <f t="shared" ca="1" si="0"/>
        <v>0</v>
      </c>
      <c r="T6" s="384">
        <f t="shared" ca="1" si="0"/>
        <v>0</v>
      </c>
      <c r="U6" s="384">
        <f t="shared" ca="1" si="0"/>
        <v>0</v>
      </c>
      <c r="V6" s="384">
        <f t="shared" ca="1" si="1"/>
        <v>0</v>
      </c>
      <c r="W6" s="384">
        <f t="shared" ca="1" si="1"/>
        <v>0</v>
      </c>
      <c r="X6" s="384">
        <f ca="1">SUMIFS(X$14:X$1400,$E$14:$E$1400,$E6)</f>
        <v>0</v>
      </c>
      <c r="Y6" s="384"/>
      <c r="Z6" s="384">
        <f t="shared" ca="1" si="1"/>
        <v>0</v>
      </c>
      <c r="AA6" s="384">
        <f t="shared" ca="1" si="1"/>
        <v>0</v>
      </c>
      <c r="AB6" s="384">
        <f t="shared" ca="1" si="1"/>
        <v>0</v>
      </c>
      <c r="AC6" s="384">
        <f t="shared" ca="1" si="1"/>
        <v>0</v>
      </c>
      <c r="AD6" s="384">
        <f t="shared" ca="1" si="1"/>
        <v>0</v>
      </c>
      <c r="AE6" s="384">
        <f t="shared" ca="1" si="1"/>
        <v>0</v>
      </c>
      <c r="AF6" s="384">
        <f t="shared" ca="1" si="1"/>
        <v>0</v>
      </c>
      <c r="AG6" s="384">
        <f t="shared" ca="1" si="1"/>
        <v>0</v>
      </c>
      <c r="AH6" s="384">
        <f t="shared" ca="1" si="1"/>
        <v>0</v>
      </c>
      <c r="AI6" s="384">
        <f t="shared" ca="1" si="1"/>
        <v>0</v>
      </c>
      <c r="AJ6" s="384">
        <f t="shared" ca="1" si="1"/>
        <v>0</v>
      </c>
      <c r="AK6" s="387"/>
      <c r="AL6" s="86"/>
      <c r="AM6" s="86"/>
      <c r="AN6" s="86"/>
      <c r="AO6" s="86"/>
    </row>
    <row r="7" spans="1:41" s="58" customFormat="1" ht="19.7" customHeight="1" x14ac:dyDescent="0.45">
      <c r="C7" s="61">
        <f ca="1">COUNTIF(I14:I1400,"&gt;0")</f>
        <v>0</v>
      </c>
      <c r="D7" s="61"/>
      <c r="E7" s="64" t="s">
        <v>82</v>
      </c>
      <c r="F7" s="63">
        <f ca="1">SUM(F2:F6)</f>
        <v>0</v>
      </c>
      <c r="G7" s="63">
        <f ca="1">SUM(G2:G6)</f>
        <v>0</v>
      </c>
      <c r="H7" s="63">
        <f t="shared" ref="H7:AJ7" ca="1" si="2">SUM(H2:H6)</f>
        <v>0</v>
      </c>
      <c r="I7" s="63"/>
      <c r="J7" s="63">
        <f t="shared" ca="1" si="2"/>
        <v>0</v>
      </c>
      <c r="K7" s="63">
        <f t="shared" ca="1" si="2"/>
        <v>0</v>
      </c>
      <c r="L7" s="63">
        <f t="shared" ca="1" si="2"/>
        <v>0</v>
      </c>
      <c r="M7" s="63">
        <f t="shared" ca="1" si="2"/>
        <v>0</v>
      </c>
      <c r="N7" s="63">
        <f t="shared" ca="1" si="2"/>
        <v>0</v>
      </c>
      <c r="O7" s="212">
        <f t="shared" ca="1" si="2"/>
        <v>0</v>
      </c>
      <c r="P7" s="63">
        <f t="shared" ca="1" si="2"/>
        <v>0</v>
      </c>
      <c r="Q7" s="63">
        <f t="shared" ca="1" si="2"/>
        <v>0</v>
      </c>
      <c r="R7" s="63">
        <f t="shared" ca="1" si="2"/>
        <v>0</v>
      </c>
      <c r="S7" s="63">
        <f t="shared" ca="1" si="2"/>
        <v>0</v>
      </c>
      <c r="T7" s="63">
        <f t="shared" ca="1" si="2"/>
        <v>0</v>
      </c>
      <c r="U7" s="63">
        <f t="shared" ca="1" si="2"/>
        <v>0</v>
      </c>
      <c r="V7" s="63">
        <f t="shared" ca="1" si="2"/>
        <v>0</v>
      </c>
      <c r="W7" s="63">
        <f t="shared" ca="1" si="2"/>
        <v>0</v>
      </c>
      <c r="X7" s="63">
        <f t="shared" ca="1" si="2"/>
        <v>0</v>
      </c>
      <c r="Y7" s="63"/>
      <c r="Z7" s="63">
        <f t="shared" ca="1" si="2"/>
        <v>0</v>
      </c>
      <c r="AA7" s="63">
        <f t="shared" ca="1" si="2"/>
        <v>0</v>
      </c>
      <c r="AB7" s="63">
        <f t="shared" ca="1" si="2"/>
        <v>0</v>
      </c>
      <c r="AC7" s="63">
        <f t="shared" ca="1" si="2"/>
        <v>0</v>
      </c>
      <c r="AD7" s="63">
        <f t="shared" ca="1" si="2"/>
        <v>0</v>
      </c>
      <c r="AE7" s="63">
        <f t="shared" ca="1" si="2"/>
        <v>0</v>
      </c>
      <c r="AF7" s="63">
        <f t="shared" ca="1" si="2"/>
        <v>0</v>
      </c>
      <c r="AG7" s="63">
        <f t="shared" ca="1" si="2"/>
        <v>0</v>
      </c>
      <c r="AH7" s="63">
        <f t="shared" ca="1" si="2"/>
        <v>0</v>
      </c>
      <c r="AI7" s="63">
        <f t="shared" ca="1" si="2"/>
        <v>0</v>
      </c>
      <c r="AJ7" s="63">
        <f t="shared" ca="1" si="2"/>
        <v>0</v>
      </c>
      <c r="AK7" s="62"/>
      <c r="AL7" s="86"/>
      <c r="AM7" s="86"/>
      <c r="AN7" s="86"/>
      <c r="AO7" s="86"/>
    </row>
    <row r="8" spans="1:41" s="58" customFormat="1" ht="19.7" customHeight="1" x14ac:dyDescent="0.45">
      <c r="A8" s="55"/>
      <c r="B8" s="55"/>
      <c r="C8" s="56"/>
      <c r="D8" s="56"/>
      <c r="E8" s="91" t="str">
        <f ca="1">"$E$14:$E$"&amp;COUNTA(E14:E1000)+14</f>
        <v>$E$14:$E$16</v>
      </c>
      <c r="F8" s="57">
        <f ca="1">SUBTOTAL(9,F$14:F$1400)</f>
        <v>0</v>
      </c>
      <c r="G8" s="57">
        <f ca="1">SUBTOTAL(9,G$14:G$1400)</f>
        <v>0</v>
      </c>
      <c r="H8" s="57">
        <f t="shared" ref="H8:AJ8" ca="1" si="3">SUBTOTAL(9,H$14:H$1400)</f>
        <v>0</v>
      </c>
      <c r="I8" s="57"/>
      <c r="J8" s="57">
        <f t="shared" ca="1" si="3"/>
        <v>0</v>
      </c>
      <c r="K8" s="57">
        <f t="shared" ca="1" si="3"/>
        <v>0</v>
      </c>
      <c r="L8" s="57">
        <f t="shared" si="3"/>
        <v>0</v>
      </c>
      <c r="M8" s="57">
        <f t="shared" ca="1" si="3"/>
        <v>0</v>
      </c>
      <c r="N8" s="57">
        <f t="shared" ca="1" si="3"/>
        <v>0</v>
      </c>
      <c r="O8" s="213">
        <f t="shared" si="3"/>
        <v>0</v>
      </c>
      <c r="P8" s="57">
        <f t="shared" ca="1" si="3"/>
        <v>0</v>
      </c>
      <c r="Q8" s="57">
        <f t="shared" si="3"/>
        <v>0</v>
      </c>
      <c r="R8" s="57">
        <f t="shared" si="3"/>
        <v>0</v>
      </c>
      <c r="S8" s="57">
        <f t="shared" si="3"/>
        <v>0</v>
      </c>
      <c r="T8" s="57">
        <f t="shared" si="3"/>
        <v>0</v>
      </c>
      <c r="U8" s="57">
        <f t="shared" si="3"/>
        <v>0</v>
      </c>
      <c r="V8" s="57">
        <f t="shared" ca="1" si="3"/>
        <v>0</v>
      </c>
      <c r="W8" s="57">
        <f t="shared" ca="1" si="3"/>
        <v>0</v>
      </c>
      <c r="X8" s="57">
        <f t="shared" ca="1" si="3"/>
        <v>0</v>
      </c>
      <c r="Y8" s="57"/>
      <c r="Z8" s="57">
        <f t="shared" ca="1" si="3"/>
        <v>0</v>
      </c>
      <c r="AA8" s="57">
        <f t="shared" ca="1" si="3"/>
        <v>0</v>
      </c>
      <c r="AB8" s="57">
        <f t="shared" ca="1" si="3"/>
        <v>0</v>
      </c>
      <c r="AC8" s="57">
        <f t="shared" ca="1" si="3"/>
        <v>0</v>
      </c>
      <c r="AD8" s="57">
        <f t="shared" ca="1" si="3"/>
        <v>0</v>
      </c>
      <c r="AE8" s="57">
        <f t="shared" ca="1" si="3"/>
        <v>0</v>
      </c>
      <c r="AF8" s="57">
        <f t="shared" si="3"/>
        <v>0</v>
      </c>
      <c r="AG8" s="57">
        <f t="shared" si="3"/>
        <v>0</v>
      </c>
      <c r="AH8" s="57">
        <f t="shared" ca="1" si="3"/>
        <v>0</v>
      </c>
      <c r="AI8" s="57">
        <f t="shared" ca="1" si="3"/>
        <v>0</v>
      </c>
      <c r="AJ8" s="57">
        <f t="shared" ca="1" si="3"/>
        <v>0</v>
      </c>
      <c r="AK8" s="57"/>
      <c r="AL8" s="86"/>
      <c r="AM8" s="86"/>
      <c r="AN8" s="86"/>
      <c r="AO8" s="86"/>
    </row>
    <row r="9" spans="1:41" x14ac:dyDescent="0.45">
      <c r="A9" s="26"/>
      <c r="B9" s="26"/>
      <c r="C9" s="43"/>
      <c r="D9" s="43"/>
      <c r="E9" s="26"/>
      <c r="F9" s="26"/>
      <c r="G9" s="26"/>
      <c r="H9" s="26"/>
      <c r="I9" s="52"/>
      <c r="J9" s="54"/>
      <c r="K9" s="609" t="s">
        <v>111</v>
      </c>
      <c r="L9" s="590"/>
      <c r="M9" s="590"/>
      <c r="N9" s="590"/>
      <c r="O9" s="606" t="s">
        <v>369</v>
      </c>
      <c r="P9" s="606"/>
      <c r="Q9" s="611" t="s">
        <v>49</v>
      </c>
      <c r="R9" s="612"/>
      <c r="S9" s="613"/>
      <c r="T9" s="613"/>
      <c r="U9" s="163"/>
      <c r="V9" s="95"/>
      <c r="W9" s="604" t="s">
        <v>53</v>
      </c>
      <c r="X9" s="604"/>
      <c r="Y9" s="604"/>
      <c r="Z9" s="604"/>
      <c r="AA9" s="605"/>
      <c r="AB9" s="92"/>
      <c r="AC9" s="607" t="s">
        <v>56</v>
      </c>
      <c r="AD9" s="608"/>
      <c r="AE9" s="608"/>
      <c r="AF9" s="608"/>
      <c r="AG9" s="608"/>
      <c r="AH9" s="94"/>
      <c r="AI9" s="94"/>
      <c r="AJ9" s="26"/>
      <c r="AK9" s="42"/>
      <c r="AL9" s="86"/>
      <c r="AM9" s="86"/>
      <c r="AN9" s="86"/>
      <c r="AO9" s="86"/>
    </row>
    <row r="10" spans="1:41" ht="15" customHeight="1" x14ac:dyDescent="0.45">
      <c r="A10" s="622" t="s">
        <v>1</v>
      </c>
      <c r="B10" s="622" t="s">
        <v>2</v>
      </c>
      <c r="C10" s="622" t="s">
        <v>3</v>
      </c>
      <c r="D10" s="622" t="s">
        <v>4</v>
      </c>
      <c r="E10" s="622" t="s">
        <v>39</v>
      </c>
      <c r="F10" s="622" t="s">
        <v>6</v>
      </c>
      <c r="G10" s="622" t="s">
        <v>7</v>
      </c>
      <c r="H10" s="622" t="s">
        <v>40</v>
      </c>
      <c r="I10" s="625" t="s">
        <v>42</v>
      </c>
      <c r="J10" s="622" t="s">
        <v>41</v>
      </c>
      <c r="K10" s="627" t="s">
        <v>298</v>
      </c>
      <c r="L10" s="590" t="s">
        <v>44</v>
      </c>
      <c r="M10" s="590"/>
      <c r="N10" s="627" t="s">
        <v>299</v>
      </c>
      <c r="O10" s="163"/>
      <c r="P10" s="31"/>
      <c r="Q10" s="614" t="s">
        <v>79</v>
      </c>
      <c r="R10" s="614"/>
      <c r="S10" s="168"/>
      <c r="T10" s="170"/>
      <c r="U10" s="164"/>
      <c r="V10" s="96"/>
      <c r="W10" s="32"/>
      <c r="X10" s="26"/>
      <c r="Y10" s="26"/>
      <c r="Z10" s="26"/>
      <c r="AA10" s="32"/>
      <c r="AB10" s="599" t="s">
        <v>57</v>
      </c>
      <c r="AC10" s="615" t="s">
        <v>58</v>
      </c>
      <c r="AD10" s="616"/>
      <c r="AE10" s="615"/>
      <c r="AF10" s="616"/>
      <c r="AG10" s="617"/>
      <c r="AH10" s="599" t="s">
        <v>59</v>
      </c>
      <c r="AI10" s="632" t="s">
        <v>61</v>
      </c>
      <c r="AJ10" s="35"/>
      <c r="AK10" s="35"/>
      <c r="AL10" s="86"/>
      <c r="AM10" s="86"/>
      <c r="AN10" s="86"/>
      <c r="AO10" s="86"/>
    </row>
    <row r="11" spans="1:41" s="4" customFormat="1" ht="33" customHeight="1" x14ac:dyDescent="0.45">
      <c r="A11" s="622"/>
      <c r="B11" s="622"/>
      <c r="C11" s="622"/>
      <c r="D11" s="622"/>
      <c r="E11" s="622"/>
      <c r="F11" s="622"/>
      <c r="G11" s="622"/>
      <c r="H11" s="622"/>
      <c r="I11" s="625"/>
      <c r="J11" s="622"/>
      <c r="K11" s="628"/>
      <c r="L11" s="160" t="s">
        <v>45</v>
      </c>
      <c r="M11" s="25" t="s">
        <v>46</v>
      </c>
      <c r="N11" s="628"/>
      <c r="O11" s="185" t="s">
        <v>370</v>
      </c>
      <c r="P11" s="103" t="s">
        <v>371</v>
      </c>
      <c r="Q11" s="161" t="s">
        <v>51</v>
      </c>
      <c r="R11" s="28" t="s">
        <v>78</v>
      </c>
      <c r="S11" s="169" t="s">
        <v>50</v>
      </c>
      <c r="T11" s="171" t="s">
        <v>60</v>
      </c>
      <c r="U11" s="162" t="s">
        <v>77</v>
      </c>
      <c r="V11" s="97" t="s">
        <v>52</v>
      </c>
      <c r="W11" s="33" t="s">
        <v>43</v>
      </c>
      <c r="X11" s="196" t="s">
        <v>264</v>
      </c>
      <c r="Y11" s="196" t="s">
        <v>77</v>
      </c>
      <c r="Z11" s="103" t="s">
        <v>54</v>
      </c>
      <c r="AA11" s="33" t="s">
        <v>55</v>
      </c>
      <c r="AB11" s="599"/>
      <c r="AC11" s="25" t="s">
        <v>88</v>
      </c>
      <c r="AD11" s="28" t="s">
        <v>28</v>
      </c>
      <c r="AE11" s="34" t="s">
        <v>81</v>
      </c>
      <c r="AF11" s="126"/>
      <c r="AG11" s="30"/>
      <c r="AH11" s="599"/>
      <c r="AI11" s="632"/>
      <c r="AJ11" s="36" t="s">
        <v>62</v>
      </c>
      <c r="AK11" s="36" t="s">
        <v>63</v>
      </c>
      <c r="AL11" s="87"/>
      <c r="AM11" s="87"/>
      <c r="AN11" s="87"/>
      <c r="AO11" s="87"/>
    </row>
    <row r="12" spans="1:41" s="4" customFormat="1" ht="15" customHeight="1" x14ac:dyDescent="0.45">
      <c r="A12" s="29"/>
      <c r="B12" s="29"/>
      <c r="C12" s="29"/>
      <c r="D12" s="29"/>
      <c r="E12" s="29"/>
      <c r="F12" s="29"/>
      <c r="G12" s="602" t="str">
        <f>'1'!G12</f>
        <v>Link</v>
      </c>
      <c r="H12" s="603"/>
      <c r="I12" s="53"/>
      <c r="J12" s="29">
        <f>INDEX(Cham_Cong!$E$7:$P$8,1,MATCH(C1,Cham_Cong!$E$8:$P$8,0))</f>
        <v>26</v>
      </c>
      <c r="K12" s="40">
        <v>730000</v>
      </c>
      <c r="L12" s="160"/>
      <c r="M12" s="27">
        <v>1000000</v>
      </c>
      <c r="N12" s="41">
        <v>500000</v>
      </c>
      <c r="O12" s="167">
        <v>2</v>
      </c>
      <c r="P12" s="38"/>
      <c r="Q12" s="161"/>
      <c r="R12" s="25"/>
      <c r="S12" s="165"/>
      <c r="T12" s="166"/>
      <c r="U12" s="165"/>
      <c r="V12" s="98"/>
      <c r="W12" s="30"/>
      <c r="X12" s="29"/>
      <c r="Y12" s="29"/>
      <c r="Z12" s="29"/>
      <c r="AA12" s="30"/>
      <c r="AB12" s="93"/>
      <c r="AC12" s="37">
        <v>11000000</v>
      </c>
      <c r="AD12" s="37">
        <v>4400000</v>
      </c>
      <c r="AE12" s="39">
        <v>0.105</v>
      </c>
      <c r="AF12" s="39"/>
      <c r="AG12" s="39"/>
      <c r="AH12" s="93"/>
      <c r="AI12" s="93"/>
      <c r="AJ12" s="29"/>
      <c r="AK12" s="29"/>
      <c r="AL12" s="87"/>
      <c r="AM12" s="87"/>
      <c r="AN12" s="87"/>
      <c r="AO12" s="87"/>
    </row>
    <row r="13" spans="1:41" s="70" customFormat="1" x14ac:dyDescent="0.45">
      <c r="A13" s="49"/>
      <c r="B13" s="49" t="s">
        <v>24</v>
      </c>
      <c r="C13" s="89" t="s">
        <v>25</v>
      </c>
      <c r="D13" s="49" t="s">
        <v>26</v>
      </c>
      <c r="E13" s="49" t="s">
        <v>27</v>
      </c>
      <c r="F13" s="49" t="s">
        <v>28</v>
      </c>
      <c r="G13" s="49" t="s">
        <v>29</v>
      </c>
      <c r="H13" s="49" t="s">
        <v>185</v>
      </c>
      <c r="I13" s="90" t="s">
        <v>186</v>
      </c>
      <c r="J13" s="49" t="s">
        <v>80</v>
      </c>
      <c r="K13" s="49" t="s">
        <v>80</v>
      </c>
      <c r="L13" s="49" t="s">
        <v>391</v>
      </c>
      <c r="M13" s="49" t="s">
        <v>80</v>
      </c>
      <c r="N13" s="49" t="s">
        <v>80</v>
      </c>
      <c r="O13" s="49" t="s">
        <v>208</v>
      </c>
      <c r="P13" s="49" t="s">
        <v>80</v>
      </c>
      <c r="Q13" s="49"/>
      <c r="R13" s="49" t="s">
        <v>80</v>
      </c>
      <c r="S13" s="49" t="s">
        <v>80</v>
      </c>
      <c r="T13" s="49" t="s">
        <v>80</v>
      </c>
      <c r="U13" s="49" t="s">
        <v>80</v>
      </c>
      <c r="V13" s="49" t="s">
        <v>66</v>
      </c>
      <c r="W13" s="49"/>
      <c r="X13" s="49"/>
      <c r="Y13" s="49"/>
      <c r="Z13" s="49"/>
      <c r="AA13" s="49"/>
      <c r="AB13" s="49" t="s">
        <v>64</v>
      </c>
      <c r="AC13" s="49" t="s">
        <v>101</v>
      </c>
      <c r="AD13" s="49" t="s">
        <v>102</v>
      </c>
      <c r="AE13" s="49" t="s">
        <v>165</v>
      </c>
      <c r="AF13" s="49"/>
      <c r="AG13" s="49"/>
      <c r="AH13" s="49"/>
      <c r="AI13" s="49" t="s">
        <v>65</v>
      </c>
      <c r="AJ13" s="49" t="s">
        <v>67</v>
      </c>
      <c r="AK13" s="49"/>
      <c r="AL13" s="88" t="s">
        <v>32</v>
      </c>
      <c r="AM13" s="88" t="s">
        <v>33</v>
      </c>
      <c r="AN13" s="88" t="s">
        <v>34</v>
      </c>
      <c r="AO13" s="88" t="s">
        <v>35</v>
      </c>
    </row>
    <row r="14" spans="1:41" x14ac:dyDescent="0.45">
      <c r="A14" s="5">
        <f ca="1">IF(B14&lt;&gt;"",SUBTOTAL(3,$B$14:B14),"")</f>
        <v>1</v>
      </c>
      <c r="B14" s="3">
        <f ca="1">INDEX(INDIRECT(Danh_Sach!$N$1),ROWS($B$14:$B14),MATCH(B$13,INDIRECT(Danh_Sach!$N$2),0))</f>
        <v>0</v>
      </c>
      <c r="C14" s="5">
        <f ca="1">INDEX(INDIRECT(Danh_Sach!$N$1),ROWS($B$14:$B14),MATCH(C$13,INDIRECT(Danh_Sach!$N$2),0))</f>
        <v>0</v>
      </c>
      <c r="D14" s="5">
        <f ca="1">INDEX(INDIRECT(Danh_Sach!$N$1),ROWS($B$14:$B14),MATCH(D$13,INDIRECT(Danh_Sach!$N$2),0))</f>
        <v>0</v>
      </c>
      <c r="E14" s="5">
        <f ca="1">INDEX(INDIRECT(Danh_Sach!$N$1),ROWS($B$14:$B14),MATCH(E$13,INDIRECT(Danh_Sach!$N$2),0))</f>
        <v>0</v>
      </c>
      <c r="F14" s="5">
        <f t="array" aca="1" ref="F14" ca="1">INDEX(INDIRECT(NPT!$W$1),ROWS($B$14:B14),MATCH($C$1,INDIRECT(NPT!$W$2),0))</f>
        <v>0</v>
      </c>
      <c r="G14" s="11">
        <f ca="1">IF(AND($G$12="Link",H14&lt;&gt;0),H14,INDEX(INDIRECT(Danh_Sach!$N$1),ROWS($B$14:$B14),MATCH(G$13,INDIRECT(Danh_Sach!$N$2),0)))</f>
        <v>0</v>
      </c>
      <c r="H14" s="11">
        <f ca="1">IFERROR(INDEX(INDIRECT(BaoHiem!$A$3),ROWS($B$14:$B14),MATCH($C$1,INDIRECT(BaoHiem!$A$4),0)),0)</f>
        <v>0</v>
      </c>
      <c r="I14" s="72">
        <f t="array" aca="1" ref="I14" ca="1">INDEX(INDIRECT(Cham_Cong!$T$3),ROWS($B$14:B14),MATCH($C$1,INDIRECT(Cham_Cong!$T$4),0))</f>
        <v>0</v>
      </c>
      <c r="J14" s="11">
        <f ca="1">G14/$J$12*I14</f>
        <v>0</v>
      </c>
      <c r="K14" s="11">
        <f ca="1">IF(I14&gt;0,$K$12,0)</f>
        <v>0</v>
      </c>
      <c r="L14" s="11"/>
      <c r="M14" s="22">
        <f ca="1">IF(I14=0,0,$M$12*L14)</f>
        <v>0</v>
      </c>
      <c r="N14" s="11">
        <f ca="1">IF(I14&gt;0,$N$12,0)</f>
        <v>0</v>
      </c>
      <c r="P14" s="22">
        <f ca="1">IF(I14=0,0,ROUND(O14*$O$12*(G14/$J$12/8),0))</f>
        <v>0</v>
      </c>
      <c r="R14" s="11"/>
      <c r="S14" s="11"/>
      <c r="V14" s="11">
        <f ca="1">IF(I14=0,0,SUMIF($J$13:$U$13,"i_gross",J14:U14))</f>
        <v>0</v>
      </c>
      <c r="W14" s="22">
        <f ca="1">K14</f>
        <v>0</v>
      </c>
      <c r="X14" s="22">
        <f ca="1">M14+N14</f>
        <v>0</v>
      </c>
      <c r="Y14" s="22">
        <f>U14</f>
        <v>0</v>
      </c>
      <c r="Z14" s="22">
        <f ca="1">P14-P14/$O$12</f>
        <v>0</v>
      </c>
      <c r="AA14" s="22">
        <f ca="1">SUM(W14:Z14)</f>
        <v>0</v>
      </c>
      <c r="AB14" s="22">
        <f ca="1">IF(I14=0,0,V14-AA14)</f>
        <v>0</v>
      </c>
      <c r="AC14" s="22">
        <f ca="1">IF(AB14&gt;0,$AC$12,0)</f>
        <v>0</v>
      </c>
      <c r="AD14" s="22">
        <f ca="1">$AD$12*F14</f>
        <v>0</v>
      </c>
      <c r="AE14" s="22">
        <f ca="1">IF(AB14&gt;0,IF(ISNA(VLOOKUP(C14,Info!$C$22:$D$303,2,0))=FALSE,H14*1.5%,H14*$AE$12),0)</f>
        <v>0</v>
      </c>
      <c r="AH14" s="22">
        <f ca="1">MAX(AB14-SUM(AC14:AG14),0)</f>
        <v>0</v>
      </c>
      <c r="AI14" s="22">
        <f ca="1">IF(AH14&gt;0,(AH14-VLOOKUP(AH14-1,INDIRECT(TAXRATE!$E$1),1,1))*VLOOKUP(AH14,INDIRECT(TAXRATE!$E$1),2,1)+VLOOKUP(AH14-1,INDIRECT(TAXRATE!$E$1),3,1),0)</f>
        <v>0</v>
      </c>
      <c r="AJ14" s="22">
        <f ca="1">V14-AI14-AE14-AF14-AG14</f>
        <v>0</v>
      </c>
      <c r="AL14" s="3" t="str">
        <f ca="1">IF(INDEX(INDIRECT(Danh_Sach!$N$1),ROWS($B$14:$B14),MATCH(AL$13,INDIRECT(Danh_Sach!$N$2),0))=0,"",MONTH(INDEX(INDIRECT(Danh_Sach!$N$1),ROWS($B$14:$B14),MATCH(AL$13,INDIRECT(Danh_Sach!$N$2),0))))</f>
        <v/>
      </c>
      <c r="AM14" s="3" t="str">
        <f ca="1">IF(INDEX(INDIRECT(Danh_Sach!$N$1),ROWS($B$14:$B14),MATCH(AM$13,INDIRECT(Danh_Sach!$N$2),0))=0,"",MONTH(INDEX(INDIRECT(Danh_Sach!$N$1),ROWS($B$14:$B14),MATCH(AM$13,INDIRECT(Danh_Sach!$N$2),0))))</f>
        <v/>
      </c>
      <c r="AN14" s="3" t="str">
        <f ca="1">IF(INDEX(INDIRECT(Danh_Sach!$N$1),ROWS($B$14:$B14),MATCH(AN$13,INDIRECT(Danh_Sach!$N$2),0))=0,"",MONTH(INDEX(INDIRECT(Danh_Sach!$N$1),ROWS($B$14:$B14),MATCH(AN$13,INDIRECT(Danh_Sach!$N$2),0))))</f>
        <v/>
      </c>
      <c r="AO14" s="3" t="str">
        <f ca="1">IF(INDEX(INDIRECT(Danh_Sach!$N$1),ROWS($B$14:$B14),MATCH(AO$13,INDIRECT(Danh_Sach!$N$2),0))=0,"",MONTH(INDEX(INDIRECT(Danh_Sach!$N$1),ROWS($B$14:$B14),MATCH(AO$13,INDIRECT(Danh_Sach!$N$2),0))))</f>
        <v/>
      </c>
    </row>
    <row r="15" spans="1:41" x14ac:dyDescent="0.45">
      <c r="A15" s="5">
        <f ca="1">IF(B15&lt;&gt;"",SUBTOTAL(3,$B$14:B15),"")</f>
        <v>2</v>
      </c>
      <c r="B15" s="3">
        <f ca="1">INDEX(INDIRECT(Danh_Sach!$N$1),ROWS($B$14:$B15),MATCH(B$13,INDIRECT(Danh_Sach!$N$2),0))</f>
        <v>0</v>
      </c>
      <c r="C15" s="5">
        <f ca="1">INDEX(INDIRECT(Danh_Sach!$N$1),ROWS($B$14:$B15),MATCH(C$13,INDIRECT(Danh_Sach!$N$2),0))</f>
        <v>0</v>
      </c>
      <c r="D15" s="5">
        <f ca="1">INDEX(INDIRECT(Danh_Sach!$N$1),ROWS($B$14:$B15),MATCH(D$13,INDIRECT(Danh_Sach!$N$2),0))</f>
        <v>0</v>
      </c>
      <c r="E15" s="5">
        <f ca="1">INDEX(INDIRECT(Danh_Sach!$N$1),ROWS($B$14:$B15),MATCH(E$13,INDIRECT(Danh_Sach!$N$2),0))</f>
        <v>0</v>
      </c>
      <c r="F15" s="5">
        <f t="array" aca="1" ref="F15" ca="1">INDEX(INDIRECT(NPT!$W$1),ROWS($B$14:B15),MATCH($C$1,INDIRECT(NPT!$W$2),0))</f>
        <v>0</v>
      </c>
      <c r="G15" s="11">
        <f ca="1">IF(AND($G$12="Link",H15&lt;&gt;0),H15,INDEX(INDIRECT(Danh_Sach!$N$1),ROWS($B$14:$B15),MATCH(G$13,INDIRECT(Danh_Sach!$N$2),0)))</f>
        <v>0</v>
      </c>
      <c r="H15" s="11">
        <f ca="1">IFERROR(INDEX(INDIRECT(BaoHiem!$A$3),ROWS($B$14:$B15),MATCH($C$1,INDIRECT(BaoHiem!$A$4),0)),0)</f>
        <v>0</v>
      </c>
      <c r="I15" s="72">
        <f t="array" aca="1" ref="I15" ca="1">INDEX(INDIRECT(Cham_Cong!$T$3),ROWS($B$14:B15),MATCH($C$1,INDIRECT(Cham_Cong!$T$4),0))</f>
        <v>0</v>
      </c>
      <c r="J15" s="11">
        <f ca="1">G15/$J$12*I15</f>
        <v>0</v>
      </c>
      <c r="K15" s="11">
        <f ca="1">IF(I15&gt;0,$K$12,0)</f>
        <v>0</v>
      </c>
      <c r="L15" s="11"/>
      <c r="M15" s="22">
        <f ca="1">IF(I15=0,0,$M$12*L15)</f>
        <v>0</v>
      </c>
      <c r="N15" s="11">
        <f ca="1">IF(I15&gt;0,$N$12,0)</f>
        <v>0</v>
      </c>
      <c r="P15" s="22">
        <f ca="1">IF(I15=0,0,ROUND(O15*$O$12*(G15/$J$12/8),0))</f>
        <v>0</v>
      </c>
      <c r="R15" s="11"/>
      <c r="S15" s="11"/>
      <c r="V15" s="11">
        <f ca="1">IF(I15=0,0,SUMIF($J$13:$U$13,"i_gross",J15:U15))</f>
        <v>0</v>
      </c>
      <c r="W15" s="22">
        <f ca="1">K15</f>
        <v>0</v>
      </c>
      <c r="X15" s="22">
        <f ca="1">M15+N15</f>
        <v>0</v>
      </c>
      <c r="Y15" s="22">
        <f>U15</f>
        <v>0</v>
      </c>
      <c r="Z15" s="22">
        <f ca="1">P15-P15/$O$12</f>
        <v>0</v>
      </c>
      <c r="AA15" s="22">
        <f ca="1">SUM(W15:Z15)</f>
        <v>0</v>
      </c>
      <c r="AB15" s="22">
        <f ca="1">IF(I15=0,0,V15-AA15)</f>
        <v>0</v>
      </c>
      <c r="AC15" s="22">
        <f ca="1">IF(AB15&gt;0,$AC$12,0)</f>
        <v>0</v>
      </c>
      <c r="AD15" s="22">
        <f ca="1">$AD$12*F15</f>
        <v>0</v>
      </c>
      <c r="AE15" s="22">
        <f ca="1">IF(AB15&gt;0,IF(ISNA(VLOOKUP(C15,Info!$C$22:$D$303,2,0))=FALSE,H15*1.5%,H15*$AE$12),0)</f>
        <v>0</v>
      </c>
      <c r="AH15" s="22">
        <f ca="1">MAX(AB15-SUM(AC15:AG15),0)</f>
        <v>0</v>
      </c>
      <c r="AI15" s="22">
        <f ca="1">IF(AH15&gt;0,(AH15-VLOOKUP(AH15-1,INDIRECT(TAXRATE!$E$1),1,1))*VLOOKUP(AH15,INDIRECT(TAXRATE!$E$1),2,1)+VLOOKUP(AH15-1,INDIRECT(TAXRATE!$E$1),3,1),0)</f>
        <v>0</v>
      </c>
      <c r="AJ15" s="22">
        <f ca="1">V15-AI15-AE15-AF15-AG15</f>
        <v>0</v>
      </c>
      <c r="AL15" s="3" t="str">
        <f ca="1">IF(INDEX(INDIRECT(Danh_Sach!$N$1),ROWS($B$14:$B15),MATCH(AL$13,INDIRECT(Danh_Sach!$N$2),0))=0,"",MONTH(INDEX(INDIRECT(Danh_Sach!$N$1),ROWS($B$14:$B15),MATCH(AL$13,INDIRECT(Danh_Sach!$N$2),0))))</f>
        <v/>
      </c>
      <c r="AM15" s="3" t="str">
        <f ca="1">IF(INDEX(INDIRECT(Danh_Sach!$N$1),ROWS($B$14:$B15),MATCH(AM$13,INDIRECT(Danh_Sach!$N$2),0))=0,"",MONTH(INDEX(INDIRECT(Danh_Sach!$N$1),ROWS($B$14:$B15),MATCH(AM$13,INDIRECT(Danh_Sach!$N$2),0))))</f>
        <v/>
      </c>
      <c r="AN15" s="3" t="str">
        <f ca="1">IF(INDEX(INDIRECT(Danh_Sach!$N$1),ROWS($B$14:$B15),MATCH(AN$13,INDIRECT(Danh_Sach!$N$2),0))=0,"",MONTH(INDEX(INDIRECT(Danh_Sach!$N$1),ROWS($B$14:$B15),MATCH(AN$13,INDIRECT(Danh_Sach!$N$2),0))))</f>
        <v/>
      </c>
      <c r="AO15" s="3" t="str">
        <f ca="1">IF(INDEX(INDIRECT(Danh_Sach!$N$1),ROWS($B$14:$B15),MATCH(AO$13,INDIRECT(Danh_Sach!$N$2),0))=0,"",MONTH(INDEX(INDIRECT(Danh_Sach!$N$1),ROWS($B$14:$B15),MATCH(AO$13,INDIRECT(Danh_Sach!$N$2),0))))</f>
        <v/>
      </c>
    </row>
    <row r="16" spans="1:41" x14ac:dyDescent="0.45">
      <c r="A16" s="5"/>
      <c r="E16" s="5"/>
      <c r="F16" s="5"/>
      <c r="G16" s="11"/>
      <c r="H16" s="11"/>
      <c r="I16" s="72"/>
      <c r="J16" s="11"/>
      <c r="K16" s="11"/>
      <c r="L16" s="11"/>
      <c r="M16" s="22"/>
      <c r="N16" s="11"/>
      <c r="P16" s="22"/>
      <c r="R16" s="11"/>
      <c r="S16" s="11"/>
      <c r="V16" s="11"/>
      <c r="W16" s="22"/>
      <c r="X16" s="22"/>
      <c r="Y16" s="22"/>
      <c r="Z16" s="22"/>
      <c r="AA16" s="22"/>
      <c r="AB16" s="22"/>
      <c r="AC16" s="22"/>
      <c r="AD16" s="22"/>
      <c r="AE16" s="22"/>
      <c r="AH16" s="22"/>
      <c r="AI16" s="22"/>
      <c r="AJ16" s="22"/>
    </row>
    <row r="17" spans="1:36" x14ac:dyDescent="0.45">
      <c r="A17" s="5"/>
      <c r="E17" s="5"/>
      <c r="F17" s="5"/>
      <c r="G17" s="11"/>
      <c r="H17" s="11"/>
      <c r="I17" s="72"/>
      <c r="J17" s="11"/>
      <c r="K17" s="11"/>
      <c r="L17" s="11"/>
      <c r="M17" s="22"/>
      <c r="N17" s="11"/>
      <c r="P17" s="22"/>
      <c r="R17" s="11"/>
      <c r="S17" s="11"/>
      <c r="V17" s="11"/>
      <c r="W17" s="22"/>
      <c r="X17" s="22"/>
      <c r="Y17" s="22"/>
      <c r="Z17" s="22"/>
      <c r="AA17" s="22"/>
      <c r="AB17" s="22"/>
      <c r="AC17" s="22"/>
      <c r="AD17" s="22"/>
      <c r="AE17" s="22"/>
      <c r="AH17" s="22"/>
      <c r="AI17" s="22"/>
      <c r="AJ17" s="22"/>
    </row>
    <row r="18" spans="1:36" x14ac:dyDescent="0.45">
      <c r="A18" s="5"/>
      <c r="E18" s="5"/>
      <c r="F18" s="5"/>
      <c r="G18" s="11"/>
      <c r="H18" s="11"/>
      <c r="I18" s="72"/>
      <c r="J18" s="11"/>
      <c r="K18" s="11"/>
      <c r="L18" s="11"/>
      <c r="M18" s="22"/>
      <c r="N18" s="11"/>
      <c r="P18" s="22"/>
      <c r="R18" s="11"/>
      <c r="S18" s="11"/>
      <c r="V18" s="11"/>
      <c r="W18" s="22"/>
      <c r="X18" s="22"/>
      <c r="Y18" s="22"/>
      <c r="Z18" s="22"/>
      <c r="AA18" s="22"/>
      <c r="AB18" s="22"/>
      <c r="AC18" s="22"/>
      <c r="AD18" s="22"/>
      <c r="AE18" s="22"/>
      <c r="AH18" s="22"/>
      <c r="AI18" s="22"/>
      <c r="AJ18" s="22"/>
    </row>
    <row r="19" spans="1:36" x14ac:dyDescent="0.45">
      <c r="A19" s="5"/>
      <c r="E19" s="5"/>
      <c r="F19" s="5"/>
      <c r="G19" s="11"/>
      <c r="H19" s="11"/>
      <c r="I19" s="72"/>
      <c r="J19" s="11"/>
      <c r="K19" s="11"/>
      <c r="L19" s="11"/>
      <c r="M19" s="22"/>
      <c r="N19" s="11"/>
      <c r="P19" s="22"/>
      <c r="R19" s="11"/>
      <c r="S19" s="11"/>
      <c r="V19" s="11"/>
      <c r="W19" s="22"/>
      <c r="X19" s="22"/>
      <c r="Y19" s="22"/>
      <c r="Z19" s="22"/>
      <c r="AA19" s="22"/>
      <c r="AB19" s="22"/>
      <c r="AC19" s="22"/>
      <c r="AD19" s="22"/>
      <c r="AE19" s="22"/>
      <c r="AH19" s="22"/>
      <c r="AI19" s="22"/>
      <c r="AJ19" s="22"/>
    </row>
    <row r="20" spans="1:36" x14ac:dyDescent="0.45">
      <c r="A20" s="5"/>
      <c r="E20" s="5"/>
      <c r="F20" s="5"/>
      <c r="G20" s="11"/>
      <c r="H20" s="11"/>
      <c r="I20" s="72"/>
      <c r="J20" s="11"/>
      <c r="K20" s="11"/>
      <c r="L20" s="11"/>
      <c r="M20" s="22"/>
      <c r="N20" s="11"/>
      <c r="P20" s="22"/>
      <c r="R20" s="11"/>
      <c r="S20" s="11"/>
      <c r="V20" s="11"/>
      <c r="W20" s="22"/>
      <c r="X20" s="22"/>
      <c r="Y20" s="22"/>
      <c r="Z20" s="22"/>
      <c r="AA20" s="22"/>
      <c r="AB20" s="22"/>
      <c r="AC20" s="22"/>
      <c r="AD20" s="22"/>
      <c r="AE20" s="22"/>
      <c r="AH20" s="22"/>
      <c r="AI20" s="22"/>
      <c r="AJ20" s="22"/>
    </row>
    <row r="21" spans="1:36" x14ac:dyDescent="0.45">
      <c r="A21" s="5"/>
      <c r="E21" s="5"/>
      <c r="F21" s="5"/>
      <c r="G21" s="11"/>
      <c r="H21" s="11"/>
      <c r="I21" s="72"/>
      <c r="J21" s="11"/>
      <c r="K21" s="11"/>
      <c r="L21" s="11"/>
      <c r="M21" s="22"/>
      <c r="N21" s="11"/>
      <c r="P21" s="22"/>
      <c r="R21" s="11"/>
      <c r="S21" s="11"/>
      <c r="V21" s="11"/>
      <c r="W21" s="22"/>
      <c r="X21" s="22"/>
      <c r="Y21" s="22"/>
      <c r="Z21" s="22"/>
      <c r="AA21" s="22"/>
      <c r="AB21" s="22"/>
      <c r="AC21" s="22"/>
      <c r="AD21" s="22"/>
      <c r="AE21" s="22"/>
      <c r="AH21" s="22"/>
      <c r="AI21" s="22"/>
      <c r="AJ21" s="22"/>
    </row>
    <row r="22" spans="1:36" x14ac:dyDescent="0.45">
      <c r="A22" s="5"/>
      <c r="E22" s="5"/>
      <c r="F22" s="5"/>
      <c r="G22" s="11"/>
      <c r="H22" s="11"/>
      <c r="I22" s="72"/>
      <c r="J22" s="11"/>
      <c r="K22" s="11"/>
      <c r="L22" s="11"/>
      <c r="M22" s="22"/>
      <c r="N22" s="11"/>
      <c r="P22" s="22"/>
      <c r="R22" s="11"/>
      <c r="S22" s="11"/>
      <c r="V22" s="11"/>
      <c r="W22" s="22"/>
      <c r="X22" s="22"/>
      <c r="Y22" s="22"/>
      <c r="Z22" s="22"/>
      <c r="AA22" s="22"/>
      <c r="AB22" s="22"/>
      <c r="AC22" s="22"/>
      <c r="AD22" s="22"/>
      <c r="AE22" s="22"/>
      <c r="AH22" s="22"/>
      <c r="AI22" s="22"/>
      <c r="AJ22" s="22"/>
    </row>
    <row r="23" spans="1:36" x14ac:dyDescent="0.45">
      <c r="A23" s="5"/>
      <c r="E23" s="5"/>
      <c r="F23" s="5"/>
      <c r="G23" s="11"/>
      <c r="H23" s="11"/>
      <c r="I23" s="72"/>
      <c r="J23" s="11"/>
      <c r="K23" s="11"/>
      <c r="L23" s="11"/>
      <c r="M23" s="22"/>
      <c r="N23" s="11"/>
      <c r="P23" s="22"/>
      <c r="R23" s="11"/>
      <c r="S23" s="11"/>
      <c r="V23" s="11"/>
      <c r="W23" s="22"/>
      <c r="X23" s="22"/>
      <c r="Y23" s="22"/>
      <c r="Z23" s="22"/>
      <c r="AA23" s="22"/>
      <c r="AB23" s="22"/>
      <c r="AC23" s="22"/>
      <c r="AD23" s="22"/>
      <c r="AE23" s="22"/>
      <c r="AH23" s="22"/>
      <c r="AI23" s="22"/>
      <c r="AJ23" s="22"/>
    </row>
    <row r="24" spans="1:36" x14ac:dyDescent="0.45">
      <c r="A24" s="5"/>
      <c r="E24" s="5"/>
      <c r="F24" s="5"/>
      <c r="G24" s="11"/>
      <c r="H24" s="11"/>
      <c r="I24" s="72"/>
      <c r="J24" s="11"/>
      <c r="K24" s="11"/>
      <c r="L24" s="11"/>
      <c r="M24" s="22"/>
      <c r="N24" s="11"/>
      <c r="P24" s="22"/>
      <c r="R24" s="11"/>
      <c r="S24" s="11"/>
      <c r="V24" s="11"/>
      <c r="W24" s="22"/>
      <c r="X24" s="22"/>
      <c r="Y24" s="22"/>
      <c r="Z24" s="22"/>
      <c r="AA24" s="22"/>
      <c r="AB24" s="22"/>
      <c r="AC24" s="22"/>
      <c r="AD24" s="22"/>
      <c r="AE24" s="22"/>
      <c r="AH24" s="22"/>
      <c r="AI24" s="22"/>
      <c r="AJ24" s="22"/>
    </row>
    <row r="25" spans="1:36" x14ac:dyDescent="0.45">
      <c r="A25" s="5"/>
      <c r="E25" s="5"/>
      <c r="F25" s="5"/>
      <c r="G25" s="11"/>
      <c r="H25" s="11"/>
      <c r="I25" s="72"/>
      <c r="J25" s="11"/>
      <c r="K25" s="11"/>
      <c r="L25" s="11"/>
      <c r="M25" s="22"/>
      <c r="N25" s="11"/>
      <c r="P25" s="22"/>
      <c r="R25" s="11"/>
      <c r="S25" s="11"/>
      <c r="V25" s="11"/>
      <c r="W25" s="22"/>
      <c r="X25" s="22"/>
      <c r="Y25" s="22"/>
      <c r="Z25" s="22"/>
      <c r="AA25" s="22"/>
      <c r="AB25" s="22"/>
      <c r="AC25" s="22"/>
      <c r="AD25" s="22"/>
      <c r="AE25" s="22"/>
      <c r="AH25" s="22"/>
      <c r="AI25" s="22"/>
      <c r="AJ25" s="22"/>
    </row>
    <row r="26" spans="1:36" x14ac:dyDescent="0.45">
      <c r="A26" s="5"/>
      <c r="E26" s="5"/>
      <c r="F26" s="5"/>
      <c r="G26" s="11"/>
      <c r="H26" s="11"/>
      <c r="I26" s="72"/>
      <c r="J26" s="11"/>
      <c r="K26" s="11"/>
      <c r="L26" s="11"/>
      <c r="M26" s="22"/>
      <c r="N26" s="11"/>
      <c r="P26" s="22"/>
      <c r="R26" s="11"/>
      <c r="S26" s="11"/>
      <c r="V26" s="11"/>
      <c r="W26" s="22"/>
      <c r="X26" s="22"/>
      <c r="Y26" s="22"/>
      <c r="Z26" s="22"/>
      <c r="AA26" s="22"/>
      <c r="AB26" s="22"/>
      <c r="AC26" s="22"/>
      <c r="AD26" s="22"/>
      <c r="AE26" s="22"/>
      <c r="AH26" s="22"/>
      <c r="AI26" s="22"/>
      <c r="AJ26" s="22"/>
    </row>
    <row r="27" spans="1:36" x14ac:dyDescent="0.45">
      <c r="A27" s="5"/>
      <c r="E27" s="5"/>
      <c r="F27" s="5"/>
      <c r="G27" s="11"/>
      <c r="H27" s="11"/>
      <c r="I27" s="72"/>
      <c r="J27" s="11"/>
      <c r="K27" s="11"/>
      <c r="L27" s="11"/>
      <c r="M27" s="22"/>
      <c r="N27" s="11"/>
      <c r="P27" s="22"/>
      <c r="R27" s="11"/>
      <c r="S27" s="11"/>
      <c r="V27" s="11"/>
      <c r="W27" s="22"/>
      <c r="X27" s="22"/>
      <c r="Y27" s="22"/>
      <c r="Z27" s="22"/>
      <c r="AA27" s="22"/>
      <c r="AB27" s="22"/>
      <c r="AC27" s="22"/>
      <c r="AD27" s="22"/>
      <c r="AE27" s="22"/>
      <c r="AH27" s="22"/>
      <c r="AI27" s="22"/>
      <c r="AJ27" s="22"/>
    </row>
    <row r="28" spans="1:36" x14ac:dyDescent="0.45">
      <c r="A28" s="5"/>
      <c r="E28" s="5"/>
      <c r="F28" s="5"/>
      <c r="G28" s="11"/>
      <c r="H28" s="11"/>
      <c r="I28" s="72"/>
      <c r="J28" s="11"/>
      <c r="K28" s="11"/>
      <c r="L28" s="11"/>
      <c r="M28" s="22"/>
      <c r="N28" s="11"/>
      <c r="P28" s="22"/>
      <c r="R28" s="11"/>
      <c r="S28" s="11"/>
      <c r="V28" s="11"/>
      <c r="W28" s="22"/>
      <c r="X28" s="22"/>
      <c r="Y28" s="22"/>
      <c r="Z28" s="22"/>
      <c r="AA28" s="22"/>
      <c r="AB28" s="22"/>
      <c r="AC28" s="22"/>
      <c r="AD28" s="22"/>
      <c r="AE28" s="22"/>
      <c r="AH28" s="22"/>
      <c r="AI28" s="22"/>
      <c r="AJ28" s="22"/>
    </row>
    <row r="29" spans="1:36" x14ac:dyDescent="0.45">
      <c r="A29" s="5"/>
      <c r="E29" s="5"/>
      <c r="F29" s="5"/>
      <c r="G29" s="11"/>
      <c r="H29" s="11"/>
      <c r="I29" s="72"/>
      <c r="J29" s="11"/>
      <c r="K29" s="11"/>
      <c r="L29" s="11"/>
      <c r="M29" s="22"/>
      <c r="N29" s="11"/>
      <c r="P29" s="22"/>
      <c r="R29" s="11"/>
      <c r="S29" s="11"/>
      <c r="V29" s="11"/>
      <c r="W29" s="22"/>
      <c r="X29" s="22"/>
      <c r="Y29" s="22"/>
      <c r="Z29" s="22"/>
      <c r="AA29" s="22"/>
      <c r="AB29" s="22"/>
      <c r="AC29" s="22"/>
      <c r="AD29" s="22"/>
      <c r="AE29" s="22"/>
      <c r="AH29" s="22"/>
      <c r="AI29" s="22"/>
      <c r="AJ29" s="22"/>
    </row>
    <row r="30" spans="1:36" x14ac:dyDescent="0.45">
      <c r="A30" s="5"/>
      <c r="E30" s="5"/>
      <c r="F30" s="5"/>
      <c r="G30" s="11"/>
      <c r="H30" s="11"/>
      <c r="I30" s="72"/>
      <c r="J30" s="11"/>
      <c r="K30" s="11"/>
      <c r="L30" s="11"/>
      <c r="M30" s="22"/>
      <c r="N30" s="11"/>
      <c r="P30" s="22"/>
      <c r="R30" s="11"/>
      <c r="S30" s="11"/>
      <c r="V30" s="11"/>
      <c r="W30" s="22"/>
      <c r="X30" s="22"/>
      <c r="Y30" s="22"/>
      <c r="Z30" s="22"/>
      <c r="AA30" s="22"/>
      <c r="AB30" s="22"/>
      <c r="AC30" s="22"/>
      <c r="AD30" s="22"/>
      <c r="AE30" s="22"/>
      <c r="AH30" s="22"/>
      <c r="AI30" s="22"/>
      <c r="AJ30" s="22"/>
    </row>
    <row r="31" spans="1:36" x14ac:dyDescent="0.45">
      <c r="A31" s="5"/>
      <c r="E31" s="5"/>
      <c r="F31" s="5"/>
      <c r="G31" s="11"/>
      <c r="H31" s="11"/>
      <c r="I31" s="72"/>
      <c r="J31" s="11"/>
      <c r="K31" s="11"/>
      <c r="L31" s="11"/>
      <c r="M31" s="22"/>
      <c r="N31" s="11"/>
      <c r="P31" s="22"/>
      <c r="R31" s="11"/>
      <c r="S31" s="11"/>
      <c r="V31" s="11"/>
      <c r="W31" s="22"/>
      <c r="X31" s="22"/>
      <c r="Y31" s="22"/>
      <c r="Z31" s="22"/>
      <c r="AA31" s="22"/>
      <c r="AB31" s="22"/>
      <c r="AC31" s="22"/>
      <c r="AD31" s="22"/>
      <c r="AE31" s="22"/>
      <c r="AH31" s="22"/>
      <c r="AI31" s="22"/>
      <c r="AJ31" s="22"/>
    </row>
    <row r="32" spans="1:36" x14ac:dyDescent="0.45">
      <c r="A32" s="5"/>
      <c r="E32" s="5"/>
      <c r="F32" s="5"/>
      <c r="G32" s="11"/>
      <c r="H32" s="11"/>
      <c r="I32" s="72"/>
      <c r="J32" s="11"/>
      <c r="K32" s="11"/>
      <c r="L32" s="11"/>
      <c r="M32" s="22"/>
      <c r="N32" s="11"/>
      <c r="P32" s="22"/>
      <c r="R32" s="11"/>
      <c r="S32" s="11"/>
      <c r="V32" s="11"/>
      <c r="W32" s="22"/>
      <c r="X32" s="22"/>
      <c r="Y32" s="22"/>
      <c r="Z32" s="22"/>
      <c r="AA32" s="22"/>
      <c r="AB32" s="22"/>
      <c r="AC32" s="22"/>
      <c r="AD32" s="22"/>
      <c r="AE32" s="22"/>
      <c r="AH32" s="22"/>
      <c r="AI32" s="22"/>
      <c r="AJ32" s="22"/>
    </row>
    <row r="33" spans="1:36" x14ac:dyDescent="0.45">
      <c r="A33" s="5"/>
      <c r="E33" s="5"/>
      <c r="F33" s="5"/>
      <c r="G33" s="11"/>
      <c r="H33" s="11"/>
      <c r="I33" s="72"/>
      <c r="J33" s="11"/>
      <c r="K33" s="11"/>
      <c r="L33" s="11"/>
      <c r="M33" s="22"/>
      <c r="N33" s="11"/>
      <c r="P33" s="22"/>
      <c r="R33" s="11"/>
      <c r="S33" s="11"/>
      <c r="V33" s="11"/>
      <c r="W33" s="22"/>
      <c r="X33" s="22"/>
      <c r="Y33" s="22"/>
      <c r="Z33" s="22"/>
      <c r="AA33" s="22"/>
      <c r="AB33" s="22"/>
      <c r="AC33" s="22"/>
      <c r="AD33" s="22"/>
      <c r="AE33" s="22"/>
      <c r="AH33" s="22"/>
      <c r="AI33" s="22"/>
      <c r="AJ33" s="22"/>
    </row>
    <row r="34" spans="1:36" x14ac:dyDescent="0.45">
      <c r="A34" s="5"/>
      <c r="E34" s="5"/>
      <c r="F34" s="5"/>
      <c r="G34" s="11"/>
      <c r="H34" s="11"/>
      <c r="I34" s="72"/>
      <c r="J34" s="11"/>
      <c r="K34" s="11"/>
      <c r="L34" s="11"/>
      <c r="M34" s="22"/>
      <c r="N34" s="11"/>
      <c r="P34" s="22"/>
      <c r="R34" s="11"/>
      <c r="S34" s="11"/>
      <c r="V34" s="11"/>
      <c r="W34" s="22"/>
      <c r="X34" s="22"/>
      <c r="Y34" s="22"/>
      <c r="Z34" s="22"/>
      <c r="AA34" s="22"/>
      <c r="AB34" s="22"/>
      <c r="AC34" s="22"/>
      <c r="AD34" s="22"/>
      <c r="AE34" s="22"/>
      <c r="AH34" s="22"/>
      <c r="AI34" s="22"/>
      <c r="AJ34" s="22"/>
    </row>
    <row r="35" spans="1:36" x14ac:dyDescent="0.45">
      <c r="A35" s="5"/>
      <c r="E35" s="5"/>
      <c r="F35" s="5"/>
      <c r="G35" s="11"/>
      <c r="H35" s="11"/>
      <c r="I35" s="72"/>
      <c r="J35" s="11"/>
      <c r="K35" s="11"/>
      <c r="L35" s="11"/>
      <c r="M35" s="22"/>
      <c r="N35" s="11"/>
      <c r="P35" s="22"/>
      <c r="R35" s="11"/>
      <c r="S35" s="11"/>
      <c r="V35" s="11"/>
      <c r="W35" s="22"/>
      <c r="X35" s="22"/>
      <c r="Y35" s="22"/>
      <c r="Z35" s="22"/>
      <c r="AA35" s="22"/>
      <c r="AB35" s="22"/>
      <c r="AC35" s="22"/>
      <c r="AD35" s="22"/>
      <c r="AE35" s="22"/>
      <c r="AH35" s="22"/>
      <c r="AI35" s="22"/>
      <c r="AJ35" s="22"/>
    </row>
    <row r="36" spans="1:36" x14ac:dyDescent="0.45">
      <c r="A36" s="5"/>
      <c r="E36" s="5"/>
      <c r="F36" s="5"/>
      <c r="G36" s="11"/>
      <c r="H36" s="11"/>
      <c r="I36" s="72"/>
      <c r="J36" s="11"/>
      <c r="K36" s="11"/>
      <c r="L36" s="11"/>
      <c r="M36" s="22"/>
      <c r="N36" s="11"/>
      <c r="P36" s="22"/>
      <c r="R36" s="11"/>
      <c r="S36" s="11"/>
      <c r="V36" s="11"/>
      <c r="W36" s="22"/>
      <c r="X36" s="22"/>
      <c r="Y36" s="22"/>
      <c r="Z36" s="22"/>
      <c r="AA36" s="22"/>
      <c r="AB36" s="22"/>
      <c r="AC36" s="22"/>
      <c r="AD36" s="22"/>
      <c r="AE36" s="22"/>
      <c r="AH36" s="22"/>
      <c r="AI36" s="22"/>
      <c r="AJ36" s="22"/>
    </row>
    <row r="37" spans="1:36" x14ac:dyDescent="0.45">
      <c r="A37" s="5"/>
      <c r="E37" s="5"/>
      <c r="F37" s="5"/>
      <c r="G37" s="11"/>
      <c r="H37" s="11"/>
      <c r="I37" s="72"/>
      <c r="J37" s="11"/>
      <c r="K37" s="11"/>
      <c r="L37" s="11"/>
      <c r="M37" s="22"/>
      <c r="N37" s="11"/>
      <c r="P37" s="22"/>
      <c r="R37" s="11"/>
      <c r="S37" s="11"/>
      <c r="V37" s="11"/>
      <c r="W37" s="22"/>
      <c r="X37" s="22"/>
      <c r="Y37" s="22"/>
      <c r="Z37" s="22"/>
      <c r="AA37" s="22"/>
      <c r="AB37" s="22"/>
      <c r="AC37" s="22"/>
      <c r="AD37" s="22"/>
      <c r="AE37" s="22"/>
      <c r="AH37" s="22"/>
      <c r="AI37" s="22"/>
      <c r="AJ37" s="22"/>
    </row>
    <row r="38" spans="1:36" x14ac:dyDescent="0.45">
      <c r="A38" s="5"/>
      <c r="E38" s="5"/>
      <c r="F38" s="5"/>
      <c r="G38" s="11"/>
      <c r="H38" s="11"/>
      <c r="I38" s="72"/>
      <c r="J38" s="11"/>
      <c r="K38" s="11"/>
      <c r="L38" s="11"/>
      <c r="M38" s="22"/>
      <c r="N38" s="11"/>
      <c r="P38" s="22"/>
      <c r="R38" s="11"/>
      <c r="S38" s="11"/>
      <c r="V38" s="11"/>
      <c r="W38" s="22"/>
      <c r="X38" s="22"/>
      <c r="Y38" s="22"/>
      <c r="Z38" s="22"/>
      <c r="AA38" s="22"/>
      <c r="AB38" s="22"/>
      <c r="AC38" s="22"/>
      <c r="AD38" s="22"/>
      <c r="AE38" s="22"/>
      <c r="AH38" s="22"/>
      <c r="AI38" s="22"/>
      <c r="AJ38" s="22"/>
    </row>
    <row r="39" spans="1:36" x14ac:dyDescent="0.45">
      <c r="A39" s="5"/>
      <c r="E39" s="5"/>
      <c r="F39" s="5"/>
      <c r="G39" s="11"/>
      <c r="H39" s="11"/>
      <c r="I39" s="72"/>
      <c r="J39" s="11"/>
      <c r="K39" s="11"/>
      <c r="M39" s="22"/>
      <c r="N39" s="11"/>
      <c r="P39" s="22"/>
      <c r="S39" s="11"/>
      <c r="V39" s="11"/>
      <c r="W39" s="22"/>
      <c r="X39" s="22"/>
      <c r="Y39" s="22"/>
      <c r="Z39" s="22"/>
      <c r="AA39" s="22"/>
      <c r="AB39" s="22"/>
      <c r="AC39" s="22"/>
      <c r="AD39" s="22"/>
      <c r="AE39" s="22"/>
      <c r="AH39" s="22"/>
      <c r="AI39" s="22"/>
      <c r="AJ39" s="22"/>
    </row>
    <row r="40" spans="1:36" x14ac:dyDescent="0.45">
      <c r="A40" s="5"/>
      <c r="E40" s="5"/>
      <c r="F40" s="5"/>
      <c r="G40" s="11"/>
      <c r="H40" s="11"/>
      <c r="I40" s="72"/>
      <c r="J40" s="11"/>
      <c r="K40" s="11"/>
      <c r="M40" s="22"/>
      <c r="N40" s="11"/>
      <c r="P40" s="22"/>
      <c r="S40" s="11"/>
      <c r="V40" s="11"/>
      <c r="W40" s="22"/>
      <c r="X40" s="22"/>
      <c r="Y40" s="22"/>
      <c r="Z40" s="22"/>
      <c r="AA40" s="22"/>
      <c r="AB40" s="22"/>
      <c r="AC40" s="22"/>
      <c r="AD40" s="22"/>
      <c r="AE40" s="22"/>
      <c r="AH40" s="22"/>
      <c r="AI40" s="22"/>
      <c r="AJ40" s="22"/>
    </row>
    <row r="41" spans="1:36" x14ac:dyDescent="0.45">
      <c r="A41" s="5"/>
      <c r="E41" s="5"/>
      <c r="F41" s="5"/>
      <c r="G41" s="11"/>
      <c r="H41" s="11"/>
      <c r="I41" s="72"/>
      <c r="J41" s="11"/>
      <c r="K41" s="11"/>
      <c r="M41" s="22"/>
      <c r="N41" s="11"/>
      <c r="P41" s="22"/>
      <c r="S41" s="11"/>
      <c r="V41" s="11"/>
      <c r="W41" s="22"/>
      <c r="X41" s="22"/>
      <c r="Y41" s="22"/>
      <c r="Z41" s="22"/>
      <c r="AA41" s="22"/>
      <c r="AB41" s="22"/>
      <c r="AC41" s="22"/>
      <c r="AD41" s="22"/>
      <c r="AE41" s="22"/>
      <c r="AH41" s="22"/>
      <c r="AI41" s="22"/>
      <c r="AJ41" s="22"/>
    </row>
    <row r="42" spans="1:36" x14ac:dyDescent="0.45">
      <c r="A42" s="5"/>
      <c r="E42" s="5"/>
      <c r="F42" s="5"/>
      <c r="G42" s="11"/>
      <c r="H42" s="11"/>
      <c r="I42" s="72"/>
      <c r="J42" s="11"/>
      <c r="K42" s="11"/>
      <c r="M42" s="22"/>
      <c r="N42" s="11"/>
      <c r="P42" s="22"/>
      <c r="S42" s="11"/>
      <c r="V42" s="11"/>
      <c r="W42" s="22"/>
      <c r="X42" s="22"/>
      <c r="Y42" s="22"/>
      <c r="Z42" s="22"/>
      <c r="AA42" s="22"/>
      <c r="AB42" s="22"/>
      <c r="AC42" s="22"/>
      <c r="AD42" s="22"/>
      <c r="AE42" s="22"/>
      <c r="AH42" s="22"/>
      <c r="AI42" s="22"/>
      <c r="AJ42" s="22"/>
    </row>
    <row r="43" spans="1:36" x14ac:dyDescent="0.45">
      <c r="A43" s="5"/>
      <c r="E43" s="5"/>
      <c r="F43" s="5"/>
      <c r="G43" s="11"/>
      <c r="H43" s="11"/>
      <c r="I43" s="72"/>
      <c r="J43" s="11"/>
      <c r="K43" s="11"/>
      <c r="M43" s="22"/>
      <c r="N43" s="11"/>
      <c r="P43" s="22"/>
      <c r="S43" s="11"/>
      <c r="V43" s="11"/>
      <c r="W43" s="22"/>
      <c r="X43" s="22"/>
      <c r="Y43" s="22"/>
      <c r="Z43" s="22"/>
      <c r="AA43" s="22"/>
      <c r="AB43" s="22"/>
      <c r="AC43" s="22"/>
      <c r="AD43" s="22"/>
      <c r="AE43" s="22"/>
      <c r="AH43" s="22"/>
      <c r="AI43" s="22"/>
      <c r="AJ43" s="22"/>
    </row>
    <row r="44" spans="1:36" x14ac:dyDescent="0.45">
      <c r="A44" s="5"/>
      <c r="E44" s="5"/>
      <c r="F44" s="5"/>
      <c r="G44" s="11"/>
      <c r="H44" s="11"/>
      <c r="I44" s="72"/>
      <c r="J44" s="11"/>
      <c r="K44" s="11"/>
      <c r="M44" s="22"/>
      <c r="N44" s="11"/>
      <c r="P44" s="22"/>
      <c r="S44" s="11"/>
      <c r="V44" s="11"/>
      <c r="W44" s="22"/>
      <c r="X44" s="22"/>
      <c r="Y44" s="22"/>
      <c r="Z44" s="22"/>
      <c r="AA44" s="22"/>
      <c r="AB44" s="22"/>
      <c r="AC44" s="22"/>
      <c r="AD44" s="22"/>
      <c r="AE44" s="22"/>
      <c r="AH44" s="22"/>
      <c r="AI44" s="22"/>
      <c r="AJ44" s="22"/>
    </row>
    <row r="45" spans="1:36" x14ac:dyDescent="0.45">
      <c r="A45" s="5"/>
      <c r="E45" s="5"/>
      <c r="F45" s="5"/>
      <c r="G45" s="11"/>
      <c r="H45" s="11"/>
      <c r="I45" s="72"/>
      <c r="J45" s="11"/>
      <c r="K45" s="11"/>
      <c r="M45" s="22"/>
      <c r="N45" s="11"/>
      <c r="P45" s="22"/>
      <c r="S45" s="11"/>
      <c r="V45" s="11"/>
      <c r="W45" s="22"/>
      <c r="X45" s="22"/>
      <c r="Y45" s="22"/>
      <c r="Z45" s="22"/>
      <c r="AA45" s="22"/>
      <c r="AB45" s="22"/>
      <c r="AC45" s="22"/>
      <c r="AD45" s="22"/>
      <c r="AE45" s="22"/>
      <c r="AH45" s="22"/>
      <c r="AI45" s="22"/>
      <c r="AJ45" s="22"/>
    </row>
    <row r="46" spans="1:36" x14ac:dyDescent="0.45">
      <c r="A46" s="5"/>
      <c r="E46" s="5"/>
      <c r="F46" s="5"/>
      <c r="G46" s="11"/>
      <c r="H46" s="11"/>
      <c r="I46" s="72"/>
      <c r="J46" s="11"/>
      <c r="K46" s="11"/>
      <c r="M46" s="22"/>
      <c r="N46" s="11"/>
      <c r="O46" s="3"/>
      <c r="P46" s="22"/>
      <c r="S46" s="11"/>
      <c r="V46" s="11"/>
      <c r="W46" s="22"/>
      <c r="X46" s="22"/>
      <c r="Y46" s="22"/>
      <c r="Z46" s="22"/>
      <c r="AA46" s="22"/>
      <c r="AB46" s="22"/>
      <c r="AC46" s="22"/>
      <c r="AD46" s="22"/>
      <c r="AE46" s="22"/>
      <c r="AH46" s="22"/>
      <c r="AI46" s="22"/>
      <c r="AJ46" s="22"/>
    </row>
    <row r="47" spans="1:36" x14ac:dyDescent="0.45">
      <c r="A47" s="5"/>
      <c r="E47" s="5"/>
      <c r="F47" s="5"/>
      <c r="G47" s="11"/>
      <c r="H47" s="11"/>
      <c r="I47" s="72"/>
      <c r="J47" s="11"/>
      <c r="K47" s="11"/>
      <c r="M47" s="22"/>
      <c r="N47" s="11"/>
      <c r="O47" s="3"/>
      <c r="P47" s="22"/>
      <c r="S47" s="11"/>
      <c r="V47" s="11"/>
      <c r="W47" s="22"/>
      <c r="X47" s="22"/>
      <c r="Y47" s="22"/>
      <c r="Z47" s="22"/>
      <c r="AA47" s="22"/>
      <c r="AB47" s="22"/>
      <c r="AC47" s="22"/>
      <c r="AD47" s="22"/>
      <c r="AE47" s="22"/>
      <c r="AH47" s="22"/>
      <c r="AI47" s="22"/>
      <c r="AJ47" s="22"/>
    </row>
    <row r="48" spans="1:36" x14ac:dyDescent="0.45">
      <c r="A48" s="5"/>
      <c r="E48" s="5"/>
      <c r="F48" s="5"/>
      <c r="G48" s="11"/>
      <c r="H48" s="11"/>
      <c r="I48" s="72"/>
      <c r="J48" s="11"/>
      <c r="K48" s="11"/>
      <c r="M48" s="22"/>
      <c r="N48" s="11"/>
      <c r="O48" s="3"/>
      <c r="P48" s="22"/>
      <c r="S48" s="11"/>
      <c r="V48" s="11"/>
      <c r="W48" s="22"/>
      <c r="X48" s="22"/>
      <c r="Y48" s="22"/>
      <c r="Z48" s="22"/>
      <c r="AA48" s="22"/>
      <c r="AB48" s="22"/>
      <c r="AC48" s="22"/>
      <c r="AD48" s="22"/>
      <c r="AE48" s="22"/>
      <c r="AH48" s="22"/>
      <c r="AI48" s="22"/>
      <c r="AJ48" s="22"/>
    </row>
    <row r="49" spans="1:36" x14ac:dyDescent="0.45">
      <c r="A49" s="5"/>
      <c r="E49" s="5"/>
      <c r="F49" s="5"/>
      <c r="G49" s="11"/>
      <c r="H49" s="11"/>
      <c r="I49" s="72"/>
      <c r="J49" s="11"/>
      <c r="K49" s="11"/>
      <c r="M49" s="22"/>
      <c r="N49" s="11"/>
      <c r="O49" s="3"/>
      <c r="P49" s="22"/>
      <c r="S49" s="11"/>
      <c r="V49" s="11"/>
      <c r="W49" s="22"/>
      <c r="X49" s="22"/>
      <c r="Y49" s="22"/>
      <c r="Z49" s="22"/>
      <c r="AA49" s="22"/>
      <c r="AB49" s="22"/>
      <c r="AC49" s="22"/>
      <c r="AD49" s="22"/>
      <c r="AE49" s="22"/>
      <c r="AH49" s="22"/>
      <c r="AI49" s="22"/>
      <c r="AJ49" s="22"/>
    </row>
    <row r="50" spans="1:36" x14ac:dyDescent="0.45">
      <c r="A50" s="5"/>
      <c r="E50" s="5"/>
      <c r="F50" s="5"/>
      <c r="G50" s="11"/>
      <c r="H50" s="11"/>
      <c r="I50" s="72"/>
      <c r="J50" s="11"/>
      <c r="K50" s="11"/>
      <c r="M50" s="22"/>
      <c r="N50" s="11"/>
      <c r="O50" s="3"/>
      <c r="P50" s="22"/>
      <c r="S50" s="11"/>
      <c r="V50" s="11"/>
      <c r="W50" s="22"/>
      <c r="X50" s="22"/>
      <c r="Y50" s="22"/>
      <c r="Z50" s="22"/>
      <c r="AA50" s="22"/>
      <c r="AB50" s="22"/>
      <c r="AC50" s="22"/>
      <c r="AD50" s="22"/>
      <c r="AE50" s="22"/>
      <c r="AH50" s="22"/>
      <c r="AI50" s="22"/>
      <c r="AJ50" s="22"/>
    </row>
  </sheetData>
  <autoFilter ref="A13:AO36" xr:uid="{00000000-0009-0000-0000-000010000000}"/>
  <mergeCells count="25">
    <mergeCell ref="H10:H11"/>
    <mergeCell ref="I10:I11"/>
    <mergeCell ref="AE10:AG10"/>
    <mergeCell ref="J10:J11"/>
    <mergeCell ref="L10:M10"/>
    <mergeCell ref="N10:N11"/>
    <mergeCell ref="Q10:R10"/>
    <mergeCell ref="AC10:AD10"/>
    <mergeCell ref="AB10:AB11"/>
    <mergeCell ref="AH10:AH11"/>
    <mergeCell ref="AI10:AI11"/>
    <mergeCell ref="G12:H12"/>
    <mergeCell ref="AC9:AG9"/>
    <mergeCell ref="A10:A11"/>
    <mergeCell ref="B10:B11"/>
    <mergeCell ref="C10:C11"/>
    <mergeCell ref="D10:D11"/>
    <mergeCell ref="E10:E11"/>
    <mergeCell ref="K10:K11"/>
    <mergeCell ref="K9:N9"/>
    <mergeCell ref="O9:P9"/>
    <mergeCell ref="Q9:T9"/>
    <mergeCell ref="W9:AA9"/>
    <mergeCell ref="F10:F11"/>
    <mergeCell ref="G10:G11"/>
  </mergeCells>
  <pageMargins left="0.7" right="0.7" top="0.75" bottom="0.75" header="0.3" footer="0.3"/>
  <pageSetup orientation="portrait" r:id="rId1"/>
  <drawing r:id="rId2"/>
  <legacyDrawing r:id="rId3"/>
  <controls>
    <mc:AlternateContent xmlns:mc="http://schemas.openxmlformats.org/markup-compatibility/2006">
      <mc:Choice Requires="x14">
        <control shapeId="23554" r:id="rId4" name="CommandButton1">
          <controlPr defaultSize="0" autoLine="0" r:id="rId5">
            <anchor moveWithCells="1">
              <from>
                <xdr:col>1</xdr:col>
                <xdr:colOff>95250</xdr:colOff>
                <xdr:row>5</xdr:row>
                <xdr:rowOff>9525</xdr:rowOff>
              </from>
              <to>
                <xdr:col>1</xdr:col>
                <xdr:colOff>1343025</xdr:colOff>
                <xdr:row>6</xdr:row>
                <xdr:rowOff>228600</xdr:rowOff>
              </to>
            </anchor>
          </controlPr>
        </control>
      </mc:Choice>
      <mc:Fallback>
        <control shapeId="23554" r:id="rId4" name="CommandButton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hang12">
    <tabColor theme="7"/>
  </sheetPr>
  <dimension ref="A1:AO50"/>
  <sheetViews>
    <sheetView showGridLines="0" topLeftCell="A12" workbookViewId="0">
      <selection activeCell="R28" sqref="R28"/>
    </sheetView>
  </sheetViews>
  <sheetFormatPr defaultColWidth="9.1328125" defaultRowHeight="14.25" x14ac:dyDescent="0.45"/>
  <cols>
    <col min="1" max="1" width="7.59765625" style="3" customWidth="1"/>
    <col min="2" max="2" width="24.1328125" style="3" customWidth="1"/>
    <col min="3" max="3" width="14.59765625" style="5" customWidth="1"/>
    <col min="4" max="4" width="14.86328125" style="5" customWidth="1"/>
    <col min="5" max="5" width="10.265625" style="3" customWidth="1"/>
    <col min="6" max="6" width="8.1328125" style="3" customWidth="1"/>
    <col min="7" max="7" width="14" style="3" customWidth="1"/>
    <col min="8" max="8" width="13.73046875" style="3" customWidth="1"/>
    <col min="9" max="9" width="8.265625" style="44" customWidth="1"/>
    <col min="10" max="10" width="15.1328125" style="3" customWidth="1"/>
    <col min="11" max="11" width="13.73046875" style="3" customWidth="1"/>
    <col min="12" max="12" width="9" style="3" customWidth="1"/>
    <col min="13" max="13" width="14.265625" style="3" customWidth="1"/>
    <col min="14" max="14" width="12.73046875" style="3" customWidth="1"/>
    <col min="15" max="15" width="8.86328125" style="5" customWidth="1"/>
    <col min="16" max="17" width="10.265625" style="3" customWidth="1"/>
    <col min="18" max="18" width="14.265625" style="3" customWidth="1"/>
    <col min="19" max="19" width="13.59765625" style="3" hidden="1" customWidth="1"/>
    <col min="20" max="20" width="14.265625" style="3" customWidth="1"/>
    <col min="21" max="21" width="14" style="3" customWidth="1"/>
    <col min="22" max="22" width="16.1328125" style="3" customWidth="1"/>
    <col min="23" max="26" width="13.265625" style="3" customWidth="1"/>
    <col min="27" max="27" width="12.265625" style="3" customWidth="1"/>
    <col min="28" max="28" width="14.73046875" style="3" customWidth="1"/>
    <col min="29" max="29" width="14.265625" style="3" customWidth="1"/>
    <col min="30" max="30" width="12" style="3" customWidth="1"/>
    <col min="31" max="31" width="13.86328125" style="3" customWidth="1"/>
    <col min="32" max="33" width="9.1328125" style="3" hidden="1" customWidth="1"/>
    <col min="34" max="34" width="14" style="3" bestFit="1" customWidth="1"/>
    <col min="35" max="35" width="13" style="3" customWidth="1"/>
    <col min="36" max="37" width="13.73046875" style="3" customWidth="1"/>
    <col min="38" max="41" width="8.1328125" style="3" hidden="1" customWidth="1"/>
    <col min="42" max="16384" width="9.1328125" style="3"/>
  </cols>
  <sheetData>
    <row r="1" spans="1:41" ht="18" customHeight="1" thickBot="1" x14ac:dyDescent="0.5">
      <c r="A1" s="3" t="s">
        <v>376</v>
      </c>
      <c r="B1" s="59" t="s">
        <v>72</v>
      </c>
      <c r="C1" s="6">
        <v>12</v>
      </c>
      <c r="E1" s="376" t="s">
        <v>39</v>
      </c>
      <c r="F1" s="314"/>
      <c r="G1" s="377"/>
      <c r="H1" s="314"/>
      <c r="I1" s="378"/>
      <c r="J1" s="314"/>
      <c r="K1" s="314"/>
      <c r="L1" s="314"/>
      <c r="M1" s="314"/>
      <c r="N1" s="314"/>
      <c r="O1" s="377"/>
      <c r="P1" s="314"/>
      <c r="Q1" s="314"/>
      <c r="R1" s="314"/>
      <c r="S1" s="314"/>
      <c r="T1" s="314"/>
      <c r="U1" s="314"/>
      <c r="V1" s="314"/>
      <c r="W1" s="314"/>
      <c r="X1" s="314"/>
      <c r="Y1" s="314"/>
      <c r="Z1" s="314"/>
      <c r="AA1" s="314"/>
      <c r="AB1" s="314"/>
      <c r="AC1" s="314"/>
      <c r="AD1" s="314"/>
      <c r="AE1" s="314"/>
      <c r="AF1" s="314"/>
      <c r="AG1" s="314"/>
      <c r="AH1" s="314"/>
      <c r="AI1" s="314"/>
      <c r="AJ1" s="314"/>
      <c r="AK1" s="314"/>
      <c r="AL1" s="86"/>
      <c r="AM1" s="86"/>
      <c r="AN1" s="86"/>
      <c r="AO1" s="86"/>
    </row>
    <row r="2" spans="1:41" s="150" customFormat="1" ht="14.25" customHeight="1" thickTop="1" x14ac:dyDescent="0.45">
      <c r="C2" s="70"/>
      <c r="D2" s="70"/>
      <c r="E2" s="379">
        <f t="array" aca="1" ref="E2" ca="1">IFERROR(INDEX(INDIRECT($E$8),MATCH(0,COUNTIF(E$1:$E1,INDIRECT($E$8)&amp;""),0)),"")</f>
        <v>0</v>
      </c>
      <c r="F2" s="380">
        <f t="shared" ref="F2:U6" ca="1" si="0">SUMIFS(F$14:F$1400,$E$14:$E$1400,$E2)</f>
        <v>0</v>
      </c>
      <c r="G2" s="380">
        <f t="shared" ca="1" si="0"/>
        <v>0</v>
      </c>
      <c r="H2" s="380">
        <f t="shared" ca="1" si="0"/>
        <v>0</v>
      </c>
      <c r="I2" s="380"/>
      <c r="J2" s="380">
        <f t="shared" ca="1" si="0"/>
        <v>0</v>
      </c>
      <c r="K2" s="380">
        <f t="shared" ca="1" si="0"/>
        <v>0</v>
      </c>
      <c r="L2" s="380">
        <f t="shared" ca="1" si="0"/>
        <v>0</v>
      </c>
      <c r="M2" s="380">
        <f t="shared" ca="1" si="0"/>
        <v>0</v>
      </c>
      <c r="N2" s="380">
        <f t="shared" ca="1" si="0"/>
        <v>0</v>
      </c>
      <c r="O2" s="381">
        <f t="shared" ca="1" si="0"/>
        <v>0</v>
      </c>
      <c r="P2" s="380">
        <f t="shared" ca="1" si="0"/>
        <v>0</v>
      </c>
      <c r="Q2" s="380">
        <f t="shared" ca="1" si="0"/>
        <v>0</v>
      </c>
      <c r="R2" s="380">
        <f t="shared" ca="1" si="0"/>
        <v>0</v>
      </c>
      <c r="S2" s="380">
        <f t="shared" ca="1" si="0"/>
        <v>0</v>
      </c>
      <c r="T2" s="380">
        <f t="shared" ca="1" si="0"/>
        <v>0</v>
      </c>
      <c r="U2" s="380">
        <f t="shared" ca="1" si="0"/>
        <v>0</v>
      </c>
      <c r="V2" s="380">
        <f t="shared" ref="V2:AJ6" ca="1" si="1">SUMIFS(V$14:V$1400,$E$14:$E$1400,$E2)</f>
        <v>0</v>
      </c>
      <c r="W2" s="380">
        <f t="shared" ca="1" si="1"/>
        <v>0</v>
      </c>
      <c r="X2" s="380">
        <f ca="1">SUMIFS(X$14:X$1400,$E$14:$E$1400,$E2)</f>
        <v>0</v>
      </c>
      <c r="Y2" s="380"/>
      <c r="Z2" s="380">
        <f t="shared" ca="1" si="1"/>
        <v>0</v>
      </c>
      <c r="AA2" s="380">
        <f t="shared" ca="1" si="1"/>
        <v>0</v>
      </c>
      <c r="AB2" s="380">
        <f t="shared" ca="1" si="1"/>
        <v>0</v>
      </c>
      <c r="AC2" s="380">
        <f t="shared" ca="1" si="1"/>
        <v>0</v>
      </c>
      <c r="AD2" s="380">
        <f t="shared" ca="1" si="1"/>
        <v>0</v>
      </c>
      <c r="AE2" s="380">
        <f t="shared" ca="1" si="1"/>
        <v>0</v>
      </c>
      <c r="AF2" s="382">
        <f t="shared" ca="1" si="1"/>
        <v>0</v>
      </c>
      <c r="AG2" s="382">
        <f t="shared" ca="1" si="1"/>
        <v>0</v>
      </c>
      <c r="AH2" s="380">
        <f t="shared" ca="1" si="1"/>
        <v>0</v>
      </c>
      <c r="AI2" s="380">
        <f t="shared" ca="1" si="1"/>
        <v>0</v>
      </c>
      <c r="AJ2" s="380">
        <f t="shared" ca="1" si="1"/>
        <v>0</v>
      </c>
      <c r="AK2" s="383"/>
      <c r="AL2" s="86"/>
      <c r="AM2" s="86"/>
      <c r="AN2" s="86"/>
      <c r="AO2" s="86"/>
    </row>
    <row r="3" spans="1:41" s="150" customFormat="1" ht="14.25" customHeight="1" x14ac:dyDescent="0.45">
      <c r="C3" s="70"/>
      <c r="D3" s="70"/>
      <c r="E3" s="379">
        <f t="array" aca="1" ref="E3" ca="1">IFERROR(INDEX(INDIRECT($E$8),MATCH(0,COUNTIF(E$1:$E2,INDIRECT($E$8)&amp;""),0)),"")</f>
        <v>0</v>
      </c>
      <c r="F3" s="384">
        <f t="shared" ca="1" si="0"/>
        <v>0</v>
      </c>
      <c r="G3" s="384">
        <f t="shared" ca="1" si="0"/>
        <v>0</v>
      </c>
      <c r="H3" s="384">
        <f ca="1">SUMIFS(H$14:H$1400,$E$14:$E$1400,$E3)</f>
        <v>0</v>
      </c>
      <c r="I3" s="384"/>
      <c r="J3" s="384">
        <f t="shared" ca="1" si="0"/>
        <v>0</v>
      </c>
      <c r="K3" s="384">
        <f t="shared" ca="1" si="0"/>
        <v>0</v>
      </c>
      <c r="L3" s="384">
        <f t="shared" ca="1" si="0"/>
        <v>0</v>
      </c>
      <c r="M3" s="384">
        <f t="shared" ca="1" si="0"/>
        <v>0</v>
      </c>
      <c r="N3" s="384">
        <f t="shared" ca="1" si="0"/>
        <v>0</v>
      </c>
      <c r="O3" s="385">
        <f t="shared" ca="1" si="0"/>
        <v>0</v>
      </c>
      <c r="P3" s="384">
        <f t="shared" ca="1" si="0"/>
        <v>0</v>
      </c>
      <c r="Q3" s="384">
        <f t="shared" ca="1" si="0"/>
        <v>0</v>
      </c>
      <c r="R3" s="384">
        <f t="shared" ca="1" si="0"/>
        <v>0</v>
      </c>
      <c r="S3" s="384">
        <f t="shared" ca="1" si="0"/>
        <v>0</v>
      </c>
      <c r="T3" s="384">
        <f t="shared" ca="1" si="0"/>
        <v>0</v>
      </c>
      <c r="U3" s="384">
        <f t="shared" ca="1" si="0"/>
        <v>0</v>
      </c>
      <c r="V3" s="384">
        <f t="shared" ca="1" si="1"/>
        <v>0</v>
      </c>
      <c r="W3" s="384">
        <f t="shared" ca="1" si="1"/>
        <v>0</v>
      </c>
      <c r="X3" s="384">
        <f ca="1">SUMIFS(X$14:X$1400,$E$14:$E$1400,$E3)</f>
        <v>0</v>
      </c>
      <c r="Y3" s="384"/>
      <c r="Z3" s="384">
        <f t="shared" ca="1" si="1"/>
        <v>0</v>
      </c>
      <c r="AA3" s="384">
        <f t="shared" ca="1" si="1"/>
        <v>0</v>
      </c>
      <c r="AB3" s="384">
        <f t="shared" ca="1" si="1"/>
        <v>0</v>
      </c>
      <c r="AC3" s="384">
        <f t="shared" ca="1" si="1"/>
        <v>0</v>
      </c>
      <c r="AD3" s="384">
        <f t="shared" ca="1" si="1"/>
        <v>0</v>
      </c>
      <c r="AE3" s="384">
        <f t="shared" ca="1" si="1"/>
        <v>0</v>
      </c>
      <c r="AF3" s="386">
        <f t="shared" ca="1" si="1"/>
        <v>0</v>
      </c>
      <c r="AG3" s="386">
        <f t="shared" ca="1" si="1"/>
        <v>0</v>
      </c>
      <c r="AH3" s="384">
        <f t="shared" ca="1" si="1"/>
        <v>0</v>
      </c>
      <c r="AI3" s="384">
        <f t="shared" ca="1" si="1"/>
        <v>0</v>
      </c>
      <c r="AJ3" s="384">
        <f t="shared" ca="1" si="1"/>
        <v>0</v>
      </c>
      <c r="AK3" s="387"/>
      <c r="AL3" s="86"/>
      <c r="AM3" s="86"/>
      <c r="AN3" s="86"/>
      <c r="AO3" s="86"/>
    </row>
    <row r="4" spans="1:41" ht="14.25" customHeight="1" x14ac:dyDescent="0.45">
      <c r="E4" s="379">
        <f t="array" aca="1" ref="E4" ca="1">IFERROR(INDEX(INDIRECT($E$8),MATCH(0,COUNTIF(E$1:$E3,INDIRECT($E$8)&amp;""),0)),"")</f>
        <v>0</v>
      </c>
      <c r="F4" s="384">
        <f t="shared" ca="1" si="0"/>
        <v>0</v>
      </c>
      <c r="G4" s="384">
        <f t="shared" ca="1" si="0"/>
        <v>0</v>
      </c>
      <c r="H4" s="384">
        <f t="shared" ca="1" si="0"/>
        <v>0</v>
      </c>
      <c r="I4" s="384"/>
      <c r="J4" s="384">
        <f t="shared" ca="1" si="0"/>
        <v>0</v>
      </c>
      <c r="K4" s="384">
        <f t="shared" ca="1" si="0"/>
        <v>0</v>
      </c>
      <c r="L4" s="384">
        <f t="shared" ca="1" si="0"/>
        <v>0</v>
      </c>
      <c r="M4" s="384">
        <f t="shared" ca="1" si="0"/>
        <v>0</v>
      </c>
      <c r="N4" s="384">
        <f t="shared" ca="1" si="0"/>
        <v>0</v>
      </c>
      <c r="O4" s="385">
        <f t="shared" ca="1" si="0"/>
        <v>0</v>
      </c>
      <c r="P4" s="384">
        <f t="shared" ca="1" si="0"/>
        <v>0</v>
      </c>
      <c r="Q4" s="384">
        <f t="shared" ca="1" si="0"/>
        <v>0</v>
      </c>
      <c r="R4" s="384">
        <f t="shared" ca="1" si="0"/>
        <v>0</v>
      </c>
      <c r="S4" s="384">
        <f t="shared" ca="1" si="0"/>
        <v>0</v>
      </c>
      <c r="T4" s="384">
        <f t="shared" ca="1" si="0"/>
        <v>0</v>
      </c>
      <c r="U4" s="384">
        <f t="shared" ca="1" si="0"/>
        <v>0</v>
      </c>
      <c r="V4" s="384">
        <f t="shared" ca="1" si="1"/>
        <v>0</v>
      </c>
      <c r="W4" s="384">
        <f t="shared" ca="1" si="1"/>
        <v>0</v>
      </c>
      <c r="X4" s="384">
        <f t="shared" ca="1" si="1"/>
        <v>0</v>
      </c>
      <c r="Y4" s="384"/>
      <c r="Z4" s="384">
        <f t="shared" ca="1" si="1"/>
        <v>0</v>
      </c>
      <c r="AA4" s="384">
        <f t="shared" ca="1" si="1"/>
        <v>0</v>
      </c>
      <c r="AB4" s="384">
        <f t="shared" ca="1" si="1"/>
        <v>0</v>
      </c>
      <c r="AC4" s="384">
        <f t="shared" ca="1" si="1"/>
        <v>0</v>
      </c>
      <c r="AD4" s="384">
        <f t="shared" ca="1" si="1"/>
        <v>0</v>
      </c>
      <c r="AE4" s="384">
        <f t="shared" ca="1" si="1"/>
        <v>0</v>
      </c>
      <c r="AF4" s="384">
        <f t="shared" ca="1" si="1"/>
        <v>0</v>
      </c>
      <c r="AG4" s="384">
        <f t="shared" ca="1" si="1"/>
        <v>0</v>
      </c>
      <c r="AH4" s="384">
        <f t="shared" ca="1" si="1"/>
        <v>0</v>
      </c>
      <c r="AI4" s="384">
        <f t="shared" ca="1" si="1"/>
        <v>0</v>
      </c>
      <c r="AJ4" s="384">
        <f t="shared" ca="1" si="1"/>
        <v>0</v>
      </c>
      <c r="AK4" s="387"/>
      <c r="AL4" s="86"/>
      <c r="AM4" s="86"/>
      <c r="AN4" s="86"/>
      <c r="AO4" s="86"/>
    </row>
    <row r="5" spans="1:41" ht="14.25" customHeight="1" x14ac:dyDescent="0.45">
      <c r="E5" s="379">
        <f t="array" aca="1" ref="E5" ca="1">IFERROR(INDEX(INDIRECT($E$8),MATCH(0,COUNTIF(E$1:$E4,INDIRECT($E$8)&amp;""),0)),"")</f>
        <v>0</v>
      </c>
      <c r="F5" s="384">
        <f t="shared" ca="1" si="0"/>
        <v>0</v>
      </c>
      <c r="G5" s="384">
        <f t="shared" ca="1" si="0"/>
        <v>0</v>
      </c>
      <c r="H5" s="384">
        <f t="shared" ca="1" si="0"/>
        <v>0</v>
      </c>
      <c r="I5" s="384"/>
      <c r="J5" s="384">
        <f t="shared" ca="1" si="0"/>
        <v>0</v>
      </c>
      <c r="K5" s="384">
        <f t="shared" ca="1" si="0"/>
        <v>0</v>
      </c>
      <c r="L5" s="384">
        <f t="shared" ca="1" si="0"/>
        <v>0</v>
      </c>
      <c r="M5" s="384">
        <f t="shared" ca="1" si="0"/>
        <v>0</v>
      </c>
      <c r="N5" s="384">
        <f t="shared" ca="1" si="0"/>
        <v>0</v>
      </c>
      <c r="O5" s="385">
        <f t="shared" ca="1" si="0"/>
        <v>0</v>
      </c>
      <c r="P5" s="384">
        <f t="shared" ca="1" si="0"/>
        <v>0</v>
      </c>
      <c r="Q5" s="384">
        <f t="shared" ca="1" si="0"/>
        <v>0</v>
      </c>
      <c r="R5" s="384">
        <f t="shared" ca="1" si="0"/>
        <v>0</v>
      </c>
      <c r="S5" s="384">
        <f t="shared" ca="1" si="0"/>
        <v>0</v>
      </c>
      <c r="T5" s="384">
        <f t="shared" ca="1" si="0"/>
        <v>0</v>
      </c>
      <c r="U5" s="384">
        <f t="shared" ca="1" si="0"/>
        <v>0</v>
      </c>
      <c r="V5" s="384">
        <f t="shared" ca="1" si="1"/>
        <v>0</v>
      </c>
      <c r="W5" s="384">
        <f t="shared" ca="1" si="1"/>
        <v>0</v>
      </c>
      <c r="X5" s="384">
        <f t="shared" ca="1" si="1"/>
        <v>0</v>
      </c>
      <c r="Y5" s="384"/>
      <c r="Z5" s="384">
        <f t="shared" ca="1" si="1"/>
        <v>0</v>
      </c>
      <c r="AA5" s="384">
        <f t="shared" ca="1" si="1"/>
        <v>0</v>
      </c>
      <c r="AB5" s="384">
        <f t="shared" ca="1" si="1"/>
        <v>0</v>
      </c>
      <c r="AC5" s="384">
        <f t="shared" ca="1" si="1"/>
        <v>0</v>
      </c>
      <c r="AD5" s="384">
        <f t="shared" ca="1" si="1"/>
        <v>0</v>
      </c>
      <c r="AE5" s="384">
        <f t="shared" ca="1" si="1"/>
        <v>0</v>
      </c>
      <c r="AF5" s="384">
        <f t="shared" ca="1" si="1"/>
        <v>0</v>
      </c>
      <c r="AG5" s="384">
        <f t="shared" ca="1" si="1"/>
        <v>0</v>
      </c>
      <c r="AH5" s="384">
        <f t="shared" ca="1" si="1"/>
        <v>0</v>
      </c>
      <c r="AI5" s="384">
        <f t="shared" ca="1" si="1"/>
        <v>0</v>
      </c>
      <c r="AJ5" s="384">
        <f t="shared" ca="1" si="1"/>
        <v>0</v>
      </c>
      <c r="AK5" s="387"/>
      <c r="AL5" s="86"/>
      <c r="AM5" s="86"/>
      <c r="AN5" s="86"/>
      <c r="AO5" s="86"/>
    </row>
    <row r="6" spans="1:41" ht="13.5" customHeight="1" x14ac:dyDescent="0.45">
      <c r="E6" s="379">
        <f t="array" aca="1" ref="E6" ca="1">IFERROR(INDEX(INDIRECT($E$8),MATCH(0,COUNTIF(E$1:$E5,INDIRECT($E$8)&amp;""),0)),"")</f>
        <v>0</v>
      </c>
      <c r="F6" s="384">
        <f t="shared" ca="1" si="0"/>
        <v>0</v>
      </c>
      <c r="G6" s="384">
        <f t="shared" ca="1" si="0"/>
        <v>0</v>
      </c>
      <c r="H6" s="384">
        <f t="shared" ca="1" si="0"/>
        <v>0</v>
      </c>
      <c r="I6" s="384"/>
      <c r="J6" s="384">
        <f t="shared" ca="1" si="0"/>
        <v>0</v>
      </c>
      <c r="K6" s="384">
        <f t="shared" ca="1" si="0"/>
        <v>0</v>
      </c>
      <c r="L6" s="384">
        <f t="shared" ca="1" si="0"/>
        <v>0</v>
      </c>
      <c r="M6" s="384">
        <f t="shared" ca="1" si="0"/>
        <v>0</v>
      </c>
      <c r="N6" s="384">
        <f t="shared" ca="1" si="0"/>
        <v>0</v>
      </c>
      <c r="O6" s="385">
        <f t="shared" ca="1" si="0"/>
        <v>0</v>
      </c>
      <c r="P6" s="384">
        <f t="shared" ca="1" si="0"/>
        <v>0</v>
      </c>
      <c r="Q6" s="384">
        <f t="shared" ca="1" si="0"/>
        <v>0</v>
      </c>
      <c r="R6" s="384">
        <f t="shared" ca="1" si="0"/>
        <v>0</v>
      </c>
      <c r="S6" s="384">
        <f t="shared" ca="1" si="0"/>
        <v>0</v>
      </c>
      <c r="T6" s="384">
        <f t="shared" ca="1" si="0"/>
        <v>0</v>
      </c>
      <c r="U6" s="384">
        <f t="shared" ca="1" si="0"/>
        <v>0</v>
      </c>
      <c r="V6" s="384">
        <f t="shared" ca="1" si="1"/>
        <v>0</v>
      </c>
      <c r="W6" s="384">
        <f t="shared" ca="1" si="1"/>
        <v>0</v>
      </c>
      <c r="X6" s="384">
        <f ca="1">SUMIFS(X$14:X$1400,$E$14:$E$1400,$E6)</f>
        <v>0</v>
      </c>
      <c r="Y6" s="384"/>
      <c r="Z6" s="384">
        <f t="shared" ca="1" si="1"/>
        <v>0</v>
      </c>
      <c r="AA6" s="384">
        <f t="shared" ca="1" si="1"/>
        <v>0</v>
      </c>
      <c r="AB6" s="384">
        <f t="shared" ca="1" si="1"/>
        <v>0</v>
      </c>
      <c r="AC6" s="384">
        <f t="shared" ca="1" si="1"/>
        <v>0</v>
      </c>
      <c r="AD6" s="384">
        <f t="shared" ca="1" si="1"/>
        <v>0</v>
      </c>
      <c r="AE6" s="384">
        <f t="shared" ca="1" si="1"/>
        <v>0</v>
      </c>
      <c r="AF6" s="384">
        <f t="shared" ca="1" si="1"/>
        <v>0</v>
      </c>
      <c r="AG6" s="384">
        <f t="shared" ca="1" si="1"/>
        <v>0</v>
      </c>
      <c r="AH6" s="384">
        <f t="shared" ca="1" si="1"/>
        <v>0</v>
      </c>
      <c r="AI6" s="384">
        <f t="shared" ca="1" si="1"/>
        <v>0</v>
      </c>
      <c r="AJ6" s="384">
        <f t="shared" ca="1" si="1"/>
        <v>0</v>
      </c>
      <c r="AK6" s="387"/>
      <c r="AL6" s="86"/>
      <c r="AM6" s="86"/>
      <c r="AN6" s="86"/>
      <c r="AO6" s="86"/>
    </row>
    <row r="7" spans="1:41" s="58" customFormat="1" ht="19.7" customHeight="1" x14ac:dyDescent="0.45">
      <c r="C7" s="61">
        <f ca="1">COUNTIF(I14:I1400,"&gt;0")</f>
        <v>0</v>
      </c>
      <c r="D7" s="61"/>
      <c r="E7" s="64" t="s">
        <v>82</v>
      </c>
      <c r="F7" s="63">
        <f ca="1">SUM(F2:F6)</f>
        <v>0</v>
      </c>
      <c r="G7" s="63">
        <f ca="1">SUM(G2:G6)</f>
        <v>0</v>
      </c>
      <c r="H7" s="63">
        <f t="shared" ref="H7:AJ7" ca="1" si="2">SUM(H2:H6)</f>
        <v>0</v>
      </c>
      <c r="I7" s="63"/>
      <c r="J7" s="63">
        <f t="shared" ca="1" si="2"/>
        <v>0</v>
      </c>
      <c r="K7" s="63">
        <f t="shared" ca="1" si="2"/>
        <v>0</v>
      </c>
      <c r="L7" s="63">
        <f t="shared" ca="1" si="2"/>
        <v>0</v>
      </c>
      <c r="M7" s="63">
        <f t="shared" ca="1" si="2"/>
        <v>0</v>
      </c>
      <c r="N7" s="63">
        <f t="shared" ca="1" si="2"/>
        <v>0</v>
      </c>
      <c r="O7" s="212">
        <f t="shared" ca="1" si="2"/>
        <v>0</v>
      </c>
      <c r="P7" s="63">
        <f t="shared" ca="1" si="2"/>
        <v>0</v>
      </c>
      <c r="Q7" s="63">
        <f t="shared" ca="1" si="2"/>
        <v>0</v>
      </c>
      <c r="R7" s="63">
        <f t="shared" ca="1" si="2"/>
        <v>0</v>
      </c>
      <c r="S7" s="63">
        <f t="shared" ca="1" si="2"/>
        <v>0</v>
      </c>
      <c r="T7" s="63">
        <f t="shared" ca="1" si="2"/>
        <v>0</v>
      </c>
      <c r="U7" s="63">
        <f t="shared" ca="1" si="2"/>
        <v>0</v>
      </c>
      <c r="V7" s="63">
        <f t="shared" ca="1" si="2"/>
        <v>0</v>
      </c>
      <c r="W7" s="63">
        <f t="shared" ca="1" si="2"/>
        <v>0</v>
      </c>
      <c r="X7" s="63">
        <f t="shared" ca="1" si="2"/>
        <v>0</v>
      </c>
      <c r="Y7" s="63"/>
      <c r="Z7" s="63">
        <f t="shared" ca="1" si="2"/>
        <v>0</v>
      </c>
      <c r="AA7" s="63">
        <f t="shared" ca="1" si="2"/>
        <v>0</v>
      </c>
      <c r="AB7" s="63">
        <f t="shared" ca="1" si="2"/>
        <v>0</v>
      </c>
      <c r="AC7" s="63">
        <f t="shared" ca="1" si="2"/>
        <v>0</v>
      </c>
      <c r="AD7" s="63">
        <f t="shared" ca="1" si="2"/>
        <v>0</v>
      </c>
      <c r="AE7" s="63">
        <f t="shared" ca="1" si="2"/>
        <v>0</v>
      </c>
      <c r="AF7" s="63">
        <f t="shared" ca="1" si="2"/>
        <v>0</v>
      </c>
      <c r="AG7" s="63">
        <f t="shared" ca="1" si="2"/>
        <v>0</v>
      </c>
      <c r="AH7" s="63">
        <f t="shared" ca="1" si="2"/>
        <v>0</v>
      </c>
      <c r="AI7" s="63">
        <f t="shared" ca="1" si="2"/>
        <v>0</v>
      </c>
      <c r="AJ7" s="63">
        <f t="shared" ca="1" si="2"/>
        <v>0</v>
      </c>
      <c r="AK7" s="62"/>
      <c r="AL7" s="86"/>
      <c r="AM7" s="86"/>
      <c r="AN7" s="86"/>
      <c r="AO7" s="86"/>
    </row>
    <row r="8" spans="1:41" s="58" customFormat="1" ht="19.7" customHeight="1" x14ac:dyDescent="0.45">
      <c r="A8" s="55"/>
      <c r="B8" s="55"/>
      <c r="C8" s="56"/>
      <c r="D8" s="56"/>
      <c r="E8" s="91" t="str">
        <f ca="1">"$E$14:$E$"&amp;COUNTA(E14:E1000)+14</f>
        <v>$E$14:$E$16</v>
      </c>
      <c r="F8" s="57">
        <f ca="1">SUBTOTAL(9,F$14:F$1400)</f>
        <v>0</v>
      </c>
      <c r="G8" s="57">
        <f ca="1">SUBTOTAL(9,G$14:G$1400)</f>
        <v>0</v>
      </c>
      <c r="H8" s="57">
        <f t="shared" ref="H8:AJ8" ca="1" si="3">SUBTOTAL(9,H$14:H$1400)</f>
        <v>0</v>
      </c>
      <c r="I8" s="57"/>
      <c r="J8" s="57">
        <f t="shared" ca="1" si="3"/>
        <v>0</v>
      </c>
      <c r="K8" s="57">
        <f t="shared" ca="1" si="3"/>
        <v>0</v>
      </c>
      <c r="L8" s="57">
        <f t="shared" si="3"/>
        <v>0</v>
      </c>
      <c r="M8" s="57">
        <f t="shared" ca="1" si="3"/>
        <v>0</v>
      </c>
      <c r="N8" s="57">
        <f t="shared" ca="1" si="3"/>
        <v>0</v>
      </c>
      <c r="O8" s="213">
        <f t="shared" si="3"/>
        <v>0</v>
      </c>
      <c r="P8" s="57">
        <f t="shared" ca="1" si="3"/>
        <v>0</v>
      </c>
      <c r="Q8" s="57">
        <f t="shared" si="3"/>
        <v>0</v>
      </c>
      <c r="R8" s="57">
        <f t="shared" ca="1" si="3"/>
        <v>0</v>
      </c>
      <c r="S8" s="57">
        <f t="shared" si="3"/>
        <v>0</v>
      </c>
      <c r="T8" s="57">
        <f t="shared" si="3"/>
        <v>0</v>
      </c>
      <c r="U8" s="57">
        <f t="shared" si="3"/>
        <v>0</v>
      </c>
      <c r="V8" s="57">
        <f t="shared" ca="1" si="3"/>
        <v>0</v>
      </c>
      <c r="W8" s="57">
        <f t="shared" ca="1" si="3"/>
        <v>0</v>
      </c>
      <c r="X8" s="57">
        <f t="shared" ca="1" si="3"/>
        <v>0</v>
      </c>
      <c r="Y8" s="57"/>
      <c r="Z8" s="57">
        <f t="shared" ca="1" si="3"/>
        <v>0</v>
      </c>
      <c r="AA8" s="57">
        <f t="shared" ca="1" si="3"/>
        <v>0</v>
      </c>
      <c r="AB8" s="57">
        <f t="shared" ca="1" si="3"/>
        <v>0</v>
      </c>
      <c r="AC8" s="57">
        <f t="shared" ca="1" si="3"/>
        <v>0</v>
      </c>
      <c r="AD8" s="57">
        <f t="shared" ca="1" si="3"/>
        <v>0</v>
      </c>
      <c r="AE8" s="57">
        <f t="shared" ca="1" si="3"/>
        <v>0</v>
      </c>
      <c r="AF8" s="57">
        <f t="shared" si="3"/>
        <v>0</v>
      </c>
      <c r="AG8" s="57">
        <f t="shared" si="3"/>
        <v>0</v>
      </c>
      <c r="AH8" s="57">
        <f t="shared" ca="1" si="3"/>
        <v>0</v>
      </c>
      <c r="AI8" s="57">
        <f t="shared" ca="1" si="3"/>
        <v>0</v>
      </c>
      <c r="AJ8" s="57">
        <f t="shared" ca="1" si="3"/>
        <v>0</v>
      </c>
      <c r="AK8" s="57"/>
      <c r="AL8" s="86"/>
      <c r="AM8" s="86"/>
      <c r="AN8" s="86"/>
      <c r="AO8" s="86"/>
    </row>
    <row r="9" spans="1:41" ht="19.350000000000001" customHeight="1" x14ac:dyDescent="0.45">
      <c r="A9" s="26"/>
      <c r="B9" s="26"/>
      <c r="C9" s="43"/>
      <c r="D9" s="43"/>
      <c r="E9" s="26"/>
      <c r="F9" s="26"/>
      <c r="G9" s="26"/>
      <c r="H9" s="26"/>
      <c r="I9" s="52"/>
      <c r="J9" s="54"/>
      <c r="K9" s="609" t="s">
        <v>111</v>
      </c>
      <c r="L9" s="590"/>
      <c r="M9" s="590"/>
      <c r="N9" s="590"/>
      <c r="O9" s="606" t="s">
        <v>369</v>
      </c>
      <c r="P9" s="606"/>
      <c r="Q9" s="611" t="s">
        <v>49</v>
      </c>
      <c r="R9" s="612"/>
      <c r="S9" s="613"/>
      <c r="T9" s="613"/>
      <c r="U9" s="163"/>
      <c r="V9" s="95"/>
      <c r="W9" s="604" t="s">
        <v>53</v>
      </c>
      <c r="X9" s="604"/>
      <c r="Y9" s="604"/>
      <c r="Z9" s="604"/>
      <c r="AA9" s="605"/>
      <c r="AB9" s="92"/>
      <c r="AC9" s="607" t="s">
        <v>56</v>
      </c>
      <c r="AD9" s="608"/>
      <c r="AE9" s="608"/>
      <c r="AF9" s="608"/>
      <c r="AG9" s="608"/>
      <c r="AH9" s="94"/>
      <c r="AI9" s="94"/>
      <c r="AJ9" s="26"/>
      <c r="AK9" s="42"/>
      <c r="AL9" s="86"/>
      <c r="AM9" s="86"/>
      <c r="AN9" s="86"/>
      <c r="AO9" s="86"/>
    </row>
    <row r="10" spans="1:41" ht="15" customHeight="1" x14ac:dyDescent="0.45">
      <c r="A10" s="622" t="s">
        <v>1</v>
      </c>
      <c r="B10" s="622" t="s">
        <v>2</v>
      </c>
      <c r="C10" s="622" t="s">
        <v>3</v>
      </c>
      <c r="D10" s="622" t="s">
        <v>4</v>
      </c>
      <c r="E10" s="622" t="s">
        <v>39</v>
      </c>
      <c r="F10" s="622" t="s">
        <v>6</v>
      </c>
      <c r="G10" s="622" t="s">
        <v>7</v>
      </c>
      <c r="H10" s="622" t="s">
        <v>40</v>
      </c>
      <c r="I10" s="625" t="s">
        <v>42</v>
      </c>
      <c r="J10" s="622" t="s">
        <v>41</v>
      </c>
      <c r="K10" s="627" t="s">
        <v>298</v>
      </c>
      <c r="L10" s="590" t="s">
        <v>44</v>
      </c>
      <c r="M10" s="590"/>
      <c r="N10" s="627" t="s">
        <v>299</v>
      </c>
      <c r="O10" s="596" t="s">
        <v>47</v>
      </c>
      <c r="P10" s="31"/>
      <c r="Q10" s="614" t="s">
        <v>79</v>
      </c>
      <c r="R10" s="614"/>
      <c r="S10" s="168"/>
      <c r="T10" s="170"/>
      <c r="U10" s="164"/>
      <c r="V10" s="96"/>
      <c r="W10" s="32"/>
      <c r="X10" s="26"/>
      <c r="Y10" s="26"/>
      <c r="Z10" s="26"/>
      <c r="AA10" s="32"/>
      <c r="AB10" s="599" t="s">
        <v>57</v>
      </c>
      <c r="AC10" s="615" t="s">
        <v>58</v>
      </c>
      <c r="AD10" s="616"/>
      <c r="AE10" s="615"/>
      <c r="AF10" s="616"/>
      <c r="AG10" s="617"/>
      <c r="AH10" s="599" t="s">
        <v>59</v>
      </c>
      <c r="AI10" s="599" t="s">
        <v>61</v>
      </c>
      <c r="AJ10" s="35"/>
      <c r="AK10" s="35"/>
      <c r="AL10" s="86"/>
      <c r="AM10" s="86"/>
      <c r="AN10" s="86"/>
      <c r="AO10" s="86"/>
    </row>
    <row r="11" spans="1:41" s="4" customFormat="1" ht="28.5" x14ac:dyDescent="0.45">
      <c r="A11" s="622"/>
      <c r="B11" s="622"/>
      <c r="C11" s="622"/>
      <c r="D11" s="622"/>
      <c r="E11" s="622"/>
      <c r="F11" s="622"/>
      <c r="G11" s="622"/>
      <c r="H11" s="622"/>
      <c r="I11" s="625"/>
      <c r="J11" s="622"/>
      <c r="K11" s="628"/>
      <c r="L11" s="160" t="s">
        <v>45</v>
      </c>
      <c r="M11" s="25" t="s">
        <v>46</v>
      </c>
      <c r="N11" s="628"/>
      <c r="O11" s="597"/>
      <c r="P11" s="103" t="s">
        <v>371</v>
      </c>
      <c r="Q11" s="161" t="s">
        <v>51</v>
      </c>
      <c r="R11" s="28" t="s">
        <v>78</v>
      </c>
      <c r="S11" s="169" t="s">
        <v>50</v>
      </c>
      <c r="T11" s="171" t="s">
        <v>60</v>
      </c>
      <c r="U11" s="162" t="s">
        <v>77</v>
      </c>
      <c r="V11" s="97" t="s">
        <v>52</v>
      </c>
      <c r="W11" s="33" t="s">
        <v>43</v>
      </c>
      <c r="X11" s="196" t="s">
        <v>264</v>
      </c>
      <c r="Y11" s="196" t="s">
        <v>77</v>
      </c>
      <c r="Z11" s="103" t="s">
        <v>54</v>
      </c>
      <c r="AA11" s="33" t="s">
        <v>55</v>
      </c>
      <c r="AB11" s="599"/>
      <c r="AC11" s="25" t="s">
        <v>88</v>
      </c>
      <c r="AD11" s="28" t="s">
        <v>28</v>
      </c>
      <c r="AE11" s="34" t="s">
        <v>81</v>
      </c>
      <c r="AF11" s="126"/>
      <c r="AG11" s="30"/>
      <c r="AH11" s="599"/>
      <c r="AI11" s="599"/>
      <c r="AJ11" s="36" t="s">
        <v>62</v>
      </c>
      <c r="AK11" s="36" t="s">
        <v>63</v>
      </c>
      <c r="AL11" s="87"/>
      <c r="AM11" s="87"/>
      <c r="AN11" s="87"/>
      <c r="AO11" s="87"/>
    </row>
    <row r="12" spans="1:41" s="4" customFormat="1" ht="15" customHeight="1" x14ac:dyDescent="0.45">
      <c r="A12" s="29"/>
      <c r="B12" s="29"/>
      <c r="C12" s="29"/>
      <c r="D12" s="29"/>
      <c r="E12" s="29"/>
      <c r="F12" s="29"/>
      <c r="G12" s="602" t="str">
        <f>'1'!G12</f>
        <v>Link</v>
      </c>
      <c r="H12" s="603"/>
      <c r="I12" s="53"/>
      <c r="J12" s="29">
        <f>INDEX(Cham_Cong!$E$7:$P$8,1,MATCH(C1,Cham_Cong!$E$8:$P$8,0))</f>
        <v>26</v>
      </c>
      <c r="K12" s="40">
        <v>730000</v>
      </c>
      <c r="L12" s="160"/>
      <c r="M12" s="27">
        <v>1000000</v>
      </c>
      <c r="N12" s="41">
        <v>500000</v>
      </c>
      <c r="O12" s="167">
        <v>2</v>
      </c>
      <c r="P12" s="38"/>
      <c r="Q12" s="161">
        <f>Info!F9</f>
        <v>5</v>
      </c>
      <c r="R12" s="27">
        <f ca="1">Info!G13</f>
        <v>0</v>
      </c>
      <c r="S12" s="165"/>
      <c r="T12" s="166" t="s">
        <v>215</v>
      </c>
      <c r="U12" s="165"/>
      <c r="V12" s="98"/>
      <c r="W12" s="30"/>
      <c r="X12" s="29"/>
      <c r="Y12" s="29"/>
      <c r="Z12" s="29"/>
      <c r="AA12" s="30"/>
      <c r="AB12" s="93"/>
      <c r="AC12" s="37">
        <v>11000000</v>
      </c>
      <c r="AD12" s="37">
        <v>4400000</v>
      </c>
      <c r="AE12" s="39">
        <v>0.105</v>
      </c>
      <c r="AF12" s="39"/>
      <c r="AG12" s="39"/>
      <c r="AH12" s="93"/>
      <c r="AI12" s="93"/>
      <c r="AJ12" s="29"/>
      <c r="AK12" s="29"/>
      <c r="AL12" s="87"/>
      <c r="AM12" s="87"/>
      <c r="AN12" s="87"/>
      <c r="AO12" s="87"/>
    </row>
    <row r="13" spans="1:41" s="70" customFormat="1" x14ac:dyDescent="0.45">
      <c r="A13" s="49"/>
      <c r="B13" s="49" t="s">
        <v>24</v>
      </c>
      <c r="C13" s="89" t="s">
        <v>25</v>
      </c>
      <c r="D13" s="49" t="s">
        <v>26</v>
      </c>
      <c r="E13" s="49" t="s">
        <v>27</v>
      </c>
      <c r="F13" s="49" t="s">
        <v>28</v>
      </c>
      <c r="G13" s="49" t="s">
        <v>29</v>
      </c>
      <c r="H13" s="49" t="s">
        <v>185</v>
      </c>
      <c r="I13" s="90" t="s">
        <v>186</v>
      </c>
      <c r="J13" s="49" t="s">
        <v>80</v>
      </c>
      <c r="K13" s="49" t="s">
        <v>80</v>
      </c>
      <c r="L13" s="49" t="s">
        <v>391</v>
      </c>
      <c r="M13" s="49" t="s">
        <v>80</v>
      </c>
      <c r="N13" s="49" t="s">
        <v>80</v>
      </c>
      <c r="O13" s="49" t="s">
        <v>208</v>
      </c>
      <c r="P13" s="49" t="s">
        <v>80</v>
      </c>
      <c r="Q13" s="49"/>
      <c r="R13" s="49" t="s">
        <v>80</v>
      </c>
      <c r="S13" s="49" t="s">
        <v>80</v>
      </c>
      <c r="T13" s="49" t="s">
        <v>80</v>
      </c>
      <c r="U13" s="49" t="s">
        <v>80</v>
      </c>
      <c r="V13" s="49" t="s">
        <v>66</v>
      </c>
      <c r="W13" s="49"/>
      <c r="X13" s="49"/>
      <c r="Y13" s="49"/>
      <c r="Z13" s="49"/>
      <c r="AA13" s="49"/>
      <c r="AB13" s="49" t="s">
        <v>64</v>
      </c>
      <c r="AC13" s="49" t="s">
        <v>101</v>
      </c>
      <c r="AD13" s="49" t="s">
        <v>102</v>
      </c>
      <c r="AE13" s="49" t="s">
        <v>165</v>
      </c>
      <c r="AF13" s="49"/>
      <c r="AG13" s="49"/>
      <c r="AH13" s="49"/>
      <c r="AI13" s="49" t="s">
        <v>65</v>
      </c>
      <c r="AJ13" s="49" t="s">
        <v>67</v>
      </c>
      <c r="AK13" s="49"/>
      <c r="AL13" s="88" t="s">
        <v>32</v>
      </c>
      <c r="AM13" s="88" t="s">
        <v>33</v>
      </c>
      <c r="AN13" s="88" t="s">
        <v>34</v>
      </c>
      <c r="AO13" s="88" t="s">
        <v>35</v>
      </c>
    </row>
    <row r="14" spans="1:41" x14ac:dyDescent="0.45">
      <c r="A14" s="5">
        <f ca="1">IF(B14&lt;&gt;"",SUBTOTAL(3,$B$14:B14),"")</f>
        <v>1</v>
      </c>
      <c r="B14" s="3">
        <f ca="1">INDEX(INDIRECT(Danh_Sach!$N$1),ROWS($B$14:$B14),MATCH(B$13,INDIRECT(Danh_Sach!$N$2),0))</f>
        <v>0</v>
      </c>
      <c r="C14" s="5">
        <f ca="1">INDEX(INDIRECT(Danh_Sach!$N$1),ROWS($B$14:$B14),MATCH(C$13,INDIRECT(Danh_Sach!$N$2),0))</f>
        <v>0</v>
      </c>
      <c r="D14" s="5">
        <f ca="1">INDEX(INDIRECT(Danh_Sach!$N$1),ROWS($B$14:$B14),MATCH(D$13,INDIRECT(Danh_Sach!$N$2),0))</f>
        <v>0</v>
      </c>
      <c r="E14" s="5">
        <f ca="1">INDEX(INDIRECT(Danh_Sach!$N$1),ROWS($B$14:$B14),MATCH(E$13,INDIRECT(Danh_Sach!$N$2),0))</f>
        <v>0</v>
      </c>
      <c r="F14" s="5">
        <f t="array" aca="1" ref="F14" ca="1">INDEX(INDIRECT(NPT!$W$1),ROWS($B$14:B14),MATCH($C$1,INDIRECT(NPT!$W$2),0))</f>
        <v>0</v>
      </c>
      <c r="G14" s="11">
        <f ca="1">IF(AND($G$12="Link",H14&lt;&gt;0),H14,INDEX(INDIRECT(Danh_Sach!$N$1),ROWS($B$14:$B14),MATCH(G$13,INDIRECT(Danh_Sach!$N$2),0)))</f>
        <v>0</v>
      </c>
      <c r="H14" s="11">
        <f ca="1">IFERROR(INDEX(INDIRECT(BaoHiem!$A$3),ROWS($B$14:$B14),MATCH($C$1,INDIRECT(BaoHiem!$A$4),0)),0)</f>
        <v>0</v>
      </c>
      <c r="I14" s="72">
        <f t="array" aca="1" ref="I14" ca="1">INDEX(INDIRECT(Cham_Cong!$T$3),ROWS($B$14:B14),MATCH($C$1,INDIRECT(Cham_Cong!$T$4),0))</f>
        <v>0</v>
      </c>
      <c r="J14" s="11">
        <f t="shared" ref="J14:J15" ca="1" si="4">G14/$J$12*I14</f>
        <v>0</v>
      </c>
      <c r="K14" s="11">
        <f t="shared" ref="K14:K15" ca="1" si="5">IF(I14&gt;0,$K$12,0)</f>
        <v>0</v>
      </c>
      <c r="L14" s="11"/>
      <c r="M14" s="22">
        <f t="shared" ref="M14:M15" ca="1" si="6">IF(I14=0,0,$M$12*L14)</f>
        <v>0</v>
      </c>
      <c r="N14" s="11">
        <f t="shared" ref="N14:N15" ca="1" si="7">IF(I14&gt;0,$N$12,0)</f>
        <v>0</v>
      </c>
      <c r="P14" s="22">
        <f t="shared" ref="P14:P15" ca="1" si="8">IF(I14=0,0,ROUND(O14*$O$12*(G14/$J$12/8),0))</f>
        <v>0</v>
      </c>
      <c r="R14" s="11">
        <f ca="1">IF(I14&gt;0,$R$12*Q14,0)</f>
        <v>0</v>
      </c>
      <c r="S14" s="11"/>
      <c r="T14" s="11"/>
      <c r="U14" s="11"/>
      <c r="V14" s="11">
        <f t="shared" ref="V14:V15" ca="1" si="9">IF(I14=0,0,SUMIF($J$13:$U$13,"i_gross",J14:U14))</f>
        <v>0</v>
      </c>
      <c r="W14" s="22">
        <f t="shared" ref="W14:W15" ca="1" si="10">K14</f>
        <v>0</v>
      </c>
      <c r="X14" s="22">
        <f t="shared" ref="X14:X15" ca="1" si="11">M14+N14</f>
        <v>0</v>
      </c>
      <c r="Y14" s="22">
        <f t="shared" ref="Y14:Y15" si="12">U14</f>
        <v>0</v>
      </c>
      <c r="Z14" s="22">
        <f t="shared" ref="Z14:Z15" ca="1" si="13">P14-P14/$O$12</f>
        <v>0</v>
      </c>
      <c r="AA14" s="22">
        <f t="shared" ref="AA14:AA15" ca="1" si="14">SUM(W14:Z14)</f>
        <v>0</v>
      </c>
      <c r="AB14" s="22">
        <f t="shared" ref="AB14:AB15" ca="1" si="15">IF(I14=0,0,V14-AA14)</f>
        <v>0</v>
      </c>
      <c r="AC14" s="22">
        <f t="shared" ref="AC14:AC15" ca="1" si="16">IF(AB14&gt;0,$AC$12,0)</f>
        <v>0</v>
      </c>
      <c r="AD14" s="22">
        <f t="shared" ref="AD14:AD15" ca="1" si="17">$AD$12*F14</f>
        <v>0</v>
      </c>
      <c r="AE14" s="22">
        <f ca="1">IF(AB14&gt;0,IF(ISNA(VLOOKUP(C14,Info!$C$22:$D$303,2,0))=FALSE,H14*1.5%,H14*$AE$12),0)</f>
        <v>0</v>
      </c>
      <c r="AH14" s="22">
        <f t="shared" ref="AH14:AH15" ca="1" si="18">MAX(AB14-SUM(AC14:AG14),0)</f>
        <v>0</v>
      </c>
      <c r="AI14" s="22">
        <f ca="1">IF(AH14&gt;0,(AH14-VLOOKUP(AH14-1,INDIRECT(TAXRATE!$E$1),1,1))*VLOOKUP(AH14,INDIRECT(TAXRATE!$E$1),2,1)+VLOOKUP(AH14-1,INDIRECT(TAXRATE!$E$1),3,1),0)</f>
        <v>0</v>
      </c>
      <c r="AJ14" s="22">
        <f t="shared" ref="AJ14:AJ15" ca="1" si="19">V14-AI14-AE14-AF14-AG14</f>
        <v>0</v>
      </c>
      <c r="AL14" s="3" t="str">
        <f ca="1">IF(INDEX(INDIRECT(Danh_Sach!$N$1),ROWS($B$14:$B14),MATCH(AL$13,INDIRECT(Danh_Sach!$N$2),0))=0,"",MONTH(INDEX(INDIRECT(Danh_Sach!$N$1),ROWS($B$14:$B14),MATCH(AL$13,INDIRECT(Danh_Sach!$N$2),0))))</f>
        <v/>
      </c>
      <c r="AM14" s="3" t="str">
        <f ca="1">IF(INDEX(INDIRECT(Danh_Sach!$N$1),ROWS($B$14:$B14),MATCH(AM$13,INDIRECT(Danh_Sach!$N$2),0))=0,"",MONTH(INDEX(INDIRECT(Danh_Sach!$N$1),ROWS($B$14:$B14),MATCH(AM$13,INDIRECT(Danh_Sach!$N$2),0))))</f>
        <v/>
      </c>
      <c r="AN14" s="3" t="str">
        <f ca="1">IF(INDEX(INDIRECT(Danh_Sach!$N$1),ROWS($B$14:$B14),MATCH(AN$13,INDIRECT(Danh_Sach!$N$2),0))=0,"",MONTH(INDEX(INDIRECT(Danh_Sach!$N$1),ROWS($B$14:$B14),MATCH(AN$13,INDIRECT(Danh_Sach!$N$2),0))))</f>
        <v/>
      </c>
      <c r="AO14" s="3" t="str">
        <f ca="1">IF(INDEX(INDIRECT(Danh_Sach!$N$1),ROWS($B$14:$B14),MATCH(AO$13,INDIRECT(Danh_Sach!$N$2),0))=0,"",MONTH(INDEX(INDIRECT(Danh_Sach!$N$1),ROWS($B$14:$B14),MATCH(AO$13,INDIRECT(Danh_Sach!$N$2),0))))</f>
        <v/>
      </c>
    </row>
    <row r="15" spans="1:41" x14ac:dyDescent="0.45">
      <c r="A15" s="5">
        <f ca="1">IF(B15&lt;&gt;"",SUBTOTAL(3,$B$14:B15),"")</f>
        <v>2</v>
      </c>
      <c r="B15" s="3">
        <f ca="1">INDEX(INDIRECT(Danh_Sach!$N$1),ROWS($B$14:$B15),MATCH(B$13,INDIRECT(Danh_Sach!$N$2),0))</f>
        <v>0</v>
      </c>
      <c r="C15" s="5">
        <f ca="1">INDEX(INDIRECT(Danh_Sach!$N$1),ROWS($B$14:$B15),MATCH(C$13,INDIRECT(Danh_Sach!$N$2),0))</f>
        <v>0</v>
      </c>
      <c r="D15" s="5">
        <f ca="1">INDEX(INDIRECT(Danh_Sach!$N$1),ROWS($B$14:$B15),MATCH(D$13,INDIRECT(Danh_Sach!$N$2),0))</f>
        <v>0</v>
      </c>
      <c r="E15" s="5">
        <f ca="1">INDEX(INDIRECT(Danh_Sach!$N$1),ROWS($B$14:$B15),MATCH(E$13,INDIRECT(Danh_Sach!$N$2),0))</f>
        <v>0</v>
      </c>
      <c r="F15" s="5">
        <f t="array" aca="1" ref="F15" ca="1">INDEX(INDIRECT(NPT!$W$1),ROWS($B$14:B15),MATCH($C$1,INDIRECT(NPT!$W$2),0))</f>
        <v>0</v>
      </c>
      <c r="G15" s="11">
        <f ca="1">IF(AND($G$12="Link",H15&lt;&gt;0),H15,INDEX(INDIRECT(Danh_Sach!$N$1),ROWS($B$14:$B15),MATCH(G$13,INDIRECT(Danh_Sach!$N$2),0)))</f>
        <v>0</v>
      </c>
      <c r="H15" s="11">
        <f ca="1">IFERROR(INDEX(INDIRECT(BaoHiem!$A$3),ROWS($B$14:$B15),MATCH($C$1,INDIRECT(BaoHiem!$A$4),0)),0)</f>
        <v>0</v>
      </c>
      <c r="I15" s="72">
        <f t="array" aca="1" ref="I15" ca="1">INDEX(INDIRECT(Cham_Cong!$T$3),ROWS($B$14:B15),MATCH($C$1,INDIRECT(Cham_Cong!$T$4),0))</f>
        <v>0</v>
      </c>
      <c r="J15" s="11">
        <f t="shared" ca="1" si="4"/>
        <v>0</v>
      </c>
      <c r="K15" s="11">
        <f t="shared" ca="1" si="5"/>
        <v>0</v>
      </c>
      <c r="L15" s="11"/>
      <c r="M15" s="22">
        <f t="shared" ca="1" si="6"/>
        <v>0</v>
      </c>
      <c r="N15" s="11">
        <f t="shared" ca="1" si="7"/>
        <v>0</v>
      </c>
      <c r="P15" s="22">
        <f t="shared" ca="1" si="8"/>
        <v>0</v>
      </c>
      <c r="R15" s="11">
        <f t="shared" ref="R15" ca="1" si="20">IF(I15&gt;0,$R$12*Q15,0)</f>
        <v>0</v>
      </c>
      <c r="S15" s="11"/>
      <c r="T15" s="11"/>
      <c r="U15" s="11"/>
      <c r="V15" s="11">
        <f t="shared" ca="1" si="9"/>
        <v>0</v>
      </c>
      <c r="W15" s="22">
        <f t="shared" ca="1" si="10"/>
        <v>0</v>
      </c>
      <c r="X15" s="22">
        <f t="shared" ca="1" si="11"/>
        <v>0</v>
      </c>
      <c r="Y15" s="22">
        <f t="shared" si="12"/>
        <v>0</v>
      </c>
      <c r="Z15" s="22">
        <f t="shared" ca="1" si="13"/>
        <v>0</v>
      </c>
      <c r="AA15" s="22">
        <f t="shared" ca="1" si="14"/>
        <v>0</v>
      </c>
      <c r="AB15" s="22">
        <f t="shared" ca="1" si="15"/>
        <v>0</v>
      </c>
      <c r="AC15" s="22">
        <f t="shared" ca="1" si="16"/>
        <v>0</v>
      </c>
      <c r="AD15" s="22">
        <f t="shared" ca="1" si="17"/>
        <v>0</v>
      </c>
      <c r="AE15" s="22">
        <f ca="1">IF(AB15&gt;0,IF(ISNA(VLOOKUP(C15,Info!$C$22:$D$303,2,0))=FALSE,H15*1.5%,H15*$AE$12),0)</f>
        <v>0</v>
      </c>
      <c r="AH15" s="22">
        <f t="shared" ca="1" si="18"/>
        <v>0</v>
      </c>
      <c r="AI15" s="22">
        <f ca="1">IF(AH15&gt;0,(AH15-VLOOKUP(AH15-1,INDIRECT(TAXRATE!$E$1),1,1))*VLOOKUP(AH15,INDIRECT(TAXRATE!$E$1),2,1)+VLOOKUP(AH15-1,INDIRECT(TAXRATE!$E$1),3,1),0)</f>
        <v>0</v>
      </c>
      <c r="AJ15" s="22">
        <f t="shared" ca="1" si="19"/>
        <v>0</v>
      </c>
      <c r="AL15" s="3" t="str">
        <f ca="1">IF(INDEX(INDIRECT(Danh_Sach!$N$1),ROWS($B$14:$B15),MATCH(AL$13,INDIRECT(Danh_Sach!$N$2),0))=0,"",MONTH(INDEX(INDIRECT(Danh_Sach!$N$1),ROWS($B$14:$B15),MATCH(AL$13,INDIRECT(Danh_Sach!$N$2),0))))</f>
        <v/>
      </c>
      <c r="AM15" s="3" t="str">
        <f ca="1">IF(INDEX(INDIRECT(Danh_Sach!$N$1),ROWS($B$14:$B15),MATCH(AM$13,INDIRECT(Danh_Sach!$N$2),0))=0,"",MONTH(INDEX(INDIRECT(Danh_Sach!$N$1),ROWS($B$14:$B15),MATCH(AM$13,INDIRECT(Danh_Sach!$N$2),0))))</f>
        <v/>
      </c>
      <c r="AN15" s="3" t="str">
        <f ca="1">IF(INDEX(INDIRECT(Danh_Sach!$N$1),ROWS($B$14:$B15),MATCH(AN$13,INDIRECT(Danh_Sach!$N$2),0))=0,"",MONTH(INDEX(INDIRECT(Danh_Sach!$N$1),ROWS($B$14:$B15),MATCH(AN$13,INDIRECT(Danh_Sach!$N$2),0))))</f>
        <v/>
      </c>
      <c r="AO15" s="3" t="str">
        <f ca="1">IF(INDEX(INDIRECT(Danh_Sach!$N$1),ROWS($B$14:$B15),MATCH(AO$13,INDIRECT(Danh_Sach!$N$2),0))=0,"",MONTH(INDEX(INDIRECT(Danh_Sach!$N$1),ROWS($B$14:$B15),MATCH(AO$13,INDIRECT(Danh_Sach!$N$2),0))))</f>
        <v/>
      </c>
    </row>
    <row r="16" spans="1:41" x14ac:dyDescent="0.45">
      <c r="A16" s="5"/>
      <c r="E16" s="5"/>
      <c r="F16" s="5"/>
      <c r="G16" s="11"/>
      <c r="H16" s="11"/>
      <c r="I16" s="72"/>
      <c r="J16" s="11"/>
      <c r="K16" s="11"/>
      <c r="L16" s="11"/>
      <c r="M16" s="22"/>
      <c r="N16" s="11"/>
      <c r="P16" s="22"/>
      <c r="R16" s="11"/>
      <c r="S16" s="11"/>
      <c r="T16" s="11"/>
      <c r="U16" s="11"/>
      <c r="V16" s="11"/>
      <c r="W16" s="22"/>
      <c r="X16" s="22"/>
      <c r="Y16" s="22"/>
      <c r="Z16" s="22"/>
      <c r="AA16" s="22"/>
      <c r="AB16" s="22"/>
      <c r="AC16" s="22"/>
      <c r="AD16" s="22"/>
      <c r="AE16" s="22"/>
      <c r="AH16" s="22"/>
      <c r="AI16" s="22"/>
      <c r="AJ16" s="22"/>
    </row>
    <row r="17" spans="1:36" x14ac:dyDescent="0.45">
      <c r="A17" s="5"/>
      <c r="E17" s="5"/>
      <c r="F17" s="5"/>
      <c r="G17" s="11"/>
      <c r="H17" s="11"/>
      <c r="I17" s="72"/>
      <c r="J17" s="11"/>
      <c r="K17" s="11"/>
      <c r="L17" s="11"/>
      <c r="M17" s="22"/>
      <c r="N17" s="11"/>
      <c r="P17" s="22"/>
      <c r="R17" s="11"/>
      <c r="S17" s="11"/>
      <c r="T17" s="11"/>
      <c r="U17" s="11"/>
      <c r="V17" s="11"/>
      <c r="W17" s="22"/>
      <c r="X17" s="22"/>
      <c r="Y17" s="22"/>
      <c r="Z17" s="22"/>
      <c r="AA17" s="22"/>
      <c r="AB17" s="22"/>
      <c r="AC17" s="22"/>
      <c r="AD17" s="22"/>
      <c r="AE17" s="22"/>
      <c r="AH17" s="22"/>
      <c r="AI17" s="22"/>
      <c r="AJ17" s="22"/>
    </row>
    <row r="18" spans="1:36" x14ac:dyDescent="0.45">
      <c r="A18" s="5"/>
      <c r="E18" s="5"/>
      <c r="F18" s="5"/>
      <c r="G18" s="11"/>
      <c r="H18" s="11"/>
      <c r="I18" s="72"/>
      <c r="J18" s="11"/>
      <c r="K18" s="11"/>
      <c r="L18" s="11"/>
      <c r="M18" s="22"/>
      <c r="N18" s="11"/>
      <c r="P18" s="22"/>
      <c r="R18" s="11"/>
      <c r="S18" s="11"/>
      <c r="T18" s="11"/>
      <c r="U18" s="11"/>
      <c r="V18" s="11"/>
      <c r="W18" s="22"/>
      <c r="X18" s="22"/>
      <c r="Y18" s="22"/>
      <c r="Z18" s="22"/>
      <c r="AA18" s="22"/>
      <c r="AB18" s="22"/>
      <c r="AC18" s="22"/>
      <c r="AD18" s="22"/>
      <c r="AE18" s="22"/>
      <c r="AH18" s="22"/>
      <c r="AI18" s="22"/>
      <c r="AJ18" s="22"/>
    </row>
    <row r="19" spans="1:36" x14ac:dyDescent="0.45">
      <c r="A19" s="5"/>
      <c r="E19" s="5"/>
      <c r="F19" s="5"/>
      <c r="G19" s="11"/>
      <c r="H19" s="11"/>
      <c r="I19" s="72"/>
      <c r="J19" s="11"/>
      <c r="K19" s="11"/>
      <c r="L19" s="11"/>
      <c r="M19" s="22"/>
      <c r="N19" s="11"/>
      <c r="P19" s="22"/>
      <c r="R19" s="11"/>
      <c r="S19" s="11"/>
      <c r="T19" s="11"/>
      <c r="U19" s="11"/>
      <c r="V19" s="11"/>
      <c r="W19" s="22"/>
      <c r="X19" s="22"/>
      <c r="Y19" s="22"/>
      <c r="Z19" s="22"/>
      <c r="AA19" s="22"/>
      <c r="AB19" s="22"/>
      <c r="AC19" s="22"/>
      <c r="AD19" s="22"/>
      <c r="AE19" s="22"/>
      <c r="AH19" s="22"/>
      <c r="AI19" s="22"/>
      <c r="AJ19" s="22"/>
    </row>
    <row r="20" spans="1:36" x14ac:dyDescent="0.45">
      <c r="A20" s="5"/>
      <c r="E20" s="5"/>
      <c r="F20" s="5"/>
      <c r="G20" s="11"/>
      <c r="H20" s="11"/>
      <c r="I20" s="72"/>
      <c r="J20" s="11"/>
      <c r="K20" s="11"/>
      <c r="L20" s="11"/>
      <c r="M20" s="22"/>
      <c r="N20" s="11"/>
      <c r="P20" s="22"/>
      <c r="R20" s="11"/>
      <c r="S20" s="11"/>
      <c r="T20" s="11"/>
      <c r="U20" s="11"/>
      <c r="V20" s="11"/>
      <c r="W20" s="22"/>
      <c r="X20" s="22"/>
      <c r="Y20" s="22"/>
      <c r="Z20" s="22"/>
      <c r="AA20" s="22"/>
      <c r="AB20" s="22"/>
      <c r="AC20" s="22"/>
      <c r="AD20" s="22"/>
      <c r="AE20" s="22"/>
      <c r="AH20" s="22"/>
      <c r="AI20" s="22"/>
      <c r="AJ20" s="22"/>
    </row>
    <row r="21" spans="1:36" x14ac:dyDescent="0.45">
      <c r="A21" s="5"/>
      <c r="E21" s="5"/>
      <c r="F21" s="5"/>
      <c r="G21" s="11"/>
      <c r="H21" s="11"/>
      <c r="I21" s="72"/>
      <c r="J21" s="11"/>
      <c r="K21" s="11"/>
      <c r="L21" s="11"/>
      <c r="M21" s="22"/>
      <c r="N21" s="11"/>
      <c r="P21" s="22"/>
      <c r="R21" s="11"/>
      <c r="S21" s="11"/>
      <c r="T21" s="11"/>
      <c r="U21" s="11"/>
      <c r="V21" s="11"/>
      <c r="W21" s="22"/>
      <c r="X21" s="22"/>
      <c r="Y21" s="22"/>
      <c r="Z21" s="22"/>
      <c r="AA21" s="22"/>
      <c r="AB21" s="22"/>
      <c r="AC21" s="22"/>
      <c r="AD21" s="22"/>
      <c r="AE21" s="22"/>
      <c r="AH21" s="22"/>
      <c r="AI21" s="22"/>
      <c r="AJ21" s="22"/>
    </row>
    <row r="22" spans="1:36" x14ac:dyDescent="0.45">
      <c r="A22" s="5"/>
      <c r="E22" s="5"/>
      <c r="F22" s="5"/>
      <c r="G22" s="11"/>
      <c r="H22" s="11"/>
      <c r="I22" s="72"/>
      <c r="J22" s="11"/>
      <c r="K22" s="11"/>
      <c r="L22" s="11"/>
      <c r="M22" s="22"/>
      <c r="N22" s="11"/>
      <c r="P22" s="22"/>
      <c r="R22" s="11"/>
      <c r="S22" s="11"/>
      <c r="T22" s="11"/>
      <c r="U22" s="11"/>
      <c r="V22" s="11"/>
      <c r="W22" s="22"/>
      <c r="X22" s="22"/>
      <c r="Y22" s="22"/>
      <c r="Z22" s="22"/>
      <c r="AA22" s="22"/>
      <c r="AB22" s="22"/>
      <c r="AC22" s="22"/>
      <c r="AD22" s="22"/>
      <c r="AE22" s="22"/>
      <c r="AH22" s="22"/>
      <c r="AI22" s="22"/>
      <c r="AJ22" s="22"/>
    </row>
    <row r="23" spans="1:36" x14ac:dyDescent="0.45">
      <c r="A23" s="5"/>
      <c r="E23" s="5"/>
      <c r="F23" s="5"/>
      <c r="G23" s="11"/>
      <c r="H23" s="11"/>
      <c r="I23" s="72"/>
      <c r="J23" s="11"/>
      <c r="K23" s="11"/>
      <c r="L23" s="11"/>
      <c r="M23" s="22"/>
      <c r="N23" s="11"/>
      <c r="P23" s="22"/>
      <c r="R23" s="11"/>
      <c r="S23" s="11"/>
      <c r="T23" s="11"/>
      <c r="U23" s="11"/>
      <c r="V23" s="11"/>
      <c r="W23" s="22"/>
      <c r="X23" s="22"/>
      <c r="Y23" s="22"/>
      <c r="Z23" s="22"/>
      <c r="AA23" s="22"/>
      <c r="AB23" s="22"/>
      <c r="AC23" s="22"/>
      <c r="AD23" s="22"/>
      <c r="AE23" s="22"/>
      <c r="AH23" s="22"/>
      <c r="AI23" s="22"/>
      <c r="AJ23" s="22"/>
    </row>
    <row r="24" spans="1:36" x14ac:dyDescent="0.45">
      <c r="A24" s="5"/>
      <c r="E24" s="5"/>
      <c r="F24" s="5"/>
      <c r="G24" s="11"/>
      <c r="H24" s="11"/>
      <c r="I24" s="72"/>
      <c r="J24" s="11"/>
      <c r="K24" s="11"/>
      <c r="L24" s="11"/>
      <c r="M24" s="22"/>
      <c r="N24" s="11"/>
      <c r="P24" s="22"/>
      <c r="R24" s="11"/>
      <c r="S24" s="11"/>
      <c r="T24" s="11"/>
      <c r="U24" s="11"/>
      <c r="V24" s="11"/>
      <c r="W24" s="22"/>
      <c r="X24" s="22"/>
      <c r="Y24" s="22"/>
      <c r="Z24" s="22"/>
      <c r="AA24" s="22"/>
      <c r="AB24" s="22"/>
      <c r="AC24" s="22"/>
      <c r="AD24" s="22"/>
      <c r="AE24" s="22"/>
      <c r="AH24" s="22"/>
      <c r="AI24" s="22"/>
      <c r="AJ24" s="22"/>
    </row>
    <row r="25" spans="1:36" x14ac:dyDescent="0.45">
      <c r="A25" s="5"/>
      <c r="E25" s="5"/>
      <c r="F25" s="5"/>
      <c r="G25" s="11"/>
      <c r="H25" s="11"/>
      <c r="I25" s="72"/>
      <c r="J25" s="11"/>
      <c r="K25" s="11"/>
      <c r="L25" s="11"/>
      <c r="M25" s="22"/>
      <c r="N25" s="11"/>
      <c r="P25" s="22"/>
      <c r="R25" s="11"/>
      <c r="S25" s="11"/>
      <c r="T25" s="11"/>
      <c r="U25" s="11"/>
      <c r="V25" s="11"/>
      <c r="W25" s="22"/>
      <c r="X25" s="22"/>
      <c r="Y25" s="22"/>
      <c r="Z25" s="22"/>
      <c r="AA25" s="22"/>
      <c r="AB25" s="22"/>
      <c r="AC25" s="22"/>
      <c r="AD25" s="22"/>
      <c r="AE25" s="22"/>
      <c r="AH25" s="22"/>
      <c r="AI25" s="22"/>
      <c r="AJ25" s="22"/>
    </row>
    <row r="26" spans="1:36" x14ac:dyDescent="0.45">
      <c r="A26" s="5"/>
      <c r="E26" s="5"/>
      <c r="F26" s="5"/>
      <c r="G26" s="11"/>
      <c r="H26" s="11"/>
      <c r="I26" s="72"/>
      <c r="J26" s="11"/>
      <c r="K26" s="11"/>
      <c r="L26" s="11"/>
      <c r="M26" s="22"/>
      <c r="N26" s="11"/>
      <c r="P26" s="22"/>
      <c r="R26" s="11"/>
      <c r="S26" s="11"/>
      <c r="T26" s="11"/>
      <c r="U26" s="11"/>
      <c r="V26" s="11"/>
      <c r="W26" s="22"/>
      <c r="X26" s="22"/>
      <c r="Y26" s="22"/>
      <c r="Z26" s="22"/>
      <c r="AA26" s="22"/>
      <c r="AB26" s="22"/>
      <c r="AC26" s="22"/>
      <c r="AD26" s="22"/>
      <c r="AE26" s="22"/>
      <c r="AH26" s="22"/>
      <c r="AI26" s="22"/>
      <c r="AJ26" s="22"/>
    </row>
    <row r="27" spans="1:36" x14ac:dyDescent="0.45">
      <c r="A27" s="5"/>
      <c r="E27" s="5"/>
      <c r="F27" s="5"/>
      <c r="G27" s="11"/>
      <c r="H27" s="11"/>
      <c r="I27" s="72"/>
      <c r="J27" s="11"/>
      <c r="K27" s="11"/>
      <c r="L27" s="11"/>
      <c r="M27" s="22"/>
      <c r="N27" s="11"/>
      <c r="P27" s="22"/>
      <c r="R27" s="11"/>
      <c r="S27" s="11"/>
      <c r="T27" s="11"/>
      <c r="U27" s="11"/>
      <c r="V27" s="11"/>
      <c r="W27" s="22"/>
      <c r="X27" s="22"/>
      <c r="Y27" s="22"/>
      <c r="Z27" s="22"/>
      <c r="AA27" s="22"/>
      <c r="AB27" s="22"/>
      <c r="AC27" s="22"/>
      <c r="AD27" s="22"/>
      <c r="AE27" s="22"/>
      <c r="AH27" s="22"/>
      <c r="AI27" s="22"/>
      <c r="AJ27" s="22"/>
    </row>
    <row r="28" spans="1:36" x14ac:dyDescent="0.45">
      <c r="A28" s="5"/>
      <c r="E28" s="5"/>
      <c r="F28" s="5"/>
      <c r="G28" s="11"/>
      <c r="H28" s="11"/>
      <c r="I28" s="72"/>
      <c r="J28" s="11"/>
      <c r="K28" s="11"/>
      <c r="L28" s="11"/>
      <c r="M28" s="22"/>
      <c r="N28" s="11"/>
      <c r="P28" s="22"/>
      <c r="R28" s="11"/>
      <c r="S28" s="11"/>
      <c r="T28" s="11"/>
      <c r="U28" s="11"/>
      <c r="V28" s="11"/>
      <c r="W28" s="22"/>
      <c r="X28" s="22"/>
      <c r="Y28" s="22"/>
      <c r="Z28" s="22"/>
      <c r="AA28" s="22"/>
      <c r="AB28" s="22"/>
      <c r="AC28" s="22"/>
      <c r="AD28" s="22"/>
      <c r="AE28" s="22"/>
      <c r="AH28" s="22"/>
      <c r="AI28" s="22"/>
      <c r="AJ28" s="22"/>
    </row>
    <row r="29" spans="1:36" x14ac:dyDescent="0.45">
      <c r="A29" s="5"/>
      <c r="E29" s="5"/>
      <c r="F29" s="5"/>
      <c r="G29" s="11"/>
      <c r="H29" s="11"/>
      <c r="I29" s="72"/>
      <c r="J29" s="11"/>
      <c r="K29" s="11"/>
      <c r="L29" s="11"/>
      <c r="M29" s="22"/>
      <c r="N29" s="11"/>
      <c r="P29" s="22"/>
      <c r="R29" s="11"/>
      <c r="S29" s="11"/>
      <c r="T29" s="11"/>
      <c r="U29" s="11"/>
      <c r="V29" s="11"/>
      <c r="W29" s="22"/>
      <c r="X29" s="22"/>
      <c r="Y29" s="22"/>
      <c r="Z29" s="22"/>
      <c r="AA29" s="22"/>
      <c r="AB29" s="22"/>
      <c r="AC29" s="22"/>
      <c r="AD29" s="22"/>
      <c r="AE29" s="22"/>
      <c r="AH29" s="22"/>
      <c r="AI29" s="22"/>
      <c r="AJ29" s="22"/>
    </row>
    <row r="30" spans="1:36" x14ac:dyDescent="0.45">
      <c r="A30" s="5"/>
      <c r="E30" s="5"/>
      <c r="F30" s="5"/>
      <c r="G30" s="11"/>
      <c r="H30" s="11"/>
      <c r="I30" s="72"/>
      <c r="J30" s="11"/>
      <c r="K30" s="11"/>
      <c r="L30" s="11"/>
      <c r="M30" s="22"/>
      <c r="N30" s="11"/>
      <c r="P30" s="22"/>
      <c r="R30" s="11"/>
      <c r="S30" s="11"/>
      <c r="T30" s="11"/>
      <c r="U30" s="11"/>
      <c r="V30" s="11"/>
      <c r="W30" s="22"/>
      <c r="X30" s="22"/>
      <c r="Y30" s="22"/>
      <c r="Z30" s="22"/>
      <c r="AA30" s="22"/>
      <c r="AB30" s="22"/>
      <c r="AC30" s="22"/>
      <c r="AD30" s="22"/>
      <c r="AE30" s="22"/>
      <c r="AH30" s="22"/>
      <c r="AI30" s="22"/>
      <c r="AJ30" s="22"/>
    </row>
    <row r="31" spans="1:36" x14ac:dyDescent="0.45">
      <c r="A31" s="5"/>
      <c r="E31" s="5"/>
      <c r="F31" s="5"/>
      <c r="G31" s="11"/>
      <c r="H31" s="11"/>
      <c r="I31" s="72"/>
      <c r="J31" s="11"/>
      <c r="K31" s="11"/>
      <c r="L31" s="11"/>
      <c r="M31" s="22"/>
      <c r="N31" s="11"/>
      <c r="P31" s="22"/>
      <c r="R31" s="11"/>
      <c r="S31" s="11"/>
      <c r="T31" s="11"/>
      <c r="U31" s="11"/>
      <c r="V31" s="11"/>
      <c r="W31" s="22"/>
      <c r="X31" s="22"/>
      <c r="Y31" s="22"/>
      <c r="Z31" s="22"/>
      <c r="AA31" s="22"/>
      <c r="AB31" s="22"/>
      <c r="AC31" s="22"/>
      <c r="AD31" s="22"/>
      <c r="AE31" s="22"/>
      <c r="AH31" s="22"/>
      <c r="AI31" s="22"/>
      <c r="AJ31" s="22"/>
    </row>
    <row r="32" spans="1:36" x14ac:dyDescent="0.45">
      <c r="A32" s="5"/>
      <c r="E32" s="5"/>
      <c r="F32" s="5"/>
      <c r="G32" s="11"/>
      <c r="H32" s="11"/>
      <c r="I32" s="72"/>
      <c r="J32" s="11"/>
      <c r="K32" s="11"/>
      <c r="L32" s="11"/>
      <c r="M32" s="22"/>
      <c r="N32" s="11"/>
      <c r="P32" s="22"/>
      <c r="R32" s="11"/>
      <c r="S32" s="11"/>
      <c r="T32" s="11"/>
      <c r="U32" s="11"/>
      <c r="V32" s="11"/>
      <c r="W32" s="22"/>
      <c r="X32" s="22"/>
      <c r="Y32" s="22"/>
      <c r="Z32" s="22"/>
      <c r="AA32" s="22"/>
      <c r="AB32" s="22"/>
      <c r="AC32" s="22"/>
      <c r="AD32" s="22"/>
      <c r="AE32" s="22"/>
      <c r="AH32" s="22"/>
      <c r="AI32" s="22"/>
      <c r="AJ32" s="22"/>
    </row>
    <row r="33" spans="1:36" x14ac:dyDescent="0.45">
      <c r="A33" s="5"/>
      <c r="E33" s="5"/>
      <c r="F33" s="5"/>
      <c r="G33" s="11"/>
      <c r="H33" s="11"/>
      <c r="I33" s="72"/>
      <c r="J33" s="11"/>
      <c r="K33" s="11"/>
      <c r="L33" s="11"/>
      <c r="M33" s="22"/>
      <c r="N33" s="11"/>
      <c r="P33" s="22"/>
      <c r="R33" s="11"/>
      <c r="S33" s="11"/>
      <c r="T33" s="11"/>
      <c r="U33" s="11"/>
      <c r="V33" s="11"/>
      <c r="W33" s="22"/>
      <c r="X33" s="22"/>
      <c r="Y33" s="22"/>
      <c r="Z33" s="22"/>
      <c r="AA33" s="22"/>
      <c r="AB33" s="22"/>
      <c r="AC33" s="22"/>
      <c r="AD33" s="22"/>
      <c r="AE33" s="22"/>
      <c r="AH33" s="22"/>
      <c r="AI33" s="22"/>
      <c r="AJ33" s="22"/>
    </row>
    <row r="34" spans="1:36" x14ac:dyDescent="0.45">
      <c r="A34" s="5"/>
      <c r="E34" s="5"/>
      <c r="F34" s="5"/>
      <c r="G34" s="11"/>
      <c r="H34" s="11"/>
      <c r="I34" s="72"/>
      <c r="J34" s="11"/>
      <c r="K34" s="11"/>
      <c r="L34" s="11"/>
      <c r="M34" s="22"/>
      <c r="N34" s="11"/>
      <c r="P34" s="22"/>
      <c r="R34" s="11"/>
      <c r="S34" s="11"/>
      <c r="T34" s="11"/>
      <c r="U34" s="11"/>
      <c r="V34" s="11"/>
      <c r="W34" s="22"/>
      <c r="X34" s="22"/>
      <c r="Y34" s="22"/>
      <c r="Z34" s="22"/>
      <c r="AA34" s="22"/>
      <c r="AB34" s="22"/>
      <c r="AC34" s="22"/>
      <c r="AD34" s="22"/>
      <c r="AE34" s="22"/>
      <c r="AH34" s="22"/>
      <c r="AI34" s="22"/>
      <c r="AJ34" s="22"/>
    </row>
    <row r="35" spans="1:36" x14ac:dyDescent="0.45">
      <c r="A35" s="5"/>
      <c r="E35" s="5"/>
      <c r="F35" s="5"/>
      <c r="G35" s="11"/>
      <c r="H35" s="11"/>
      <c r="I35" s="72"/>
      <c r="J35" s="11"/>
      <c r="K35" s="11"/>
      <c r="L35" s="11"/>
      <c r="M35" s="22"/>
      <c r="N35" s="11"/>
      <c r="P35" s="22"/>
      <c r="R35" s="11"/>
      <c r="S35" s="11"/>
      <c r="T35" s="11"/>
      <c r="U35" s="11"/>
      <c r="V35" s="11"/>
      <c r="W35" s="22"/>
      <c r="X35" s="22"/>
      <c r="Y35" s="22"/>
      <c r="Z35" s="22"/>
      <c r="AA35" s="22"/>
      <c r="AB35" s="22"/>
      <c r="AC35" s="22"/>
      <c r="AD35" s="22"/>
      <c r="AE35" s="22"/>
      <c r="AH35" s="22"/>
      <c r="AI35" s="22"/>
      <c r="AJ35" s="22"/>
    </row>
    <row r="36" spans="1:36" x14ac:dyDescent="0.45">
      <c r="A36" s="5"/>
      <c r="E36" s="5"/>
      <c r="F36" s="5"/>
      <c r="G36" s="11"/>
      <c r="H36" s="11"/>
      <c r="I36" s="72"/>
      <c r="J36" s="11"/>
      <c r="K36" s="11"/>
      <c r="L36" s="11"/>
      <c r="M36" s="22"/>
      <c r="N36" s="11"/>
      <c r="P36" s="22"/>
      <c r="R36" s="11"/>
      <c r="S36" s="11"/>
      <c r="T36" s="11"/>
      <c r="U36" s="11"/>
      <c r="V36" s="11"/>
      <c r="W36" s="22"/>
      <c r="X36" s="22"/>
      <c r="Y36" s="22"/>
      <c r="Z36" s="22"/>
      <c r="AA36" s="22"/>
      <c r="AB36" s="22"/>
      <c r="AC36" s="22"/>
      <c r="AD36" s="22"/>
      <c r="AE36" s="22"/>
      <c r="AH36" s="22"/>
      <c r="AI36" s="22"/>
      <c r="AJ36" s="22"/>
    </row>
    <row r="37" spans="1:36" x14ac:dyDescent="0.45">
      <c r="A37" s="5"/>
      <c r="E37" s="5"/>
      <c r="F37" s="5"/>
      <c r="G37" s="11"/>
      <c r="H37" s="11"/>
      <c r="I37" s="72"/>
      <c r="J37" s="11"/>
      <c r="K37" s="11"/>
      <c r="L37" s="11"/>
      <c r="M37" s="22"/>
      <c r="N37" s="11"/>
      <c r="P37" s="22"/>
      <c r="R37" s="11"/>
      <c r="S37" s="11"/>
      <c r="T37" s="11"/>
      <c r="U37" s="11"/>
      <c r="V37" s="11"/>
      <c r="W37" s="22"/>
      <c r="X37" s="22"/>
      <c r="Y37" s="22"/>
      <c r="Z37" s="22"/>
      <c r="AA37" s="22"/>
      <c r="AB37" s="22"/>
      <c r="AC37" s="22"/>
      <c r="AD37" s="22"/>
      <c r="AE37" s="22"/>
      <c r="AH37" s="22"/>
      <c r="AI37" s="22"/>
      <c r="AJ37" s="22"/>
    </row>
    <row r="38" spans="1:36" x14ac:dyDescent="0.45">
      <c r="A38" s="5"/>
      <c r="E38" s="5"/>
      <c r="F38" s="5"/>
      <c r="G38" s="11"/>
      <c r="H38" s="11"/>
      <c r="I38" s="72"/>
      <c r="J38" s="11"/>
      <c r="K38" s="11"/>
      <c r="L38" s="11"/>
      <c r="M38" s="22"/>
      <c r="N38" s="11"/>
      <c r="P38" s="22"/>
      <c r="R38" s="11"/>
      <c r="S38" s="11"/>
      <c r="T38" s="11"/>
      <c r="U38" s="11"/>
      <c r="V38" s="11"/>
      <c r="W38" s="22"/>
      <c r="X38" s="22"/>
      <c r="Y38" s="22"/>
      <c r="Z38" s="22"/>
      <c r="AA38" s="22"/>
      <c r="AB38" s="22"/>
      <c r="AC38" s="22"/>
      <c r="AD38" s="22"/>
      <c r="AE38" s="22"/>
      <c r="AH38" s="22"/>
      <c r="AI38" s="22"/>
      <c r="AJ38" s="22"/>
    </row>
    <row r="39" spans="1:36" x14ac:dyDescent="0.45">
      <c r="A39" s="5"/>
      <c r="E39" s="5"/>
      <c r="F39" s="5"/>
      <c r="G39" s="11"/>
      <c r="H39" s="11"/>
      <c r="I39" s="72"/>
      <c r="J39" s="11"/>
      <c r="K39" s="11"/>
      <c r="M39" s="22"/>
      <c r="N39" s="11"/>
      <c r="P39" s="22"/>
      <c r="R39" s="11"/>
      <c r="S39" s="11"/>
      <c r="T39" s="11"/>
      <c r="V39" s="11"/>
      <c r="W39" s="22"/>
      <c r="X39" s="22"/>
      <c r="Y39" s="22"/>
      <c r="Z39" s="22"/>
      <c r="AA39" s="22"/>
      <c r="AB39" s="22"/>
      <c r="AC39" s="22"/>
      <c r="AD39" s="22"/>
      <c r="AE39" s="22"/>
      <c r="AH39" s="22"/>
      <c r="AI39" s="22"/>
      <c r="AJ39" s="22"/>
    </row>
    <row r="40" spans="1:36" x14ac:dyDescent="0.45">
      <c r="A40" s="5"/>
      <c r="E40" s="5"/>
      <c r="F40" s="5"/>
      <c r="G40" s="11"/>
      <c r="H40" s="11"/>
      <c r="I40" s="72"/>
      <c r="J40" s="11"/>
      <c r="K40" s="11"/>
      <c r="M40" s="22"/>
      <c r="N40" s="11"/>
      <c r="P40" s="22"/>
      <c r="R40" s="11"/>
      <c r="S40" s="11"/>
      <c r="T40" s="11"/>
      <c r="V40" s="11"/>
      <c r="W40" s="22"/>
      <c r="X40" s="22"/>
      <c r="Y40" s="22"/>
      <c r="Z40" s="22"/>
      <c r="AA40" s="22"/>
      <c r="AB40" s="22"/>
      <c r="AC40" s="22"/>
      <c r="AD40" s="22"/>
      <c r="AE40" s="22"/>
      <c r="AH40" s="22"/>
      <c r="AI40" s="22"/>
      <c r="AJ40" s="22"/>
    </row>
    <row r="41" spans="1:36" x14ac:dyDescent="0.45">
      <c r="A41" s="5"/>
      <c r="E41" s="5"/>
      <c r="F41" s="5"/>
      <c r="G41" s="11"/>
      <c r="H41" s="11"/>
      <c r="I41" s="72"/>
      <c r="J41" s="11"/>
      <c r="K41" s="11"/>
      <c r="M41" s="22"/>
      <c r="N41" s="11"/>
      <c r="P41" s="22"/>
      <c r="R41" s="11"/>
      <c r="S41" s="11"/>
      <c r="T41" s="11"/>
      <c r="V41" s="11"/>
      <c r="W41" s="22"/>
      <c r="X41" s="22"/>
      <c r="Y41" s="22"/>
      <c r="Z41" s="22"/>
      <c r="AA41" s="22"/>
      <c r="AB41" s="22"/>
      <c r="AC41" s="22"/>
      <c r="AD41" s="22"/>
      <c r="AE41" s="22"/>
      <c r="AH41" s="22"/>
      <c r="AI41" s="22"/>
      <c r="AJ41" s="22"/>
    </row>
    <row r="42" spans="1:36" x14ac:dyDescent="0.45">
      <c r="A42" s="5"/>
      <c r="E42" s="5"/>
      <c r="F42" s="5"/>
      <c r="G42" s="11"/>
      <c r="H42" s="11"/>
      <c r="I42" s="72"/>
      <c r="J42" s="11"/>
      <c r="K42" s="11"/>
      <c r="M42" s="22"/>
      <c r="N42" s="11"/>
      <c r="P42" s="22"/>
      <c r="R42" s="11"/>
      <c r="S42" s="11"/>
      <c r="T42" s="11"/>
      <c r="V42" s="11"/>
      <c r="W42" s="22"/>
      <c r="X42" s="22"/>
      <c r="Y42" s="22"/>
      <c r="Z42" s="22"/>
      <c r="AA42" s="22"/>
      <c r="AB42" s="22"/>
      <c r="AC42" s="22"/>
      <c r="AD42" s="22"/>
      <c r="AE42" s="22"/>
      <c r="AH42" s="22"/>
      <c r="AI42" s="22"/>
      <c r="AJ42" s="22"/>
    </row>
    <row r="43" spans="1:36" x14ac:dyDescent="0.45">
      <c r="A43" s="5"/>
      <c r="E43" s="5"/>
      <c r="F43" s="5"/>
      <c r="G43" s="11"/>
      <c r="H43" s="11"/>
      <c r="I43" s="72"/>
      <c r="J43" s="11"/>
      <c r="K43" s="11"/>
      <c r="M43" s="22"/>
      <c r="N43" s="11"/>
      <c r="P43" s="22"/>
      <c r="R43" s="11"/>
      <c r="S43" s="11"/>
      <c r="T43" s="11"/>
      <c r="V43" s="11"/>
      <c r="W43" s="22"/>
      <c r="X43" s="22"/>
      <c r="Y43" s="22"/>
      <c r="Z43" s="22"/>
      <c r="AA43" s="22"/>
      <c r="AB43" s="22"/>
      <c r="AC43" s="22"/>
      <c r="AD43" s="22"/>
      <c r="AE43" s="22"/>
      <c r="AH43" s="22"/>
      <c r="AI43" s="22"/>
      <c r="AJ43" s="22"/>
    </row>
    <row r="44" spans="1:36" x14ac:dyDescent="0.45">
      <c r="A44" s="5"/>
      <c r="E44" s="5"/>
      <c r="F44" s="5"/>
      <c r="G44" s="11"/>
      <c r="H44" s="11"/>
      <c r="I44" s="72"/>
      <c r="J44" s="11"/>
      <c r="K44" s="11"/>
      <c r="M44" s="22"/>
      <c r="N44" s="11"/>
      <c r="P44" s="22"/>
      <c r="R44" s="11"/>
      <c r="S44" s="11"/>
      <c r="T44" s="11"/>
      <c r="V44" s="11"/>
      <c r="W44" s="22"/>
      <c r="X44" s="22"/>
      <c r="Y44" s="22"/>
      <c r="Z44" s="22"/>
      <c r="AA44" s="22"/>
      <c r="AB44" s="22"/>
      <c r="AC44" s="22"/>
      <c r="AD44" s="22"/>
      <c r="AE44" s="22"/>
      <c r="AH44" s="22"/>
      <c r="AI44" s="22"/>
      <c r="AJ44" s="22"/>
    </row>
    <row r="45" spans="1:36" x14ac:dyDescent="0.45">
      <c r="A45" s="5"/>
      <c r="E45" s="5"/>
      <c r="F45" s="5"/>
      <c r="G45" s="11"/>
      <c r="H45" s="11"/>
      <c r="I45" s="72"/>
      <c r="J45" s="11"/>
      <c r="K45" s="11"/>
      <c r="M45" s="22"/>
      <c r="N45" s="11"/>
      <c r="P45" s="22"/>
      <c r="R45" s="11"/>
      <c r="S45" s="11"/>
      <c r="T45" s="11"/>
      <c r="V45" s="11"/>
      <c r="W45" s="22"/>
      <c r="X45" s="22"/>
      <c r="Y45" s="22"/>
      <c r="Z45" s="22"/>
      <c r="AA45" s="22"/>
      <c r="AB45" s="22"/>
      <c r="AC45" s="22"/>
      <c r="AD45" s="22"/>
      <c r="AE45" s="22"/>
      <c r="AH45" s="22"/>
      <c r="AI45" s="22"/>
      <c r="AJ45" s="22"/>
    </row>
    <row r="46" spans="1:36" x14ac:dyDescent="0.45">
      <c r="A46" s="5"/>
      <c r="E46" s="5"/>
      <c r="F46" s="5"/>
      <c r="G46" s="11"/>
      <c r="H46" s="11"/>
      <c r="I46" s="72"/>
      <c r="J46" s="11"/>
      <c r="K46" s="11"/>
      <c r="M46" s="22"/>
      <c r="N46" s="11"/>
      <c r="O46" s="3"/>
      <c r="P46" s="22"/>
      <c r="R46" s="11"/>
      <c r="S46" s="11"/>
      <c r="T46" s="11"/>
      <c r="V46" s="11"/>
      <c r="W46" s="22"/>
      <c r="X46" s="22"/>
      <c r="Y46" s="22"/>
      <c r="Z46" s="22"/>
      <c r="AA46" s="22"/>
      <c r="AB46" s="22"/>
      <c r="AC46" s="22"/>
      <c r="AD46" s="22"/>
      <c r="AE46" s="22"/>
      <c r="AH46" s="22"/>
      <c r="AI46" s="22"/>
      <c r="AJ46" s="22"/>
    </row>
    <row r="47" spans="1:36" x14ac:dyDescent="0.45">
      <c r="A47" s="5"/>
      <c r="E47" s="5"/>
      <c r="F47" s="5"/>
      <c r="G47" s="11"/>
      <c r="H47" s="11"/>
      <c r="I47" s="72"/>
      <c r="J47" s="11"/>
      <c r="K47" s="11"/>
      <c r="M47" s="22"/>
      <c r="N47" s="11"/>
      <c r="O47" s="3"/>
      <c r="P47" s="22"/>
      <c r="R47" s="11"/>
      <c r="S47" s="11"/>
      <c r="T47" s="11"/>
      <c r="V47" s="11"/>
      <c r="W47" s="22"/>
      <c r="X47" s="22"/>
      <c r="Y47" s="22"/>
      <c r="Z47" s="22"/>
      <c r="AA47" s="22"/>
      <c r="AB47" s="22"/>
      <c r="AC47" s="22"/>
      <c r="AD47" s="22"/>
      <c r="AE47" s="22"/>
      <c r="AH47" s="22"/>
      <c r="AI47" s="22"/>
      <c r="AJ47" s="22"/>
    </row>
    <row r="48" spans="1:36" x14ac:dyDescent="0.45">
      <c r="A48" s="5"/>
      <c r="E48" s="5"/>
      <c r="F48" s="5"/>
      <c r="G48" s="11"/>
      <c r="H48" s="11"/>
      <c r="I48" s="72"/>
      <c r="J48" s="11"/>
      <c r="K48" s="11"/>
      <c r="M48" s="22"/>
      <c r="N48" s="11"/>
      <c r="O48" s="3"/>
      <c r="P48" s="22"/>
      <c r="R48" s="11"/>
      <c r="S48" s="11"/>
      <c r="T48" s="11"/>
      <c r="V48" s="11"/>
      <c r="W48" s="22"/>
      <c r="X48" s="22"/>
      <c r="Y48" s="22"/>
      <c r="Z48" s="22"/>
      <c r="AA48" s="22"/>
      <c r="AB48" s="22"/>
      <c r="AC48" s="22"/>
      <c r="AD48" s="22"/>
      <c r="AE48" s="22"/>
      <c r="AH48" s="22"/>
      <c r="AI48" s="22"/>
      <c r="AJ48" s="22"/>
    </row>
    <row r="49" spans="1:36" x14ac:dyDescent="0.45">
      <c r="A49" s="5"/>
      <c r="E49" s="5"/>
      <c r="F49" s="5"/>
      <c r="G49" s="11"/>
      <c r="H49" s="11"/>
      <c r="I49" s="72"/>
      <c r="J49" s="11"/>
      <c r="K49" s="11"/>
      <c r="M49" s="22"/>
      <c r="N49" s="11"/>
      <c r="O49" s="3"/>
      <c r="P49" s="22"/>
      <c r="R49" s="11"/>
      <c r="S49" s="11"/>
      <c r="T49" s="11"/>
      <c r="V49" s="11"/>
      <c r="W49" s="22"/>
      <c r="X49" s="22"/>
      <c r="Y49" s="22"/>
      <c r="Z49" s="22"/>
      <c r="AA49" s="22"/>
      <c r="AB49" s="22"/>
      <c r="AC49" s="22"/>
      <c r="AD49" s="22"/>
      <c r="AE49" s="22"/>
      <c r="AH49" s="22"/>
      <c r="AI49" s="22"/>
      <c r="AJ49" s="22"/>
    </row>
    <row r="50" spans="1:36" x14ac:dyDescent="0.45">
      <c r="A50" s="5"/>
      <c r="E50" s="5"/>
      <c r="F50" s="5"/>
      <c r="G50" s="11"/>
      <c r="H50" s="11"/>
      <c r="I50" s="72"/>
      <c r="J50" s="11"/>
      <c r="K50" s="11"/>
      <c r="M50" s="22"/>
      <c r="N50" s="11"/>
      <c r="O50" s="3"/>
      <c r="P50" s="22"/>
      <c r="R50" s="11"/>
      <c r="S50" s="11"/>
      <c r="T50" s="11"/>
      <c r="V50" s="11"/>
      <c r="W50" s="22"/>
      <c r="X50" s="22"/>
      <c r="Y50" s="22"/>
      <c r="Z50" s="22"/>
      <c r="AA50" s="22"/>
      <c r="AB50" s="22"/>
      <c r="AC50" s="22"/>
      <c r="AD50" s="22"/>
      <c r="AE50" s="22"/>
      <c r="AH50" s="22"/>
      <c r="AI50" s="22"/>
      <c r="AJ50" s="22"/>
    </row>
  </sheetData>
  <autoFilter ref="A13:AO36" xr:uid="{00000000-0009-0000-0000-000011000000}"/>
  <mergeCells count="26">
    <mergeCell ref="H10:H11"/>
    <mergeCell ref="I10:I11"/>
    <mergeCell ref="AE10:AG10"/>
    <mergeCell ref="J10:J11"/>
    <mergeCell ref="L10:M10"/>
    <mergeCell ref="N10:N11"/>
    <mergeCell ref="Q10:R10"/>
    <mergeCell ref="AC10:AD10"/>
    <mergeCell ref="O10:O11"/>
    <mergeCell ref="AB10:AB11"/>
    <mergeCell ref="AH10:AH11"/>
    <mergeCell ref="AI10:AI11"/>
    <mergeCell ref="G12:H12"/>
    <mergeCell ref="AC9:AG9"/>
    <mergeCell ref="A10:A11"/>
    <mergeCell ref="B10:B11"/>
    <mergeCell ref="C10:C11"/>
    <mergeCell ref="D10:D11"/>
    <mergeCell ref="E10:E11"/>
    <mergeCell ref="K10:K11"/>
    <mergeCell ref="K9:N9"/>
    <mergeCell ref="O9:P9"/>
    <mergeCell ref="Q9:T9"/>
    <mergeCell ref="W9:AA9"/>
    <mergeCell ref="F10:F11"/>
    <mergeCell ref="G10:G11"/>
  </mergeCells>
  <pageMargins left="0.7" right="0.7" top="0.75" bottom="0.75" header="0.3" footer="0.3"/>
  <pageSetup orientation="portrait" r:id="rId1"/>
  <drawing r:id="rId2"/>
  <legacyDrawing r:id="rId3"/>
  <controls>
    <mc:AlternateContent xmlns:mc="http://schemas.openxmlformats.org/markup-compatibility/2006">
      <mc:Choice Requires="x14">
        <control shapeId="24578" r:id="rId4" name="CommandButton1">
          <controlPr defaultSize="0" autoLine="0" r:id="rId5">
            <anchor moveWithCells="1">
              <from>
                <xdr:col>1</xdr:col>
                <xdr:colOff>95250</xdr:colOff>
                <xdr:row>5</xdr:row>
                <xdr:rowOff>9525</xdr:rowOff>
              </from>
              <to>
                <xdr:col>1</xdr:col>
                <xdr:colOff>1343025</xdr:colOff>
                <xdr:row>6</xdr:row>
                <xdr:rowOff>228600</xdr:rowOff>
              </to>
            </anchor>
          </controlPr>
        </control>
      </mc:Choice>
      <mc:Fallback>
        <control shapeId="24578" r:id="rId4" name="CommandButton1"/>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tabColor theme="1"/>
  </sheetPr>
  <dimension ref="A1:M17"/>
  <sheetViews>
    <sheetView workbookViewId="0"/>
  </sheetViews>
  <sheetFormatPr defaultRowHeight="14.25" x14ac:dyDescent="0.45"/>
  <cols>
    <col min="1" max="1" width="7.59765625" customWidth="1"/>
    <col min="2" max="2" width="17.73046875" customWidth="1"/>
    <col min="3" max="4" width="12.73046875" customWidth="1"/>
    <col min="5" max="5" width="7.86328125" customWidth="1"/>
    <col min="6" max="6" width="11.265625" customWidth="1"/>
    <col min="7" max="7" width="14.265625" customWidth="1"/>
    <col min="8" max="8" width="11.265625" customWidth="1"/>
    <col min="9" max="9" width="14.265625" customWidth="1"/>
    <col min="10" max="10" width="11.265625" customWidth="1"/>
    <col min="11" max="11" width="14.265625" customWidth="1"/>
    <col min="12" max="12" width="11.265625" customWidth="1"/>
    <col min="13" max="13" width="14.265625" customWidth="1"/>
  </cols>
  <sheetData>
    <row r="1" spans="1:13" x14ac:dyDescent="0.45">
      <c r="F1">
        <v>5</v>
      </c>
    </row>
    <row r="10" spans="1:13" ht="19.899999999999999" thickBot="1" x14ac:dyDescent="0.65">
      <c r="A10" s="154" t="s">
        <v>320</v>
      </c>
      <c r="B10" s="154"/>
      <c r="C10" s="154"/>
      <c r="D10" s="154"/>
      <c r="E10" s="154"/>
      <c r="F10" s="154"/>
      <c r="G10" s="154"/>
      <c r="H10" s="154"/>
      <c r="I10" s="154"/>
      <c r="J10" s="154"/>
      <c r="K10" s="154"/>
      <c r="L10" s="154"/>
      <c r="M10" s="154"/>
    </row>
    <row r="11" spans="1:13" ht="14.65" thickTop="1" x14ac:dyDescent="0.45">
      <c r="F11" t="s">
        <v>321</v>
      </c>
      <c r="G11" s="50">
        <v>2000000000</v>
      </c>
    </row>
    <row r="12" spans="1:13" x14ac:dyDescent="0.45">
      <c r="F12" t="s">
        <v>323</v>
      </c>
      <c r="G12" s="373">
        <v>0.1</v>
      </c>
    </row>
    <row r="13" spans="1:13" x14ac:dyDescent="0.45">
      <c r="F13" t="s">
        <v>324</v>
      </c>
      <c r="G13" s="50">
        <f>G11*G12</f>
        <v>200000000</v>
      </c>
    </row>
    <row r="14" spans="1:13" ht="15.6" customHeight="1" x14ac:dyDescent="0.45">
      <c r="A14" s="636" t="s">
        <v>1</v>
      </c>
      <c r="B14" s="636" t="s">
        <v>2</v>
      </c>
      <c r="C14" s="636" t="s">
        <v>3</v>
      </c>
      <c r="D14" s="636" t="s">
        <v>4</v>
      </c>
      <c r="E14" s="636" t="s">
        <v>39</v>
      </c>
      <c r="F14" s="633" t="s">
        <v>159</v>
      </c>
      <c r="G14" s="634"/>
      <c r="H14" s="633" t="s">
        <v>160</v>
      </c>
      <c r="I14" s="634"/>
      <c r="J14" s="633" t="s">
        <v>161</v>
      </c>
      <c r="K14" s="634"/>
      <c r="L14" s="633" t="s">
        <v>162</v>
      </c>
      <c r="M14" s="635"/>
    </row>
    <row r="15" spans="1:13" ht="15.6" customHeight="1" x14ac:dyDescent="0.45">
      <c r="A15" s="636"/>
      <c r="B15" s="636"/>
      <c r="C15" s="636"/>
      <c r="D15" s="636"/>
      <c r="E15" s="636"/>
      <c r="F15" s="372" t="s">
        <v>322</v>
      </c>
      <c r="G15" s="372" t="s">
        <v>205</v>
      </c>
      <c r="H15" s="372" t="s">
        <v>322</v>
      </c>
      <c r="I15" s="372" t="s">
        <v>205</v>
      </c>
      <c r="J15" s="372" t="s">
        <v>322</v>
      </c>
      <c r="K15" s="372" t="s">
        <v>205</v>
      </c>
      <c r="L15" s="372" t="s">
        <v>322</v>
      </c>
      <c r="M15" s="372" t="s">
        <v>205</v>
      </c>
    </row>
    <row r="16" spans="1:13" x14ac:dyDescent="0.45">
      <c r="A16" s="49"/>
      <c r="B16" s="49" t="s">
        <v>24</v>
      </c>
      <c r="C16" s="89" t="s">
        <v>25</v>
      </c>
      <c r="D16" s="49" t="s">
        <v>26</v>
      </c>
      <c r="E16" s="49" t="s">
        <v>27</v>
      </c>
      <c r="F16" s="49"/>
      <c r="G16" s="49"/>
      <c r="H16" s="49"/>
      <c r="I16" s="49"/>
      <c r="J16" s="49"/>
      <c r="K16" s="49"/>
      <c r="L16" s="49"/>
      <c r="M16" s="49"/>
    </row>
    <row r="17" spans="1:1" x14ac:dyDescent="0.45">
      <c r="A17" s="5">
        <f>ROWS(B$17:B17)</f>
        <v>1</v>
      </c>
    </row>
  </sheetData>
  <mergeCells count="9">
    <mergeCell ref="F14:G14"/>
    <mergeCell ref="H14:I14"/>
    <mergeCell ref="J14:K14"/>
    <mergeCell ref="L14:M14"/>
    <mergeCell ref="A14:A15"/>
    <mergeCell ref="B14:B15"/>
    <mergeCell ref="C14:C15"/>
    <mergeCell ref="D14:D15"/>
    <mergeCell ref="E14:E15"/>
  </mergeCells>
  <phoneticPr fontId="2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9B65E-D72C-461B-AE89-0D17A8F6987C}">
  <sheetPr codeName="NPT1">
    <tabColor rgb="FFC00000"/>
  </sheetPr>
  <dimension ref="A1:AW49"/>
  <sheetViews>
    <sheetView showGridLines="0" topLeftCell="A5" workbookViewId="0">
      <selection activeCell="E10" sqref="E10:P33"/>
    </sheetView>
  </sheetViews>
  <sheetFormatPr defaultColWidth="9.1328125" defaultRowHeight="14.25" x14ac:dyDescent="0.45"/>
  <cols>
    <col min="1" max="1" width="7.265625" style="5" customWidth="1"/>
    <col min="2" max="2" width="22.59765625" style="3" bestFit="1" customWidth="1"/>
    <col min="3" max="3" width="14.265625" style="187" customWidth="1"/>
    <col min="4" max="4" width="10" style="3" hidden="1" customWidth="1"/>
    <col min="5" max="5" width="9.86328125" style="3" customWidth="1"/>
    <col min="6" max="7" width="11.265625" style="3" customWidth="1"/>
    <col min="8" max="16" width="8.265625" style="3" customWidth="1"/>
    <col min="17" max="17" width="16.59765625" style="3" customWidth="1"/>
    <col min="18" max="21" width="5.86328125" style="3" customWidth="1"/>
    <col min="22" max="22" width="14.265625" style="3" customWidth="1"/>
    <col min="23" max="23" width="20.86328125" style="3" customWidth="1"/>
    <col min="24" max="25" width="9.1328125" style="3" customWidth="1"/>
    <col min="27" max="27" width="9.1328125" style="3"/>
    <col min="28" max="28" width="22.59765625" style="3" bestFit="1" customWidth="1"/>
    <col min="29" max="29" width="14.59765625" style="3" customWidth="1"/>
    <col min="30" max="30" width="26.265625" style="3" customWidth="1"/>
    <col min="31" max="31" width="13.73046875" style="3" customWidth="1"/>
    <col min="32" max="32" width="14" style="3" bestFit="1" customWidth="1"/>
    <col min="33" max="37" width="9.73046875" style="3" customWidth="1"/>
    <col min="38" max="47" width="11.73046875" style="3" customWidth="1"/>
    <col min="48" max="49" width="12.265625" style="3" customWidth="1"/>
    <col min="50" max="16384" width="9.1328125" style="3"/>
  </cols>
  <sheetData>
    <row r="1" spans="1:49" x14ac:dyDescent="0.45">
      <c r="V1" s="51" t="s">
        <v>68</v>
      </c>
      <c r="W1" s="51" t="str">
        <f>"CTP!B10:Q"&amp;MAX(A:A)+9</f>
        <v>CTP!B10:Q11</v>
      </c>
    </row>
    <row r="2" spans="1:49" ht="23.65" thickBot="1" x14ac:dyDescent="0.5">
      <c r="A2" s="21" t="s">
        <v>392</v>
      </c>
      <c r="B2" s="1"/>
      <c r="C2" s="21"/>
      <c r="D2" s="1"/>
      <c r="E2" s="1"/>
      <c r="F2" s="1"/>
      <c r="G2" s="1"/>
      <c r="H2" s="1"/>
      <c r="I2" s="1"/>
      <c r="J2" s="1"/>
      <c r="K2" s="1"/>
      <c r="L2" s="1"/>
      <c r="M2" s="1"/>
      <c r="N2" s="1"/>
      <c r="O2" s="1"/>
      <c r="P2" s="1"/>
      <c r="Q2" s="1"/>
      <c r="V2" s="51" t="s">
        <v>100</v>
      </c>
      <c r="W2" s="51" t="s">
        <v>393</v>
      </c>
      <c r="X2" s="51"/>
    </row>
    <row r="3" spans="1:49" ht="14.65" thickTop="1" x14ac:dyDescent="0.45">
      <c r="V3" s="51" t="s">
        <v>75</v>
      </c>
      <c r="W3" s="51" t="str">
        <f>"CTP!B10:B"&amp;MAX(A:A)+9</f>
        <v>CTP!B10:B11</v>
      </c>
    </row>
    <row r="6" spans="1:49" x14ac:dyDescent="0.45">
      <c r="C6" s="187">
        <f>COLUMNS(C10:Z10)</f>
        <v>24</v>
      </c>
    </row>
    <row r="7" spans="1:49" x14ac:dyDescent="0.45">
      <c r="E7" s="128">
        <v>2000000</v>
      </c>
      <c r="F7" s="128">
        <v>2000000</v>
      </c>
      <c r="G7" s="128">
        <v>2000000</v>
      </c>
      <c r="H7" s="128">
        <v>2000000</v>
      </c>
      <c r="I7" s="128">
        <v>2000000</v>
      </c>
      <c r="J7" s="128">
        <v>2000000</v>
      </c>
      <c r="K7" s="128">
        <v>2000000</v>
      </c>
      <c r="L7" s="128">
        <v>2000000</v>
      </c>
      <c r="M7" s="128">
        <v>2000000</v>
      </c>
      <c r="N7" s="128">
        <v>2000000</v>
      </c>
      <c r="O7" s="128">
        <v>2000000</v>
      </c>
      <c r="P7" s="128">
        <v>2000000</v>
      </c>
      <c r="Q7" s="22">
        <f>SUM(Q10:Q30)</f>
        <v>0</v>
      </c>
    </row>
    <row r="8" spans="1:49" ht="28.5" x14ac:dyDescent="0.45">
      <c r="A8" s="7" t="s">
        <v>1</v>
      </c>
      <c r="B8" s="7" t="s">
        <v>2</v>
      </c>
      <c r="C8" s="582" t="s">
        <v>3</v>
      </c>
      <c r="D8" s="7" t="s">
        <v>6</v>
      </c>
      <c r="E8" s="20">
        <v>1</v>
      </c>
      <c r="F8" s="20">
        <v>2</v>
      </c>
      <c r="G8" s="20">
        <v>3</v>
      </c>
      <c r="H8" s="20">
        <v>4</v>
      </c>
      <c r="I8" s="20">
        <v>5</v>
      </c>
      <c r="J8" s="20">
        <v>6</v>
      </c>
      <c r="K8" s="20">
        <v>7</v>
      </c>
      <c r="L8" s="20">
        <v>8</v>
      </c>
      <c r="M8" s="20">
        <v>9</v>
      </c>
      <c r="N8" s="20">
        <v>10</v>
      </c>
      <c r="O8" s="20">
        <v>11</v>
      </c>
      <c r="P8" s="20">
        <v>12</v>
      </c>
      <c r="Q8" s="23" t="s">
        <v>153</v>
      </c>
      <c r="R8" s="73"/>
      <c r="S8" s="74"/>
      <c r="T8" s="74"/>
      <c r="U8" s="75"/>
      <c r="AA8" s="596" t="s">
        <v>1</v>
      </c>
      <c r="AB8" s="596" t="s">
        <v>228</v>
      </c>
      <c r="AC8" s="596" t="s">
        <v>229</v>
      </c>
      <c r="AD8" s="596" t="s">
        <v>230</v>
      </c>
      <c r="AE8" s="596" t="s">
        <v>231</v>
      </c>
      <c r="AF8" s="596" t="s">
        <v>232</v>
      </c>
      <c r="AG8" s="596" t="s">
        <v>233</v>
      </c>
      <c r="AH8" s="596" t="s">
        <v>234</v>
      </c>
      <c r="AI8" s="596" t="s">
        <v>235</v>
      </c>
      <c r="AJ8" s="596" t="s">
        <v>236</v>
      </c>
      <c r="AK8" s="596" t="s">
        <v>237</v>
      </c>
      <c r="AL8" s="593" t="s">
        <v>238</v>
      </c>
      <c r="AM8" s="594"/>
      <c r="AN8" s="594"/>
      <c r="AO8" s="594"/>
      <c r="AP8" s="594"/>
      <c r="AQ8" s="594"/>
      <c r="AR8" s="594"/>
      <c r="AS8" s="594"/>
      <c r="AT8" s="594"/>
      <c r="AU8" s="595"/>
      <c r="AV8" s="188" t="s">
        <v>239</v>
      </c>
      <c r="AW8" s="188"/>
    </row>
    <row r="9" spans="1:49" x14ac:dyDescent="0.45">
      <c r="A9" s="16"/>
      <c r="B9" s="16" t="s">
        <v>24</v>
      </c>
      <c r="C9" s="583" t="s">
        <v>25</v>
      </c>
      <c r="D9" s="16" t="s">
        <v>28</v>
      </c>
      <c r="E9" s="16">
        <f>E8</f>
        <v>1</v>
      </c>
      <c r="F9" s="16">
        <f t="shared" ref="F9:P9" si="0">F8</f>
        <v>2</v>
      </c>
      <c r="G9" s="16">
        <f t="shared" si="0"/>
        <v>3</v>
      </c>
      <c r="H9" s="16">
        <f t="shared" si="0"/>
        <v>4</v>
      </c>
      <c r="I9" s="16">
        <f t="shared" si="0"/>
        <v>5</v>
      </c>
      <c r="J9" s="16">
        <f t="shared" si="0"/>
        <v>6</v>
      </c>
      <c r="K9" s="16">
        <f t="shared" si="0"/>
        <v>7</v>
      </c>
      <c r="L9" s="16">
        <f t="shared" si="0"/>
        <v>8</v>
      </c>
      <c r="M9" s="16">
        <f t="shared" si="0"/>
        <v>9</v>
      </c>
      <c r="N9" s="16">
        <f t="shared" si="0"/>
        <v>10</v>
      </c>
      <c r="O9" s="16">
        <f t="shared" si="0"/>
        <v>11</v>
      </c>
      <c r="P9" s="16">
        <f t="shared" si="0"/>
        <v>12</v>
      </c>
      <c r="Q9" s="16" t="s">
        <v>102</v>
      </c>
      <c r="R9" s="129" t="s">
        <v>32</v>
      </c>
      <c r="S9" s="129" t="s">
        <v>33</v>
      </c>
      <c r="T9" s="129" t="s">
        <v>34</v>
      </c>
      <c r="U9" s="129" t="s">
        <v>35</v>
      </c>
      <c r="AA9" s="597"/>
      <c r="AB9" s="597"/>
      <c r="AC9" s="597"/>
      <c r="AD9" s="597"/>
      <c r="AE9" s="597"/>
      <c r="AF9" s="597"/>
      <c r="AG9" s="597"/>
      <c r="AH9" s="597"/>
      <c r="AI9" s="597"/>
      <c r="AJ9" s="597"/>
      <c r="AK9" s="597"/>
      <c r="AL9" s="188" t="s">
        <v>240</v>
      </c>
      <c r="AM9" s="188" t="s">
        <v>241</v>
      </c>
      <c r="AN9" s="593" t="s">
        <v>242</v>
      </c>
      <c r="AO9" s="594"/>
      <c r="AP9" s="594"/>
      <c r="AQ9" s="594"/>
      <c r="AR9" s="594"/>
      <c r="AS9" s="594"/>
      <c r="AT9" s="594"/>
      <c r="AU9" s="595"/>
      <c r="AV9" s="188"/>
      <c r="AW9" s="188"/>
    </row>
    <row r="10" spans="1:49" x14ac:dyDescent="0.45">
      <c r="A10" s="5">
        <f>IF(B10="","",SUBTOTAL(3,B$10:B10))</f>
        <v>1</v>
      </c>
      <c r="B10" s="18">
        <f>INDEX(Danh_Sach!$B$13:$N$2994,ROWS($B$10:$B10),MATCH(B$9,Danh_Sach!$B$12:$N$12,0))</f>
        <v>0</v>
      </c>
      <c r="C10" s="584">
        <f>INDEX(Danh_Sach!$B$13:$N$2994,ROWS($B$10:$B10),MATCH(C$9,Danh_Sach!$B$12:$N$12,0))</f>
        <v>0</v>
      </c>
      <c r="D10" s="17">
        <f>COUNTIF($AC$12:$AC$1200,C10)</f>
        <v>0</v>
      </c>
      <c r="E10" s="5"/>
      <c r="F10" s="5"/>
      <c r="G10" s="5"/>
      <c r="H10" s="5"/>
      <c r="I10" s="5"/>
      <c r="J10" s="5"/>
      <c r="K10" s="5"/>
      <c r="L10" s="5"/>
      <c r="M10" s="5"/>
      <c r="N10" s="5"/>
      <c r="O10" s="5"/>
      <c r="P10" s="5"/>
      <c r="Q10" s="11">
        <f>SUMPRODUCT($E$7:$P$7,E10:P10)</f>
        <v>0</v>
      </c>
      <c r="R10" s="17" t="str">
        <f>IF(INDEX(Danh_Sach!$B$13:$N$2994,ROWS($B$10:$B10),MATCH(R$9,Danh_Sach!$B$12:$N$12,0))=0,"",MONTH(INDEX(Danh_Sach!$B$13:$N$2994,ROWS($B$10:$B10),MATCH(R$9,Danh_Sach!$B$12:$N$12,0))))</f>
        <v/>
      </c>
      <c r="S10" s="17" t="str">
        <f>IF(INDEX(Danh_Sach!$B$13:$N$2994,ROWS($B$10:$B10),MATCH(S$9,Danh_Sach!$B$12:$N$12,0))=0,"",MONTH(INDEX(Danh_Sach!$B$13:$N$2994,ROWS($B$10:$B10),MATCH(S$9,Danh_Sach!$B$12:$N$12,0))))</f>
        <v/>
      </c>
      <c r="T10" s="17" t="str">
        <f>IF(INDEX(Danh_Sach!$B$13:$N$2994,ROWS($B$10:$B10),MATCH(T$9,Danh_Sach!$B$12:$N$12,0))=0,"",MONTH(INDEX(Danh_Sach!$B$13:$N$2994,ROWS($B$10:$B10),MATCH(T$9,Danh_Sach!$B$12:$N$12,0))))</f>
        <v/>
      </c>
      <c r="U10" s="17" t="str">
        <f>IF(INDEX(Danh_Sach!$B$13:$N$2994,ROWS($B$10:$B10),MATCH(U$9,Danh_Sach!$B$12:$N$12,0))=0,"",MONTH(INDEX(Danh_Sach!$B$13:$N$2994,ROWS($B$10:$B10),MATCH(U$9,Danh_Sach!$B$12:$N$12,0))))</f>
        <v/>
      </c>
      <c r="V10" s="22"/>
      <c r="Z10" s="50">
        <f>MAX(E10:P10)</f>
        <v>0</v>
      </c>
      <c r="AA10" s="598"/>
      <c r="AB10" s="598"/>
      <c r="AC10" s="598"/>
      <c r="AD10" s="598"/>
      <c r="AE10" s="598"/>
      <c r="AF10" s="598"/>
      <c r="AG10" s="598"/>
      <c r="AH10" s="598"/>
      <c r="AI10" s="598"/>
      <c r="AJ10" s="598"/>
      <c r="AK10" s="598"/>
      <c r="AL10" s="188"/>
      <c r="AM10" s="188"/>
      <c r="AN10" s="188" t="s">
        <v>243</v>
      </c>
      <c r="AO10" s="188" t="s">
        <v>244</v>
      </c>
      <c r="AP10" s="188" t="s">
        <v>245</v>
      </c>
      <c r="AQ10" s="188" t="s">
        <v>246</v>
      </c>
      <c r="AR10" s="188" t="s">
        <v>247</v>
      </c>
      <c r="AS10" s="188" t="s">
        <v>248</v>
      </c>
      <c r="AT10" s="188" t="s">
        <v>249</v>
      </c>
      <c r="AU10" s="188" t="s">
        <v>250</v>
      </c>
      <c r="AV10" s="188" t="s">
        <v>251</v>
      </c>
      <c r="AW10" s="188" t="s">
        <v>252</v>
      </c>
    </row>
    <row r="11" spans="1:49" x14ac:dyDescent="0.45">
      <c r="A11" s="5">
        <f>IF(B11="","",SUBTOTAL(3,B$10:B11))</f>
        <v>2</v>
      </c>
      <c r="B11" s="18">
        <f>INDEX(Danh_Sach!$B$13:$N$2994,ROWS($B$10:$B11),MATCH(B$9,Danh_Sach!$B$12:$N$12,0))</f>
        <v>0</v>
      </c>
      <c r="C11" s="584">
        <f>INDEX(Danh_Sach!$B$13:$N$2994,ROWS($B$10:$B11),MATCH(C$9,Danh_Sach!$B$12:$N$12,0))</f>
        <v>0</v>
      </c>
      <c r="D11" s="17">
        <f>COUNTIF($AC$12:$AC$1200,C11)</f>
        <v>0</v>
      </c>
      <c r="E11" s="5"/>
      <c r="F11" s="5"/>
      <c r="G11" s="5"/>
      <c r="H11" s="5"/>
      <c r="I11" s="5"/>
      <c r="J11" s="5"/>
      <c r="K11" s="5"/>
      <c r="L11" s="5"/>
      <c r="M11" s="5"/>
      <c r="N11" s="5"/>
      <c r="O11" s="5"/>
      <c r="P11" s="5"/>
      <c r="Q11" s="11">
        <f>SUMPRODUCT($E$7:$P$7,E11:P11)</f>
        <v>0</v>
      </c>
      <c r="R11" s="17" t="str">
        <f>IF(INDEX(Danh_Sach!$B$13:$N$2994,ROWS($B$10:$B11),MATCH(R$9,Danh_Sach!$B$12:$N$12,0))=0,"",MONTH(INDEX(Danh_Sach!$B$13:$N$2994,ROWS($B$10:$B11),MATCH(R$9,Danh_Sach!$B$12:$N$12,0))))</f>
        <v/>
      </c>
      <c r="S11" s="17" t="str">
        <f>IF(INDEX(Danh_Sach!$B$13:$N$2994,ROWS($B$10:$B11),MATCH(S$9,Danh_Sach!$B$12:$N$12,0))=0,"",MONTH(INDEX(Danh_Sach!$B$13:$N$2994,ROWS($B$10:$B11),MATCH(S$9,Danh_Sach!$B$12:$N$12,0))))</f>
        <v/>
      </c>
      <c r="T11" s="17" t="str">
        <f>IF(INDEX(Danh_Sach!$B$13:$N$2994,ROWS($B$10:$B11),MATCH(T$9,Danh_Sach!$B$12:$N$12,0))=0,"",MONTH(INDEX(Danh_Sach!$B$13:$N$2994,ROWS($B$10:$B11),MATCH(T$9,Danh_Sach!$B$12:$N$12,0))))</f>
        <v/>
      </c>
      <c r="U11" s="17" t="str">
        <f>IF(INDEX(Danh_Sach!$B$13:$N$2994,ROWS($B$10:$B11),MATCH(U$9,Danh_Sach!$B$12:$N$12,0))=0,"",MONTH(INDEX(Danh_Sach!$B$13:$N$2994,ROWS($B$10:$B11),MATCH(U$9,Danh_Sach!$B$12:$N$12,0))))</f>
        <v/>
      </c>
      <c r="Z11" s="50">
        <f>MAX(E11:P11)</f>
        <v>0</v>
      </c>
      <c r="AA11" s="188" t="s">
        <v>134</v>
      </c>
      <c r="AB11" s="188" t="s">
        <v>135</v>
      </c>
      <c r="AC11" s="188" t="s">
        <v>136</v>
      </c>
      <c r="AD11" s="188" t="s">
        <v>137</v>
      </c>
      <c r="AE11" s="188" t="s">
        <v>138</v>
      </c>
      <c r="AF11" s="188" t="s">
        <v>139</v>
      </c>
      <c r="AG11" s="188"/>
      <c r="AH11" s="188" t="s">
        <v>140</v>
      </c>
      <c r="AI11" s="188" t="s">
        <v>141</v>
      </c>
      <c r="AJ11" s="188"/>
      <c r="AK11" s="188" t="s">
        <v>142</v>
      </c>
      <c r="AL11" s="188" t="s">
        <v>143</v>
      </c>
      <c r="AM11" s="188" t="s">
        <v>144</v>
      </c>
      <c r="AN11" s="188"/>
      <c r="AO11" s="188" t="s">
        <v>145</v>
      </c>
      <c r="AP11" s="188"/>
      <c r="AQ11" s="188" t="s">
        <v>146</v>
      </c>
      <c r="AR11" s="188"/>
      <c r="AS11" s="188" t="s">
        <v>147</v>
      </c>
      <c r="AT11" s="188"/>
      <c r="AU11" s="188" t="s">
        <v>148</v>
      </c>
      <c r="AV11" s="188" t="s">
        <v>149</v>
      </c>
      <c r="AW11" s="188" t="s">
        <v>150</v>
      </c>
    </row>
    <row r="12" spans="1:49" x14ac:dyDescent="0.45">
      <c r="B12" s="18"/>
      <c r="C12" s="584"/>
      <c r="D12" s="17"/>
      <c r="E12" s="5"/>
      <c r="F12" s="5"/>
      <c r="G12" s="5"/>
      <c r="H12" s="5"/>
      <c r="I12" s="5"/>
      <c r="J12" s="5"/>
      <c r="K12" s="5"/>
      <c r="L12" s="5"/>
      <c r="M12" s="5"/>
      <c r="N12" s="5"/>
      <c r="O12" s="5"/>
      <c r="P12" s="5"/>
      <c r="Q12" s="11"/>
      <c r="R12" s="17"/>
      <c r="S12" s="17"/>
      <c r="T12" s="17"/>
      <c r="U12" s="17"/>
      <c r="Z12" s="50">
        <f t="shared" ref="Z12:Z38" si="1">MAX(E12:P12)</f>
        <v>0</v>
      </c>
      <c r="AA12" s="175"/>
      <c r="AB12" s="175"/>
      <c r="AC12" s="175"/>
      <c r="AD12" s="175"/>
      <c r="AE12" s="223"/>
      <c r="AF12" s="175"/>
      <c r="AG12" s="175"/>
      <c r="AH12" s="175"/>
      <c r="AI12" s="175"/>
      <c r="AJ12" s="175"/>
      <c r="AK12" s="175"/>
      <c r="AL12" s="175"/>
      <c r="AM12" s="189"/>
      <c r="AN12" s="175"/>
      <c r="AO12" s="175"/>
      <c r="AP12" s="175"/>
      <c r="AQ12" s="175"/>
      <c r="AR12" s="175"/>
      <c r="AS12" s="175"/>
      <c r="AT12" s="175"/>
      <c r="AU12" s="175"/>
      <c r="AV12" s="189"/>
      <c r="AW12" s="189"/>
    </row>
    <row r="13" spans="1:49" x14ac:dyDescent="0.45">
      <c r="B13" s="18"/>
      <c r="C13" s="584"/>
      <c r="D13" s="17"/>
      <c r="E13" s="5"/>
      <c r="F13" s="5"/>
      <c r="G13" s="5"/>
      <c r="H13" s="5"/>
      <c r="I13" s="5"/>
      <c r="J13" s="5"/>
      <c r="K13" s="5"/>
      <c r="L13" s="5"/>
      <c r="M13" s="5"/>
      <c r="N13" s="5"/>
      <c r="O13" s="5"/>
      <c r="P13" s="5"/>
      <c r="Q13" s="11"/>
      <c r="R13" s="17"/>
      <c r="S13" s="17"/>
      <c r="T13" s="17"/>
      <c r="U13" s="17"/>
      <c r="Z13" s="50">
        <f t="shared" si="1"/>
        <v>0</v>
      </c>
      <c r="AA13" s="175"/>
      <c r="AB13" s="175"/>
      <c r="AC13" s="175"/>
      <c r="AD13" s="175"/>
      <c r="AE13" s="223"/>
      <c r="AF13" s="175"/>
      <c r="AG13" s="175"/>
      <c r="AH13" s="175"/>
      <c r="AI13" s="175"/>
      <c r="AJ13" s="175"/>
      <c r="AK13" s="175"/>
      <c r="AL13" s="175"/>
      <c r="AM13" s="189"/>
      <c r="AN13" s="175"/>
      <c r="AO13" s="175"/>
      <c r="AP13" s="175"/>
      <c r="AQ13" s="175"/>
      <c r="AR13" s="175"/>
      <c r="AS13" s="175"/>
      <c r="AT13" s="175"/>
      <c r="AU13" s="175"/>
      <c r="AV13" s="189"/>
      <c r="AW13" s="189"/>
    </row>
    <row r="14" spans="1:49" x14ac:dyDescent="0.45">
      <c r="B14" s="18"/>
      <c r="C14" s="584"/>
      <c r="D14" s="17"/>
      <c r="E14" s="5"/>
      <c r="F14" s="5"/>
      <c r="G14" s="5"/>
      <c r="H14" s="5"/>
      <c r="I14" s="5"/>
      <c r="J14" s="5"/>
      <c r="K14" s="5"/>
      <c r="L14" s="5"/>
      <c r="M14" s="5"/>
      <c r="N14" s="5"/>
      <c r="O14" s="5"/>
      <c r="P14" s="5"/>
      <c r="Q14" s="11"/>
      <c r="R14" s="17"/>
      <c r="S14" s="17"/>
      <c r="T14" s="17"/>
      <c r="U14" s="17"/>
      <c r="Z14" s="50">
        <f t="shared" si="1"/>
        <v>0</v>
      </c>
      <c r="AA14" s="175"/>
      <c r="AB14" s="175"/>
      <c r="AC14" s="175"/>
      <c r="AD14" s="175"/>
      <c r="AE14" s="223"/>
      <c r="AF14" s="175"/>
      <c r="AG14" s="175"/>
      <c r="AH14" s="175"/>
      <c r="AI14" s="175"/>
      <c r="AJ14" s="175"/>
      <c r="AK14" s="175"/>
      <c r="AL14" s="175"/>
      <c r="AM14" s="175"/>
      <c r="AN14" s="175"/>
      <c r="AO14" s="175"/>
      <c r="AP14" s="175"/>
      <c r="AQ14" s="175"/>
      <c r="AR14" s="175"/>
      <c r="AS14" s="175"/>
      <c r="AT14" s="175"/>
      <c r="AU14" s="175"/>
      <c r="AV14" s="189"/>
      <c r="AW14" s="189"/>
    </row>
    <row r="15" spans="1:49" x14ac:dyDescent="0.45">
      <c r="B15" s="18"/>
      <c r="C15" s="584"/>
      <c r="D15" s="17"/>
      <c r="E15" s="5"/>
      <c r="F15" s="5"/>
      <c r="G15" s="5"/>
      <c r="H15" s="5"/>
      <c r="I15" s="5"/>
      <c r="J15" s="5"/>
      <c r="K15" s="5"/>
      <c r="L15" s="5"/>
      <c r="M15" s="5"/>
      <c r="N15" s="5"/>
      <c r="O15" s="5"/>
      <c r="P15" s="5"/>
      <c r="Q15" s="11"/>
      <c r="R15" s="17"/>
      <c r="S15" s="17"/>
      <c r="T15" s="17"/>
      <c r="U15" s="17"/>
      <c r="Z15" s="50">
        <f t="shared" si="1"/>
        <v>0</v>
      </c>
      <c r="AA15" s="175"/>
      <c r="AB15" s="175"/>
      <c r="AC15" s="175"/>
      <c r="AD15" s="175"/>
      <c r="AE15" s="223"/>
      <c r="AF15" s="175"/>
      <c r="AG15" s="175"/>
      <c r="AH15" s="175"/>
      <c r="AI15" s="175"/>
      <c r="AJ15" s="175"/>
      <c r="AK15" s="175"/>
      <c r="AL15" s="175"/>
      <c r="AM15" s="175"/>
      <c r="AN15" s="175"/>
      <c r="AO15" s="175"/>
      <c r="AP15" s="175"/>
      <c r="AQ15" s="175"/>
      <c r="AR15" s="175"/>
      <c r="AS15" s="175"/>
      <c r="AT15" s="175"/>
      <c r="AU15" s="175"/>
      <c r="AV15" s="189"/>
      <c r="AW15" s="189"/>
    </row>
    <row r="16" spans="1:49" x14ac:dyDescent="0.45">
      <c r="B16" s="18"/>
      <c r="C16" s="584"/>
      <c r="D16" s="17"/>
      <c r="E16" s="5"/>
      <c r="F16" s="5"/>
      <c r="G16" s="5"/>
      <c r="H16" s="5"/>
      <c r="I16" s="5"/>
      <c r="J16" s="5"/>
      <c r="K16" s="5"/>
      <c r="L16" s="5"/>
      <c r="M16" s="5"/>
      <c r="N16" s="5"/>
      <c r="O16" s="5"/>
      <c r="P16" s="5"/>
      <c r="Q16" s="11"/>
      <c r="R16" s="17"/>
      <c r="S16" s="17"/>
      <c r="T16" s="17"/>
      <c r="U16" s="17"/>
      <c r="Z16" s="50">
        <f t="shared" si="1"/>
        <v>0</v>
      </c>
      <c r="AA16" s="175"/>
      <c r="AB16" s="175"/>
      <c r="AC16" s="175"/>
      <c r="AD16" s="175"/>
      <c r="AE16" s="223"/>
      <c r="AF16" s="175"/>
      <c r="AG16" s="175"/>
      <c r="AH16" s="175"/>
      <c r="AI16" s="175"/>
      <c r="AJ16" s="175"/>
      <c r="AK16" s="175"/>
      <c r="AL16" s="175"/>
      <c r="AM16" s="175"/>
      <c r="AN16" s="175"/>
      <c r="AO16" s="175"/>
      <c r="AP16" s="175"/>
      <c r="AQ16" s="175"/>
      <c r="AR16" s="175"/>
      <c r="AS16" s="175"/>
      <c r="AT16" s="175"/>
      <c r="AU16" s="175"/>
      <c r="AV16" s="189"/>
      <c r="AW16" s="189"/>
    </row>
    <row r="17" spans="2:49" x14ac:dyDescent="0.45">
      <c r="B17" s="18"/>
      <c r="C17" s="584"/>
      <c r="D17" s="17"/>
      <c r="E17" s="5"/>
      <c r="F17" s="5"/>
      <c r="G17" s="5"/>
      <c r="H17" s="5"/>
      <c r="I17" s="5"/>
      <c r="J17" s="5"/>
      <c r="K17" s="5"/>
      <c r="L17" s="5"/>
      <c r="M17" s="5"/>
      <c r="N17" s="5"/>
      <c r="O17" s="5"/>
      <c r="P17" s="5"/>
      <c r="Q17" s="11"/>
      <c r="R17" s="17"/>
      <c r="S17" s="17"/>
      <c r="T17" s="17"/>
      <c r="U17" s="17"/>
      <c r="Z17" s="50">
        <f t="shared" si="1"/>
        <v>0</v>
      </c>
      <c r="AA17" s="175"/>
      <c r="AB17" s="175"/>
      <c r="AC17" s="175"/>
      <c r="AD17" s="175"/>
      <c r="AE17" s="223"/>
      <c r="AF17" s="175"/>
      <c r="AG17" s="175"/>
      <c r="AH17" s="175"/>
      <c r="AI17" s="175"/>
      <c r="AJ17" s="175"/>
      <c r="AK17" s="175"/>
      <c r="AL17" s="175"/>
      <c r="AM17" s="175"/>
      <c r="AN17" s="175"/>
      <c r="AO17" s="175"/>
      <c r="AP17" s="175"/>
      <c r="AQ17" s="175"/>
      <c r="AR17" s="175"/>
      <c r="AS17" s="175"/>
      <c r="AT17" s="175"/>
      <c r="AU17" s="175"/>
      <c r="AV17" s="223"/>
      <c r="AW17" s="223"/>
    </row>
    <row r="18" spans="2:49" x14ac:dyDescent="0.45">
      <c r="B18" s="18"/>
      <c r="C18" s="584"/>
      <c r="D18" s="17"/>
      <c r="E18" s="5"/>
      <c r="F18" s="5"/>
      <c r="G18" s="5"/>
      <c r="H18" s="5"/>
      <c r="I18" s="5"/>
      <c r="J18" s="5"/>
      <c r="K18" s="5"/>
      <c r="L18" s="5"/>
      <c r="M18" s="5"/>
      <c r="N18" s="5"/>
      <c r="O18" s="5"/>
      <c r="P18" s="5"/>
      <c r="Q18" s="11"/>
      <c r="R18" s="17"/>
      <c r="S18" s="17"/>
      <c r="T18" s="17"/>
      <c r="U18" s="17"/>
      <c r="Z18" s="50">
        <f t="shared" si="1"/>
        <v>0</v>
      </c>
      <c r="AA18" s="175"/>
      <c r="AB18" s="175"/>
      <c r="AC18" s="175"/>
      <c r="AD18" s="175"/>
      <c r="AE18" s="175"/>
      <c r="AF18" s="175"/>
      <c r="AG18" s="175"/>
      <c r="AH18" s="175"/>
      <c r="AI18" s="175"/>
      <c r="AJ18" s="175"/>
      <c r="AK18" s="175"/>
      <c r="AL18" s="175"/>
      <c r="AM18" s="175"/>
      <c r="AN18" s="175"/>
      <c r="AO18" s="175"/>
      <c r="AP18" s="175"/>
      <c r="AQ18" s="175"/>
      <c r="AR18" s="175"/>
      <c r="AS18" s="175"/>
      <c r="AT18" s="175"/>
      <c r="AU18" s="175"/>
      <c r="AV18" s="223"/>
      <c r="AW18" s="223"/>
    </row>
    <row r="19" spans="2:49" x14ac:dyDescent="0.45">
      <c r="B19" s="18"/>
      <c r="C19" s="584"/>
      <c r="D19" s="17"/>
      <c r="E19" s="5"/>
      <c r="F19" s="5"/>
      <c r="G19" s="5"/>
      <c r="H19" s="5"/>
      <c r="I19" s="5"/>
      <c r="J19" s="5"/>
      <c r="K19" s="5"/>
      <c r="L19" s="5"/>
      <c r="M19" s="5"/>
      <c r="N19" s="5"/>
      <c r="O19" s="5"/>
      <c r="P19" s="5"/>
      <c r="Q19" s="11"/>
      <c r="R19" s="17"/>
      <c r="S19" s="17"/>
      <c r="T19" s="17"/>
      <c r="U19" s="17"/>
      <c r="Z19" s="50">
        <f t="shared" si="1"/>
        <v>0</v>
      </c>
      <c r="AA19" s="175"/>
      <c r="AB19" s="175"/>
      <c r="AC19" s="175"/>
      <c r="AD19" s="175"/>
      <c r="AE19" s="223"/>
      <c r="AF19" s="175"/>
      <c r="AG19" s="175"/>
      <c r="AH19" s="175"/>
      <c r="AI19" s="175"/>
      <c r="AJ19" s="175"/>
      <c r="AK19" s="175"/>
      <c r="AL19" s="175"/>
      <c r="AM19" s="175"/>
      <c r="AN19" s="175"/>
      <c r="AO19" s="175"/>
      <c r="AP19" s="175"/>
      <c r="AQ19" s="175"/>
      <c r="AR19" s="175"/>
      <c r="AS19" s="175"/>
      <c r="AT19" s="175"/>
      <c r="AU19" s="175"/>
      <c r="AV19" s="223"/>
      <c r="AW19" s="223"/>
    </row>
    <row r="20" spans="2:49" x14ac:dyDescent="0.45">
      <c r="B20" s="18"/>
      <c r="C20" s="584"/>
      <c r="D20" s="17"/>
      <c r="E20" s="5"/>
      <c r="F20" s="5"/>
      <c r="G20" s="5"/>
      <c r="H20" s="5"/>
      <c r="I20" s="5"/>
      <c r="J20" s="5"/>
      <c r="K20" s="5"/>
      <c r="L20" s="5"/>
      <c r="M20" s="5"/>
      <c r="N20" s="5"/>
      <c r="O20" s="5"/>
      <c r="P20" s="5"/>
      <c r="Q20" s="11"/>
      <c r="R20" s="17"/>
      <c r="S20" s="17"/>
      <c r="T20" s="17"/>
      <c r="U20" s="17"/>
      <c r="Z20" s="50">
        <f t="shared" si="1"/>
        <v>0</v>
      </c>
      <c r="AA20" s="175"/>
      <c r="AB20" s="175"/>
      <c r="AC20" s="175"/>
      <c r="AD20" s="175"/>
      <c r="AE20" s="175"/>
      <c r="AF20" s="175"/>
      <c r="AG20" s="175"/>
      <c r="AH20" s="175"/>
      <c r="AI20" s="175"/>
      <c r="AJ20" s="175"/>
      <c r="AK20" s="175"/>
      <c r="AL20" s="175"/>
      <c r="AM20" s="175"/>
      <c r="AN20" s="175"/>
      <c r="AO20" s="175"/>
      <c r="AP20" s="175"/>
      <c r="AQ20" s="175"/>
      <c r="AR20" s="175"/>
      <c r="AS20" s="175"/>
      <c r="AT20" s="175"/>
      <c r="AU20" s="175"/>
      <c r="AV20" s="223"/>
      <c r="AW20" s="223"/>
    </row>
    <row r="21" spans="2:49" x14ac:dyDescent="0.45">
      <c r="B21" s="18"/>
      <c r="C21" s="584"/>
      <c r="D21" s="17"/>
      <c r="E21" s="5"/>
      <c r="F21" s="5"/>
      <c r="G21" s="5"/>
      <c r="H21" s="5"/>
      <c r="I21" s="5"/>
      <c r="J21" s="5"/>
      <c r="K21" s="5"/>
      <c r="L21" s="5"/>
      <c r="M21" s="5"/>
      <c r="N21" s="5"/>
      <c r="O21" s="5"/>
      <c r="P21" s="5"/>
      <c r="Q21" s="11"/>
      <c r="R21" s="17"/>
      <c r="S21" s="17"/>
      <c r="T21" s="17"/>
      <c r="U21" s="17"/>
      <c r="Z21" s="50">
        <f t="shared" si="1"/>
        <v>0</v>
      </c>
      <c r="AA21" s="175"/>
      <c r="AB21" s="175"/>
      <c r="AC21" s="175"/>
      <c r="AD21" s="175"/>
      <c r="AE21" s="175"/>
      <c r="AF21" s="175"/>
      <c r="AG21" s="175"/>
      <c r="AH21" s="175"/>
      <c r="AI21" s="175"/>
      <c r="AJ21" s="175"/>
      <c r="AK21" s="175"/>
      <c r="AL21" s="175"/>
      <c r="AM21" s="175"/>
      <c r="AN21" s="175"/>
      <c r="AO21" s="175"/>
      <c r="AP21" s="175"/>
      <c r="AQ21" s="175"/>
      <c r="AR21" s="175"/>
      <c r="AS21" s="175"/>
      <c r="AT21" s="175"/>
      <c r="AU21" s="175"/>
      <c r="AV21" s="223"/>
      <c r="AW21" s="223"/>
    </row>
    <row r="22" spans="2:49" x14ac:dyDescent="0.45">
      <c r="B22" s="18"/>
      <c r="C22" s="584"/>
      <c r="D22" s="17"/>
      <c r="E22" s="5"/>
      <c r="F22" s="5"/>
      <c r="G22" s="5"/>
      <c r="H22" s="5"/>
      <c r="I22" s="5"/>
      <c r="J22" s="5"/>
      <c r="K22" s="5"/>
      <c r="L22" s="5"/>
      <c r="M22" s="5"/>
      <c r="N22" s="5"/>
      <c r="O22" s="5"/>
      <c r="P22" s="5"/>
      <c r="Q22" s="11"/>
      <c r="R22" s="17"/>
      <c r="S22" s="17"/>
      <c r="T22" s="17"/>
      <c r="U22" s="17"/>
      <c r="Z22" s="50">
        <f t="shared" si="1"/>
        <v>0</v>
      </c>
      <c r="AA22" s="175"/>
      <c r="AB22" s="175"/>
      <c r="AC22" s="175"/>
      <c r="AD22" s="175"/>
      <c r="AE22" s="175"/>
      <c r="AF22" s="175"/>
      <c r="AG22" s="175"/>
      <c r="AH22" s="175"/>
      <c r="AI22" s="175"/>
      <c r="AJ22" s="175"/>
      <c r="AK22" s="175"/>
      <c r="AL22" s="175"/>
      <c r="AM22" s="175"/>
      <c r="AN22" s="175"/>
      <c r="AO22" s="175"/>
      <c r="AP22" s="175"/>
      <c r="AQ22" s="175"/>
      <c r="AR22" s="175"/>
      <c r="AS22" s="175"/>
      <c r="AT22" s="175"/>
      <c r="AU22" s="175"/>
      <c r="AV22" s="223"/>
      <c r="AW22" s="223"/>
    </row>
    <row r="23" spans="2:49" x14ac:dyDescent="0.45">
      <c r="B23" s="18"/>
      <c r="C23" s="584"/>
      <c r="D23" s="17"/>
      <c r="E23" s="5"/>
      <c r="F23" s="5"/>
      <c r="G23" s="5"/>
      <c r="H23" s="5"/>
      <c r="I23" s="5"/>
      <c r="J23" s="5"/>
      <c r="K23" s="5"/>
      <c r="L23" s="5"/>
      <c r="M23" s="5"/>
      <c r="N23" s="5"/>
      <c r="O23" s="5"/>
      <c r="P23" s="5"/>
      <c r="Q23" s="11"/>
      <c r="R23" s="17"/>
      <c r="S23" s="17"/>
      <c r="T23" s="17"/>
      <c r="U23" s="17"/>
      <c r="Z23" s="50">
        <f t="shared" si="1"/>
        <v>0</v>
      </c>
      <c r="AA23" s="175"/>
      <c r="AB23" s="175"/>
      <c r="AC23" s="175"/>
      <c r="AD23" s="175"/>
      <c r="AE23" s="175"/>
      <c r="AF23" s="175"/>
      <c r="AG23" s="175"/>
      <c r="AH23" s="175"/>
      <c r="AI23" s="175"/>
      <c r="AJ23" s="175"/>
      <c r="AK23" s="175"/>
      <c r="AL23" s="175"/>
      <c r="AM23" s="175"/>
      <c r="AN23" s="175"/>
      <c r="AO23" s="175"/>
      <c r="AP23" s="175"/>
      <c r="AQ23" s="175"/>
      <c r="AR23" s="175"/>
      <c r="AS23" s="175"/>
      <c r="AT23" s="175"/>
      <c r="AU23" s="175"/>
      <c r="AV23" s="223"/>
      <c r="AW23" s="223"/>
    </row>
    <row r="24" spans="2:49" x14ac:dyDescent="0.45">
      <c r="B24" s="18"/>
      <c r="C24" s="584"/>
      <c r="D24" s="17"/>
      <c r="E24" s="5"/>
      <c r="F24" s="5"/>
      <c r="G24" s="5"/>
      <c r="H24" s="5"/>
      <c r="I24" s="5"/>
      <c r="J24" s="5"/>
      <c r="K24" s="5"/>
      <c r="L24" s="5"/>
      <c r="M24" s="5"/>
      <c r="N24" s="5"/>
      <c r="O24" s="5"/>
      <c r="P24" s="5"/>
      <c r="Q24" s="11"/>
      <c r="R24" s="17"/>
      <c r="S24" s="17"/>
      <c r="T24" s="17"/>
      <c r="U24" s="17"/>
      <c r="Z24" s="50">
        <f t="shared" si="1"/>
        <v>0</v>
      </c>
      <c r="AA24" s="175"/>
      <c r="AB24" s="175"/>
      <c r="AC24" s="175"/>
      <c r="AD24" s="175"/>
      <c r="AE24" s="223"/>
      <c r="AF24" s="175"/>
      <c r="AG24" s="175"/>
      <c r="AH24" s="175"/>
      <c r="AI24" s="175"/>
      <c r="AJ24" s="175"/>
      <c r="AK24" s="175"/>
      <c r="AL24" s="175"/>
      <c r="AM24" s="223"/>
      <c r="AN24" s="175"/>
      <c r="AO24" s="175"/>
      <c r="AP24" s="175"/>
      <c r="AQ24" s="175"/>
      <c r="AR24" s="175"/>
      <c r="AS24" s="175"/>
      <c r="AT24" s="175"/>
      <c r="AU24" s="175"/>
      <c r="AV24" s="223"/>
      <c r="AW24" s="223"/>
    </row>
    <row r="25" spans="2:49" x14ac:dyDescent="0.45">
      <c r="B25" s="18"/>
      <c r="C25" s="584"/>
      <c r="D25" s="17"/>
      <c r="E25" s="5"/>
      <c r="F25" s="5"/>
      <c r="G25" s="5"/>
      <c r="H25" s="5"/>
      <c r="I25" s="5"/>
      <c r="J25" s="5"/>
      <c r="K25" s="5"/>
      <c r="L25" s="5"/>
      <c r="M25" s="5"/>
      <c r="N25" s="5"/>
      <c r="O25" s="5"/>
      <c r="P25" s="5"/>
      <c r="Q25" s="11"/>
      <c r="R25" s="17"/>
      <c r="S25" s="17"/>
      <c r="T25" s="17"/>
      <c r="U25" s="17"/>
      <c r="Z25" s="50">
        <f t="shared" si="1"/>
        <v>0</v>
      </c>
      <c r="AA25" s="175"/>
      <c r="AB25" s="175"/>
      <c r="AC25" s="175"/>
      <c r="AD25" s="175"/>
      <c r="AE25" s="175"/>
      <c r="AF25" s="175"/>
      <c r="AG25" s="175"/>
      <c r="AH25" s="175"/>
      <c r="AI25" s="175"/>
      <c r="AJ25" s="175"/>
      <c r="AK25" s="175"/>
      <c r="AL25" s="175"/>
      <c r="AM25" s="223"/>
      <c r="AN25" s="175"/>
      <c r="AO25" s="175"/>
      <c r="AP25" s="175"/>
      <c r="AQ25" s="175"/>
      <c r="AR25" s="175"/>
      <c r="AS25" s="175"/>
      <c r="AT25" s="175"/>
      <c r="AU25" s="175"/>
      <c r="AV25" s="223"/>
      <c r="AW25" s="223"/>
    </row>
    <row r="26" spans="2:49" x14ac:dyDescent="0.45">
      <c r="B26" s="18"/>
      <c r="C26" s="584"/>
      <c r="D26" s="17"/>
      <c r="E26" s="578"/>
      <c r="F26" s="578"/>
      <c r="G26" s="578"/>
      <c r="H26" s="578"/>
      <c r="I26" s="578"/>
      <c r="J26" s="578"/>
      <c r="K26" s="578"/>
      <c r="L26" s="578"/>
      <c r="M26" s="578"/>
      <c r="N26" s="578"/>
      <c r="O26" s="578"/>
      <c r="P26" s="578"/>
      <c r="Q26" s="11"/>
      <c r="R26" s="17"/>
      <c r="S26" s="17"/>
      <c r="T26" s="17"/>
      <c r="U26" s="17"/>
      <c r="Z26" s="50">
        <f t="shared" si="1"/>
        <v>0</v>
      </c>
      <c r="AA26" s="175"/>
      <c r="AB26" s="175"/>
      <c r="AC26" s="175"/>
      <c r="AD26" s="175"/>
      <c r="AE26" s="175"/>
      <c r="AF26" s="175"/>
      <c r="AG26" s="175"/>
      <c r="AH26" s="175"/>
      <c r="AI26" s="175"/>
      <c r="AJ26" s="175"/>
      <c r="AK26" s="175"/>
      <c r="AL26" s="223"/>
      <c r="AM26" s="223"/>
      <c r="AN26" s="175"/>
      <c r="AO26" s="175"/>
      <c r="AP26" s="175"/>
      <c r="AQ26" s="175"/>
      <c r="AR26" s="175"/>
      <c r="AS26" s="175"/>
      <c r="AT26" s="175"/>
      <c r="AU26" s="175"/>
      <c r="AV26" s="223"/>
      <c r="AW26" s="223"/>
    </row>
    <row r="27" spans="2:49" x14ac:dyDescent="0.45">
      <c r="B27" s="18"/>
      <c r="C27" s="584"/>
      <c r="D27" s="17"/>
      <c r="E27" s="578"/>
      <c r="F27" s="578"/>
      <c r="G27" s="578"/>
      <c r="H27" s="578"/>
      <c r="I27" s="578"/>
      <c r="J27" s="578"/>
      <c r="K27" s="578"/>
      <c r="L27" s="578"/>
      <c r="M27" s="578"/>
      <c r="N27" s="578"/>
      <c r="O27" s="578"/>
      <c r="P27" s="578"/>
      <c r="Q27" s="11"/>
      <c r="R27" s="17"/>
      <c r="S27" s="17"/>
      <c r="T27" s="17"/>
      <c r="U27" s="17"/>
      <c r="Z27" s="50">
        <f t="shared" si="1"/>
        <v>0</v>
      </c>
      <c r="AA27" s="175"/>
      <c r="AB27" s="175"/>
      <c r="AC27" s="175"/>
      <c r="AD27" s="175"/>
      <c r="AE27" s="223"/>
      <c r="AF27" s="175"/>
      <c r="AG27" s="175"/>
      <c r="AH27" s="175"/>
      <c r="AI27" s="175"/>
      <c r="AJ27" s="175"/>
      <c r="AK27" s="175"/>
      <c r="AL27" s="175"/>
      <c r="AM27" s="175"/>
      <c r="AN27" s="175"/>
      <c r="AO27" s="175"/>
      <c r="AP27" s="175"/>
      <c r="AQ27" s="175"/>
      <c r="AR27" s="175"/>
      <c r="AS27" s="175"/>
      <c r="AT27" s="175"/>
      <c r="AU27" s="175"/>
      <c r="AV27" s="223"/>
      <c r="AW27" s="223"/>
    </row>
    <row r="28" spans="2:49" x14ac:dyDescent="0.45">
      <c r="B28" s="18"/>
      <c r="C28" s="584"/>
      <c r="D28" s="17"/>
      <c r="E28" s="578"/>
      <c r="F28" s="578"/>
      <c r="G28" s="578"/>
      <c r="H28" s="578"/>
      <c r="I28" s="578"/>
      <c r="J28" s="578"/>
      <c r="K28" s="578"/>
      <c r="L28" s="578"/>
      <c r="M28" s="578"/>
      <c r="N28" s="578"/>
      <c r="O28" s="578"/>
      <c r="P28" s="578"/>
      <c r="Q28" s="11"/>
      <c r="R28" s="17"/>
      <c r="S28" s="17"/>
      <c r="T28" s="17"/>
      <c r="U28" s="17"/>
      <c r="Z28" s="50">
        <f t="shared" si="1"/>
        <v>0</v>
      </c>
      <c r="AA28" s="175"/>
      <c r="AB28" s="175"/>
      <c r="AC28" s="175"/>
      <c r="AD28" s="175"/>
      <c r="AE28" s="175"/>
      <c r="AF28" s="175"/>
      <c r="AG28" s="175"/>
      <c r="AH28" s="175"/>
      <c r="AI28" s="175"/>
      <c r="AJ28" s="175"/>
      <c r="AK28" s="175"/>
      <c r="AL28" s="175"/>
      <c r="AM28" s="175"/>
      <c r="AN28" s="175"/>
      <c r="AO28" s="175"/>
      <c r="AP28" s="175"/>
      <c r="AQ28" s="175"/>
      <c r="AR28" s="175"/>
      <c r="AS28" s="175"/>
      <c r="AT28" s="175"/>
      <c r="AU28" s="175"/>
      <c r="AV28" s="223"/>
      <c r="AW28" s="223"/>
    </row>
    <row r="29" spans="2:49" x14ac:dyDescent="0.45">
      <c r="B29" s="18"/>
      <c r="C29" s="584"/>
      <c r="D29" s="17"/>
      <c r="E29" s="578"/>
      <c r="F29" s="578"/>
      <c r="G29" s="578"/>
      <c r="H29" s="578"/>
      <c r="I29" s="578"/>
      <c r="J29" s="578"/>
      <c r="K29" s="578"/>
      <c r="L29" s="578"/>
      <c r="M29" s="578"/>
      <c r="N29" s="578"/>
      <c r="O29" s="578"/>
      <c r="P29" s="578"/>
      <c r="Q29" s="11"/>
      <c r="R29" s="17"/>
      <c r="S29" s="17"/>
      <c r="T29" s="17"/>
      <c r="U29" s="17"/>
      <c r="Z29" s="50">
        <f t="shared" si="1"/>
        <v>0</v>
      </c>
      <c r="AA29" s="175"/>
      <c r="AB29" s="175"/>
      <c r="AC29" s="175"/>
      <c r="AD29" s="175"/>
      <c r="AE29" s="175"/>
      <c r="AF29" s="175"/>
      <c r="AG29" s="175"/>
      <c r="AH29" s="175"/>
      <c r="AI29" s="175"/>
      <c r="AJ29" s="175"/>
      <c r="AK29" s="175"/>
      <c r="AL29" s="175"/>
      <c r="AM29" s="175"/>
      <c r="AN29" s="175"/>
      <c r="AO29" s="175"/>
      <c r="AP29" s="175"/>
      <c r="AQ29" s="175"/>
      <c r="AR29" s="175"/>
      <c r="AS29" s="175"/>
      <c r="AT29" s="175"/>
      <c r="AU29" s="175"/>
      <c r="AV29" s="223"/>
      <c r="AW29" s="223"/>
    </row>
    <row r="30" spans="2:49" x14ac:dyDescent="0.45">
      <c r="B30" s="18"/>
      <c r="C30" s="584"/>
      <c r="D30" s="17"/>
      <c r="E30" s="578"/>
      <c r="F30" s="578"/>
      <c r="G30" s="578"/>
      <c r="H30" s="578"/>
      <c r="I30" s="578"/>
      <c r="J30" s="578"/>
      <c r="K30" s="578"/>
      <c r="L30" s="578"/>
      <c r="M30" s="578"/>
      <c r="N30" s="578"/>
      <c r="O30" s="578"/>
      <c r="P30" s="578"/>
      <c r="Q30" s="11"/>
      <c r="R30" s="17"/>
      <c r="S30" s="17"/>
      <c r="T30" s="17"/>
      <c r="U30" s="17"/>
      <c r="Z30" s="50">
        <f t="shared" si="1"/>
        <v>0</v>
      </c>
      <c r="AA30" s="175"/>
      <c r="AB30" s="175"/>
      <c r="AC30" s="175"/>
      <c r="AD30" s="175"/>
      <c r="AE30" s="223"/>
      <c r="AF30" s="175"/>
      <c r="AG30" s="175"/>
      <c r="AH30" s="175"/>
      <c r="AI30" s="175"/>
      <c r="AJ30" s="175"/>
      <c r="AK30" s="175"/>
      <c r="AL30" s="175"/>
      <c r="AM30" s="175"/>
      <c r="AN30" s="175"/>
      <c r="AO30" s="175"/>
      <c r="AP30" s="175"/>
      <c r="AQ30" s="175"/>
      <c r="AR30" s="175"/>
      <c r="AS30" s="175"/>
      <c r="AT30" s="175"/>
      <c r="AU30" s="175"/>
      <c r="AV30" s="223"/>
      <c r="AW30" s="223"/>
    </row>
    <row r="31" spans="2:49" x14ac:dyDescent="0.45">
      <c r="B31" s="18"/>
      <c r="C31" s="584"/>
      <c r="D31" s="17"/>
      <c r="E31" s="578"/>
      <c r="F31" s="578"/>
      <c r="G31" s="578"/>
      <c r="H31" s="578"/>
      <c r="I31" s="578"/>
      <c r="J31" s="578"/>
      <c r="K31" s="578"/>
      <c r="L31" s="578"/>
      <c r="M31" s="578"/>
      <c r="N31" s="578"/>
      <c r="O31" s="578"/>
      <c r="P31" s="578"/>
      <c r="Q31" s="11"/>
      <c r="R31" s="17"/>
      <c r="S31" s="17"/>
      <c r="T31" s="17"/>
      <c r="U31" s="17"/>
      <c r="Z31" s="50">
        <f t="shared" si="1"/>
        <v>0</v>
      </c>
      <c r="AA31" s="175"/>
      <c r="AB31" s="175"/>
      <c r="AC31" s="175"/>
      <c r="AD31" s="175"/>
      <c r="AE31" s="175"/>
      <c r="AF31" s="175"/>
      <c r="AG31" s="175"/>
      <c r="AH31" s="175"/>
      <c r="AI31" s="175"/>
      <c r="AJ31" s="175"/>
      <c r="AK31" s="175"/>
      <c r="AL31" s="175"/>
      <c r="AM31" s="175"/>
      <c r="AN31" s="175"/>
      <c r="AO31" s="175"/>
      <c r="AP31" s="175"/>
      <c r="AQ31" s="175"/>
      <c r="AR31" s="175"/>
      <c r="AS31" s="175"/>
      <c r="AT31" s="175"/>
      <c r="AU31" s="175"/>
      <c r="AV31" s="175"/>
      <c r="AW31" s="175"/>
    </row>
    <row r="32" spans="2:49" x14ac:dyDescent="0.45">
      <c r="B32" s="18"/>
      <c r="C32" s="584"/>
      <c r="D32" s="17"/>
      <c r="E32" s="578"/>
      <c r="F32" s="578"/>
      <c r="G32" s="578"/>
      <c r="H32" s="578"/>
      <c r="I32" s="578"/>
      <c r="J32" s="578"/>
      <c r="K32" s="578"/>
      <c r="L32" s="578"/>
      <c r="M32" s="578"/>
      <c r="N32" s="578"/>
      <c r="O32" s="578"/>
      <c r="P32" s="578"/>
      <c r="Q32" s="11"/>
      <c r="R32" s="17"/>
      <c r="S32" s="17"/>
      <c r="T32" s="17"/>
      <c r="U32" s="17"/>
      <c r="Z32" s="50">
        <f t="shared" si="1"/>
        <v>0</v>
      </c>
      <c r="AA32" s="175"/>
      <c r="AB32" s="175"/>
      <c r="AC32" s="175"/>
      <c r="AD32" s="175"/>
      <c r="AE32" s="175"/>
      <c r="AF32" s="175"/>
      <c r="AG32" s="175"/>
      <c r="AH32" s="175"/>
      <c r="AI32" s="175"/>
      <c r="AJ32" s="175"/>
      <c r="AK32" s="175"/>
      <c r="AL32" s="175"/>
      <c r="AM32" s="175"/>
      <c r="AN32" s="175"/>
      <c r="AO32" s="175"/>
      <c r="AP32" s="175"/>
      <c r="AQ32" s="175"/>
      <c r="AR32" s="175"/>
      <c r="AS32" s="175"/>
      <c r="AT32" s="175"/>
      <c r="AU32" s="175"/>
      <c r="AV32" s="175"/>
      <c r="AW32" s="175"/>
    </row>
    <row r="33" spans="2:49" x14ac:dyDescent="0.45">
      <c r="B33" s="18"/>
      <c r="C33" s="584"/>
      <c r="D33" s="17"/>
      <c r="E33" s="578"/>
      <c r="F33" s="578"/>
      <c r="G33" s="578"/>
      <c r="H33" s="578"/>
      <c r="I33" s="578"/>
      <c r="J33" s="578"/>
      <c r="K33" s="578"/>
      <c r="L33" s="578"/>
      <c r="M33" s="578"/>
      <c r="N33" s="578"/>
      <c r="O33" s="578"/>
      <c r="P33" s="578"/>
      <c r="Q33" s="11"/>
      <c r="R33" s="17"/>
      <c r="S33" s="17"/>
      <c r="T33" s="17"/>
      <c r="U33" s="17"/>
      <c r="Z33" s="50">
        <f t="shared" si="1"/>
        <v>0</v>
      </c>
      <c r="AA33" s="175"/>
      <c r="AB33" s="175"/>
      <c r="AC33" s="175"/>
      <c r="AD33" s="175"/>
      <c r="AE33" s="175"/>
      <c r="AF33" s="175"/>
      <c r="AG33" s="175"/>
      <c r="AH33" s="175"/>
      <c r="AI33" s="175"/>
      <c r="AJ33" s="175"/>
      <c r="AK33" s="175"/>
      <c r="AL33" s="175"/>
      <c r="AM33" s="175"/>
      <c r="AN33" s="175"/>
      <c r="AO33" s="175"/>
      <c r="AP33" s="175"/>
      <c r="AQ33" s="175"/>
      <c r="AR33" s="175"/>
      <c r="AS33" s="175"/>
      <c r="AT33" s="175"/>
      <c r="AU33" s="175"/>
      <c r="AV33" s="175"/>
      <c r="AW33" s="175"/>
    </row>
    <row r="34" spans="2:49" x14ac:dyDescent="0.45">
      <c r="B34" s="18"/>
      <c r="C34" s="584"/>
      <c r="D34" s="17"/>
      <c r="E34" s="5"/>
      <c r="F34" s="5"/>
      <c r="G34" s="5"/>
      <c r="H34" s="5"/>
      <c r="I34" s="5"/>
      <c r="J34" s="5"/>
      <c r="K34" s="5"/>
      <c r="L34" s="5"/>
      <c r="M34" s="5"/>
      <c r="N34" s="5"/>
      <c r="O34" s="5"/>
      <c r="P34" s="5"/>
      <c r="Q34" s="11"/>
      <c r="R34" s="17"/>
      <c r="S34" s="17"/>
      <c r="T34" s="17"/>
      <c r="U34" s="17"/>
      <c r="Z34" s="50">
        <f t="shared" si="1"/>
        <v>0</v>
      </c>
      <c r="AA34" s="175"/>
      <c r="AB34" s="175"/>
      <c r="AC34" s="175"/>
      <c r="AD34" s="175"/>
      <c r="AE34" s="175"/>
      <c r="AF34" s="175"/>
      <c r="AG34" s="175"/>
      <c r="AH34" s="175"/>
      <c r="AI34" s="175"/>
      <c r="AJ34" s="175"/>
      <c r="AK34" s="175"/>
      <c r="AL34" s="175"/>
      <c r="AM34" s="175"/>
      <c r="AN34" s="175"/>
      <c r="AO34" s="175"/>
      <c r="AP34" s="175"/>
      <c r="AQ34" s="175"/>
      <c r="AR34" s="175"/>
      <c r="AS34" s="175"/>
      <c r="AT34" s="175"/>
      <c r="AU34" s="175"/>
      <c r="AV34" s="175"/>
      <c r="AW34" s="175"/>
    </row>
    <row r="35" spans="2:49" x14ac:dyDescent="0.45">
      <c r="B35" s="18"/>
      <c r="C35" s="584"/>
      <c r="D35" s="17"/>
      <c r="E35" s="5"/>
      <c r="F35" s="5"/>
      <c r="G35" s="5"/>
      <c r="H35" s="5"/>
      <c r="I35" s="5"/>
      <c r="J35" s="5"/>
      <c r="K35" s="5"/>
      <c r="L35" s="5"/>
      <c r="M35" s="5"/>
      <c r="N35" s="5"/>
      <c r="O35" s="5"/>
      <c r="P35" s="5"/>
      <c r="Q35" s="11"/>
      <c r="R35" s="17"/>
      <c r="S35" s="17"/>
      <c r="T35" s="17"/>
      <c r="U35" s="17"/>
      <c r="Z35" s="50">
        <f t="shared" si="1"/>
        <v>0</v>
      </c>
      <c r="AA35" s="175"/>
      <c r="AB35" s="175"/>
      <c r="AC35" s="175"/>
      <c r="AD35" s="175"/>
      <c r="AE35" s="175"/>
      <c r="AF35" s="175"/>
      <c r="AG35" s="175"/>
      <c r="AH35" s="175"/>
      <c r="AI35" s="175"/>
      <c r="AJ35" s="175"/>
      <c r="AK35" s="175"/>
      <c r="AL35" s="175"/>
      <c r="AM35" s="175"/>
      <c r="AN35" s="175"/>
      <c r="AO35" s="175"/>
      <c r="AP35" s="175"/>
      <c r="AQ35" s="175"/>
      <c r="AR35" s="175"/>
      <c r="AS35" s="175"/>
      <c r="AT35" s="175"/>
      <c r="AU35" s="175"/>
      <c r="AV35" s="175"/>
      <c r="AW35" s="175"/>
    </row>
    <row r="36" spans="2:49" x14ac:dyDescent="0.45">
      <c r="B36" s="18"/>
      <c r="C36" s="584"/>
      <c r="D36" s="17"/>
      <c r="E36" s="5"/>
      <c r="F36" s="5"/>
      <c r="G36" s="5"/>
      <c r="H36" s="5"/>
      <c r="I36" s="5"/>
      <c r="J36" s="5"/>
      <c r="K36" s="5"/>
      <c r="L36" s="5"/>
      <c r="M36" s="5"/>
      <c r="N36" s="5"/>
      <c r="O36" s="5"/>
      <c r="P36" s="5"/>
      <c r="Q36" s="11"/>
      <c r="R36" s="17"/>
      <c r="S36" s="17"/>
      <c r="T36" s="17"/>
      <c r="U36" s="17"/>
      <c r="Z36" s="50">
        <f t="shared" si="1"/>
        <v>0</v>
      </c>
      <c r="AA36" s="175"/>
      <c r="AB36" s="175"/>
      <c r="AC36" s="175"/>
      <c r="AD36" s="175"/>
      <c r="AE36" s="175"/>
      <c r="AF36" s="175"/>
      <c r="AG36" s="175"/>
      <c r="AH36" s="175"/>
      <c r="AI36" s="175"/>
      <c r="AJ36" s="175"/>
      <c r="AK36" s="175"/>
      <c r="AL36" s="175"/>
      <c r="AM36" s="175"/>
      <c r="AN36" s="175"/>
      <c r="AO36" s="175"/>
      <c r="AP36" s="175"/>
      <c r="AQ36" s="175"/>
      <c r="AR36" s="175"/>
      <c r="AS36" s="175"/>
      <c r="AT36" s="175"/>
      <c r="AU36" s="175"/>
      <c r="AV36" s="175"/>
      <c r="AW36" s="175"/>
    </row>
    <row r="37" spans="2:49" x14ac:dyDescent="0.45">
      <c r="B37" s="18"/>
      <c r="C37" s="584"/>
      <c r="D37" s="17"/>
      <c r="E37" s="5"/>
      <c r="F37" s="5"/>
      <c r="G37" s="5"/>
      <c r="H37" s="5"/>
      <c r="I37" s="5"/>
      <c r="J37" s="5"/>
      <c r="K37" s="5"/>
      <c r="L37" s="5"/>
      <c r="M37" s="5"/>
      <c r="N37" s="5"/>
      <c r="O37" s="5"/>
      <c r="P37" s="5"/>
      <c r="Q37" s="11"/>
      <c r="R37" s="17"/>
      <c r="S37" s="17"/>
      <c r="T37" s="17"/>
      <c r="U37" s="17"/>
      <c r="Z37" s="50">
        <f t="shared" si="1"/>
        <v>0</v>
      </c>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row>
    <row r="38" spans="2:49" x14ac:dyDescent="0.45">
      <c r="B38" s="18"/>
      <c r="C38" s="584"/>
      <c r="D38" s="17"/>
      <c r="E38" s="5"/>
      <c r="F38" s="5"/>
      <c r="G38" s="5"/>
      <c r="H38" s="5"/>
      <c r="I38" s="5"/>
      <c r="J38" s="5"/>
      <c r="K38" s="5"/>
      <c r="L38" s="5"/>
      <c r="M38" s="5"/>
      <c r="N38" s="5"/>
      <c r="O38" s="5"/>
      <c r="P38" s="5"/>
      <c r="Q38" s="11"/>
      <c r="R38" s="17"/>
      <c r="S38" s="17"/>
      <c r="T38" s="17"/>
      <c r="U38" s="17"/>
      <c r="Z38" s="50">
        <f t="shared" si="1"/>
        <v>0</v>
      </c>
      <c r="AA38" s="175"/>
      <c r="AB38" s="175"/>
      <c r="AC38" s="175"/>
      <c r="AD38" s="175"/>
      <c r="AE38" s="175"/>
      <c r="AF38" s="175"/>
      <c r="AG38" s="175"/>
      <c r="AH38" s="175"/>
      <c r="AI38" s="175"/>
      <c r="AJ38" s="175"/>
      <c r="AK38" s="175"/>
      <c r="AL38" s="175"/>
      <c r="AM38" s="175"/>
      <c r="AN38" s="175"/>
      <c r="AO38" s="175"/>
      <c r="AP38" s="175"/>
      <c r="AQ38" s="175"/>
      <c r="AR38" s="175"/>
      <c r="AS38" s="175"/>
      <c r="AT38" s="175"/>
      <c r="AU38" s="175"/>
      <c r="AV38" s="175"/>
      <c r="AW38" s="175"/>
    </row>
    <row r="39" spans="2:49" x14ac:dyDescent="0.45">
      <c r="B39" s="18"/>
      <c r="C39" s="584"/>
      <c r="D39" s="17"/>
      <c r="E39" s="5"/>
      <c r="F39" s="5"/>
      <c r="G39" s="5"/>
      <c r="H39" s="5"/>
      <c r="I39" s="5"/>
      <c r="J39" s="5"/>
      <c r="K39" s="5"/>
      <c r="L39" s="5"/>
      <c r="M39" s="5"/>
      <c r="N39" s="5"/>
      <c r="O39" s="5"/>
      <c r="P39" s="5"/>
      <c r="Q39" s="11"/>
      <c r="R39" s="17"/>
      <c r="S39" s="17"/>
      <c r="T39" s="17"/>
      <c r="U39" s="17"/>
      <c r="AA39" s="175"/>
      <c r="AB39" s="175"/>
      <c r="AC39" s="175"/>
      <c r="AD39" s="175"/>
      <c r="AE39" s="175"/>
      <c r="AF39" s="175"/>
      <c r="AG39" s="175"/>
      <c r="AH39" s="175"/>
      <c r="AI39" s="175"/>
      <c r="AJ39" s="175"/>
      <c r="AK39" s="175"/>
      <c r="AL39" s="175"/>
      <c r="AM39" s="175"/>
      <c r="AN39" s="175"/>
      <c r="AO39" s="175"/>
      <c r="AP39" s="175"/>
      <c r="AQ39" s="175"/>
      <c r="AR39" s="175"/>
      <c r="AS39" s="175"/>
      <c r="AT39" s="175"/>
      <c r="AU39" s="175"/>
      <c r="AV39" s="175"/>
      <c r="AW39" s="175"/>
    </row>
    <row r="40" spans="2:49" x14ac:dyDescent="0.45">
      <c r="B40" s="18"/>
      <c r="C40" s="584"/>
      <c r="D40" s="17"/>
      <c r="E40" s="5"/>
      <c r="F40" s="5"/>
      <c r="G40" s="5"/>
      <c r="H40" s="5"/>
      <c r="I40" s="5"/>
      <c r="J40" s="5"/>
      <c r="K40" s="5"/>
      <c r="L40" s="5"/>
      <c r="M40" s="5"/>
      <c r="N40" s="5"/>
      <c r="O40" s="5"/>
      <c r="P40" s="5"/>
      <c r="Q40" s="11"/>
      <c r="R40" s="17"/>
      <c r="S40" s="17"/>
      <c r="T40" s="17"/>
      <c r="U40" s="17"/>
      <c r="AA40" s="175"/>
      <c r="AB40" s="175"/>
      <c r="AC40" s="175"/>
      <c r="AD40" s="175"/>
      <c r="AE40" s="175"/>
      <c r="AF40" s="175"/>
      <c r="AG40" s="175"/>
      <c r="AH40" s="175"/>
      <c r="AI40" s="175"/>
      <c r="AJ40" s="175"/>
      <c r="AK40" s="175"/>
      <c r="AL40" s="175"/>
      <c r="AM40" s="175"/>
      <c r="AN40" s="175"/>
      <c r="AO40" s="175"/>
      <c r="AP40" s="175"/>
      <c r="AQ40" s="175"/>
      <c r="AR40" s="175"/>
      <c r="AS40" s="175"/>
      <c r="AT40" s="175"/>
      <c r="AU40" s="175"/>
      <c r="AV40" s="175"/>
      <c r="AW40" s="175"/>
    </row>
    <row r="41" spans="2:49" x14ac:dyDescent="0.45">
      <c r="B41" s="18"/>
      <c r="C41" s="584"/>
      <c r="D41" s="17"/>
      <c r="E41" s="5"/>
      <c r="F41" s="5"/>
      <c r="G41" s="5"/>
      <c r="H41" s="5"/>
      <c r="I41" s="5"/>
      <c r="J41" s="5"/>
      <c r="K41" s="5"/>
      <c r="L41" s="5"/>
      <c r="M41" s="5"/>
      <c r="N41" s="5"/>
      <c r="O41" s="5"/>
      <c r="P41" s="5"/>
      <c r="Q41" s="11"/>
      <c r="R41" s="17"/>
      <c r="S41" s="17"/>
      <c r="T41" s="17"/>
      <c r="U41" s="17"/>
      <c r="AA41" s="175"/>
      <c r="AB41" s="175"/>
      <c r="AC41" s="175"/>
      <c r="AD41" s="175"/>
      <c r="AE41" s="175"/>
      <c r="AF41" s="175"/>
      <c r="AG41" s="175"/>
      <c r="AH41" s="175"/>
      <c r="AI41" s="175"/>
      <c r="AJ41" s="175"/>
      <c r="AK41" s="175"/>
      <c r="AL41" s="175"/>
      <c r="AM41" s="175"/>
      <c r="AN41" s="175"/>
      <c r="AO41" s="175"/>
      <c r="AP41" s="175"/>
      <c r="AQ41" s="175"/>
      <c r="AR41" s="175"/>
      <c r="AS41" s="175"/>
      <c r="AT41" s="175"/>
      <c r="AU41" s="175"/>
      <c r="AV41" s="175"/>
      <c r="AW41" s="175"/>
    </row>
    <row r="42" spans="2:49" x14ac:dyDescent="0.45">
      <c r="B42" s="18"/>
      <c r="C42" s="584"/>
      <c r="D42" s="17"/>
      <c r="E42" s="5"/>
      <c r="F42" s="5"/>
      <c r="G42" s="5"/>
      <c r="H42" s="5"/>
      <c r="I42" s="5"/>
      <c r="J42" s="5"/>
      <c r="K42" s="5"/>
      <c r="L42" s="5"/>
      <c r="M42" s="5"/>
      <c r="N42" s="5"/>
      <c r="O42" s="5"/>
      <c r="P42" s="5"/>
      <c r="Q42" s="11"/>
      <c r="R42" s="17"/>
      <c r="S42" s="17"/>
      <c r="T42" s="17"/>
      <c r="U42" s="17"/>
      <c r="AA42" s="175"/>
      <c r="AB42" s="175"/>
      <c r="AC42" s="175"/>
      <c r="AD42" s="175"/>
      <c r="AE42" s="175"/>
      <c r="AF42" s="175"/>
      <c r="AG42" s="175"/>
      <c r="AH42" s="175"/>
      <c r="AI42" s="175"/>
      <c r="AJ42" s="175"/>
      <c r="AK42" s="175"/>
      <c r="AL42" s="175"/>
      <c r="AM42" s="175"/>
      <c r="AN42" s="175"/>
      <c r="AO42" s="175"/>
      <c r="AP42" s="175"/>
      <c r="AQ42" s="175"/>
      <c r="AR42" s="175"/>
      <c r="AS42" s="175"/>
      <c r="AT42" s="175"/>
      <c r="AU42" s="175"/>
      <c r="AV42" s="175"/>
      <c r="AW42" s="175"/>
    </row>
    <row r="43" spans="2:49" x14ac:dyDescent="0.45">
      <c r="B43" s="18"/>
      <c r="C43" s="584"/>
      <c r="D43" s="17"/>
      <c r="E43" s="5"/>
      <c r="F43" s="5"/>
      <c r="G43" s="5"/>
      <c r="H43" s="5"/>
      <c r="I43" s="5"/>
      <c r="J43" s="5"/>
      <c r="K43" s="5"/>
      <c r="L43" s="5"/>
      <c r="M43" s="5"/>
      <c r="N43" s="5"/>
      <c r="O43" s="5"/>
      <c r="P43" s="5"/>
      <c r="Q43" s="11"/>
      <c r="R43" s="17"/>
      <c r="S43" s="17"/>
      <c r="T43" s="17"/>
      <c r="U43" s="17"/>
      <c r="AA43" s="175"/>
      <c r="AB43" s="175"/>
      <c r="AC43" s="175"/>
      <c r="AD43" s="175"/>
      <c r="AE43" s="175"/>
      <c r="AF43" s="175"/>
      <c r="AG43" s="175"/>
      <c r="AH43" s="175"/>
      <c r="AI43" s="175"/>
      <c r="AJ43" s="175"/>
      <c r="AK43" s="175"/>
      <c r="AL43" s="175"/>
      <c r="AM43" s="175"/>
      <c r="AN43" s="175"/>
      <c r="AO43" s="175"/>
      <c r="AP43" s="175"/>
      <c r="AQ43" s="175"/>
      <c r="AR43" s="175"/>
      <c r="AS43" s="175"/>
      <c r="AT43" s="175"/>
      <c r="AU43" s="175"/>
      <c r="AV43" s="175"/>
      <c r="AW43" s="175"/>
    </row>
    <row r="44" spans="2:49" x14ac:dyDescent="0.45">
      <c r="B44" s="18"/>
      <c r="C44" s="584"/>
      <c r="D44" s="17"/>
      <c r="E44" s="5"/>
      <c r="F44" s="5"/>
      <c r="G44" s="5"/>
      <c r="H44" s="5"/>
      <c r="I44" s="5"/>
      <c r="J44" s="5"/>
      <c r="K44" s="5"/>
      <c r="L44" s="5"/>
      <c r="M44" s="5"/>
      <c r="N44" s="5"/>
      <c r="O44" s="5"/>
      <c r="P44" s="5"/>
      <c r="Q44" s="11"/>
      <c r="R44" s="17"/>
      <c r="S44" s="17"/>
      <c r="T44" s="17"/>
      <c r="U44" s="17"/>
      <c r="AA44" s="175"/>
      <c r="AB44" s="175"/>
      <c r="AC44" s="175"/>
      <c r="AD44" s="175"/>
      <c r="AE44" s="175"/>
      <c r="AF44" s="175"/>
      <c r="AG44" s="175"/>
      <c r="AH44" s="175"/>
      <c r="AI44" s="175"/>
      <c r="AJ44" s="175"/>
      <c r="AK44" s="175"/>
      <c r="AL44" s="175"/>
      <c r="AM44" s="175"/>
      <c r="AN44" s="175"/>
      <c r="AO44" s="175"/>
      <c r="AP44" s="175"/>
      <c r="AQ44" s="175"/>
      <c r="AR44" s="175"/>
      <c r="AS44" s="175"/>
      <c r="AT44" s="175"/>
      <c r="AU44" s="175"/>
      <c r="AV44" s="175"/>
      <c r="AW44" s="175"/>
    </row>
    <row r="45" spans="2:49" x14ac:dyDescent="0.45">
      <c r="B45" s="18"/>
      <c r="C45" s="584"/>
      <c r="D45" s="17"/>
      <c r="E45" s="5"/>
      <c r="F45" s="5"/>
      <c r="G45" s="5"/>
      <c r="H45" s="5"/>
      <c r="I45" s="5"/>
      <c r="J45" s="5"/>
      <c r="K45" s="5"/>
      <c r="L45" s="5"/>
      <c r="M45" s="5"/>
      <c r="N45" s="5"/>
      <c r="O45" s="5"/>
      <c r="P45" s="5"/>
      <c r="Q45" s="11"/>
      <c r="R45" s="17"/>
      <c r="S45" s="17"/>
      <c r="T45" s="17"/>
      <c r="U45" s="17"/>
      <c r="AA45" s="175"/>
      <c r="AB45" s="175"/>
      <c r="AC45" s="175"/>
      <c r="AD45" s="175"/>
      <c r="AE45" s="175"/>
      <c r="AF45" s="175"/>
      <c r="AG45" s="175"/>
      <c r="AH45" s="175"/>
      <c r="AI45" s="175"/>
      <c r="AJ45" s="175"/>
      <c r="AK45" s="175"/>
      <c r="AL45" s="175"/>
      <c r="AM45" s="175"/>
      <c r="AN45" s="175"/>
      <c r="AO45" s="175"/>
      <c r="AP45" s="175"/>
      <c r="AQ45" s="175"/>
      <c r="AR45" s="175"/>
      <c r="AS45" s="175"/>
      <c r="AT45" s="175"/>
      <c r="AU45" s="175"/>
      <c r="AV45" s="175"/>
      <c r="AW45" s="175"/>
    </row>
    <row r="46" spans="2:49" x14ac:dyDescent="0.45">
      <c r="B46" s="18"/>
      <c r="C46" s="584"/>
      <c r="D46" s="17"/>
      <c r="E46" s="5"/>
      <c r="F46" s="5"/>
      <c r="G46" s="5"/>
      <c r="H46" s="5"/>
      <c r="I46" s="5"/>
      <c r="J46" s="5"/>
      <c r="K46" s="5"/>
      <c r="L46" s="5"/>
      <c r="M46" s="5"/>
      <c r="N46" s="5"/>
      <c r="O46" s="5"/>
      <c r="P46" s="5"/>
      <c r="Q46" s="11"/>
      <c r="R46" s="17"/>
      <c r="S46" s="17"/>
      <c r="T46" s="17"/>
      <c r="U46" s="17"/>
      <c r="AA46" s="175"/>
      <c r="AB46" s="175"/>
      <c r="AC46" s="175"/>
      <c r="AD46" s="175"/>
      <c r="AE46" s="175"/>
      <c r="AF46" s="175"/>
      <c r="AG46" s="175"/>
      <c r="AH46" s="175"/>
      <c r="AI46" s="175"/>
      <c r="AJ46" s="175"/>
      <c r="AK46" s="175"/>
      <c r="AL46" s="175"/>
      <c r="AM46" s="175"/>
      <c r="AN46" s="175"/>
      <c r="AO46" s="175"/>
      <c r="AP46" s="175"/>
      <c r="AQ46" s="175"/>
      <c r="AR46" s="175"/>
      <c r="AS46" s="175"/>
      <c r="AT46" s="175"/>
      <c r="AU46" s="175"/>
      <c r="AV46" s="175"/>
      <c r="AW46" s="175"/>
    </row>
    <row r="47" spans="2:49" x14ac:dyDescent="0.45">
      <c r="AA47" s="175"/>
      <c r="AB47" s="175"/>
      <c r="AC47" s="175"/>
      <c r="AD47" s="175"/>
      <c r="AE47" s="175"/>
      <c r="AF47" s="175"/>
      <c r="AG47" s="175"/>
      <c r="AH47" s="175"/>
      <c r="AI47" s="175"/>
      <c r="AJ47" s="175"/>
      <c r="AK47" s="175"/>
      <c r="AL47" s="175"/>
      <c r="AM47" s="175"/>
      <c r="AN47" s="175"/>
      <c r="AO47" s="175"/>
      <c r="AP47" s="175"/>
      <c r="AQ47" s="175"/>
      <c r="AR47" s="175"/>
      <c r="AS47" s="175"/>
      <c r="AT47" s="175"/>
      <c r="AU47" s="175"/>
      <c r="AV47" s="175"/>
      <c r="AW47" s="175"/>
    </row>
    <row r="48" spans="2:49" x14ac:dyDescent="0.45">
      <c r="AA48" s="175"/>
      <c r="AB48" s="175"/>
      <c r="AC48" s="175"/>
      <c r="AD48" s="175"/>
      <c r="AE48" s="175"/>
      <c r="AF48" s="175"/>
      <c r="AG48" s="175"/>
      <c r="AH48" s="175"/>
      <c r="AI48" s="175"/>
      <c r="AJ48" s="175"/>
      <c r="AK48" s="175"/>
      <c r="AL48" s="175"/>
      <c r="AM48" s="175"/>
      <c r="AN48" s="175"/>
      <c r="AO48" s="175"/>
      <c r="AP48" s="175"/>
      <c r="AQ48" s="175"/>
      <c r="AR48" s="175"/>
      <c r="AS48" s="175"/>
      <c r="AT48" s="175"/>
      <c r="AU48" s="175"/>
      <c r="AV48" s="175"/>
      <c r="AW48" s="175"/>
    </row>
    <row r="49" spans="27:49" x14ac:dyDescent="0.45">
      <c r="AA49" s="175"/>
      <c r="AB49" s="175"/>
      <c r="AC49" s="175"/>
      <c r="AD49" s="175"/>
      <c r="AE49" s="175"/>
      <c r="AF49" s="175"/>
      <c r="AG49" s="175"/>
      <c r="AH49" s="175"/>
      <c r="AI49" s="175"/>
      <c r="AJ49" s="175"/>
      <c r="AK49" s="175"/>
      <c r="AL49" s="175"/>
      <c r="AM49" s="175"/>
      <c r="AN49" s="175"/>
      <c r="AO49" s="175"/>
      <c r="AP49" s="175"/>
      <c r="AQ49" s="175"/>
      <c r="AR49" s="175"/>
      <c r="AS49" s="175"/>
      <c r="AT49" s="175"/>
      <c r="AU49" s="175"/>
      <c r="AV49" s="175"/>
      <c r="AW49" s="175"/>
    </row>
  </sheetData>
  <autoFilter ref="A9:U9" xr:uid="{00000000-0009-0000-0000-000005000000}"/>
  <mergeCells count="13">
    <mergeCell ref="AL8:AU8"/>
    <mergeCell ref="AN9:AU9"/>
    <mergeCell ref="AA8:AA10"/>
    <mergeCell ref="AB8:AB10"/>
    <mergeCell ref="AC8:AC10"/>
    <mergeCell ref="AD8:AD10"/>
    <mergeCell ref="AE8:AE10"/>
    <mergeCell ref="AF8:AF10"/>
    <mergeCell ref="AG8:AG10"/>
    <mergeCell ref="AH8:AH10"/>
    <mergeCell ref="AI8:AI10"/>
    <mergeCell ref="AJ8:AJ10"/>
    <mergeCell ref="AK8:AK10"/>
  </mergeCells>
  <conditionalFormatting sqref="R10:U46">
    <cfRule type="expression" dxfId="22" priority="4">
      <formula>AND($A10&lt;&gt;"",ISEVEN($A10))</formula>
    </cfRule>
  </conditionalFormatting>
  <conditionalFormatting sqref="E10:P3100">
    <cfRule type="expression" dxfId="21" priority="1">
      <formula>AND(E$9&gt;=$T10,E$9&lt;=$U10)</formula>
    </cfRule>
    <cfRule type="expression" dxfId="20" priority="2">
      <formula>AND($S10&lt;&gt;"",$S10&lt;=E$9)</formula>
    </cfRule>
    <cfRule type="expression" dxfId="19" priority="3">
      <formula>AND($R10&lt;&gt;"",$R10&gt;E$9)</formula>
    </cfRule>
  </conditionalFormatting>
  <pageMargins left="0.7" right="0.7" top="0.75" bottom="0.75" header="0.3" footer="0.3"/>
  <pageSetup orientation="portrait" verticalDpi="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6">
    <tabColor rgb="FFA6F2AD"/>
  </sheetPr>
  <dimension ref="B5:I38"/>
  <sheetViews>
    <sheetView showGridLines="0" workbookViewId="0">
      <selection activeCell="G21" sqref="G21"/>
    </sheetView>
  </sheetViews>
  <sheetFormatPr defaultColWidth="9.265625" defaultRowHeight="14.25" x14ac:dyDescent="0.45"/>
  <cols>
    <col min="1" max="1" width="9.265625" style="3"/>
    <col min="2" max="2" width="3.73046875" style="3" customWidth="1"/>
    <col min="3" max="3" width="18.59765625" style="3" customWidth="1"/>
    <col min="4" max="4" width="20.1328125" style="3" customWidth="1"/>
    <col min="5" max="5" width="9.59765625" style="3" customWidth="1"/>
    <col min="6" max="6" width="19.265625" style="3" customWidth="1"/>
    <col min="7" max="7" width="22.73046875" style="3" customWidth="1"/>
    <col min="8" max="8" width="4.265625" style="3" customWidth="1"/>
    <col min="9" max="16384" width="9.265625" style="3"/>
  </cols>
  <sheetData>
    <row r="5" spans="2:9" hidden="1" x14ac:dyDescent="0.45">
      <c r="D5" s="3" t="str">
        <f ca="1">"'"&amp;D11&amp;"'!$B$14:$B$"&amp;COUNTA(INDIRECT("'"&amp;D11&amp;"'!B14:B14000"))+13</f>
        <v>''!$B$14:$B$14</v>
      </c>
    </row>
    <row r="8" spans="2:9" x14ac:dyDescent="0.45">
      <c r="B8"/>
      <c r="C8"/>
      <c r="D8"/>
      <c r="E8"/>
      <c r="F8"/>
      <c r="G8"/>
      <c r="H8"/>
      <c r="I8"/>
    </row>
    <row r="9" spans="2:9" ht="14.85" customHeight="1" x14ac:dyDescent="0.45">
      <c r="B9"/>
      <c r="C9"/>
      <c r="D9"/>
      <c r="E9"/>
      <c r="F9"/>
      <c r="G9"/>
      <c r="H9"/>
      <c r="I9"/>
    </row>
    <row r="10" spans="2:9" ht="31.15" customHeight="1" x14ac:dyDescent="0.45">
      <c r="B10"/>
      <c r="C10"/>
      <c r="D10"/>
      <c r="E10"/>
      <c r="F10"/>
      <c r="G10"/>
      <c r="H10"/>
      <c r="I10"/>
    </row>
    <row r="11" spans="2:9" x14ac:dyDescent="0.45">
      <c r="B11"/>
      <c r="C11"/>
      <c r="D11"/>
      <c r="E11"/>
      <c r="F11"/>
      <c r="G11"/>
      <c r="H11"/>
      <c r="I11"/>
    </row>
    <row r="12" spans="2:9" x14ac:dyDescent="0.45">
      <c r="B12"/>
      <c r="C12"/>
      <c r="D12"/>
      <c r="E12"/>
      <c r="F12"/>
      <c r="G12"/>
      <c r="H12"/>
      <c r="I12"/>
    </row>
    <row r="13" spans="2:9" x14ac:dyDescent="0.45">
      <c r="B13"/>
      <c r="C13"/>
      <c r="D13"/>
      <c r="E13"/>
      <c r="F13"/>
      <c r="G13"/>
      <c r="H13"/>
      <c r="I13"/>
    </row>
    <row r="14" spans="2:9" x14ac:dyDescent="0.45">
      <c r="B14"/>
      <c r="C14"/>
      <c r="D14"/>
      <c r="E14"/>
      <c r="F14"/>
      <c r="G14"/>
      <c r="H14"/>
      <c r="I14"/>
    </row>
    <row r="15" spans="2:9" ht="8.1" customHeight="1" x14ac:dyDescent="0.45">
      <c r="B15"/>
      <c r="C15"/>
      <c r="D15"/>
      <c r="E15"/>
      <c r="F15"/>
      <c r="G15"/>
      <c r="H15"/>
      <c r="I15"/>
    </row>
    <row r="16" spans="2:9" x14ac:dyDescent="0.45">
      <c r="B16"/>
      <c r="C16"/>
      <c r="D16"/>
      <c r="E16"/>
      <c r="F16"/>
      <c r="G16"/>
      <c r="H16"/>
      <c r="I16"/>
    </row>
    <row r="17" spans="2:9" x14ac:dyDescent="0.45">
      <c r="B17"/>
      <c r="C17"/>
      <c r="D17"/>
      <c r="E17"/>
      <c r="F17"/>
      <c r="G17"/>
      <c r="H17"/>
      <c r="I17"/>
    </row>
    <row r="18" spans="2:9" x14ac:dyDescent="0.45">
      <c r="B18"/>
      <c r="C18"/>
      <c r="D18"/>
      <c r="E18"/>
      <c r="F18"/>
      <c r="G18"/>
      <c r="H18"/>
      <c r="I18"/>
    </row>
    <row r="19" spans="2:9" x14ac:dyDescent="0.45">
      <c r="B19"/>
      <c r="C19"/>
      <c r="D19"/>
      <c r="E19"/>
      <c r="F19"/>
      <c r="G19"/>
      <c r="H19"/>
      <c r="I19"/>
    </row>
    <row r="20" spans="2:9" x14ac:dyDescent="0.45">
      <c r="B20"/>
      <c r="C20"/>
      <c r="D20"/>
      <c r="E20"/>
      <c r="F20"/>
      <c r="G20"/>
      <c r="H20"/>
      <c r="I20"/>
    </row>
    <row r="21" spans="2:9" x14ac:dyDescent="0.45">
      <c r="B21"/>
      <c r="C21"/>
      <c r="D21"/>
      <c r="E21"/>
      <c r="F21"/>
      <c r="G21"/>
      <c r="H21"/>
      <c r="I21"/>
    </row>
    <row r="22" spans="2:9" x14ac:dyDescent="0.45">
      <c r="B22"/>
      <c r="C22"/>
      <c r="D22"/>
      <c r="E22"/>
      <c r="F22"/>
      <c r="G22"/>
      <c r="H22"/>
      <c r="I22"/>
    </row>
    <row r="23" spans="2:9" x14ac:dyDescent="0.45">
      <c r="B23"/>
      <c r="C23"/>
      <c r="D23"/>
      <c r="E23"/>
      <c r="F23"/>
      <c r="G23"/>
      <c r="H23"/>
      <c r="I23"/>
    </row>
    <row r="24" spans="2:9" x14ac:dyDescent="0.45">
      <c r="B24"/>
      <c r="C24"/>
      <c r="D24"/>
      <c r="E24"/>
      <c r="F24"/>
      <c r="G24"/>
      <c r="H24"/>
      <c r="I24"/>
    </row>
    <row r="25" spans="2:9" x14ac:dyDescent="0.45">
      <c r="B25"/>
      <c r="C25"/>
      <c r="D25"/>
      <c r="E25"/>
      <c r="F25"/>
      <c r="G25"/>
      <c r="H25"/>
      <c r="I25"/>
    </row>
    <row r="26" spans="2:9" x14ac:dyDescent="0.45">
      <c r="B26"/>
      <c r="C26"/>
      <c r="D26"/>
      <c r="E26"/>
      <c r="F26"/>
      <c r="G26"/>
      <c r="H26"/>
      <c r="I26"/>
    </row>
    <row r="27" spans="2:9" x14ac:dyDescent="0.45">
      <c r="B27"/>
      <c r="C27"/>
      <c r="D27"/>
      <c r="E27"/>
      <c r="F27"/>
      <c r="G27"/>
      <c r="H27"/>
      <c r="I27"/>
    </row>
    <row r="28" spans="2:9" x14ac:dyDescent="0.45">
      <c r="B28"/>
      <c r="C28"/>
      <c r="D28"/>
      <c r="E28"/>
      <c r="F28"/>
      <c r="G28"/>
      <c r="H28"/>
      <c r="I28"/>
    </row>
    <row r="29" spans="2:9" x14ac:dyDescent="0.45">
      <c r="B29"/>
      <c r="C29"/>
      <c r="D29"/>
      <c r="E29"/>
      <c r="F29"/>
      <c r="G29"/>
      <c r="H29"/>
      <c r="I29"/>
    </row>
    <row r="30" spans="2:9" x14ac:dyDescent="0.45">
      <c r="B30"/>
      <c r="C30"/>
      <c r="D30"/>
      <c r="E30"/>
      <c r="F30"/>
      <c r="G30"/>
      <c r="H30"/>
      <c r="I30"/>
    </row>
    <row r="31" spans="2:9" x14ac:dyDescent="0.45">
      <c r="B31"/>
      <c r="C31"/>
      <c r="D31"/>
      <c r="E31"/>
      <c r="F31"/>
      <c r="G31"/>
      <c r="H31"/>
      <c r="I31"/>
    </row>
    <row r="32" spans="2:9" x14ac:dyDescent="0.45">
      <c r="B32"/>
      <c r="C32"/>
      <c r="D32"/>
      <c r="E32"/>
      <c r="F32"/>
      <c r="G32"/>
      <c r="H32"/>
      <c r="I32"/>
    </row>
    <row r="33" spans="2:9" x14ac:dyDescent="0.45">
      <c r="B33"/>
      <c r="C33"/>
      <c r="D33"/>
      <c r="E33"/>
      <c r="F33"/>
      <c r="G33"/>
      <c r="H33"/>
      <c r="I33"/>
    </row>
    <row r="34" spans="2:9" x14ac:dyDescent="0.45">
      <c r="B34"/>
      <c r="C34"/>
      <c r="D34"/>
      <c r="E34"/>
      <c r="F34"/>
      <c r="G34"/>
      <c r="H34"/>
      <c r="I34"/>
    </row>
    <row r="35" spans="2:9" x14ac:dyDescent="0.45">
      <c r="B35"/>
      <c r="C35"/>
      <c r="D35"/>
      <c r="E35"/>
      <c r="F35"/>
      <c r="G35"/>
      <c r="H35"/>
      <c r="I35"/>
    </row>
    <row r="36" spans="2:9" x14ac:dyDescent="0.45">
      <c r="B36"/>
      <c r="C36"/>
      <c r="D36"/>
      <c r="E36"/>
      <c r="F36"/>
      <c r="G36"/>
      <c r="H36"/>
      <c r="I36"/>
    </row>
    <row r="37" spans="2:9" x14ac:dyDescent="0.45">
      <c r="B37"/>
      <c r="C37"/>
      <c r="D37"/>
      <c r="E37"/>
      <c r="F37"/>
      <c r="G37"/>
      <c r="H37"/>
      <c r="I37"/>
    </row>
    <row r="38" spans="2:9" x14ac:dyDescent="0.45">
      <c r="B38"/>
      <c r="C38"/>
      <c r="D38"/>
      <c r="E38"/>
      <c r="F38"/>
      <c r="G38"/>
      <c r="H38"/>
      <c r="I38"/>
    </row>
  </sheetData>
  <printOptions horizontalCentered="1" verticalCentered="1"/>
  <pageMargins left="0.19685039370078741" right="0.19685039370078741" top="0.23622047244094491" bottom="0.19685039370078741" header="0.31496062992125984" footer="0.31496062992125984"/>
  <pageSetup paperSize="11" orientation="landscape"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2E42B-7198-4382-9466-C9937B8D3B26}">
  <sheetPr codeName="NPT2">
    <tabColor rgb="FFC00000"/>
  </sheetPr>
  <dimension ref="A1:AW49"/>
  <sheetViews>
    <sheetView showGridLines="0" topLeftCell="A6" workbookViewId="0">
      <selection activeCell="F10" sqref="F10:P33"/>
    </sheetView>
  </sheetViews>
  <sheetFormatPr defaultColWidth="9.1328125" defaultRowHeight="14.25" x14ac:dyDescent="0.45"/>
  <cols>
    <col min="1" max="1" width="7.265625" style="5" customWidth="1"/>
    <col min="2" max="2" width="22.59765625" style="3" bestFit="1" customWidth="1"/>
    <col min="3" max="3" width="14.265625" style="3" customWidth="1"/>
    <col min="4" max="4" width="10" style="3" hidden="1" customWidth="1"/>
    <col min="5" max="5" width="9.86328125" style="3" customWidth="1"/>
    <col min="6" max="7" width="11.265625" style="3" customWidth="1"/>
    <col min="8" max="16" width="8.265625" style="3" customWidth="1"/>
    <col min="17" max="17" width="16.59765625" style="3" customWidth="1"/>
    <col min="18" max="21" width="5.86328125" style="3" customWidth="1"/>
    <col min="22" max="22" width="14.265625" style="3" customWidth="1"/>
    <col min="23" max="23" width="20.86328125" style="3" customWidth="1"/>
    <col min="24" max="25" width="9.1328125" style="3" customWidth="1"/>
    <col min="27" max="27" width="9.1328125" style="3"/>
    <col min="28" max="28" width="22.59765625" style="3" bestFit="1" customWidth="1"/>
    <col min="29" max="29" width="14.59765625" style="3" customWidth="1"/>
    <col min="30" max="30" width="26.265625" style="3" customWidth="1"/>
    <col min="31" max="31" width="13.73046875" style="3" customWidth="1"/>
    <col min="32" max="32" width="14" style="3" bestFit="1" customWidth="1"/>
    <col min="33" max="37" width="9.73046875" style="3" customWidth="1"/>
    <col min="38" max="47" width="11.73046875" style="3" customWidth="1"/>
    <col min="48" max="49" width="12.265625" style="3" customWidth="1"/>
    <col min="50" max="16384" width="9.1328125" style="3"/>
  </cols>
  <sheetData>
    <row r="1" spans="1:49" x14ac:dyDescent="0.45">
      <c r="V1" s="51" t="s">
        <v>68</v>
      </c>
      <c r="W1" s="51" t="str">
        <f>"Thuong!B10:Q"&amp;MAX(A:A)+9</f>
        <v>Thuong!B10:Q11</v>
      </c>
    </row>
    <row r="2" spans="1:49" ht="23.65" thickBot="1" x14ac:dyDescent="0.5">
      <c r="A2" s="21" t="s">
        <v>395</v>
      </c>
      <c r="B2" s="1"/>
      <c r="C2" s="1"/>
      <c r="D2" s="1"/>
      <c r="E2" s="1"/>
      <c r="F2" s="1"/>
      <c r="G2" s="1"/>
      <c r="H2" s="1"/>
      <c r="I2" s="1"/>
      <c r="J2" s="1"/>
      <c r="K2" s="1"/>
      <c r="L2" s="1"/>
      <c r="M2" s="1"/>
      <c r="N2" s="1"/>
      <c r="O2" s="1"/>
      <c r="P2" s="1"/>
      <c r="Q2" s="1"/>
      <c r="V2" s="51" t="s">
        <v>100</v>
      </c>
      <c r="W2" s="51" t="s">
        <v>394</v>
      </c>
      <c r="X2" s="51"/>
    </row>
    <row r="3" spans="1:49" ht="14.65" thickTop="1" x14ac:dyDescent="0.45">
      <c r="E3" s="3" t="s">
        <v>200</v>
      </c>
      <c r="F3" s="3">
        <v>5</v>
      </c>
      <c r="V3" s="51" t="s">
        <v>75</v>
      </c>
      <c r="W3" s="51" t="str">
        <f>"Thuong!B10:B"&amp;MAX(A:A)+9</f>
        <v>Thuong!B10:B11</v>
      </c>
    </row>
    <row r="6" spans="1:49" x14ac:dyDescent="0.45">
      <c r="C6" s="3">
        <f>COLUMNS(C10:Z10)</f>
        <v>24</v>
      </c>
    </row>
    <row r="7" spans="1:49" x14ac:dyDescent="0.45">
      <c r="E7" s="128"/>
      <c r="F7" s="128"/>
      <c r="G7" s="128">
        <f ca="1">Info!G10</f>
        <v>0</v>
      </c>
      <c r="H7" s="128"/>
      <c r="I7" s="128"/>
      <c r="J7" s="128">
        <f ca="1">Info!G11</f>
        <v>0</v>
      </c>
      <c r="K7" s="128"/>
      <c r="L7" s="128"/>
      <c r="M7" s="128">
        <f ca="1">Info!G12</f>
        <v>0</v>
      </c>
      <c r="N7" s="128"/>
      <c r="O7" s="128"/>
      <c r="P7" s="128">
        <f ca="1">Info!G13</f>
        <v>0</v>
      </c>
      <c r="Q7" s="579">
        <f ca="1">SUM(Q10:Q25)</f>
        <v>0</v>
      </c>
    </row>
    <row r="8" spans="1:49" ht="28.5" x14ac:dyDescent="0.45">
      <c r="A8" s="7" t="s">
        <v>1</v>
      </c>
      <c r="B8" s="7" t="s">
        <v>2</v>
      </c>
      <c r="C8" s="7" t="s">
        <v>3</v>
      </c>
      <c r="D8" s="7" t="s">
        <v>6</v>
      </c>
      <c r="E8" s="20">
        <v>1</v>
      </c>
      <c r="F8" s="20">
        <v>2</v>
      </c>
      <c r="G8" s="20">
        <v>3</v>
      </c>
      <c r="H8" s="20">
        <v>4</v>
      </c>
      <c r="I8" s="20">
        <v>5</v>
      </c>
      <c r="J8" s="20">
        <v>6</v>
      </c>
      <c r="K8" s="20">
        <v>7</v>
      </c>
      <c r="L8" s="20">
        <v>8</v>
      </c>
      <c r="M8" s="20">
        <v>9</v>
      </c>
      <c r="N8" s="20">
        <v>10</v>
      </c>
      <c r="O8" s="20">
        <v>11</v>
      </c>
      <c r="P8" s="20">
        <v>12</v>
      </c>
      <c r="Q8" s="23" t="s">
        <v>153</v>
      </c>
      <c r="R8" s="73"/>
      <c r="S8" s="74"/>
      <c r="T8" s="74"/>
      <c r="U8" s="75"/>
      <c r="AA8" s="596" t="s">
        <v>1</v>
      </c>
      <c r="AB8" s="596" t="s">
        <v>228</v>
      </c>
      <c r="AC8" s="596" t="s">
        <v>229</v>
      </c>
      <c r="AD8" s="596" t="s">
        <v>230</v>
      </c>
      <c r="AE8" s="596" t="s">
        <v>231</v>
      </c>
      <c r="AF8" s="596" t="s">
        <v>232</v>
      </c>
      <c r="AG8" s="596" t="s">
        <v>233</v>
      </c>
      <c r="AH8" s="596" t="s">
        <v>234</v>
      </c>
      <c r="AI8" s="596" t="s">
        <v>235</v>
      </c>
      <c r="AJ8" s="596" t="s">
        <v>236</v>
      </c>
      <c r="AK8" s="596" t="s">
        <v>237</v>
      </c>
      <c r="AL8" s="593" t="s">
        <v>238</v>
      </c>
      <c r="AM8" s="594"/>
      <c r="AN8" s="594"/>
      <c r="AO8" s="594"/>
      <c r="AP8" s="594"/>
      <c r="AQ8" s="594"/>
      <c r="AR8" s="594"/>
      <c r="AS8" s="594"/>
      <c r="AT8" s="594"/>
      <c r="AU8" s="595"/>
      <c r="AV8" s="188" t="s">
        <v>239</v>
      </c>
      <c r="AW8" s="188"/>
    </row>
    <row r="9" spans="1:49" x14ac:dyDescent="0.45">
      <c r="A9" s="16"/>
      <c r="B9" s="16" t="s">
        <v>24</v>
      </c>
      <c r="C9" s="16" t="s">
        <v>25</v>
      </c>
      <c r="D9" s="16" t="s">
        <v>28</v>
      </c>
      <c r="E9" s="16">
        <f>E8</f>
        <v>1</v>
      </c>
      <c r="F9" s="16">
        <f t="shared" ref="F9:P9" si="0">F8</f>
        <v>2</v>
      </c>
      <c r="G9" s="16">
        <f t="shared" si="0"/>
        <v>3</v>
      </c>
      <c r="H9" s="16">
        <f t="shared" si="0"/>
        <v>4</v>
      </c>
      <c r="I9" s="16">
        <f t="shared" si="0"/>
        <v>5</v>
      </c>
      <c r="J9" s="16">
        <f t="shared" si="0"/>
        <v>6</v>
      </c>
      <c r="K9" s="16">
        <f t="shared" si="0"/>
        <v>7</v>
      </c>
      <c r="L9" s="16">
        <f t="shared" si="0"/>
        <v>8</v>
      </c>
      <c r="M9" s="16">
        <f t="shared" si="0"/>
        <v>9</v>
      </c>
      <c r="N9" s="16">
        <f t="shared" si="0"/>
        <v>10</v>
      </c>
      <c r="O9" s="16">
        <f t="shared" si="0"/>
        <v>11</v>
      </c>
      <c r="P9" s="16">
        <f t="shared" si="0"/>
        <v>12</v>
      </c>
      <c r="Q9" s="16" t="s">
        <v>102</v>
      </c>
      <c r="R9" s="129" t="s">
        <v>32</v>
      </c>
      <c r="S9" s="129" t="s">
        <v>33</v>
      </c>
      <c r="T9" s="129" t="s">
        <v>34</v>
      </c>
      <c r="U9" s="129" t="s">
        <v>35</v>
      </c>
      <c r="AA9" s="597"/>
      <c r="AB9" s="597"/>
      <c r="AC9" s="597"/>
      <c r="AD9" s="597"/>
      <c r="AE9" s="597"/>
      <c r="AF9" s="597"/>
      <c r="AG9" s="597"/>
      <c r="AH9" s="597"/>
      <c r="AI9" s="597"/>
      <c r="AJ9" s="597"/>
      <c r="AK9" s="597"/>
      <c r="AL9" s="188" t="s">
        <v>240</v>
      </c>
      <c r="AM9" s="188" t="s">
        <v>241</v>
      </c>
      <c r="AN9" s="593" t="s">
        <v>242</v>
      </c>
      <c r="AO9" s="594"/>
      <c r="AP9" s="594"/>
      <c r="AQ9" s="594"/>
      <c r="AR9" s="594"/>
      <c r="AS9" s="594"/>
      <c r="AT9" s="594"/>
      <c r="AU9" s="595"/>
      <c r="AV9" s="188"/>
      <c r="AW9" s="188"/>
    </row>
    <row r="10" spans="1:49" x14ac:dyDescent="0.45">
      <c r="A10" s="5">
        <f>IF(B10="","",SUBTOTAL(3,B$10:B10))</f>
        <v>1</v>
      </c>
      <c r="B10" s="18">
        <f>INDEX(Danh_Sach!$B$13:$N$2994,ROWS($B$10:$B10),MATCH(B$9,Danh_Sach!$B$12:$N$12,0))</f>
        <v>0</v>
      </c>
      <c r="C10" s="109">
        <f>INDEX(Danh_Sach!$B$13:$N$2994,ROWS($B$10:$B10),MATCH(C$9,Danh_Sach!$B$12:$N$12,0))</f>
        <v>0</v>
      </c>
      <c r="D10" s="17">
        <f>COUNTIF($AC$12:$AC$1200,C10)</f>
        <v>0</v>
      </c>
      <c r="E10" s="5"/>
      <c r="F10" s="5"/>
      <c r="G10" s="5"/>
      <c r="H10" s="5"/>
      <c r="I10" s="5"/>
      <c r="J10" s="5"/>
      <c r="K10" s="5"/>
      <c r="L10" s="5"/>
      <c r="M10" s="5"/>
      <c r="N10" s="5"/>
      <c r="O10" s="5"/>
      <c r="P10" s="5"/>
      <c r="Q10" s="11">
        <f ca="1">SUMPRODUCT($E$7:$P$7,E10:P10)</f>
        <v>0</v>
      </c>
      <c r="R10" s="17" t="str">
        <f>IF(INDEX(Danh_Sach!$B$13:$N$2994,ROWS($B$10:$B10),MATCH(R$9,Danh_Sach!$B$12:$N$12,0))=0,"",MONTH(INDEX(Danh_Sach!$B$13:$N$2994,ROWS($B$10:$B10),MATCH(R$9,Danh_Sach!$B$12:$N$12,0))))</f>
        <v/>
      </c>
      <c r="S10" s="17" t="str">
        <f>IF(INDEX(Danh_Sach!$B$13:$N$2994,ROWS($B$10:$B10),MATCH(S$9,Danh_Sach!$B$12:$N$12,0))=0,"",MONTH(INDEX(Danh_Sach!$B$13:$N$2994,ROWS($B$10:$B10),MATCH(S$9,Danh_Sach!$B$12:$N$12,0))))</f>
        <v/>
      </c>
      <c r="T10" s="17" t="str">
        <f>IF(INDEX(Danh_Sach!$B$13:$N$2994,ROWS($B$10:$B10),MATCH(T$9,Danh_Sach!$B$12:$N$12,0))=0,"",MONTH(INDEX(Danh_Sach!$B$13:$N$2994,ROWS($B$10:$B10),MATCH(T$9,Danh_Sach!$B$12:$N$12,0))))</f>
        <v/>
      </c>
      <c r="U10" s="17" t="str">
        <f>IF(INDEX(Danh_Sach!$B$13:$N$2994,ROWS($B$10:$B10),MATCH(U$9,Danh_Sach!$B$12:$N$12,0))=0,"",MONTH(INDEX(Danh_Sach!$B$13:$N$2994,ROWS($B$10:$B10),MATCH(U$9,Danh_Sach!$B$12:$N$12,0))))</f>
        <v/>
      </c>
      <c r="V10" s="22"/>
      <c r="Z10" s="50">
        <f>MAX(E10:P10)</f>
        <v>0</v>
      </c>
      <c r="AA10" s="598"/>
      <c r="AB10" s="598"/>
      <c r="AC10" s="598"/>
      <c r="AD10" s="598"/>
      <c r="AE10" s="598"/>
      <c r="AF10" s="598"/>
      <c r="AG10" s="598"/>
      <c r="AH10" s="598"/>
      <c r="AI10" s="598"/>
      <c r="AJ10" s="598"/>
      <c r="AK10" s="598"/>
      <c r="AL10" s="188"/>
      <c r="AM10" s="188"/>
      <c r="AN10" s="188" t="s">
        <v>243</v>
      </c>
      <c r="AO10" s="188" t="s">
        <v>244</v>
      </c>
      <c r="AP10" s="188" t="s">
        <v>245</v>
      </c>
      <c r="AQ10" s="188" t="s">
        <v>246</v>
      </c>
      <c r="AR10" s="188" t="s">
        <v>247</v>
      </c>
      <c r="AS10" s="188" t="s">
        <v>248</v>
      </c>
      <c r="AT10" s="188" t="s">
        <v>249</v>
      </c>
      <c r="AU10" s="188" t="s">
        <v>250</v>
      </c>
      <c r="AV10" s="188" t="s">
        <v>251</v>
      </c>
      <c r="AW10" s="188" t="s">
        <v>252</v>
      </c>
    </row>
    <row r="11" spans="1:49" x14ac:dyDescent="0.45">
      <c r="A11" s="5">
        <f>IF(B11="","",SUBTOTAL(3,B$10:B11))</f>
        <v>2</v>
      </c>
      <c r="B11" s="18">
        <f>INDEX(Danh_Sach!$B$13:$N$2994,ROWS($B$10:$B11),MATCH(B$9,Danh_Sach!$B$12:$N$12,0))</f>
        <v>0</v>
      </c>
      <c r="C11" s="109">
        <f>INDEX(Danh_Sach!$B$13:$N$2994,ROWS($B$10:$B11),MATCH(C$9,Danh_Sach!$B$12:$N$12,0))</f>
        <v>0</v>
      </c>
      <c r="D11" s="17">
        <f>COUNTIF($AC$12:$AC$1200,C11)</f>
        <v>0</v>
      </c>
      <c r="E11" s="5"/>
      <c r="F11" s="5"/>
      <c r="G11" s="5"/>
      <c r="H11" s="5"/>
      <c r="I11" s="5"/>
      <c r="J11" s="5"/>
      <c r="K11" s="5"/>
      <c r="L11" s="5"/>
      <c r="M11" s="5"/>
      <c r="N11" s="5"/>
      <c r="O11" s="5"/>
      <c r="P11" s="5"/>
      <c r="Q11" s="11">
        <f t="shared" ref="Q11" ca="1" si="1">SUMPRODUCT($E$7:$P$7,E11:P11)</f>
        <v>0</v>
      </c>
      <c r="R11" s="17" t="str">
        <f>IF(INDEX(Danh_Sach!$B$13:$N$2994,ROWS($B$10:$B11),MATCH(R$9,Danh_Sach!$B$12:$N$12,0))=0,"",MONTH(INDEX(Danh_Sach!$B$13:$N$2994,ROWS($B$10:$B11),MATCH(R$9,Danh_Sach!$B$12:$N$12,0))))</f>
        <v/>
      </c>
      <c r="S11" s="17" t="str">
        <f>IF(INDEX(Danh_Sach!$B$13:$N$2994,ROWS($B$10:$B11),MATCH(S$9,Danh_Sach!$B$12:$N$12,0))=0,"",MONTH(INDEX(Danh_Sach!$B$13:$N$2994,ROWS($B$10:$B11),MATCH(S$9,Danh_Sach!$B$12:$N$12,0))))</f>
        <v/>
      </c>
      <c r="T11" s="17" t="str">
        <f>IF(INDEX(Danh_Sach!$B$13:$N$2994,ROWS($B$10:$B11),MATCH(T$9,Danh_Sach!$B$12:$N$12,0))=0,"",MONTH(INDEX(Danh_Sach!$B$13:$N$2994,ROWS($B$10:$B11),MATCH(T$9,Danh_Sach!$B$12:$N$12,0))))</f>
        <v/>
      </c>
      <c r="U11" s="17" t="str">
        <f>IF(INDEX(Danh_Sach!$B$13:$N$2994,ROWS($B$10:$B11),MATCH(U$9,Danh_Sach!$B$12:$N$12,0))=0,"",MONTH(INDEX(Danh_Sach!$B$13:$N$2994,ROWS($B$10:$B11),MATCH(U$9,Danh_Sach!$B$12:$N$12,0))))</f>
        <v/>
      </c>
      <c r="Z11" s="50">
        <f>MAX(E11:P11)</f>
        <v>0</v>
      </c>
      <c r="AA11" s="188" t="s">
        <v>134</v>
      </c>
      <c r="AB11" s="188" t="s">
        <v>135</v>
      </c>
      <c r="AC11" s="188" t="s">
        <v>136</v>
      </c>
      <c r="AD11" s="188" t="s">
        <v>137</v>
      </c>
      <c r="AE11" s="188" t="s">
        <v>138</v>
      </c>
      <c r="AF11" s="188" t="s">
        <v>139</v>
      </c>
      <c r="AG11" s="188"/>
      <c r="AH11" s="188" t="s">
        <v>140</v>
      </c>
      <c r="AI11" s="188" t="s">
        <v>141</v>
      </c>
      <c r="AJ11" s="188"/>
      <c r="AK11" s="188" t="s">
        <v>142</v>
      </c>
      <c r="AL11" s="188" t="s">
        <v>143</v>
      </c>
      <c r="AM11" s="188" t="s">
        <v>144</v>
      </c>
      <c r="AN11" s="188"/>
      <c r="AO11" s="188" t="s">
        <v>145</v>
      </c>
      <c r="AP11" s="188"/>
      <c r="AQ11" s="188" t="s">
        <v>146</v>
      </c>
      <c r="AR11" s="188"/>
      <c r="AS11" s="188" t="s">
        <v>147</v>
      </c>
      <c r="AT11" s="188"/>
      <c r="AU11" s="188" t="s">
        <v>148</v>
      </c>
      <c r="AV11" s="188" t="s">
        <v>149</v>
      </c>
      <c r="AW11" s="188" t="s">
        <v>150</v>
      </c>
    </row>
    <row r="12" spans="1:49" x14ac:dyDescent="0.45">
      <c r="B12" s="18"/>
      <c r="C12" s="109"/>
      <c r="D12" s="17"/>
      <c r="E12" s="5"/>
      <c r="F12" s="5"/>
      <c r="G12" s="5"/>
      <c r="H12" s="5"/>
      <c r="I12" s="5"/>
      <c r="J12" s="5"/>
      <c r="K12" s="5"/>
      <c r="L12" s="5"/>
      <c r="M12" s="5"/>
      <c r="N12" s="5"/>
      <c r="O12" s="5"/>
      <c r="P12" s="5"/>
      <c r="Q12" s="11"/>
      <c r="R12" s="17"/>
      <c r="S12" s="17"/>
      <c r="T12" s="17"/>
      <c r="U12" s="17"/>
      <c r="Z12" s="50">
        <f t="shared" ref="Z12:Z38" si="2">MAX(E12:P12)</f>
        <v>0</v>
      </c>
      <c r="AA12" s="175"/>
      <c r="AB12" s="175"/>
      <c r="AC12" s="175"/>
      <c r="AD12" s="175"/>
      <c r="AE12" s="223"/>
      <c r="AF12" s="175"/>
      <c r="AG12" s="175"/>
      <c r="AH12" s="175"/>
      <c r="AI12" s="175"/>
      <c r="AJ12" s="175"/>
      <c r="AK12" s="175"/>
      <c r="AL12" s="175"/>
      <c r="AM12" s="189"/>
      <c r="AN12" s="175"/>
      <c r="AO12" s="175"/>
      <c r="AP12" s="175"/>
      <c r="AQ12" s="175"/>
      <c r="AR12" s="175"/>
      <c r="AS12" s="175"/>
      <c r="AT12" s="175"/>
      <c r="AU12" s="175"/>
      <c r="AV12" s="189"/>
      <c r="AW12" s="189"/>
    </row>
    <row r="13" spans="1:49" x14ac:dyDescent="0.45">
      <c r="B13" s="18"/>
      <c r="C13" s="109"/>
      <c r="D13" s="17"/>
      <c r="E13" s="5"/>
      <c r="F13" s="5"/>
      <c r="G13" s="5"/>
      <c r="H13" s="5"/>
      <c r="I13" s="5"/>
      <c r="J13" s="5"/>
      <c r="K13" s="5"/>
      <c r="L13" s="5"/>
      <c r="M13" s="5"/>
      <c r="N13" s="5"/>
      <c r="O13" s="5"/>
      <c r="P13" s="5"/>
      <c r="Q13" s="11"/>
      <c r="R13" s="17"/>
      <c r="S13" s="17"/>
      <c r="T13" s="17"/>
      <c r="U13" s="17"/>
      <c r="Z13" s="50">
        <f t="shared" si="2"/>
        <v>0</v>
      </c>
      <c r="AA13" s="175"/>
      <c r="AB13" s="175"/>
      <c r="AC13" s="175"/>
      <c r="AD13" s="175"/>
      <c r="AE13" s="223"/>
      <c r="AF13" s="175"/>
      <c r="AG13" s="175"/>
      <c r="AH13" s="175"/>
      <c r="AI13" s="175"/>
      <c r="AJ13" s="175"/>
      <c r="AK13" s="175"/>
      <c r="AL13" s="175"/>
      <c r="AM13" s="189"/>
      <c r="AN13" s="175"/>
      <c r="AO13" s="175"/>
      <c r="AP13" s="175"/>
      <c r="AQ13" s="175"/>
      <c r="AR13" s="175"/>
      <c r="AS13" s="175"/>
      <c r="AT13" s="175"/>
      <c r="AU13" s="175"/>
      <c r="AV13" s="189"/>
      <c r="AW13" s="189"/>
    </row>
    <row r="14" spans="1:49" x14ac:dyDescent="0.45">
      <c r="B14" s="18"/>
      <c r="C14" s="109"/>
      <c r="D14" s="17"/>
      <c r="E14" s="5"/>
      <c r="F14" s="5"/>
      <c r="G14" s="5"/>
      <c r="H14" s="5"/>
      <c r="I14" s="5"/>
      <c r="J14" s="5"/>
      <c r="K14" s="5"/>
      <c r="L14" s="5"/>
      <c r="M14" s="5"/>
      <c r="N14" s="5"/>
      <c r="O14" s="5"/>
      <c r="P14" s="5"/>
      <c r="Q14" s="11"/>
      <c r="R14" s="17"/>
      <c r="S14" s="17"/>
      <c r="T14" s="17"/>
      <c r="U14" s="17"/>
      <c r="Z14" s="50">
        <f t="shared" si="2"/>
        <v>0</v>
      </c>
      <c r="AA14" s="175"/>
      <c r="AB14" s="175"/>
      <c r="AC14" s="175"/>
      <c r="AD14" s="175"/>
      <c r="AE14" s="223"/>
      <c r="AF14" s="175"/>
      <c r="AG14" s="175"/>
      <c r="AH14" s="175"/>
      <c r="AI14" s="175"/>
      <c r="AJ14" s="175"/>
      <c r="AK14" s="175"/>
      <c r="AL14" s="175"/>
      <c r="AM14" s="175"/>
      <c r="AN14" s="175"/>
      <c r="AO14" s="175"/>
      <c r="AP14" s="175"/>
      <c r="AQ14" s="175"/>
      <c r="AR14" s="175"/>
      <c r="AS14" s="175"/>
      <c r="AT14" s="175"/>
      <c r="AU14" s="175"/>
      <c r="AV14" s="189"/>
      <c r="AW14" s="189"/>
    </row>
    <row r="15" spans="1:49" x14ac:dyDescent="0.45">
      <c r="B15" s="18"/>
      <c r="C15" s="109"/>
      <c r="D15" s="17"/>
      <c r="E15" s="5"/>
      <c r="F15" s="5"/>
      <c r="G15" s="5"/>
      <c r="H15" s="5"/>
      <c r="I15" s="5"/>
      <c r="J15" s="5"/>
      <c r="K15" s="5"/>
      <c r="L15" s="5"/>
      <c r="M15" s="5"/>
      <c r="N15" s="5"/>
      <c r="O15" s="5"/>
      <c r="P15" s="5"/>
      <c r="Q15" s="11"/>
      <c r="R15" s="17"/>
      <c r="S15" s="17"/>
      <c r="T15" s="17"/>
      <c r="U15" s="17"/>
      <c r="Z15" s="50">
        <f t="shared" si="2"/>
        <v>0</v>
      </c>
      <c r="AA15" s="175"/>
      <c r="AB15" s="175"/>
      <c r="AC15" s="175"/>
      <c r="AD15" s="175"/>
      <c r="AE15" s="223"/>
      <c r="AF15" s="175"/>
      <c r="AG15" s="175"/>
      <c r="AH15" s="175"/>
      <c r="AI15" s="175"/>
      <c r="AJ15" s="175"/>
      <c r="AK15" s="175"/>
      <c r="AL15" s="175"/>
      <c r="AM15" s="175"/>
      <c r="AN15" s="175"/>
      <c r="AO15" s="175"/>
      <c r="AP15" s="175"/>
      <c r="AQ15" s="175"/>
      <c r="AR15" s="175"/>
      <c r="AS15" s="175"/>
      <c r="AT15" s="175"/>
      <c r="AU15" s="175"/>
      <c r="AV15" s="189"/>
      <c r="AW15" s="189"/>
    </row>
    <row r="16" spans="1:49" x14ac:dyDescent="0.45">
      <c r="B16" s="18"/>
      <c r="C16" s="109"/>
      <c r="D16" s="17"/>
      <c r="E16" s="5"/>
      <c r="F16" s="5"/>
      <c r="G16" s="5"/>
      <c r="H16" s="5"/>
      <c r="I16" s="5"/>
      <c r="J16" s="5"/>
      <c r="K16" s="5"/>
      <c r="L16" s="5"/>
      <c r="M16" s="5"/>
      <c r="N16" s="5"/>
      <c r="O16" s="5"/>
      <c r="P16" s="5"/>
      <c r="Q16" s="11"/>
      <c r="R16" s="17"/>
      <c r="S16" s="17"/>
      <c r="T16" s="17"/>
      <c r="U16" s="17"/>
      <c r="Z16" s="50">
        <f t="shared" si="2"/>
        <v>0</v>
      </c>
      <c r="AA16" s="175"/>
      <c r="AB16" s="175"/>
      <c r="AC16" s="175"/>
      <c r="AD16" s="175"/>
      <c r="AE16" s="223"/>
      <c r="AF16" s="175"/>
      <c r="AG16" s="175"/>
      <c r="AH16" s="175"/>
      <c r="AI16" s="175"/>
      <c r="AJ16" s="175"/>
      <c r="AK16" s="175"/>
      <c r="AL16" s="175"/>
      <c r="AM16" s="175"/>
      <c r="AN16" s="175"/>
      <c r="AO16" s="175"/>
      <c r="AP16" s="175"/>
      <c r="AQ16" s="175"/>
      <c r="AR16" s="175"/>
      <c r="AS16" s="175"/>
      <c r="AT16" s="175"/>
      <c r="AU16" s="175"/>
      <c r="AV16" s="189"/>
      <c r="AW16" s="189"/>
    </row>
    <row r="17" spans="2:49" x14ac:dyDescent="0.45">
      <c r="B17" s="18"/>
      <c r="C17" s="109"/>
      <c r="D17" s="17"/>
      <c r="E17" s="5"/>
      <c r="F17" s="5"/>
      <c r="G17" s="5"/>
      <c r="H17" s="5"/>
      <c r="I17" s="5"/>
      <c r="J17" s="5"/>
      <c r="K17" s="5"/>
      <c r="L17" s="5"/>
      <c r="M17" s="5"/>
      <c r="N17" s="5"/>
      <c r="O17" s="5"/>
      <c r="P17" s="5"/>
      <c r="Q17" s="11"/>
      <c r="R17" s="17"/>
      <c r="S17" s="17"/>
      <c r="T17" s="17"/>
      <c r="U17" s="17"/>
      <c r="Z17" s="50">
        <f t="shared" si="2"/>
        <v>0</v>
      </c>
      <c r="AA17" s="175"/>
      <c r="AB17" s="175"/>
      <c r="AC17" s="175"/>
      <c r="AD17" s="175"/>
      <c r="AE17" s="223"/>
      <c r="AF17" s="175"/>
      <c r="AG17" s="175"/>
      <c r="AH17" s="175"/>
      <c r="AI17" s="175"/>
      <c r="AJ17" s="175"/>
      <c r="AK17" s="175"/>
      <c r="AL17" s="175"/>
      <c r="AM17" s="175"/>
      <c r="AN17" s="175"/>
      <c r="AO17" s="175"/>
      <c r="AP17" s="175"/>
      <c r="AQ17" s="175"/>
      <c r="AR17" s="175"/>
      <c r="AS17" s="175"/>
      <c r="AT17" s="175"/>
      <c r="AU17" s="175"/>
      <c r="AV17" s="223"/>
      <c r="AW17" s="223"/>
    </row>
    <row r="18" spans="2:49" x14ac:dyDescent="0.45">
      <c r="B18" s="18"/>
      <c r="C18" s="109"/>
      <c r="D18" s="17"/>
      <c r="E18" s="5"/>
      <c r="F18" s="5"/>
      <c r="G18" s="5"/>
      <c r="H18" s="5"/>
      <c r="I18" s="5"/>
      <c r="J18" s="5"/>
      <c r="K18" s="5"/>
      <c r="L18" s="5"/>
      <c r="M18" s="5"/>
      <c r="N18" s="5"/>
      <c r="O18" s="5"/>
      <c r="P18" s="5"/>
      <c r="Q18" s="11"/>
      <c r="R18" s="17"/>
      <c r="S18" s="17"/>
      <c r="T18" s="17"/>
      <c r="U18" s="17"/>
      <c r="Z18" s="50">
        <f t="shared" si="2"/>
        <v>0</v>
      </c>
      <c r="AA18" s="175"/>
      <c r="AB18" s="175"/>
      <c r="AC18" s="175"/>
      <c r="AD18" s="175"/>
      <c r="AE18" s="175"/>
      <c r="AF18" s="175"/>
      <c r="AG18" s="175"/>
      <c r="AH18" s="175"/>
      <c r="AI18" s="175"/>
      <c r="AJ18" s="175"/>
      <c r="AK18" s="175"/>
      <c r="AL18" s="175"/>
      <c r="AM18" s="175"/>
      <c r="AN18" s="175"/>
      <c r="AO18" s="175"/>
      <c r="AP18" s="175"/>
      <c r="AQ18" s="175"/>
      <c r="AR18" s="175"/>
      <c r="AS18" s="175"/>
      <c r="AT18" s="175"/>
      <c r="AU18" s="175"/>
      <c r="AV18" s="223"/>
      <c r="AW18" s="223"/>
    </row>
    <row r="19" spans="2:49" x14ac:dyDescent="0.45">
      <c r="B19" s="18"/>
      <c r="C19" s="109"/>
      <c r="D19" s="17"/>
      <c r="E19" s="5"/>
      <c r="F19" s="5"/>
      <c r="G19" s="5"/>
      <c r="H19" s="5"/>
      <c r="I19" s="5"/>
      <c r="J19" s="5"/>
      <c r="K19" s="5"/>
      <c r="L19" s="5"/>
      <c r="M19" s="5"/>
      <c r="N19" s="5"/>
      <c r="O19" s="5"/>
      <c r="P19" s="5"/>
      <c r="Q19" s="11"/>
      <c r="R19" s="17"/>
      <c r="S19" s="17"/>
      <c r="T19" s="17"/>
      <c r="U19" s="17"/>
      <c r="Z19" s="50">
        <f t="shared" si="2"/>
        <v>0</v>
      </c>
      <c r="AA19" s="175"/>
      <c r="AB19" s="175"/>
      <c r="AC19" s="175"/>
      <c r="AD19" s="175"/>
      <c r="AE19" s="223"/>
      <c r="AF19" s="175"/>
      <c r="AG19" s="175"/>
      <c r="AH19" s="175"/>
      <c r="AI19" s="175"/>
      <c r="AJ19" s="175"/>
      <c r="AK19" s="175"/>
      <c r="AL19" s="175"/>
      <c r="AM19" s="175"/>
      <c r="AN19" s="175"/>
      <c r="AO19" s="175"/>
      <c r="AP19" s="175"/>
      <c r="AQ19" s="175"/>
      <c r="AR19" s="175"/>
      <c r="AS19" s="175"/>
      <c r="AT19" s="175"/>
      <c r="AU19" s="175"/>
      <c r="AV19" s="223"/>
      <c r="AW19" s="223"/>
    </row>
    <row r="20" spans="2:49" x14ac:dyDescent="0.45">
      <c r="B20" s="18"/>
      <c r="C20" s="109"/>
      <c r="D20" s="17"/>
      <c r="E20" s="5"/>
      <c r="F20" s="5"/>
      <c r="G20" s="5"/>
      <c r="H20" s="5"/>
      <c r="I20" s="5"/>
      <c r="J20" s="5"/>
      <c r="K20" s="5"/>
      <c r="L20" s="5"/>
      <c r="M20" s="5"/>
      <c r="N20" s="5"/>
      <c r="O20" s="5"/>
      <c r="P20" s="5"/>
      <c r="Q20" s="11"/>
      <c r="R20" s="17"/>
      <c r="S20" s="17"/>
      <c r="T20" s="17"/>
      <c r="U20" s="17"/>
      <c r="Z20" s="50">
        <f t="shared" si="2"/>
        <v>0</v>
      </c>
      <c r="AA20" s="175"/>
      <c r="AB20" s="175"/>
      <c r="AC20" s="175"/>
      <c r="AD20" s="175"/>
      <c r="AE20" s="175"/>
      <c r="AF20" s="175"/>
      <c r="AG20" s="175"/>
      <c r="AH20" s="175"/>
      <c r="AI20" s="175"/>
      <c r="AJ20" s="175"/>
      <c r="AK20" s="175"/>
      <c r="AL20" s="175"/>
      <c r="AM20" s="175"/>
      <c r="AN20" s="175"/>
      <c r="AO20" s="175"/>
      <c r="AP20" s="175"/>
      <c r="AQ20" s="175"/>
      <c r="AR20" s="175"/>
      <c r="AS20" s="175"/>
      <c r="AT20" s="175"/>
      <c r="AU20" s="175"/>
      <c r="AV20" s="223"/>
      <c r="AW20" s="223"/>
    </row>
    <row r="21" spans="2:49" x14ac:dyDescent="0.45">
      <c r="B21" s="18"/>
      <c r="C21" s="109"/>
      <c r="D21" s="17"/>
      <c r="E21" s="5"/>
      <c r="F21" s="5"/>
      <c r="G21" s="5"/>
      <c r="H21" s="5"/>
      <c r="I21" s="5"/>
      <c r="J21" s="5"/>
      <c r="K21" s="5"/>
      <c r="L21" s="5"/>
      <c r="M21" s="5"/>
      <c r="N21" s="5"/>
      <c r="O21" s="5"/>
      <c r="P21" s="5"/>
      <c r="Q21" s="11"/>
      <c r="R21" s="17"/>
      <c r="S21" s="17"/>
      <c r="T21" s="17"/>
      <c r="U21" s="17"/>
      <c r="Z21" s="50">
        <f t="shared" si="2"/>
        <v>0</v>
      </c>
      <c r="AA21" s="175"/>
      <c r="AB21" s="175"/>
      <c r="AC21" s="175"/>
      <c r="AD21" s="175"/>
      <c r="AE21" s="175"/>
      <c r="AF21" s="175"/>
      <c r="AG21" s="175"/>
      <c r="AH21" s="175"/>
      <c r="AI21" s="175"/>
      <c r="AJ21" s="175"/>
      <c r="AK21" s="175"/>
      <c r="AL21" s="175"/>
      <c r="AM21" s="175"/>
      <c r="AN21" s="175"/>
      <c r="AO21" s="175"/>
      <c r="AP21" s="175"/>
      <c r="AQ21" s="175"/>
      <c r="AR21" s="175"/>
      <c r="AS21" s="175"/>
      <c r="AT21" s="175"/>
      <c r="AU21" s="175"/>
      <c r="AV21" s="223"/>
      <c r="AW21" s="223"/>
    </row>
    <row r="22" spans="2:49" x14ac:dyDescent="0.45">
      <c r="B22" s="18"/>
      <c r="C22" s="109"/>
      <c r="D22" s="17"/>
      <c r="E22" s="5"/>
      <c r="F22" s="5"/>
      <c r="G22" s="5"/>
      <c r="H22" s="5"/>
      <c r="I22" s="5"/>
      <c r="J22" s="5"/>
      <c r="K22" s="5"/>
      <c r="L22" s="5"/>
      <c r="M22" s="5"/>
      <c r="N22" s="5"/>
      <c r="O22" s="5"/>
      <c r="P22" s="5"/>
      <c r="Q22" s="11"/>
      <c r="R22" s="17"/>
      <c r="S22" s="17"/>
      <c r="T22" s="17"/>
      <c r="U22" s="17"/>
      <c r="Z22" s="50">
        <f t="shared" si="2"/>
        <v>0</v>
      </c>
      <c r="AA22" s="175"/>
      <c r="AB22" s="175"/>
      <c r="AC22" s="175"/>
      <c r="AD22" s="175"/>
      <c r="AE22" s="175"/>
      <c r="AF22" s="175"/>
      <c r="AG22" s="175"/>
      <c r="AH22" s="175"/>
      <c r="AI22" s="175"/>
      <c r="AJ22" s="175"/>
      <c r="AK22" s="175"/>
      <c r="AL22" s="175"/>
      <c r="AM22" s="175"/>
      <c r="AN22" s="175"/>
      <c r="AO22" s="175"/>
      <c r="AP22" s="175"/>
      <c r="AQ22" s="175"/>
      <c r="AR22" s="175"/>
      <c r="AS22" s="175"/>
      <c r="AT22" s="175"/>
      <c r="AU22" s="175"/>
      <c r="AV22" s="223"/>
      <c r="AW22" s="223"/>
    </row>
    <row r="23" spans="2:49" x14ac:dyDescent="0.45">
      <c r="B23" s="18"/>
      <c r="C23" s="109"/>
      <c r="D23" s="17"/>
      <c r="E23" s="5"/>
      <c r="F23" s="5"/>
      <c r="G23" s="5"/>
      <c r="H23" s="5"/>
      <c r="I23" s="5"/>
      <c r="J23" s="5"/>
      <c r="K23" s="5"/>
      <c r="L23" s="5"/>
      <c r="M23" s="5"/>
      <c r="N23" s="5"/>
      <c r="O23" s="5"/>
      <c r="P23" s="5"/>
      <c r="Q23" s="11"/>
      <c r="R23" s="17"/>
      <c r="S23" s="17"/>
      <c r="T23" s="17"/>
      <c r="U23" s="17"/>
      <c r="Z23" s="50">
        <f t="shared" si="2"/>
        <v>0</v>
      </c>
      <c r="AA23" s="175"/>
      <c r="AB23" s="175"/>
      <c r="AC23" s="175"/>
      <c r="AD23" s="175"/>
      <c r="AE23" s="175"/>
      <c r="AF23" s="175"/>
      <c r="AG23" s="175"/>
      <c r="AH23" s="175"/>
      <c r="AI23" s="175"/>
      <c r="AJ23" s="175"/>
      <c r="AK23" s="175"/>
      <c r="AL23" s="175"/>
      <c r="AM23" s="175"/>
      <c r="AN23" s="175"/>
      <c r="AO23" s="175"/>
      <c r="AP23" s="175"/>
      <c r="AQ23" s="175"/>
      <c r="AR23" s="175"/>
      <c r="AS23" s="175"/>
      <c r="AT23" s="175"/>
      <c r="AU23" s="175"/>
      <c r="AV23" s="223"/>
      <c r="AW23" s="223"/>
    </row>
    <row r="24" spans="2:49" x14ac:dyDescent="0.45">
      <c r="B24" s="18"/>
      <c r="C24" s="109"/>
      <c r="D24" s="17"/>
      <c r="E24" s="5"/>
      <c r="F24" s="5"/>
      <c r="G24" s="5"/>
      <c r="H24" s="5"/>
      <c r="I24" s="5"/>
      <c r="J24" s="5"/>
      <c r="K24" s="5"/>
      <c r="L24" s="5"/>
      <c r="M24" s="5"/>
      <c r="N24" s="5"/>
      <c r="O24" s="5"/>
      <c r="P24" s="5"/>
      <c r="Q24" s="11"/>
      <c r="R24" s="17"/>
      <c r="S24" s="17"/>
      <c r="T24" s="17"/>
      <c r="U24" s="17"/>
      <c r="Z24" s="50">
        <f t="shared" si="2"/>
        <v>0</v>
      </c>
      <c r="AA24" s="175"/>
      <c r="AB24" s="175"/>
      <c r="AC24" s="175"/>
      <c r="AD24" s="175"/>
      <c r="AE24" s="223"/>
      <c r="AF24" s="175"/>
      <c r="AG24" s="175"/>
      <c r="AH24" s="175"/>
      <c r="AI24" s="175"/>
      <c r="AJ24" s="175"/>
      <c r="AK24" s="175"/>
      <c r="AL24" s="175"/>
      <c r="AM24" s="223"/>
      <c r="AN24" s="175"/>
      <c r="AO24" s="175"/>
      <c r="AP24" s="175"/>
      <c r="AQ24" s="175"/>
      <c r="AR24" s="175"/>
      <c r="AS24" s="175"/>
      <c r="AT24" s="175"/>
      <c r="AU24" s="175"/>
      <c r="AV24" s="223"/>
      <c r="AW24" s="223"/>
    </row>
    <row r="25" spans="2:49" x14ac:dyDescent="0.45">
      <c r="B25" s="18"/>
      <c r="C25" s="109"/>
      <c r="D25" s="17"/>
      <c r="E25" s="5"/>
      <c r="F25" s="5"/>
      <c r="G25" s="5"/>
      <c r="H25" s="5"/>
      <c r="I25" s="5"/>
      <c r="J25" s="5"/>
      <c r="K25" s="5"/>
      <c r="L25" s="5"/>
      <c r="M25" s="5"/>
      <c r="N25" s="5"/>
      <c r="O25" s="5"/>
      <c r="P25" s="5"/>
      <c r="Q25" s="11"/>
      <c r="R25" s="17"/>
      <c r="S25" s="17"/>
      <c r="T25" s="17"/>
      <c r="U25" s="17"/>
      <c r="Z25" s="50">
        <f t="shared" si="2"/>
        <v>0</v>
      </c>
      <c r="AA25" s="175"/>
      <c r="AB25" s="175"/>
      <c r="AC25" s="175"/>
      <c r="AD25" s="175"/>
      <c r="AE25" s="175"/>
      <c r="AF25" s="175"/>
      <c r="AG25" s="175"/>
      <c r="AH25" s="175"/>
      <c r="AI25" s="175"/>
      <c r="AJ25" s="175"/>
      <c r="AK25" s="175"/>
      <c r="AL25" s="175"/>
      <c r="AM25" s="223"/>
      <c r="AN25" s="175"/>
      <c r="AO25" s="175"/>
      <c r="AP25" s="175"/>
      <c r="AQ25" s="175"/>
      <c r="AR25" s="175"/>
      <c r="AS25" s="175"/>
      <c r="AT25" s="175"/>
      <c r="AU25" s="175"/>
      <c r="AV25" s="223"/>
      <c r="AW25" s="223"/>
    </row>
    <row r="26" spans="2:49" x14ac:dyDescent="0.45">
      <c r="B26" s="18"/>
      <c r="C26" s="109"/>
      <c r="D26" s="17"/>
      <c r="E26" s="5"/>
      <c r="F26" s="5"/>
      <c r="G26" s="5"/>
      <c r="H26" s="5"/>
      <c r="I26" s="5"/>
      <c r="J26" s="5"/>
      <c r="K26" s="5"/>
      <c r="L26" s="5"/>
      <c r="M26" s="5"/>
      <c r="N26" s="5"/>
      <c r="O26" s="5"/>
      <c r="P26" s="5"/>
      <c r="Q26" s="11"/>
      <c r="R26" s="17"/>
      <c r="S26" s="17"/>
      <c r="T26" s="17"/>
      <c r="U26" s="17"/>
      <c r="Z26" s="50">
        <f t="shared" si="2"/>
        <v>0</v>
      </c>
      <c r="AA26" s="175"/>
      <c r="AB26" s="175"/>
      <c r="AC26" s="175"/>
      <c r="AD26" s="175"/>
      <c r="AE26" s="175"/>
      <c r="AF26" s="175"/>
      <c r="AG26" s="175"/>
      <c r="AH26" s="175"/>
      <c r="AI26" s="175"/>
      <c r="AJ26" s="175"/>
      <c r="AK26" s="175"/>
      <c r="AL26" s="223"/>
      <c r="AM26" s="223"/>
      <c r="AN26" s="175"/>
      <c r="AO26" s="175"/>
      <c r="AP26" s="175"/>
      <c r="AQ26" s="175"/>
      <c r="AR26" s="175"/>
      <c r="AS26" s="175"/>
      <c r="AT26" s="175"/>
      <c r="AU26" s="175"/>
      <c r="AV26" s="223"/>
      <c r="AW26" s="223"/>
    </row>
    <row r="27" spans="2:49" x14ac:dyDescent="0.45">
      <c r="B27" s="18"/>
      <c r="C27" s="109"/>
      <c r="D27" s="17"/>
      <c r="E27" s="5"/>
      <c r="F27" s="5"/>
      <c r="G27" s="5"/>
      <c r="H27" s="5"/>
      <c r="I27" s="5"/>
      <c r="J27" s="5"/>
      <c r="K27" s="5"/>
      <c r="L27" s="5"/>
      <c r="M27" s="5"/>
      <c r="N27" s="5"/>
      <c r="O27" s="5"/>
      <c r="P27" s="5"/>
      <c r="Q27" s="11"/>
      <c r="R27" s="17"/>
      <c r="S27" s="17"/>
      <c r="T27" s="17"/>
      <c r="U27" s="17"/>
      <c r="Z27" s="50">
        <f t="shared" si="2"/>
        <v>0</v>
      </c>
      <c r="AA27" s="175"/>
      <c r="AB27" s="175"/>
      <c r="AC27" s="175"/>
      <c r="AD27" s="175"/>
      <c r="AE27" s="223"/>
      <c r="AF27" s="175"/>
      <c r="AG27" s="175"/>
      <c r="AH27" s="175"/>
      <c r="AI27" s="175"/>
      <c r="AJ27" s="175"/>
      <c r="AK27" s="175"/>
      <c r="AL27" s="175"/>
      <c r="AM27" s="175"/>
      <c r="AN27" s="175"/>
      <c r="AO27" s="175"/>
      <c r="AP27" s="175"/>
      <c r="AQ27" s="175"/>
      <c r="AR27" s="175"/>
      <c r="AS27" s="175"/>
      <c r="AT27" s="175"/>
      <c r="AU27" s="175"/>
      <c r="AV27" s="223"/>
      <c r="AW27" s="223"/>
    </row>
    <row r="28" spans="2:49" x14ac:dyDescent="0.45">
      <c r="B28" s="18"/>
      <c r="C28" s="109"/>
      <c r="D28" s="17"/>
      <c r="E28" s="5"/>
      <c r="F28" s="5"/>
      <c r="G28" s="5"/>
      <c r="H28" s="5"/>
      <c r="I28" s="5"/>
      <c r="J28" s="5"/>
      <c r="K28" s="5"/>
      <c r="L28" s="5"/>
      <c r="M28" s="5"/>
      <c r="N28" s="5"/>
      <c r="O28" s="5"/>
      <c r="P28" s="5"/>
      <c r="Q28" s="11"/>
      <c r="R28" s="17"/>
      <c r="S28" s="17"/>
      <c r="T28" s="17"/>
      <c r="U28" s="17"/>
      <c r="Z28" s="50">
        <f t="shared" si="2"/>
        <v>0</v>
      </c>
      <c r="AA28" s="175"/>
      <c r="AB28" s="175"/>
      <c r="AC28" s="175"/>
      <c r="AD28" s="175"/>
      <c r="AE28" s="175"/>
      <c r="AF28" s="175"/>
      <c r="AG28" s="175"/>
      <c r="AH28" s="175"/>
      <c r="AI28" s="175"/>
      <c r="AJ28" s="175"/>
      <c r="AK28" s="175"/>
      <c r="AL28" s="175"/>
      <c r="AM28" s="175"/>
      <c r="AN28" s="175"/>
      <c r="AO28" s="175"/>
      <c r="AP28" s="175"/>
      <c r="AQ28" s="175"/>
      <c r="AR28" s="175"/>
      <c r="AS28" s="175"/>
      <c r="AT28" s="175"/>
      <c r="AU28" s="175"/>
      <c r="AV28" s="223"/>
      <c r="AW28" s="223"/>
    </row>
    <row r="29" spans="2:49" x14ac:dyDescent="0.45">
      <c r="B29" s="18"/>
      <c r="C29" s="109"/>
      <c r="D29" s="17"/>
      <c r="E29" s="5"/>
      <c r="F29" s="5"/>
      <c r="G29" s="5"/>
      <c r="H29" s="5"/>
      <c r="I29" s="5"/>
      <c r="J29" s="5"/>
      <c r="K29" s="5"/>
      <c r="L29" s="5"/>
      <c r="M29" s="5"/>
      <c r="N29" s="5"/>
      <c r="O29" s="5"/>
      <c r="P29" s="5"/>
      <c r="Q29" s="11"/>
      <c r="R29" s="17"/>
      <c r="S29" s="17"/>
      <c r="T29" s="17"/>
      <c r="U29" s="17"/>
      <c r="Z29" s="50">
        <f t="shared" si="2"/>
        <v>0</v>
      </c>
      <c r="AA29" s="175"/>
      <c r="AB29" s="175"/>
      <c r="AC29" s="175"/>
      <c r="AD29" s="175"/>
      <c r="AE29" s="175"/>
      <c r="AF29" s="175"/>
      <c r="AG29" s="175"/>
      <c r="AH29" s="175"/>
      <c r="AI29" s="175"/>
      <c r="AJ29" s="175"/>
      <c r="AK29" s="175"/>
      <c r="AL29" s="175"/>
      <c r="AM29" s="175"/>
      <c r="AN29" s="175"/>
      <c r="AO29" s="175"/>
      <c r="AP29" s="175"/>
      <c r="AQ29" s="175"/>
      <c r="AR29" s="175"/>
      <c r="AS29" s="175"/>
      <c r="AT29" s="175"/>
      <c r="AU29" s="175"/>
      <c r="AV29" s="223"/>
      <c r="AW29" s="223"/>
    </row>
    <row r="30" spans="2:49" x14ac:dyDescent="0.45">
      <c r="B30" s="18"/>
      <c r="C30" s="109"/>
      <c r="D30" s="17"/>
      <c r="E30" s="5"/>
      <c r="F30" s="5"/>
      <c r="G30" s="5"/>
      <c r="H30" s="5"/>
      <c r="I30" s="5"/>
      <c r="J30" s="5"/>
      <c r="K30" s="5"/>
      <c r="L30" s="5"/>
      <c r="M30" s="5"/>
      <c r="N30" s="5"/>
      <c r="O30" s="5"/>
      <c r="P30" s="5"/>
      <c r="Q30" s="11"/>
      <c r="R30" s="17"/>
      <c r="S30" s="17"/>
      <c r="T30" s="17"/>
      <c r="U30" s="17"/>
      <c r="Z30" s="50">
        <f t="shared" si="2"/>
        <v>0</v>
      </c>
      <c r="AA30" s="175"/>
      <c r="AB30" s="175"/>
      <c r="AC30" s="175"/>
      <c r="AD30" s="175"/>
      <c r="AE30" s="223"/>
      <c r="AF30" s="175"/>
      <c r="AG30" s="175"/>
      <c r="AH30" s="175"/>
      <c r="AI30" s="175"/>
      <c r="AJ30" s="175"/>
      <c r="AK30" s="175"/>
      <c r="AL30" s="175"/>
      <c r="AM30" s="175"/>
      <c r="AN30" s="175"/>
      <c r="AO30" s="175"/>
      <c r="AP30" s="175"/>
      <c r="AQ30" s="175"/>
      <c r="AR30" s="175"/>
      <c r="AS30" s="175"/>
      <c r="AT30" s="175"/>
      <c r="AU30" s="175"/>
      <c r="AV30" s="223"/>
      <c r="AW30" s="223"/>
    </row>
    <row r="31" spans="2:49" x14ac:dyDescent="0.45">
      <c r="B31" s="18"/>
      <c r="C31" s="109"/>
      <c r="D31" s="17"/>
      <c r="E31" s="5"/>
      <c r="F31" s="5"/>
      <c r="G31" s="5"/>
      <c r="H31" s="5"/>
      <c r="I31" s="5"/>
      <c r="J31" s="5"/>
      <c r="K31" s="5"/>
      <c r="L31" s="5"/>
      <c r="M31" s="5"/>
      <c r="N31" s="5"/>
      <c r="O31" s="5"/>
      <c r="P31" s="5"/>
      <c r="Q31" s="11"/>
      <c r="R31" s="17"/>
      <c r="S31" s="17"/>
      <c r="T31" s="17"/>
      <c r="U31" s="17"/>
      <c r="Z31" s="50">
        <f t="shared" si="2"/>
        <v>0</v>
      </c>
      <c r="AA31" s="175"/>
      <c r="AB31" s="175"/>
      <c r="AC31" s="175"/>
      <c r="AD31" s="175"/>
      <c r="AE31" s="175"/>
      <c r="AF31" s="175"/>
      <c r="AG31" s="175"/>
      <c r="AH31" s="175"/>
      <c r="AI31" s="175"/>
      <c r="AJ31" s="175"/>
      <c r="AK31" s="175"/>
      <c r="AL31" s="175"/>
      <c r="AM31" s="175"/>
      <c r="AN31" s="175"/>
      <c r="AO31" s="175"/>
      <c r="AP31" s="175"/>
      <c r="AQ31" s="175"/>
      <c r="AR31" s="175"/>
      <c r="AS31" s="175"/>
      <c r="AT31" s="175"/>
      <c r="AU31" s="175"/>
      <c r="AV31" s="175"/>
      <c r="AW31" s="175"/>
    </row>
    <row r="32" spans="2:49" x14ac:dyDescent="0.45">
      <c r="B32" s="18"/>
      <c r="C32" s="109"/>
      <c r="D32" s="17"/>
      <c r="E32" s="5"/>
      <c r="F32" s="5"/>
      <c r="G32" s="5"/>
      <c r="H32" s="5"/>
      <c r="I32" s="5"/>
      <c r="J32" s="5"/>
      <c r="K32" s="5"/>
      <c r="L32" s="5"/>
      <c r="M32" s="5"/>
      <c r="N32" s="5"/>
      <c r="O32" s="5"/>
      <c r="P32" s="5"/>
      <c r="Q32" s="11"/>
      <c r="R32" s="17"/>
      <c r="S32" s="17"/>
      <c r="T32" s="17"/>
      <c r="U32" s="17"/>
      <c r="Z32" s="50">
        <f t="shared" si="2"/>
        <v>0</v>
      </c>
      <c r="AA32" s="175"/>
      <c r="AB32" s="175"/>
      <c r="AC32" s="175"/>
      <c r="AD32" s="175"/>
      <c r="AE32" s="175"/>
      <c r="AF32" s="175"/>
      <c r="AG32" s="175"/>
      <c r="AH32" s="175"/>
      <c r="AI32" s="175"/>
      <c r="AJ32" s="175"/>
      <c r="AK32" s="175"/>
      <c r="AL32" s="175"/>
      <c r="AM32" s="175"/>
      <c r="AN32" s="175"/>
      <c r="AO32" s="175"/>
      <c r="AP32" s="175"/>
      <c r="AQ32" s="175"/>
      <c r="AR32" s="175"/>
      <c r="AS32" s="175"/>
      <c r="AT32" s="175"/>
      <c r="AU32" s="175"/>
      <c r="AV32" s="175"/>
      <c r="AW32" s="175"/>
    </row>
    <row r="33" spans="2:49" x14ac:dyDescent="0.45">
      <c r="B33" s="18"/>
      <c r="C33" s="109"/>
      <c r="D33" s="17"/>
      <c r="E33" s="5"/>
      <c r="F33" s="5"/>
      <c r="G33" s="5"/>
      <c r="H33" s="5"/>
      <c r="I33" s="5"/>
      <c r="J33" s="5"/>
      <c r="K33" s="5"/>
      <c r="L33" s="5"/>
      <c r="M33" s="5"/>
      <c r="N33" s="5"/>
      <c r="O33" s="5"/>
      <c r="P33" s="5"/>
      <c r="Q33" s="11"/>
      <c r="R33" s="17"/>
      <c r="S33" s="17"/>
      <c r="T33" s="17"/>
      <c r="U33" s="17"/>
      <c r="Z33" s="50">
        <f t="shared" si="2"/>
        <v>0</v>
      </c>
      <c r="AA33" s="175"/>
      <c r="AB33" s="175"/>
      <c r="AC33" s="175"/>
      <c r="AD33" s="175"/>
      <c r="AE33" s="175"/>
      <c r="AF33" s="175"/>
      <c r="AG33" s="175"/>
      <c r="AH33" s="175"/>
      <c r="AI33" s="175"/>
      <c r="AJ33" s="175"/>
      <c r="AK33" s="175"/>
      <c r="AL33" s="175"/>
      <c r="AM33" s="175"/>
      <c r="AN33" s="175"/>
      <c r="AO33" s="175"/>
      <c r="AP33" s="175"/>
      <c r="AQ33" s="175"/>
      <c r="AR33" s="175"/>
      <c r="AS33" s="175"/>
      <c r="AT33" s="175"/>
      <c r="AU33" s="175"/>
      <c r="AV33" s="175"/>
      <c r="AW33" s="175"/>
    </row>
    <row r="34" spans="2:49" x14ac:dyDescent="0.45">
      <c r="B34" s="18"/>
      <c r="C34" s="109"/>
      <c r="D34" s="17"/>
      <c r="E34" s="5"/>
      <c r="F34" s="5"/>
      <c r="G34" s="5"/>
      <c r="H34" s="5"/>
      <c r="I34" s="5"/>
      <c r="J34" s="5"/>
      <c r="K34" s="5"/>
      <c r="L34" s="5"/>
      <c r="M34" s="5"/>
      <c r="N34" s="5"/>
      <c r="O34" s="5"/>
      <c r="P34" s="5"/>
      <c r="Q34" s="11"/>
      <c r="R34" s="17"/>
      <c r="S34" s="17"/>
      <c r="T34" s="17"/>
      <c r="U34" s="17"/>
      <c r="Z34" s="50">
        <f t="shared" si="2"/>
        <v>0</v>
      </c>
      <c r="AA34" s="175"/>
      <c r="AB34" s="175"/>
      <c r="AC34" s="175"/>
      <c r="AD34" s="175"/>
      <c r="AE34" s="175"/>
      <c r="AF34" s="175"/>
      <c r="AG34" s="175"/>
      <c r="AH34" s="175"/>
      <c r="AI34" s="175"/>
      <c r="AJ34" s="175"/>
      <c r="AK34" s="175"/>
      <c r="AL34" s="175"/>
      <c r="AM34" s="175"/>
      <c r="AN34" s="175"/>
      <c r="AO34" s="175"/>
      <c r="AP34" s="175"/>
      <c r="AQ34" s="175"/>
      <c r="AR34" s="175"/>
      <c r="AS34" s="175"/>
      <c r="AT34" s="175"/>
      <c r="AU34" s="175"/>
      <c r="AV34" s="175"/>
      <c r="AW34" s="175"/>
    </row>
    <row r="35" spans="2:49" x14ac:dyDescent="0.45">
      <c r="B35" s="18"/>
      <c r="C35" s="109"/>
      <c r="D35" s="17"/>
      <c r="E35" s="5"/>
      <c r="F35" s="5"/>
      <c r="G35" s="5"/>
      <c r="H35" s="5"/>
      <c r="I35" s="5"/>
      <c r="J35" s="5"/>
      <c r="K35" s="5"/>
      <c r="L35" s="5"/>
      <c r="M35" s="5"/>
      <c r="N35" s="5"/>
      <c r="O35" s="5"/>
      <c r="P35" s="5"/>
      <c r="Q35" s="11"/>
      <c r="R35" s="17"/>
      <c r="S35" s="17"/>
      <c r="T35" s="17"/>
      <c r="U35" s="17"/>
      <c r="Z35" s="50">
        <f t="shared" si="2"/>
        <v>0</v>
      </c>
      <c r="AA35" s="175"/>
      <c r="AB35" s="175"/>
      <c r="AC35" s="175"/>
      <c r="AD35" s="175"/>
      <c r="AE35" s="175"/>
      <c r="AF35" s="175"/>
      <c r="AG35" s="175"/>
      <c r="AH35" s="175"/>
      <c r="AI35" s="175"/>
      <c r="AJ35" s="175"/>
      <c r="AK35" s="175"/>
      <c r="AL35" s="175"/>
      <c r="AM35" s="175"/>
      <c r="AN35" s="175"/>
      <c r="AO35" s="175"/>
      <c r="AP35" s="175"/>
      <c r="AQ35" s="175"/>
      <c r="AR35" s="175"/>
      <c r="AS35" s="175"/>
      <c r="AT35" s="175"/>
      <c r="AU35" s="175"/>
      <c r="AV35" s="175"/>
      <c r="AW35" s="175"/>
    </row>
    <row r="36" spans="2:49" x14ac:dyDescent="0.45">
      <c r="B36" s="18"/>
      <c r="C36" s="109"/>
      <c r="D36" s="17"/>
      <c r="E36" s="5"/>
      <c r="F36" s="5"/>
      <c r="G36" s="5"/>
      <c r="H36" s="5"/>
      <c r="I36" s="5"/>
      <c r="J36" s="5"/>
      <c r="K36" s="5"/>
      <c r="L36" s="5"/>
      <c r="M36" s="5"/>
      <c r="N36" s="5"/>
      <c r="O36" s="5"/>
      <c r="P36" s="5"/>
      <c r="Q36" s="11"/>
      <c r="R36" s="17"/>
      <c r="S36" s="17"/>
      <c r="T36" s="17"/>
      <c r="U36" s="17"/>
      <c r="Z36" s="50">
        <f t="shared" si="2"/>
        <v>0</v>
      </c>
      <c r="AA36" s="175"/>
      <c r="AB36" s="175"/>
      <c r="AC36" s="175"/>
      <c r="AD36" s="175"/>
      <c r="AE36" s="175"/>
      <c r="AF36" s="175"/>
      <c r="AG36" s="175"/>
      <c r="AH36" s="175"/>
      <c r="AI36" s="175"/>
      <c r="AJ36" s="175"/>
      <c r="AK36" s="175"/>
      <c r="AL36" s="175"/>
      <c r="AM36" s="175"/>
      <c r="AN36" s="175"/>
      <c r="AO36" s="175"/>
      <c r="AP36" s="175"/>
      <c r="AQ36" s="175"/>
      <c r="AR36" s="175"/>
      <c r="AS36" s="175"/>
      <c r="AT36" s="175"/>
      <c r="AU36" s="175"/>
      <c r="AV36" s="175"/>
      <c r="AW36" s="175"/>
    </row>
    <row r="37" spans="2:49" x14ac:dyDescent="0.45">
      <c r="B37" s="18"/>
      <c r="C37" s="109"/>
      <c r="D37" s="17"/>
      <c r="E37" s="5"/>
      <c r="F37" s="5"/>
      <c r="G37" s="5"/>
      <c r="H37" s="5"/>
      <c r="I37" s="5"/>
      <c r="J37" s="5"/>
      <c r="K37" s="5"/>
      <c r="L37" s="5"/>
      <c r="M37" s="5"/>
      <c r="N37" s="5"/>
      <c r="O37" s="5"/>
      <c r="P37" s="5"/>
      <c r="Q37" s="11"/>
      <c r="R37" s="17"/>
      <c r="S37" s="17"/>
      <c r="T37" s="17"/>
      <c r="U37" s="17"/>
      <c r="Z37" s="50">
        <f t="shared" si="2"/>
        <v>0</v>
      </c>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row>
    <row r="38" spans="2:49" x14ac:dyDescent="0.45">
      <c r="B38" s="18"/>
      <c r="C38" s="109"/>
      <c r="D38" s="17"/>
      <c r="E38" s="5"/>
      <c r="F38" s="5"/>
      <c r="G38" s="5"/>
      <c r="H38" s="5"/>
      <c r="I38" s="5"/>
      <c r="J38" s="5"/>
      <c r="K38" s="5"/>
      <c r="L38" s="5"/>
      <c r="M38" s="5"/>
      <c r="N38" s="5"/>
      <c r="O38" s="5"/>
      <c r="P38" s="5"/>
      <c r="Q38" s="11"/>
      <c r="R38" s="17"/>
      <c r="S38" s="17"/>
      <c r="T38" s="17"/>
      <c r="U38" s="17"/>
      <c r="Z38" s="50">
        <f t="shared" si="2"/>
        <v>0</v>
      </c>
      <c r="AA38" s="175"/>
      <c r="AB38" s="175"/>
      <c r="AC38" s="175"/>
      <c r="AD38" s="175"/>
      <c r="AE38" s="175"/>
      <c r="AF38" s="175"/>
      <c r="AG38" s="175"/>
      <c r="AH38" s="175"/>
      <c r="AI38" s="175"/>
      <c r="AJ38" s="175"/>
      <c r="AK38" s="175"/>
      <c r="AL38" s="175"/>
      <c r="AM38" s="175"/>
      <c r="AN38" s="175"/>
      <c r="AO38" s="175"/>
      <c r="AP38" s="175"/>
      <c r="AQ38" s="175"/>
      <c r="AR38" s="175"/>
      <c r="AS38" s="175"/>
      <c r="AT38" s="175"/>
      <c r="AU38" s="175"/>
      <c r="AV38" s="175"/>
      <c r="AW38" s="175"/>
    </row>
    <row r="39" spans="2:49" x14ac:dyDescent="0.45">
      <c r="B39" s="18"/>
      <c r="C39" s="109"/>
      <c r="D39" s="17"/>
      <c r="E39" s="5"/>
      <c r="F39" s="5"/>
      <c r="G39" s="5"/>
      <c r="H39" s="5"/>
      <c r="I39" s="5"/>
      <c r="J39" s="5"/>
      <c r="K39" s="5"/>
      <c r="L39" s="5"/>
      <c r="M39" s="5"/>
      <c r="N39" s="5"/>
      <c r="O39" s="5"/>
      <c r="P39" s="5"/>
      <c r="Q39" s="11"/>
      <c r="R39" s="17"/>
      <c r="S39" s="17"/>
      <c r="T39" s="17"/>
      <c r="U39" s="17"/>
      <c r="AA39" s="175"/>
      <c r="AB39" s="175"/>
      <c r="AC39" s="175"/>
      <c r="AD39" s="175"/>
      <c r="AE39" s="175"/>
      <c r="AF39" s="175"/>
      <c r="AG39" s="175"/>
      <c r="AH39" s="175"/>
      <c r="AI39" s="175"/>
      <c r="AJ39" s="175"/>
      <c r="AK39" s="175"/>
      <c r="AL39" s="175"/>
      <c r="AM39" s="175"/>
      <c r="AN39" s="175"/>
      <c r="AO39" s="175"/>
      <c r="AP39" s="175"/>
      <c r="AQ39" s="175"/>
      <c r="AR39" s="175"/>
      <c r="AS39" s="175"/>
      <c r="AT39" s="175"/>
      <c r="AU39" s="175"/>
      <c r="AV39" s="175"/>
      <c r="AW39" s="175"/>
    </row>
    <row r="40" spans="2:49" x14ac:dyDescent="0.45">
      <c r="B40" s="18"/>
      <c r="C40" s="109"/>
      <c r="D40" s="17"/>
      <c r="E40" s="5"/>
      <c r="F40" s="5"/>
      <c r="G40" s="5"/>
      <c r="H40" s="5"/>
      <c r="I40" s="5"/>
      <c r="J40" s="5"/>
      <c r="K40" s="5"/>
      <c r="L40" s="5"/>
      <c r="M40" s="5"/>
      <c r="N40" s="5"/>
      <c r="O40" s="5"/>
      <c r="P40" s="5"/>
      <c r="Q40" s="11"/>
      <c r="R40" s="17"/>
      <c r="S40" s="17"/>
      <c r="T40" s="17"/>
      <c r="U40" s="17"/>
      <c r="AA40" s="175"/>
      <c r="AB40" s="175"/>
      <c r="AC40" s="175"/>
      <c r="AD40" s="175"/>
      <c r="AE40" s="175"/>
      <c r="AF40" s="175"/>
      <c r="AG40" s="175"/>
      <c r="AH40" s="175"/>
      <c r="AI40" s="175"/>
      <c r="AJ40" s="175"/>
      <c r="AK40" s="175"/>
      <c r="AL40" s="175"/>
      <c r="AM40" s="175"/>
      <c r="AN40" s="175"/>
      <c r="AO40" s="175"/>
      <c r="AP40" s="175"/>
      <c r="AQ40" s="175"/>
      <c r="AR40" s="175"/>
      <c r="AS40" s="175"/>
      <c r="AT40" s="175"/>
      <c r="AU40" s="175"/>
      <c r="AV40" s="175"/>
      <c r="AW40" s="175"/>
    </row>
    <row r="41" spans="2:49" x14ac:dyDescent="0.45">
      <c r="B41" s="18"/>
      <c r="C41" s="109"/>
      <c r="D41" s="17"/>
      <c r="E41" s="5"/>
      <c r="F41" s="5"/>
      <c r="G41" s="5"/>
      <c r="H41" s="5"/>
      <c r="I41" s="5"/>
      <c r="J41" s="5"/>
      <c r="K41" s="5"/>
      <c r="L41" s="5"/>
      <c r="M41" s="5"/>
      <c r="N41" s="5"/>
      <c r="O41" s="5"/>
      <c r="P41" s="5"/>
      <c r="Q41" s="11"/>
      <c r="R41" s="17"/>
      <c r="S41" s="17"/>
      <c r="T41" s="17"/>
      <c r="U41" s="17"/>
      <c r="AA41" s="175"/>
      <c r="AB41" s="175"/>
      <c r="AC41" s="175"/>
      <c r="AD41" s="175"/>
      <c r="AE41" s="175"/>
      <c r="AF41" s="175"/>
      <c r="AG41" s="175"/>
      <c r="AH41" s="175"/>
      <c r="AI41" s="175"/>
      <c r="AJ41" s="175"/>
      <c r="AK41" s="175"/>
      <c r="AL41" s="175"/>
      <c r="AM41" s="175"/>
      <c r="AN41" s="175"/>
      <c r="AO41" s="175"/>
      <c r="AP41" s="175"/>
      <c r="AQ41" s="175"/>
      <c r="AR41" s="175"/>
      <c r="AS41" s="175"/>
      <c r="AT41" s="175"/>
      <c r="AU41" s="175"/>
      <c r="AV41" s="175"/>
      <c r="AW41" s="175"/>
    </row>
    <row r="42" spans="2:49" x14ac:dyDescent="0.45">
      <c r="B42" s="18"/>
      <c r="C42" s="109"/>
      <c r="D42" s="17"/>
      <c r="E42" s="5"/>
      <c r="F42" s="5"/>
      <c r="G42" s="5"/>
      <c r="H42" s="5"/>
      <c r="I42" s="5"/>
      <c r="J42" s="5"/>
      <c r="K42" s="5"/>
      <c r="L42" s="5"/>
      <c r="M42" s="5"/>
      <c r="N42" s="5"/>
      <c r="O42" s="5"/>
      <c r="P42" s="5"/>
      <c r="Q42" s="11"/>
      <c r="R42" s="17"/>
      <c r="S42" s="17"/>
      <c r="T42" s="17"/>
      <c r="U42" s="17"/>
      <c r="AA42" s="175"/>
      <c r="AB42" s="175"/>
      <c r="AC42" s="175"/>
      <c r="AD42" s="175"/>
      <c r="AE42" s="175"/>
      <c r="AF42" s="175"/>
      <c r="AG42" s="175"/>
      <c r="AH42" s="175"/>
      <c r="AI42" s="175"/>
      <c r="AJ42" s="175"/>
      <c r="AK42" s="175"/>
      <c r="AL42" s="175"/>
      <c r="AM42" s="175"/>
      <c r="AN42" s="175"/>
      <c r="AO42" s="175"/>
      <c r="AP42" s="175"/>
      <c r="AQ42" s="175"/>
      <c r="AR42" s="175"/>
      <c r="AS42" s="175"/>
      <c r="AT42" s="175"/>
      <c r="AU42" s="175"/>
      <c r="AV42" s="175"/>
      <c r="AW42" s="175"/>
    </row>
    <row r="43" spans="2:49" x14ac:dyDescent="0.45">
      <c r="B43" s="18"/>
      <c r="C43" s="109"/>
      <c r="D43" s="17"/>
      <c r="E43" s="5"/>
      <c r="F43" s="5"/>
      <c r="G43" s="5"/>
      <c r="H43" s="5"/>
      <c r="I43" s="5"/>
      <c r="J43" s="5"/>
      <c r="K43" s="5"/>
      <c r="L43" s="5"/>
      <c r="M43" s="5"/>
      <c r="N43" s="5"/>
      <c r="O43" s="5"/>
      <c r="P43" s="5"/>
      <c r="Q43" s="11"/>
      <c r="R43" s="17"/>
      <c r="S43" s="17"/>
      <c r="T43" s="17"/>
      <c r="U43" s="17"/>
      <c r="AA43" s="175"/>
      <c r="AB43" s="175"/>
      <c r="AC43" s="175"/>
      <c r="AD43" s="175"/>
      <c r="AE43" s="175"/>
      <c r="AF43" s="175"/>
      <c r="AG43" s="175"/>
      <c r="AH43" s="175"/>
      <c r="AI43" s="175"/>
      <c r="AJ43" s="175"/>
      <c r="AK43" s="175"/>
      <c r="AL43" s="175"/>
      <c r="AM43" s="175"/>
      <c r="AN43" s="175"/>
      <c r="AO43" s="175"/>
      <c r="AP43" s="175"/>
      <c r="AQ43" s="175"/>
      <c r="AR43" s="175"/>
      <c r="AS43" s="175"/>
      <c r="AT43" s="175"/>
      <c r="AU43" s="175"/>
      <c r="AV43" s="175"/>
      <c r="AW43" s="175"/>
    </row>
    <row r="44" spans="2:49" x14ac:dyDescent="0.45">
      <c r="B44" s="18"/>
      <c r="C44" s="109"/>
      <c r="D44" s="17"/>
      <c r="E44" s="5"/>
      <c r="F44" s="5"/>
      <c r="G44" s="5"/>
      <c r="H44" s="5"/>
      <c r="I44" s="5"/>
      <c r="J44" s="5"/>
      <c r="K44" s="5"/>
      <c r="L44" s="5"/>
      <c r="M44" s="5"/>
      <c r="N44" s="5"/>
      <c r="O44" s="5"/>
      <c r="P44" s="5"/>
      <c r="Q44" s="11"/>
      <c r="R44" s="17"/>
      <c r="S44" s="17"/>
      <c r="T44" s="17"/>
      <c r="U44" s="17"/>
      <c r="AA44" s="175"/>
      <c r="AB44" s="175"/>
      <c r="AC44" s="175"/>
      <c r="AD44" s="175"/>
      <c r="AE44" s="175"/>
      <c r="AF44" s="175"/>
      <c r="AG44" s="175"/>
      <c r="AH44" s="175"/>
      <c r="AI44" s="175"/>
      <c r="AJ44" s="175"/>
      <c r="AK44" s="175"/>
      <c r="AL44" s="175"/>
      <c r="AM44" s="175"/>
      <c r="AN44" s="175"/>
      <c r="AO44" s="175"/>
      <c r="AP44" s="175"/>
      <c r="AQ44" s="175"/>
      <c r="AR44" s="175"/>
      <c r="AS44" s="175"/>
      <c r="AT44" s="175"/>
      <c r="AU44" s="175"/>
      <c r="AV44" s="175"/>
      <c r="AW44" s="175"/>
    </row>
    <row r="45" spans="2:49" x14ac:dyDescent="0.45">
      <c r="B45" s="18"/>
      <c r="C45" s="109"/>
      <c r="D45" s="17"/>
      <c r="E45" s="5"/>
      <c r="F45" s="5"/>
      <c r="G45" s="5"/>
      <c r="H45" s="5"/>
      <c r="I45" s="5"/>
      <c r="J45" s="5"/>
      <c r="K45" s="5"/>
      <c r="L45" s="5"/>
      <c r="M45" s="5"/>
      <c r="N45" s="5"/>
      <c r="O45" s="5"/>
      <c r="P45" s="5"/>
      <c r="Q45" s="11"/>
      <c r="R45" s="17"/>
      <c r="S45" s="17"/>
      <c r="T45" s="17"/>
      <c r="U45" s="17"/>
      <c r="AA45" s="175"/>
      <c r="AB45" s="175"/>
      <c r="AC45" s="175"/>
      <c r="AD45" s="175"/>
      <c r="AE45" s="175"/>
      <c r="AF45" s="175"/>
      <c r="AG45" s="175"/>
      <c r="AH45" s="175"/>
      <c r="AI45" s="175"/>
      <c r="AJ45" s="175"/>
      <c r="AK45" s="175"/>
      <c r="AL45" s="175"/>
      <c r="AM45" s="175"/>
      <c r="AN45" s="175"/>
      <c r="AO45" s="175"/>
      <c r="AP45" s="175"/>
      <c r="AQ45" s="175"/>
      <c r="AR45" s="175"/>
      <c r="AS45" s="175"/>
      <c r="AT45" s="175"/>
      <c r="AU45" s="175"/>
      <c r="AV45" s="175"/>
      <c r="AW45" s="175"/>
    </row>
    <row r="46" spans="2:49" x14ac:dyDescent="0.45">
      <c r="B46" s="18"/>
      <c r="C46" s="109"/>
      <c r="D46" s="17"/>
      <c r="E46" s="5"/>
      <c r="F46" s="5"/>
      <c r="G46" s="5"/>
      <c r="H46" s="5"/>
      <c r="I46" s="5"/>
      <c r="J46" s="5"/>
      <c r="K46" s="5"/>
      <c r="L46" s="5"/>
      <c r="M46" s="5"/>
      <c r="N46" s="5"/>
      <c r="O46" s="5"/>
      <c r="P46" s="5"/>
      <c r="Q46" s="11"/>
      <c r="R46" s="17"/>
      <c r="S46" s="17"/>
      <c r="T46" s="17"/>
      <c r="U46" s="17"/>
      <c r="AA46" s="175"/>
      <c r="AB46" s="175"/>
      <c r="AC46" s="175"/>
      <c r="AD46" s="175"/>
      <c r="AE46" s="175"/>
      <c r="AF46" s="175"/>
      <c r="AG46" s="175"/>
      <c r="AH46" s="175"/>
      <c r="AI46" s="175"/>
      <c r="AJ46" s="175"/>
      <c r="AK46" s="175"/>
      <c r="AL46" s="175"/>
      <c r="AM46" s="175"/>
      <c r="AN46" s="175"/>
      <c r="AO46" s="175"/>
      <c r="AP46" s="175"/>
      <c r="AQ46" s="175"/>
      <c r="AR46" s="175"/>
      <c r="AS46" s="175"/>
      <c r="AT46" s="175"/>
      <c r="AU46" s="175"/>
      <c r="AV46" s="175"/>
      <c r="AW46" s="175"/>
    </row>
    <row r="47" spans="2:49" x14ac:dyDescent="0.45">
      <c r="AA47" s="175"/>
      <c r="AB47" s="175"/>
      <c r="AC47" s="175"/>
      <c r="AD47" s="175"/>
      <c r="AE47" s="175"/>
      <c r="AF47" s="175"/>
      <c r="AG47" s="175"/>
      <c r="AH47" s="175"/>
      <c r="AI47" s="175"/>
      <c r="AJ47" s="175"/>
      <c r="AK47" s="175"/>
      <c r="AL47" s="175"/>
      <c r="AM47" s="175"/>
      <c r="AN47" s="175"/>
      <c r="AO47" s="175"/>
      <c r="AP47" s="175"/>
      <c r="AQ47" s="175"/>
      <c r="AR47" s="175"/>
      <c r="AS47" s="175"/>
      <c r="AT47" s="175"/>
      <c r="AU47" s="175"/>
      <c r="AV47" s="175"/>
      <c r="AW47" s="175"/>
    </row>
    <row r="48" spans="2:49" x14ac:dyDescent="0.45">
      <c r="AA48" s="175"/>
      <c r="AB48" s="175"/>
      <c r="AC48" s="175"/>
      <c r="AD48" s="175"/>
      <c r="AE48" s="175"/>
      <c r="AF48" s="175"/>
      <c r="AG48" s="175"/>
      <c r="AH48" s="175"/>
      <c r="AI48" s="175"/>
      <c r="AJ48" s="175"/>
      <c r="AK48" s="175"/>
      <c r="AL48" s="175"/>
      <c r="AM48" s="175"/>
      <c r="AN48" s="175"/>
      <c r="AO48" s="175"/>
      <c r="AP48" s="175"/>
      <c r="AQ48" s="175"/>
      <c r="AR48" s="175"/>
      <c r="AS48" s="175"/>
      <c r="AT48" s="175"/>
      <c r="AU48" s="175"/>
      <c r="AV48" s="175"/>
      <c r="AW48" s="175"/>
    </row>
    <row r="49" spans="27:49" x14ac:dyDescent="0.45">
      <c r="AA49" s="175"/>
      <c r="AB49" s="175"/>
      <c r="AC49" s="175"/>
      <c r="AD49" s="175"/>
      <c r="AE49" s="175"/>
      <c r="AF49" s="175"/>
      <c r="AG49" s="175"/>
      <c r="AH49" s="175"/>
      <c r="AI49" s="175"/>
      <c r="AJ49" s="175"/>
      <c r="AK49" s="175"/>
      <c r="AL49" s="175"/>
      <c r="AM49" s="175"/>
      <c r="AN49" s="175"/>
      <c r="AO49" s="175"/>
      <c r="AP49" s="175"/>
      <c r="AQ49" s="175"/>
      <c r="AR49" s="175"/>
      <c r="AS49" s="175"/>
      <c r="AT49" s="175"/>
      <c r="AU49" s="175"/>
      <c r="AV49" s="175"/>
      <c r="AW49" s="175"/>
    </row>
  </sheetData>
  <autoFilter ref="A9:U9" xr:uid="{00000000-0009-0000-0000-000005000000}"/>
  <mergeCells count="13">
    <mergeCell ref="AL8:AU8"/>
    <mergeCell ref="AN9:AU9"/>
    <mergeCell ref="AA8:AA10"/>
    <mergeCell ref="AB8:AB10"/>
    <mergeCell ref="AC8:AC10"/>
    <mergeCell ref="AD8:AD10"/>
    <mergeCell ref="AE8:AE10"/>
    <mergeCell ref="AF8:AF10"/>
    <mergeCell ref="AG8:AG10"/>
    <mergeCell ref="AH8:AH10"/>
    <mergeCell ref="AI8:AI10"/>
    <mergeCell ref="AJ8:AJ10"/>
    <mergeCell ref="AK8:AK10"/>
  </mergeCells>
  <conditionalFormatting sqref="R10:U46">
    <cfRule type="expression" dxfId="18" priority="4">
      <formula>AND($A10&lt;&gt;"",ISEVEN($A10))</formula>
    </cfRule>
  </conditionalFormatting>
  <conditionalFormatting sqref="E10:P3100">
    <cfRule type="expression" dxfId="17" priority="1">
      <formula>AND(E$9&gt;=$T10,E$9&lt;=$U10)</formula>
    </cfRule>
    <cfRule type="expression" dxfId="16" priority="2">
      <formula>AND($S10&lt;&gt;"",$S10&lt;=E$9)</formula>
    </cfRule>
    <cfRule type="expression" dxfId="15" priority="3">
      <formula>AND($R10&lt;&gt;"",$R10&gt;E$9)</formula>
    </cfRule>
  </conditionalFormatting>
  <dataValidations count="1">
    <dataValidation type="whole" allowBlank="1" showInputMessage="1" showErrorMessage="1" sqref="E10:P25" xr:uid="{748AFD90-F5B0-4E77-A028-14865B6CE3BB}">
      <formula1>1</formula1>
      <formula2>F3</formula2>
    </dataValidation>
  </dataValidations>
  <pageMargins left="0.7" right="0.7" top="0.75" bottom="0.75" header="0.3" footer="0.3"/>
  <pageSetup orientation="portrait"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InBL">
    <tabColor theme="1"/>
    <pageSetUpPr fitToPage="1"/>
  </sheetPr>
  <dimension ref="A1:AX58"/>
  <sheetViews>
    <sheetView showGridLines="0" topLeftCell="B1" workbookViewId="0">
      <selection activeCell="I23" sqref="I23"/>
    </sheetView>
  </sheetViews>
  <sheetFormatPr defaultRowHeight="15" customHeight="1" x14ac:dyDescent="0.45"/>
  <cols>
    <col min="1" max="1" width="6.265625" style="5" customWidth="1"/>
    <col min="2" max="2" width="23.59765625" customWidth="1"/>
    <col min="3" max="4" width="15.86328125" style="5" customWidth="1"/>
    <col min="5" max="6" width="9.1328125" style="15"/>
    <col min="7" max="7" width="16.265625" bestFit="1" customWidth="1"/>
    <col min="8" max="8" width="15.265625" hidden="1" customWidth="1"/>
    <col min="9" max="9" width="10.73046875" bestFit="1" customWidth="1"/>
    <col min="10" max="11" width="13.59765625" customWidth="1"/>
    <col min="12" max="12" width="14.265625" bestFit="1" customWidth="1"/>
    <col min="13" max="13" width="11.59765625" customWidth="1"/>
    <col min="14" max="14" width="13.265625" customWidth="1"/>
    <col min="15" max="15" width="9.86328125" customWidth="1"/>
    <col min="16" max="16" width="13.265625" customWidth="1"/>
    <col min="17" max="17" width="9" customWidth="1"/>
    <col min="18" max="20" width="13.59765625" customWidth="1"/>
    <col min="21" max="21" width="10.3984375" customWidth="1"/>
    <col min="22" max="22" width="16.1328125" customWidth="1"/>
    <col min="23" max="23" width="13.59765625" customWidth="1"/>
    <col min="24" max="24" width="11.59765625" customWidth="1"/>
    <col min="25" max="25" width="16.1328125" customWidth="1"/>
    <col min="26" max="26" width="14.265625" customWidth="1"/>
  </cols>
  <sheetData>
    <row r="1" spans="1:50" ht="19.7" customHeight="1" x14ac:dyDescent="0.45">
      <c r="B1" s="146" t="s">
        <v>170</v>
      </c>
      <c r="C1" s="146">
        <f>Danh_Sach!B4</f>
        <v>2023</v>
      </c>
      <c r="D1" s="147"/>
      <c r="E1" s="148"/>
      <c r="F1" s="148"/>
      <c r="G1" s="149"/>
      <c r="H1" s="208" t="s">
        <v>196</v>
      </c>
      <c r="I1" s="208">
        <v>1</v>
      </c>
      <c r="J1" s="48" t="s">
        <v>186</v>
      </c>
      <c r="AW1" t="s">
        <v>207</v>
      </c>
      <c r="AX1" s="105" t="s">
        <v>221</v>
      </c>
    </row>
    <row r="2" spans="1:50" ht="19.7" customHeight="1" x14ac:dyDescent="0.45">
      <c r="B2" s="146" t="s">
        <v>169</v>
      </c>
      <c r="C2" s="146">
        <v>12</v>
      </c>
      <c r="D2" s="147"/>
      <c r="E2" s="148"/>
      <c r="F2" s="148"/>
      <c r="G2" s="149"/>
      <c r="H2" s="208" t="s">
        <v>190</v>
      </c>
      <c r="I2" s="208">
        <v>12</v>
      </c>
      <c r="J2" s="48" t="s">
        <v>180</v>
      </c>
      <c r="AX2" s="105" t="s">
        <v>222</v>
      </c>
    </row>
    <row r="3" spans="1:50" ht="19.7" customHeight="1" x14ac:dyDescent="0.45">
      <c r="B3" s="146" t="s">
        <v>187</v>
      </c>
      <c r="C3" s="146" t="str">
        <f>"BL "&amp;C2&amp;"-"&amp;C1</f>
        <v>BL 12-2023</v>
      </c>
      <c r="D3" s="147"/>
      <c r="E3" s="148"/>
      <c r="F3" s="148"/>
      <c r="G3" s="149"/>
      <c r="H3" s="149"/>
      <c r="I3" s="149"/>
      <c r="J3" s="151"/>
      <c r="AX3" s="105" t="s">
        <v>210</v>
      </c>
    </row>
    <row r="6" spans="1:50" ht="21.75" customHeight="1" x14ac:dyDescent="0.45">
      <c r="A6" s="209" t="str">
        <f>Info!B3</f>
        <v>Công ty TNHH thương mại và dịch vụ tiếp vận Nguyên Minh</v>
      </c>
    </row>
    <row r="9" spans="1:50" ht="33" customHeight="1" thickBot="1" x14ac:dyDescent="0.75">
      <c r="B9" s="144" t="str">
        <f>"BẢNG LƯƠNG THÁNG "&amp;C2&amp;"/"&amp;C1</f>
        <v>BẢNG LƯƠNG THÁNG 12/2023</v>
      </c>
      <c r="C9" s="6"/>
      <c r="D9" s="6"/>
    </row>
    <row r="10" spans="1:50" ht="15" hidden="1" customHeight="1" thickTop="1" x14ac:dyDescent="0.45"/>
    <row r="11" spans="1:50" ht="15" hidden="1" customHeight="1" x14ac:dyDescent="0.45"/>
    <row r="12" spans="1:50" ht="15" hidden="1" customHeight="1" x14ac:dyDescent="0.45"/>
    <row r="13" spans="1:50" ht="15" customHeight="1" thickTop="1" x14ac:dyDescent="0.45"/>
    <row r="14" spans="1:50" ht="15" customHeight="1" x14ac:dyDescent="0.45">
      <c r="K14" s="637" t="s">
        <v>111</v>
      </c>
      <c r="L14" s="637"/>
      <c r="M14" s="637"/>
      <c r="N14" s="637"/>
      <c r="O14" s="637"/>
      <c r="P14" s="637"/>
      <c r="Q14" s="637" t="s">
        <v>182</v>
      </c>
      <c r="R14" s="637"/>
      <c r="S14" s="637"/>
      <c r="T14" s="637"/>
    </row>
    <row r="15" spans="1:50" ht="26.25" customHeight="1" x14ac:dyDescent="0.45">
      <c r="A15" s="636" t="s">
        <v>1</v>
      </c>
      <c r="B15" s="636" t="s">
        <v>2</v>
      </c>
      <c r="C15" s="636" t="s">
        <v>3</v>
      </c>
      <c r="D15" s="636" t="s">
        <v>4</v>
      </c>
      <c r="E15" s="646" t="s">
        <v>39</v>
      </c>
      <c r="F15" s="646" t="s">
        <v>6</v>
      </c>
      <c r="G15" s="646" t="s">
        <v>7</v>
      </c>
      <c r="H15" s="646" t="s">
        <v>40</v>
      </c>
      <c r="I15" s="647" t="s">
        <v>42</v>
      </c>
      <c r="J15" s="646" t="s">
        <v>41</v>
      </c>
      <c r="K15" s="646" t="s">
        <v>112</v>
      </c>
      <c r="L15" s="590" t="s">
        <v>44</v>
      </c>
      <c r="M15" s="590"/>
      <c r="N15" s="646" t="s">
        <v>113</v>
      </c>
      <c r="O15" s="640" t="s">
        <v>254</v>
      </c>
      <c r="P15" s="641"/>
      <c r="Q15" s="610" t="s">
        <v>79</v>
      </c>
      <c r="R15" s="610"/>
      <c r="S15" s="646" t="s">
        <v>50</v>
      </c>
      <c r="T15" s="646" t="s">
        <v>60</v>
      </c>
      <c r="U15" s="627" t="s">
        <v>77</v>
      </c>
      <c r="V15" s="638" t="s">
        <v>188</v>
      </c>
      <c r="W15" s="627" t="s">
        <v>81</v>
      </c>
      <c r="X15" s="642" t="s">
        <v>61</v>
      </c>
      <c r="Y15" s="644" t="s">
        <v>62</v>
      </c>
      <c r="Z15" s="644" t="s">
        <v>63</v>
      </c>
    </row>
    <row r="16" spans="1:50" ht="33" customHeight="1" x14ac:dyDescent="0.45">
      <c r="A16" s="636"/>
      <c r="B16" s="636"/>
      <c r="C16" s="636"/>
      <c r="D16" s="636"/>
      <c r="E16" s="646"/>
      <c r="F16" s="646"/>
      <c r="G16" s="646"/>
      <c r="H16" s="646"/>
      <c r="I16" s="647"/>
      <c r="J16" s="646"/>
      <c r="K16" s="646"/>
      <c r="L16" s="25" t="s">
        <v>45</v>
      </c>
      <c r="M16" s="25" t="s">
        <v>46</v>
      </c>
      <c r="N16" s="646"/>
      <c r="O16" s="25" t="s">
        <v>47</v>
      </c>
      <c r="P16" s="25" t="s">
        <v>48</v>
      </c>
      <c r="Q16" s="143" t="s">
        <v>51</v>
      </c>
      <c r="R16" s="143" t="s">
        <v>78</v>
      </c>
      <c r="S16" s="646"/>
      <c r="T16" s="646"/>
      <c r="U16" s="628"/>
      <c r="V16" s="639"/>
      <c r="W16" s="628"/>
      <c r="X16" s="643"/>
      <c r="Y16" s="645"/>
      <c r="Z16" s="645"/>
    </row>
    <row r="17" spans="1:26" ht="15" customHeight="1" x14ac:dyDescent="0.45">
      <c r="A17" s="49"/>
      <c r="B17" s="49" t="s">
        <v>24</v>
      </c>
      <c r="C17" s="89" t="s">
        <v>25</v>
      </c>
      <c r="D17" s="49" t="s">
        <v>26</v>
      </c>
      <c r="E17" s="49" t="s">
        <v>27</v>
      </c>
      <c r="F17" s="49" t="s">
        <v>28</v>
      </c>
      <c r="G17" s="49" t="s">
        <v>29</v>
      </c>
      <c r="H17" s="49" t="s">
        <v>185</v>
      </c>
      <c r="I17" s="90" t="s">
        <v>186</v>
      </c>
      <c r="J17" s="49" t="s">
        <v>80</v>
      </c>
      <c r="K17" s="49" t="s">
        <v>80</v>
      </c>
      <c r="L17" s="49"/>
      <c r="M17" s="49" t="s">
        <v>80</v>
      </c>
      <c r="N17" s="49" t="s">
        <v>80</v>
      </c>
      <c r="O17" s="49"/>
      <c r="P17" s="49" t="s">
        <v>80</v>
      </c>
      <c r="Q17" s="49"/>
      <c r="R17" s="49" t="s">
        <v>80</v>
      </c>
      <c r="S17" s="49" t="s">
        <v>80</v>
      </c>
      <c r="T17" s="49" t="s">
        <v>80</v>
      </c>
      <c r="U17" s="49" t="s">
        <v>80</v>
      </c>
      <c r="V17" s="49" t="s">
        <v>66</v>
      </c>
      <c r="W17" s="49" t="s">
        <v>165</v>
      </c>
      <c r="X17" s="49" t="s">
        <v>65</v>
      </c>
      <c r="Y17" s="49" t="s">
        <v>67</v>
      </c>
      <c r="Z17" s="49" t="s">
        <v>183</v>
      </c>
    </row>
    <row r="18" spans="1:26" s="3" customFormat="1" ht="20.100000000000001" customHeight="1" x14ac:dyDescent="0.45">
      <c r="A18" s="176">
        <f ca="1">IF(B18&lt;&gt;"",SUBTOTAL(3,$B$18:B18),"")</f>
        <v>1</v>
      </c>
      <c r="B18" s="175">
        <f ca="1">INDEX(INDIRECT(Danh_Sach!$N$1),ROWS($B$18:$B18),MATCH(B$17,INDIRECT(Danh_Sach!$N$2),0))</f>
        <v>0</v>
      </c>
      <c r="C18" s="176">
        <f ca="1">INDEX(INDIRECT(Danh_Sach!$N$1),ROWS($B$18:$B18),MATCH(C$17,INDIRECT(Danh_Sach!$N$2),0))</f>
        <v>0</v>
      </c>
      <c r="D18" s="176">
        <f ca="1">INDEX(INDIRECT(Danh_Sach!$N$1),ROWS($B$18:$B18),MATCH(D$17,INDIRECT(Danh_Sach!$N$2),0))</f>
        <v>0</v>
      </c>
      <c r="E18" s="176">
        <f ca="1">INDEX(INDIRECT(Danh_Sach!$N$1),ROWS($B$18:$B18),MATCH(E$17,INDIRECT(Danh_Sach!$N$2),0))</f>
        <v>0</v>
      </c>
      <c r="F18" s="176">
        <f ca="1">INDEX(INDIRECT(Danh_Sach!$N$1),ROWS($B$18:$B18),MATCH(F$17,INDIRECT(Danh_Sach!$N$2),0))</f>
        <v>0</v>
      </c>
      <c r="G18" s="346">
        <f ca="1">IF(I18=0,0,INDEX(INDIRECT("'"&amp;$C$2&amp;"'!"&amp;"B14:AJ1000"),ROWS($G$18:$G18),COLUMNS($B$18:G18)))</f>
        <v>0</v>
      </c>
      <c r="H18" s="346">
        <f ca="1">INDEX(INDIRECT("'"&amp;$C$2&amp;"'!"&amp;"B14:AJ1000"),ROWS($G$18:$G18),COLUMNS($B$18:H18))</f>
        <v>0</v>
      </c>
      <c r="I18" s="346">
        <f ca="1">INDEX(INDIRECT("'"&amp;$C$2&amp;"'!"&amp;"B14:AJ1000"),ROWS($G$18:$G18),COLUMNS($B$18:I18))</f>
        <v>0</v>
      </c>
      <c r="J18" s="346">
        <f ca="1">INDEX(INDIRECT("'"&amp;$C$2&amp;"'!"&amp;"B14:AJ1000"),ROWS($G$18:$G18),COLUMNS($B$18:J18))</f>
        <v>0</v>
      </c>
      <c r="K18" s="346">
        <f ca="1">INDEX(INDIRECT("'"&amp;$C$2&amp;"'!"&amp;"B14:AJ1000"),ROWS($G$18:$G18),COLUMNS($B$18:K18))</f>
        <v>0</v>
      </c>
      <c r="L18" s="346">
        <f ca="1">INDEX(INDIRECT("'"&amp;$C$2&amp;"'!"&amp;"B14:AJ1000"),ROWS($G$18:$G18),COLUMNS($B$18:L18))</f>
        <v>0</v>
      </c>
      <c r="M18" s="346">
        <f ca="1">INDEX(INDIRECT("'"&amp;$C$2&amp;"'!"&amp;"B14:AJ1000"),ROWS($G$18:$G18),COLUMNS($B$18:M18))</f>
        <v>0</v>
      </c>
      <c r="N18" s="346">
        <f ca="1">INDEX(INDIRECT("'"&amp;$C$2&amp;"'!"&amp;"B14:AJ1000"),ROWS($G$18:$G18),COLUMNS($B$18:N18))</f>
        <v>0</v>
      </c>
      <c r="O18" s="346">
        <f ca="1">INDEX(INDIRECT("'"&amp;$C$2&amp;"'!"&amp;"B14:AJ1000"),ROWS($G$18:$G18),COLUMNS($B$18:O18))</f>
        <v>0</v>
      </c>
      <c r="P18" s="346">
        <f ca="1">INDEX(INDIRECT("'"&amp;$C$2&amp;"'!"&amp;"B14:AJ1000"),ROWS($G$18:$G18),COLUMNS($B$18:P18))</f>
        <v>0</v>
      </c>
      <c r="Q18" s="346">
        <f ca="1">INDEX(INDIRECT("'"&amp;$C$2&amp;"'!"&amp;"B14:AJ1000"),ROWS($G$18:$G18),COLUMNS($B$18:Q18))</f>
        <v>0</v>
      </c>
      <c r="R18" s="346">
        <f ca="1">INDEX(INDIRECT("'"&amp;$C$2&amp;"'!"&amp;"B14:AJ1000"),ROWS($G$18:$G18),COLUMNS($B$18:R18))</f>
        <v>0</v>
      </c>
      <c r="S18" s="346">
        <f ca="1">INDEX(INDIRECT("'"&amp;$C$2&amp;"'!"&amp;"B14:AJ1000"),ROWS($G$18:$G18),COLUMNS($B$18:S18))</f>
        <v>0</v>
      </c>
      <c r="T18" s="346">
        <f ca="1">INDEX(INDIRECT("'"&amp;$C$2&amp;"'!"&amp;"B14:AJ1000"),ROWS($G$18:$G18),COLUMNS($B$18:T18))</f>
        <v>0</v>
      </c>
      <c r="U18" s="346">
        <f ca="1">INDEX(INDIRECT("'"&amp;$C$2&amp;"'!"&amp;"B14:AJ1000"),ROWS($G$18:$G18),COLUMNS($B$18:U18))</f>
        <v>0</v>
      </c>
      <c r="V18" s="346">
        <f ca="1">INDEX(INDIRECT("'"&amp;$C$2&amp;"'!"&amp;"B14:AJ1000"),ROWS($G$18:$G18),COLUMNS($B$18:V18))</f>
        <v>0</v>
      </c>
      <c r="W18" s="346">
        <f ca="1">INDEX(INDIRECT("'"&amp;$C$2&amp;"'!"&amp;"B14:AJ1000"),ROWS($G$18:$G18),MATCH(W$17,'1'!$B$13:$AJ$13,0))</f>
        <v>0</v>
      </c>
      <c r="X18" s="346">
        <f ca="1">INDEX(INDIRECT("'"&amp;$C$2&amp;"'!"&amp;"B14:AJ1000"),ROWS($G$18:$G18),MATCH(X$17,'1'!$B$13:$AJ$13,0))</f>
        <v>0</v>
      </c>
      <c r="Y18" s="346">
        <f ca="1">INDEX(INDIRECT("'"&amp;$C$2&amp;"'!"&amp;"B14:AJ1000"),ROWS($G$18:$G18),MATCH(Y$17,'1'!$B$13:$AJ$13,0))</f>
        <v>0</v>
      </c>
      <c r="Z18" s="346"/>
    </row>
    <row r="19" spans="1:26" s="3" customFormat="1" ht="20.100000000000001" customHeight="1" x14ac:dyDescent="0.45">
      <c r="A19" s="176">
        <f ca="1">IF(B19&lt;&gt;"",SUBTOTAL(3,$B$18:B19),"")</f>
        <v>2</v>
      </c>
      <c r="B19" s="175">
        <f ca="1">INDEX(INDIRECT(Danh_Sach!$N$1),ROWS($B$18:$B19),MATCH(B$17,INDIRECT(Danh_Sach!$N$2),0))</f>
        <v>0</v>
      </c>
      <c r="C19" s="176">
        <f ca="1">INDEX(INDIRECT(Danh_Sach!$N$1),ROWS($B$18:$B19),MATCH(C$17,INDIRECT(Danh_Sach!$N$2),0))</f>
        <v>0</v>
      </c>
      <c r="D19" s="176">
        <f ca="1">INDEX(INDIRECT(Danh_Sach!$N$1),ROWS($B$18:$B19),MATCH(D$17,INDIRECT(Danh_Sach!$N$2),0))</f>
        <v>0</v>
      </c>
      <c r="E19" s="176">
        <f ca="1">INDEX(INDIRECT(Danh_Sach!$N$1),ROWS($B$18:$B19),MATCH(E$17,INDIRECT(Danh_Sach!$N$2),0))</f>
        <v>0</v>
      </c>
      <c r="F19" s="176">
        <f ca="1">INDEX(INDIRECT(Danh_Sach!$N$1),ROWS($B$18:$B19),MATCH(F$17,INDIRECT(Danh_Sach!$N$2),0))</f>
        <v>0</v>
      </c>
      <c r="G19" s="346">
        <f ca="1">IF(I19=0,0,INDEX(INDIRECT("'"&amp;$C$2&amp;"'!"&amp;"B14:AJ1000"),ROWS($G$18:$G19),COLUMNS($B$18:G19)))</f>
        <v>0</v>
      </c>
      <c r="H19" s="346">
        <f ca="1">INDEX(INDIRECT("'"&amp;$C$2&amp;"'!"&amp;"B14:AJ1000"),ROWS($G$18:$G19),COLUMNS($B$18:H19))</f>
        <v>0</v>
      </c>
      <c r="I19" s="346">
        <f ca="1">INDEX(INDIRECT("'"&amp;$C$2&amp;"'!"&amp;"B14:AJ1000"),ROWS($G$18:$G19),COLUMNS($B$18:I19))</f>
        <v>0</v>
      </c>
      <c r="J19" s="346">
        <f ca="1">INDEX(INDIRECT("'"&amp;$C$2&amp;"'!"&amp;"B14:AJ1000"),ROWS($G$18:$G19),COLUMNS($B$18:J19))</f>
        <v>0</v>
      </c>
      <c r="K19" s="346">
        <f ca="1">INDEX(INDIRECT("'"&amp;$C$2&amp;"'!"&amp;"B14:AJ1000"),ROWS($G$18:$G19),COLUMNS($B$18:K19))</f>
        <v>0</v>
      </c>
      <c r="L19" s="346">
        <f ca="1">INDEX(INDIRECT("'"&amp;$C$2&amp;"'!"&amp;"B14:AJ1000"),ROWS($G$18:$G19),COLUMNS($B$18:L19))</f>
        <v>0</v>
      </c>
      <c r="M19" s="346">
        <f ca="1">INDEX(INDIRECT("'"&amp;$C$2&amp;"'!"&amp;"B14:AJ1000"),ROWS($G$18:$G19),COLUMNS($B$18:M19))</f>
        <v>0</v>
      </c>
      <c r="N19" s="346">
        <f ca="1">INDEX(INDIRECT("'"&amp;$C$2&amp;"'!"&amp;"B14:AJ1000"),ROWS($G$18:$G19),COLUMNS($B$18:N19))</f>
        <v>0</v>
      </c>
      <c r="O19" s="346">
        <f ca="1">INDEX(INDIRECT("'"&amp;$C$2&amp;"'!"&amp;"B14:AJ1000"),ROWS($G$18:$G19),COLUMNS($B$18:O19))</f>
        <v>0</v>
      </c>
      <c r="P19" s="346">
        <f ca="1">INDEX(INDIRECT("'"&amp;$C$2&amp;"'!"&amp;"B14:AJ1000"),ROWS($G$18:$G19),COLUMNS($B$18:P19))</f>
        <v>0</v>
      </c>
      <c r="Q19" s="346">
        <f ca="1">INDEX(INDIRECT("'"&amp;$C$2&amp;"'!"&amp;"B14:AJ1000"),ROWS($G$18:$G19),COLUMNS($B$18:Q19))</f>
        <v>0</v>
      </c>
      <c r="R19" s="346">
        <f ca="1">INDEX(INDIRECT("'"&amp;$C$2&amp;"'!"&amp;"B14:AJ1000"),ROWS($G$18:$G19),COLUMNS($B$18:R19))</f>
        <v>0</v>
      </c>
      <c r="S19" s="346">
        <f ca="1">INDEX(INDIRECT("'"&amp;$C$2&amp;"'!"&amp;"B14:AJ1000"),ROWS($G$18:$G19),COLUMNS($B$18:S19))</f>
        <v>0</v>
      </c>
      <c r="T19" s="346">
        <f ca="1">INDEX(INDIRECT("'"&amp;$C$2&amp;"'!"&amp;"B14:AJ1000"),ROWS($G$18:$G19),COLUMNS($B$18:T19))</f>
        <v>0</v>
      </c>
      <c r="U19" s="346">
        <f ca="1">INDEX(INDIRECT("'"&amp;$C$2&amp;"'!"&amp;"B14:AJ1000"),ROWS($G$18:$G19),COLUMNS($B$18:U19))</f>
        <v>0</v>
      </c>
      <c r="V19" s="346">
        <f ca="1">INDEX(INDIRECT("'"&amp;$C$2&amp;"'!"&amp;"B14:AJ1000"),ROWS($G$18:$G19),COLUMNS($B$18:V19))</f>
        <v>0</v>
      </c>
      <c r="W19" s="346">
        <f ca="1">INDEX(INDIRECT("'"&amp;$C$2&amp;"'!"&amp;"B14:AJ1000"),ROWS($G$18:$G19),MATCH(W$17,'1'!$B$13:$AJ$13,0))</f>
        <v>0</v>
      </c>
      <c r="X19" s="346">
        <f ca="1">INDEX(INDIRECT("'"&amp;$C$2&amp;"'!"&amp;"B14:AJ1000"),ROWS($G$18:$G19),MATCH(X$17,'1'!$B$13:$AJ$13,0))</f>
        <v>0</v>
      </c>
      <c r="Y19" s="346">
        <f ca="1">INDEX(INDIRECT("'"&amp;$C$2&amp;"'!"&amp;"B14:AJ1000"),ROWS($G$18:$G19),MATCH(Y$17,'1'!$B$13:$AJ$13,0))</f>
        <v>0</v>
      </c>
      <c r="Z19" s="346"/>
    </row>
    <row r="20" spans="1:26" s="3" customFormat="1" ht="20.100000000000001" customHeight="1" x14ac:dyDescent="0.45">
      <c r="A20" s="176"/>
      <c r="B20" s="175"/>
      <c r="C20" s="176"/>
      <c r="D20" s="176"/>
      <c r="E20" s="176"/>
      <c r="F20" s="176"/>
      <c r="G20" s="346"/>
      <c r="H20" s="346"/>
      <c r="I20" s="346"/>
      <c r="J20" s="346"/>
      <c r="K20" s="346"/>
      <c r="L20" s="346"/>
      <c r="M20" s="346"/>
      <c r="N20" s="346"/>
      <c r="O20" s="346"/>
      <c r="P20" s="346"/>
      <c r="Q20" s="346"/>
      <c r="R20" s="346"/>
      <c r="S20" s="346"/>
      <c r="T20" s="346"/>
      <c r="U20" s="346"/>
      <c r="V20" s="346"/>
      <c r="W20" s="346"/>
      <c r="X20" s="346"/>
      <c r="Y20" s="346"/>
      <c r="Z20" s="346"/>
    </row>
    <row r="21" spans="1:26" s="3" customFormat="1" ht="20.100000000000001" customHeight="1" x14ac:dyDescent="0.45">
      <c r="A21" s="176"/>
      <c r="B21" s="175"/>
      <c r="C21" s="176"/>
      <c r="D21" s="176"/>
      <c r="E21" s="176"/>
      <c r="F21" s="176"/>
      <c r="G21" s="346"/>
      <c r="H21" s="346"/>
      <c r="I21" s="346"/>
      <c r="J21" s="346"/>
      <c r="K21" s="346"/>
      <c r="L21" s="346"/>
      <c r="M21" s="346"/>
      <c r="N21" s="346"/>
      <c r="O21" s="346"/>
      <c r="P21" s="346"/>
      <c r="Q21" s="346"/>
      <c r="R21" s="346"/>
      <c r="S21" s="346"/>
      <c r="T21" s="346"/>
      <c r="U21" s="346"/>
      <c r="V21" s="346"/>
      <c r="W21" s="346"/>
      <c r="X21" s="346"/>
      <c r="Y21" s="346"/>
      <c r="Z21" s="346"/>
    </row>
    <row r="22" spans="1:26" s="3" customFormat="1" ht="20.100000000000001" customHeight="1" x14ac:dyDescent="0.45">
      <c r="A22" s="176"/>
      <c r="B22" s="175"/>
      <c r="C22" s="176"/>
      <c r="D22" s="176"/>
      <c r="E22" s="176"/>
      <c r="F22" s="176"/>
      <c r="G22" s="346"/>
      <c r="H22" s="346"/>
      <c r="I22" s="346"/>
      <c r="J22" s="346"/>
      <c r="K22" s="346"/>
      <c r="L22" s="346"/>
      <c r="M22" s="346"/>
      <c r="N22" s="346"/>
      <c r="O22" s="346"/>
      <c r="P22" s="346"/>
      <c r="Q22" s="346"/>
      <c r="R22" s="346"/>
      <c r="S22" s="346"/>
      <c r="T22" s="346"/>
      <c r="U22" s="346"/>
      <c r="V22" s="346"/>
      <c r="W22" s="346"/>
      <c r="X22" s="346"/>
      <c r="Y22" s="346"/>
      <c r="Z22" s="346"/>
    </row>
    <row r="23" spans="1:26" s="3" customFormat="1" ht="20.100000000000001" customHeight="1" x14ac:dyDescent="0.45">
      <c r="A23" s="176"/>
      <c r="B23" s="175"/>
      <c r="C23" s="176"/>
      <c r="D23" s="176"/>
      <c r="E23" s="176"/>
      <c r="F23" s="176"/>
      <c r="G23" s="346"/>
      <c r="H23" s="346"/>
      <c r="I23" s="346"/>
      <c r="J23" s="346"/>
      <c r="K23" s="346"/>
      <c r="L23" s="346"/>
      <c r="M23" s="346"/>
      <c r="N23" s="346"/>
      <c r="O23" s="346"/>
      <c r="P23" s="346"/>
      <c r="Q23" s="346"/>
      <c r="R23" s="346"/>
      <c r="S23" s="346"/>
      <c r="T23" s="346"/>
      <c r="U23" s="346"/>
      <c r="V23" s="346"/>
      <c r="W23" s="346"/>
      <c r="X23" s="346"/>
      <c r="Y23" s="346"/>
      <c r="Z23" s="346"/>
    </row>
    <row r="24" spans="1:26" s="3" customFormat="1" ht="20.100000000000001" customHeight="1" x14ac:dyDescent="0.45">
      <c r="A24" s="176"/>
      <c r="B24" s="175"/>
      <c r="C24" s="176"/>
      <c r="D24" s="176"/>
      <c r="E24" s="176"/>
      <c r="F24" s="176"/>
      <c r="G24" s="346"/>
      <c r="H24" s="346"/>
      <c r="I24" s="346"/>
      <c r="J24" s="346"/>
      <c r="K24" s="346"/>
      <c r="L24" s="346"/>
      <c r="M24" s="346"/>
      <c r="N24" s="346"/>
      <c r="O24" s="346"/>
      <c r="P24" s="346"/>
      <c r="Q24" s="346"/>
      <c r="R24" s="346"/>
      <c r="S24" s="346"/>
      <c r="T24" s="346"/>
      <c r="U24" s="346"/>
      <c r="V24" s="346"/>
      <c r="W24" s="346"/>
      <c r="X24" s="346"/>
      <c r="Y24" s="346"/>
      <c r="Z24" s="346"/>
    </row>
    <row r="25" spans="1:26" s="150" customFormat="1" ht="20.100000000000001" customHeight="1" x14ac:dyDescent="0.45">
      <c r="A25" s="176"/>
      <c r="B25" s="175"/>
      <c r="C25" s="176"/>
      <c r="D25" s="176"/>
      <c r="E25" s="176"/>
      <c r="F25" s="176"/>
      <c r="G25" s="346"/>
      <c r="H25" s="346"/>
      <c r="I25" s="346"/>
      <c r="J25" s="346"/>
      <c r="K25" s="346"/>
      <c r="L25" s="346"/>
      <c r="M25" s="346"/>
      <c r="N25" s="346"/>
      <c r="O25" s="346"/>
      <c r="P25" s="346"/>
      <c r="Q25" s="346"/>
      <c r="R25" s="346"/>
      <c r="S25" s="346"/>
      <c r="T25" s="346"/>
      <c r="U25" s="346"/>
      <c r="V25" s="346"/>
      <c r="W25" s="346"/>
      <c r="X25" s="346"/>
      <c r="Y25" s="346"/>
      <c r="Z25" s="346"/>
    </row>
    <row r="26" spans="1:26" s="150" customFormat="1" ht="20.100000000000001" customHeight="1" x14ac:dyDescent="0.45">
      <c r="A26" s="176"/>
      <c r="B26" s="175"/>
      <c r="C26" s="176"/>
      <c r="D26" s="176"/>
      <c r="E26" s="176"/>
      <c r="F26" s="176"/>
      <c r="G26" s="346"/>
      <c r="H26" s="346"/>
      <c r="I26" s="346"/>
      <c r="J26" s="346"/>
      <c r="K26" s="346"/>
      <c r="L26" s="346"/>
      <c r="M26" s="346"/>
      <c r="N26" s="346"/>
      <c r="O26" s="346"/>
      <c r="P26" s="346"/>
      <c r="Q26" s="346"/>
      <c r="R26" s="346"/>
      <c r="S26" s="346"/>
      <c r="T26" s="346"/>
      <c r="U26" s="346"/>
      <c r="V26" s="346"/>
      <c r="W26" s="346"/>
      <c r="X26" s="346"/>
      <c r="Y26" s="346"/>
      <c r="Z26" s="346"/>
    </row>
    <row r="27" spans="1:26" s="3" customFormat="1" ht="20.100000000000001" customHeight="1" x14ac:dyDescent="0.45">
      <c r="A27" s="176"/>
      <c r="B27" s="175"/>
      <c r="C27" s="176"/>
      <c r="D27" s="176"/>
      <c r="E27" s="176"/>
      <c r="F27" s="176"/>
      <c r="G27" s="346"/>
      <c r="H27" s="346"/>
      <c r="I27" s="346"/>
      <c r="J27" s="346"/>
      <c r="K27" s="346"/>
      <c r="L27" s="346"/>
      <c r="M27" s="346"/>
      <c r="N27" s="346"/>
      <c r="O27" s="346"/>
      <c r="P27" s="346"/>
      <c r="Q27" s="346"/>
      <c r="R27" s="346"/>
      <c r="S27" s="346"/>
      <c r="T27" s="346"/>
      <c r="U27" s="346"/>
      <c r="V27" s="346"/>
      <c r="W27" s="346"/>
      <c r="X27" s="346"/>
      <c r="Y27" s="346"/>
      <c r="Z27" s="346"/>
    </row>
    <row r="28" spans="1:26" s="150" customFormat="1" ht="20.100000000000001" customHeight="1" x14ac:dyDescent="0.45">
      <c r="A28" s="176"/>
      <c r="B28" s="175"/>
      <c r="C28" s="176"/>
      <c r="D28" s="176"/>
      <c r="E28" s="176"/>
      <c r="F28" s="176"/>
      <c r="G28" s="346"/>
      <c r="H28" s="346"/>
      <c r="I28" s="346"/>
      <c r="J28" s="346"/>
      <c r="K28" s="346"/>
      <c r="L28" s="346"/>
      <c r="M28" s="346"/>
      <c r="N28" s="346"/>
      <c r="O28" s="346"/>
      <c r="P28" s="346"/>
      <c r="Q28" s="346"/>
      <c r="R28" s="346"/>
      <c r="S28" s="346"/>
      <c r="T28" s="346"/>
      <c r="U28" s="346"/>
      <c r="V28" s="346"/>
      <c r="W28" s="346"/>
      <c r="X28" s="346"/>
      <c r="Y28" s="346"/>
      <c r="Z28" s="346"/>
    </row>
    <row r="29" spans="1:26" s="150" customFormat="1" ht="27.95" customHeight="1" x14ac:dyDescent="0.45">
      <c r="A29" s="176"/>
      <c r="B29" s="175"/>
      <c r="C29" s="176"/>
      <c r="D29" s="176"/>
      <c r="E29" s="176"/>
      <c r="F29" s="176"/>
      <c r="G29" s="346"/>
      <c r="H29" s="346"/>
      <c r="I29" s="346"/>
      <c r="J29" s="346"/>
      <c r="K29" s="346"/>
      <c r="L29" s="346"/>
      <c r="M29" s="346"/>
      <c r="N29" s="346"/>
      <c r="O29" s="346"/>
      <c r="P29" s="346"/>
      <c r="Q29" s="346"/>
      <c r="R29" s="346"/>
      <c r="S29" s="346"/>
      <c r="T29" s="346"/>
      <c r="U29" s="346"/>
      <c r="V29" s="346"/>
      <c r="W29" s="346"/>
      <c r="X29" s="346"/>
      <c r="Y29" s="346"/>
      <c r="Z29" s="346"/>
    </row>
    <row r="30" spans="1:26" s="3" customFormat="1" ht="27.95" customHeight="1" x14ac:dyDescent="0.45">
      <c r="A30" s="176"/>
      <c r="B30" s="175"/>
      <c r="C30" s="176"/>
      <c r="D30" s="176"/>
      <c r="E30" s="176"/>
      <c r="F30" s="176"/>
      <c r="G30" s="346"/>
      <c r="H30" s="346"/>
      <c r="I30" s="346"/>
      <c r="J30" s="346"/>
      <c r="K30" s="346"/>
      <c r="L30" s="346"/>
      <c r="M30" s="346"/>
      <c r="N30" s="346"/>
      <c r="O30" s="346"/>
      <c r="P30" s="346"/>
      <c r="Q30" s="346"/>
      <c r="R30" s="346"/>
      <c r="S30" s="346"/>
      <c r="T30" s="346"/>
      <c r="U30" s="346"/>
      <c r="V30" s="346"/>
      <c r="W30" s="346"/>
      <c r="X30" s="346"/>
      <c r="Y30" s="346"/>
      <c r="Z30" s="346"/>
    </row>
    <row r="31" spans="1:26" s="3" customFormat="1" ht="27.95" customHeight="1" x14ac:dyDescent="0.45">
      <c r="A31" s="176"/>
      <c r="B31" s="175"/>
      <c r="C31" s="176"/>
      <c r="D31" s="176"/>
      <c r="E31" s="176"/>
      <c r="F31" s="176"/>
      <c r="G31" s="346"/>
      <c r="H31" s="346"/>
      <c r="I31" s="346"/>
      <c r="J31" s="346"/>
      <c r="K31" s="346"/>
      <c r="L31" s="346"/>
      <c r="M31" s="346"/>
      <c r="N31" s="346"/>
      <c r="O31" s="346"/>
      <c r="P31" s="346"/>
      <c r="Q31" s="346"/>
      <c r="R31" s="346"/>
      <c r="S31" s="346"/>
      <c r="T31" s="346"/>
      <c r="U31" s="346"/>
      <c r="V31" s="346"/>
      <c r="W31" s="346"/>
      <c r="X31" s="346"/>
      <c r="Y31" s="346"/>
      <c r="Z31" s="346"/>
    </row>
    <row r="32" spans="1:26" s="3" customFormat="1" ht="27.95" customHeight="1" x14ac:dyDescent="0.45">
      <c r="A32" s="176"/>
      <c r="B32" s="175"/>
      <c r="C32" s="176"/>
      <c r="D32" s="176"/>
      <c r="E32" s="176"/>
      <c r="F32" s="176"/>
      <c r="G32" s="346"/>
      <c r="H32" s="346"/>
      <c r="I32" s="346"/>
      <c r="J32" s="346"/>
      <c r="K32" s="346"/>
      <c r="L32" s="346"/>
      <c r="M32" s="346"/>
      <c r="N32" s="346"/>
      <c r="O32" s="346"/>
      <c r="P32" s="346"/>
      <c r="Q32" s="346"/>
      <c r="R32" s="346"/>
      <c r="S32" s="346"/>
      <c r="T32" s="346"/>
      <c r="U32" s="346"/>
      <c r="V32" s="346"/>
      <c r="W32" s="346"/>
      <c r="X32" s="346"/>
      <c r="Y32" s="346"/>
      <c r="Z32" s="346"/>
    </row>
    <row r="33" spans="1:26" s="3" customFormat="1" ht="20.25" customHeight="1" x14ac:dyDescent="0.45">
      <c r="A33" s="176"/>
      <c r="B33" s="175"/>
      <c r="C33" s="176"/>
      <c r="D33" s="176"/>
      <c r="E33" s="176"/>
      <c r="F33" s="176"/>
      <c r="G33" s="346"/>
      <c r="H33" s="346"/>
      <c r="I33" s="346"/>
      <c r="J33" s="346"/>
      <c r="K33" s="346"/>
      <c r="L33" s="346"/>
      <c r="M33" s="346"/>
      <c r="N33" s="346"/>
      <c r="O33" s="346"/>
      <c r="P33" s="346"/>
      <c r="Q33" s="346"/>
      <c r="R33" s="346"/>
      <c r="S33" s="346"/>
      <c r="T33" s="346"/>
      <c r="U33" s="346"/>
      <c r="V33" s="346"/>
      <c r="W33" s="346"/>
      <c r="X33" s="346"/>
      <c r="Y33" s="346"/>
      <c r="Z33" s="346"/>
    </row>
    <row r="34" spans="1:26" s="3" customFormat="1" ht="20.25" customHeight="1" x14ac:dyDescent="0.45">
      <c r="A34" s="176"/>
      <c r="B34" s="175"/>
      <c r="C34" s="176"/>
      <c r="D34" s="176"/>
      <c r="E34" s="176"/>
      <c r="F34" s="176"/>
      <c r="G34" s="346"/>
      <c r="H34" s="346"/>
      <c r="I34" s="346"/>
      <c r="J34" s="346"/>
      <c r="K34" s="346"/>
      <c r="L34" s="346"/>
      <c r="M34" s="346"/>
      <c r="N34" s="346"/>
      <c r="O34" s="346"/>
      <c r="P34" s="346"/>
      <c r="Q34" s="346"/>
      <c r="R34" s="346"/>
      <c r="S34" s="346"/>
      <c r="T34" s="346"/>
      <c r="U34" s="346"/>
      <c r="V34" s="346"/>
      <c r="W34" s="346"/>
      <c r="X34" s="346"/>
      <c r="Y34" s="346"/>
      <c r="Z34" s="346"/>
    </row>
    <row r="35" spans="1:26" s="3" customFormat="1" ht="20.25" customHeight="1" x14ac:dyDescent="0.45">
      <c r="A35" s="176"/>
      <c r="B35" s="175"/>
      <c r="C35" s="176"/>
      <c r="D35" s="176"/>
      <c r="E35" s="176"/>
      <c r="F35" s="176"/>
      <c r="G35" s="346"/>
      <c r="H35" s="346"/>
      <c r="I35" s="346"/>
      <c r="J35" s="346"/>
      <c r="K35" s="346"/>
      <c r="L35" s="346"/>
      <c r="M35" s="346"/>
      <c r="N35" s="346"/>
      <c r="O35" s="346"/>
      <c r="P35" s="346"/>
      <c r="Q35" s="346"/>
      <c r="R35" s="346"/>
      <c r="S35" s="346"/>
      <c r="T35" s="346"/>
      <c r="U35" s="346"/>
      <c r="V35" s="346"/>
      <c r="W35" s="346"/>
      <c r="X35" s="346"/>
      <c r="Y35" s="346"/>
      <c r="Z35" s="346"/>
    </row>
    <row r="36" spans="1:26" s="3" customFormat="1" ht="20.25" customHeight="1" x14ac:dyDescent="0.45">
      <c r="A36" s="176"/>
      <c r="B36" s="175"/>
      <c r="C36" s="176"/>
      <c r="D36" s="176"/>
      <c r="E36" s="176"/>
      <c r="F36" s="176"/>
      <c r="G36" s="346"/>
      <c r="H36" s="346"/>
      <c r="I36" s="346"/>
      <c r="J36" s="346"/>
      <c r="K36" s="346"/>
      <c r="L36" s="346"/>
      <c r="M36" s="346"/>
      <c r="N36" s="346"/>
      <c r="O36" s="346"/>
      <c r="P36" s="346"/>
      <c r="Q36" s="346"/>
      <c r="R36" s="346"/>
      <c r="S36" s="346"/>
      <c r="T36" s="346"/>
      <c r="U36" s="346"/>
      <c r="V36" s="346"/>
      <c r="W36" s="346"/>
      <c r="X36" s="346"/>
      <c r="Y36" s="346"/>
      <c r="Z36" s="346"/>
    </row>
    <row r="37" spans="1:26" s="3" customFormat="1" ht="20.25" customHeight="1" x14ac:dyDescent="0.45">
      <c r="A37" s="176"/>
      <c r="B37" s="175"/>
      <c r="C37" s="176"/>
      <c r="D37" s="176"/>
      <c r="E37" s="176"/>
      <c r="F37" s="176"/>
      <c r="G37" s="346"/>
      <c r="H37" s="346"/>
      <c r="I37" s="346"/>
      <c r="J37" s="346"/>
      <c r="K37" s="346"/>
      <c r="L37" s="346"/>
      <c r="M37" s="346"/>
      <c r="N37" s="346"/>
      <c r="O37" s="346"/>
      <c r="P37" s="346"/>
      <c r="Q37" s="346"/>
      <c r="R37" s="346"/>
      <c r="S37" s="346"/>
      <c r="T37" s="346"/>
      <c r="U37" s="346"/>
      <c r="V37" s="346"/>
      <c r="W37" s="346"/>
      <c r="X37" s="346"/>
      <c r="Y37" s="346"/>
      <c r="Z37" s="346"/>
    </row>
    <row r="38" spans="1:26" s="150" customFormat="1" ht="20.25" customHeight="1" x14ac:dyDescent="0.45">
      <c r="A38" s="176"/>
      <c r="B38" s="175"/>
      <c r="C38" s="176"/>
      <c r="D38" s="176"/>
      <c r="E38" s="176"/>
      <c r="F38" s="176"/>
      <c r="G38" s="346"/>
      <c r="H38" s="346"/>
      <c r="I38" s="346"/>
      <c r="J38" s="346"/>
      <c r="K38" s="346"/>
      <c r="L38" s="346"/>
      <c r="M38" s="346"/>
      <c r="N38" s="346"/>
      <c r="O38" s="346"/>
      <c r="P38" s="346"/>
      <c r="Q38" s="346"/>
      <c r="R38" s="346"/>
      <c r="S38" s="346"/>
      <c r="T38" s="346"/>
      <c r="U38" s="346"/>
      <c r="V38" s="346"/>
      <c r="W38" s="346"/>
      <c r="X38" s="346"/>
      <c r="Y38" s="346"/>
      <c r="Z38" s="346"/>
    </row>
    <row r="39" spans="1:26" s="3" customFormat="1" ht="20.25" customHeight="1" x14ac:dyDescent="0.45">
      <c r="A39" s="176"/>
      <c r="B39" s="175"/>
      <c r="C39" s="176"/>
      <c r="D39" s="176"/>
      <c r="E39" s="176"/>
      <c r="F39" s="176"/>
      <c r="G39" s="346"/>
      <c r="H39" s="346"/>
      <c r="I39" s="346"/>
      <c r="J39" s="346"/>
      <c r="K39" s="346"/>
      <c r="L39" s="346"/>
      <c r="M39" s="346"/>
      <c r="N39" s="346"/>
      <c r="O39" s="346"/>
      <c r="P39" s="346"/>
      <c r="Q39" s="346"/>
      <c r="R39" s="346"/>
      <c r="S39" s="346"/>
      <c r="T39" s="346"/>
      <c r="U39" s="346"/>
      <c r="V39" s="346"/>
      <c r="W39" s="346"/>
      <c r="X39" s="346"/>
      <c r="Y39" s="346"/>
      <c r="Z39" s="346"/>
    </row>
    <row r="40" spans="1:26" s="150" customFormat="1" ht="20.25" customHeight="1" x14ac:dyDescent="0.45">
      <c r="A40" s="176"/>
      <c r="B40" s="175"/>
      <c r="C40" s="176"/>
      <c r="D40" s="176"/>
      <c r="E40" s="176"/>
      <c r="F40" s="176"/>
      <c r="G40" s="346"/>
      <c r="H40" s="346"/>
      <c r="I40" s="346"/>
      <c r="J40" s="346"/>
      <c r="K40" s="346"/>
      <c r="L40" s="346"/>
      <c r="M40" s="346"/>
      <c r="N40" s="346"/>
      <c r="O40" s="346"/>
      <c r="P40" s="346"/>
      <c r="Q40" s="346"/>
      <c r="R40" s="346"/>
      <c r="S40" s="346"/>
      <c r="T40" s="346"/>
      <c r="U40" s="346"/>
      <c r="V40" s="346"/>
      <c r="W40" s="346"/>
      <c r="X40" s="346"/>
      <c r="Y40" s="346"/>
      <c r="Z40" s="346"/>
    </row>
    <row r="41" spans="1:26" s="150" customFormat="1" ht="20.25" customHeight="1" x14ac:dyDescent="0.45">
      <c r="A41" s="176"/>
      <c r="B41" s="175"/>
      <c r="C41" s="176"/>
      <c r="D41" s="176"/>
      <c r="E41" s="176"/>
      <c r="F41" s="176"/>
      <c r="G41" s="346"/>
      <c r="H41" s="346"/>
      <c r="I41" s="346"/>
      <c r="J41" s="346"/>
      <c r="K41" s="346"/>
      <c r="L41" s="346"/>
      <c r="M41" s="346"/>
      <c r="N41" s="346"/>
      <c r="O41" s="346"/>
      <c r="P41" s="346"/>
      <c r="Q41" s="346"/>
      <c r="R41" s="346"/>
      <c r="S41" s="346"/>
      <c r="T41" s="346"/>
      <c r="U41" s="346"/>
      <c r="V41" s="346"/>
      <c r="W41" s="346"/>
      <c r="X41" s="346"/>
      <c r="Y41" s="346"/>
      <c r="Z41" s="346"/>
    </row>
    <row r="42" spans="1:26" ht="20.25" customHeight="1" x14ac:dyDescent="0.45">
      <c r="A42" s="176"/>
      <c r="B42" s="175"/>
      <c r="C42" s="176"/>
      <c r="D42" s="176"/>
      <c r="E42" s="176"/>
      <c r="F42" s="176"/>
      <c r="G42" s="346"/>
      <c r="H42" s="346"/>
      <c r="I42" s="346"/>
      <c r="J42" s="346"/>
      <c r="K42" s="346"/>
      <c r="L42" s="346"/>
      <c r="M42" s="346"/>
      <c r="N42" s="346"/>
      <c r="O42" s="346"/>
      <c r="P42" s="346"/>
      <c r="Q42" s="346"/>
      <c r="R42" s="346"/>
      <c r="S42" s="346"/>
      <c r="T42" s="346"/>
      <c r="U42" s="346"/>
      <c r="V42" s="346"/>
      <c r="W42" s="346"/>
      <c r="X42" s="346"/>
      <c r="Y42" s="346"/>
      <c r="Z42" s="346"/>
    </row>
    <row r="43" spans="1:26" ht="20.25" customHeight="1" x14ac:dyDescent="0.45">
      <c r="B43" s="3"/>
      <c r="E43" s="5"/>
      <c r="F43" s="5"/>
      <c r="G43" s="11"/>
      <c r="H43" s="11"/>
      <c r="I43" s="11"/>
      <c r="J43" s="11"/>
      <c r="K43" s="11"/>
      <c r="L43" s="11"/>
      <c r="M43" s="11"/>
      <c r="N43" s="11"/>
      <c r="O43" s="11"/>
      <c r="P43" s="11"/>
      <c r="Q43" s="11"/>
      <c r="R43" s="11"/>
      <c r="S43" s="11"/>
      <c r="T43" s="11"/>
      <c r="U43" s="11"/>
      <c r="V43" s="11"/>
      <c r="W43" s="11"/>
      <c r="X43" s="11"/>
      <c r="Y43" s="11"/>
      <c r="Z43" s="11"/>
    </row>
    <row r="44" spans="1:26" ht="20.25" customHeight="1" x14ac:dyDescent="0.45">
      <c r="B44" s="3"/>
      <c r="E44" s="5"/>
      <c r="F44" s="5"/>
      <c r="G44" s="11"/>
      <c r="H44" s="11"/>
      <c r="I44" s="11"/>
      <c r="J44" s="11"/>
      <c r="K44" s="11"/>
      <c r="L44" s="11"/>
      <c r="M44" s="11"/>
      <c r="N44" s="11"/>
      <c r="O44" s="11"/>
      <c r="P44" s="11"/>
      <c r="Q44" s="11"/>
      <c r="R44" s="11"/>
      <c r="S44" s="11"/>
      <c r="T44" s="11"/>
      <c r="U44" s="11"/>
      <c r="V44" s="11"/>
      <c r="W44" s="11"/>
      <c r="X44" s="11"/>
      <c r="Y44" s="11"/>
      <c r="Z44" s="11"/>
    </row>
    <row r="45" spans="1:26" ht="20.25" customHeight="1" x14ac:dyDescent="0.45">
      <c r="B45" s="3"/>
      <c r="E45" s="5"/>
      <c r="F45" s="5"/>
      <c r="G45" s="11"/>
      <c r="H45" s="11"/>
      <c r="I45" s="11"/>
      <c r="J45" s="11"/>
      <c r="K45" s="11"/>
      <c r="L45" s="11"/>
      <c r="M45" s="11"/>
      <c r="N45" s="11"/>
      <c r="O45" s="11"/>
      <c r="P45" s="11"/>
      <c r="Q45" s="11"/>
      <c r="R45" s="11"/>
      <c r="S45" s="11"/>
      <c r="T45" s="11"/>
      <c r="U45" s="11"/>
      <c r="V45" s="11"/>
      <c r="W45" s="11"/>
      <c r="X45" s="11"/>
      <c r="Y45" s="11"/>
      <c r="Z45" s="11"/>
    </row>
    <row r="46" spans="1:26" ht="20.25" customHeight="1" x14ac:dyDescent="0.45">
      <c r="B46" s="3"/>
      <c r="E46" s="5"/>
      <c r="F46" s="5"/>
      <c r="G46" s="11"/>
      <c r="H46" s="11"/>
      <c r="I46" s="11"/>
      <c r="J46" s="11"/>
      <c r="K46" s="11"/>
      <c r="L46" s="11"/>
      <c r="M46" s="11"/>
      <c r="N46" s="11"/>
      <c r="O46" s="11"/>
      <c r="P46" s="11"/>
      <c r="Q46" s="11"/>
      <c r="R46" s="11"/>
      <c r="S46" s="11"/>
      <c r="T46" s="11"/>
      <c r="U46" s="11"/>
      <c r="V46" s="11"/>
      <c r="W46" s="11"/>
      <c r="X46" s="11"/>
      <c r="Y46" s="11"/>
      <c r="Z46" s="11"/>
    </row>
    <row r="47" spans="1:26" ht="20.25" customHeight="1" x14ac:dyDescent="0.45">
      <c r="B47" s="3"/>
      <c r="E47" s="5"/>
      <c r="F47" s="5"/>
      <c r="G47" s="11"/>
      <c r="H47" s="11"/>
      <c r="I47" s="11"/>
      <c r="J47" s="11"/>
      <c r="K47" s="11"/>
      <c r="L47" s="11"/>
      <c r="M47" s="11"/>
      <c r="N47" s="11"/>
      <c r="O47" s="11"/>
      <c r="P47" s="11"/>
      <c r="Q47" s="11"/>
      <c r="R47" s="11"/>
      <c r="S47" s="11"/>
      <c r="T47" s="11"/>
      <c r="U47" s="11"/>
      <c r="V47" s="11"/>
      <c r="W47" s="11"/>
      <c r="X47" s="11"/>
      <c r="Y47" s="11"/>
      <c r="Z47" s="11"/>
    </row>
    <row r="48" spans="1:26" ht="20.25" customHeight="1" x14ac:dyDescent="0.45">
      <c r="B48" s="3"/>
      <c r="E48" s="5"/>
      <c r="F48" s="5"/>
      <c r="G48" s="11"/>
      <c r="H48" s="11"/>
      <c r="I48" s="11"/>
      <c r="J48" s="11"/>
      <c r="K48" s="11"/>
      <c r="L48" s="11"/>
      <c r="M48" s="11"/>
      <c r="N48" s="11"/>
      <c r="O48" s="11"/>
      <c r="P48" s="11"/>
      <c r="Q48" s="11"/>
      <c r="R48" s="11"/>
      <c r="S48" s="11"/>
      <c r="T48" s="11"/>
      <c r="U48" s="11"/>
      <c r="V48" s="11"/>
      <c r="W48" s="11"/>
      <c r="X48" s="11"/>
      <c r="Y48" s="11"/>
      <c r="Z48" s="11"/>
    </row>
    <row r="49" spans="1:26" ht="20.25" customHeight="1" x14ac:dyDescent="0.45">
      <c r="B49" s="3"/>
      <c r="E49" s="5"/>
      <c r="F49" s="5"/>
      <c r="G49" s="11"/>
      <c r="H49" s="11"/>
      <c r="I49" s="11"/>
      <c r="J49" s="11"/>
      <c r="K49" s="11"/>
      <c r="L49" s="11"/>
      <c r="M49" s="11"/>
      <c r="N49" s="11"/>
      <c r="O49" s="11"/>
      <c r="P49" s="11"/>
      <c r="Q49" s="11"/>
      <c r="R49" s="11"/>
      <c r="S49" s="11"/>
      <c r="T49" s="11"/>
      <c r="U49" s="11"/>
      <c r="V49" s="11"/>
      <c r="W49" s="11"/>
      <c r="X49" s="11"/>
      <c r="Y49" s="11"/>
      <c r="Z49" s="11"/>
    </row>
    <row r="50" spans="1:26" ht="20.25" customHeight="1" x14ac:dyDescent="0.45">
      <c r="B50" s="3"/>
      <c r="E50" s="5"/>
      <c r="F50" s="5"/>
      <c r="G50" s="11"/>
      <c r="H50" s="11"/>
      <c r="I50" s="11"/>
      <c r="J50" s="11"/>
      <c r="K50" s="11"/>
      <c r="L50" s="11"/>
      <c r="M50" s="11"/>
      <c r="N50" s="11"/>
      <c r="O50" s="11"/>
      <c r="P50" s="11"/>
      <c r="Q50" s="11"/>
      <c r="R50" s="11"/>
      <c r="S50" s="11"/>
      <c r="T50" s="11"/>
      <c r="U50" s="11"/>
      <c r="V50" s="11"/>
      <c r="W50" s="11"/>
      <c r="X50" s="11"/>
      <c r="Y50" s="11"/>
      <c r="Z50" s="11"/>
    </row>
    <row r="51" spans="1:26" ht="20.25" customHeight="1" x14ac:dyDescent="0.45">
      <c r="B51" s="3"/>
      <c r="E51" s="5"/>
      <c r="F51" s="5"/>
      <c r="G51" s="11"/>
      <c r="H51" s="11"/>
      <c r="I51" s="11"/>
      <c r="J51" s="11"/>
      <c r="K51" s="11"/>
      <c r="L51" s="11"/>
      <c r="M51" s="11"/>
      <c r="N51" s="11"/>
      <c r="O51" s="11"/>
      <c r="P51" s="11"/>
      <c r="Q51" s="11"/>
      <c r="R51" s="11"/>
      <c r="S51" s="11"/>
      <c r="T51" s="11"/>
      <c r="U51" s="11"/>
      <c r="V51" s="11"/>
      <c r="W51" s="11"/>
      <c r="X51" s="11"/>
      <c r="Y51" s="11"/>
      <c r="Z51" s="11"/>
    </row>
    <row r="52" spans="1:26" ht="20.25" customHeight="1" x14ac:dyDescent="0.45">
      <c r="B52" s="3"/>
      <c r="E52" s="5"/>
      <c r="F52" s="5"/>
      <c r="G52" s="11"/>
      <c r="H52" s="11"/>
      <c r="I52" s="11"/>
      <c r="J52" s="11"/>
      <c r="K52" s="11"/>
      <c r="L52" s="11"/>
      <c r="M52" s="11"/>
      <c r="N52" s="11"/>
      <c r="O52" s="11"/>
      <c r="P52" s="11"/>
      <c r="Q52" s="11"/>
      <c r="R52" s="11"/>
      <c r="S52" s="11"/>
      <c r="T52" s="11"/>
      <c r="U52" s="11"/>
      <c r="V52" s="11"/>
      <c r="W52" s="11"/>
      <c r="X52" s="11"/>
      <c r="Y52" s="11"/>
      <c r="Z52" s="11"/>
    </row>
    <row r="53" spans="1:26" ht="20.25" customHeight="1" x14ac:dyDescent="0.45">
      <c r="B53" s="3"/>
      <c r="E53" s="5"/>
      <c r="F53" s="5"/>
      <c r="G53" s="11"/>
      <c r="H53" s="11"/>
      <c r="I53" s="11"/>
      <c r="J53" s="11"/>
      <c r="K53" s="11"/>
      <c r="L53" s="11"/>
      <c r="M53" s="11"/>
      <c r="N53" s="11"/>
      <c r="O53" s="11"/>
      <c r="P53" s="11"/>
      <c r="Q53" s="11"/>
      <c r="R53" s="11"/>
      <c r="S53" s="11"/>
      <c r="T53" s="11"/>
      <c r="U53" s="11"/>
      <c r="V53" s="11"/>
      <c r="W53" s="11"/>
      <c r="X53" s="11"/>
      <c r="Y53" s="11"/>
      <c r="Z53" s="11"/>
    </row>
    <row r="54" spans="1:26" ht="20.25" customHeight="1" x14ac:dyDescent="0.45">
      <c r="B54" s="3"/>
      <c r="E54" s="5"/>
      <c r="F54" s="5"/>
      <c r="G54" s="11"/>
      <c r="H54" s="11"/>
      <c r="I54" s="11"/>
      <c r="J54" s="11"/>
      <c r="K54" s="11"/>
      <c r="L54" s="11"/>
      <c r="M54" s="11"/>
      <c r="N54" s="11"/>
      <c r="O54" s="11"/>
      <c r="P54" s="11"/>
      <c r="Q54" s="11"/>
      <c r="R54" s="11"/>
      <c r="S54" s="11"/>
      <c r="T54" s="11"/>
      <c r="U54" s="11"/>
      <c r="V54" s="11"/>
      <c r="W54" s="11"/>
      <c r="X54" s="11"/>
      <c r="Y54" s="11"/>
      <c r="Z54" s="11"/>
    </row>
    <row r="55" spans="1:26" s="105" customFormat="1" ht="20.25" customHeight="1" x14ac:dyDescent="0.45">
      <c r="A55" s="70"/>
      <c r="C55" s="70"/>
      <c r="D55" s="70"/>
      <c r="E55" s="206"/>
      <c r="F55" s="206"/>
      <c r="G55" s="207"/>
      <c r="H55" s="207"/>
      <c r="I55" s="207"/>
      <c r="J55" s="207"/>
      <c r="K55" s="207"/>
      <c r="L55" s="207"/>
      <c r="M55" s="207"/>
      <c r="N55" s="207"/>
      <c r="O55" s="207"/>
      <c r="P55" s="207"/>
      <c r="Q55" s="207"/>
      <c r="R55" s="207"/>
      <c r="S55" s="207"/>
      <c r="T55" s="207"/>
      <c r="U55" s="207"/>
      <c r="V55" s="207"/>
      <c r="W55" s="207"/>
      <c r="X55" s="207"/>
      <c r="Y55" s="207"/>
    </row>
    <row r="58" spans="1:26" ht="15" customHeight="1" x14ac:dyDescent="0.5">
      <c r="D58" s="204"/>
      <c r="N58" s="205"/>
      <c r="W58" s="205"/>
    </row>
  </sheetData>
  <mergeCells count="25">
    <mergeCell ref="F15:F16"/>
    <mergeCell ref="A15:A16"/>
    <mergeCell ref="B15:B16"/>
    <mergeCell ref="C15:C16"/>
    <mergeCell ref="D15:D16"/>
    <mergeCell ref="E15:E16"/>
    <mergeCell ref="G15:G16"/>
    <mergeCell ref="H15:H16"/>
    <mergeCell ref="I15:I16"/>
    <mergeCell ref="J15:J16"/>
    <mergeCell ref="K15:K16"/>
    <mergeCell ref="X15:X16"/>
    <mergeCell ref="Y15:Y16"/>
    <mergeCell ref="Z15:Z16"/>
    <mergeCell ref="N15:N16"/>
    <mergeCell ref="Q15:R15"/>
    <mergeCell ref="S15:S16"/>
    <mergeCell ref="T15:T16"/>
    <mergeCell ref="Q14:T14"/>
    <mergeCell ref="K14:P14"/>
    <mergeCell ref="V15:V16"/>
    <mergeCell ref="U15:U16"/>
    <mergeCell ref="W15:W16"/>
    <mergeCell ref="L15:M15"/>
    <mergeCell ref="O15:P15"/>
  </mergeCells>
  <conditionalFormatting sqref="A18:Z3300">
    <cfRule type="expression" dxfId="14" priority="1">
      <formula>$B18="SUM"</formula>
    </cfRule>
  </conditionalFormatting>
  <pageMargins left="0.11" right="7.0000000000000007E-2" top="0.39" bottom="0.75" header="0.3" footer="0.3"/>
  <pageSetup paperSize="9" scale="26" fitToHeight="0" orientation="landscape"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BangCC">
    <tabColor theme="1"/>
    <pageSetUpPr fitToPage="1"/>
  </sheetPr>
  <dimension ref="A1:BD46"/>
  <sheetViews>
    <sheetView showGridLines="0" workbookViewId="0">
      <selection activeCell="P15" sqref="P15"/>
    </sheetView>
  </sheetViews>
  <sheetFormatPr defaultRowHeight="14.25" x14ac:dyDescent="0.45"/>
  <cols>
    <col min="1" max="1" width="5.86328125" customWidth="1"/>
    <col min="2" max="2" width="23.59765625" customWidth="1"/>
    <col min="3" max="3" width="12.59765625" customWidth="1"/>
    <col min="4" max="4" width="6.265625" style="5" customWidth="1"/>
    <col min="5" max="35" width="3.1328125" customWidth="1"/>
    <col min="36" max="36" width="8.1328125" customWidth="1"/>
    <col min="37" max="37" width="10" customWidth="1"/>
    <col min="38" max="38" width="8.1328125" customWidth="1"/>
    <col min="39" max="42" width="10.1328125" hidden="1" customWidth="1"/>
    <col min="43" max="43" width="9.1328125" style="15" hidden="1" customWidth="1"/>
    <col min="44" max="44" width="1.265625" style="15" hidden="1" customWidth="1"/>
    <col min="45" max="45" width="10" customWidth="1"/>
    <col min="46" max="46" width="9" customWidth="1"/>
    <col min="47" max="53" width="9" hidden="1" customWidth="1"/>
    <col min="55" max="55" width="11.265625" customWidth="1"/>
    <col min="56" max="56" width="9.265625" customWidth="1"/>
  </cols>
  <sheetData>
    <row r="1" spans="1:56" x14ac:dyDescent="0.45">
      <c r="B1" s="135" t="s">
        <v>170</v>
      </c>
      <c r="C1" s="136">
        <f>Danh_Sach!B4</f>
        <v>2023</v>
      </c>
      <c r="D1" s="153"/>
      <c r="E1" s="140"/>
      <c r="F1" s="140"/>
      <c r="G1" s="140"/>
      <c r="H1" s="140"/>
      <c r="I1" s="140"/>
      <c r="J1" s="140"/>
      <c r="K1" s="140"/>
      <c r="L1" s="140"/>
      <c r="M1" s="140"/>
      <c r="N1" s="140"/>
      <c r="O1" s="140"/>
      <c r="P1" s="140"/>
      <c r="Q1" s="140"/>
      <c r="R1" s="140"/>
      <c r="S1" s="140"/>
      <c r="T1" s="140"/>
      <c r="U1" s="140"/>
      <c r="V1" s="140"/>
      <c r="W1" s="140"/>
      <c r="X1" s="141"/>
      <c r="Y1" s="142" t="s">
        <v>189</v>
      </c>
      <c r="Z1" s="145">
        <v>3</v>
      </c>
      <c r="AK1" s="65"/>
      <c r="AU1" s="129" t="s">
        <v>177</v>
      </c>
      <c r="AV1" s="129" t="s">
        <v>178</v>
      </c>
      <c r="AW1" s="129" t="s">
        <v>179</v>
      </c>
      <c r="AX1" s="129" t="s">
        <v>32</v>
      </c>
      <c r="AY1" s="129" t="s">
        <v>33</v>
      </c>
      <c r="AZ1" s="129" t="s">
        <v>34</v>
      </c>
      <c r="BA1" s="129" t="s">
        <v>35</v>
      </c>
      <c r="BB1" t="s">
        <v>207</v>
      </c>
      <c r="BC1" s="157" t="s">
        <v>209</v>
      </c>
      <c r="BD1" s="158" t="s">
        <v>210</v>
      </c>
    </row>
    <row r="2" spans="1:56" x14ac:dyDescent="0.45">
      <c r="B2" s="135" t="s">
        <v>169</v>
      </c>
      <c r="C2" s="182">
        <v>1</v>
      </c>
      <c r="D2" s="153"/>
      <c r="E2" s="140"/>
      <c r="F2" s="140"/>
      <c r="G2" s="140"/>
      <c r="H2" s="140"/>
      <c r="I2" s="140"/>
      <c r="J2" s="140"/>
      <c r="K2" s="140"/>
      <c r="L2" s="140"/>
      <c r="M2" s="140"/>
      <c r="N2" s="140"/>
      <c r="O2" s="140"/>
      <c r="P2" s="140"/>
      <c r="Q2" s="140"/>
      <c r="R2" s="140"/>
      <c r="S2" s="140"/>
      <c r="T2" s="140"/>
      <c r="U2" s="140"/>
      <c r="V2" s="140"/>
      <c r="W2" s="140"/>
      <c r="X2" s="141"/>
      <c r="Y2" s="142" t="s">
        <v>191</v>
      </c>
      <c r="Z2" s="145">
        <v>5</v>
      </c>
      <c r="AU2" t="s">
        <v>180</v>
      </c>
    </row>
    <row r="3" spans="1:56" ht="16.5" customHeight="1" x14ac:dyDescent="0.45">
      <c r="B3" s="135" t="s">
        <v>172</v>
      </c>
      <c r="C3" s="136">
        <f>DAY(EOMONTH(DATE(C1,C2,1),0))</f>
        <v>31</v>
      </c>
      <c r="D3" s="651">
        <v>1</v>
      </c>
      <c r="E3" s="651"/>
      <c r="F3" s="651"/>
      <c r="G3" s="651"/>
      <c r="H3" s="651">
        <v>1</v>
      </c>
      <c r="I3" s="651"/>
      <c r="J3" s="651"/>
      <c r="K3" s="651"/>
      <c r="L3" s="651"/>
    </row>
    <row r="4" spans="1:56" x14ac:dyDescent="0.45">
      <c r="B4" s="135" t="s">
        <v>176</v>
      </c>
      <c r="C4" s="136">
        <f>NETWORKDAYS.INTL(DATE(C1,C2,1),EOMONTH(DATE(C1,C2,1),0),VLOOKUP(Cham_Cong!C3,Cham_Cong!T1:U2,2,0))</f>
        <v>26</v>
      </c>
      <c r="E4" s="133"/>
      <c r="F4" s="133"/>
      <c r="G4" s="133"/>
      <c r="H4" s="133"/>
      <c r="I4" s="133"/>
      <c r="J4" s="133"/>
      <c r="K4" s="133"/>
      <c r="L4" s="133"/>
      <c r="M4" s="133"/>
    </row>
    <row r="5" spans="1:56" x14ac:dyDescent="0.45">
      <c r="B5" s="65"/>
      <c r="G5" s="132"/>
      <c r="H5" s="132"/>
      <c r="I5" s="132"/>
      <c r="J5" s="132"/>
      <c r="K5" s="132"/>
      <c r="L5" s="132"/>
      <c r="M5" s="132"/>
    </row>
    <row r="6" spans="1:56" ht="15" customHeight="1" x14ac:dyDescent="0.45">
      <c r="A6" s="300" t="s">
        <v>171</v>
      </c>
      <c r="B6" s="301" t="str">
        <f>"BẢNG CHẤM CÔNG THÁNG "&amp;C2&amp;"/"&amp;C1</f>
        <v>BẢNG CHẤM CÔNG THÁNG 1/2023</v>
      </c>
      <c r="C6" s="301"/>
      <c r="D6" s="302"/>
      <c r="E6" s="332"/>
      <c r="F6" s="332"/>
      <c r="G6" s="332"/>
      <c r="H6" s="332"/>
      <c r="I6" s="332"/>
      <c r="J6" s="332"/>
      <c r="K6" s="332"/>
      <c r="L6" s="332"/>
      <c r="M6" s="332"/>
      <c r="N6" s="332"/>
      <c r="O6" s="332"/>
      <c r="P6" s="332"/>
      <c r="Q6" s="332"/>
      <c r="R6" s="332"/>
      <c r="S6" s="332"/>
      <c r="T6" s="332"/>
      <c r="U6" s="332"/>
      <c r="V6" s="332"/>
      <c r="W6" s="332"/>
      <c r="X6" s="332"/>
      <c r="Y6" s="332"/>
      <c r="Z6" s="332"/>
      <c r="AA6" s="332"/>
      <c r="AB6" s="332"/>
      <c r="AC6" s="332"/>
      <c r="AD6" s="332"/>
      <c r="AE6" s="332"/>
      <c r="AF6" s="332"/>
      <c r="AG6" s="332"/>
      <c r="AH6" s="332"/>
      <c r="AI6" s="332"/>
      <c r="AJ6" s="648" t="s">
        <v>211</v>
      </c>
      <c r="AK6" s="648" t="s">
        <v>212</v>
      </c>
      <c r="AL6" s="648" t="s">
        <v>213</v>
      </c>
      <c r="AM6" s="307"/>
      <c r="AN6" s="307"/>
      <c r="AO6" s="307"/>
      <c r="AP6" s="307"/>
      <c r="AQ6" s="652" t="s">
        <v>173</v>
      </c>
      <c r="AR6" s="652"/>
      <c r="AS6" s="648" t="s">
        <v>214</v>
      </c>
    </row>
    <row r="7" spans="1:56" ht="17.25" customHeight="1" x14ac:dyDescent="0.45">
      <c r="A7" s="303" t="s">
        <v>171</v>
      </c>
      <c r="B7" s="304" t="str">
        <f>"Số lượng nhân viên: "&amp;SUBTOTAL(3,B10:B1000)</f>
        <v>Số lượng nhân viên: 2</v>
      </c>
      <c r="C7" s="305"/>
      <c r="D7" s="306"/>
      <c r="E7" s="308" t="str">
        <f>IF(WEEKDAY(DATE($C$1,$C$2,E8),1)=1,"CN","T"&amp;WEEKDAY(DATE($C$1,$C$2,E8),1))</f>
        <v>CN</v>
      </c>
      <c r="F7" s="308" t="str">
        <f t="shared" ref="F7:AI7" si="0">IF(WEEKDAY(DATE($C$1,$C$2,F8),1)=1,"CN","T"&amp;WEEKDAY(DATE($C$1,$C$2,F8),1))</f>
        <v>T2</v>
      </c>
      <c r="G7" s="308" t="str">
        <f t="shared" si="0"/>
        <v>T3</v>
      </c>
      <c r="H7" s="308" t="str">
        <f t="shared" si="0"/>
        <v>T4</v>
      </c>
      <c r="I7" s="308" t="str">
        <f t="shared" si="0"/>
        <v>T5</v>
      </c>
      <c r="J7" s="308" t="str">
        <f t="shared" si="0"/>
        <v>T6</v>
      </c>
      <c r="K7" s="308" t="str">
        <f t="shared" si="0"/>
        <v>T7</v>
      </c>
      <c r="L7" s="308" t="str">
        <f t="shared" si="0"/>
        <v>CN</v>
      </c>
      <c r="M7" s="308" t="str">
        <f t="shared" si="0"/>
        <v>T2</v>
      </c>
      <c r="N7" s="308" t="str">
        <f t="shared" si="0"/>
        <v>T3</v>
      </c>
      <c r="O7" s="308" t="str">
        <f t="shared" si="0"/>
        <v>T4</v>
      </c>
      <c r="P7" s="308" t="str">
        <f t="shared" si="0"/>
        <v>T5</v>
      </c>
      <c r="Q7" s="308" t="str">
        <f t="shared" si="0"/>
        <v>T6</v>
      </c>
      <c r="R7" s="308" t="str">
        <f t="shared" si="0"/>
        <v>T7</v>
      </c>
      <c r="S7" s="308" t="str">
        <f t="shared" si="0"/>
        <v>CN</v>
      </c>
      <c r="T7" s="308" t="str">
        <f t="shared" si="0"/>
        <v>T2</v>
      </c>
      <c r="U7" s="308" t="str">
        <f t="shared" si="0"/>
        <v>T3</v>
      </c>
      <c r="V7" s="308" t="str">
        <f t="shared" si="0"/>
        <v>T4</v>
      </c>
      <c r="W7" s="308" t="str">
        <f t="shared" si="0"/>
        <v>T5</v>
      </c>
      <c r="X7" s="308" t="str">
        <f t="shared" si="0"/>
        <v>T6</v>
      </c>
      <c r="Y7" s="308" t="str">
        <f t="shared" si="0"/>
        <v>T7</v>
      </c>
      <c r="Z7" s="308" t="str">
        <f t="shared" si="0"/>
        <v>CN</v>
      </c>
      <c r="AA7" s="308" t="str">
        <f t="shared" si="0"/>
        <v>T2</v>
      </c>
      <c r="AB7" s="308" t="str">
        <f t="shared" si="0"/>
        <v>T3</v>
      </c>
      <c r="AC7" s="308" t="str">
        <f t="shared" si="0"/>
        <v>T4</v>
      </c>
      <c r="AD7" s="308" t="str">
        <f t="shared" si="0"/>
        <v>T5</v>
      </c>
      <c r="AE7" s="308" t="str">
        <f t="shared" si="0"/>
        <v>T6</v>
      </c>
      <c r="AF7" s="308" t="str">
        <f t="shared" si="0"/>
        <v>T7</v>
      </c>
      <c r="AG7" s="309" t="str">
        <f t="shared" si="0"/>
        <v>CN</v>
      </c>
      <c r="AH7" s="308" t="str">
        <f t="shared" si="0"/>
        <v>T2</v>
      </c>
      <c r="AI7" s="308" t="str">
        <f t="shared" si="0"/>
        <v>T3</v>
      </c>
      <c r="AJ7" s="649"/>
      <c r="AK7" s="649"/>
      <c r="AL7" s="649"/>
      <c r="AM7" s="310"/>
      <c r="AN7" s="310"/>
      <c r="AO7" s="310"/>
      <c r="AP7" s="310"/>
      <c r="AQ7" s="311" t="s">
        <v>174</v>
      </c>
      <c r="AR7" s="311" t="s">
        <v>175</v>
      </c>
      <c r="AS7" s="649"/>
    </row>
    <row r="8" spans="1:56" ht="21.75" customHeight="1" x14ac:dyDescent="0.45">
      <c r="A8" s="309" t="s">
        <v>1</v>
      </c>
      <c r="B8" s="309" t="s">
        <v>2</v>
      </c>
      <c r="C8" s="309" t="s">
        <v>3</v>
      </c>
      <c r="D8" s="309" t="s">
        <v>27</v>
      </c>
      <c r="E8" s="309">
        <v>1</v>
      </c>
      <c r="F8" s="309">
        <v>2</v>
      </c>
      <c r="G8" s="309">
        <v>3</v>
      </c>
      <c r="H8" s="309">
        <v>4</v>
      </c>
      <c r="I8" s="309">
        <v>5</v>
      </c>
      <c r="J8" s="309">
        <v>6</v>
      </c>
      <c r="K8" s="309">
        <v>7</v>
      </c>
      <c r="L8" s="309">
        <v>8</v>
      </c>
      <c r="M8" s="309">
        <v>9</v>
      </c>
      <c r="N8" s="309">
        <v>10</v>
      </c>
      <c r="O8" s="309">
        <v>11</v>
      </c>
      <c r="P8" s="309">
        <v>12</v>
      </c>
      <c r="Q8" s="309">
        <v>13</v>
      </c>
      <c r="R8" s="309">
        <v>14</v>
      </c>
      <c r="S8" s="309">
        <v>15</v>
      </c>
      <c r="T8" s="309">
        <v>16</v>
      </c>
      <c r="U8" s="309">
        <v>17</v>
      </c>
      <c r="V8" s="309">
        <v>18</v>
      </c>
      <c r="W8" s="309">
        <v>19</v>
      </c>
      <c r="X8" s="309">
        <v>20</v>
      </c>
      <c r="Y8" s="309">
        <v>21</v>
      </c>
      <c r="Z8" s="309">
        <v>22</v>
      </c>
      <c r="AA8" s="309">
        <v>23</v>
      </c>
      <c r="AB8" s="309">
        <v>24</v>
      </c>
      <c r="AC8" s="309">
        <v>25</v>
      </c>
      <c r="AD8" s="309">
        <v>26</v>
      </c>
      <c r="AE8" s="309">
        <v>27</v>
      </c>
      <c r="AF8" s="309">
        <v>28</v>
      </c>
      <c r="AG8" s="309">
        <v>29</v>
      </c>
      <c r="AH8" s="309">
        <v>30</v>
      </c>
      <c r="AI8" s="309">
        <v>31</v>
      </c>
      <c r="AJ8" s="650"/>
      <c r="AK8" s="650"/>
      <c r="AL8" s="650"/>
      <c r="AM8" s="312"/>
      <c r="AN8" s="312"/>
      <c r="AO8" s="312"/>
      <c r="AP8" s="312"/>
      <c r="AQ8" s="313">
        <f ca="1">COUNTIF(AK10:AK1000,"&gt;0")</f>
        <v>0</v>
      </c>
      <c r="AR8" s="313"/>
      <c r="AS8" s="650"/>
    </row>
    <row r="9" spans="1:56" x14ac:dyDescent="0.45">
      <c r="A9" s="49" t="s">
        <v>171</v>
      </c>
      <c r="B9" s="129" t="s">
        <v>36</v>
      </c>
      <c r="C9" s="129" t="s">
        <v>25</v>
      </c>
      <c r="D9" s="129" t="s">
        <v>27</v>
      </c>
      <c r="E9" s="139"/>
      <c r="F9" s="139"/>
      <c r="G9" s="139"/>
      <c r="H9" s="139"/>
      <c r="I9" s="139"/>
      <c r="J9" s="139"/>
      <c r="K9" s="139"/>
      <c r="L9" s="139"/>
      <c r="M9" s="139"/>
      <c r="N9" s="139"/>
      <c r="O9" s="139"/>
      <c r="P9" s="139"/>
      <c r="Q9" s="139"/>
      <c r="R9" s="139"/>
      <c r="S9" s="139"/>
      <c r="T9" s="139"/>
      <c r="U9" s="139"/>
      <c r="V9" s="139"/>
      <c r="W9" s="139"/>
      <c r="X9" s="139"/>
      <c r="Y9" s="139"/>
      <c r="Z9" s="139"/>
      <c r="AA9" s="139"/>
      <c r="AB9" s="139"/>
      <c r="AC9" s="139"/>
      <c r="AD9" s="139"/>
      <c r="AE9" s="139"/>
      <c r="AF9" s="139"/>
      <c r="AG9" s="139"/>
      <c r="AH9" s="139"/>
      <c r="AI9" s="139"/>
      <c r="AJ9" s="129" t="s">
        <v>177</v>
      </c>
      <c r="AK9" s="129" t="s">
        <v>178</v>
      </c>
      <c r="AL9" s="129" t="s">
        <v>179</v>
      </c>
      <c r="AM9" s="129" t="s">
        <v>32</v>
      </c>
      <c r="AN9" s="129" t="s">
        <v>33</v>
      </c>
      <c r="AO9" s="129" t="s">
        <v>34</v>
      </c>
      <c r="AP9" s="129" t="s">
        <v>35</v>
      </c>
      <c r="AS9" s="129" t="s">
        <v>208</v>
      </c>
    </row>
    <row r="10" spans="1:56" x14ac:dyDescent="0.45">
      <c r="A10" s="5">
        <f>IF(B10="","",SUBTOTAL(3,$B$10:B10))</f>
        <v>1</v>
      </c>
      <c r="B10" s="18">
        <f>INDEX(Danh_Sach!$B$13:$N$2994,ROWS($B$10:$Q10),MATCH(B$9,Danh_Sach!$B$12:$N$12,0))</f>
        <v>0</v>
      </c>
      <c r="C10" s="104">
        <f>INDEX(Danh_Sach!$B$13:$N$2994,ROWS($B$10:$Q10),MATCH(C$9,Danh_Sach!$B$12:$N$12,0))</f>
        <v>0</v>
      </c>
      <c r="D10" s="131">
        <f>INDEX(Danh_Sach!$B$13:$N$2994,ROWS($B$10:$Q10),MATCH(D$9,Danh_Sach!$B$12:$N$12,0))</f>
        <v>0</v>
      </c>
      <c r="E10" s="5"/>
      <c r="F10" s="5">
        <v>1</v>
      </c>
      <c r="G10" s="5">
        <v>1</v>
      </c>
      <c r="H10" s="5">
        <v>1</v>
      </c>
      <c r="I10" s="5">
        <v>1</v>
      </c>
      <c r="J10" s="5">
        <v>1</v>
      </c>
      <c r="K10" s="5">
        <v>1</v>
      </c>
      <c r="L10" s="5"/>
      <c r="M10" s="5">
        <v>1</v>
      </c>
      <c r="N10" s="5">
        <v>1</v>
      </c>
      <c r="O10" s="5">
        <v>1</v>
      </c>
      <c r="P10" s="5">
        <v>1</v>
      </c>
      <c r="Q10" s="5">
        <v>1</v>
      </c>
      <c r="R10" s="5">
        <v>1</v>
      </c>
      <c r="S10" s="5"/>
      <c r="T10" s="5">
        <v>1</v>
      </c>
      <c r="U10" s="5">
        <v>1</v>
      </c>
      <c r="V10" s="5">
        <v>1</v>
      </c>
      <c r="W10" s="5">
        <v>1</v>
      </c>
      <c r="X10" s="5">
        <v>1</v>
      </c>
      <c r="Y10" s="5">
        <v>1</v>
      </c>
      <c r="Z10" s="5"/>
      <c r="AA10" s="5">
        <v>1</v>
      </c>
      <c r="AB10" s="5">
        <v>1</v>
      </c>
      <c r="AC10" s="5">
        <v>1</v>
      </c>
      <c r="AD10" s="5">
        <v>1</v>
      </c>
      <c r="AE10" s="5">
        <v>1</v>
      </c>
      <c r="AF10" s="5">
        <v>1</v>
      </c>
      <c r="AG10" s="5"/>
      <c r="AH10" s="5">
        <v>1</v>
      </c>
      <c r="AI10" s="5">
        <v>1</v>
      </c>
      <c r="AJ10" s="5">
        <f>COUNTIFS(E10:AI10,"&lt;&gt;0",E10:AI10,"&lt;&gt;")</f>
        <v>26</v>
      </c>
      <c r="AK10" s="5">
        <f ca="1">VLOOKUP(C10,INDIRECT("'"&amp;$C$2&amp;"'!"&amp;"C14:AX1000"),10,0)</f>
        <v>0</v>
      </c>
      <c r="AL10" s="137">
        <f>IF(AJ10=0,0,MAX(0,$C$4-VLOOKUP(C10,Cham_Cong!$C$10:$T$320,$C$2+2,0)))</f>
        <v>26</v>
      </c>
      <c r="AM10" s="15" t="str">
        <f>IF(INDEX(Danh_Sach!$B$13:$N$2994,ROWS($B$10:$B10),MATCH(AM$9,Danh_Sach!$B$12:$N$12,0))=0,"",MONTH(INDEX(Danh_Sach!$B$13:$N$2994,ROWS($B$10:$B10),MATCH(AM$9,Danh_Sach!$B$12:$N$12,0))))</f>
        <v/>
      </c>
      <c r="AN10" s="15" t="str">
        <f>IF(INDEX(Danh_Sach!$B$13:$N$2994,ROWS($B$10:$B10),MATCH(AN$9,Danh_Sach!$B$12:$N$12,0))=0,"",MONTH(INDEX(Danh_Sach!$B$13:$N$2994,ROWS($B$10:$B10),MATCH(AN$9,Danh_Sach!$B$12:$N$12,0))))</f>
        <v/>
      </c>
      <c r="AO10" s="15" t="str">
        <f>IF(INDEX(Danh_Sach!$B$13:$N$2994,ROWS($B$10:$B10),MATCH(AO$9,Danh_Sach!$B$12:$N$12,0))=0,"",MONTH(INDEX(Danh_Sach!$B$13:$N$2994,ROWS($B$10:$B10),MATCH(AO$9,Danh_Sach!$B$12:$N$12,0))))</f>
        <v/>
      </c>
      <c r="AP10" s="15" t="str">
        <f>IF(INDEX(Danh_Sach!$B$13:$N$2994,ROWS($B$10:$B10),MATCH(AP$9,Danh_Sach!$B$12:$N$12,0))=0,"",MONTH(INDEX(Danh_Sach!$B$13:$N$2994,ROWS($B$10:$B10),MATCH(AP$9,Danh_Sach!$B$12:$N$12,0))))</f>
        <v/>
      </c>
      <c r="AQ10" s="15">
        <f>COUNTIF(E10:AI10,"CT")</f>
        <v>0</v>
      </c>
      <c r="AR10" s="138">
        <f>COUNTIF(E10:AI10,0)</f>
        <v>0</v>
      </c>
      <c r="AS10" s="5">
        <f ca="1">VLOOKUP(C10,INDIRECT("'"&amp;$C$2&amp;"'!"&amp;"C14:AX1000"),13,0)</f>
        <v>0</v>
      </c>
    </row>
    <row r="11" spans="1:56" x14ac:dyDescent="0.45">
      <c r="A11" s="5">
        <f>IF(B11="","",SUBTOTAL(3,$B$10:B11))</f>
        <v>2</v>
      </c>
      <c r="B11" s="18">
        <f>INDEX(Danh_Sach!$B$13:$N$2994,ROWS($B$10:$Q11),MATCH(B$9,Danh_Sach!$B$12:$N$12,0))</f>
        <v>0</v>
      </c>
      <c r="C11" s="104">
        <f>INDEX(Danh_Sach!$B$13:$N$2994,ROWS($B$10:$Q11),MATCH(C$9,Danh_Sach!$B$12:$N$12,0))</f>
        <v>0</v>
      </c>
      <c r="D11" s="131">
        <f>INDEX(Danh_Sach!$B$13:$N$2994,ROWS($B$10:$Q11),MATCH(D$9,Danh_Sach!$B$12:$N$12,0))</f>
        <v>0</v>
      </c>
      <c r="E11" s="5"/>
      <c r="F11" s="5">
        <v>1</v>
      </c>
      <c r="G11" s="5">
        <v>1</v>
      </c>
      <c r="H11" s="5">
        <v>1</v>
      </c>
      <c r="I11" s="5">
        <v>1</v>
      </c>
      <c r="J11" s="5">
        <v>1</v>
      </c>
      <c r="K11" s="5" t="s">
        <v>396</v>
      </c>
      <c r="L11" s="5"/>
      <c r="M11" s="5" t="s">
        <v>396</v>
      </c>
      <c r="N11" s="5">
        <v>1</v>
      </c>
      <c r="O11" s="5">
        <v>1</v>
      </c>
      <c r="P11" s="5">
        <v>1</v>
      </c>
      <c r="Q11" s="5">
        <v>1</v>
      </c>
      <c r="R11" s="5">
        <v>1</v>
      </c>
      <c r="S11" s="5"/>
      <c r="T11" s="5" t="s">
        <v>396</v>
      </c>
      <c r="U11" s="5" t="s">
        <v>396</v>
      </c>
      <c r="V11" s="5">
        <v>1</v>
      </c>
      <c r="W11" s="5">
        <v>1</v>
      </c>
      <c r="X11" s="5" t="s">
        <v>396</v>
      </c>
      <c r="Y11" s="5">
        <v>1</v>
      </c>
      <c r="Z11" s="5"/>
      <c r="AA11" s="5">
        <v>1</v>
      </c>
      <c r="AB11" s="5">
        <v>1</v>
      </c>
      <c r="AC11" s="5">
        <v>1</v>
      </c>
      <c r="AD11" s="5" t="s">
        <v>396</v>
      </c>
      <c r="AE11" s="5">
        <v>1</v>
      </c>
      <c r="AF11" s="5">
        <v>1</v>
      </c>
      <c r="AG11" s="5"/>
      <c r="AH11" s="5">
        <v>1</v>
      </c>
      <c r="AI11" s="5" t="s">
        <v>396</v>
      </c>
      <c r="AJ11" s="5">
        <f>COUNTIFS(E11:AI11,"&lt;&gt;0",E11:AI11,"&lt;&gt;")</f>
        <v>26</v>
      </c>
      <c r="AK11" s="5">
        <f ca="1">VLOOKUP(C11,INDIRECT("'"&amp;$C$2&amp;"'!"&amp;"C14:AX1000"),10,0)</f>
        <v>0</v>
      </c>
      <c r="AL11" s="137">
        <f>IF(AJ11=0,0,MAX(0,$C$4-VLOOKUP(C11,Cham_Cong!$C$10:$T$320,$C$2+2,0)))</f>
        <v>26</v>
      </c>
      <c r="AM11" s="15" t="str">
        <f>IF(INDEX(Danh_Sach!$B$13:$N$2994,ROWS($B$10:$B11),MATCH(AM$9,Danh_Sach!$B$12:$N$12,0))=0,"",MONTH(INDEX(Danh_Sach!$B$13:$N$2994,ROWS($B$10:$B11),MATCH(AM$9,Danh_Sach!$B$12:$N$12,0))))</f>
        <v/>
      </c>
      <c r="AN11" s="15" t="str">
        <f>IF(INDEX(Danh_Sach!$B$13:$N$2994,ROWS($B$10:$B11),MATCH(AN$9,Danh_Sach!$B$12:$N$12,0))=0,"",MONTH(INDEX(Danh_Sach!$B$13:$N$2994,ROWS($B$10:$B11),MATCH(AN$9,Danh_Sach!$B$12:$N$12,0))))</f>
        <v/>
      </c>
      <c r="AO11" s="15" t="str">
        <f>IF(INDEX(Danh_Sach!$B$13:$N$2994,ROWS($B$10:$B11),MATCH(AO$9,Danh_Sach!$B$12:$N$12,0))=0,"",MONTH(INDEX(Danh_Sach!$B$13:$N$2994,ROWS($B$10:$B11),MATCH(AO$9,Danh_Sach!$B$12:$N$12,0))))</f>
        <v/>
      </c>
      <c r="AP11" s="15" t="str">
        <f>IF(INDEX(Danh_Sach!$B$13:$N$2994,ROWS($B$10:$B11),MATCH(AP$9,Danh_Sach!$B$12:$N$12,0))=0,"",MONTH(INDEX(Danh_Sach!$B$13:$N$2994,ROWS($B$10:$B11),MATCH(AP$9,Danh_Sach!$B$12:$N$12,0))))</f>
        <v/>
      </c>
      <c r="AQ11" s="15">
        <f>COUNTIF(E11:AI11,"CT")</f>
        <v>7</v>
      </c>
      <c r="AR11" s="138">
        <f>COUNTIF(E11:AI11,0)</f>
        <v>0</v>
      </c>
      <c r="AS11" s="5">
        <f ca="1">VLOOKUP(C11,INDIRECT("'"&amp;$C$2&amp;"'!"&amp;"C14:AX1000"),13,0)</f>
        <v>0</v>
      </c>
    </row>
    <row r="12" spans="1:56" x14ac:dyDescent="0.45">
      <c r="A12" s="5"/>
      <c r="B12" s="18"/>
      <c r="C12" s="104"/>
      <c r="D12" s="131"/>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137"/>
      <c r="AM12" s="15"/>
      <c r="AN12" s="15"/>
      <c r="AO12" s="15"/>
      <c r="AP12" s="15"/>
      <c r="AR12" s="138"/>
      <c r="AS12" s="5"/>
    </row>
    <row r="13" spans="1:56" x14ac:dyDescent="0.45">
      <c r="A13" s="5"/>
      <c r="B13" s="18"/>
      <c r="C13" s="104"/>
      <c r="D13" s="131"/>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137"/>
      <c r="AM13" s="15"/>
      <c r="AN13" s="15"/>
      <c r="AO13" s="15"/>
      <c r="AP13" s="15"/>
      <c r="AR13" s="138"/>
      <c r="AS13" s="5"/>
    </row>
    <row r="14" spans="1:56" x14ac:dyDescent="0.45">
      <c r="A14" s="5"/>
      <c r="B14" s="18"/>
      <c r="C14" s="104"/>
      <c r="D14" s="131"/>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137"/>
      <c r="AM14" s="15"/>
      <c r="AN14" s="15"/>
      <c r="AO14" s="15"/>
      <c r="AP14" s="15"/>
      <c r="AR14" s="138"/>
      <c r="AS14" s="5"/>
    </row>
    <row r="15" spans="1:56" x14ac:dyDescent="0.45">
      <c r="A15" s="5"/>
      <c r="B15" s="18"/>
      <c r="C15" s="104"/>
      <c r="D15" s="131"/>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137"/>
      <c r="AM15" s="15"/>
      <c r="AN15" s="15"/>
      <c r="AO15" s="15"/>
      <c r="AP15" s="15"/>
      <c r="AR15" s="138"/>
      <c r="AS15" s="5"/>
    </row>
    <row r="16" spans="1:56" x14ac:dyDescent="0.45">
      <c r="A16" s="5"/>
      <c r="B16" s="18"/>
      <c r="C16" s="104"/>
      <c r="D16" s="131"/>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137"/>
      <c r="AM16" s="15"/>
      <c r="AN16" s="15"/>
      <c r="AO16" s="15"/>
      <c r="AP16" s="15"/>
      <c r="AR16" s="138"/>
      <c r="AS16" s="5"/>
    </row>
    <row r="17" spans="1:45" x14ac:dyDescent="0.45">
      <c r="A17" s="5"/>
      <c r="B17" s="18"/>
      <c r="C17" s="104"/>
      <c r="D17" s="131"/>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137"/>
      <c r="AM17" s="15"/>
      <c r="AN17" s="15"/>
      <c r="AO17" s="15"/>
      <c r="AP17" s="15"/>
      <c r="AR17" s="138"/>
      <c r="AS17" s="5"/>
    </row>
    <row r="18" spans="1:45" x14ac:dyDescent="0.45">
      <c r="A18" s="5"/>
      <c r="B18" s="18"/>
      <c r="C18" s="104"/>
      <c r="D18" s="131"/>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137"/>
      <c r="AM18" s="15"/>
      <c r="AN18" s="15"/>
      <c r="AO18" s="15"/>
      <c r="AP18" s="15"/>
      <c r="AR18" s="138"/>
      <c r="AS18" s="5"/>
    </row>
    <row r="19" spans="1:45" x14ac:dyDescent="0.45">
      <c r="A19" s="5"/>
      <c r="B19" s="18"/>
      <c r="C19" s="104"/>
      <c r="D19" s="131"/>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137"/>
      <c r="AM19" s="15"/>
      <c r="AN19" s="15"/>
      <c r="AO19" s="15"/>
      <c r="AP19" s="15"/>
      <c r="AR19" s="138"/>
      <c r="AS19" s="5"/>
    </row>
    <row r="20" spans="1:45" x14ac:dyDescent="0.45">
      <c r="A20" s="5"/>
      <c r="B20" s="18"/>
      <c r="C20" s="104"/>
      <c r="D20" s="131"/>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137"/>
      <c r="AM20" s="15"/>
      <c r="AN20" s="15"/>
      <c r="AO20" s="15"/>
      <c r="AP20" s="15"/>
      <c r="AR20" s="138"/>
      <c r="AS20" s="5"/>
    </row>
    <row r="21" spans="1:45" x14ac:dyDescent="0.45">
      <c r="A21" s="5"/>
      <c r="B21" s="18"/>
      <c r="C21" s="104"/>
      <c r="D21" s="131"/>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137"/>
      <c r="AM21" s="15"/>
      <c r="AN21" s="15"/>
      <c r="AO21" s="15"/>
      <c r="AP21" s="15"/>
      <c r="AR21" s="138"/>
      <c r="AS21" s="5"/>
    </row>
    <row r="22" spans="1:45" x14ac:dyDescent="0.45">
      <c r="A22" s="5"/>
      <c r="B22" s="18"/>
      <c r="C22" s="104"/>
      <c r="D22" s="131"/>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137"/>
      <c r="AM22" s="15"/>
      <c r="AN22" s="15"/>
      <c r="AO22" s="15"/>
      <c r="AP22" s="15"/>
      <c r="AR22" s="138"/>
      <c r="AS22" s="5"/>
    </row>
    <row r="23" spans="1:45" x14ac:dyDescent="0.45">
      <c r="A23" s="5"/>
      <c r="B23" s="18"/>
      <c r="C23" s="104"/>
      <c r="D23" s="131"/>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137"/>
      <c r="AM23" s="15"/>
      <c r="AN23" s="15"/>
      <c r="AO23" s="15"/>
      <c r="AP23" s="15"/>
      <c r="AR23" s="138"/>
      <c r="AS23" s="5"/>
    </row>
    <row r="24" spans="1:45" x14ac:dyDescent="0.45">
      <c r="A24" s="5"/>
      <c r="B24" s="18"/>
      <c r="C24" s="104"/>
      <c r="D24" s="131"/>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137"/>
      <c r="AM24" s="15"/>
      <c r="AN24" s="15"/>
      <c r="AO24" s="15"/>
      <c r="AP24" s="15"/>
      <c r="AR24" s="138"/>
      <c r="AS24" s="5"/>
    </row>
    <row r="25" spans="1:45" x14ac:dyDescent="0.45">
      <c r="A25" s="5"/>
      <c r="B25" s="18"/>
      <c r="C25" s="104"/>
      <c r="D25" s="131"/>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137"/>
      <c r="AM25" s="15"/>
      <c r="AN25" s="15"/>
      <c r="AO25" s="15"/>
      <c r="AP25" s="15"/>
      <c r="AR25" s="138"/>
      <c r="AS25" s="5"/>
    </row>
    <row r="26" spans="1:45" x14ac:dyDescent="0.45">
      <c r="A26" s="5"/>
      <c r="B26" s="18"/>
      <c r="C26" s="104"/>
      <c r="D26" s="131"/>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137"/>
      <c r="AM26" s="15"/>
      <c r="AN26" s="15"/>
      <c r="AO26" s="15"/>
      <c r="AP26" s="15"/>
      <c r="AR26" s="138"/>
      <c r="AS26" s="5"/>
    </row>
    <row r="27" spans="1:45" x14ac:dyDescent="0.45">
      <c r="A27" s="5"/>
      <c r="B27" s="18"/>
      <c r="C27" s="104"/>
      <c r="D27" s="131"/>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137"/>
      <c r="AM27" s="15"/>
      <c r="AN27" s="15"/>
      <c r="AO27" s="15"/>
      <c r="AP27" s="15"/>
      <c r="AR27" s="138"/>
      <c r="AS27" s="5"/>
    </row>
    <row r="28" spans="1:45" x14ac:dyDescent="0.45">
      <c r="A28" s="5"/>
      <c r="B28" s="18"/>
      <c r="C28" s="104"/>
      <c r="D28" s="131"/>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137"/>
      <c r="AM28" s="15"/>
      <c r="AN28" s="15"/>
      <c r="AO28" s="15"/>
      <c r="AP28" s="15"/>
      <c r="AR28" s="138"/>
      <c r="AS28" s="5"/>
    </row>
    <row r="29" spans="1:45" x14ac:dyDescent="0.45">
      <c r="A29" s="5"/>
      <c r="B29" s="18"/>
      <c r="C29" s="104"/>
      <c r="D29" s="131"/>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137"/>
      <c r="AM29" s="15"/>
      <c r="AN29" s="15"/>
      <c r="AO29" s="15"/>
      <c r="AP29" s="15"/>
      <c r="AR29" s="138"/>
      <c r="AS29" s="5"/>
    </row>
    <row r="30" spans="1:45" x14ac:dyDescent="0.45">
      <c r="A30" s="5"/>
      <c r="B30" s="18"/>
      <c r="C30" s="104"/>
      <c r="D30" s="131"/>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137"/>
      <c r="AM30" s="15"/>
      <c r="AN30" s="15"/>
      <c r="AO30" s="15"/>
      <c r="AP30" s="15"/>
      <c r="AR30" s="138"/>
      <c r="AS30" s="5"/>
    </row>
    <row r="31" spans="1:45" x14ac:dyDescent="0.45">
      <c r="A31" s="5"/>
      <c r="B31" s="18"/>
      <c r="C31" s="104"/>
      <c r="D31" s="131"/>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137"/>
      <c r="AM31" s="15"/>
      <c r="AN31" s="15"/>
      <c r="AO31" s="15"/>
      <c r="AP31" s="15"/>
      <c r="AR31" s="138"/>
      <c r="AS31" s="5"/>
    </row>
    <row r="32" spans="1:45" x14ac:dyDescent="0.45">
      <c r="A32" s="5"/>
      <c r="B32" s="18"/>
      <c r="C32" s="104"/>
      <c r="D32" s="131"/>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137"/>
      <c r="AM32" s="15"/>
      <c r="AN32" s="15"/>
      <c r="AO32" s="15"/>
      <c r="AP32" s="15"/>
      <c r="AR32" s="138"/>
      <c r="AS32" s="5"/>
    </row>
    <row r="33" spans="1:45" x14ac:dyDescent="0.45">
      <c r="A33" s="5"/>
      <c r="B33" s="18"/>
      <c r="C33" s="104"/>
      <c r="D33" s="131"/>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137"/>
      <c r="AM33" s="15"/>
      <c r="AN33" s="15"/>
      <c r="AO33" s="15"/>
      <c r="AP33" s="15"/>
      <c r="AR33" s="138"/>
      <c r="AS33" s="5"/>
    </row>
    <row r="34" spans="1:45" x14ac:dyDescent="0.45">
      <c r="A34" s="5"/>
      <c r="B34" s="18"/>
      <c r="C34" s="104"/>
      <c r="D34" s="131"/>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137"/>
      <c r="AM34" s="15"/>
      <c r="AN34" s="15"/>
      <c r="AO34" s="15"/>
      <c r="AP34" s="15"/>
      <c r="AR34" s="138"/>
      <c r="AS34" s="5"/>
    </row>
    <row r="35" spans="1:45" x14ac:dyDescent="0.45">
      <c r="A35" s="5"/>
      <c r="B35" s="18"/>
      <c r="C35" s="104"/>
      <c r="D35" s="131"/>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137"/>
      <c r="AM35" s="15"/>
      <c r="AN35" s="15"/>
      <c r="AO35" s="15"/>
      <c r="AP35" s="15"/>
      <c r="AR35" s="138"/>
      <c r="AS35" s="5"/>
    </row>
    <row r="36" spans="1:45" x14ac:dyDescent="0.45">
      <c r="A36" s="5"/>
      <c r="B36" s="18"/>
      <c r="C36" s="104"/>
      <c r="D36" s="131"/>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137"/>
      <c r="AM36" s="15"/>
      <c r="AN36" s="15"/>
      <c r="AO36" s="15"/>
      <c r="AP36" s="15"/>
      <c r="AR36" s="138"/>
      <c r="AS36" s="5"/>
    </row>
    <row r="37" spans="1:45" x14ac:dyDescent="0.45">
      <c r="A37" s="5"/>
      <c r="B37" s="18"/>
      <c r="C37" s="104"/>
      <c r="D37" s="131"/>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137"/>
      <c r="AM37" s="15"/>
      <c r="AN37" s="15"/>
      <c r="AO37" s="15"/>
      <c r="AP37" s="15"/>
      <c r="AR37" s="138"/>
      <c r="AS37" s="5"/>
    </row>
    <row r="38" spans="1:45" x14ac:dyDescent="0.45">
      <c r="A38" s="5"/>
      <c r="B38" s="18"/>
      <c r="C38" s="104"/>
      <c r="D38" s="131"/>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137"/>
      <c r="AM38" s="15"/>
      <c r="AN38" s="15"/>
      <c r="AO38" s="15"/>
      <c r="AP38" s="15"/>
      <c r="AR38" s="138"/>
      <c r="AS38" s="5"/>
    </row>
    <row r="39" spans="1:45" x14ac:dyDescent="0.45">
      <c r="A39" s="5"/>
      <c r="B39" s="18"/>
      <c r="C39" s="104"/>
      <c r="D39" s="131"/>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137"/>
      <c r="AM39" s="15"/>
      <c r="AN39" s="15"/>
      <c r="AO39" s="15"/>
      <c r="AP39" s="15"/>
      <c r="AR39" s="138"/>
      <c r="AS39" s="5"/>
    </row>
    <row r="40" spans="1:45" x14ac:dyDescent="0.45">
      <c r="A40" s="5"/>
      <c r="B40" s="18"/>
      <c r="C40" s="104"/>
      <c r="D40" s="131"/>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137"/>
      <c r="AM40" s="15"/>
      <c r="AN40" s="15"/>
      <c r="AO40" s="15"/>
      <c r="AP40" s="15"/>
      <c r="AR40" s="138"/>
      <c r="AS40" s="5"/>
    </row>
    <row r="41" spans="1:45" x14ac:dyDescent="0.45">
      <c r="A41" s="5"/>
      <c r="B41" s="18"/>
      <c r="C41" s="104"/>
      <c r="D41" s="131"/>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137"/>
      <c r="AM41" s="15"/>
      <c r="AN41" s="15"/>
      <c r="AO41" s="15"/>
      <c r="AP41" s="15"/>
      <c r="AR41" s="138"/>
      <c r="AS41" s="5"/>
    </row>
    <row r="42" spans="1:45" x14ac:dyDescent="0.45">
      <c r="A42" s="5"/>
      <c r="B42" s="18"/>
      <c r="C42" s="104"/>
      <c r="D42" s="131"/>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137"/>
      <c r="AM42" s="15"/>
      <c r="AN42" s="15"/>
      <c r="AO42" s="15"/>
      <c r="AP42" s="15"/>
      <c r="AR42" s="138"/>
      <c r="AS42" s="5"/>
    </row>
    <row r="43" spans="1:45" x14ac:dyDescent="0.45">
      <c r="A43" s="5"/>
      <c r="B43" s="18"/>
      <c r="C43" s="104"/>
      <c r="D43" s="131"/>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137"/>
      <c r="AM43" s="15"/>
      <c r="AN43" s="15"/>
      <c r="AO43" s="15"/>
      <c r="AP43" s="15"/>
      <c r="AR43" s="138"/>
      <c r="AS43" s="5"/>
    </row>
    <row r="44" spans="1:45" x14ac:dyDescent="0.45">
      <c r="A44" s="5"/>
      <c r="B44" s="18"/>
      <c r="C44" s="104"/>
      <c r="D44" s="131"/>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137"/>
      <c r="AM44" s="15"/>
      <c r="AN44" s="15"/>
      <c r="AO44" s="15"/>
      <c r="AP44" s="15"/>
      <c r="AR44" s="138"/>
      <c r="AS44" s="5"/>
    </row>
    <row r="45" spans="1:45" x14ac:dyDescent="0.45">
      <c r="A45" s="5"/>
      <c r="B45" s="18"/>
      <c r="C45" s="104"/>
      <c r="D45" s="131"/>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137"/>
      <c r="AM45" s="15"/>
      <c r="AN45" s="15"/>
      <c r="AO45" s="15"/>
      <c r="AP45" s="15"/>
      <c r="AR45" s="138"/>
      <c r="AS45" s="5"/>
    </row>
    <row r="46" spans="1:45" x14ac:dyDescent="0.45">
      <c r="A46" s="5"/>
      <c r="B46" s="18"/>
      <c r="C46" s="104"/>
      <c r="D46" s="131"/>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137"/>
      <c r="AM46" s="15"/>
      <c r="AN46" s="15"/>
      <c r="AO46" s="15"/>
      <c r="AP46" s="15"/>
      <c r="AR46" s="138"/>
      <c r="AS46" s="5"/>
    </row>
  </sheetData>
  <mergeCells count="7">
    <mergeCell ref="AS6:AS8"/>
    <mergeCell ref="D3:G3"/>
    <mergeCell ref="H3:L3"/>
    <mergeCell ref="AQ6:AR6"/>
    <mergeCell ref="AK6:AK8"/>
    <mergeCell ref="AJ6:AJ8"/>
    <mergeCell ref="AL6:AL8"/>
  </mergeCells>
  <conditionalFormatting sqref="D3:G3">
    <cfRule type="dataBar" priority="6">
      <dataBar>
        <cfvo type="num" val="0"/>
        <cfvo type="num" val="1"/>
        <color theme="4" tint="0.59999389629810485"/>
      </dataBar>
      <extLst>
        <ext xmlns:x14="http://schemas.microsoft.com/office/spreadsheetml/2009/9/main" uri="{B025F937-C7B1-47D3-B67F-A62EFF666E3E}">
          <x14:id>{DB299F2E-3612-420A-BD0C-9CAC2B62E4A7}</x14:id>
        </ext>
      </extLst>
    </cfRule>
  </conditionalFormatting>
  <conditionalFormatting sqref="H3">
    <cfRule type="dataBar" priority="5">
      <dataBar>
        <cfvo type="num" val="0"/>
        <cfvo type="num" val="1"/>
        <color theme="9" tint="0.59999389629810485"/>
      </dataBar>
      <extLst>
        <ext xmlns:x14="http://schemas.microsoft.com/office/spreadsheetml/2009/9/main" uri="{B025F937-C7B1-47D3-B67F-A62EFF666E3E}">
          <x14:id>{EA8570A8-93CA-4D14-95F7-E534A9B81503}</x14:id>
        </ext>
      </extLst>
    </cfRule>
  </conditionalFormatting>
  <conditionalFormatting sqref="A10:AS34">
    <cfRule type="expression" dxfId="13" priority="1">
      <formula>$B10&lt;&gt;""</formula>
    </cfRule>
  </conditionalFormatting>
  <dataValidations count="1">
    <dataValidation type="list" allowBlank="1" showInputMessage="1" showErrorMessage="1" sqref="C2" xr:uid="{00000000-0002-0000-1600-000000000000}">
      <formula1>"1,2,3,4,5,6,7,8,9,10,11,12"</formula1>
    </dataValidation>
  </dataValidations>
  <pageMargins left="0.23622047244094491" right="0.23622047244094491" top="0.74803149606299213" bottom="0.74803149606299213" header="0.31496062992125984" footer="0.31496062992125984"/>
  <pageSetup paperSize="9" scale="64" fitToHeight="0" orientation="landscape" r:id="rId1"/>
  <headerFooter>
    <oddHeader>&amp;LCông ty TNHH thương mại và dịch vụ tiếp vận Nguyên Minh</oddHeader>
  </headerFooter>
  <drawing r:id="rId2"/>
  <extLst>
    <ext xmlns:x14="http://schemas.microsoft.com/office/spreadsheetml/2009/9/main" uri="{78C0D931-6437-407d-A8EE-F0AAD7539E65}">
      <x14:conditionalFormattings>
        <x14:conditionalFormatting xmlns:xm="http://schemas.microsoft.com/office/excel/2006/main">
          <x14:cfRule type="dataBar" id="{DB299F2E-3612-420A-BD0C-9CAC2B62E4A7}">
            <x14:dataBar minLength="0" maxLength="100" border="1" gradient="0">
              <x14:cfvo type="num">
                <xm:f>0</xm:f>
              </x14:cfvo>
              <x14:cfvo type="num">
                <xm:f>1</xm:f>
              </x14:cfvo>
              <x14:borderColor rgb="FF000000"/>
              <x14:negativeFillColor rgb="FFFF0000"/>
              <x14:axisColor rgb="FF000000"/>
            </x14:dataBar>
          </x14:cfRule>
          <xm:sqref>D3:G3</xm:sqref>
        </x14:conditionalFormatting>
        <x14:conditionalFormatting xmlns:xm="http://schemas.microsoft.com/office/excel/2006/main">
          <x14:cfRule type="dataBar" id="{EA8570A8-93CA-4D14-95F7-E534A9B81503}">
            <x14:dataBar minLength="0" maxLength="100" border="1" gradient="0">
              <x14:cfvo type="num">
                <xm:f>0</xm:f>
              </x14:cfvo>
              <x14:cfvo type="num">
                <xm:f>1</xm:f>
              </x14:cfvo>
              <x14:borderColor rgb="FF000000"/>
              <x14:negativeFillColor rgb="FFFF0000"/>
              <x14:axisColor rgb="FF000000"/>
            </x14:dataBar>
          </x14:cfRule>
          <xm:sqref>H3</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TongHopCP">
    <tabColor rgb="FF7030A0"/>
  </sheetPr>
  <dimension ref="A4:CV61"/>
  <sheetViews>
    <sheetView showGridLines="0" topLeftCell="A12" zoomScale="90" zoomScaleNormal="90" workbookViewId="0">
      <selection activeCell="N39" sqref="N39"/>
    </sheetView>
  </sheetViews>
  <sheetFormatPr defaultColWidth="9.265625" defaultRowHeight="14.25" x14ac:dyDescent="0.45"/>
  <cols>
    <col min="1" max="1" width="29.265625" style="3" customWidth="1"/>
    <col min="2" max="13" width="13.73046875" style="3" customWidth="1"/>
    <col min="14" max="14" width="15.3984375" style="3" customWidth="1"/>
    <col min="15" max="26" width="10.59765625" style="3" hidden="1" customWidth="1"/>
    <col min="27" max="27" width="11.3984375" style="3" hidden="1" customWidth="1"/>
    <col min="28" max="39" width="11.265625" style="3" hidden="1" customWidth="1"/>
    <col min="40" max="40" width="12.3984375" style="3" hidden="1" customWidth="1"/>
    <col min="41" max="52" width="12.265625" style="3" hidden="1" customWidth="1"/>
    <col min="53" max="53" width="14" style="3" hidden="1" customWidth="1"/>
    <col min="54" max="67" width="12.265625" style="3" hidden="1" customWidth="1"/>
    <col min="68" max="69" width="11.265625" style="3" hidden="1" customWidth="1"/>
    <col min="70" max="77" width="12" style="3" hidden="1" customWidth="1"/>
    <col min="78" max="78" width="12.265625" style="3" hidden="1" customWidth="1"/>
    <col min="79" max="79" width="14.1328125" style="3" hidden="1" customWidth="1"/>
    <col min="80" max="89" width="9.265625" style="3" customWidth="1"/>
    <col min="90" max="97" width="9.265625" style="3"/>
    <col min="98" max="98" width="15.86328125" style="3" customWidth="1"/>
    <col min="99" max="99" width="13.73046875" style="3" customWidth="1"/>
    <col min="100" max="16384" width="9.265625" style="3"/>
  </cols>
  <sheetData>
    <row r="4" spans="1:100" hidden="1" x14ac:dyDescent="0.45"/>
    <row r="5" spans="1:100" hidden="1" x14ac:dyDescent="0.45"/>
    <row r="6" spans="1:100" hidden="1" x14ac:dyDescent="0.45"/>
    <row r="7" spans="1:100" hidden="1" x14ac:dyDescent="0.45"/>
    <row r="8" spans="1:100" hidden="1" x14ac:dyDescent="0.45"/>
    <row r="9" spans="1:100" hidden="1" x14ac:dyDescent="0.45"/>
    <row r="10" spans="1:100" hidden="1" x14ac:dyDescent="0.45"/>
    <row r="11" spans="1:100" ht="19.899999999999999" thickBot="1" x14ac:dyDescent="0.5">
      <c r="A11" s="2" t="s">
        <v>388</v>
      </c>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row>
    <row r="12" spans="1:100" ht="28.35" customHeight="1" thickTop="1" x14ac:dyDescent="0.45">
      <c r="A12" s="576">
        <v>7</v>
      </c>
      <c r="CS12" s="508" t="s">
        <v>300</v>
      </c>
      <c r="CT12" s="509">
        <f>A12</f>
        <v>7</v>
      </c>
      <c r="CU12" s="510"/>
      <c r="CV12" s="511"/>
    </row>
    <row r="13" spans="1:100" s="5" customFormat="1" ht="15.75" x14ac:dyDescent="0.45">
      <c r="A13" s="656" t="s">
        <v>344</v>
      </c>
      <c r="B13" s="671" t="s">
        <v>342</v>
      </c>
      <c r="C13" s="671"/>
      <c r="D13" s="671"/>
      <c r="E13" s="671"/>
      <c r="F13" s="671"/>
      <c r="G13" s="671"/>
      <c r="H13" s="671"/>
      <c r="I13" s="671"/>
      <c r="J13" s="671"/>
      <c r="K13" s="671"/>
      <c r="L13" s="671"/>
      <c r="M13" s="671"/>
      <c r="N13" s="678" t="s">
        <v>82</v>
      </c>
      <c r="O13" s="672" t="s">
        <v>343</v>
      </c>
      <c r="P13" s="673"/>
      <c r="Q13" s="673"/>
      <c r="R13" s="673"/>
      <c r="S13" s="673"/>
      <c r="T13" s="673"/>
      <c r="U13" s="673"/>
      <c r="V13" s="673"/>
      <c r="W13" s="673"/>
      <c r="X13" s="673"/>
      <c r="Y13" s="673"/>
      <c r="Z13" s="674"/>
      <c r="AA13" s="681" t="s">
        <v>82</v>
      </c>
      <c r="AB13" s="690" t="s">
        <v>348</v>
      </c>
      <c r="AC13" s="691"/>
      <c r="AD13" s="691"/>
      <c r="AE13" s="691"/>
      <c r="AF13" s="691"/>
      <c r="AG13" s="691"/>
      <c r="AH13" s="691"/>
      <c r="AI13" s="691"/>
      <c r="AJ13" s="691"/>
      <c r="AK13" s="691"/>
      <c r="AL13" s="691"/>
      <c r="AM13" s="692"/>
      <c r="AN13" s="693" t="s">
        <v>82</v>
      </c>
      <c r="AO13" s="684" t="s">
        <v>57</v>
      </c>
      <c r="AP13" s="685"/>
      <c r="AQ13" s="685"/>
      <c r="AR13" s="685"/>
      <c r="AS13" s="685"/>
      <c r="AT13" s="685"/>
      <c r="AU13" s="685"/>
      <c r="AV13" s="685"/>
      <c r="AW13" s="685"/>
      <c r="AX13" s="685"/>
      <c r="AY13" s="685"/>
      <c r="AZ13" s="686"/>
      <c r="BA13" s="687" t="s">
        <v>82</v>
      </c>
      <c r="BB13" s="675" t="s">
        <v>345</v>
      </c>
      <c r="BC13" s="676"/>
      <c r="BD13" s="676"/>
      <c r="BE13" s="676"/>
      <c r="BF13" s="676"/>
      <c r="BG13" s="676"/>
      <c r="BH13" s="676"/>
      <c r="BI13" s="676"/>
      <c r="BJ13" s="676"/>
      <c r="BK13" s="676"/>
      <c r="BL13" s="676"/>
      <c r="BM13" s="677"/>
      <c r="BN13" s="668" t="s">
        <v>82</v>
      </c>
      <c r="BO13" s="662" t="s">
        <v>347</v>
      </c>
      <c r="BP13" s="663"/>
      <c r="BQ13" s="663"/>
      <c r="BR13" s="663"/>
      <c r="BS13" s="663"/>
      <c r="BT13" s="663"/>
      <c r="BU13" s="663"/>
      <c r="BV13" s="663"/>
      <c r="BW13" s="663"/>
      <c r="BX13" s="663"/>
      <c r="BY13" s="663"/>
      <c r="BZ13" s="664"/>
      <c r="CA13" s="665" t="s">
        <v>82</v>
      </c>
      <c r="CS13" s="659" t="s">
        <v>346</v>
      </c>
      <c r="CT13" s="660"/>
      <c r="CU13" s="660"/>
      <c r="CV13" s="661"/>
    </row>
    <row r="14" spans="1:100" s="5" customFormat="1" ht="14.85" customHeight="1" x14ac:dyDescent="0.45">
      <c r="A14" s="657"/>
      <c r="B14" s="464" t="s">
        <v>66</v>
      </c>
      <c r="C14" s="460" t="s">
        <v>66</v>
      </c>
      <c r="D14" s="460" t="s">
        <v>66</v>
      </c>
      <c r="E14" s="460" t="s">
        <v>66</v>
      </c>
      <c r="F14" s="460" t="s">
        <v>66</v>
      </c>
      <c r="G14" s="460" t="s">
        <v>66</v>
      </c>
      <c r="H14" s="460" t="s">
        <v>66</v>
      </c>
      <c r="I14" s="460" t="s">
        <v>66</v>
      </c>
      <c r="J14" s="460" t="s">
        <v>66</v>
      </c>
      <c r="K14" s="460" t="s">
        <v>66</v>
      </c>
      <c r="L14" s="460" t="s">
        <v>66</v>
      </c>
      <c r="M14" s="465" t="s">
        <v>66</v>
      </c>
      <c r="N14" s="679"/>
      <c r="O14" s="461" t="s">
        <v>165</v>
      </c>
      <c r="P14" s="462" t="s">
        <v>165</v>
      </c>
      <c r="Q14" s="462" t="s">
        <v>165</v>
      </c>
      <c r="R14" s="462" t="s">
        <v>165</v>
      </c>
      <c r="S14" s="462" t="s">
        <v>165</v>
      </c>
      <c r="T14" s="462" t="s">
        <v>165</v>
      </c>
      <c r="U14" s="462" t="s">
        <v>165</v>
      </c>
      <c r="V14" s="462" t="s">
        <v>165</v>
      </c>
      <c r="W14" s="462" t="s">
        <v>165</v>
      </c>
      <c r="X14" s="462" t="s">
        <v>165</v>
      </c>
      <c r="Y14" s="462" t="s">
        <v>165</v>
      </c>
      <c r="Z14" s="463" t="s">
        <v>165</v>
      </c>
      <c r="AA14" s="682"/>
      <c r="AB14" s="493"/>
      <c r="AC14" s="494"/>
      <c r="AD14" s="494"/>
      <c r="AE14" s="494"/>
      <c r="AF14" s="494"/>
      <c r="AG14" s="494"/>
      <c r="AH14" s="494"/>
      <c r="AI14" s="494"/>
      <c r="AJ14" s="494"/>
      <c r="AK14" s="494"/>
      <c r="AL14" s="494"/>
      <c r="AM14" s="495"/>
      <c r="AN14" s="632"/>
      <c r="AO14" s="499" t="s">
        <v>64</v>
      </c>
      <c r="AP14" s="500" t="s">
        <v>64</v>
      </c>
      <c r="AQ14" s="500" t="s">
        <v>64</v>
      </c>
      <c r="AR14" s="500" t="s">
        <v>64</v>
      </c>
      <c r="AS14" s="500" t="s">
        <v>64</v>
      </c>
      <c r="AT14" s="500" t="s">
        <v>64</v>
      </c>
      <c r="AU14" s="500" t="s">
        <v>64</v>
      </c>
      <c r="AV14" s="500" t="s">
        <v>64</v>
      </c>
      <c r="AW14" s="500" t="s">
        <v>64</v>
      </c>
      <c r="AX14" s="500" t="s">
        <v>64</v>
      </c>
      <c r="AY14" s="500" t="s">
        <v>64</v>
      </c>
      <c r="AZ14" s="501" t="s">
        <v>64</v>
      </c>
      <c r="BA14" s="688"/>
      <c r="BB14" s="475" t="s">
        <v>65</v>
      </c>
      <c r="BC14" s="476" t="s">
        <v>65</v>
      </c>
      <c r="BD14" s="476" t="s">
        <v>65</v>
      </c>
      <c r="BE14" s="476" t="s">
        <v>65</v>
      </c>
      <c r="BF14" s="476" t="s">
        <v>65</v>
      </c>
      <c r="BG14" s="476" t="s">
        <v>65</v>
      </c>
      <c r="BH14" s="476" t="s">
        <v>65</v>
      </c>
      <c r="BI14" s="476" t="s">
        <v>65</v>
      </c>
      <c r="BJ14" s="476" t="s">
        <v>65</v>
      </c>
      <c r="BK14" s="476" t="s">
        <v>65</v>
      </c>
      <c r="BL14" s="476" t="s">
        <v>65</v>
      </c>
      <c r="BM14" s="477" t="s">
        <v>65</v>
      </c>
      <c r="BN14" s="669"/>
      <c r="BO14" s="486" t="s">
        <v>67</v>
      </c>
      <c r="BP14" s="487" t="s">
        <v>67</v>
      </c>
      <c r="BQ14" s="487" t="s">
        <v>67</v>
      </c>
      <c r="BR14" s="487" t="s">
        <v>67</v>
      </c>
      <c r="BS14" s="487" t="s">
        <v>67</v>
      </c>
      <c r="BT14" s="487" t="s">
        <v>67</v>
      </c>
      <c r="BU14" s="487" t="s">
        <v>67</v>
      </c>
      <c r="BV14" s="487" t="s">
        <v>67</v>
      </c>
      <c r="BW14" s="487" t="s">
        <v>67</v>
      </c>
      <c r="BX14" s="487" t="s">
        <v>67</v>
      </c>
      <c r="BY14" s="487" t="s">
        <v>67</v>
      </c>
      <c r="BZ14" s="488" t="s">
        <v>67</v>
      </c>
      <c r="CA14" s="666"/>
      <c r="CS14" s="231"/>
      <c r="CT14" s="490" t="s">
        <v>328</v>
      </c>
      <c r="CU14" s="491" t="s">
        <v>329</v>
      </c>
      <c r="CV14" s="502"/>
    </row>
    <row r="15" spans="1:100" s="70" customFormat="1" x14ac:dyDescent="0.45">
      <c r="A15" s="658"/>
      <c r="B15" s="466">
        <v>1</v>
      </c>
      <c r="C15" s="467">
        <v>2</v>
      </c>
      <c r="D15" s="467">
        <v>3</v>
      </c>
      <c r="E15" s="467">
        <v>4</v>
      </c>
      <c r="F15" s="467">
        <v>5</v>
      </c>
      <c r="G15" s="467">
        <v>6</v>
      </c>
      <c r="H15" s="467">
        <v>7</v>
      </c>
      <c r="I15" s="467">
        <v>8</v>
      </c>
      <c r="J15" s="467">
        <v>9</v>
      </c>
      <c r="K15" s="467">
        <v>10</v>
      </c>
      <c r="L15" s="467">
        <v>11</v>
      </c>
      <c r="M15" s="468">
        <v>12</v>
      </c>
      <c r="N15" s="680"/>
      <c r="O15" s="469">
        <v>1</v>
      </c>
      <c r="P15" s="470">
        <v>2</v>
      </c>
      <c r="Q15" s="470">
        <v>3</v>
      </c>
      <c r="R15" s="470">
        <v>4</v>
      </c>
      <c r="S15" s="470">
        <v>5</v>
      </c>
      <c r="T15" s="470">
        <v>6</v>
      </c>
      <c r="U15" s="470">
        <v>7</v>
      </c>
      <c r="V15" s="470">
        <v>8</v>
      </c>
      <c r="W15" s="470">
        <v>9</v>
      </c>
      <c r="X15" s="470">
        <v>10</v>
      </c>
      <c r="Y15" s="470">
        <v>11</v>
      </c>
      <c r="Z15" s="471">
        <v>12</v>
      </c>
      <c r="AA15" s="683"/>
      <c r="AB15" s="496">
        <v>1</v>
      </c>
      <c r="AC15" s="497">
        <v>2</v>
      </c>
      <c r="AD15" s="497">
        <v>3</v>
      </c>
      <c r="AE15" s="497">
        <v>4</v>
      </c>
      <c r="AF15" s="497">
        <v>5</v>
      </c>
      <c r="AG15" s="497">
        <v>6</v>
      </c>
      <c r="AH15" s="497">
        <v>7</v>
      </c>
      <c r="AI15" s="497">
        <v>8</v>
      </c>
      <c r="AJ15" s="497">
        <v>9</v>
      </c>
      <c r="AK15" s="497">
        <v>10</v>
      </c>
      <c r="AL15" s="497">
        <v>11</v>
      </c>
      <c r="AM15" s="498">
        <v>12</v>
      </c>
      <c r="AN15" s="694"/>
      <c r="AO15" s="479">
        <v>1</v>
      </c>
      <c r="AP15" s="480">
        <v>2</v>
      </c>
      <c r="AQ15" s="480">
        <v>3</v>
      </c>
      <c r="AR15" s="480">
        <v>4</v>
      </c>
      <c r="AS15" s="480">
        <v>5</v>
      </c>
      <c r="AT15" s="480">
        <v>6</v>
      </c>
      <c r="AU15" s="480">
        <v>7</v>
      </c>
      <c r="AV15" s="480">
        <v>8</v>
      </c>
      <c r="AW15" s="480">
        <v>9</v>
      </c>
      <c r="AX15" s="480">
        <v>10</v>
      </c>
      <c r="AY15" s="480">
        <v>11</v>
      </c>
      <c r="AZ15" s="481">
        <v>12</v>
      </c>
      <c r="BA15" s="689"/>
      <c r="BB15" s="472">
        <v>1</v>
      </c>
      <c r="BC15" s="473">
        <v>2</v>
      </c>
      <c r="BD15" s="473">
        <v>3</v>
      </c>
      <c r="BE15" s="473">
        <v>4</v>
      </c>
      <c r="BF15" s="473">
        <v>5</v>
      </c>
      <c r="BG15" s="473">
        <v>6</v>
      </c>
      <c r="BH15" s="473">
        <v>7</v>
      </c>
      <c r="BI15" s="473">
        <v>8</v>
      </c>
      <c r="BJ15" s="473">
        <v>9</v>
      </c>
      <c r="BK15" s="473">
        <v>10</v>
      </c>
      <c r="BL15" s="473">
        <v>11</v>
      </c>
      <c r="BM15" s="474">
        <v>12</v>
      </c>
      <c r="BN15" s="670"/>
      <c r="BO15" s="483">
        <v>1</v>
      </c>
      <c r="BP15" s="484">
        <v>2</v>
      </c>
      <c r="BQ15" s="484">
        <v>3</v>
      </c>
      <c r="BR15" s="484">
        <v>4</v>
      </c>
      <c r="BS15" s="484">
        <v>5</v>
      </c>
      <c r="BT15" s="484">
        <v>6</v>
      </c>
      <c r="BU15" s="484">
        <v>7</v>
      </c>
      <c r="BV15" s="484">
        <v>8</v>
      </c>
      <c r="BW15" s="484">
        <v>9</v>
      </c>
      <c r="BX15" s="484">
        <v>10</v>
      </c>
      <c r="BY15" s="484">
        <v>11</v>
      </c>
      <c r="BZ15" s="485">
        <v>12</v>
      </c>
      <c r="CA15" s="667"/>
      <c r="CS15" s="503">
        <v>3383</v>
      </c>
      <c r="CT15" s="517">
        <f ca="1">HLOOKUP($CT$12,BaoHiem!$AD$20:$AO$23,2,0)</f>
        <v>0</v>
      </c>
      <c r="CU15" s="504">
        <f t="array" aca="1" ref="CU15" ca="1">INDEX($B$16:$M$20,MATCH(CV15,$A$16:$A$20,0),$CT$12)</f>
        <v>0</v>
      </c>
      <c r="CV15" s="505">
        <f ca="1">A16</f>
        <v>0</v>
      </c>
    </row>
    <row r="16" spans="1:100" ht="17.649999999999999" customHeight="1" x14ac:dyDescent="0.45">
      <c r="A16" s="333">
        <f ca="1">'1'!E2</f>
        <v>0</v>
      </c>
      <c r="B16" s="411">
        <f t="array" aca="1" ref="B16" ca="1">INDIRECT("'"&amp;B$15&amp;"'!"&amp;ADDRESS(MATCH($A16,INDIRECT("'"&amp;B$15&amp;"'!E:E"),0),MATCH(B$14,INDIRECT("'"&amp;B$15&amp;"'!13:13"),0)))+SUMIFS(Thue_Ngoai!I$15:I$1500,Thue_Ngoai!$F$15:$F$1500,$A16)</f>
        <v>0</v>
      </c>
      <c r="C16" s="411">
        <f t="array" aca="1" ref="C16" ca="1">INDIRECT("'"&amp;C$15&amp;"'!"&amp;ADDRESS(MATCH($A16,INDIRECT("'"&amp;C$15&amp;"'!E:E"),0),MATCH(C$14,INDIRECT("'"&amp;C$15&amp;"'!13:13"),0)))+SUMIFS(Thue_Ngoai!J$15:J$1500,Thue_Ngoai!$F$15:$F$1500,$A16)</f>
        <v>0</v>
      </c>
      <c r="D16" s="411">
        <f t="array" aca="1" ref="D16" ca="1">INDIRECT("'"&amp;D$15&amp;"'!"&amp;ADDRESS(MATCH($A16,INDIRECT("'"&amp;D$15&amp;"'!E:E"),0),MATCH(D$14,INDIRECT("'"&amp;D$15&amp;"'!13:13"),0)))+SUMIFS(Thue_Ngoai!K$15:K$1500,Thue_Ngoai!$F$15:$F$1500,$A16)</f>
        <v>0</v>
      </c>
      <c r="E16" s="411">
        <f t="array" aca="1" ref="E16" ca="1">INDIRECT("'"&amp;E$15&amp;"'!"&amp;ADDRESS(MATCH($A16,INDIRECT("'"&amp;E$15&amp;"'!E:E"),0),MATCH(E$14,INDIRECT("'"&amp;E$15&amp;"'!13:13"),0)))+SUMIFS(Thue_Ngoai!L$15:L$1500,Thue_Ngoai!$F$15:$F$1500,$A16)</f>
        <v>0</v>
      </c>
      <c r="F16" s="411">
        <f t="array" aca="1" ref="F16" ca="1">INDIRECT("'"&amp;F$15&amp;"'!"&amp;ADDRESS(MATCH($A16,INDIRECT("'"&amp;F$15&amp;"'!E:E"),0),MATCH(F$14,INDIRECT("'"&amp;F$15&amp;"'!13:13"),0)))+SUMIFS(Thue_Ngoai!M$15:M$1500,Thue_Ngoai!$F$15:$F$1500,$A16)</f>
        <v>0</v>
      </c>
      <c r="G16" s="411">
        <f t="array" aca="1" ref="G16" ca="1">INDIRECT("'"&amp;G$15&amp;"'!"&amp;ADDRESS(MATCH($A16,INDIRECT("'"&amp;G$15&amp;"'!E:E"),0),MATCH(G$14,INDIRECT("'"&amp;G$15&amp;"'!13:13"),0)))+SUMIFS(Thue_Ngoai!N$15:N$1500,Thue_Ngoai!$F$15:$F$1500,$A16)</f>
        <v>0</v>
      </c>
      <c r="H16" s="411">
        <f t="array" aca="1" ref="H16" ca="1">INDIRECT("'"&amp;H$15&amp;"'!"&amp;ADDRESS(MATCH($A16,INDIRECT("'"&amp;H$15&amp;"'!E:E"),0),MATCH(H$14,INDIRECT("'"&amp;H$15&amp;"'!13:13"),0)))+SUMIFS(Thue_Ngoai!O$15:O$1500,Thue_Ngoai!$F$15:$F$1500,$A16)</f>
        <v>0</v>
      </c>
      <c r="I16" s="411">
        <f t="array" aca="1" ref="I16" ca="1">INDIRECT("'"&amp;I$15&amp;"'!"&amp;ADDRESS(MATCH($A16,INDIRECT("'"&amp;I$15&amp;"'!E:E"),0),MATCH(I$14,INDIRECT("'"&amp;I$15&amp;"'!13:13"),0)))+SUMIFS(Thue_Ngoai!P$15:P$1500,Thue_Ngoai!$F$15:$F$1500,$A16)</f>
        <v>0</v>
      </c>
      <c r="J16" s="411">
        <f t="array" aca="1" ref="J16" ca="1">INDIRECT("'"&amp;J$15&amp;"'!"&amp;ADDRESS(MATCH($A16,INDIRECT("'"&amp;J$15&amp;"'!E:E"),0),MATCH(J$14,INDIRECT("'"&amp;J$15&amp;"'!13:13"),0)))+SUMIFS(Thue_Ngoai!Q$15:Q$1500,Thue_Ngoai!$F$15:$F$1500,$A16)</f>
        <v>0</v>
      </c>
      <c r="K16" s="411">
        <f t="array" aca="1" ref="K16" ca="1">INDIRECT("'"&amp;K$15&amp;"'!"&amp;ADDRESS(MATCH($A16,INDIRECT("'"&amp;K$15&amp;"'!E:E"),0),MATCH(K$14,INDIRECT("'"&amp;K$15&amp;"'!13:13"),0)))+SUMIFS(Thue_Ngoai!R$15:R$1500,Thue_Ngoai!$F$15:$F$1500,$A16)</f>
        <v>0</v>
      </c>
      <c r="L16" s="411">
        <f t="array" aca="1" ref="L16" ca="1">INDIRECT("'"&amp;L$15&amp;"'!"&amp;ADDRESS(MATCH($A16,INDIRECT("'"&amp;L$15&amp;"'!E:E"),0),MATCH(L$14,INDIRECT("'"&amp;L$15&amp;"'!13:13"),0)))+SUMIFS(Thue_Ngoai!S$15:S$1500,Thue_Ngoai!$F$15:$F$1500,$A16)</f>
        <v>0</v>
      </c>
      <c r="M16" s="411">
        <f t="array" aca="1" ref="M16" ca="1">INDIRECT("'"&amp;M$15&amp;"'!"&amp;ADDRESS(MATCH($A16,INDIRECT("'"&amp;M$15&amp;"'!E:E"),0),MATCH(M$14,INDIRECT("'"&amp;M$15&amp;"'!13:13"),0)))+SUMIFS(Thue_Ngoai!T$15:T$1500,Thue_Ngoai!$F$15:$F$1500,$A16)</f>
        <v>0</v>
      </c>
      <c r="N16" s="348">
        <f t="shared" ref="N16:N21" ca="1" si="0">SUM(B16:M16)</f>
        <v>0</v>
      </c>
      <c r="O16" s="346">
        <f t="array" aca="1" ref="O16" ca="1">INDIRECT("'"&amp;O$15&amp;"'!"&amp;ADDRESS(MATCH($A16,INDIRECT("'"&amp;O$15&amp;"'!E:E"),0),MATCH(O$14,INDIRECT("'"&amp;O$15&amp;"'!13:13"),0)))</f>
        <v>0</v>
      </c>
      <c r="P16" s="346">
        <f t="array" aca="1" ref="P16" ca="1">INDIRECT("'"&amp;P$15&amp;"'!"&amp;ADDRESS(MATCH($A16,INDIRECT("'"&amp;P$15&amp;"'!E:E"),0),MATCH(P$14,INDIRECT("'"&amp;P$15&amp;"'!13:13"),0)))</f>
        <v>0</v>
      </c>
      <c r="Q16" s="346">
        <f t="array" aca="1" ref="Q16" ca="1">INDIRECT("'"&amp;Q$15&amp;"'!"&amp;ADDRESS(MATCH($A16,INDIRECT("'"&amp;Q$15&amp;"'!E:E"),0),MATCH(Q$14,INDIRECT("'"&amp;Q$15&amp;"'!13:13"),0)))</f>
        <v>0</v>
      </c>
      <c r="R16" s="346">
        <f t="array" aca="1" ref="R16" ca="1">INDIRECT("'"&amp;R$15&amp;"'!"&amp;ADDRESS(MATCH($A16,INDIRECT("'"&amp;R$15&amp;"'!E:E"),0),MATCH(R$14,INDIRECT("'"&amp;R$15&amp;"'!13:13"),0)))</f>
        <v>0</v>
      </c>
      <c r="S16" s="346">
        <f t="array" aca="1" ref="S16" ca="1">INDIRECT("'"&amp;S$15&amp;"'!"&amp;ADDRESS(MATCH($A16,INDIRECT("'"&amp;S$15&amp;"'!E:E"),0),MATCH(S$14,INDIRECT("'"&amp;S$15&amp;"'!13:13"),0)))</f>
        <v>0</v>
      </c>
      <c r="T16" s="346">
        <f t="array" aca="1" ref="T16" ca="1">INDIRECT("'"&amp;T$15&amp;"'!"&amp;ADDRESS(MATCH($A16,INDIRECT("'"&amp;T$15&amp;"'!E:E"),0),MATCH(T$14,INDIRECT("'"&amp;T$15&amp;"'!13:13"),0)))</f>
        <v>0</v>
      </c>
      <c r="U16" s="346">
        <f t="array" aca="1" ref="U16" ca="1">INDIRECT("'"&amp;U$15&amp;"'!"&amp;ADDRESS(MATCH($A16,INDIRECT("'"&amp;U$15&amp;"'!E:E"),0),MATCH(U$14,INDIRECT("'"&amp;U$15&amp;"'!13:13"),0)))</f>
        <v>0</v>
      </c>
      <c r="V16" s="346">
        <f t="array" aca="1" ref="V16" ca="1">INDIRECT("'"&amp;V$15&amp;"'!"&amp;ADDRESS(MATCH($A16,INDIRECT("'"&amp;V$15&amp;"'!E:E"),0),MATCH(V$14,INDIRECT("'"&amp;V$15&amp;"'!13:13"),0)))</f>
        <v>0</v>
      </c>
      <c r="W16" s="346">
        <f t="array" aca="1" ref="W16" ca="1">INDIRECT("'"&amp;W$15&amp;"'!"&amp;ADDRESS(MATCH($A16,INDIRECT("'"&amp;W$15&amp;"'!E:E"),0),MATCH(W$14,INDIRECT("'"&amp;W$15&amp;"'!13:13"),0)))</f>
        <v>0</v>
      </c>
      <c r="X16" s="346">
        <f t="array" aca="1" ref="X16" ca="1">INDIRECT("'"&amp;X$15&amp;"'!"&amp;ADDRESS(MATCH($A16,INDIRECT("'"&amp;X$15&amp;"'!E:E"),0),MATCH(X$14,INDIRECT("'"&amp;X$15&amp;"'!13:13"),0)))</f>
        <v>0</v>
      </c>
      <c r="Y16" s="346">
        <f t="array" aca="1" ref="Y16" ca="1">INDIRECT("'"&amp;Y$15&amp;"'!"&amp;ADDRESS(MATCH($A16,INDIRECT("'"&amp;Y$15&amp;"'!E:E"),0),MATCH(Y$14,INDIRECT("'"&amp;Y$15&amp;"'!13:13"),0)))</f>
        <v>0</v>
      </c>
      <c r="Z16" s="346">
        <f t="array" aca="1" ref="Z16" ca="1">INDIRECT("'"&amp;Z$15&amp;"'!"&amp;ADDRESS(MATCH($A16,INDIRECT("'"&amp;Z$15&amp;"'!E:E"),0),MATCH(Z$14,INDIRECT("'"&amp;Z$15&amp;"'!13:13"),0)))</f>
        <v>0</v>
      </c>
      <c r="AA16" s="478">
        <f ca="1">SUM(O16:Z16)</f>
        <v>0</v>
      </c>
      <c r="AB16" s="437">
        <f ca="1">HLOOKUP(AB$15,BaoHiem!$AD$27:$AO$43,5,0)</f>
        <v>0</v>
      </c>
      <c r="AC16" s="437">
        <f ca="1">HLOOKUP(AC$15,BaoHiem!$AD$27:$AO$43,5,0)</f>
        <v>0</v>
      </c>
      <c r="AD16" s="437">
        <f ca="1">HLOOKUP(AD$15,BaoHiem!$AD$27:$AO$43,5,0)</f>
        <v>0</v>
      </c>
      <c r="AE16" s="437">
        <f ca="1">HLOOKUP(AE$15,BaoHiem!$AD$27:$AO$43,5,0)</f>
        <v>0</v>
      </c>
      <c r="AF16" s="437">
        <f ca="1">HLOOKUP(AF$15,BaoHiem!$AD$27:$AO$43,5,0)</f>
        <v>0</v>
      </c>
      <c r="AG16" s="437">
        <f ca="1">HLOOKUP(AG$15,BaoHiem!$AD$27:$AO$43,5,0)</f>
        <v>0</v>
      </c>
      <c r="AH16" s="437">
        <f ca="1">HLOOKUP(AH$15,BaoHiem!$AD$27:$AO$43,5,0)</f>
        <v>0</v>
      </c>
      <c r="AI16" s="437">
        <f ca="1">HLOOKUP(AI$15,BaoHiem!$AD$27:$AO$43,5,0)</f>
        <v>0</v>
      </c>
      <c r="AJ16" s="437">
        <f ca="1">HLOOKUP(AJ$15,BaoHiem!$AD$27:$AO$43,5,0)</f>
        <v>0</v>
      </c>
      <c r="AK16" s="437">
        <f ca="1">HLOOKUP(AK$15,BaoHiem!$AD$27:$AO$43,5,0)</f>
        <v>0</v>
      </c>
      <c r="AL16" s="437">
        <f ca="1">HLOOKUP(AL$15,BaoHiem!$AD$27:$AO$43,5,0)</f>
        <v>0</v>
      </c>
      <c r="AM16" s="437">
        <f ca="1">HLOOKUP(AM$15,BaoHiem!$AD$27:$AO$43,5,0)</f>
        <v>0</v>
      </c>
      <c r="AN16" s="478">
        <f ca="1">SUM(AB16:AM16)</f>
        <v>0</v>
      </c>
      <c r="AO16" s="346">
        <f t="array" aca="1" ref="AO16" ca="1">INDIRECT("'"&amp;AO$15&amp;"'!"&amp;ADDRESS(MATCH($A16,INDIRECT("'"&amp;AO$15&amp;"'!E:E"),0),MATCH(AO$14,INDIRECT("'"&amp;AO$15&amp;"'!13:13"),0)))+SUMIFS(Thue_Ngoai!I$15:I$1500,Thue_Ngoai!$F$15:$F$1500,$A16)</f>
        <v>0</v>
      </c>
      <c r="AP16" s="346">
        <f t="array" aca="1" ref="AP16" ca="1">INDIRECT("'"&amp;AP$15&amp;"'!"&amp;ADDRESS(MATCH($A16,INDIRECT("'"&amp;AP$15&amp;"'!E:E"),0),MATCH(AP$14,INDIRECT("'"&amp;AP$15&amp;"'!13:13"),0)))+SUMIFS(Thue_Ngoai!J$15:J$1500,Thue_Ngoai!$F$15:$F$1500,$A16)</f>
        <v>0</v>
      </c>
      <c r="AQ16" s="346">
        <f t="array" aca="1" ref="AQ16" ca="1">INDIRECT("'"&amp;AQ$15&amp;"'!"&amp;ADDRESS(MATCH($A16,INDIRECT("'"&amp;AQ$15&amp;"'!E:E"),0),MATCH(AQ$14,INDIRECT("'"&amp;AQ$15&amp;"'!13:13"),0)))+SUMIFS(Thue_Ngoai!K$15:K$1500,Thue_Ngoai!$F$15:$F$1500,$A16)</f>
        <v>0</v>
      </c>
      <c r="AR16" s="346">
        <f t="array" aca="1" ref="AR16" ca="1">INDIRECT("'"&amp;AR$15&amp;"'!"&amp;ADDRESS(MATCH($A16,INDIRECT("'"&amp;AR$15&amp;"'!E:E"),0),MATCH(AR$14,INDIRECT("'"&amp;AR$15&amp;"'!13:13"),0)))+SUMIFS(Thue_Ngoai!L$15:L$1500,Thue_Ngoai!$F$15:$F$1500,$A16)</f>
        <v>0</v>
      </c>
      <c r="AS16" s="346">
        <f t="array" aca="1" ref="AS16" ca="1">INDIRECT("'"&amp;AS$15&amp;"'!"&amp;ADDRESS(MATCH($A16,INDIRECT("'"&amp;AS$15&amp;"'!E:E"),0),MATCH(AS$14,INDIRECT("'"&amp;AS$15&amp;"'!13:13"),0)))+SUMIFS(Thue_Ngoai!M$15:M$1500,Thue_Ngoai!$F$15:$F$1500,$A16)</f>
        <v>0</v>
      </c>
      <c r="AT16" s="346">
        <f t="array" aca="1" ref="AT16" ca="1">INDIRECT("'"&amp;AT$15&amp;"'!"&amp;ADDRESS(MATCH($A16,INDIRECT("'"&amp;AT$15&amp;"'!E:E"),0),MATCH(AT$14,INDIRECT("'"&amp;AT$15&amp;"'!13:13"),0)))+SUMIFS(Thue_Ngoai!N$15:N$1500,Thue_Ngoai!$F$15:$F$1500,$A16)</f>
        <v>0</v>
      </c>
      <c r="AU16" s="346">
        <f t="array" aca="1" ref="AU16" ca="1">INDIRECT("'"&amp;AU$15&amp;"'!"&amp;ADDRESS(MATCH($A16,INDIRECT("'"&amp;AU$15&amp;"'!E:E"),0),MATCH(AU$14,INDIRECT("'"&amp;AU$15&amp;"'!13:13"),0)))+SUMIFS(Thue_Ngoai!O$15:O$1500,Thue_Ngoai!$F$15:$F$1500,$A16)</f>
        <v>0</v>
      </c>
      <c r="AV16" s="346">
        <f t="array" aca="1" ref="AV16" ca="1">INDIRECT("'"&amp;AV$15&amp;"'!"&amp;ADDRESS(MATCH($A16,INDIRECT("'"&amp;AV$15&amp;"'!E:E"),0),MATCH(AV$14,INDIRECT("'"&amp;AV$15&amp;"'!13:13"),0)))+SUMIFS(Thue_Ngoai!P$15:P$1500,Thue_Ngoai!$F$15:$F$1500,$A16)</f>
        <v>0</v>
      </c>
      <c r="AW16" s="346">
        <f t="array" aca="1" ref="AW16" ca="1">INDIRECT("'"&amp;AW$15&amp;"'!"&amp;ADDRESS(MATCH($A16,INDIRECT("'"&amp;AW$15&amp;"'!E:E"),0),MATCH(AW$14,INDIRECT("'"&amp;AW$15&amp;"'!13:13"),0)))+SUMIFS(Thue_Ngoai!Q$15:Q$1500,Thue_Ngoai!$F$15:$F$1500,$A16)</f>
        <v>0</v>
      </c>
      <c r="AX16" s="346">
        <f t="array" aca="1" ref="AX16" ca="1">INDIRECT("'"&amp;AX$15&amp;"'!"&amp;ADDRESS(MATCH($A16,INDIRECT("'"&amp;AX$15&amp;"'!E:E"),0),MATCH(AX$14,INDIRECT("'"&amp;AX$15&amp;"'!13:13"),0)))+SUMIFS(Thue_Ngoai!R$15:R$1500,Thue_Ngoai!$F$15:$F$1500,$A16)</f>
        <v>0</v>
      </c>
      <c r="AY16" s="346">
        <f t="array" aca="1" ref="AY16" ca="1">INDIRECT("'"&amp;AY$15&amp;"'!"&amp;ADDRESS(MATCH($A16,INDIRECT("'"&amp;AY$15&amp;"'!E:E"),0),MATCH(AY$14,INDIRECT("'"&amp;AY$15&amp;"'!13:13"),0)))+SUMIFS(Thue_Ngoai!S$15:S$1500,Thue_Ngoai!$F$15:$F$1500,$A16)</f>
        <v>0</v>
      </c>
      <c r="AZ16" s="346">
        <f t="array" aca="1" ref="AZ16" ca="1">INDIRECT("'"&amp;AZ$15&amp;"'!"&amp;ADDRESS(MATCH($A16,INDIRECT("'"&amp;AZ$15&amp;"'!E:E"),0),MATCH(AZ$14,INDIRECT("'"&amp;AZ$15&amp;"'!13:13"),0)))+SUMIFS(Thue_Ngoai!T$15:T$1500,Thue_Ngoai!$F$15:$F$1500,$A16)</f>
        <v>0</v>
      </c>
      <c r="BA16" s="478">
        <f t="shared" ref="BA16:BA21" ca="1" si="1">SUM(AO16:AZ16)</f>
        <v>0</v>
      </c>
      <c r="BB16" s="346">
        <f t="array" aca="1" ref="BB16" ca="1">INDIRECT("'"&amp;BB$15&amp;"'!"&amp;ADDRESS(MATCH($A16,INDIRECT("'"&amp;BB$15&amp;"'!E:E"),0),MATCH(BB$14,INDIRECT("'"&amp;BB$15&amp;"'!13:13"),0)))+SUMIFS(Thue_Ngoai!V$15:V$1500,Thue_Ngoai!$F$15:$F$1500,$A16)</f>
        <v>0</v>
      </c>
      <c r="BC16" s="346">
        <f t="array" aca="1" ref="BC16" ca="1">INDIRECT("'"&amp;BC$15&amp;"'!"&amp;ADDRESS(MATCH($A16,INDIRECT("'"&amp;BC$15&amp;"'!E:E"),0),MATCH(BC$14,INDIRECT("'"&amp;BC$15&amp;"'!13:13"),0)))+SUMIFS(Thue_Ngoai!W$15:W$1500,Thue_Ngoai!$F$15:$F$1500,$A16)</f>
        <v>0</v>
      </c>
      <c r="BD16" s="346">
        <f t="array" aca="1" ref="BD16" ca="1">INDIRECT("'"&amp;BD$15&amp;"'!"&amp;ADDRESS(MATCH($A16,INDIRECT("'"&amp;BD$15&amp;"'!E:E"),0),MATCH(BD$14,INDIRECT("'"&amp;BD$15&amp;"'!13:13"),0)))+SUMIFS(Thue_Ngoai!X$15:X$1500,Thue_Ngoai!$F$15:$F$1500,$A16)</f>
        <v>0</v>
      </c>
      <c r="BE16" s="346">
        <f t="array" aca="1" ref="BE16" ca="1">INDIRECT("'"&amp;BE$15&amp;"'!"&amp;ADDRESS(MATCH($A16,INDIRECT("'"&amp;BE$15&amp;"'!E:E"),0),MATCH(BE$14,INDIRECT("'"&amp;BE$15&amp;"'!13:13"),0)))+SUMIFS(Thue_Ngoai!Y$15:Y$1500,Thue_Ngoai!$F$15:$F$1500,$A16)</f>
        <v>0</v>
      </c>
      <c r="BF16" s="346">
        <f t="array" aca="1" ref="BF16" ca="1">INDIRECT("'"&amp;BF$15&amp;"'!"&amp;ADDRESS(MATCH($A16,INDIRECT("'"&amp;BF$15&amp;"'!E:E"),0),MATCH(BF$14,INDIRECT("'"&amp;BF$15&amp;"'!13:13"),0)))+SUMIFS(Thue_Ngoai!Z$15:Z$1500,Thue_Ngoai!$F$15:$F$1500,$A16)</f>
        <v>0</v>
      </c>
      <c r="BG16" s="346">
        <f t="array" aca="1" ref="BG16" ca="1">INDIRECT("'"&amp;BG$15&amp;"'!"&amp;ADDRESS(MATCH($A16,INDIRECT("'"&amp;BG$15&amp;"'!E:E"),0),MATCH(BG$14,INDIRECT("'"&amp;BG$15&amp;"'!13:13"),0)))+SUMIFS(Thue_Ngoai!AA$15:AA$1500,Thue_Ngoai!$F$15:$F$1500,$A16)</f>
        <v>0</v>
      </c>
      <c r="BH16" s="346">
        <f t="array" aca="1" ref="BH16" ca="1">INDIRECT("'"&amp;BH$15&amp;"'!"&amp;ADDRESS(MATCH($A16,INDIRECT("'"&amp;BH$15&amp;"'!E:E"),0),MATCH(BH$14,INDIRECT("'"&amp;BH$15&amp;"'!13:13"),0)))+SUMIFS(Thue_Ngoai!AB$15:AB$1500,Thue_Ngoai!$F$15:$F$1500,$A16)</f>
        <v>0</v>
      </c>
      <c r="BI16" s="346">
        <f t="array" aca="1" ref="BI16" ca="1">INDIRECT("'"&amp;BI$15&amp;"'!"&amp;ADDRESS(MATCH($A16,INDIRECT("'"&amp;BI$15&amp;"'!E:E"),0),MATCH(BI$14,INDIRECT("'"&amp;BI$15&amp;"'!13:13"),0)))+SUMIFS(Thue_Ngoai!AC$15:AC$1500,Thue_Ngoai!$F$15:$F$1500,$A16)</f>
        <v>0</v>
      </c>
      <c r="BJ16" s="346">
        <f t="array" aca="1" ref="BJ16" ca="1">INDIRECT("'"&amp;BJ$15&amp;"'!"&amp;ADDRESS(MATCH($A16,INDIRECT("'"&amp;BJ$15&amp;"'!E:E"),0),MATCH(BJ$14,INDIRECT("'"&amp;BJ$15&amp;"'!13:13"),0)))+SUMIFS(Thue_Ngoai!AD$15:AD$1500,Thue_Ngoai!$F$15:$F$1500,$A16)</f>
        <v>0</v>
      </c>
      <c r="BK16" s="346">
        <f t="array" aca="1" ref="BK16" ca="1">INDIRECT("'"&amp;BK$15&amp;"'!"&amp;ADDRESS(MATCH($A16,INDIRECT("'"&amp;BK$15&amp;"'!E:E"),0),MATCH(BK$14,INDIRECT("'"&amp;BK$15&amp;"'!13:13"),0)))+SUMIFS(Thue_Ngoai!AE$15:AE$1500,Thue_Ngoai!$F$15:$F$1500,$A16)</f>
        <v>0</v>
      </c>
      <c r="BL16" s="346">
        <f t="array" aca="1" ref="BL16" ca="1">INDIRECT("'"&amp;BL$15&amp;"'!"&amp;ADDRESS(MATCH($A16,INDIRECT("'"&amp;BL$15&amp;"'!E:E"),0),MATCH(BL$14,INDIRECT("'"&amp;BL$15&amp;"'!13:13"),0)))+SUMIFS(Thue_Ngoai!AF$15:AF$1500,Thue_Ngoai!$F$15:$F$1500,$A16)</f>
        <v>0</v>
      </c>
      <c r="BM16" s="346">
        <f t="array" aca="1" ref="BM16" ca="1">INDIRECT("'"&amp;BM$15&amp;"'!"&amp;ADDRESS(MATCH($A16,INDIRECT("'"&amp;BM$15&amp;"'!E:E"),0),MATCH(BM$14,INDIRECT("'"&amp;BM$15&amp;"'!13:13"),0)))+SUMIFS(Thue_Ngoai!AG$15:AG$1500,Thue_Ngoai!$F$15:$F$1500,$A16)</f>
        <v>0</v>
      </c>
      <c r="BN16" s="478">
        <f ca="1">SUM(BB16:BM16)</f>
        <v>0</v>
      </c>
      <c r="BO16" s="346">
        <f t="array" aca="1" ref="BO16" ca="1">INDIRECT("'"&amp;BO$15&amp;"'!"&amp;ADDRESS(MATCH($A16,INDIRECT("'"&amp;BO$15&amp;"'!E:E"),0),MATCH(BO$14,INDIRECT("'"&amp;BO$15&amp;"'!13:13"),0)))+SUMIFS(Thue_Ngoai!I$15:I$1500,Thue_Ngoai!$F$15:$F$1500,$A16,Thue_Ngoai!$G$15:$G$1500,"GROSS")-SUMIFS(Thue_Ngoai!V$15:V$1500,Thue_Ngoai!$G$15:$G$1500,"GROSS")+SUMIFS(Thue_Ngoai!I$15:I$1500,Thue_Ngoai!$F$15:$F$1500,$A16,Thue_Ngoai!$G$15:$G$1500,"NET")</f>
        <v>0</v>
      </c>
      <c r="BP16" s="346">
        <f t="array" aca="1" ref="BP16" ca="1">INDIRECT("'"&amp;BP$15&amp;"'!"&amp;ADDRESS(MATCH($A16,INDIRECT("'"&amp;BP$15&amp;"'!E:E"),0),MATCH(BP$14,INDIRECT("'"&amp;BP$15&amp;"'!13:13"),0)))+SUMIFS(Thue_Ngoai!J$15:J$1500,Thue_Ngoai!$F$15:$F$1500,$A16,Thue_Ngoai!$G$15:$G$1500,"GROSS")-SUMIFS(Thue_Ngoai!W$15:W$1500,Thue_Ngoai!$G$15:$G$1500,"GROSS")+SUMIFS(Thue_Ngoai!J$15:J$1500,Thue_Ngoai!$F$15:$F$1500,$A16,Thue_Ngoai!$G$15:$G$1500,"NET")</f>
        <v>0</v>
      </c>
      <c r="BQ16" s="346">
        <f t="array" aca="1" ref="BQ16" ca="1">INDIRECT("'"&amp;BQ$15&amp;"'!"&amp;ADDRESS(MATCH($A16,INDIRECT("'"&amp;BQ$15&amp;"'!E:E"),0),MATCH(BQ$14,INDIRECT("'"&amp;BQ$15&amp;"'!13:13"),0)))+SUMIFS(Thue_Ngoai!K$15:K$1500,Thue_Ngoai!$F$15:$F$1500,$A16,Thue_Ngoai!$G$15:$G$1500,"GROSS")-SUMIFS(Thue_Ngoai!X$15:X$1500,Thue_Ngoai!$G$15:$G$1500,"GROSS")+SUMIFS(Thue_Ngoai!K$15:K$1500,Thue_Ngoai!$F$15:$F$1500,$A16,Thue_Ngoai!$G$15:$G$1500,"NET")</f>
        <v>0</v>
      </c>
      <c r="BR16" s="346">
        <f t="array" aca="1" ref="BR16" ca="1">INDIRECT("'"&amp;BR$15&amp;"'!"&amp;ADDRESS(MATCH($A16,INDIRECT("'"&amp;BR$15&amp;"'!E:E"),0),MATCH(BR$14,INDIRECT("'"&amp;BR$15&amp;"'!13:13"),0)))+SUMIFS(Thue_Ngoai!L$15:L$1500,Thue_Ngoai!$F$15:$F$1500,$A16,Thue_Ngoai!$G$15:$G$1500,"GROSS")-SUMIFS(Thue_Ngoai!Y$15:Y$1500,Thue_Ngoai!$G$15:$G$1500,"GROSS")+SUMIFS(Thue_Ngoai!L$15:L$1500,Thue_Ngoai!$F$15:$F$1500,$A16,Thue_Ngoai!$G$15:$G$1500,"NET")</f>
        <v>0</v>
      </c>
      <c r="BS16" s="346">
        <f t="array" aca="1" ref="BS16" ca="1">INDIRECT("'"&amp;BS$15&amp;"'!"&amp;ADDRESS(MATCH($A16,INDIRECT("'"&amp;BS$15&amp;"'!E:E"),0),MATCH(BS$14,INDIRECT("'"&amp;BS$15&amp;"'!13:13"),0)))+SUMIFS(Thue_Ngoai!M$15:M$1500,Thue_Ngoai!$F$15:$F$1500,$A16,Thue_Ngoai!$G$15:$G$1500,"GROSS")-SUMIFS(Thue_Ngoai!Z$15:Z$1500,Thue_Ngoai!$G$15:$G$1500,"GROSS")+SUMIFS(Thue_Ngoai!M$15:M$1500,Thue_Ngoai!$F$15:$F$1500,$A16,Thue_Ngoai!$G$15:$G$1500,"NET")</f>
        <v>0</v>
      </c>
      <c r="BT16" s="346">
        <f t="array" aca="1" ref="BT16" ca="1">INDIRECT("'"&amp;BT$15&amp;"'!"&amp;ADDRESS(MATCH($A16,INDIRECT("'"&amp;BT$15&amp;"'!E:E"),0),MATCH(BT$14,INDIRECT("'"&amp;BT$15&amp;"'!13:13"),0)))+SUMIFS(Thue_Ngoai!N$15:N$1500,Thue_Ngoai!$F$15:$F$1500,$A16,Thue_Ngoai!$G$15:$G$1500,"GROSS")-SUMIFS(Thue_Ngoai!AA$15:AA$1500,Thue_Ngoai!$G$15:$G$1500,"GROSS")+SUMIFS(Thue_Ngoai!N$15:N$1500,Thue_Ngoai!$F$15:$F$1500,$A16,Thue_Ngoai!$G$15:$G$1500,"NET")</f>
        <v>0</v>
      </c>
      <c r="BU16" s="346">
        <f t="array" aca="1" ref="BU16" ca="1">INDIRECT("'"&amp;BU$15&amp;"'!"&amp;ADDRESS(MATCH($A16,INDIRECT("'"&amp;BU$15&amp;"'!E:E"),0),MATCH(BU$14,INDIRECT("'"&amp;BU$15&amp;"'!13:13"),0)))+SUMIFS(Thue_Ngoai!O$15:O$1500,Thue_Ngoai!$F$15:$F$1500,$A16,Thue_Ngoai!$G$15:$G$1500,"GROSS")-SUMIFS(Thue_Ngoai!AB$15:AB$1500,Thue_Ngoai!$G$15:$G$1500,"GROSS")+SUMIFS(Thue_Ngoai!O$15:O$1500,Thue_Ngoai!$F$15:$F$1500,$A16,Thue_Ngoai!$G$15:$G$1500,"NET")</f>
        <v>0</v>
      </c>
      <c r="BV16" s="346">
        <f t="array" aca="1" ref="BV16" ca="1">INDIRECT("'"&amp;BV$15&amp;"'!"&amp;ADDRESS(MATCH($A16,INDIRECT("'"&amp;BV$15&amp;"'!E:E"),0),MATCH(BV$14,INDIRECT("'"&amp;BV$15&amp;"'!13:13"),0)))+SUMIFS(Thue_Ngoai!P$15:P$1500,Thue_Ngoai!$F$15:$F$1500,$A16,Thue_Ngoai!$G$15:$G$1500,"GROSS")-SUMIFS(Thue_Ngoai!AC$15:AC$1500,Thue_Ngoai!$G$15:$G$1500,"GROSS")+SUMIFS(Thue_Ngoai!P$15:P$1500,Thue_Ngoai!$F$15:$F$1500,$A16,Thue_Ngoai!$G$15:$G$1500,"NET")</f>
        <v>0</v>
      </c>
      <c r="BW16" s="346">
        <f t="array" aca="1" ref="BW16" ca="1">INDIRECT("'"&amp;BW$15&amp;"'!"&amp;ADDRESS(MATCH($A16,INDIRECT("'"&amp;BW$15&amp;"'!E:E"),0),MATCH(BW$14,INDIRECT("'"&amp;BW$15&amp;"'!13:13"),0)))+SUMIFS(Thue_Ngoai!Q$15:Q$1500,Thue_Ngoai!$F$15:$F$1500,$A16,Thue_Ngoai!$G$15:$G$1500,"GROSS")-SUMIFS(Thue_Ngoai!AD$15:AD$1500,Thue_Ngoai!$G$15:$G$1500,"GROSS")+SUMIFS(Thue_Ngoai!Q$15:Q$1500,Thue_Ngoai!$F$15:$F$1500,$A16,Thue_Ngoai!$G$15:$G$1500,"NET")</f>
        <v>0</v>
      </c>
      <c r="BX16" s="346">
        <f t="array" aca="1" ref="BX16" ca="1">INDIRECT("'"&amp;BX$15&amp;"'!"&amp;ADDRESS(MATCH($A16,INDIRECT("'"&amp;BX$15&amp;"'!E:E"),0),MATCH(BX$14,INDIRECT("'"&amp;BX$15&amp;"'!13:13"),0)))+SUMIFS(Thue_Ngoai!R$15:R$1500,Thue_Ngoai!$F$15:$F$1500,$A16,Thue_Ngoai!$G$15:$G$1500,"GROSS")-SUMIFS(Thue_Ngoai!AE$15:AE$1500,Thue_Ngoai!$G$15:$G$1500,"GROSS")+SUMIFS(Thue_Ngoai!R$15:R$1500,Thue_Ngoai!$F$15:$F$1500,$A16,Thue_Ngoai!$G$15:$G$1500,"NET")</f>
        <v>0</v>
      </c>
      <c r="BY16" s="346">
        <f t="array" aca="1" ref="BY16" ca="1">INDIRECT("'"&amp;BY$15&amp;"'!"&amp;ADDRESS(MATCH($A16,INDIRECT("'"&amp;BY$15&amp;"'!E:E"),0),MATCH(BY$14,INDIRECT("'"&amp;BY$15&amp;"'!13:13"),0)))+SUMIFS(Thue_Ngoai!S$15:S$1500,Thue_Ngoai!$F$15:$F$1500,$A16,Thue_Ngoai!$G$15:$G$1500,"GROSS")-SUMIFS(Thue_Ngoai!AF$15:AF$1500,Thue_Ngoai!$G$15:$G$1500,"GROSS")+SUMIFS(Thue_Ngoai!S$15:S$1500,Thue_Ngoai!$F$15:$F$1500,$A16,Thue_Ngoai!$G$15:$G$1500,"NET")</f>
        <v>0</v>
      </c>
      <c r="BZ16" s="346">
        <f t="array" aca="1" ref="BZ16" ca="1">INDIRECT("'"&amp;BZ$15&amp;"'!"&amp;ADDRESS(MATCH($A16,INDIRECT("'"&amp;BZ$15&amp;"'!E:E"),0),MATCH(BZ$14,INDIRECT("'"&amp;BZ$15&amp;"'!13:13"),0)))+SUMIFS(Thue_Ngoai!T$15:T$1500,Thue_Ngoai!$F$15:$F$1500,$A16,Thue_Ngoai!$G$15:$G$1500,"GROSS")-SUMIFS(Thue_Ngoai!AG$15:AG$1500,Thue_Ngoai!$G$15:$G$1500,"GROSS")+SUMIFS(Thue_Ngoai!T$15:T$1500,Thue_Ngoai!$F$15:$F$1500,$A16,Thue_Ngoai!$G$15:$G$1500,"NET")</f>
        <v>0</v>
      </c>
      <c r="CA16" s="478">
        <f ca="1">SUM(BO16:BZ16)</f>
        <v>0</v>
      </c>
      <c r="CP16" s="150"/>
      <c r="CQ16" s="150"/>
      <c r="CR16" s="150"/>
      <c r="CS16" s="503">
        <v>3384</v>
      </c>
      <c r="CT16" s="519">
        <f ca="1">HLOOKUP($CT$12,BaoHiem!$AD$20:$AO$23,3,0)</f>
        <v>0</v>
      </c>
      <c r="CU16" s="504">
        <f t="array" aca="1" ref="CU16" ca="1">INDEX($B$16:$M$20,MATCH(CV16,$A$16:$A$20,0),$CT$12)</f>
        <v>0</v>
      </c>
      <c r="CV16" s="505">
        <f ca="1">A17</f>
        <v>0</v>
      </c>
    </row>
    <row r="17" spans="1:100" ht="17.649999999999999" customHeight="1" x14ac:dyDescent="0.45">
      <c r="A17" s="333">
        <f ca="1">'1'!E3</f>
        <v>0</v>
      </c>
      <c r="B17" s="411">
        <f t="array" aca="1" ref="B17" ca="1">INDIRECT("'"&amp;B$15&amp;"'!"&amp;ADDRESS(MATCH($A17,INDIRECT("'"&amp;B$15&amp;"'!E:E"),0),MATCH(B$14,INDIRECT("'"&amp;B$15&amp;"'!13:13"),0)))+SUMIFS(Thue_Ngoai!I$15:I$1500,Thue_Ngoai!$F$15:$F$1500,$A17)</f>
        <v>0</v>
      </c>
      <c r="C17" s="411">
        <f t="array" aca="1" ref="C17" ca="1">INDIRECT("'"&amp;C$15&amp;"'!"&amp;ADDRESS(MATCH($A17,INDIRECT("'"&amp;C$15&amp;"'!E:E"),0),MATCH(C$14,INDIRECT("'"&amp;C$15&amp;"'!13:13"),0)))+SUMIFS(Thue_Ngoai!J$15:J$1500,Thue_Ngoai!$F$15:$F$1500,$A17)</f>
        <v>0</v>
      </c>
      <c r="D17" s="411">
        <f t="array" aca="1" ref="D17" ca="1">INDIRECT("'"&amp;D$15&amp;"'!"&amp;ADDRESS(MATCH($A17,INDIRECT("'"&amp;D$15&amp;"'!E:E"),0),MATCH(D$14,INDIRECT("'"&amp;D$15&amp;"'!13:13"),0)))+SUMIFS(Thue_Ngoai!K$15:K$1500,Thue_Ngoai!$F$15:$F$1500,$A17)</f>
        <v>0</v>
      </c>
      <c r="E17" s="411">
        <f t="array" aca="1" ref="E17" ca="1">INDIRECT("'"&amp;E$15&amp;"'!"&amp;ADDRESS(MATCH($A17,INDIRECT("'"&amp;E$15&amp;"'!E:E"),0),MATCH(E$14,INDIRECT("'"&amp;E$15&amp;"'!13:13"),0)))+SUMIFS(Thue_Ngoai!L$15:L$1500,Thue_Ngoai!$F$15:$F$1500,$A17)</f>
        <v>0</v>
      </c>
      <c r="F17" s="411">
        <f t="array" aca="1" ref="F17" ca="1">INDIRECT("'"&amp;F$15&amp;"'!"&amp;ADDRESS(MATCH($A17,INDIRECT("'"&amp;F$15&amp;"'!E:E"),0),MATCH(F$14,INDIRECT("'"&amp;F$15&amp;"'!13:13"),0)))+SUMIFS(Thue_Ngoai!M$15:M$1500,Thue_Ngoai!$F$15:$F$1500,$A17)</f>
        <v>0</v>
      </c>
      <c r="G17" s="411">
        <f t="array" aca="1" ref="G17" ca="1">INDIRECT("'"&amp;G$15&amp;"'!"&amp;ADDRESS(MATCH($A17,INDIRECT("'"&amp;G$15&amp;"'!E:E"),0),MATCH(G$14,INDIRECT("'"&amp;G$15&amp;"'!13:13"),0)))+SUMIFS(Thue_Ngoai!N$15:N$1500,Thue_Ngoai!$F$15:$F$1500,$A17)</f>
        <v>0</v>
      </c>
      <c r="H17" s="411">
        <f t="array" aca="1" ref="H17" ca="1">INDIRECT("'"&amp;H$15&amp;"'!"&amp;ADDRESS(MATCH($A17,INDIRECT("'"&amp;H$15&amp;"'!E:E"),0),MATCH(H$14,INDIRECT("'"&amp;H$15&amp;"'!13:13"),0)))+SUMIFS(Thue_Ngoai!O$15:O$1500,Thue_Ngoai!$F$15:$F$1500,$A17)</f>
        <v>0</v>
      </c>
      <c r="I17" s="411">
        <f t="array" aca="1" ref="I17" ca="1">INDIRECT("'"&amp;I$15&amp;"'!"&amp;ADDRESS(MATCH($A17,INDIRECT("'"&amp;I$15&amp;"'!E:E"),0),MATCH(I$14,INDIRECT("'"&amp;I$15&amp;"'!13:13"),0)))+SUMIFS(Thue_Ngoai!P$15:P$1500,Thue_Ngoai!$F$15:$F$1500,$A17)</f>
        <v>0</v>
      </c>
      <c r="J17" s="411">
        <f t="array" aca="1" ref="J17" ca="1">INDIRECT("'"&amp;J$15&amp;"'!"&amp;ADDRESS(MATCH($A17,INDIRECT("'"&amp;J$15&amp;"'!E:E"),0),MATCH(J$14,INDIRECT("'"&amp;J$15&amp;"'!13:13"),0)))+SUMIFS(Thue_Ngoai!Q$15:Q$1500,Thue_Ngoai!$F$15:$F$1500,$A17)</f>
        <v>0</v>
      </c>
      <c r="K17" s="411">
        <f t="array" aca="1" ref="K17" ca="1">INDIRECT("'"&amp;K$15&amp;"'!"&amp;ADDRESS(MATCH($A17,INDIRECT("'"&amp;K$15&amp;"'!E:E"),0),MATCH(K$14,INDIRECT("'"&amp;K$15&amp;"'!13:13"),0)))+SUMIFS(Thue_Ngoai!R$15:R$1500,Thue_Ngoai!$F$15:$F$1500,$A17)</f>
        <v>0</v>
      </c>
      <c r="L17" s="411">
        <f t="array" aca="1" ref="L17" ca="1">INDIRECT("'"&amp;L$15&amp;"'!"&amp;ADDRESS(MATCH($A17,INDIRECT("'"&amp;L$15&amp;"'!E:E"),0),MATCH(L$14,INDIRECT("'"&amp;L$15&amp;"'!13:13"),0)))+SUMIFS(Thue_Ngoai!S$15:S$1500,Thue_Ngoai!$F$15:$F$1500,$A17)</f>
        <v>0</v>
      </c>
      <c r="M17" s="411">
        <f t="array" aca="1" ref="M17" ca="1">INDIRECT("'"&amp;M$15&amp;"'!"&amp;ADDRESS(MATCH($A17,INDIRECT("'"&amp;M$15&amp;"'!E:E"),0),MATCH(M$14,INDIRECT("'"&amp;M$15&amp;"'!13:13"),0)))+SUMIFS(Thue_Ngoai!T$15:T$1500,Thue_Ngoai!$F$15:$F$1500,$A17)</f>
        <v>0</v>
      </c>
      <c r="N17" s="348">
        <f t="shared" ca="1" si="0"/>
        <v>0</v>
      </c>
      <c r="O17" s="346">
        <f t="array" aca="1" ref="O17" ca="1">INDIRECT("'"&amp;O$15&amp;"'!"&amp;ADDRESS(MATCH($A17,INDIRECT("'"&amp;O$15&amp;"'!E:E"),0),MATCH(O$14,INDIRECT("'"&amp;O$15&amp;"'!13:13"),0)))</f>
        <v>0</v>
      </c>
      <c r="P17" s="346">
        <f t="array" aca="1" ref="P17" ca="1">INDIRECT("'"&amp;P$15&amp;"'!"&amp;ADDRESS(MATCH($A17,INDIRECT("'"&amp;P$15&amp;"'!E:E"),0),MATCH(P$14,INDIRECT("'"&amp;P$15&amp;"'!13:13"),0)))</f>
        <v>0</v>
      </c>
      <c r="Q17" s="346">
        <f t="array" aca="1" ref="Q17" ca="1">INDIRECT("'"&amp;Q$15&amp;"'!"&amp;ADDRESS(MATCH($A17,INDIRECT("'"&amp;Q$15&amp;"'!E:E"),0),MATCH(Q$14,INDIRECT("'"&amp;Q$15&amp;"'!13:13"),0)))</f>
        <v>0</v>
      </c>
      <c r="R17" s="346">
        <f t="array" aca="1" ref="R17" ca="1">INDIRECT("'"&amp;R$15&amp;"'!"&amp;ADDRESS(MATCH($A17,INDIRECT("'"&amp;R$15&amp;"'!E:E"),0),MATCH(R$14,INDIRECT("'"&amp;R$15&amp;"'!13:13"),0)))</f>
        <v>0</v>
      </c>
      <c r="S17" s="346">
        <f t="array" aca="1" ref="S17" ca="1">INDIRECT("'"&amp;S$15&amp;"'!"&amp;ADDRESS(MATCH($A17,INDIRECT("'"&amp;S$15&amp;"'!E:E"),0),MATCH(S$14,INDIRECT("'"&amp;S$15&amp;"'!13:13"),0)))</f>
        <v>0</v>
      </c>
      <c r="T17" s="346">
        <f t="array" aca="1" ref="T17" ca="1">INDIRECT("'"&amp;T$15&amp;"'!"&amp;ADDRESS(MATCH($A17,INDIRECT("'"&amp;T$15&amp;"'!E:E"),0),MATCH(T$14,INDIRECT("'"&amp;T$15&amp;"'!13:13"),0)))</f>
        <v>0</v>
      </c>
      <c r="U17" s="346">
        <f t="array" aca="1" ref="U17" ca="1">INDIRECT("'"&amp;U$15&amp;"'!"&amp;ADDRESS(MATCH($A17,INDIRECT("'"&amp;U$15&amp;"'!E:E"),0),MATCH(U$14,INDIRECT("'"&amp;U$15&amp;"'!13:13"),0)))</f>
        <v>0</v>
      </c>
      <c r="V17" s="346">
        <f t="array" aca="1" ref="V17" ca="1">INDIRECT("'"&amp;V$15&amp;"'!"&amp;ADDRESS(MATCH($A17,INDIRECT("'"&amp;V$15&amp;"'!E:E"),0),MATCH(V$14,INDIRECT("'"&amp;V$15&amp;"'!13:13"),0)))</f>
        <v>0</v>
      </c>
      <c r="W17" s="346">
        <f t="array" aca="1" ref="W17" ca="1">INDIRECT("'"&amp;W$15&amp;"'!"&amp;ADDRESS(MATCH($A17,INDIRECT("'"&amp;W$15&amp;"'!E:E"),0),MATCH(W$14,INDIRECT("'"&amp;W$15&amp;"'!13:13"),0)))</f>
        <v>0</v>
      </c>
      <c r="X17" s="346">
        <f t="array" aca="1" ref="X17" ca="1">INDIRECT("'"&amp;X$15&amp;"'!"&amp;ADDRESS(MATCH($A17,INDIRECT("'"&amp;X$15&amp;"'!E:E"),0),MATCH(X$14,INDIRECT("'"&amp;X$15&amp;"'!13:13"),0)))</f>
        <v>0</v>
      </c>
      <c r="Y17" s="346">
        <f t="array" aca="1" ref="Y17" ca="1">INDIRECT("'"&amp;Y$15&amp;"'!"&amp;ADDRESS(MATCH($A17,INDIRECT("'"&amp;Y$15&amp;"'!E:E"),0),MATCH(Y$14,INDIRECT("'"&amp;Y$15&amp;"'!13:13"),0)))</f>
        <v>0</v>
      </c>
      <c r="Z17" s="346">
        <f t="array" aca="1" ref="Z17" ca="1">INDIRECT("'"&amp;Z$15&amp;"'!"&amp;ADDRESS(MATCH($A17,INDIRECT("'"&amp;Z$15&amp;"'!E:E"),0),MATCH(Z$14,INDIRECT("'"&amp;Z$15&amp;"'!13:13"),0)))</f>
        <v>0</v>
      </c>
      <c r="AA17" s="478">
        <f ca="1">SUM(O17:Z17)</f>
        <v>0</v>
      </c>
      <c r="AB17" s="437">
        <f ca="1">HLOOKUP(AB$15,BaoHiem!$AD$27:$AO$43,9,0)</f>
        <v>0</v>
      </c>
      <c r="AC17" s="437">
        <f ca="1">HLOOKUP(AC$15,BaoHiem!$AD$27:$AO$43,9,0)</f>
        <v>0</v>
      </c>
      <c r="AD17" s="437">
        <f ca="1">HLOOKUP(AD$15,BaoHiem!$AD$27:$AO$43,9,0)</f>
        <v>0</v>
      </c>
      <c r="AE17" s="437">
        <f ca="1">HLOOKUP(AE$15,BaoHiem!$AD$27:$AO$43,9,0)</f>
        <v>0</v>
      </c>
      <c r="AF17" s="437">
        <f ca="1">HLOOKUP(AF$15,BaoHiem!$AD$27:$AO$43,9,0)</f>
        <v>0</v>
      </c>
      <c r="AG17" s="437">
        <f ca="1">HLOOKUP(AG$15,BaoHiem!$AD$27:$AO$43,9,0)</f>
        <v>0</v>
      </c>
      <c r="AH17" s="437">
        <f ca="1">HLOOKUP(AH$15,BaoHiem!$AD$27:$AO$43,9,0)</f>
        <v>0</v>
      </c>
      <c r="AI17" s="437">
        <f ca="1">HLOOKUP(AI$15,BaoHiem!$AD$27:$AO$43,9,0)</f>
        <v>0</v>
      </c>
      <c r="AJ17" s="437">
        <f ca="1">HLOOKUP(AJ$15,BaoHiem!$AD$27:$AO$43,9,0)</f>
        <v>0</v>
      </c>
      <c r="AK17" s="437">
        <f ca="1">HLOOKUP(AK$15,BaoHiem!$AD$27:$AO$43,9,0)</f>
        <v>0</v>
      </c>
      <c r="AL17" s="437">
        <f ca="1">HLOOKUP(AL$15,BaoHiem!$AD$27:$AO$43,9,0)</f>
        <v>0</v>
      </c>
      <c r="AM17" s="437">
        <f ca="1">HLOOKUP(AM$15,BaoHiem!$AD$27:$AO$43,9,0)</f>
        <v>0</v>
      </c>
      <c r="AN17" s="478">
        <f ca="1">SUM(AB17:AM17)</f>
        <v>0</v>
      </c>
      <c r="AO17" s="346">
        <f t="array" aca="1" ref="AO17" ca="1">INDIRECT("'"&amp;AO$15&amp;"'!"&amp;ADDRESS(MATCH($A17,INDIRECT("'"&amp;AO$15&amp;"'!E:E"),0),MATCH(AO$14,INDIRECT("'"&amp;AO$15&amp;"'!13:13"),0)))+SUMIFS(Thue_Ngoai!I$15:I$1500,Thue_Ngoai!$F$15:$F$1500,$A17)</f>
        <v>0</v>
      </c>
      <c r="AP17" s="346">
        <f t="array" aca="1" ref="AP17" ca="1">INDIRECT("'"&amp;AP$15&amp;"'!"&amp;ADDRESS(MATCH($A17,INDIRECT("'"&amp;AP$15&amp;"'!E:E"),0),MATCH(AP$14,INDIRECT("'"&amp;AP$15&amp;"'!13:13"),0)))+SUMIFS(Thue_Ngoai!J$15:J$1500,Thue_Ngoai!$F$15:$F$1500,$A17)</f>
        <v>0</v>
      </c>
      <c r="AQ17" s="346">
        <f t="array" aca="1" ref="AQ17" ca="1">INDIRECT("'"&amp;AQ$15&amp;"'!"&amp;ADDRESS(MATCH($A17,INDIRECT("'"&amp;AQ$15&amp;"'!E:E"),0),MATCH(AQ$14,INDIRECT("'"&amp;AQ$15&amp;"'!13:13"),0)))+SUMIFS(Thue_Ngoai!K$15:K$1500,Thue_Ngoai!$F$15:$F$1500,$A17)</f>
        <v>0</v>
      </c>
      <c r="AR17" s="346">
        <f t="array" aca="1" ref="AR17" ca="1">INDIRECT("'"&amp;AR$15&amp;"'!"&amp;ADDRESS(MATCH($A17,INDIRECT("'"&amp;AR$15&amp;"'!E:E"),0),MATCH(AR$14,INDIRECT("'"&amp;AR$15&amp;"'!13:13"),0)))+SUMIFS(Thue_Ngoai!L$15:L$1500,Thue_Ngoai!$F$15:$F$1500,$A17)</f>
        <v>0</v>
      </c>
      <c r="AS17" s="346">
        <f t="array" aca="1" ref="AS17" ca="1">INDIRECT("'"&amp;AS$15&amp;"'!"&amp;ADDRESS(MATCH($A17,INDIRECT("'"&amp;AS$15&amp;"'!E:E"),0),MATCH(AS$14,INDIRECT("'"&amp;AS$15&amp;"'!13:13"),0)))+SUMIFS(Thue_Ngoai!M$15:M$1500,Thue_Ngoai!$F$15:$F$1500,$A17)</f>
        <v>0</v>
      </c>
      <c r="AT17" s="346">
        <f t="array" aca="1" ref="AT17" ca="1">INDIRECT("'"&amp;AT$15&amp;"'!"&amp;ADDRESS(MATCH($A17,INDIRECT("'"&amp;AT$15&amp;"'!E:E"),0),MATCH(AT$14,INDIRECT("'"&amp;AT$15&amp;"'!13:13"),0)))+SUMIFS(Thue_Ngoai!N$15:N$1500,Thue_Ngoai!$F$15:$F$1500,$A17)</f>
        <v>0</v>
      </c>
      <c r="AU17" s="346">
        <f t="array" aca="1" ref="AU17" ca="1">INDIRECT("'"&amp;AU$15&amp;"'!"&amp;ADDRESS(MATCH($A17,INDIRECT("'"&amp;AU$15&amp;"'!E:E"),0),MATCH(AU$14,INDIRECT("'"&amp;AU$15&amp;"'!13:13"),0)))+SUMIFS(Thue_Ngoai!O$15:O$1500,Thue_Ngoai!$F$15:$F$1500,$A17)</f>
        <v>0</v>
      </c>
      <c r="AV17" s="346">
        <f t="array" aca="1" ref="AV17" ca="1">INDIRECT("'"&amp;AV$15&amp;"'!"&amp;ADDRESS(MATCH($A17,INDIRECT("'"&amp;AV$15&amp;"'!E:E"),0),MATCH(AV$14,INDIRECT("'"&amp;AV$15&amp;"'!13:13"),0)))+SUMIFS(Thue_Ngoai!P$15:P$1500,Thue_Ngoai!$F$15:$F$1500,$A17)</f>
        <v>0</v>
      </c>
      <c r="AW17" s="346">
        <f t="array" aca="1" ref="AW17" ca="1">INDIRECT("'"&amp;AW$15&amp;"'!"&amp;ADDRESS(MATCH($A17,INDIRECT("'"&amp;AW$15&amp;"'!E:E"),0),MATCH(AW$14,INDIRECT("'"&amp;AW$15&amp;"'!13:13"),0)))+SUMIFS(Thue_Ngoai!Q$15:Q$1500,Thue_Ngoai!$F$15:$F$1500,$A17)</f>
        <v>0</v>
      </c>
      <c r="AX17" s="346">
        <f t="array" aca="1" ref="AX17" ca="1">INDIRECT("'"&amp;AX$15&amp;"'!"&amp;ADDRESS(MATCH($A17,INDIRECT("'"&amp;AX$15&amp;"'!E:E"),0),MATCH(AX$14,INDIRECT("'"&amp;AX$15&amp;"'!13:13"),0)))+SUMIFS(Thue_Ngoai!R$15:R$1500,Thue_Ngoai!$F$15:$F$1500,$A17)</f>
        <v>0</v>
      </c>
      <c r="AY17" s="346">
        <f t="array" aca="1" ref="AY17" ca="1">INDIRECT("'"&amp;AY$15&amp;"'!"&amp;ADDRESS(MATCH($A17,INDIRECT("'"&amp;AY$15&amp;"'!E:E"),0),MATCH(AY$14,INDIRECT("'"&amp;AY$15&amp;"'!13:13"),0)))+SUMIFS(Thue_Ngoai!S$15:S$1500,Thue_Ngoai!$F$15:$F$1500,$A17)</f>
        <v>0</v>
      </c>
      <c r="AZ17" s="346">
        <f t="array" aca="1" ref="AZ17" ca="1">INDIRECT("'"&amp;AZ$15&amp;"'!"&amp;ADDRESS(MATCH($A17,INDIRECT("'"&amp;AZ$15&amp;"'!E:E"),0),MATCH(AZ$14,INDIRECT("'"&amp;AZ$15&amp;"'!13:13"),0)))+SUMIFS(Thue_Ngoai!T$15:T$1500,Thue_Ngoai!$F$15:$F$1500,$A17)</f>
        <v>0</v>
      </c>
      <c r="BA17" s="478">
        <f t="shared" ca="1" si="1"/>
        <v>0</v>
      </c>
      <c r="BB17" s="346">
        <f t="array" aca="1" ref="BB17" ca="1">INDIRECT("'"&amp;BB$15&amp;"'!"&amp;ADDRESS(MATCH($A17,INDIRECT("'"&amp;BB$15&amp;"'!E:E"),0),MATCH(BB$14,INDIRECT("'"&amp;BB$15&amp;"'!13:13"),0)))+SUMIFS(Thue_Ngoai!V$15:V$1500,Thue_Ngoai!$F$15:$F$1500,$A17)</f>
        <v>0</v>
      </c>
      <c r="BC17" s="346">
        <f t="array" aca="1" ref="BC17" ca="1">INDIRECT("'"&amp;BC$15&amp;"'!"&amp;ADDRESS(MATCH($A17,INDIRECT("'"&amp;BC$15&amp;"'!E:E"),0),MATCH(BC$14,INDIRECT("'"&amp;BC$15&amp;"'!13:13"),0)))+SUMIFS(Thue_Ngoai!W$15:W$1500,Thue_Ngoai!$F$15:$F$1500,$A17)</f>
        <v>0</v>
      </c>
      <c r="BD17" s="346">
        <f t="array" aca="1" ref="BD17" ca="1">INDIRECT("'"&amp;BD$15&amp;"'!"&amp;ADDRESS(MATCH($A17,INDIRECT("'"&amp;BD$15&amp;"'!E:E"),0),MATCH(BD$14,INDIRECT("'"&amp;BD$15&amp;"'!13:13"),0)))+SUMIFS(Thue_Ngoai!X$15:X$1500,Thue_Ngoai!$F$15:$F$1500,$A17)</f>
        <v>0</v>
      </c>
      <c r="BE17" s="346">
        <f t="array" aca="1" ref="BE17" ca="1">INDIRECT("'"&amp;BE$15&amp;"'!"&amp;ADDRESS(MATCH($A17,INDIRECT("'"&amp;BE$15&amp;"'!E:E"),0),MATCH(BE$14,INDIRECT("'"&amp;BE$15&amp;"'!13:13"),0)))+SUMIFS(Thue_Ngoai!Y$15:Y$1500,Thue_Ngoai!$F$15:$F$1500,$A17)</f>
        <v>0</v>
      </c>
      <c r="BF17" s="346">
        <f t="array" aca="1" ref="BF17" ca="1">INDIRECT("'"&amp;BF$15&amp;"'!"&amp;ADDRESS(MATCH($A17,INDIRECT("'"&amp;BF$15&amp;"'!E:E"),0),MATCH(BF$14,INDIRECT("'"&amp;BF$15&amp;"'!13:13"),0)))+SUMIFS(Thue_Ngoai!Z$15:Z$1500,Thue_Ngoai!$F$15:$F$1500,$A17)</f>
        <v>0</v>
      </c>
      <c r="BG17" s="346">
        <f t="array" aca="1" ref="BG17" ca="1">INDIRECT("'"&amp;BG$15&amp;"'!"&amp;ADDRESS(MATCH($A17,INDIRECT("'"&amp;BG$15&amp;"'!E:E"),0),MATCH(BG$14,INDIRECT("'"&amp;BG$15&amp;"'!13:13"),0)))+SUMIFS(Thue_Ngoai!AA$15:AA$1500,Thue_Ngoai!$F$15:$F$1500,$A17)</f>
        <v>0</v>
      </c>
      <c r="BH17" s="346">
        <f t="array" aca="1" ref="BH17" ca="1">INDIRECT("'"&amp;BH$15&amp;"'!"&amp;ADDRESS(MATCH($A17,INDIRECT("'"&amp;BH$15&amp;"'!E:E"),0),MATCH(BH$14,INDIRECT("'"&amp;BH$15&amp;"'!13:13"),0)))+SUMIFS(Thue_Ngoai!AB$15:AB$1500,Thue_Ngoai!$F$15:$F$1500,$A17)</f>
        <v>0</v>
      </c>
      <c r="BI17" s="346">
        <f t="array" aca="1" ref="BI17" ca="1">INDIRECT("'"&amp;BI$15&amp;"'!"&amp;ADDRESS(MATCH($A17,INDIRECT("'"&amp;BI$15&amp;"'!E:E"),0),MATCH(BI$14,INDIRECT("'"&amp;BI$15&amp;"'!13:13"),0)))+SUMIFS(Thue_Ngoai!AC$15:AC$1500,Thue_Ngoai!$F$15:$F$1500,$A17)</f>
        <v>0</v>
      </c>
      <c r="BJ17" s="346">
        <f t="array" aca="1" ref="BJ17" ca="1">INDIRECT("'"&amp;BJ$15&amp;"'!"&amp;ADDRESS(MATCH($A17,INDIRECT("'"&amp;BJ$15&amp;"'!E:E"),0),MATCH(BJ$14,INDIRECT("'"&amp;BJ$15&amp;"'!13:13"),0)))+SUMIFS(Thue_Ngoai!AD$15:AD$1500,Thue_Ngoai!$F$15:$F$1500,$A17)</f>
        <v>0</v>
      </c>
      <c r="BK17" s="346">
        <f t="array" aca="1" ref="BK17" ca="1">INDIRECT("'"&amp;BK$15&amp;"'!"&amp;ADDRESS(MATCH($A17,INDIRECT("'"&amp;BK$15&amp;"'!E:E"),0),MATCH(BK$14,INDIRECT("'"&amp;BK$15&amp;"'!13:13"),0)))+SUMIFS(Thue_Ngoai!AE$15:AE$1500,Thue_Ngoai!$F$15:$F$1500,$A17)</f>
        <v>0</v>
      </c>
      <c r="BL17" s="346">
        <f t="array" aca="1" ref="BL17" ca="1">INDIRECT("'"&amp;BL$15&amp;"'!"&amp;ADDRESS(MATCH($A17,INDIRECT("'"&amp;BL$15&amp;"'!E:E"),0),MATCH(BL$14,INDIRECT("'"&amp;BL$15&amp;"'!13:13"),0)))+SUMIFS(Thue_Ngoai!AF$15:AF$1500,Thue_Ngoai!$F$15:$F$1500,$A17)</f>
        <v>0</v>
      </c>
      <c r="BM17" s="346">
        <f t="array" aca="1" ref="BM17" ca="1">INDIRECT("'"&amp;BM$15&amp;"'!"&amp;ADDRESS(MATCH($A17,INDIRECT("'"&amp;BM$15&amp;"'!E:E"),0),MATCH(BM$14,INDIRECT("'"&amp;BM$15&amp;"'!13:13"),0)))+SUMIFS(Thue_Ngoai!AG$15:AG$1500,Thue_Ngoai!$F$15:$F$1500,$A17)</f>
        <v>0</v>
      </c>
      <c r="BN17" s="478">
        <f ca="1">SUM(BB17:BM17)</f>
        <v>0</v>
      </c>
      <c r="BO17" s="346">
        <f t="array" aca="1" ref="BO17" ca="1">INDIRECT("'"&amp;BO$15&amp;"'!"&amp;ADDRESS(MATCH($A17,INDIRECT("'"&amp;BO$15&amp;"'!E:E"),0),MATCH(BO$14,INDIRECT("'"&amp;BO$15&amp;"'!13:13"),0)))+SUMIFS(Thue_Ngoai!I$15:I$1500,Thue_Ngoai!$F$15:$F$1500,$A17,Thue_Ngoai!$G$15:$G$1500,"GROSS")-SUMIFS(Thue_Ngoai!V$15:V$1500,Thue_Ngoai!$G$15:$G$1500,"GROSS")+SUMIFS(Thue_Ngoai!I$15:I$1500,Thue_Ngoai!$F$15:$F$1500,$A17,Thue_Ngoai!$G$15:$G$1500,"NET")</f>
        <v>0</v>
      </c>
      <c r="BP17" s="346">
        <f t="array" aca="1" ref="BP17" ca="1">INDIRECT("'"&amp;BP$15&amp;"'!"&amp;ADDRESS(MATCH($A17,INDIRECT("'"&amp;BP$15&amp;"'!E:E"),0),MATCH(BP$14,INDIRECT("'"&amp;BP$15&amp;"'!13:13"),0)))+SUMIFS(Thue_Ngoai!J$15:J$1500,Thue_Ngoai!$F$15:$F$1500,$A17,Thue_Ngoai!$G$15:$G$1500,"GROSS")-SUMIFS(Thue_Ngoai!W$15:W$1500,Thue_Ngoai!$G$15:$G$1500,"GROSS")+SUMIFS(Thue_Ngoai!J$15:J$1500,Thue_Ngoai!$F$15:$F$1500,$A17,Thue_Ngoai!$G$15:$G$1500,"NET")</f>
        <v>0</v>
      </c>
      <c r="BQ17" s="346">
        <f t="array" aca="1" ref="BQ17" ca="1">INDIRECT("'"&amp;BQ$15&amp;"'!"&amp;ADDRESS(MATCH($A17,INDIRECT("'"&amp;BQ$15&amp;"'!E:E"),0),MATCH(BQ$14,INDIRECT("'"&amp;BQ$15&amp;"'!13:13"),0)))+SUMIFS(Thue_Ngoai!K$15:K$1500,Thue_Ngoai!$F$15:$F$1500,$A17,Thue_Ngoai!$G$15:$G$1500,"GROSS")-SUMIFS(Thue_Ngoai!X$15:X$1500,Thue_Ngoai!$G$15:$G$1500,"GROSS")+SUMIFS(Thue_Ngoai!K$15:K$1500,Thue_Ngoai!$F$15:$F$1500,$A17,Thue_Ngoai!$G$15:$G$1500,"NET")</f>
        <v>0</v>
      </c>
      <c r="BR17" s="346">
        <f t="array" aca="1" ref="BR17" ca="1">INDIRECT("'"&amp;BR$15&amp;"'!"&amp;ADDRESS(MATCH($A17,INDIRECT("'"&amp;BR$15&amp;"'!E:E"),0),MATCH(BR$14,INDIRECT("'"&amp;BR$15&amp;"'!13:13"),0)))+SUMIFS(Thue_Ngoai!L$15:L$1500,Thue_Ngoai!$F$15:$F$1500,$A17,Thue_Ngoai!$G$15:$G$1500,"GROSS")-SUMIFS(Thue_Ngoai!Y$15:Y$1500,Thue_Ngoai!$G$15:$G$1500,"GROSS")+SUMIFS(Thue_Ngoai!L$15:L$1500,Thue_Ngoai!$F$15:$F$1500,$A17,Thue_Ngoai!$G$15:$G$1500,"NET")</f>
        <v>0</v>
      </c>
      <c r="BS17" s="346">
        <f t="array" aca="1" ref="BS17" ca="1">INDIRECT("'"&amp;BS$15&amp;"'!"&amp;ADDRESS(MATCH($A17,INDIRECT("'"&amp;BS$15&amp;"'!E:E"),0),MATCH(BS$14,INDIRECT("'"&amp;BS$15&amp;"'!13:13"),0)))+SUMIFS(Thue_Ngoai!M$15:M$1500,Thue_Ngoai!$F$15:$F$1500,$A17,Thue_Ngoai!$G$15:$G$1500,"GROSS")-SUMIFS(Thue_Ngoai!Z$15:Z$1500,Thue_Ngoai!$G$15:$G$1500,"GROSS")+SUMIFS(Thue_Ngoai!M$15:M$1500,Thue_Ngoai!$F$15:$F$1500,$A17,Thue_Ngoai!$G$15:$G$1500,"NET")</f>
        <v>0</v>
      </c>
      <c r="BT17" s="346">
        <f t="array" aca="1" ref="BT17" ca="1">INDIRECT("'"&amp;BT$15&amp;"'!"&amp;ADDRESS(MATCH($A17,INDIRECT("'"&amp;BT$15&amp;"'!E:E"),0),MATCH(BT$14,INDIRECT("'"&amp;BT$15&amp;"'!13:13"),0)))+SUMIFS(Thue_Ngoai!N$15:N$1500,Thue_Ngoai!$F$15:$F$1500,$A17,Thue_Ngoai!$G$15:$G$1500,"GROSS")-SUMIFS(Thue_Ngoai!AA$15:AA$1500,Thue_Ngoai!$G$15:$G$1500,"GROSS")+SUMIFS(Thue_Ngoai!N$15:N$1500,Thue_Ngoai!$F$15:$F$1500,$A17,Thue_Ngoai!$G$15:$G$1500,"NET")</f>
        <v>0</v>
      </c>
      <c r="BU17" s="346">
        <f t="array" aca="1" ref="BU17" ca="1">INDIRECT("'"&amp;BU$15&amp;"'!"&amp;ADDRESS(MATCH($A17,INDIRECT("'"&amp;BU$15&amp;"'!E:E"),0),MATCH(BU$14,INDIRECT("'"&amp;BU$15&amp;"'!13:13"),0)))+SUMIFS(Thue_Ngoai!O$15:O$1500,Thue_Ngoai!$F$15:$F$1500,$A17,Thue_Ngoai!$G$15:$G$1500,"GROSS")-SUMIFS(Thue_Ngoai!AB$15:AB$1500,Thue_Ngoai!$G$15:$G$1500,"GROSS")+SUMIFS(Thue_Ngoai!O$15:O$1500,Thue_Ngoai!$F$15:$F$1500,$A17,Thue_Ngoai!$G$15:$G$1500,"NET")</f>
        <v>0</v>
      </c>
      <c r="BV17" s="346">
        <f t="array" aca="1" ref="BV17" ca="1">INDIRECT("'"&amp;BV$15&amp;"'!"&amp;ADDRESS(MATCH($A17,INDIRECT("'"&amp;BV$15&amp;"'!E:E"),0),MATCH(BV$14,INDIRECT("'"&amp;BV$15&amp;"'!13:13"),0)))+SUMIFS(Thue_Ngoai!P$15:P$1500,Thue_Ngoai!$F$15:$F$1500,$A17,Thue_Ngoai!$G$15:$G$1500,"GROSS")-SUMIFS(Thue_Ngoai!AC$15:AC$1500,Thue_Ngoai!$G$15:$G$1500,"GROSS")+SUMIFS(Thue_Ngoai!P$15:P$1500,Thue_Ngoai!$F$15:$F$1500,$A17,Thue_Ngoai!$G$15:$G$1500,"NET")</f>
        <v>0</v>
      </c>
      <c r="BW17" s="346">
        <f t="array" aca="1" ref="BW17" ca="1">INDIRECT("'"&amp;BW$15&amp;"'!"&amp;ADDRESS(MATCH($A17,INDIRECT("'"&amp;BW$15&amp;"'!E:E"),0),MATCH(BW$14,INDIRECT("'"&amp;BW$15&amp;"'!13:13"),0)))+SUMIFS(Thue_Ngoai!Q$15:Q$1500,Thue_Ngoai!$F$15:$F$1500,$A17,Thue_Ngoai!$G$15:$G$1500,"GROSS")-SUMIFS(Thue_Ngoai!AD$15:AD$1500,Thue_Ngoai!$G$15:$G$1500,"GROSS")+SUMIFS(Thue_Ngoai!Q$15:Q$1500,Thue_Ngoai!$F$15:$F$1500,$A17,Thue_Ngoai!$G$15:$G$1500,"NET")</f>
        <v>0</v>
      </c>
      <c r="BX17" s="346">
        <f t="array" aca="1" ref="BX17" ca="1">INDIRECT("'"&amp;BX$15&amp;"'!"&amp;ADDRESS(MATCH($A17,INDIRECT("'"&amp;BX$15&amp;"'!E:E"),0),MATCH(BX$14,INDIRECT("'"&amp;BX$15&amp;"'!13:13"),0)))+SUMIFS(Thue_Ngoai!R$15:R$1500,Thue_Ngoai!$F$15:$F$1500,$A17,Thue_Ngoai!$G$15:$G$1500,"GROSS")-SUMIFS(Thue_Ngoai!AE$15:AE$1500,Thue_Ngoai!$G$15:$G$1500,"GROSS")+SUMIFS(Thue_Ngoai!R$15:R$1500,Thue_Ngoai!$F$15:$F$1500,$A17,Thue_Ngoai!$G$15:$G$1500,"NET")</f>
        <v>0</v>
      </c>
      <c r="BY17" s="346">
        <f t="array" aca="1" ref="BY17" ca="1">INDIRECT("'"&amp;BY$15&amp;"'!"&amp;ADDRESS(MATCH($A17,INDIRECT("'"&amp;BY$15&amp;"'!E:E"),0),MATCH(BY$14,INDIRECT("'"&amp;BY$15&amp;"'!13:13"),0)))+SUMIFS(Thue_Ngoai!S$15:S$1500,Thue_Ngoai!$F$15:$F$1500,$A17,Thue_Ngoai!$G$15:$G$1500,"GROSS")-SUMIFS(Thue_Ngoai!AF$15:AF$1500,Thue_Ngoai!$G$15:$G$1500,"GROSS")+SUMIFS(Thue_Ngoai!S$15:S$1500,Thue_Ngoai!$F$15:$F$1500,$A17,Thue_Ngoai!$G$15:$G$1500,"NET")</f>
        <v>0</v>
      </c>
      <c r="BZ17" s="346">
        <f t="array" aca="1" ref="BZ17" ca="1">INDIRECT("'"&amp;BZ$15&amp;"'!"&amp;ADDRESS(MATCH($A17,INDIRECT("'"&amp;BZ$15&amp;"'!E:E"),0),MATCH(BZ$14,INDIRECT("'"&amp;BZ$15&amp;"'!13:13"),0)))+SUMIFS(Thue_Ngoai!T$15:T$1500,Thue_Ngoai!$F$15:$F$1500,$A17,Thue_Ngoai!$G$15:$G$1500,"GROSS")-SUMIFS(Thue_Ngoai!AG$15:AG$1500,Thue_Ngoai!$G$15:$G$1500,"GROSS")+SUMIFS(Thue_Ngoai!T$15:T$1500,Thue_Ngoai!$F$15:$F$1500,$A17,Thue_Ngoai!$G$15:$G$1500,"NET")</f>
        <v>0</v>
      </c>
      <c r="CA17" s="478">
        <f ca="1">SUM(BO17:BZ17)</f>
        <v>0</v>
      </c>
      <c r="CS17" s="503">
        <v>3385</v>
      </c>
      <c r="CT17" s="521">
        <f ca="1">HLOOKUP($CT$12,BaoHiem!$AD$20:$AO$23,4,0)</f>
        <v>0</v>
      </c>
      <c r="CU17" s="504">
        <f t="array" aca="1" ref="CU17" ca="1">INDEX($B$16:$M$20,MATCH(CV17,$A$16:$A$20,0),$CT$12)</f>
        <v>0</v>
      </c>
      <c r="CV17" s="505">
        <f ca="1">A18</f>
        <v>0</v>
      </c>
    </row>
    <row r="18" spans="1:100" ht="17.649999999999999" customHeight="1" x14ac:dyDescent="0.45">
      <c r="A18" s="333">
        <f ca="1">'1'!E4</f>
        <v>0</v>
      </c>
      <c r="B18" s="411">
        <f t="array" aca="1" ref="B18" ca="1">INDIRECT("'"&amp;B$15&amp;"'!"&amp;ADDRESS(MATCH($A18,INDIRECT("'"&amp;B$15&amp;"'!E:E"),0),MATCH(B$14,INDIRECT("'"&amp;B$15&amp;"'!13:13"),0)))+SUMIFS(Thue_Ngoai!I$15:I$1500,Thue_Ngoai!$F$15:$F$1500,$A18)</f>
        <v>0</v>
      </c>
      <c r="C18" s="411">
        <f t="array" aca="1" ref="C18" ca="1">INDIRECT("'"&amp;C$15&amp;"'!"&amp;ADDRESS(MATCH($A18,INDIRECT("'"&amp;C$15&amp;"'!E:E"),0),MATCH(C$14,INDIRECT("'"&amp;C$15&amp;"'!13:13"),0)))+SUMIFS(Thue_Ngoai!J$15:J$1500,Thue_Ngoai!$F$15:$F$1500,$A18)</f>
        <v>0</v>
      </c>
      <c r="D18" s="411">
        <f t="array" aca="1" ref="D18" ca="1">INDIRECT("'"&amp;D$15&amp;"'!"&amp;ADDRESS(MATCH($A18,INDIRECT("'"&amp;D$15&amp;"'!E:E"),0),MATCH(D$14,INDIRECT("'"&amp;D$15&amp;"'!13:13"),0)))+SUMIFS(Thue_Ngoai!K$15:K$1500,Thue_Ngoai!$F$15:$F$1500,$A18)</f>
        <v>0</v>
      </c>
      <c r="E18" s="411">
        <f t="array" aca="1" ref="E18" ca="1">INDIRECT("'"&amp;E$15&amp;"'!"&amp;ADDRESS(MATCH($A18,INDIRECT("'"&amp;E$15&amp;"'!E:E"),0),MATCH(E$14,INDIRECT("'"&amp;E$15&amp;"'!13:13"),0)))+SUMIFS(Thue_Ngoai!L$15:L$1500,Thue_Ngoai!$F$15:$F$1500,$A18)</f>
        <v>0</v>
      </c>
      <c r="F18" s="411">
        <f t="array" aca="1" ref="F18" ca="1">INDIRECT("'"&amp;F$15&amp;"'!"&amp;ADDRESS(MATCH($A18,INDIRECT("'"&amp;F$15&amp;"'!E:E"),0),MATCH(F$14,INDIRECT("'"&amp;F$15&amp;"'!13:13"),0)))+SUMIFS(Thue_Ngoai!M$15:M$1500,Thue_Ngoai!$F$15:$F$1500,$A18)</f>
        <v>0</v>
      </c>
      <c r="G18" s="411">
        <f t="array" aca="1" ref="G18" ca="1">INDIRECT("'"&amp;G$15&amp;"'!"&amp;ADDRESS(MATCH($A18,INDIRECT("'"&amp;G$15&amp;"'!E:E"),0),MATCH(G$14,INDIRECT("'"&amp;G$15&amp;"'!13:13"),0)))+SUMIFS(Thue_Ngoai!N$15:N$1500,Thue_Ngoai!$F$15:$F$1500,$A18)</f>
        <v>0</v>
      </c>
      <c r="H18" s="411">
        <f t="array" aca="1" ref="H18" ca="1">INDIRECT("'"&amp;H$15&amp;"'!"&amp;ADDRESS(MATCH($A18,INDIRECT("'"&amp;H$15&amp;"'!E:E"),0),MATCH(H$14,INDIRECT("'"&amp;H$15&amp;"'!13:13"),0)))+SUMIFS(Thue_Ngoai!O$15:O$1500,Thue_Ngoai!$F$15:$F$1500,$A18)</f>
        <v>0</v>
      </c>
      <c r="I18" s="411">
        <f t="array" aca="1" ref="I18" ca="1">INDIRECT("'"&amp;I$15&amp;"'!"&amp;ADDRESS(MATCH($A18,INDIRECT("'"&amp;I$15&amp;"'!E:E"),0),MATCH(I$14,INDIRECT("'"&amp;I$15&amp;"'!13:13"),0)))+SUMIFS(Thue_Ngoai!P$15:P$1500,Thue_Ngoai!$F$15:$F$1500,$A18)</f>
        <v>0</v>
      </c>
      <c r="J18" s="411">
        <f t="array" aca="1" ref="J18" ca="1">INDIRECT("'"&amp;J$15&amp;"'!"&amp;ADDRESS(MATCH($A18,INDIRECT("'"&amp;J$15&amp;"'!E:E"),0),MATCH(J$14,INDIRECT("'"&amp;J$15&amp;"'!13:13"),0)))+SUMIFS(Thue_Ngoai!Q$15:Q$1500,Thue_Ngoai!$F$15:$F$1500,$A18)</f>
        <v>0</v>
      </c>
      <c r="K18" s="411">
        <f t="array" aca="1" ref="K18" ca="1">INDIRECT("'"&amp;K$15&amp;"'!"&amp;ADDRESS(MATCH($A18,INDIRECT("'"&amp;K$15&amp;"'!E:E"),0),MATCH(K$14,INDIRECT("'"&amp;K$15&amp;"'!13:13"),0)))+SUMIFS(Thue_Ngoai!R$15:R$1500,Thue_Ngoai!$F$15:$F$1500,$A18)</f>
        <v>0</v>
      </c>
      <c r="L18" s="411">
        <f t="array" aca="1" ref="L18" ca="1">INDIRECT("'"&amp;L$15&amp;"'!"&amp;ADDRESS(MATCH($A18,INDIRECT("'"&amp;L$15&amp;"'!E:E"),0),MATCH(L$14,INDIRECT("'"&amp;L$15&amp;"'!13:13"),0)))+SUMIFS(Thue_Ngoai!S$15:S$1500,Thue_Ngoai!$F$15:$F$1500,$A18)</f>
        <v>0</v>
      </c>
      <c r="M18" s="411">
        <f t="array" aca="1" ref="M18" ca="1">INDIRECT("'"&amp;M$15&amp;"'!"&amp;ADDRESS(MATCH($A18,INDIRECT("'"&amp;M$15&amp;"'!E:E"),0),MATCH(M$14,INDIRECT("'"&amp;M$15&amp;"'!13:13"),0)))+SUMIFS(Thue_Ngoai!T$15:T$1500,Thue_Ngoai!$F$15:$F$1500,$A18)</f>
        <v>0</v>
      </c>
      <c r="N18" s="348">
        <f t="shared" ca="1" si="0"/>
        <v>0</v>
      </c>
      <c r="O18" s="346">
        <f t="array" aca="1" ref="O18" ca="1">INDIRECT("'"&amp;O$15&amp;"'!"&amp;ADDRESS(MATCH($A18,INDIRECT("'"&amp;O$15&amp;"'!E:E"),0),MATCH(O$14,INDIRECT("'"&amp;O$15&amp;"'!13:13"),0)))</f>
        <v>0</v>
      </c>
      <c r="P18" s="346">
        <f t="array" aca="1" ref="P18" ca="1">INDIRECT("'"&amp;P$15&amp;"'!"&amp;ADDRESS(MATCH($A18,INDIRECT("'"&amp;P$15&amp;"'!E:E"),0),MATCH(P$14,INDIRECT("'"&amp;P$15&amp;"'!13:13"),0)))</f>
        <v>0</v>
      </c>
      <c r="Q18" s="346">
        <f t="array" aca="1" ref="Q18" ca="1">INDIRECT("'"&amp;Q$15&amp;"'!"&amp;ADDRESS(MATCH($A18,INDIRECT("'"&amp;Q$15&amp;"'!E:E"),0),MATCH(Q$14,INDIRECT("'"&amp;Q$15&amp;"'!13:13"),0)))</f>
        <v>0</v>
      </c>
      <c r="R18" s="346">
        <f t="array" aca="1" ref="R18" ca="1">INDIRECT("'"&amp;R$15&amp;"'!"&amp;ADDRESS(MATCH($A18,INDIRECT("'"&amp;R$15&amp;"'!E:E"),0),MATCH(R$14,INDIRECT("'"&amp;R$15&amp;"'!13:13"),0)))</f>
        <v>0</v>
      </c>
      <c r="S18" s="346">
        <f t="array" aca="1" ref="S18" ca="1">INDIRECT("'"&amp;S$15&amp;"'!"&amp;ADDRESS(MATCH($A18,INDIRECT("'"&amp;S$15&amp;"'!E:E"),0),MATCH(S$14,INDIRECT("'"&amp;S$15&amp;"'!13:13"),0)))</f>
        <v>0</v>
      </c>
      <c r="T18" s="346">
        <f t="array" aca="1" ref="T18" ca="1">INDIRECT("'"&amp;T$15&amp;"'!"&amp;ADDRESS(MATCH($A18,INDIRECT("'"&amp;T$15&amp;"'!E:E"),0),MATCH(T$14,INDIRECT("'"&amp;T$15&amp;"'!13:13"),0)))</f>
        <v>0</v>
      </c>
      <c r="U18" s="346">
        <f t="array" aca="1" ref="U18" ca="1">INDIRECT("'"&amp;U$15&amp;"'!"&amp;ADDRESS(MATCH($A18,INDIRECT("'"&amp;U$15&amp;"'!E:E"),0),MATCH(U$14,INDIRECT("'"&amp;U$15&amp;"'!13:13"),0)))</f>
        <v>0</v>
      </c>
      <c r="V18" s="346">
        <f t="array" aca="1" ref="V18" ca="1">INDIRECT("'"&amp;V$15&amp;"'!"&amp;ADDRESS(MATCH($A18,INDIRECT("'"&amp;V$15&amp;"'!E:E"),0),MATCH(V$14,INDIRECT("'"&amp;V$15&amp;"'!13:13"),0)))</f>
        <v>0</v>
      </c>
      <c r="W18" s="346">
        <f t="array" aca="1" ref="W18" ca="1">INDIRECT("'"&amp;W$15&amp;"'!"&amp;ADDRESS(MATCH($A18,INDIRECT("'"&amp;W$15&amp;"'!E:E"),0),MATCH(W$14,INDIRECT("'"&amp;W$15&amp;"'!13:13"),0)))</f>
        <v>0</v>
      </c>
      <c r="X18" s="346">
        <f t="array" aca="1" ref="X18" ca="1">INDIRECT("'"&amp;X$15&amp;"'!"&amp;ADDRESS(MATCH($A18,INDIRECT("'"&amp;X$15&amp;"'!E:E"),0),MATCH(X$14,INDIRECT("'"&amp;X$15&amp;"'!13:13"),0)))</f>
        <v>0</v>
      </c>
      <c r="Y18" s="346">
        <f t="array" aca="1" ref="Y18" ca="1">INDIRECT("'"&amp;Y$15&amp;"'!"&amp;ADDRESS(MATCH($A18,INDIRECT("'"&amp;Y$15&amp;"'!E:E"),0),MATCH(Y$14,INDIRECT("'"&amp;Y$15&amp;"'!13:13"),0)))</f>
        <v>0</v>
      </c>
      <c r="Z18" s="346">
        <f t="array" aca="1" ref="Z18" ca="1">INDIRECT("'"&amp;Z$15&amp;"'!"&amp;ADDRESS(MATCH($A18,INDIRECT("'"&amp;Z$15&amp;"'!E:E"),0),MATCH(Z$14,INDIRECT("'"&amp;Z$15&amp;"'!13:13"),0)))</f>
        <v>0</v>
      </c>
      <c r="AA18" s="478">
        <f ca="1">SUM(O18:Z18)</f>
        <v>0</v>
      </c>
      <c r="AB18" s="437">
        <f ca="1">HLOOKUP(AB$15,BaoHiem!$AD$27:$AO$43,13,0)</f>
        <v>0</v>
      </c>
      <c r="AC18" s="437">
        <f ca="1">HLOOKUP(AC$15,BaoHiem!$AD$27:$AO$43,13,0)</f>
        <v>0</v>
      </c>
      <c r="AD18" s="437">
        <f ca="1">HLOOKUP(AD$15,BaoHiem!$AD$27:$AO$43,13,0)</f>
        <v>0</v>
      </c>
      <c r="AE18" s="437">
        <f ca="1">HLOOKUP(AE$15,BaoHiem!$AD$27:$AO$43,13,0)</f>
        <v>0</v>
      </c>
      <c r="AF18" s="437">
        <f ca="1">HLOOKUP(AF$15,BaoHiem!$AD$27:$AO$43,13,0)</f>
        <v>0</v>
      </c>
      <c r="AG18" s="437">
        <f ca="1">HLOOKUP(AG$15,BaoHiem!$AD$27:$AO$43,13,0)</f>
        <v>0</v>
      </c>
      <c r="AH18" s="437">
        <f ca="1">HLOOKUP(AH$15,BaoHiem!$AD$27:$AO$43,13,0)</f>
        <v>0</v>
      </c>
      <c r="AI18" s="437">
        <f ca="1">HLOOKUP(AI$15,BaoHiem!$AD$27:$AO$43,13,0)</f>
        <v>0</v>
      </c>
      <c r="AJ18" s="437">
        <f ca="1">HLOOKUP(AJ$15,BaoHiem!$AD$27:$AO$43,13,0)</f>
        <v>0</v>
      </c>
      <c r="AK18" s="437">
        <f ca="1">HLOOKUP(AK$15,BaoHiem!$AD$27:$AO$43,13,0)</f>
        <v>0</v>
      </c>
      <c r="AL18" s="437">
        <f ca="1">HLOOKUP(AL$15,BaoHiem!$AD$27:$AO$43,13,0)</f>
        <v>0</v>
      </c>
      <c r="AM18" s="437">
        <f ca="1">HLOOKUP(AM$15,BaoHiem!$AD$27:$AO$43,13,0)</f>
        <v>0</v>
      </c>
      <c r="AN18" s="478">
        <f ca="1">SUM(AB18:AM18)</f>
        <v>0</v>
      </c>
      <c r="AO18" s="346">
        <f t="array" aca="1" ref="AO18" ca="1">INDIRECT("'"&amp;AO$15&amp;"'!"&amp;ADDRESS(MATCH($A18,INDIRECT("'"&amp;AO$15&amp;"'!E:E"),0),MATCH(AO$14,INDIRECT("'"&amp;AO$15&amp;"'!13:13"),0)))+SUMIFS(Thue_Ngoai!I$15:I$1500,Thue_Ngoai!$F$15:$F$1500,$A18)</f>
        <v>0</v>
      </c>
      <c r="AP18" s="346">
        <f t="array" aca="1" ref="AP18" ca="1">INDIRECT("'"&amp;AP$15&amp;"'!"&amp;ADDRESS(MATCH($A18,INDIRECT("'"&amp;AP$15&amp;"'!E:E"),0),MATCH(AP$14,INDIRECT("'"&amp;AP$15&amp;"'!13:13"),0)))+SUMIFS(Thue_Ngoai!J$15:J$1500,Thue_Ngoai!$F$15:$F$1500,$A18)</f>
        <v>0</v>
      </c>
      <c r="AQ18" s="346">
        <f t="array" aca="1" ref="AQ18" ca="1">INDIRECT("'"&amp;AQ$15&amp;"'!"&amp;ADDRESS(MATCH($A18,INDIRECT("'"&amp;AQ$15&amp;"'!E:E"),0),MATCH(AQ$14,INDIRECT("'"&amp;AQ$15&amp;"'!13:13"),0)))+SUMIFS(Thue_Ngoai!K$15:K$1500,Thue_Ngoai!$F$15:$F$1500,$A18)</f>
        <v>0</v>
      </c>
      <c r="AR18" s="346">
        <f t="array" aca="1" ref="AR18" ca="1">INDIRECT("'"&amp;AR$15&amp;"'!"&amp;ADDRESS(MATCH($A18,INDIRECT("'"&amp;AR$15&amp;"'!E:E"),0),MATCH(AR$14,INDIRECT("'"&amp;AR$15&amp;"'!13:13"),0)))+SUMIFS(Thue_Ngoai!L$15:L$1500,Thue_Ngoai!$F$15:$F$1500,$A18)</f>
        <v>0</v>
      </c>
      <c r="AS18" s="346">
        <f t="array" aca="1" ref="AS18" ca="1">INDIRECT("'"&amp;AS$15&amp;"'!"&amp;ADDRESS(MATCH($A18,INDIRECT("'"&amp;AS$15&amp;"'!E:E"),0),MATCH(AS$14,INDIRECT("'"&amp;AS$15&amp;"'!13:13"),0)))+SUMIFS(Thue_Ngoai!M$15:M$1500,Thue_Ngoai!$F$15:$F$1500,$A18)</f>
        <v>0</v>
      </c>
      <c r="AT18" s="346">
        <f t="array" aca="1" ref="AT18" ca="1">INDIRECT("'"&amp;AT$15&amp;"'!"&amp;ADDRESS(MATCH($A18,INDIRECT("'"&amp;AT$15&amp;"'!E:E"),0),MATCH(AT$14,INDIRECT("'"&amp;AT$15&amp;"'!13:13"),0)))+SUMIFS(Thue_Ngoai!N$15:N$1500,Thue_Ngoai!$F$15:$F$1500,$A18)</f>
        <v>0</v>
      </c>
      <c r="AU18" s="346">
        <f t="array" aca="1" ref="AU18" ca="1">INDIRECT("'"&amp;AU$15&amp;"'!"&amp;ADDRESS(MATCH($A18,INDIRECT("'"&amp;AU$15&amp;"'!E:E"),0),MATCH(AU$14,INDIRECT("'"&amp;AU$15&amp;"'!13:13"),0)))+SUMIFS(Thue_Ngoai!O$15:O$1500,Thue_Ngoai!$F$15:$F$1500,$A18)</f>
        <v>0</v>
      </c>
      <c r="AV18" s="346">
        <f t="array" aca="1" ref="AV18" ca="1">INDIRECT("'"&amp;AV$15&amp;"'!"&amp;ADDRESS(MATCH($A18,INDIRECT("'"&amp;AV$15&amp;"'!E:E"),0),MATCH(AV$14,INDIRECT("'"&amp;AV$15&amp;"'!13:13"),0)))+SUMIFS(Thue_Ngoai!P$15:P$1500,Thue_Ngoai!$F$15:$F$1500,$A18)</f>
        <v>0</v>
      </c>
      <c r="AW18" s="346">
        <f t="array" aca="1" ref="AW18" ca="1">INDIRECT("'"&amp;AW$15&amp;"'!"&amp;ADDRESS(MATCH($A18,INDIRECT("'"&amp;AW$15&amp;"'!E:E"),0),MATCH(AW$14,INDIRECT("'"&amp;AW$15&amp;"'!13:13"),0)))+SUMIFS(Thue_Ngoai!Q$15:Q$1500,Thue_Ngoai!$F$15:$F$1500,$A18)</f>
        <v>0</v>
      </c>
      <c r="AX18" s="346">
        <f t="array" aca="1" ref="AX18" ca="1">INDIRECT("'"&amp;AX$15&amp;"'!"&amp;ADDRESS(MATCH($A18,INDIRECT("'"&amp;AX$15&amp;"'!E:E"),0),MATCH(AX$14,INDIRECT("'"&amp;AX$15&amp;"'!13:13"),0)))+SUMIFS(Thue_Ngoai!R$15:R$1500,Thue_Ngoai!$F$15:$F$1500,$A18)</f>
        <v>0</v>
      </c>
      <c r="AY18" s="346">
        <f t="array" aca="1" ref="AY18" ca="1">INDIRECT("'"&amp;AY$15&amp;"'!"&amp;ADDRESS(MATCH($A18,INDIRECT("'"&amp;AY$15&amp;"'!E:E"),0),MATCH(AY$14,INDIRECT("'"&amp;AY$15&amp;"'!13:13"),0)))+SUMIFS(Thue_Ngoai!S$15:S$1500,Thue_Ngoai!$F$15:$F$1500,$A18)</f>
        <v>0</v>
      </c>
      <c r="AZ18" s="346">
        <f t="array" aca="1" ref="AZ18" ca="1">INDIRECT("'"&amp;AZ$15&amp;"'!"&amp;ADDRESS(MATCH($A18,INDIRECT("'"&amp;AZ$15&amp;"'!E:E"),0),MATCH(AZ$14,INDIRECT("'"&amp;AZ$15&amp;"'!13:13"),0)))+SUMIFS(Thue_Ngoai!T$15:T$1500,Thue_Ngoai!$F$15:$F$1500,$A18)</f>
        <v>0</v>
      </c>
      <c r="BA18" s="478">
        <f t="shared" ca="1" si="1"/>
        <v>0</v>
      </c>
      <c r="BB18" s="346">
        <f t="array" aca="1" ref="BB18" ca="1">INDIRECT("'"&amp;BB$15&amp;"'!"&amp;ADDRESS(MATCH($A18,INDIRECT("'"&amp;BB$15&amp;"'!E:E"),0),MATCH(BB$14,INDIRECT("'"&amp;BB$15&amp;"'!13:13"),0)))+SUMIFS(Thue_Ngoai!V$15:V$1500,Thue_Ngoai!$F$15:$F$1500,$A18)</f>
        <v>0</v>
      </c>
      <c r="BC18" s="346">
        <f t="array" aca="1" ref="BC18" ca="1">INDIRECT("'"&amp;BC$15&amp;"'!"&amp;ADDRESS(MATCH($A18,INDIRECT("'"&amp;BC$15&amp;"'!E:E"),0),MATCH(BC$14,INDIRECT("'"&amp;BC$15&amp;"'!13:13"),0)))+SUMIFS(Thue_Ngoai!W$15:W$1500,Thue_Ngoai!$F$15:$F$1500,$A18)</f>
        <v>0</v>
      </c>
      <c r="BD18" s="346">
        <f t="array" aca="1" ref="BD18" ca="1">INDIRECT("'"&amp;BD$15&amp;"'!"&amp;ADDRESS(MATCH($A18,INDIRECT("'"&amp;BD$15&amp;"'!E:E"),0),MATCH(BD$14,INDIRECT("'"&amp;BD$15&amp;"'!13:13"),0)))+SUMIFS(Thue_Ngoai!X$15:X$1500,Thue_Ngoai!$F$15:$F$1500,$A18)</f>
        <v>0</v>
      </c>
      <c r="BE18" s="346">
        <f t="array" aca="1" ref="BE18" ca="1">INDIRECT("'"&amp;BE$15&amp;"'!"&amp;ADDRESS(MATCH($A18,INDIRECT("'"&amp;BE$15&amp;"'!E:E"),0),MATCH(BE$14,INDIRECT("'"&amp;BE$15&amp;"'!13:13"),0)))+SUMIFS(Thue_Ngoai!Y$15:Y$1500,Thue_Ngoai!$F$15:$F$1500,$A18)</f>
        <v>0</v>
      </c>
      <c r="BF18" s="346">
        <f t="array" aca="1" ref="BF18" ca="1">INDIRECT("'"&amp;BF$15&amp;"'!"&amp;ADDRESS(MATCH($A18,INDIRECT("'"&amp;BF$15&amp;"'!E:E"),0),MATCH(BF$14,INDIRECT("'"&amp;BF$15&amp;"'!13:13"),0)))+SUMIFS(Thue_Ngoai!Z$15:Z$1500,Thue_Ngoai!$F$15:$F$1500,$A18)</f>
        <v>0</v>
      </c>
      <c r="BG18" s="346">
        <f t="array" aca="1" ref="BG18" ca="1">INDIRECT("'"&amp;BG$15&amp;"'!"&amp;ADDRESS(MATCH($A18,INDIRECT("'"&amp;BG$15&amp;"'!E:E"),0),MATCH(BG$14,INDIRECT("'"&amp;BG$15&amp;"'!13:13"),0)))+SUMIFS(Thue_Ngoai!AA$15:AA$1500,Thue_Ngoai!$F$15:$F$1500,$A18)</f>
        <v>0</v>
      </c>
      <c r="BH18" s="346">
        <f t="array" aca="1" ref="BH18" ca="1">INDIRECT("'"&amp;BH$15&amp;"'!"&amp;ADDRESS(MATCH($A18,INDIRECT("'"&amp;BH$15&amp;"'!E:E"),0),MATCH(BH$14,INDIRECT("'"&amp;BH$15&amp;"'!13:13"),0)))+SUMIFS(Thue_Ngoai!AB$15:AB$1500,Thue_Ngoai!$F$15:$F$1500,$A18)</f>
        <v>0</v>
      </c>
      <c r="BI18" s="346">
        <f t="array" aca="1" ref="BI18" ca="1">INDIRECT("'"&amp;BI$15&amp;"'!"&amp;ADDRESS(MATCH($A18,INDIRECT("'"&amp;BI$15&amp;"'!E:E"),0),MATCH(BI$14,INDIRECT("'"&amp;BI$15&amp;"'!13:13"),0)))+SUMIFS(Thue_Ngoai!AC$15:AC$1500,Thue_Ngoai!$F$15:$F$1500,$A18)</f>
        <v>0</v>
      </c>
      <c r="BJ18" s="346">
        <f t="array" aca="1" ref="BJ18" ca="1">INDIRECT("'"&amp;BJ$15&amp;"'!"&amp;ADDRESS(MATCH($A18,INDIRECT("'"&amp;BJ$15&amp;"'!E:E"),0),MATCH(BJ$14,INDIRECT("'"&amp;BJ$15&amp;"'!13:13"),0)))+SUMIFS(Thue_Ngoai!AD$15:AD$1500,Thue_Ngoai!$F$15:$F$1500,$A18)</f>
        <v>0</v>
      </c>
      <c r="BK18" s="346">
        <f t="array" aca="1" ref="BK18" ca="1">INDIRECT("'"&amp;BK$15&amp;"'!"&amp;ADDRESS(MATCH($A18,INDIRECT("'"&amp;BK$15&amp;"'!E:E"),0),MATCH(BK$14,INDIRECT("'"&amp;BK$15&amp;"'!13:13"),0)))+SUMIFS(Thue_Ngoai!AE$15:AE$1500,Thue_Ngoai!$F$15:$F$1500,$A18)</f>
        <v>0</v>
      </c>
      <c r="BL18" s="346">
        <f t="array" aca="1" ref="BL18" ca="1">INDIRECT("'"&amp;BL$15&amp;"'!"&amp;ADDRESS(MATCH($A18,INDIRECT("'"&amp;BL$15&amp;"'!E:E"),0),MATCH(BL$14,INDIRECT("'"&amp;BL$15&amp;"'!13:13"),0)))+SUMIFS(Thue_Ngoai!AF$15:AF$1500,Thue_Ngoai!$F$15:$F$1500,$A18)</f>
        <v>0</v>
      </c>
      <c r="BM18" s="346">
        <f t="array" aca="1" ref="BM18" ca="1">INDIRECT("'"&amp;BM$15&amp;"'!"&amp;ADDRESS(MATCH($A18,INDIRECT("'"&amp;BM$15&amp;"'!E:E"),0),MATCH(BM$14,INDIRECT("'"&amp;BM$15&amp;"'!13:13"),0)))+SUMIFS(Thue_Ngoai!AG$15:AG$1500,Thue_Ngoai!$F$15:$F$1500,$A18)</f>
        <v>0</v>
      </c>
      <c r="BN18" s="478">
        <f ca="1">SUM(BB18:BM18)</f>
        <v>0</v>
      </c>
      <c r="BO18" s="346">
        <f t="array" aca="1" ref="BO18" ca="1">INDIRECT("'"&amp;BO$15&amp;"'!"&amp;ADDRESS(MATCH($A18,INDIRECT("'"&amp;BO$15&amp;"'!E:E"),0),MATCH(BO$14,INDIRECT("'"&amp;BO$15&amp;"'!13:13"),0)))+SUMIFS(Thue_Ngoai!I$15:I$1500,Thue_Ngoai!$F$15:$F$1500,$A18,Thue_Ngoai!$G$15:$G$1500,"GROSS")-SUMIFS(Thue_Ngoai!V$15:V$1500,Thue_Ngoai!$G$15:$G$1500,"GROSS")+SUMIFS(Thue_Ngoai!I$15:I$1500,Thue_Ngoai!$F$15:$F$1500,$A18,Thue_Ngoai!$G$15:$G$1500,"NET")</f>
        <v>0</v>
      </c>
      <c r="BP18" s="346">
        <f t="array" aca="1" ref="BP18" ca="1">INDIRECT("'"&amp;BP$15&amp;"'!"&amp;ADDRESS(MATCH($A18,INDIRECT("'"&amp;BP$15&amp;"'!E:E"),0),MATCH(BP$14,INDIRECT("'"&amp;BP$15&amp;"'!13:13"),0)))+SUMIFS(Thue_Ngoai!J$15:J$1500,Thue_Ngoai!$F$15:$F$1500,$A18,Thue_Ngoai!$G$15:$G$1500,"GROSS")-SUMIFS(Thue_Ngoai!W$15:W$1500,Thue_Ngoai!$G$15:$G$1500,"GROSS")+SUMIFS(Thue_Ngoai!J$15:J$1500,Thue_Ngoai!$F$15:$F$1500,$A18,Thue_Ngoai!$G$15:$G$1500,"NET")</f>
        <v>0</v>
      </c>
      <c r="BQ18" s="346">
        <f t="array" aca="1" ref="BQ18" ca="1">INDIRECT("'"&amp;BQ$15&amp;"'!"&amp;ADDRESS(MATCH($A18,INDIRECT("'"&amp;BQ$15&amp;"'!E:E"),0),MATCH(BQ$14,INDIRECT("'"&amp;BQ$15&amp;"'!13:13"),0)))+SUMIFS(Thue_Ngoai!K$15:K$1500,Thue_Ngoai!$F$15:$F$1500,$A18,Thue_Ngoai!$G$15:$G$1500,"GROSS")-SUMIFS(Thue_Ngoai!X$15:X$1500,Thue_Ngoai!$G$15:$G$1500,"GROSS")+SUMIFS(Thue_Ngoai!K$15:K$1500,Thue_Ngoai!$F$15:$F$1500,$A18,Thue_Ngoai!$G$15:$G$1500,"NET")</f>
        <v>0</v>
      </c>
      <c r="BR18" s="346">
        <f t="array" aca="1" ref="BR18" ca="1">INDIRECT("'"&amp;BR$15&amp;"'!"&amp;ADDRESS(MATCH($A18,INDIRECT("'"&amp;BR$15&amp;"'!E:E"),0),MATCH(BR$14,INDIRECT("'"&amp;BR$15&amp;"'!13:13"),0)))+SUMIFS(Thue_Ngoai!L$15:L$1500,Thue_Ngoai!$F$15:$F$1500,$A18,Thue_Ngoai!$G$15:$G$1500,"GROSS")-SUMIFS(Thue_Ngoai!Y$15:Y$1500,Thue_Ngoai!$G$15:$G$1500,"GROSS")+SUMIFS(Thue_Ngoai!L$15:L$1500,Thue_Ngoai!$F$15:$F$1500,$A18,Thue_Ngoai!$G$15:$G$1500,"NET")</f>
        <v>0</v>
      </c>
      <c r="BS18" s="346">
        <f t="array" aca="1" ref="BS18" ca="1">INDIRECT("'"&amp;BS$15&amp;"'!"&amp;ADDRESS(MATCH($A18,INDIRECT("'"&amp;BS$15&amp;"'!E:E"),0),MATCH(BS$14,INDIRECT("'"&amp;BS$15&amp;"'!13:13"),0)))+SUMIFS(Thue_Ngoai!M$15:M$1500,Thue_Ngoai!$F$15:$F$1500,$A18,Thue_Ngoai!$G$15:$G$1500,"GROSS")-SUMIFS(Thue_Ngoai!Z$15:Z$1500,Thue_Ngoai!$G$15:$G$1500,"GROSS")+SUMIFS(Thue_Ngoai!M$15:M$1500,Thue_Ngoai!$F$15:$F$1500,$A18,Thue_Ngoai!$G$15:$G$1500,"NET")</f>
        <v>0</v>
      </c>
      <c r="BT18" s="346">
        <f t="array" aca="1" ref="BT18" ca="1">INDIRECT("'"&amp;BT$15&amp;"'!"&amp;ADDRESS(MATCH($A18,INDIRECT("'"&amp;BT$15&amp;"'!E:E"),0),MATCH(BT$14,INDIRECT("'"&amp;BT$15&amp;"'!13:13"),0)))+SUMIFS(Thue_Ngoai!N$15:N$1500,Thue_Ngoai!$F$15:$F$1500,$A18,Thue_Ngoai!$G$15:$G$1500,"GROSS")-SUMIFS(Thue_Ngoai!AA$15:AA$1500,Thue_Ngoai!$G$15:$G$1500,"GROSS")+SUMIFS(Thue_Ngoai!N$15:N$1500,Thue_Ngoai!$F$15:$F$1500,$A18,Thue_Ngoai!$G$15:$G$1500,"NET")</f>
        <v>0</v>
      </c>
      <c r="BU18" s="346">
        <f t="array" aca="1" ref="BU18" ca="1">INDIRECT("'"&amp;BU$15&amp;"'!"&amp;ADDRESS(MATCH($A18,INDIRECT("'"&amp;BU$15&amp;"'!E:E"),0),MATCH(BU$14,INDIRECT("'"&amp;BU$15&amp;"'!13:13"),0)))+SUMIFS(Thue_Ngoai!O$15:O$1500,Thue_Ngoai!$F$15:$F$1500,$A18,Thue_Ngoai!$G$15:$G$1500,"GROSS")-SUMIFS(Thue_Ngoai!AB$15:AB$1500,Thue_Ngoai!$G$15:$G$1500,"GROSS")+SUMIFS(Thue_Ngoai!O$15:O$1500,Thue_Ngoai!$F$15:$F$1500,$A18,Thue_Ngoai!$G$15:$G$1500,"NET")</f>
        <v>0</v>
      </c>
      <c r="BV18" s="346">
        <f t="array" aca="1" ref="BV18" ca="1">INDIRECT("'"&amp;BV$15&amp;"'!"&amp;ADDRESS(MATCH($A18,INDIRECT("'"&amp;BV$15&amp;"'!E:E"),0),MATCH(BV$14,INDIRECT("'"&amp;BV$15&amp;"'!13:13"),0)))+SUMIFS(Thue_Ngoai!P$15:P$1500,Thue_Ngoai!$F$15:$F$1500,$A18,Thue_Ngoai!$G$15:$G$1500,"GROSS")-SUMIFS(Thue_Ngoai!AC$15:AC$1500,Thue_Ngoai!$G$15:$G$1500,"GROSS")+SUMIFS(Thue_Ngoai!P$15:P$1500,Thue_Ngoai!$F$15:$F$1500,$A18,Thue_Ngoai!$G$15:$G$1500,"NET")</f>
        <v>0</v>
      </c>
      <c r="BW18" s="346">
        <f t="array" aca="1" ref="BW18" ca="1">INDIRECT("'"&amp;BW$15&amp;"'!"&amp;ADDRESS(MATCH($A18,INDIRECT("'"&amp;BW$15&amp;"'!E:E"),0),MATCH(BW$14,INDIRECT("'"&amp;BW$15&amp;"'!13:13"),0)))+SUMIFS(Thue_Ngoai!Q$15:Q$1500,Thue_Ngoai!$F$15:$F$1500,$A18,Thue_Ngoai!$G$15:$G$1500,"GROSS")-SUMIFS(Thue_Ngoai!AD$15:AD$1500,Thue_Ngoai!$G$15:$G$1500,"GROSS")+SUMIFS(Thue_Ngoai!Q$15:Q$1500,Thue_Ngoai!$F$15:$F$1500,$A18,Thue_Ngoai!$G$15:$G$1500,"NET")</f>
        <v>0</v>
      </c>
      <c r="BX18" s="346">
        <f t="array" aca="1" ref="BX18" ca="1">INDIRECT("'"&amp;BX$15&amp;"'!"&amp;ADDRESS(MATCH($A18,INDIRECT("'"&amp;BX$15&amp;"'!E:E"),0),MATCH(BX$14,INDIRECT("'"&amp;BX$15&amp;"'!13:13"),0)))+SUMIFS(Thue_Ngoai!R$15:R$1500,Thue_Ngoai!$F$15:$F$1500,$A18,Thue_Ngoai!$G$15:$G$1500,"GROSS")-SUMIFS(Thue_Ngoai!AE$15:AE$1500,Thue_Ngoai!$G$15:$G$1500,"GROSS")+SUMIFS(Thue_Ngoai!R$15:R$1500,Thue_Ngoai!$F$15:$F$1500,$A18,Thue_Ngoai!$G$15:$G$1500,"NET")</f>
        <v>0</v>
      </c>
      <c r="BY18" s="346">
        <f t="array" aca="1" ref="BY18" ca="1">INDIRECT("'"&amp;BY$15&amp;"'!"&amp;ADDRESS(MATCH($A18,INDIRECT("'"&amp;BY$15&amp;"'!E:E"),0),MATCH(BY$14,INDIRECT("'"&amp;BY$15&amp;"'!13:13"),0)))+SUMIFS(Thue_Ngoai!S$15:S$1500,Thue_Ngoai!$F$15:$F$1500,$A18,Thue_Ngoai!$G$15:$G$1500,"GROSS")-SUMIFS(Thue_Ngoai!AF$15:AF$1500,Thue_Ngoai!$G$15:$G$1500,"GROSS")+SUMIFS(Thue_Ngoai!S$15:S$1500,Thue_Ngoai!$F$15:$F$1500,$A18,Thue_Ngoai!$G$15:$G$1500,"NET")</f>
        <v>0</v>
      </c>
      <c r="BZ18" s="346">
        <f t="array" aca="1" ref="BZ18" ca="1">INDIRECT("'"&amp;BZ$15&amp;"'!"&amp;ADDRESS(MATCH($A18,INDIRECT("'"&amp;BZ$15&amp;"'!E:E"),0),MATCH(BZ$14,INDIRECT("'"&amp;BZ$15&amp;"'!13:13"),0)))+SUMIFS(Thue_Ngoai!T$15:T$1500,Thue_Ngoai!$F$15:$F$1500,$A18,Thue_Ngoai!$G$15:$G$1500,"GROSS")-SUMIFS(Thue_Ngoai!AG$15:AG$1500,Thue_Ngoai!$G$15:$G$1500,"GROSS")+SUMIFS(Thue_Ngoai!T$15:T$1500,Thue_Ngoai!$F$15:$F$1500,$A18,Thue_Ngoai!$G$15:$G$1500,"NET")</f>
        <v>0</v>
      </c>
      <c r="CA18" s="478">
        <f ca="1">SUM(BO18:BZ18)</f>
        <v>0</v>
      </c>
      <c r="CS18" s="506"/>
      <c r="CT18" s="327"/>
      <c r="CU18" s="504">
        <f t="array" aca="1" ref="CU18" ca="1">INDEX($B$16:$M$20,MATCH(CV18,$A$16:$A$20,0),$CT$12)</f>
        <v>0</v>
      </c>
      <c r="CV18" s="505">
        <f ca="1">A19</f>
        <v>0</v>
      </c>
    </row>
    <row r="19" spans="1:100" ht="17.649999999999999" customHeight="1" x14ac:dyDescent="0.45">
      <c r="A19" s="333">
        <f ca="1">'1'!E5</f>
        <v>0</v>
      </c>
      <c r="B19" s="411">
        <f t="array" aca="1" ref="B19" ca="1">INDIRECT("'"&amp;B$15&amp;"'!"&amp;ADDRESS(MATCH($A19,INDIRECT("'"&amp;B$15&amp;"'!E:E"),0),MATCH(B$14,INDIRECT("'"&amp;B$15&amp;"'!13:13"),0)))+SUMIFS(Thue_Ngoai!I$15:I$1500,Thue_Ngoai!$F$15:$F$1500,$A19)</f>
        <v>0</v>
      </c>
      <c r="C19" s="411">
        <f t="array" aca="1" ref="C19" ca="1">INDIRECT("'"&amp;C$15&amp;"'!"&amp;ADDRESS(MATCH($A19,INDIRECT("'"&amp;C$15&amp;"'!E:E"),0),MATCH(C$14,INDIRECT("'"&amp;C$15&amp;"'!13:13"),0)))+SUMIFS(Thue_Ngoai!J$15:J$1500,Thue_Ngoai!$F$15:$F$1500,$A19)</f>
        <v>0</v>
      </c>
      <c r="D19" s="411">
        <f t="array" aca="1" ref="D19" ca="1">INDIRECT("'"&amp;D$15&amp;"'!"&amp;ADDRESS(MATCH($A19,INDIRECT("'"&amp;D$15&amp;"'!E:E"),0),MATCH(D$14,INDIRECT("'"&amp;D$15&amp;"'!13:13"),0)))+SUMIFS(Thue_Ngoai!K$15:K$1500,Thue_Ngoai!$F$15:$F$1500,$A19)</f>
        <v>0</v>
      </c>
      <c r="E19" s="411">
        <f t="array" aca="1" ref="E19" ca="1">INDIRECT("'"&amp;E$15&amp;"'!"&amp;ADDRESS(MATCH($A19,INDIRECT("'"&amp;E$15&amp;"'!E:E"),0),MATCH(E$14,INDIRECT("'"&amp;E$15&amp;"'!13:13"),0)))+SUMIFS(Thue_Ngoai!L$15:L$1500,Thue_Ngoai!$F$15:$F$1500,$A19)</f>
        <v>0</v>
      </c>
      <c r="F19" s="411">
        <f t="array" aca="1" ref="F19" ca="1">INDIRECT("'"&amp;F$15&amp;"'!"&amp;ADDRESS(MATCH($A19,INDIRECT("'"&amp;F$15&amp;"'!E:E"),0),MATCH(F$14,INDIRECT("'"&amp;F$15&amp;"'!13:13"),0)))+SUMIFS(Thue_Ngoai!M$15:M$1500,Thue_Ngoai!$F$15:$F$1500,$A19)</f>
        <v>0</v>
      </c>
      <c r="G19" s="411">
        <f t="array" aca="1" ref="G19" ca="1">INDIRECT("'"&amp;G$15&amp;"'!"&amp;ADDRESS(MATCH($A19,INDIRECT("'"&amp;G$15&amp;"'!E:E"),0),MATCH(G$14,INDIRECT("'"&amp;G$15&amp;"'!13:13"),0)))+SUMIFS(Thue_Ngoai!N$15:N$1500,Thue_Ngoai!$F$15:$F$1500,$A19)</f>
        <v>0</v>
      </c>
      <c r="H19" s="411">
        <f t="array" aca="1" ref="H19" ca="1">INDIRECT("'"&amp;H$15&amp;"'!"&amp;ADDRESS(MATCH($A19,INDIRECT("'"&amp;H$15&amp;"'!E:E"),0),MATCH(H$14,INDIRECT("'"&amp;H$15&amp;"'!13:13"),0)))+SUMIFS(Thue_Ngoai!O$15:O$1500,Thue_Ngoai!$F$15:$F$1500,$A19)</f>
        <v>0</v>
      </c>
      <c r="I19" s="411">
        <f t="array" aca="1" ref="I19" ca="1">INDIRECT("'"&amp;I$15&amp;"'!"&amp;ADDRESS(MATCH($A19,INDIRECT("'"&amp;I$15&amp;"'!E:E"),0),MATCH(I$14,INDIRECT("'"&amp;I$15&amp;"'!13:13"),0)))+SUMIFS(Thue_Ngoai!P$15:P$1500,Thue_Ngoai!$F$15:$F$1500,$A19)</f>
        <v>0</v>
      </c>
      <c r="J19" s="411">
        <f t="array" aca="1" ref="J19" ca="1">INDIRECT("'"&amp;J$15&amp;"'!"&amp;ADDRESS(MATCH($A19,INDIRECT("'"&amp;J$15&amp;"'!E:E"),0),MATCH(J$14,INDIRECT("'"&amp;J$15&amp;"'!13:13"),0)))+SUMIFS(Thue_Ngoai!Q$15:Q$1500,Thue_Ngoai!$F$15:$F$1500,$A19)</f>
        <v>0</v>
      </c>
      <c r="K19" s="411">
        <f t="array" aca="1" ref="K19" ca="1">INDIRECT("'"&amp;K$15&amp;"'!"&amp;ADDRESS(MATCH($A19,INDIRECT("'"&amp;K$15&amp;"'!E:E"),0),MATCH(K$14,INDIRECT("'"&amp;K$15&amp;"'!13:13"),0)))+SUMIFS(Thue_Ngoai!R$15:R$1500,Thue_Ngoai!$F$15:$F$1500,$A19)</f>
        <v>0</v>
      </c>
      <c r="L19" s="411">
        <f t="array" aca="1" ref="L19" ca="1">INDIRECT("'"&amp;L$15&amp;"'!"&amp;ADDRESS(MATCH($A19,INDIRECT("'"&amp;L$15&amp;"'!E:E"),0),MATCH(L$14,INDIRECT("'"&amp;L$15&amp;"'!13:13"),0)))+SUMIFS(Thue_Ngoai!S$15:S$1500,Thue_Ngoai!$F$15:$F$1500,$A19)</f>
        <v>0</v>
      </c>
      <c r="M19" s="411">
        <f t="array" aca="1" ref="M19" ca="1">INDIRECT("'"&amp;M$15&amp;"'!"&amp;ADDRESS(MATCH($A19,INDIRECT("'"&amp;M$15&amp;"'!E:E"),0),MATCH(M$14,INDIRECT("'"&amp;M$15&amp;"'!13:13"),0)))+SUMIFS(Thue_Ngoai!T$15:T$1500,Thue_Ngoai!$F$15:$F$1500,$A19)</f>
        <v>0</v>
      </c>
      <c r="N19" s="348">
        <f t="shared" ca="1" si="0"/>
        <v>0</v>
      </c>
      <c r="O19" s="346">
        <f t="array" aca="1" ref="O19" ca="1">INDIRECT("'"&amp;O$15&amp;"'!"&amp;ADDRESS(MATCH($A19,INDIRECT("'"&amp;O$15&amp;"'!E:E"),0),MATCH(O$14,INDIRECT("'"&amp;O$15&amp;"'!13:13"),0)))</f>
        <v>0</v>
      </c>
      <c r="P19" s="346">
        <f t="array" aca="1" ref="P19" ca="1">INDIRECT("'"&amp;P$15&amp;"'!"&amp;ADDRESS(MATCH($A19,INDIRECT("'"&amp;P$15&amp;"'!E:E"),0),MATCH(P$14,INDIRECT("'"&amp;P$15&amp;"'!13:13"),0)))</f>
        <v>0</v>
      </c>
      <c r="Q19" s="346">
        <f t="array" aca="1" ref="Q19" ca="1">INDIRECT("'"&amp;Q$15&amp;"'!"&amp;ADDRESS(MATCH($A19,INDIRECT("'"&amp;Q$15&amp;"'!E:E"),0),MATCH(Q$14,INDIRECT("'"&amp;Q$15&amp;"'!13:13"),0)))</f>
        <v>0</v>
      </c>
      <c r="R19" s="346">
        <f t="array" aca="1" ref="R19" ca="1">INDIRECT("'"&amp;R$15&amp;"'!"&amp;ADDRESS(MATCH($A19,INDIRECT("'"&amp;R$15&amp;"'!E:E"),0),MATCH(R$14,INDIRECT("'"&amp;R$15&amp;"'!13:13"),0)))</f>
        <v>0</v>
      </c>
      <c r="S19" s="346">
        <f t="array" aca="1" ref="S19" ca="1">INDIRECT("'"&amp;S$15&amp;"'!"&amp;ADDRESS(MATCH($A19,INDIRECT("'"&amp;S$15&amp;"'!E:E"),0),MATCH(S$14,INDIRECT("'"&amp;S$15&amp;"'!13:13"),0)))</f>
        <v>0</v>
      </c>
      <c r="T19" s="346">
        <f t="array" aca="1" ref="T19" ca="1">INDIRECT("'"&amp;T$15&amp;"'!"&amp;ADDRESS(MATCH($A19,INDIRECT("'"&amp;T$15&amp;"'!E:E"),0),MATCH(T$14,INDIRECT("'"&amp;T$15&amp;"'!13:13"),0)))</f>
        <v>0</v>
      </c>
      <c r="U19" s="346">
        <f t="array" aca="1" ref="U19" ca="1">INDIRECT("'"&amp;U$15&amp;"'!"&amp;ADDRESS(MATCH($A19,INDIRECT("'"&amp;U$15&amp;"'!E:E"),0),MATCH(U$14,INDIRECT("'"&amp;U$15&amp;"'!13:13"),0)))</f>
        <v>0</v>
      </c>
      <c r="V19" s="346">
        <f t="array" aca="1" ref="V19" ca="1">INDIRECT("'"&amp;V$15&amp;"'!"&amp;ADDRESS(MATCH($A19,INDIRECT("'"&amp;V$15&amp;"'!E:E"),0),MATCH(V$14,INDIRECT("'"&amp;V$15&amp;"'!13:13"),0)))</f>
        <v>0</v>
      </c>
      <c r="W19" s="346">
        <f t="array" aca="1" ref="W19" ca="1">INDIRECT("'"&amp;W$15&amp;"'!"&amp;ADDRESS(MATCH($A19,INDIRECT("'"&amp;W$15&amp;"'!E:E"),0),MATCH(W$14,INDIRECT("'"&amp;W$15&amp;"'!13:13"),0)))</f>
        <v>0</v>
      </c>
      <c r="X19" s="346">
        <f t="array" aca="1" ref="X19" ca="1">INDIRECT("'"&amp;X$15&amp;"'!"&amp;ADDRESS(MATCH($A19,INDIRECT("'"&amp;X$15&amp;"'!E:E"),0),MATCH(X$14,INDIRECT("'"&amp;X$15&amp;"'!13:13"),0)))</f>
        <v>0</v>
      </c>
      <c r="Y19" s="346">
        <f t="array" aca="1" ref="Y19" ca="1">INDIRECT("'"&amp;Y$15&amp;"'!"&amp;ADDRESS(MATCH($A19,INDIRECT("'"&amp;Y$15&amp;"'!E:E"),0),MATCH(Y$14,INDIRECT("'"&amp;Y$15&amp;"'!13:13"),0)))</f>
        <v>0</v>
      </c>
      <c r="Z19" s="346">
        <f t="array" aca="1" ref="Z19" ca="1">INDIRECT("'"&amp;Z$15&amp;"'!"&amp;ADDRESS(MATCH($A19,INDIRECT("'"&amp;Z$15&amp;"'!E:E"),0),MATCH(Z$14,INDIRECT("'"&amp;Z$15&amp;"'!13:13"),0)))</f>
        <v>0</v>
      </c>
      <c r="AA19" s="478">
        <f ca="1">SUM(O19:Z19)</f>
        <v>0</v>
      </c>
      <c r="AB19" s="437">
        <f ca="1">HLOOKUP(AB$15,BaoHiem!$AD$27:$AO$43,17,0)</f>
        <v>0</v>
      </c>
      <c r="AC19" s="437">
        <f ca="1">HLOOKUP(AC$15,BaoHiem!$AD$27:$AO$43,17,0)</f>
        <v>0</v>
      </c>
      <c r="AD19" s="437">
        <f ca="1">HLOOKUP(AD$15,BaoHiem!$AD$27:$AO$43,17,0)</f>
        <v>0</v>
      </c>
      <c r="AE19" s="437">
        <f ca="1">HLOOKUP(AE$15,BaoHiem!$AD$27:$AO$43,17,0)</f>
        <v>0</v>
      </c>
      <c r="AF19" s="437">
        <f ca="1">HLOOKUP(AF$15,BaoHiem!$AD$27:$AO$43,17,0)</f>
        <v>0</v>
      </c>
      <c r="AG19" s="437">
        <f ca="1">HLOOKUP(AG$15,BaoHiem!$AD$27:$AO$43,17,0)</f>
        <v>0</v>
      </c>
      <c r="AH19" s="437">
        <f ca="1">HLOOKUP(AH$15,BaoHiem!$AD$27:$AO$43,17,0)</f>
        <v>0</v>
      </c>
      <c r="AI19" s="437">
        <f ca="1">HLOOKUP(AI$15,BaoHiem!$AD$27:$AO$43,17,0)</f>
        <v>0</v>
      </c>
      <c r="AJ19" s="437">
        <f ca="1">HLOOKUP(AJ$15,BaoHiem!$AD$27:$AO$43,17,0)</f>
        <v>0</v>
      </c>
      <c r="AK19" s="437">
        <f ca="1">HLOOKUP(AK$15,BaoHiem!$AD$27:$AO$43,17,0)</f>
        <v>0</v>
      </c>
      <c r="AL19" s="437">
        <f ca="1">HLOOKUP(AL$15,BaoHiem!$AD$27:$AO$43,17,0)</f>
        <v>0</v>
      </c>
      <c r="AM19" s="437">
        <f ca="1">HLOOKUP(AM$15,BaoHiem!$AD$27:$AO$43,17,0)</f>
        <v>0</v>
      </c>
      <c r="AN19" s="478">
        <f ca="1">SUM(AB19:AM19)</f>
        <v>0</v>
      </c>
      <c r="AO19" s="346">
        <f t="array" aca="1" ref="AO19" ca="1">INDIRECT("'"&amp;AO$15&amp;"'!"&amp;ADDRESS(MATCH($A19,INDIRECT("'"&amp;AO$15&amp;"'!E:E"),0),MATCH(AO$14,INDIRECT("'"&amp;AO$15&amp;"'!13:13"),0)))+SUMIFS(Thue_Ngoai!I$15:I$1500,Thue_Ngoai!$F$15:$F$1500,$A19)</f>
        <v>0</v>
      </c>
      <c r="AP19" s="346">
        <f t="array" aca="1" ref="AP19" ca="1">INDIRECT("'"&amp;AP$15&amp;"'!"&amp;ADDRESS(MATCH($A19,INDIRECT("'"&amp;AP$15&amp;"'!E:E"),0),MATCH(AP$14,INDIRECT("'"&amp;AP$15&amp;"'!13:13"),0)))+SUMIFS(Thue_Ngoai!J$15:J$1500,Thue_Ngoai!$F$15:$F$1500,$A19)</f>
        <v>0</v>
      </c>
      <c r="AQ19" s="346">
        <f t="array" aca="1" ref="AQ19" ca="1">INDIRECT("'"&amp;AQ$15&amp;"'!"&amp;ADDRESS(MATCH($A19,INDIRECT("'"&amp;AQ$15&amp;"'!E:E"),0),MATCH(AQ$14,INDIRECT("'"&amp;AQ$15&amp;"'!13:13"),0)))+SUMIFS(Thue_Ngoai!K$15:K$1500,Thue_Ngoai!$F$15:$F$1500,$A19)</f>
        <v>0</v>
      </c>
      <c r="AR19" s="346">
        <f t="array" aca="1" ref="AR19" ca="1">INDIRECT("'"&amp;AR$15&amp;"'!"&amp;ADDRESS(MATCH($A19,INDIRECT("'"&amp;AR$15&amp;"'!E:E"),0),MATCH(AR$14,INDIRECT("'"&amp;AR$15&amp;"'!13:13"),0)))+SUMIFS(Thue_Ngoai!L$15:L$1500,Thue_Ngoai!$F$15:$F$1500,$A19)</f>
        <v>0</v>
      </c>
      <c r="AS19" s="346">
        <f t="array" aca="1" ref="AS19" ca="1">INDIRECT("'"&amp;AS$15&amp;"'!"&amp;ADDRESS(MATCH($A19,INDIRECT("'"&amp;AS$15&amp;"'!E:E"),0),MATCH(AS$14,INDIRECT("'"&amp;AS$15&amp;"'!13:13"),0)))+SUMIFS(Thue_Ngoai!M$15:M$1500,Thue_Ngoai!$F$15:$F$1500,$A19)</f>
        <v>0</v>
      </c>
      <c r="AT19" s="346">
        <f t="array" aca="1" ref="AT19" ca="1">INDIRECT("'"&amp;AT$15&amp;"'!"&amp;ADDRESS(MATCH($A19,INDIRECT("'"&amp;AT$15&amp;"'!E:E"),0),MATCH(AT$14,INDIRECT("'"&amp;AT$15&amp;"'!13:13"),0)))+SUMIFS(Thue_Ngoai!N$15:N$1500,Thue_Ngoai!$F$15:$F$1500,$A19)</f>
        <v>0</v>
      </c>
      <c r="AU19" s="346">
        <f t="array" aca="1" ref="AU19" ca="1">INDIRECT("'"&amp;AU$15&amp;"'!"&amp;ADDRESS(MATCH($A19,INDIRECT("'"&amp;AU$15&amp;"'!E:E"),0),MATCH(AU$14,INDIRECT("'"&amp;AU$15&amp;"'!13:13"),0)))+SUMIFS(Thue_Ngoai!O$15:O$1500,Thue_Ngoai!$F$15:$F$1500,$A19)</f>
        <v>0</v>
      </c>
      <c r="AV19" s="346">
        <f t="array" aca="1" ref="AV19" ca="1">INDIRECT("'"&amp;AV$15&amp;"'!"&amp;ADDRESS(MATCH($A19,INDIRECT("'"&amp;AV$15&amp;"'!E:E"),0),MATCH(AV$14,INDIRECT("'"&amp;AV$15&amp;"'!13:13"),0)))+SUMIFS(Thue_Ngoai!P$15:P$1500,Thue_Ngoai!$F$15:$F$1500,$A19)</f>
        <v>0</v>
      </c>
      <c r="AW19" s="346">
        <f t="array" aca="1" ref="AW19" ca="1">INDIRECT("'"&amp;AW$15&amp;"'!"&amp;ADDRESS(MATCH($A19,INDIRECT("'"&amp;AW$15&amp;"'!E:E"),0),MATCH(AW$14,INDIRECT("'"&amp;AW$15&amp;"'!13:13"),0)))+SUMIFS(Thue_Ngoai!Q$15:Q$1500,Thue_Ngoai!$F$15:$F$1500,$A19)</f>
        <v>0</v>
      </c>
      <c r="AX19" s="346">
        <f t="array" aca="1" ref="AX19" ca="1">INDIRECT("'"&amp;AX$15&amp;"'!"&amp;ADDRESS(MATCH($A19,INDIRECT("'"&amp;AX$15&amp;"'!E:E"),0),MATCH(AX$14,INDIRECT("'"&amp;AX$15&amp;"'!13:13"),0)))+SUMIFS(Thue_Ngoai!R$15:R$1500,Thue_Ngoai!$F$15:$F$1500,$A19)</f>
        <v>0</v>
      </c>
      <c r="AY19" s="346">
        <f t="array" aca="1" ref="AY19" ca="1">INDIRECT("'"&amp;AY$15&amp;"'!"&amp;ADDRESS(MATCH($A19,INDIRECT("'"&amp;AY$15&amp;"'!E:E"),0),MATCH(AY$14,INDIRECT("'"&amp;AY$15&amp;"'!13:13"),0)))+SUMIFS(Thue_Ngoai!S$15:S$1500,Thue_Ngoai!$F$15:$F$1500,$A19)</f>
        <v>0</v>
      </c>
      <c r="AZ19" s="346">
        <f t="array" aca="1" ref="AZ19" ca="1">INDIRECT("'"&amp;AZ$15&amp;"'!"&amp;ADDRESS(MATCH($A19,INDIRECT("'"&amp;AZ$15&amp;"'!E:E"),0),MATCH(AZ$14,INDIRECT("'"&amp;AZ$15&amp;"'!13:13"),0)))+SUMIFS(Thue_Ngoai!T$15:T$1500,Thue_Ngoai!$F$15:$F$1500,$A19)</f>
        <v>0</v>
      </c>
      <c r="BA19" s="478">
        <f t="shared" ca="1" si="1"/>
        <v>0</v>
      </c>
      <c r="BB19" s="346">
        <f t="array" aca="1" ref="BB19" ca="1">INDIRECT("'"&amp;BB$15&amp;"'!"&amp;ADDRESS(MATCH($A19,INDIRECT("'"&amp;BB$15&amp;"'!E:E"),0),MATCH(BB$14,INDIRECT("'"&amp;BB$15&amp;"'!13:13"),0)))+SUMIFS(Thue_Ngoai!V$15:V$1500,Thue_Ngoai!$F$15:$F$1500,$A19)</f>
        <v>0</v>
      </c>
      <c r="BC19" s="346">
        <f t="array" aca="1" ref="BC19" ca="1">INDIRECT("'"&amp;BC$15&amp;"'!"&amp;ADDRESS(MATCH($A19,INDIRECT("'"&amp;BC$15&amp;"'!E:E"),0),MATCH(BC$14,INDIRECT("'"&amp;BC$15&amp;"'!13:13"),0)))+SUMIFS(Thue_Ngoai!W$15:W$1500,Thue_Ngoai!$F$15:$F$1500,$A19)</f>
        <v>0</v>
      </c>
      <c r="BD19" s="346">
        <f t="array" aca="1" ref="BD19" ca="1">INDIRECT("'"&amp;BD$15&amp;"'!"&amp;ADDRESS(MATCH($A19,INDIRECT("'"&amp;BD$15&amp;"'!E:E"),0),MATCH(BD$14,INDIRECT("'"&amp;BD$15&amp;"'!13:13"),0)))+SUMIFS(Thue_Ngoai!X$15:X$1500,Thue_Ngoai!$F$15:$F$1500,$A19)</f>
        <v>0</v>
      </c>
      <c r="BE19" s="346">
        <f t="array" aca="1" ref="BE19" ca="1">INDIRECT("'"&amp;BE$15&amp;"'!"&amp;ADDRESS(MATCH($A19,INDIRECT("'"&amp;BE$15&amp;"'!E:E"),0),MATCH(BE$14,INDIRECT("'"&amp;BE$15&amp;"'!13:13"),0)))+SUMIFS(Thue_Ngoai!Y$15:Y$1500,Thue_Ngoai!$F$15:$F$1500,$A19)</f>
        <v>0</v>
      </c>
      <c r="BF19" s="346">
        <f t="array" aca="1" ref="BF19" ca="1">INDIRECT("'"&amp;BF$15&amp;"'!"&amp;ADDRESS(MATCH($A19,INDIRECT("'"&amp;BF$15&amp;"'!E:E"),0),MATCH(BF$14,INDIRECT("'"&amp;BF$15&amp;"'!13:13"),0)))+SUMIFS(Thue_Ngoai!Z$15:Z$1500,Thue_Ngoai!$F$15:$F$1500,$A19)</f>
        <v>0</v>
      </c>
      <c r="BG19" s="346">
        <f t="array" aca="1" ref="BG19" ca="1">INDIRECT("'"&amp;BG$15&amp;"'!"&amp;ADDRESS(MATCH($A19,INDIRECT("'"&amp;BG$15&amp;"'!E:E"),0),MATCH(BG$14,INDIRECT("'"&amp;BG$15&amp;"'!13:13"),0)))+SUMIFS(Thue_Ngoai!AA$15:AA$1500,Thue_Ngoai!$F$15:$F$1500,$A19)</f>
        <v>0</v>
      </c>
      <c r="BH19" s="346">
        <f t="array" aca="1" ref="BH19" ca="1">INDIRECT("'"&amp;BH$15&amp;"'!"&amp;ADDRESS(MATCH($A19,INDIRECT("'"&amp;BH$15&amp;"'!E:E"),0),MATCH(BH$14,INDIRECT("'"&amp;BH$15&amp;"'!13:13"),0)))+SUMIFS(Thue_Ngoai!AB$15:AB$1500,Thue_Ngoai!$F$15:$F$1500,$A19)</f>
        <v>0</v>
      </c>
      <c r="BI19" s="346">
        <f t="array" aca="1" ref="BI19" ca="1">INDIRECT("'"&amp;BI$15&amp;"'!"&amp;ADDRESS(MATCH($A19,INDIRECT("'"&amp;BI$15&amp;"'!E:E"),0),MATCH(BI$14,INDIRECT("'"&amp;BI$15&amp;"'!13:13"),0)))+SUMIFS(Thue_Ngoai!AC$15:AC$1500,Thue_Ngoai!$F$15:$F$1500,$A19)</f>
        <v>0</v>
      </c>
      <c r="BJ19" s="346">
        <f t="array" aca="1" ref="BJ19" ca="1">INDIRECT("'"&amp;BJ$15&amp;"'!"&amp;ADDRESS(MATCH($A19,INDIRECT("'"&amp;BJ$15&amp;"'!E:E"),0),MATCH(BJ$14,INDIRECT("'"&amp;BJ$15&amp;"'!13:13"),0)))+SUMIFS(Thue_Ngoai!AD$15:AD$1500,Thue_Ngoai!$F$15:$F$1500,$A19)</f>
        <v>0</v>
      </c>
      <c r="BK19" s="346">
        <f t="array" aca="1" ref="BK19" ca="1">INDIRECT("'"&amp;BK$15&amp;"'!"&amp;ADDRESS(MATCH($A19,INDIRECT("'"&amp;BK$15&amp;"'!E:E"),0),MATCH(BK$14,INDIRECT("'"&amp;BK$15&amp;"'!13:13"),0)))+SUMIFS(Thue_Ngoai!AE$15:AE$1500,Thue_Ngoai!$F$15:$F$1500,$A19)</f>
        <v>0</v>
      </c>
      <c r="BL19" s="346">
        <f t="array" aca="1" ref="BL19" ca="1">INDIRECT("'"&amp;BL$15&amp;"'!"&amp;ADDRESS(MATCH($A19,INDIRECT("'"&amp;BL$15&amp;"'!E:E"),0),MATCH(BL$14,INDIRECT("'"&amp;BL$15&amp;"'!13:13"),0)))+SUMIFS(Thue_Ngoai!AF$15:AF$1500,Thue_Ngoai!$F$15:$F$1500,$A19)</f>
        <v>0</v>
      </c>
      <c r="BM19" s="346">
        <f t="array" aca="1" ref="BM19" ca="1">INDIRECT("'"&amp;BM$15&amp;"'!"&amp;ADDRESS(MATCH($A19,INDIRECT("'"&amp;BM$15&amp;"'!E:E"),0),MATCH(BM$14,INDIRECT("'"&amp;BM$15&amp;"'!13:13"),0)))+SUMIFS(Thue_Ngoai!AG$15:AG$1500,Thue_Ngoai!$F$15:$F$1500,$A19)</f>
        <v>0</v>
      </c>
      <c r="BN19" s="478">
        <f ca="1">SUM(BB19:BM19)</f>
        <v>0</v>
      </c>
      <c r="BO19" s="346">
        <f t="array" aca="1" ref="BO19" ca="1">INDIRECT("'"&amp;BO$15&amp;"'!"&amp;ADDRESS(MATCH($A19,INDIRECT("'"&amp;BO$15&amp;"'!E:E"),0),MATCH(BO$14,INDIRECT("'"&amp;BO$15&amp;"'!13:13"),0)))+SUMIFS(Thue_Ngoai!I$15:I$1500,Thue_Ngoai!$F$15:$F$1500,$A19,Thue_Ngoai!$G$15:$G$1500,"GROSS")-SUMIFS(Thue_Ngoai!V$15:V$1500,Thue_Ngoai!$G$15:$G$1500,"GROSS")+SUMIFS(Thue_Ngoai!I$15:I$1500,Thue_Ngoai!$F$15:$F$1500,$A19,Thue_Ngoai!$G$15:$G$1500,"NET")</f>
        <v>0</v>
      </c>
      <c r="BP19" s="346">
        <f t="array" aca="1" ref="BP19" ca="1">INDIRECT("'"&amp;BP$15&amp;"'!"&amp;ADDRESS(MATCH($A19,INDIRECT("'"&amp;BP$15&amp;"'!E:E"),0),MATCH(BP$14,INDIRECT("'"&amp;BP$15&amp;"'!13:13"),0)))+SUMIFS(Thue_Ngoai!J$15:J$1500,Thue_Ngoai!$F$15:$F$1500,$A19,Thue_Ngoai!$G$15:$G$1500,"GROSS")-SUMIFS(Thue_Ngoai!W$15:W$1500,Thue_Ngoai!$G$15:$G$1500,"GROSS")+SUMIFS(Thue_Ngoai!J$15:J$1500,Thue_Ngoai!$F$15:$F$1500,$A19,Thue_Ngoai!$G$15:$G$1500,"NET")</f>
        <v>0</v>
      </c>
      <c r="BQ19" s="346">
        <f t="array" aca="1" ref="BQ19" ca="1">INDIRECT("'"&amp;BQ$15&amp;"'!"&amp;ADDRESS(MATCH($A19,INDIRECT("'"&amp;BQ$15&amp;"'!E:E"),0),MATCH(BQ$14,INDIRECT("'"&amp;BQ$15&amp;"'!13:13"),0)))+SUMIFS(Thue_Ngoai!K$15:K$1500,Thue_Ngoai!$F$15:$F$1500,$A19,Thue_Ngoai!$G$15:$G$1500,"GROSS")-SUMIFS(Thue_Ngoai!X$15:X$1500,Thue_Ngoai!$G$15:$G$1500,"GROSS")+SUMIFS(Thue_Ngoai!K$15:K$1500,Thue_Ngoai!$F$15:$F$1500,$A19,Thue_Ngoai!$G$15:$G$1500,"NET")</f>
        <v>0</v>
      </c>
      <c r="BR19" s="346">
        <f t="array" aca="1" ref="BR19" ca="1">INDIRECT("'"&amp;BR$15&amp;"'!"&amp;ADDRESS(MATCH($A19,INDIRECT("'"&amp;BR$15&amp;"'!E:E"),0),MATCH(BR$14,INDIRECT("'"&amp;BR$15&amp;"'!13:13"),0)))+SUMIFS(Thue_Ngoai!L$15:L$1500,Thue_Ngoai!$F$15:$F$1500,$A19,Thue_Ngoai!$G$15:$G$1500,"GROSS")-SUMIFS(Thue_Ngoai!Y$15:Y$1500,Thue_Ngoai!$G$15:$G$1500,"GROSS")+SUMIFS(Thue_Ngoai!L$15:L$1500,Thue_Ngoai!$F$15:$F$1500,$A19,Thue_Ngoai!$G$15:$G$1500,"NET")</f>
        <v>0</v>
      </c>
      <c r="BS19" s="346">
        <f t="array" aca="1" ref="BS19" ca="1">INDIRECT("'"&amp;BS$15&amp;"'!"&amp;ADDRESS(MATCH($A19,INDIRECT("'"&amp;BS$15&amp;"'!E:E"),0),MATCH(BS$14,INDIRECT("'"&amp;BS$15&amp;"'!13:13"),0)))+SUMIFS(Thue_Ngoai!M$15:M$1500,Thue_Ngoai!$F$15:$F$1500,$A19,Thue_Ngoai!$G$15:$G$1500,"GROSS")-SUMIFS(Thue_Ngoai!Z$15:Z$1500,Thue_Ngoai!$G$15:$G$1500,"GROSS")+SUMIFS(Thue_Ngoai!M$15:M$1500,Thue_Ngoai!$F$15:$F$1500,$A19,Thue_Ngoai!$G$15:$G$1500,"NET")</f>
        <v>0</v>
      </c>
      <c r="BT19" s="346">
        <f t="array" aca="1" ref="BT19" ca="1">INDIRECT("'"&amp;BT$15&amp;"'!"&amp;ADDRESS(MATCH($A19,INDIRECT("'"&amp;BT$15&amp;"'!E:E"),0),MATCH(BT$14,INDIRECT("'"&amp;BT$15&amp;"'!13:13"),0)))+SUMIFS(Thue_Ngoai!N$15:N$1500,Thue_Ngoai!$F$15:$F$1500,$A19,Thue_Ngoai!$G$15:$G$1500,"GROSS")-SUMIFS(Thue_Ngoai!AA$15:AA$1500,Thue_Ngoai!$G$15:$G$1500,"GROSS")+SUMIFS(Thue_Ngoai!N$15:N$1500,Thue_Ngoai!$F$15:$F$1500,$A19,Thue_Ngoai!$G$15:$G$1500,"NET")</f>
        <v>0</v>
      </c>
      <c r="BU19" s="346">
        <f t="array" aca="1" ref="BU19" ca="1">INDIRECT("'"&amp;BU$15&amp;"'!"&amp;ADDRESS(MATCH($A19,INDIRECT("'"&amp;BU$15&amp;"'!E:E"),0),MATCH(BU$14,INDIRECT("'"&amp;BU$15&amp;"'!13:13"),0)))+SUMIFS(Thue_Ngoai!O$15:O$1500,Thue_Ngoai!$F$15:$F$1500,$A19,Thue_Ngoai!$G$15:$G$1500,"GROSS")-SUMIFS(Thue_Ngoai!AB$15:AB$1500,Thue_Ngoai!$G$15:$G$1500,"GROSS")+SUMIFS(Thue_Ngoai!O$15:O$1500,Thue_Ngoai!$F$15:$F$1500,$A19,Thue_Ngoai!$G$15:$G$1500,"NET")</f>
        <v>0</v>
      </c>
      <c r="BV19" s="346">
        <f t="array" aca="1" ref="BV19" ca="1">INDIRECT("'"&amp;BV$15&amp;"'!"&amp;ADDRESS(MATCH($A19,INDIRECT("'"&amp;BV$15&amp;"'!E:E"),0),MATCH(BV$14,INDIRECT("'"&amp;BV$15&amp;"'!13:13"),0)))+SUMIFS(Thue_Ngoai!P$15:P$1500,Thue_Ngoai!$F$15:$F$1500,$A19,Thue_Ngoai!$G$15:$G$1500,"GROSS")-SUMIFS(Thue_Ngoai!AC$15:AC$1500,Thue_Ngoai!$G$15:$G$1500,"GROSS")+SUMIFS(Thue_Ngoai!P$15:P$1500,Thue_Ngoai!$F$15:$F$1500,$A19,Thue_Ngoai!$G$15:$G$1500,"NET")</f>
        <v>0</v>
      </c>
      <c r="BW19" s="346">
        <f t="array" aca="1" ref="BW19" ca="1">INDIRECT("'"&amp;BW$15&amp;"'!"&amp;ADDRESS(MATCH($A19,INDIRECT("'"&amp;BW$15&amp;"'!E:E"),0),MATCH(BW$14,INDIRECT("'"&amp;BW$15&amp;"'!13:13"),0)))+SUMIFS(Thue_Ngoai!Q$15:Q$1500,Thue_Ngoai!$F$15:$F$1500,$A19,Thue_Ngoai!$G$15:$G$1500,"GROSS")-SUMIFS(Thue_Ngoai!AD$15:AD$1500,Thue_Ngoai!$G$15:$G$1500,"GROSS")+SUMIFS(Thue_Ngoai!Q$15:Q$1500,Thue_Ngoai!$F$15:$F$1500,$A19,Thue_Ngoai!$G$15:$G$1500,"NET")</f>
        <v>0</v>
      </c>
      <c r="BX19" s="346">
        <f t="array" aca="1" ref="BX19" ca="1">INDIRECT("'"&amp;BX$15&amp;"'!"&amp;ADDRESS(MATCH($A19,INDIRECT("'"&amp;BX$15&amp;"'!E:E"),0),MATCH(BX$14,INDIRECT("'"&amp;BX$15&amp;"'!13:13"),0)))+SUMIFS(Thue_Ngoai!R$15:R$1500,Thue_Ngoai!$F$15:$F$1500,$A19,Thue_Ngoai!$G$15:$G$1500,"GROSS")-SUMIFS(Thue_Ngoai!AE$15:AE$1500,Thue_Ngoai!$G$15:$G$1500,"GROSS")+SUMIFS(Thue_Ngoai!R$15:R$1500,Thue_Ngoai!$F$15:$F$1500,$A19,Thue_Ngoai!$G$15:$G$1500,"NET")</f>
        <v>0</v>
      </c>
      <c r="BY19" s="346">
        <f t="array" aca="1" ref="BY19" ca="1">INDIRECT("'"&amp;BY$15&amp;"'!"&amp;ADDRESS(MATCH($A19,INDIRECT("'"&amp;BY$15&amp;"'!E:E"),0),MATCH(BY$14,INDIRECT("'"&amp;BY$15&amp;"'!13:13"),0)))+SUMIFS(Thue_Ngoai!S$15:S$1500,Thue_Ngoai!$F$15:$F$1500,$A19,Thue_Ngoai!$G$15:$G$1500,"GROSS")-SUMIFS(Thue_Ngoai!AF$15:AF$1500,Thue_Ngoai!$G$15:$G$1500,"GROSS")+SUMIFS(Thue_Ngoai!S$15:S$1500,Thue_Ngoai!$F$15:$F$1500,$A19,Thue_Ngoai!$G$15:$G$1500,"NET")</f>
        <v>0</v>
      </c>
      <c r="BZ19" s="346">
        <f t="array" aca="1" ref="BZ19" ca="1">INDIRECT("'"&amp;BZ$15&amp;"'!"&amp;ADDRESS(MATCH($A19,INDIRECT("'"&amp;BZ$15&amp;"'!E:E"),0),MATCH(BZ$14,INDIRECT("'"&amp;BZ$15&amp;"'!13:13"),0)))+SUMIFS(Thue_Ngoai!T$15:T$1500,Thue_Ngoai!$F$15:$F$1500,$A19,Thue_Ngoai!$G$15:$G$1500,"GROSS")-SUMIFS(Thue_Ngoai!AG$15:AG$1500,Thue_Ngoai!$G$15:$G$1500,"GROSS")+SUMIFS(Thue_Ngoai!T$15:T$1500,Thue_Ngoai!$F$15:$F$1500,$A19,Thue_Ngoai!$G$15:$G$1500,"NET")</f>
        <v>0</v>
      </c>
      <c r="CA19" s="478">
        <f ca="1">SUM(BO19:BZ19)</f>
        <v>0</v>
      </c>
      <c r="CS19" s="503">
        <v>3335</v>
      </c>
      <c r="CT19" s="235">
        <f t="array" aca="1" ref="CT19" ca="1">INDEX(BB21:BM21,1,$CT$12)</f>
        <v>0</v>
      </c>
      <c r="CU19" s="504">
        <f t="array" aca="1" ref="CU19" ca="1">INDEX($B$16:$M$20,MATCH(CV19,$A$16:$A$20,0),$CT$12)</f>
        <v>0</v>
      </c>
      <c r="CV19" s="505">
        <f ca="1">A20</f>
        <v>0</v>
      </c>
    </row>
    <row r="20" spans="1:100" ht="17.649999999999999" customHeight="1" x14ac:dyDescent="0.45">
      <c r="A20" s="333">
        <f ca="1">'1'!E6</f>
        <v>0</v>
      </c>
      <c r="B20" s="411">
        <f t="array" aca="1" ref="B20" ca="1">INDIRECT("'"&amp;B$15&amp;"'!"&amp;ADDRESS(MATCH($A20,INDIRECT("'"&amp;B$15&amp;"'!E:E"),0),MATCH(B$14,INDIRECT("'"&amp;B$15&amp;"'!13:13"),0)))+SUMIFS(Thue_Ngoai!I$15:I$1500,Thue_Ngoai!$F$15:$F$1500,$A20)</f>
        <v>0</v>
      </c>
      <c r="C20" s="411">
        <f t="array" aca="1" ref="C20" ca="1">INDIRECT("'"&amp;C$15&amp;"'!"&amp;ADDRESS(MATCH($A20,INDIRECT("'"&amp;C$15&amp;"'!E:E"),0),MATCH(C$14,INDIRECT("'"&amp;C$15&amp;"'!13:13"),0)))+SUMIFS(Thue_Ngoai!J$15:J$1500,Thue_Ngoai!$F$15:$F$1500,$A20)</f>
        <v>0</v>
      </c>
      <c r="D20" s="411">
        <f t="array" aca="1" ref="D20" ca="1">INDIRECT("'"&amp;D$15&amp;"'!"&amp;ADDRESS(MATCH($A20,INDIRECT("'"&amp;D$15&amp;"'!E:E"),0),MATCH(D$14,INDIRECT("'"&amp;D$15&amp;"'!13:13"),0)))+SUMIFS(Thue_Ngoai!K$15:K$1500,Thue_Ngoai!$F$15:$F$1500,$A20)</f>
        <v>0</v>
      </c>
      <c r="E20" s="411">
        <f t="array" aca="1" ref="E20" ca="1">INDIRECT("'"&amp;E$15&amp;"'!"&amp;ADDRESS(MATCH($A20,INDIRECT("'"&amp;E$15&amp;"'!E:E"),0),MATCH(E$14,INDIRECT("'"&amp;E$15&amp;"'!13:13"),0)))+SUMIFS(Thue_Ngoai!L$15:L$1500,Thue_Ngoai!$F$15:$F$1500,$A20)</f>
        <v>0</v>
      </c>
      <c r="F20" s="411">
        <f t="array" aca="1" ref="F20" ca="1">INDIRECT("'"&amp;F$15&amp;"'!"&amp;ADDRESS(MATCH($A20,INDIRECT("'"&amp;F$15&amp;"'!E:E"),0),MATCH(F$14,INDIRECT("'"&amp;F$15&amp;"'!13:13"),0)))+SUMIFS(Thue_Ngoai!M$15:M$1500,Thue_Ngoai!$F$15:$F$1500,$A20)</f>
        <v>0</v>
      </c>
      <c r="G20" s="411">
        <f t="array" aca="1" ref="G20" ca="1">INDIRECT("'"&amp;G$15&amp;"'!"&amp;ADDRESS(MATCH($A20,INDIRECT("'"&amp;G$15&amp;"'!E:E"),0),MATCH(G$14,INDIRECT("'"&amp;G$15&amp;"'!13:13"),0)))+SUMIFS(Thue_Ngoai!N$15:N$1500,Thue_Ngoai!$F$15:$F$1500,$A20)</f>
        <v>0</v>
      </c>
      <c r="H20" s="411">
        <f t="array" aca="1" ref="H20" ca="1">INDIRECT("'"&amp;H$15&amp;"'!"&amp;ADDRESS(MATCH($A20,INDIRECT("'"&amp;H$15&amp;"'!E:E"),0),MATCH(H$14,INDIRECT("'"&amp;H$15&amp;"'!13:13"),0)))+SUMIFS(Thue_Ngoai!O$15:O$1500,Thue_Ngoai!$F$15:$F$1500,$A20)</f>
        <v>0</v>
      </c>
      <c r="I20" s="411">
        <f t="array" aca="1" ref="I20" ca="1">INDIRECT("'"&amp;I$15&amp;"'!"&amp;ADDRESS(MATCH($A20,INDIRECT("'"&amp;I$15&amp;"'!E:E"),0),MATCH(I$14,INDIRECT("'"&amp;I$15&amp;"'!13:13"),0)))+SUMIFS(Thue_Ngoai!P$15:P$1500,Thue_Ngoai!$F$15:$F$1500,$A20)</f>
        <v>0</v>
      </c>
      <c r="J20" s="411">
        <f t="array" aca="1" ref="J20" ca="1">INDIRECT("'"&amp;J$15&amp;"'!"&amp;ADDRESS(MATCH($A20,INDIRECT("'"&amp;J$15&amp;"'!E:E"),0),MATCH(J$14,INDIRECT("'"&amp;J$15&amp;"'!13:13"),0)))+SUMIFS(Thue_Ngoai!Q$15:Q$1500,Thue_Ngoai!$F$15:$F$1500,$A20)</f>
        <v>0</v>
      </c>
      <c r="K20" s="411">
        <f t="array" aca="1" ref="K20" ca="1">INDIRECT("'"&amp;K$15&amp;"'!"&amp;ADDRESS(MATCH($A20,INDIRECT("'"&amp;K$15&amp;"'!E:E"),0),MATCH(K$14,INDIRECT("'"&amp;K$15&amp;"'!13:13"),0)))+SUMIFS(Thue_Ngoai!R$15:R$1500,Thue_Ngoai!$F$15:$F$1500,$A20)</f>
        <v>0</v>
      </c>
      <c r="L20" s="411">
        <f t="array" aca="1" ref="L20" ca="1">INDIRECT("'"&amp;L$15&amp;"'!"&amp;ADDRESS(MATCH($A20,INDIRECT("'"&amp;L$15&amp;"'!E:E"),0),MATCH(L$14,INDIRECT("'"&amp;L$15&amp;"'!13:13"),0)))+SUMIFS(Thue_Ngoai!S$15:S$1500,Thue_Ngoai!$F$15:$F$1500,$A20)</f>
        <v>0</v>
      </c>
      <c r="M20" s="411">
        <f t="array" aca="1" ref="M20" ca="1">INDIRECT("'"&amp;M$15&amp;"'!"&amp;ADDRESS(MATCH($A20,INDIRECT("'"&amp;M$15&amp;"'!E:E"),0),MATCH(M$14,INDIRECT("'"&amp;M$15&amp;"'!13:13"),0)))+SUMIFS(Thue_Ngoai!T$15:T$1500,Thue_Ngoai!$F$15:$F$1500,$A20)</f>
        <v>0</v>
      </c>
      <c r="N20" s="348">
        <f t="shared" ca="1" si="0"/>
        <v>0</v>
      </c>
      <c r="O20" s="346">
        <f t="array" aca="1" ref="O20" ca="1">INDIRECT("'"&amp;O$15&amp;"'!"&amp;ADDRESS(MATCH($A20,INDIRECT("'"&amp;O$15&amp;"'!E:E"),0),MATCH(O$14,INDIRECT("'"&amp;O$15&amp;"'!13:13"),0)))</f>
        <v>0</v>
      </c>
      <c r="P20" s="346">
        <f t="array" aca="1" ref="P20" ca="1">INDIRECT("'"&amp;P$15&amp;"'!"&amp;ADDRESS(MATCH($A20,INDIRECT("'"&amp;P$15&amp;"'!E:E"),0),MATCH(P$14,INDIRECT("'"&amp;P$15&amp;"'!13:13"),0)))</f>
        <v>0</v>
      </c>
      <c r="Q20" s="346">
        <f t="array" aca="1" ref="Q20" ca="1">INDIRECT("'"&amp;Q$15&amp;"'!"&amp;ADDRESS(MATCH($A20,INDIRECT("'"&amp;Q$15&amp;"'!E:E"),0),MATCH(Q$14,INDIRECT("'"&amp;Q$15&amp;"'!13:13"),0)))</f>
        <v>0</v>
      </c>
      <c r="R20" s="346">
        <f t="array" aca="1" ref="R20" ca="1">INDIRECT("'"&amp;R$15&amp;"'!"&amp;ADDRESS(MATCH($A20,INDIRECT("'"&amp;R$15&amp;"'!E:E"),0),MATCH(R$14,INDIRECT("'"&amp;R$15&amp;"'!13:13"),0)))</f>
        <v>0</v>
      </c>
      <c r="S20" s="346">
        <f t="array" aca="1" ref="S20" ca="1">INDIRECT("'"&amp;S$15&amp;"'!"&amp;ADDRESS(MATCH($A20,INDIRECT("'"&amp;S$15&amp;"'!E:E"),0),MATCH(S$14,INDIRECT("'"&amp;S$15&amp;"'!13:13"),0)))</f>
        <v>0</v>
      </c>
      <c r="T20" s="346">
        <f t="array" aca="1" ref="T20" ca="1">INDIRECT("'"&amp;T$15&amp;"'!"&amp;ADDRESS(MATCH($A20,INDIRECT("'"&amp;T$15&amp;"'!E:E"),0),MATCH(T$14,INDIRECT("'"&amp;T$15&amp;"'!13:13"),0)))</f>
        <v>0</v>
      </c>
      <c r="U20" s="346">
        <f t="array" aca="1" ref="U20" ca="1">INDIRECT("'"&amp;U$15&amp;"'!"&amp;ADDRESS(MATCH($A20,INDIRECT("'"&amp;U$15&amp;"'!E:E"),0),MATCH(U$14,INDIRECT("'"&amp;U$15&amp;"'!13:13"),0)))</f>
        <v>0</v>
      </c>
      <c r="V20" s="346">
        <f t="array" aca="1" ref="V20" ca="1">INDIRECT("'"&amp;V$15&amp;"'!"&amp;ADDRESS(MATCH($A20,INDIRECT("'"&amp;V$15&amp;"'!E:E"),0),MATCH(V$14,INDIRECT("'"&amp;V$15&amp;"'!13:13"),0)))</f>
        <v>0</v>
      </c>
      <c r="W20" s="346">
        <f t="array" aca="1" ref="W20" ca="1">INDIRECT("'"&amp;W$15&amp;"'!"&amp;ADDRESS(MATCH($A20,INDIRECT("'"&amp;W$15&amp;"'!E:E"),0),MATCH(W$14,INDIRECT("'"&amp;W$15&amp;"'!13:13"),0)))</f>
        <v>0</v>
      </c>
      <c r="X20" s="346">
        <f t="array" aca="1" ref="X20" ca="1">INDIRECT("'"&amp;X$15&amp;"'!"&amp;ADDRESS(MATCH($A20,INDIRECT("'"&amp;X$15&amp;"'!E:E"),0),MATCH(X$14,INDIRECT("'"&amp;X$15&amp;"'!13:13"),0)))</f>
        <v>0</v>
      </c>
      <c r="Y20" s="346">
        <f t="array" aca="1" ref="Y20" ca="1">INDIRECT("'"&amp;Y$15&amp;"'!"&amp;ADDRESS(MATCH($A20,INDIRECT("'"&amp;Y$15&amp;"'!E:E"),0),MATCH(Y$14,INDIRECT("'"&amp;Y$15&amp;"'!13:13"),0)))</f>
        <v>0</v>
      </c>
      <c r="Z20" s="346">
        <f t="array" aca="1" ref="Z20" ca="1">INDIRECT("'"&amp;Z$15&amp;"'!"&amp;ADDRESS(MATCH($A20,INDIRECT("'"&amp;Z$15&amp;"'!E:E"),0),MATCH(Z$14,INDIRECT("'"&amp;Z$15&amp;"'!13:13"),0)))</f>
        <v>0</v>
      </c>
      <c r="AA20" s="478">
        <f ca="1">SUM(O20:Z20)</f>
        <v>0</v>
      </c>
      <c r="AB20" s="437"/>
      <c r="AC20" s="437"/>
      <c r="AD20" s="437"/>
      <c r="AE20" s="437"/>
      <c r="AF20" s="437"/>
      <c r="AG20" s="437"/>
      <c r="AH20" s="437"/>
      <c r="AI20" s="437"/>
      <c r="AJ20" s="437"/>
      <c r="AK20" s="437"/>
      <c r="AL20" s="437"/>
      <c r="AM20" s="437"/>
      <c r="AN20" s="478"/>
      <c r="AO20" s="346">
        <f t="array" aca="1" ref="AO20" ca="1">INDIRECT("'"&amp;AO$15&amp;"'!"&amp;ADDRESS(MATCH($A20,INDIRECT("'"&amp;AO$15&amp;"'!E:E"),0),MATCH(AO$14,INDIRECT("'"&amp;AO$15&amp;"'!13:13"),0)))+SUMIFS(Thue_Ngoai!I$15:I$1500,Thue_Ngoai!$F$15:$F$1500,$A20)</f>
        <v>0</v>
      </c>
      <c r="AP20" s="346">
        <f t="array" aca="1" ref="AP20" ca="1">INDIRECT("'"&amp;AP$15&amp;"'!"&amp;ADDRESS(MATCH($A20,INDIRECT("'"&amp;AP$15&amp;"'!E:E"),0),MATCH(AP$14,INDIRECT("'"&amp;AP$15&amp;"'!13:13"),0)))+SUMIFS(Thue_Ngoai!J$15:J$1500,Thue_Ngoai!$F$15:$F$1500,$A20)</f>
        <v>0</v>
      </c>
      <c r="AQ20" s="346">
        <f t="array" aca="1" ref="AQ20" ca="1">INDIRECT("'"&amp;AQ$15&amp;"'!"&amp;ADDRESS(MATCH($A20,INDIRECT("'"&amp;AQ$15&amp;"'!E:E"),0),MATCH(AQ$14,INDIRECT("'"&amp;AQ$15&amp;"'!13:13"),0)))+SUMIFS(Thue_Ngoai!K$15:K$1500,Thue_Ngoai!$F$15:$F$1500,$A20)</f>
        <v>0</v>
      </c>
      <c r="AR20" s="346">
        <f t="array" aca="1" ref="AR20" ca="1">INDIRECT("'"&amp;AR$15&amp;"'!"&amp;ADDRESS(MATCH($A20,INDIRECT("'"&amp;AR$15&amp;"'!E:E"),0),MATCH(AR$14,INDIRECT("'"&amp;AR$15&amp;"'!13:13"),0)))+SUMIFS(Thue_Ngoai!L$15:L$1500,Thue_Ngoai!$F$15:$F$1500,$A20)</f>
        <v>0</v>
      </c>
      <c r="AS20" s="346">
        <f t="array" aca="1" ref="AS20" ca="1">INDIRECT("'"&amp;AS$15&amp;"'!"&amp;ADDRESS(MATCH($A20,INDIRECT("'"&amp;AS$15&amp;"'!E:E"),0),MATCH(AS$14,INDIRECT("'"&amp;AS$15&amp;"'!13:13"),0)))+SUMIFS(Thue_Ngoai!M$15:M$1500,Thue_Ngoai!$F$15:$F$1500,$A20)</f>
        <v>0</v>
      </c>
      <c r="AT20" s="346">
        <f t="array" aca="1" ref="AT20" ca="1">INDIRECT("'"&amp;AT$15&amp;"'!"&amp;ADDRESS(MATCH($A20,INDIRECT("'"&amp;AT$15&amp;"'!E:E"),0),MATCH(AT$14,INDIRECT("'"&amp;AT$15&amp;"'!13:13"),0)))+SUMIFS(Thue_Ngoai!N$15:N$1500,Thue_Ngoai!$F$15:$F$1500,$A20)</f>
        <v>0</v>
      </c>
      <c r="AU20" s="346">
        <f t="array" aca="1" ref="AU20" ca="1">INDIRECT("'"&amp;AU$15&amp;"'!"&amp;ADDRESS(MATCH($A20,INDIRECT("'"&amp;AU$15&amp;"'!E:E"),0),MATCH(AU$14,INDIRECT("'"&amp;AU$15&amp;"'!13:13"),0)))+SUMIFS(Thue_Ngoai!O$15:O$1500,Thue_Ngoai!$F$15:$F$1500,$A20)</f>
        <v>0</v>
      </c>
      <c r="AV20" s="346">
        <f t="array" aca="1" ref="AV20" ca="1">INDIRECT("'"&amp;AV$15&amp;"'!"&amp;ADDRESS(MATCH($A20,INDIRECT("'"&amp;AV$15&amp;"'!E:E"),0),MATCH(AV$14,INDIRECT("'"&amp;AV$15&amp;"'!13:13"),0)))+SUMIFS(Thue_Ngoai!P$15:P$1500,Thue_Ngoai!$F$15:$F$1500,$A20)</f>
        <v>0</v>
      </c>
      <c r="AW20" s="346">
        <f t="array" aca="1" ref="AW20" ca="1">INDIRECT("'"&amp;AW$15&amp;"'!"&amp;ADDRESS(MATCH($A20,INDIRECT("'"&amp;AW$15&amp;"'!E:E"),0),MATCH(AW$14,INDIRECT("'"&amp;AW$15&amp;"'!13:13"),0)))+SUMIFS(Thue_Ngoai!Q$15:Q$1500,Thue_Ngoai!$F$15:$F$1500,$A20)</f>
        <v>0</v>
      </c>
      <c r="AX20" s="346">
        <f t="array" aca="1" ref="AX20" ca="1">INDIRECT("'"&amp;AX$15&amp;"'!"&amp;ADDRESS(MATCH($A20,INDIRECT("'"&amp;AX$15&amp;"'!E:E"),0),MATCH(AX$14,INDIRECT("'"&amp;AX$15&amp;"'!13:13"),0)))+SUMIFS(Thue_Ngoai!R$15:R$1500,Thue_Ngoai!$F$15:$F$1500,$A20)</f>
        <v>0</v>
      </c>
      <c r="AY20" s="346">
        <f t="array" aca="1" ref="AY20" ca="1">INDIRECT("'"&amp;AY$15&amp;"'!"&amp;ADDRESS(MATCH($A20,INDIRECT("'"&amp;AY$15&amp;"'!E:E"),0),MATCH(AY$14,INDIRECT("'"&amp;AY$15&amp;"'!13:13"),0)))+SUMIFS(Thue_Ngoai!S$15:S$1500,Thue_Ngoai!$F$15:$F$1500,$A20)</f>
        <v>0</v>
      </c>
      <c r="AZ20" s="346">
        <f t="array" aca="1" ref="AZ20" ca="1">INDIRECT("'"&amp;AZ$15&amp;"'!"&amp;ADDRESS(MATCH($A20,INDIRECT("'"&amp;AZ$15&amp;"'!E:E"),0),MATCH(AZ$14,INDIRECT("'"&amp;AZ$15&amp;"'!13:13"),0)))+SUMIFS(Thue_Ngoai!T$15:T$1500,Thue_Ngoai!$F$15:$F$1500,$A20)</f>
        <v>0</v>
      </c>
      <c r="BA20" s="478">
        <f t="shared" ca="1" si="1"/>
        <v>0</v>
      </c>
      <c r="BB20" s="346">
        <f t="array" aca="1" ref="BB20" ca="1">INDIRECT("'"&amp;BB$15&amp;"'!"&amp;ADDRESS(MATCH($A20,INDIRECT("'"&amp;BB$15&amp;"'!E:E"),0),MATCH(BB$14,INDIRECT("'"&amp;BB$15&amp;"'!13:13"),0)))+SUMIFS(Thue_Ngoai!V$15:V$1500,Thue_Ngoai!$F$15:$F$1500,$A20)</f>
        <v>0</v>
      </c>
      <c r="BC20" s="346">
        <f t="array" aca="1" ref="BC20" ca="1">INDIRECT("'"&amp;BC$15&amp;"'!"&amp;ADDRESS(MATCH($A20,INDIRECT("'"&amp;BC$15&amp;"'!E:E"),0),MATCH(BC$14,INDIRECT("'"&amp;BC$15&amp;"'!13:13"),0)))+SUMIFS(Thue_Ngoai!W$15:W$1500,Thue_Ngoai!$F$15:$F$1500,$A20)</f>
        <v>0</v>
      </c>
      <c r="BD20" s="346">
        <f t="array" aca="1" ref="BD20" ca="1">INDIRECT("'"&amp;BD$15&amp;"'!"&amp;ADDRESS(MATCH($A20,INDIRECT("'"&amp;BD$15&amp;"'!E:E"),0),MATCH(BD$14,INDIRECT("'"&amp;BD$15&amp;"'!13:13"),0)))+SUMIFS(Thue_Ngoai!X$15:X$1500,Thue_Ngoai!$F$15:$F$1500,$A20)</f>
        <v>0</v>
      </c>
      <c r="BE20" s="346">
        <f t="array" aca="1" ref="BE20" ca="1">INDIRECT("'"&amp;BE$15&amp;"'!"&amp;ADDRESS(MATCH($A20,INDIRECT("'"&amp;BE$15&amp;"'!E:E"),0),MATCH(BE$14,INDIRECT("'"&amp;BE$15&amp;"'!13:13"),0)))+SUMIFS(Thue_Ngoai!Y$15:Y$1500,Thue_Ngoai!$F$15:$F$1500,$A20)</f>
        <v>0</v>
      </c>
      <c r="BF20" s="346">
        <f t="array" aca="1" ref="BF20" ca="1">INDIRECT("'"&amp;BF$15&amp;"'!"&amp;ADDRESS(MATCH($A20,INDIRECT("'"&amp;BF$15&amp;"'!E:E"),0),MATCH(BF$14,INDIRECT("'"&amp;BF$15&amp;"'!13:13"),0)))+SUMIFS(Thue_Ngoai!Z$15:Z$1500,Thue_Ngoai!$F$15:$F$1500,$A20)</f>
        <v>0</v>
      </c>
      <c r="BG20" s="346">
        <f t="array" aca="1" ref="BG20" ca="1">INDIRECT("'"&amp;BG$15&amp;"'!"&amp;ADDRESS(MATCH($A20,INDIRECT("'"&amp;BG$15&amp;"'!E:E"),0),MATCH(BG$14,INDIRECT("'"&amp;BG$15&amp;"'!13:13"),0)))+SUMIFS(Thue_Ngoai!AA$15:AA$1500,Thue_Ngoai!$F$15:$F$1500,$A20)</f>
        <v>0</v>
      </c>
      <c r="BH20" s="346">
        <f t="array" aca="1" ref="BH20" ca="1">INDIRECT("'"&amp;BH$15&amp;"'!"&amp;ADDRESS(MATCH($A20,INDIRECT("'"&amp;BH$15&amp;"'!E:E"),0),MATCH(BH$14,INDIRECT("'"&amp;BH$15&amp;"'!13:13"),0)))+SUMIFS(Thue_Ngoai!AB$15:AB$1500,Thue_Ngoai!$F$15:$F$1500,$A20)</f>
        <v>0</v>
      </c>
      <c r="BI20" s="346">
        <f t="array" aca="1" ref="BI20" ca="1">INDIRECT("'"&amp;BI$15&amp;"'!"&amp;ADDRESS(MATCH($A20,INDIRECT("'"&amp;BI$15&amp;"'!E:E"),0),MATCH(BI$14,INDIRECT("'"&amp;BI$15&amp;"'!13:13"),0)))+SUMIFS(Thue_Ngoai!AC$15:AC$1500,Thue_Ngoai!$F$15:$F$1500,$A20)</f>
        <v>0</v>
      </c>
      <c r="BJ20" s="346">
        <f t="array" aca="1" ref="BJ20" ca="1">INDIRECT("'"&amp;BJ$15&amp;"'!"&amp;ADDRESS(MATCH($A20,INDIRECT("'"&amp;BJ$15&amp;"'!E:E"),0),MATCH(BJ$14,INDIRECT("'"&amp;BJ$15&amp;"'!13:13"),0)))+SUMIFS(Thue_Ngoai!AD$15:AD$1500,Thue_Ngoai!$F$15:$F$1500,$A20)</f>
        <v>0</v>
      </c>
      <c r="BK20" s="346">
        <f t="array" aca="1" ref="BK20" ca="1">INDIRECT("'"&amp;BK$15&amp;"'!"&amp;ADDRESS(MATCH($A20,INDIRECT("'"&amp;BK$15&amp;"'!E:E"),0),MATCH(BK$14,INDIRECT("'"&amp;BK$15&amp;"'!13:13"),0)))+SUMIFS(Thue_Ngoai!AE$15:AE$1500,Thue_Ngoai!$F$15:$F$1500,$A20)</f>
        <v>0</v>
      </c>
      <c r="BL20" s="346">
        <f t="array" aca="1" ref="BL20" ca="1">INDIRECT("'"&amp;BL$15&amp;"'!"&amp;ADDRESS(MATCH($A20,INDIRECT("'"&amp;BL$15&amp;"'!E:E"),0),MATCH(BL$14,INDIRECT("'"&amp;BL$15&amp;"'!13:13"),0)))+SUMIFS(Thue_Ngoai!AF$15:AF$1500,Thue_Ngoai!$F$15:$F$1500,$A20)</f>
        <v>0</v>
      </c>
      <c r="BM20" s="346">
        <f t="array" aca="1" ref="BM20" ca="1">INDIRECT("'"&amp;BM$15&amp;"'!"&amp;ADDRESS(MATCH($A20,INDIRECT("'"&amp;BM$15&amp;"'!E:E"),0),MATCH(BM$14,INDIRECT("'"&amp;BM$15&amp;"'!13:13"),0)))+SUMIFS(Thue_Ngoai!AG$15:AG$1500,Thue_Ngoai!$F$15:$F$1500,$A20)</f>
        <v>0</v>
      </c>
      <c r="BN20" s="478">
        <f ca="1">SUM(BB20:BM20)</f>
        <v>0</v>
      </c>
      <c r="BO20" s="346">
        <f t="array" aca="1" ref="BO20" ca="1">INDIRECT("'"&amp;BO$15&amp;"'!"&amp;ADDRESS(MATCH($A20,INDIRECT("'"&amp;BO$15&amp;"'!E:E"),0),MATCH(BO$14,INDIRECT("'"&amp;BO$15&amp;"'!13:13"),0)))+SUMIFS(Thue_Ngoai!I$15:I$1500,Thue_Ngoai!$F$15:$F$1500,$A20,Thue_Ngoai!$G$15:$G$1500,"GROSS")-SUMIFS(Thue_Ngoai!V$15:V$1500,Thue_Ngoai!$G$15:$G$1500,"GROSS")+SUMIFS(Thue_Ngoai!I$15:I$1500,Thue_Ngoai!$F$15:$F$1500,$A20,Thue_Ngoai!$G$15:$G$1500,"NET")</f>
        <v>0</v>
      </c>
      <c r="BP20" s="346">
        <f t="array" aca="1" ref="BP20" ca="1">INDIRECT("'"&amp;BP$15&amp;"'!"&amp;ADDRESS(MATCH($A20,INDIRECT("'"&amp;BP$15&amp;"'!E:E"),0),MATCH(BP$14,INDIRECT("'"&amp;BP$15&amp;"'!13:13"),0)))+SUMIFS(Thue_Ngoai!J$15:J$1500,Thue_Ngoai!$F$15:$F$1500,$A20,Thue_Ngoai!$G$15:$G$1500,"GROSS")-SUMIFS(Thue_Ngoai!W$15:W$1500,Thue_Ngoai!$G$15:$G$1500,"GROSS")+SUMIFS(Thue_Ngoai!J$15:J$1500,Thue_Ngoai!$F$15:$F$1500,$A20,Thue_Ngoai!$G$15:$G$1500,"NET")</f>
        <v>0</v>
      </c>
      <c r="BQ20" s="346">
        <f t="array" aca="1" ref="BQ20" ca="1">INDIRECT("'"&amp;BQ$15&amp;"'!"&amp;ADDRESS(MATCH($A20,INDIRECT("'"&amp;BQ$15&amp;"'!E:E"),0),MATCH(BQ$14,INDIRECT("'"&amp;BQ$15&amp;"'!13:13"),0)))+SUMIFS(Thue_Ngoai!K$15:K$1500,Thue_Ngoai!$F$15:$F$1500,$A20,Thue_Ngoai!$G$15:$G$1500,"GROSS")-SUMIFS(Thue_Ngoai!X$15:X$1500,Thue_Ngoai!$G$15:$G$1500,"GROSS")+SUMIFS(Thue_Ngoai!K$15:K$1500,Thue_Ngoai!$F$15:$F$1500,$A20,Thue_Ngoai!$G$15:$G$1500,"NET")</f>
        <v>0</v>
      </c>
      <c r="BR20" s="346">
        <f t="array" aca="1" ref="BR20" ca="1">INDIRECT("'"&amp;BR$15&amp;"'!"&amp;ADDRESS(MATCH($A20,INDIRECT("'"&amp;BR$15&amp;"'!E:E"),0),MATCH(BR$14,INDIRECT("'"&amp;BR$15&amp;"'!13:13"),0)))+SUMIFS(Thue_Ngoai!L$15:L$1500,Thue_Ngoai!$F$15:$F$1500,$A20,Thue_Ngoai!$G$15:$G$1500,"GROSS")-SUMIFS(Thue_Ngoai!Y$15:Y$1500,Thue_Ngoai!$G$15:$G$1500,"GROSS")+SUMIFS(Thue_Ngoai!L$15:L$1500,Thue_Ngoai!$F$15:$F$1500,$A20,Thue_Ngoai!$G$15:$G$1500,"NET")</f>
        <v>0</v>
      </c>
      <c r="BS20" s="346">
        <f t="array" aca="1" ref="BS20" ca="1">INDIRECT("'"&amp;BS$15&amp;"'!"&amp;ADDRESS(MATCH($A20,INDIRECT("'"&amp;BS$15&amp;"'!E:E"),0),MATCH(BS$14,INDIRECT("'"&amp;BS$15&amp;"'!13:13"),0)))+SUMIFS(Thue_Ngoai!M$15:M$1500,Thue_Ngoai!$F$15:$F$1500,$A20,Thue_Ngoai!$G$15:$G$1500,"GROSS")-SUMIFS(Thue_Ngoai!Z$15:Z$1500,Thue_Ngoai!$G$15:$G$1500,"GROSS")+SUMIFS(Thue_Ngoai!M$15:M$1500,Thue_Ngoai!$F$15:$F$1500,$A20,Thue_Ngoai!$G$15:$G$1500,"NET")</f>
        <v>0</v>
      </c>
      <c r="BT20" s="346">
        <f t="array" aca="1" ref="BT20" ca="1">INDIRECT("'"&amp;BT$15&amp;"'!"&amp;ADDRESS(MATCH($A20,INDIRECT("'"&amp;BT$15&amp;"'!E:E"),0),MATCH(BT$14,INDIRECT("'"&amp;BT$15&amp;"'!13:13"),0)))+SUMIFS(Thue_Ngoai!N$15:N$1500,Thue_Ngoai!$F$15:$F$1500,$A20,Thue_Ngoai!$G$15:$G$1500,"GROSS")-SUMIFS(Thue_Ngoai!AA$15:AA$1500,Thue_Ngoai!$G$15:$G$1500,"GROSS")+SUMIFS(Thue_Ngoai!N$15:N$1500,Thue_Ngoai!$F$15:$F$1500,$A20,Thue_Ngoai!$G$15:$G$1500,"NET")</f>
        <v>0</v>
      </c>
      <c r="BU20" s="346">
        <f t="array" aca="1" ref="BU20" ca="1">INDIRECT("'"&amp;BU$15&amp;"'!"&amp;ADDRESS(MATCH($A20,INDIRECT("'"&amp;BU$15&amp;"'!E:E"),0),MATCH(BU$14,INDIRECT("'"&amp;BU$15&amp;"'!13:13"),0)))+SUMIFS(Thue_Ngoai!O$15:O$1500,Thue_Ngoai!$F$15:$F$1500,$A20,Thue_Ngoai!$G$15:$G$1500,"GROSS")-SUMIFS(Thue_Ngoai!AB$15:AB$1500,Thue_Ngoai!$G$15:$G$1500,"GROSS")+SUMIFS(Thue_Ngoai!O$15:O$1500,Thue_Ngoai!$F$15:$F$1500,$A20,Thue_Ngoai!$G$15:$G$1500,"NET")</f>
        <v>0</v>
      </c>
      <c r="BV20" s="346">
        <f t="array" aca="1" ref="BV20" ca="1">INDIRECT("'"&amp;BV$15&amp;"'!"&amp;ADDRESS(MATCH($A20,INDIRECT("'"&amp;BV$15&amp;"'!E:E"),0),MATCH(BV$14,INDIRECT("'"&amp;BV$15&amp;"'!13:13"),0)))+SUMIFS(Thue_Ngoai!P$15:P$1500,Thue_Ngoai!$F$15:$F$1500,$A20,Thue_Ngoai!$G$15:$G$1500,"GROSS")-SUMIFS(Thue_Ngoai!AC$15:AC$1500,Thue_Ngoai!$G$15:$G$1500,"GROSS")+SUMIFS(Thue_Ngoai!P$15:P$1500,Thue_Ngoai!$F$15:$F$1500,$A20,Thue_Ngoai!$G$15:$G$1500,"NET")</f>
        <v>0</v>
      </c>
      <c r="BW20" s="346">
        <f t="array" aca="1" ref="BW20" ca="1">INDIRECT("'"&amp;BW$15&amp;"'!"&amp;ADDRESS(MATCH($A20,INDIRECT("'"&amp;BW$15&amp;"'!E:E"),0),MATCH(BW$14,INDIRECT("'"&amp;BW$15&amp;"'!13:13"),0)))+SUMIFS(Thue_Ngoai!Q$15:Q$1500,Thue_Ngoai!$F$15:$F$1500,$A20,Thue_Ngoai!$G$15:$G$1500,"GROSS")-SUMIFS(Thue_Ngoai!AD$15:AD$1500,Thue_Ngoai!$G$15:$G$1500,"GROSS")+SUMIFS(Thue_Ngoai!Q$15:Q$1500,Thue_Ngoai!$F$15:$F$1500,$A20,Thue_Ngoai!$G$15:$G$1500,"NET")</f>
        <v>0</v>
      </c>
      <c r="BX20" s="346">
        <f t="array" aca="1" ref="BX20" ca="1">INDIRECT("'"&amp;BX$15&amp;"'!"&amp;ADDRESS(MATCH($A20,INDIRECT("'"&amp;BX$15&amp;"'!E:E"),0),MATCH(BX$14,INDIRECT("'"&amp;BX$15&amp;"'!13:13"),0)))+SUMIFS(Thue_Ngoai!R$15:R$1500,Thue_Ngoai!$F$15:$F$1500,$A20,Thue_Ngoai!$G$15:$G$1500,"GROSS")-SUMIFS(Thue_Ngoai!AE$15:AE$1500,Thue_Ngoai!$G$15:$G$1500,"GROSS")+SUMIFS(Thue_Ngoai!R$15:R$1500,Thue_Ngoai!$F$15:$F$1500,$A20,Thue_Ngoai!$G$15:$G$1500,"NET")</f>
        <v>0</v>
      </c>
      <c r="BY20" s="346">
        <f t="array" aca="1" ref="BY20" ca="1">INDIRECT("'"&amp;BY$15&amp;"'!"&amp;ADDRESS(MATCH($A20,INDIRECT("'"&amp;BY$15&amp;"'!E:E"),0),MATCH(BY$14,INDIRECT("'"&amp;BY$15&amp;"'!13:13"),0)))+SUMIFS(Thue_Ngoai!S$15:S$1500,Thue_Ngoai!$F$15:$F$1500,$A20,Thue_Ngoai!$G$15:$G$1500,"GROSS")-SUMIFS(Thue_Ngoai!AF$15:AF$1500,Thue_Ngoai!$G$15:$G$1500,"GROSS")+SUMIFS(Thue_Ngoai!S$15:S$1500,Thue_Ngoai!$F$15:$F$1500,$A20,Thue_Ngoai!$G$15:$G$1500,"NET")</f>
        <v>0</v>
      </c>
      <c r="BZ20" s="346">
        <f t="array" aca="1" ref="BZ20" ca="1">INDIRECT("'"&amp;BZ$15&amp;"'!"&amp;ADDRESS(MATCH($A20,INDIRECT("'"&amp;BZ$15&amp;"'!E:E"),0),MATCH(BZ$14,INDIRECT("'"&amp;BZ$15&amp;"'!13:13"),0)))+SUMIFS(Thue_Ngoai!T$15:T$1500,Thue_Ngoai!$F$15:$F$1500,$A20,Thue_Ngoai!$G$15:$G$1500,"GROSS")-SUMIFS(Thue_Ngoai!AG$15:AG$1500,Thue_Ngoai!$G$15:$G$1500,"GROSS")+SUMIFS(Thue_Ngoai!T$15:T$1500,Thue_Ngoai!$F$15:$F$1500,$A20,Thue_Ngoai!$G$15:$G$1500,"NET")</f>
        <v>0</v>
      </c>
      <c r="CA20" s="478">
        <f ca="1">SUM(BO20:BZ20)</f>
        <v>0</v>
      </c>
      <c r="CS20" s="506"/>
      <c r="CT20" s="327"/>
      <c r="CV20" s="505"/>
    </row>
    <row r="21" spans="1:100" s="150" customFormat="1" ht="17.649999999999999" customHeight="1" x14ac:dyDescent="0.45">
      <c r="A21" s="333" t="str">
        <f>'1'!E7</f>
        <v>TOTAL</v>
      </c>
      <c r="B21" s="348">
        <f ca="1">SUM(B16:B20)</f>
        <v>0</v>
      </c>
      <c r="C21" s="348">
        <f t="shared" ref="C21:M21" ca="1" si="2">SUM(C16:C20)</f>
        <v>0</v>
      </c>
      <c r="D21" s="348">
        <f t="shared" ca="1" si="2"/>
        <v>0</v>
      </c>
      <c r="E21" s="348">
        <f t="shared" ca="1" si="2"/>
        <v>0</v>
      </c>
      <c r="F21" s="348">
        <f t="shared" ca="1" si="2"/>
        <v>0</v>
      </c>
      <c r="G21" s="348">
        <f t="shared" ca="1" si="2"/>
        <v>0</v>
      </c>
      <c r="H21" s="348">
        <f t="shared" ca="1" si="2"/>
        <v>0</v>
      </c>
      <c r="I21" s="348">
        <f t="shared" ca="1" si="2"/>
        <v>0</v>
      </c>
      <c r="J21" s="348">
        <f t="shared" ca="1" si="2"/>
        <v>0</v>
      </c>
      <c r="K21" s="348">
        <f t="shared" ca="1" si="2"/>
        <v>0</v>
      </c>
      <c r="L21" s="348">
        <f t="shared" ca="1" si="2"/>
        <v>0</v>
      </c>
      <c r="M21" s="348">
        <f t="shared" ca="1" si="2"/>
        <v>0</v>
      </c>
      <c r="N21" s="348">
        <f t="shared" ca="1" si="0"/>
        <v>0</v>
      </c>
      <c r="O21" s="348">
        <f ca="1">SUM(O16:O20)</f>
        <v>0</v>
      </c>
      <c r="P21" s="348">
        <f t="shared" ref="P21:AN21" ca="1" si="3">SUM(P16:P20)</f>
        <v>0</v>
      </c>
      <c r="Q21" s="348">
        <f t="shared" ca="1" si="3"/>
        <v>0</v>
      </c>
      <c r="R21" s="348">
        <f t="shared" ca="1" si="3"/>
        <v>0</v>
      </c>
      <c r="S21" s="348">
        <f t="shared" ca="1" si="3"/>
        <v>0</v>
      </c>
      <c r="T21" s="348">
        <f t="shared" ca="1" si="3"/>
        <v>0</v>
      </c>
      <c r="U21" s="348">
        <f t="shared" ca="1" si="3"/>
        <v>0</v>
      </c>
      <c r="V21" s="348">
        <f t="shared" ca="1" si="3"/>
        <v>0</v>
      </c>
      <c r="W21" s="348">
        <f t="shared" ca="1" si="3"/>
        <v>0</v>
      </c>
      <c r="X21" s="348">
        <f t="shared" ca="1" si="3"/>
        <v>0</v>
      </c>
      <c r="Y21" s="348">
        <f t="shared" ca="1" si="3"/>
        <v>0</v>
      </c>
      <c r="Z21" s="348">
        <f t="shared" ca="1" si="3"/>
        <v>0</v>
      </c>
      <c r="AA21" s="348">
        <f t="shared" ca="1" si="3"/>
        <v>0</v>
      </c>
      <c r="AB21" s="348">
        <f t="shared" ca="1" si="3"/>
        <v>0</v>
      </c>
      <c r="AC21" s="348">
        <f t="shared" ca="1" si="3"/>
        <v>0</v>
      </c>
      <c r="AD21" s="348">
        <f t="shared" ca="1" si="3"/>
        <v>0</v>
      </c>
      <c r="AE21" s="348">
        <f t="shared" ca="1" si="3"/>
        <v>0</v>
      </c>
      <c r="AF21" s="348">
        <f t="shared" ca="1" si="3"/>
        <v>0</v>
      </c>
      <c r="AG21" s="348">
        <f t="shared" ca="1" si="3"/>
        <v>0</v>
      </c>
      <c r="AH21" s="348">
        <f t="shared" ca="1" si="3"/>
        <v>0</v>
      </c>
      <c r="AI21" s="348">
        <f t="shared" ca="1" si="3"/>
        <v>0</v>
      </c>
      <c r="AJ21" s="348">
        <f t="shared" ca="1" si="3"/>
        <v>0</v>
      </c>
      <c r="AK21" s="348">
        <f t="shared" ca="1" si="3"/>
        <v>0</v>
      </c>
      <c r="AL21" s="348">
        <f t="shared" ca="1" si="3"/>
        <v>0</v>
      </c>
      <c r="AM21" s="348">
        <f t="shared" ca="1" si="3"/>
        <v>0</v>
      </c>
      <c r="AN21" s="348">
        <f t="shared" ca="1" si="3"/>
        <v>0</v>
      </c>
      <c r="AO21" s="348">
        <f ca="1">SUM(AO16:AO20)</f>
        <v>0</v>
      </c>
      <c r="AP21" s="348">
        <f t="shared" ref="AP21:AZ21" ca="1" si="4">SUM(AP16:AP20)</f>
        <v>0</v>
      </c>
      <c r="AQ21" s="348">
        <f t="shared" ca="1" si="4"/>
        <v>0</v>
      </c>
      <c r="AR21" s="348">
        <f t="shared" ca="1" si="4"/>
        <v>0</v>
      </c>
      <c r="AS21" s="348">
        <f t="shared" ca="1" si="4"/>
        <v>0</v>
      </c>
      <c r="AT21" s="348">
        <f t="shared" ca="1" si="4"/>
        <v>0</v>
      </c>
      <c r="AU21" s="348">
        <f t="shared" ca="1" si="4"/>
        <v>0</v>
      </c>
      <c r="AV21" s="348">
        <f t="shared" ca="1" si="4"/>
        <v>0</v>
      </c>
      <c r="AW21" s="348">
        <f t="shared" ca="1" si="4"/>
        <v>0</v>
      </c>
      <c r="AX21" s="348">
        <f t="shared" ca="1" si="4"/>
        <v>0</v>
      </c>
      <c r="AY21" s="348">
        <f t="shared" ca="1" si="4"/>
        <v>0</v>
      </c>
      <c r="AZ21" s="348">
        <f t="shared" ca="1" si="4"/>
        <v>0</v>
      </c>
      <c r="BA21" s="478">
        <f t="shared" ca="1" si="1"/>
        <v>0</v>
      </c>
      <c r="BB21" s="348">
        <f ca="1">SUM(BB16:BB20)</f>
        <v>0</v>
      </c>
      <c r="BC21" s="348">
        <f t="shared" ref="BC21:BN21" ca="1" si="5">SUM(BC16:BC20)</f>
        <v>0</v>
      </c>
      <c r="BD21" s="348">
        <f t="shared" ca="1" si="5"/>
        <v>0</v>
      </c>
      <c r="BE21" s="348">
        <f t="shared" ca="1" si="5"/>
        <v>0</v>
      </c>
      <c r="BF21" s="348">
        <f t="shared" ca="1" si="5"/>
        <v>0</v>
      </c>
      <c r="BG21" s="348">
        <f t="shared" ca="1" si="5"/>
        <v>0</v>
      </c>
      <c r="BH21" s="348">
        <f t="shared" ca="1" si="5"/>
        <v>0</v>
      </c>
      <c r="BI21" s="348">
        <f t="shared" ca="1" si="5"/>
        <v>0</v>
      </c>
      <c r="BJ21" s="348">
        <f t="shared" ca="1" si="5"/>
        <v>0</v>
      </c>
      <c r="BK21" s="348">
        <f t="shared" ca="1" si="5"/>
        <v>0</v>
      </c>
      <c r="BL21" s="348">
        <f t="shared" ca="1" si="5"/>
        <v>0</v>
      </c>
      <c r="BM21" s="348">
        <f t="shared" ca="1" si="5"/>
        <v>0</v>
      </c>
      <c r="BN21" s="348">
        <f t="shared" ca="1" si="5"/>
        <v>0</v>
      </c>
      <c r="BO21" s="346">
        <f t="array" aca="1" ref="BO21" ca="1">INDIRECT("'"&amp;BO$15&amp;"'!"&amp;ADDRESS(MATCH($A21,INDIRECT("'"&amp;BO$15&amp;"'!E:E"),0),MATCH(BO$14,INDIRECT("'"&amp;BO$15&amp;"'!13:13"),0)))+SUMIFS(Thue_Ngoai!I$15:I$1500,Thue_Ngoai!$F$15:$F$1500,$A21,Thue_Ngoai!$G$15:$G$1500,"GROSS")-SUMIFS(Thue_Ngoai!V$15:V$1500,Thue_Ngoai!$G$15:$G$1500,"GROSS")+SUMIFS(Thue_Ngoai!I$15:I$1500,Thue_Ngoai!$F$15:$F$1500,$A21,Thue_Ngoai!$G$15:$G$1500,"NET")</f>
        <v>0</v>
      </c>
      <c r="BP21" s="346">
        <f t="array" aca="1" ref="BP21" ca="1">INDIRECT("'"&amp;BP$15&amp;"'!"&amp;ADDRESS(MATCH($A21,INDIRECT("'"&amp;BP$15&amp;"'!E:E"),0),MATCH(BP$14,INDIRECT("'"&amp;BP$15&amp;"'!13:13"),0)))+SUMIFS(Thue_Ngoai!J$15:J$1500,Thue_Ngoai!$F$15:$F$1500,$A21,Thue_Ngoai!$G$15:$G$1500,"GROSS")-SUMIFS(Thue_Ngoai!W$15:W$1500,Thue_Ngoai!$G$15:$G$1500,"GROSS")+SUMIFS(Thue_Ngoai!J$15:J$1500,Thue_Ngoai!$F$15:$F$1500,$A21,Thue_Ngoai!$G$15:$G$1500,"NET")</f>
        <v>0</v>
      </c>
      <c r="BQ21" s="346">
        <f t="array" aca="1" ref="BQ21" ca="1">INDIRECT("'"&amp;BQ$15&amp;"'!"&amp;ADDRESS(MATCH($A21,INDIRECT("'"&amp;BQ$15&amp;"'!E:E"),0),MATCH(BQ$14,INDIRECT("'"&amp;BQ$15&amp;"'!13:13"),0)))+SUMIFS(Thue_Ngoai!K$15:K$1500,Thue_Ngoai!$F$15:$F$1500,$A21,Thue_Ngoai!$G$15:$G$1500,"GROSS")-SUMIFS(Thue_Ngoai!X$15:X$1500,Thue_Ngoai!$G$15:$G$1500,"GROSS")+SUMIFS(Thue_Ngoai!K$15:K$1500,Thue_Ngoai!$F$15:$F$1500,$A21,Thue_Ngoai!$G$15:$G$1500,"NET")</f>
        <v>0</v>
      </c>
      <c r="BR21" s="346">
        <f t="array" aca="1" ref="BR21" ca="1">INDIRECT("'"&amp;BR$15&amp;"'!"&amp;ADDRESS(MATCH($A21,INDIRECT("'"&amp;BR$15&amp;"'!E:E"),0),MATCH(BR$14,INDIRECT("'"&amp;BR$15&amp;"'!13:13"),0)))+SUMIFS(Thue_Ngoai!L$15:L$1500,Thue_Ngoai!$F$15:$F$1500,$A21,Thue_Ngoai!$G$15:$G$1500,"GROSS")-SUMIFS(Thue_Ngoai!Y$15:Y$1500,Thue_Ngoai!$G$15:$G$1500,"GROSS")+SUMIFS(Thue_Ngoai!L$15:L$1500,Thue_Ngoai!$F$15:$F$1500,$A21,Thue_Ngoai!$G$15:$G$1500,"NET")</f>
        <v>0</v>
      </c>
      <c r="BS21" s="346">
        <f t="array" aca="1" ref="BS21" ca="1">INDIRECT("'"&amp;BS$15&amp;"'!"&amp;ADDRESS(MATCH($A21,INDIRECT("'"&amp;BS$15&amp;"'!E:E"),0),MATCH(BS$14,INDIRECT("'"&amp;BS$15&amp;"'!13:13"),0)))+SUMIFS(Thue_Ngoai!M$15:M$1500,Thue_Ngoai!$F$15:$F$1500,$A21,Thue_Ngoai!$G$15:$G$1500,"GROSS")-SUMIFS(Thue_Ngoai!Z$15:Z$1500,Thue_Ngoai!$G$15:$G$1500,"GROSS")+SUMIFS(Thue_Ngoai!M$15:M$1500,Thue_Ngoai!$F$15:$F$1500,$A21,Thue_Ngoai!$G$15:$G$1500,"NET")</f>
        <v>0</v>
      </c>
      <c r="BT21" s="346">
        <f t="array" aca="1" ref="BT21" ca="1">INDIRECT("'"&amp;BT$15&amp;"'!"&amp;ADDRESS(MATCH($A21,INDIRECT("'"&amp;BT$15&amp;"'!E:E"),0),MATCH(BT$14,INDIRECT("'"&amp;BT$15&amp;"'!13:13"),0)))+SUMIFS(Thue_Ngoai!N$15:N$1500,Thue_Ngoai!$F$15:$F$1500,$A21,Thue_Ngoai!$G$15:$G$1500,"GROSS")-SUMIFS(Thue_Ngoai!AA$15:AA$1500,Thue_Ngoai!$G$15:$G$1500,"GROSS")+SUMIFS(Thue_Ngoai!N$15:N$1500,Thue_Ngoai!$F$15:$F$1500,$A21,Thue_Ngoai!$G$15:$G$1500,"NET")</f>
        <v>0</v>
      </c>
      <c r="BU21" s="346">
        <f t="array" aca="1" ref="BU21" ca="1">INDIRECT("'"&amp;BU$15&amp;"'!"&amp;ADDRESS(MATCH($A21,INDIRECT("'"&amp;BU$15&amp;"'!E:E"),0),MATCH(BU$14,INDIRECT("'"&amp;BU$15&amp;"'!13:13"),0)))+SUMIFS(Thue_Ngoai!O$15:O$1500,Thue_Ngoai!$F$15:$F$1500,$A21,Thue_Ngoai!$G$15:$G$1500,"GROSS")-SUMIFS(Thue_Ngoai!AB$15:AB$1500,Thue_Ngoai!$G$15:$G$1500,"GROSS")+SUMIFS(Thue_Ngoai!O$15:O$1500,Thue_Ngoai!$F$15:$F$1500,$A21,Thue_Ngoai!$G$15:$G$1500,"NET")</f>
        <v>0</v>
      </c>
      <c r="BV21" s="346">
        <f t="array" aca="1" ref="BV21" ca="1">INDIRECT("'"&amp;BV$15&amp;"'!"&amp;ADDRESS(MATCH($A21,INDIRECT("'"&amp;BV$15&amp;"'!E:E"),0),MATCH(BV$14,INDIRECT("'"&amp;BV$15&amp;"'!13:13"),0)))+SUMIFS(Thue_Ngoai!P$15:P$1500,Thue_Ngoai!$F$15:$F$1500,$A21,Thue_Ngoai!$G$15:$G$1500,"GROSS")-SUMIFS(Thue_Ngoai!AC$15:AC$1500,Thue_Ngoai!$G$15:$G$1500,"GROSS")+SUMIFS(Thue_Ngoai!P$15:P$1500,Thue_Ngoai!$F$15:$F$1500,$A21,Thue_Ngoai!$G$15:$G$1500,"NET")</f>
        <v>0</v>
      </c>
      <c r="BW21" s="346">
        <f t="array" aca="1" ref="BW21" ca="1">INDIRECT("'"&amp;BW$15&amp;"'!"&amp;ADDRESS(MATCH($A21,INDIRECT("'"&amp;BW$15&amp;"'!E:E"),0),MATCH(BW$14,INDIRECT("'"&amp;BW$15&amp;"'!13:13"),0)))+SUMIFS(Thue_Ngoai!Q$15:Q$1500,Thue_Ngoai!$F$15:$F$1500,$A21,Thue_Ngoai!$G$15:$G$1500,"GROSS")-SUMIFS(Thue_Ngoai!AD$15:AD$1500,Thue_Ngoai!$G$15:$G$1500,"GROSS")+SUMIFS(Thue_Ngoai!Q$15:Q$1500,Thue_Ngoai!$F$15:$F$1500,$A21,Thue_Ngoai!$G$15:$G$1500,"NET")</f>
        <v>0</v>
      </c>
      <c r="BX21" s="346">
        <f t="array" aca="1" ref="BX21" ca="1">INDIRECT("'"&amp;BX$15&amp;"'!"&amp;ADDRESS(MATCH($A21,INDIRECT("'"&amp;BX$15&amp;"'!E:E"),0),MATCH(BX$14,INDIRECT("'"&amp;BX$15&amp;"'!13:13"),0)))+SUMIFS(Thue_Ngoai!R$15:R$1500,Thue_Ngoai!$F$15:$F$1500,$A21,Thue_Ngoai!$G$15:$G$1500,"GROSS")-SUMIFS(Thue_Ngoai!AE$15:AE$1500,Thue_Ngoai!$G$15:$G$1500,"GROSS")+SUMIFS(Thue_Ngoai!R$15:R$1500,Thue_Ngoai!$F$15:$F$1500,$A21,Thue_Ngoai!$G$15:$G$1500,"NET")</f>
        <v>0</v>
      </c>
      <c r="BY21" s="346">
        <f t="array" aca="1" ref="BY21" ca="1">INDIRECT("'"&amp;BY$15&amp;"'!"&amp;ADDRESS(MATCH($A21,INDIRECT("'"&amp;BY$15&amp;"'!E:E"),0),MATCH(BY$14,INDIRECT("'"&amp;BY$15&amp;"'!13:13"),0)))+SUMIFS(Thue_Ngoai!S$15:S$1500,Thue_Ngoai!$F$15:$F$1500,$A21,Thue_Ngoai!$G$15:$G$1500,"GROSS")-SUMIFS(Thue_Ngoai!AF$15:AF$1500,Thue_Ngoai!$G$15:$G$1500,"GROSS")+SUMIFS(Thue_Ngoai!S$15:S$1500,Thue_Ngoai!$F$15:$F$1500,$A21,Thue_Ngoai!$G$15:$G$1500,"NET")</f>
        <v>0</v>
      </c>
      <c r="BZ21" s="346">
        <f t="array" aca="1" ref="BZ21" ca="1">INDIRECT("'"&amp;BZ$15&amp;"'!"&amp;ADDRESS(MATCH($A21,INDIRECT("'"&amp;BZ$15&amp;"'!E:E"),0),MATCH(BZ$14,INDIRECT("'"&amp;BZ$15&amp;"'!13:13"),0)))+SUMIFS(Thue_Ngoai!T$15:T$1500,Thue_Ngoai!$F$15:$F$1500,$A21,Thue_Ngoai!$G$15:$G$1500,"GROSS")-SUMIFS(Thue_Ngoai!AG$15:AG$1500,Thue_Ngoai!$G$15:$G$1500,"GROSS")+SUMIFS(Thue_Ngoai!T$15:T$1500,Thue_Ngoai!$F$15:$F$1500,$A21,Thue_Ngoai!$G$15:$G$1500,"NET")</f>
        <v>0</v>
      </c>
      <c r="CA21" s="348">
        <f ca="1">SUM(CA16:CA20)</f>
        <v>0</v>
      </c>
      <c r="CS21" s="503">
        <v>111.11199999999999</v>
      </c>
      <c r="CT21" s="489">
        <f t="array" aca="1" ref="CT21" ca="1">INDEX(BO21:BZ21,1,$CT$12)</f>
        <v>0</v>
      </c>
      <c r="CU21" s="3"/>
      <c r="CV21" s="505"/>
    </row>
    <row r="22" spans="1:100" x14ac:dyDescent="0.45">
      <c r="CS22" s="328"/>
      <c r="CT22" s="329"/>
      <c r="CU22" s="331"/>
      <c r="CV22" s="507"/>
    </row>
    <row r="23" spans="1:100" x14ac:dyDescent="0.45">
      <c r="B23" s="11"/>
      <c r="CS23" s="512"/>
      <c r="CT23" s="245">
        <f ca="1">SUM(CT15:CT22)</f>
        <v>0</v>
      </c>
      <c r="CU23" s="244">
        <f ca="1">SUM(CU15:CU22)</f>
        <v>0</v>
      </c>
      <c r="CV23" s="513"/>
    </row>
    <row r="24" spans="1:100" x14ac:dyDescent="0.45">
      <c r="B24" s="11"/>
    </row>
    <row r="27" spans="1:100" x14ac:dyDescent="0.45">
      <c r="CS27" s="653" t="s">
        <v>349</v>
      </c>
      <c r="CT27" s="654"/>
      <c r="CU27" s="654"/>
      <c r="CV27" s="655"/>
    </row>
    <row r="28" spans="1:100" x14ac:dyDescent="0.45">
      <c r="CS28" s="231"/>
      <c r="CT28" s="490" t="s">
        <v>328</v>
      </c>
      <c r="CU28" s="491" t="s">
        <v>329</v>
      </c>
      <c r="CV28" s="502"/>
    </row>
    <row r="29" spans="1:100" x14ac:dyDescent="0.45">
      <c r="CS29" s="503">
        <v>111.11199999999999</v>
      </c>
      <c r="CT29" s="482">
        <f ca="1">CU37</f>
        <v>0</v>
      </c>
      <c r="CU29" s="518">
        <f ca="1">CT15</f>
        <v>0</v>
      </c>
      <c r="CV29" s="505">
        <v>334</v>
      </c>
    </row>
    <row r="30" spans="1:100" x14ac:dyDescent="0.45">
      <c r="CS30" s="503"/>
      <c r="CT30" s="482"/>
      <c r="CU30" s="504"/>
      <c r="CV30" s="505"/>
    </row>
    <row r="31" spans="1:100" x14ac:dyDescent="0.45">
      <c r="CS31" s="503"/>
      <c r="CT31" s="482"/>
      <c r="CU31" s="504">
        <f ca="1">HLOOKUP($CT$12,BaoHiem!$AD$27:$AO$42,2,0)</f>
        <v>0</v>
      </c>
      <c r="CV31" s="505">
        <f ca="1">CV15</f>
        <v>0</v>
      </c>
    </row>
    <row r="32" spans="1:100" x14ac:dyDescent="0.45">
      <c r="CS32" s="506"/>
      <c r="CT32" s="327"/>
      <c r="CU32" s="504">
        <f ca="1">HLOOKUP($CT$12,BaoHiem!$AD$27:$AO$42,6,0)</f>
        <v>0</v>
      </c>
      <c r="CV32" s="505">
        <f ca="1">CV16</f>
        <v>0</v>
      </c>
    </row>
    <row r="33" spans="76:100" x14ac:dyDescent="0.45">
      <c r="CS33" s="503"/>
      <c r="CT33" s="235"/>
      <c r="CU33" s="504">
        <f ca="1">HLOOKUP($CT$12,BaoHiem!$AD$27:$AO$42,10,0)</f>
        <v>0</v>
      </c>
      <c r="CV33" s="505">
        <f ca="1">CV17</f>
        <v>0</v>
      </c>
    </row>
    <row r="34" spans="76:100" x14ac:dyDescent="0.45">
      <c r="CS34" s="506"/>
      <c r="CT34" s="327"/>
      <c r="CU34" s="504">
        <f ca="1">HLOOKUP($CT$12,BaoHiem!$AD$27:$AO$42,14,0)</f>
        <v>0</v>
      </c>
      <c r="CV34" s="505">
        <f ca="1">CV18</f>
        <v>0</v>
      </c>
    </row>
    <row r="35" spans="76:100" x14ac:dyDescent="0.45">
      <c r="CS35" s="503"/>
      <c r="CT35" s="489"/>
      <c r="CV35" s="505"/>
    </row>
    <row r="36" spans="76:100" x14ac:dyDescent="0.45">
      <c r="CS36" s="328"/>
      <c r="CT36" s="329"/>
      <c r="CU36" s="331"/>
      <c r="CV36" s="507"/>
    </row>
    <row r="37" spans="76:100" x14ac:dyDescent="0.45">
      <c r="CS37" s="514"/>
      <c r="CT37" s="256">
        <f ca="1">SUM(CT29:CT36)</f>
        <v>0</v>
      </c>
      <c r="CU37" s="255">
        <f ca="1">SUM(CU29:CU36)</f>
        <v>0</v>
      </c>
      <c r="CV37" s="515"/>
    </row>
    <row r="39" spans="76:100" x14ac:dyDescent="0.45">
      <c r="CS39" s="653" t="s">
        <v>350</v>
      </c>
      <c r="CT39" s="654"/>
      <c r="CU39" s="654"/>
      <c r="CV39" s="655"/>
    </row>
    <row r="40" spans="76:100" x14ac:dyDescent="0.45">
      <c r="CS40" s="231"/>
      <c r="CT40" s="490" t="s">
        <v>328</v>
      </c>
      <c r="CU40" s="491" t="s">
        <v>329</v>
      </c>
      <c r="CV40" s="502"/>
    </row>
    <row r="41" spans="76:100" x14ac:dyDescent="0.45">
      <c r="CS41" s="503">
        <v>111.11199999999999</v>
      </c>
      <c r="CT41" s="482">
        <f ca="1">CU49</f>
        <v>0</v>
      </c>
      <c r="CU41" s="520">
        <f ca="1">CT16</f>
        <v>0</v>
      </c>
      <c r="CV41" s="505">
        <v>334</v>
      </c>
    </row>
    <row r="42" spans="76:100" x14ac:dyDescent="0.45">
      <c r="CS42" s="503"/>
      <c r="CT42" s="482"/>
      <c r="CU42" s="504"/>
      <c r="CV42" s="505"/>
    </row>
    <row r="43" spans="76:100" x14ac:dyDescent="0.45">
      <c r="CS43" s="503"/>
      <c r="CT43" s="482"/>
      <c r="CU43" s="504">
        <f ca="1">HLOOKUP($CT$12,BaoHiem!$AD$27:$AO$42,3,0)</f>
        <v>0</v>
      </c>
      <c r="CV43" s="505">
        <f ca="1">CV15</f>
        <v>0</v>
      </c>
    </row>
    <row r="44" spans="76:100" x14ac:dyDescent="0.45">
      <c r="BX44" s="3" t="s">
        <v>171</v>
      </c>
      <c r="CS44" s="506"/>
      <c r="CT44" s="327"/>
      <c r="CU44" s="504">
        <f ca="1">HLOOKUP($CT$12,BaoHiem!$AD$27:$AO$42,7,0)</f>
        <v>0</v>
      </c>
      <c r="CV44" s="505">
        <f ca="1">CV16</f>
        <v>0</v>
      </c>
    </row>
    <row r="45" spans="76:100" x14ac:dyDescent="0.45">
      <c r="CS45" s="503"/>
      <c r="CT45" s="235"/>
      <c r="CU45" s="504">
        <f ca="1">HLOOKUP($CT$12,BaoHiem!$AD$27:$AO$42,11,0)</f>
        <v>0</v>
      </c>
      <c r="CV45" s="505">
        <f ca="1">CV17</f>
        <v>0</v>
      </c>
    </row>
    <row r="46" spans="76:100" x14ac:dyDescent="0.45">
      <c r="CG46" s="3" t="s">
        <v>171</v>
      </c>
      <c r="CS46" s="506"/>
      <c r="CT46" s="327"/>
      <c r="CU46" s="504">
        <f ca="1">HLOOKUP($CT$12,BaoHiem!$AD$27:$AO$42,15,0)</f>
        <v>0</v>
      </c>
      <c r="CV46" s="505">
        <f ca="1">CV18</f>
        <v>0</v>
      </c>
    </row>
    <row r="47" spans="76:100" x14ac:dyDescent="0.45">
      <c r="CS47" s="503"/>
      <c r="CT47" s="489"/>
      <c r="CV47" s="505"/>
    </row>
    <row r="48" spans="76:100" x14ac:dyDescent="0.45">
      <c r="CS48" s="326"/>
      <c r="CT48" s="327"/>
      <c r="CV48" s="516"/>
    </row>
    <row r="49" spans="97:100" x14ac:dyDescent="0.45">
      <c r="CS49" s="514"/>
      <c r="CT49" s="256">
        <f ca="1">SUM(CT41:CT48)</f>
        <v>0</v>
      </c>
      <c r="CU49" s="255">
        <f ca="1">SUM(CU41:CU48)</f>
        <v>0</v>
      </c>
      <c r="CV49" s="515"/>
    </row>
    <row r="51" spans="97:100" x14ac:dyDescent="0.45">
      <c r="CS51" s="653" t="s">
        <v>351</v>
      </c>
      <c r="CT51" s="654"/>
      <c r="CU51" s="654"/>
      <c r="CV51" s="655"/>
    </row>
    <row r="52" spans="97:100" x14ac:dyDescent="0.45">
      <c r="CS52" s="231"/>
      <c r="CT52" s="490" t="s">
        <v>328</v>
      </c>
      <c r="CU52" s="491" t="s">
        <v>329</v>
      </c>
      <c r="CV52" s="502"/>
    </row>
    <row r="53" spans="97:100" x14ac:dyDescent="0.45">
      <c r="CS53" s="503">
        <v>111.11199999999999</v>
      </c>
      <c r="CT53" s="482">
        <f ca="1">CU61</f>
        <v>0</v>
      </c>
      <c r="CU53" s="522">
        <f ca="1">CT17</f>
        <v>0</v>
      </c>
      <c r="CV53" s="505">
        <v>334</v>
      </c>
    </row>
    <row r="54" spans="97:100" x14ac:dyDescent="0.45">
      <c r="CS54" s="503"/>
      <c r="CT54" s="482"/>
      <c r="CU54" s="504"/>
      <c r="CV54" s="505"/>
    </row>
    <row r="55" spans="97:100" x14ac:dyDescent="0.45">
      <c r="CS55" s="503"/>
      <c r="CT55" s="482"/>
      <c r="CU55" s="504">
        <f ca="1">HLOOKUP($CT$12,BaoHiem!$AD$27:$AO$42,4,0)</f>
        <v>0</v>
      </c>
      <c r="CV55" s="505">
        <f ca="1">CV15</f>
        <v>0</v>
      </c>
    </row>
    <row r="56" spans="97:100" x14ac:dyDescent="0.45">
      <c r="CS56" s="506"/>
      <c r="CT56" s="327"/>
      <c r="CU56" s="504">
        <f ca="1">HLOOKUP($CT$12,BaoHiem!$AD$27:$AO$42,8,0)</f>
        <v>0</v>
      </c>
      <c r="CV56" s="505">
        <f ca="1">CV16</f>
        <v>0</v>
      </c>
    </row>
    <row r="57" spans="97:100" x14ac:dyDescent="0.45">
      <c r="CS57" s="503"/>
      <c r="CT57" s="235"/>
      <c r="CU57" s="504">
        <f ca="1">HLOOKUP($CT$12,BaoHiem!$AD$27:$AO$42,12,0)</f>
        <v>0</v>
      </c>
      <c r="CV57" s="505">
        <f ca="1">CV17</f>
        <v>0</v>
      </c>
    </row>
    <row r="58" spans="97:100" x14ac:dyDescent="0.45">
      <c r="CS58" s="506"/>
      <c r="CT58" s="327"/>
      <c r="CU58" s="504">
        <f ca="1">HLOOKUP($CT$12,BaoHiem!$AD$27:$AO$42,16,0)</f>
        <v>0</v>
      </c>
      <c r="CV58" s="505">
        <f ca="1">CV18</f>
        <v>0</v>
      </c>
    </row>
    <row r="59" spans="97:100" x14ac:dyDescent="0.45">
      <c r="CS59" s="503"/>
      <c r="CT59" s="489"/>
      <c r="CV59" s="505"/>
    </row>
    <row r="60" spans="97:100" x14ac:dyDescent="0.45">
      <c r="CS60" s="326"/>
      <c r="CT60" s="327"/>
      <c r="CV60" s="516"/>
    </row>
    <row r="61" spans="97:100" x14ac:dyDescent="0.45">
      <c r="CS61" s="514"/>
      <c r="CT61" s="256">
        <f ca="1">SUM(CT53:CT60)</f>
        <v>0</v>
      </c>
      <c r="CU61" s="255">
        <f ca="1">SUM(CU53:CU60)</f>
        <v>0</v>
      </c>
      <c r="CV61" s="515"/>
    </row>
  </sheetData>
  <mergeCells count="17">
    <mergeCell ref="AN13:AN15"/>
    <mergeCell ref="CS27:CV27"/>
    <mergeCell ref="CS39:CV39"/>
    <mergeCell ref="CS51:CV51"/>
    <mergeCell ref="A13:A15"/>
    <mergeCell ref="CS13:CV13"/>
    <mergeCell ref="BO13:BZ13"/>
    <mergeCell ref="CA13:CA15"/>
    <mergeCell ref="BN13:BN15"/>
    <mergeCell ref="B13:M13"/>
    <mergeCell ref="O13:Z13"/>
    <mergeCell ref="BB13:BM13"/>
    <mergeCell ref="N13:N15"/>
    <mergeCell ref="AA13:AA15"/>
    <mergeCell ref="AO13:AZ13"/>
    <mergeCell ref="BA13:BA15"/>
    <mergeCell ref="AB13:AM13"/>
  </mergeCells>
  <dataValidations count="1">
    <dataValidation type="list" allowBlank="1" showInputMessage="1" showErrorMessage="1" sqref="CT12 A12 A8" xr:uid="{00000000-0002-0000-1700-000000000000}">
      <formula1>$B$15:$M$15</formula1>
    </dataValidation>
  </dataValidations>
  <pageMargins left="0.7" right="0.7" top="0.75" bottom="0.75" header="0.3" footer="0.3"/>
  <pageSetup paperSize="9" orientation="portrait" horizontalDpi="300" verticalDpi="300" r:id="rId1"/>
  <ignoredErrors>
    <ignoredError sqref="N16:N21 AA16:AA20 BA16:BA21" formula="1"/>
  </ignoredErrors>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tabColor rgb="FF7030A0"/>
  </sheetPr>
  <dimension ref="A12:O36"/>
  <sheetViews>
    <sheetView showGridLines="0" topLeftCell="A5" workbookViewId="0">
      <selection activeCell="E10" sqref="E10"/>
    </sheetView>
  </sheetViews>
  <sheetFormatPr defaultColWidth="9.265625" defaultRowHeight="14.25" x14ac:dyDescent="0.45"/>
  <cols>
    <col min="1" max="1" width="9.1328125" style="3" customWidth="1"/>
    <col min="2" max="2" width="24" style="3" customWidth="1"/>
    <col min="3" max="14" width="13.1328125" style="3" customWidth="1"/>
    <col min="15" max="15" width="13.73046875" style="3" bestFit="1" customWidth="1"/>
    <col min="16" max="16384" width="9.265625" style="3"/>
  </cols>
  <sheetData>
    <row r="12" spans="1:15" s="150" customFormat="1" ht="24.6" hidden="1" customHeight="1" x14ac:dyDescent="0.45">
      <c r="C12" s="315">
        <v>1</v>
      </c>
      <c r="D12" s="315">
        <v>2</v>
      </c>
      <c r="E12" s="315">
        <v>3</v>
      </c>
      <c r="F12" s="315">
        <v>4</v>
      </c>
      <c r="G12" s="315">
        <v>5</v>
      </c>
      <c r="H12" s="315">
        <v>6</v>
      </c>
      <c r="I12" s="315">
        <v>7</v>
      </c>
      <c r="J12" s="315">
        <v>8</v>
      </c>
      <c r="K12" s="315">
        <v>9</v>
      </c>
      <c r="L12" s="315">
        <v>10</v>
      </c>
      <c r="M12" s="315">
        <v>11</v>
      </c>
      <c r="N12" s="315">
        <v>12</v>
      </c>
      <c r="O12" s="315" t="s">
        <v>55</v>
      </c>
    </row>
    <row r="13" spans="1:15" hidden="1" x14ac:dyDescent="0.45">
      <c r="A13" s="314" t="s">
        <v>296</v>
      </c>
      <c r="B13" s="314"/>
      <c r="C13" s="314"/>
      <c r="D13" s="314"/>
      <c r="E13" s="314"/>
      <c r="F13" s="314"/>
      <c r="G13" s="314"/>
      <c r="H13" s="314"/>
      <c r="I13" s="314"/>
      <c r="J13" s="314"/>
      <c r="K13" s="314"/>
      <c r="L13" s="314"/>
      <c r="M13" s="314"/>
      <c r="N13" s="314"/>
      <c r="O13" s="316"/>
    </row>
    <row r="14" spans="1:15" ht="25.35" hidden="1" customHeight="1" x14ac:dyDescent="0.45">
      <c r="A14" s="317" t="s">
        <v>295</v>
      </c>
      <c r="B14" s="322" t="s">
        <v>282</v>
      </c>
      <c r="C14" s="318">
        <f t="array" aca="1" ref="C14" ca="1">INDIRECT("'"&amp;C$12&amp;"'!"&amp;$A14)</f>
        <v>0</v>
      </c>
      <c r="D14" s="318">
        <f t="array" aca="1" ref="D14" ca="1">INDIRECT("'"&amp;D$12&amp;"'!"&amp;$A14)</f>
        <v>0</v>
      </c>
      <c r="E14" s="318">
        <f t="array" aca="1" ref="E14" ca="1">INDIRECT("'"&amp;E$12&amp;"'!"&amp;$A14)</f>
        <v>0</v>
      </c>
      <c r="F14" s="318">
        <f t="array" aca="1" ref="F14" ca="1">INDIRECT("'"&amp;F$12&amp;"'!"&amp;$A14)</f>
        <v>0</v>
      </c>
      <c r="G14" s="318">
        <f t="array" aca="1" ref="G14" ca="1">INDIRECT("'"&amp;G$12&amp;"'!"&amp;$A14)</f>
        <v>0</v>
      </c>
      <c r="H14" s="318">
        <f t="array" aca="1" ref="H14" ca="1">INDIRECT("'"&amp;H$12&amp;"'!"&amp;$A14)</f>
        <v>0</v>
      </c>
      <c r="I14" s="318">
        <f t="array" aca="1" ref="I14" ca="1">INDIRECT("'"&amp;I$12&amp;"'!"&amp;$A14)</f>
        <v>0</v>
      </c>
      <c r="J14" s="318">
        <f t="array" aca="1" ref="J14" ca="1">INDIRECT("'"&amp;J$12&amp;"'!"&amp;$A14)</f>
        <v>0</v>
      </c>
      <c r="K14" s="318">
        <f t="array" aca="1" ref="K14" ca="1">INDIRECT("'"&amp;K$12&amp;"'!"&amp;$A14)</f>
        <v>0</v>
      </c>
      <c r="L14" s="318">
        <f t="array" aca="1" ref="L14" ca="1">INDIRECT("'"&amp;L$12&amp;"'!"&amp;$A14)</f>
        <v>0</v>
      </c>
      <c r="M14" s="318">
        <f t="array" aca="1" ref="M14" ca="1">INDIRECT("'"&amp;M$12&amp;"'!"&amp;$A14)</f>
        <v>0</v>
      </c>
      <c r="N14" s="318">
        <f t="array" aca="1" ref="N14" ca="1">INDIRECT("'"&amp;N$12&amp;"'!"&amp;$A14)</f>
        <v>0</v>
      </c>
      <c r="O14" s="319">
        <f ca="1">SUM(C14:N14)</f>
        <v>0</v>
      </c>
    </row>
    <row r="15" spans="1:15" ht="25.35" hidden="1" customHeight="1" x14ac:dyDescent="0.45">
      <c r="A15" s="317" t="s">
        <v>288</v>
      </c>
      <c r="B15" s="323" t="s">
        <v>297</v>
      </c>
      <c r="C15" s="318">
        <f t="array" aca="1" ref="C15" ca="1">INDIRECT("'"&amp;C$12&amp;"'!"&amp;$A15)</f>
        <v>0</v>
      </c>
      <c r="D15" s="318">
        <f t="array" aca="1" ref="D15" ca="1">INDIRECT("'"&amp;D$12&amp;"'!"&amp;$A15)</f>
        <v>0</v>
      </c>
      <c r="E15" s="318">
        <f t="array" aca="1" ref="E15" ca="1">INDIRECT("'"&amp;E$12&amp;"'!"&amp;$A15)</f>
        <v>0</v>
      </c>
      <c r="F15" s="318">
        <f t="array" aca="1" ref="F15" ca="1">INDIRECT("'"&amp;F$12&amp;"'!"&amp;$A15)</f>
        <v>0</v>
      </c>
      <c r="G15" s="318">
        <f t="array" aca="1" ref="G15" ca="1">INDIRECT("'"&amp;G$12&amp;"'!"&amp;$A15)</f>
        <v>0</v>
      </c>
      <c r="H15" s="318">
        <f t="array" aca="1" ref="H15" ca="1">INDIRECT("'"&amp;H$12&amp;"'!"&amp;$A15)</f>
        <v>0</v>
      </c>
      <c r="I15" s="318">
        <f t="array" aca="1" ref="I15" ca="1">INDIRECT("'"&amp;I$12&amp;"'!"&amp;$A15)</f>
        <v>0</v>
      </c>
      <c r="J15" s="318">
        <f t="array" aca="1" ref="J15" ca="1">INDIRECT("'"&amp;J$12&amp;"'!"&amp;$A15)</f>
        <v>0</v>
      </c>
      <c r="K15" s="318">
        <f t="array" aca="1" ref="K15" ca="1">INDIRECT("'"&amp;K$12&amp;"'!"&amp;$A15)</f>
        <v>0</v>
      </c>
      <c r="L15" s="318">
        <f t="array" aca="1" ref="L15" ca="1">INDIRECT("'"&amp;L$12&amp;"'!"&amp;$A15)</f>
        <v>0</v>
      </c>
      <c r="M15" s="318">
        <f t="array" aca="1" ref="M15" ca="1">INDIRECT("'"&amp;M$12&amp;"'!"&amp;$A15)</f>
        <v>0</v>
      </c>
      <c r="N15" s="318">
        <f t="array" aca="1" ref="N15" ca="1">INDIRECT("'"&amp;N$12&amp;"'!"&amp;$A15)</f>
        <v>0</v>
      </c>
      <c r="O15" s="319">
        <f ca="1">SUM(C15:N15)</f>
        <v>0</v>
      </c>
    </row>
    <row r="16" spans="1:15" ht="25.35" hidden="1" customHeight="1" x14ac:dyDescent="0.45">
      <c r="A16" s="317" t="s">
        <v>289</v>
      </c>
      <c r="B16" s="324" t="s">
        <v>281</v>
      </c>
      <c r="C16" s="320">
        <f t="array" aca="1" ref="C16" ca="1">INDIRECT("'"&amp;C$12&amp;"'!"&amp;$A16)</f>
        <v>0</v>
      </c>
      <c r="D16" s="320">
        <f t="array" aca="1" ref="D16" ca="1">INDIRECT("'"&amp;D$12&amp;"'!"&amp;$A16)</f>
        <v>0</v>
      </c>
      <c r="E16" s="320">
        <f t="array" aca="1" ref="E16" ca="1">INDIRECT("'"&amp;E$12&amp;"'!"&amp;$A16)</f>
        <v>0</v>
      </c>
      <c r="F16" s="320">
        <f t="array" aca="1" ref="F16" ca="1">INDIRECT("'"&amp;F$12&amp;"'!"&amp;$A16)</f>
        <v>0</v>
      </c>
      <c r="G16" s="320">
        <f t="array" aca="1" ref="G16" ca="1">INDIRECT("'"&amp;G$12&amp;"'!"&amp;$A16)</f>
        <v>0</v>
      </c>
      <c r="H16" s="320">
        <f t="array" aca="1" ref="H16" ca="1">INDIRECT("'"&amp;H$12&amp;"'!"&amp;$A16)</f>
        <v>0</v>
      </c>
      <c r="I16" s="320">
        <f t="array" aca="1" ref="I16" ca="1">INDIRECT("'"&amp;I$12&amp;"'!"&amp;$A16)</f>
        <v>0</v>
      </c>
      <c r="J16" s="320">
        <f t="array" aca="1" ref="J16" ca="1">INDIRECT("'"&amp;J$12&amp;"'!"&amp;$A16)</f>
        <v>0</v>
      </c>
      <c r="K16" s="320">
        <f t="array" aca="1" ref="K16" ca="1">INDIRECT("'"&amp;K$12&amp;"'!"&amp;$A16)</f>
        <v>0</v>
      </c>
      <c r="L16" s="320">
        <f t="array" aca="1" ref="L16" ca="1">INDIRECT("'"&amp;L$12&amp;"'!"&amp;$A16)</f>
        <v>0</v>
      </c>
      <c r="M16" s="320">
        <f t="array" aca="1" ref="M16" ca="1">INDIRECT("'"&amp;M$12&amp;"'!"&amp;$A16)</f>
        <v>0</v>
      </c>
      <c r="N16" s="320">
        <f t="array" aca="1" ref="N16" ca="1">INDIRECT("'"&amp;N$12&amp;"'!"&amp;$A16)</f>
        <v>0</v>
      </c>
      <c r="O16" s="321">
        <f t="shared" ref="O16:O22" ca="1" si="0">SUM(C16:N16)</f>
        <v>0</v>
      </c>
    </row>
    <row r="17" spans="1:15" ht="25.35" hidden="1" customHeight="1" x14ac:dyDescent="0.45">
      <c r="A17" s="317" t="s">
        <v>290</v>
      </c>
      <c r="B17" s="324" t="s">
        <v>158</v>
      </c>
      <c r="C17" s="320">
        <f t="array" aca="1" ref="C17" ca="1">INDIRECT("'"&amp;C$12&amp;"'!"&amp;$A17)</f>
        <v>0</v>
      </c>
      <c r="D17" s="320">
        <f t="array" aca="1" ref="D17" ca="1">INDIRECT("'"&amp;D$12&amp;"'!"&amp;$A17)</f>
        <v>0</v>
      </c>
      <c r="E17" s="320">
        <f t="array" aca="1" ref="E17" ca="1">INDIRECT("'"&amp;E$12&amp;"'!"&amp;$A17)</f>
        <v>0</v>
      </c>
      <c r="F17" s="320">
        <f t="array" aca="1" ref="F17" ca="1">INDIRECT("'"&amp;F$12&amp;"'!"&amp;$A17)</f>
        <v>0</v>
      </c>
      <c r="G17" s="320">
        <f t="array" aca="1" ref="G17" ca="1">INDIRECT("'"&amp;G$12&amp;"'!"&amp;$A17)</f>
        <v>0</v>
      </c>
      <c r="H17" s="320">
        <f t="array" aca="1" ref="H17" ca="1">INDIRECT("'"&amp;H$12&amp;"'!"&amp;$A17)</f>
        <v>0</v>
      </c>
      <c r="I17" s="320">
        <f t="array" aca="1" ref="I17" ca="1">INDIRECT("'"&amp;I$12&amp;"'!"&amp;$A17)</f>
        <v>0</v>
      </c>
      <c r="J17" s="320">
        <f t="array" aca="1" ref="J17" ca="1">INDIRECT("'"&amp;J$12&amp;"'!"&amp;$A17)</f>
        <v>0</v>
      </c>
      <c r="K17" s="320">
        <f t="array" aca="1" ref="K17" ca="1">INDIRECT("'"&amp;K$12&amp;"'!"&amp;$A17)</f>
        <v>0</v>
      </c>
      <c r="L17" s="320">
        <f t="array" aca="1" ref="L17" ca="1">INDIRECT("'"&amp;L$12&amp;"'!"&amp;$A17)</f>
        <v>0</v>
      </c>
      <c r="M17" s="320">
        <f t="array" aca="1" ref="M17" ca="1">INDIRECT("'"&amp;M$12&amp;"'!"&amp;$A17)</f>
        <v>0</v>
      </c>
      <c r="N17" s="320">
        <f t="array" aca="1" ref="N17" ca="1">INDIRECT("'"&amp;N$12&amp;"'!"&amp;$A17)</f>
        <v>0</v>
      </c>
      <c r="O17" s="321">
        <f t="shared" ca="1" si="0"/>
        <v>0</v>
      </c>
    </row>
    <row r="18" spans="1:15" ht="25.35" hidden="1" customHeight="1" x14ac:dyDescent="0.45">
      <c r="A18" s="317" t="s">
        <v>291</v>
      </c>
      <c r="B18" s="324" t="s">
        <v>286</v>
      </c>
      <c r="C18" s="320">
        <f t="array" aca="1" ref="C18" ca="1">INDIRECT("'"&amp;C$12&amp;"'!"&amp;$A18)</f>
        <v>0</v>
      </c>
      <c r="D18" s="320">
        <f t="array" aca="1" ref="D18" ca="1">INDIRECT("'"&amp;D$12&amp;"'!"&amp;$A18)</f>
        <v>0</v>
      </c>
      <c r="E18" s="320">
        <f t="array" aca="1" ref="E18" ca="1">INDIRECT("'"&amp;E$12&amp;"'!"&amp;$A18)</f>
        <v>0</v>
      </c>
      <c r="F18" s="320">
        <f t="array" aca="1" ref="F18" ca="1">INDIRECT("'"&amp;F$12&amp;"'!"&amp;$A18)</f>
        <v>0</v>
      </c>
      <c r="G18" s="320">
        <f t="array" aca="1" ref="G18" ca="1">INDIRECT("'"&amp;G$12&amp;"'!"&amp;$A18)</f>
        <v>0</v>
      </c>
      <c r="H18" s="320">
        <f t="array" aca="1" ref="H18" ca="1">INDIRECT("'"&amp;H$12&amp;"'!"&amp;$A18)</f>
        <v>0</v>
      </c>
      <c r="I18" s="320">
        <f t="array" aca="1" ref="I18" ca="1">INDIRECT("'"&amp;I$12&amp;"'!"&amp;$A18)</f>
        <v>0</v>
      </c>
      <c r="J18" s="320">
        <f t="array" aca="1" ref="J18" ca="1">INDIRECT("'"&amp;J$12&amp;"'!"&amp;$A18)</f>
        <v>0</v>
      </c>
      <c r="K18" s="320">
        <f t="array" aca="1" ref="K18" ca="1">INDIRECT("'"&amp;K$12&amp;"'!"&amp;$A18)</f>
        <v>0</v>
      </c>
      <c r="L18" s="320">
        <f t="array" aca="1" ref="L18" ca="1">INDIRECT("'"&amp;L$12&amp;"'!"&amp;$A18)</f>
        <v>0</v>
      </c>
      <c r="M18" s="320">
        <f t="array" aca="1" ref="M18" ca="1">INDIRECT("'"&amp;M$12&amp;"'!"&amp;$A18)</f>
        <v>0</v>
      </c>
      <c r="N18" s="320">
        <f t="array" aca="1" ref="N18" ca="1">INDIRECT("'"&amp;N$12&amp;"'!"&amp;$A18)</f>
        <v>0</v>
      </c>
      <c r="O18" s="321">
        <f t="shared" ca="1" si="0"/>
        <v>0</v>
      </c>
    </row>
    <row r="19" spans="1:15" ht="25.35" hidden="1" customHeight="1" x14ac:dyDescent="0.45">
      <c r="A19" s="317"/>
      <c r="B19" s="324" t="s">
        <v>287</v>
      </c>
      <c r="C19" s="320">
        <f ca="1">BaoHiem!AD26</f>
        <v>0</v>
      </c>
      <c r="D19" s="320">
        <f ca="1">BaoHiem!AE26</f>
        <v>0</v>
      </c>
      <c r="E19" s="320">
        <f ca="1">BaoHiem!AF26</f>
        <v>0</v>
      </c>
      <c r="F19" s="320">
        <f ca="1">BaoHiem!AG26</f>
        <v>0</v>
      </c>
      <c r="G19" s="320">
        <f ca="1">BaoHiem!AH26</f>
        <v>0</v>
      </c>
      <c r="H19" s="320">
        <f ca="1">BaoHiem!AI26</f>
        <v>0</v>
      </c>
      <c r="I19" s="320">
        <f ca="1">BaoHiem!AJ26</f>
        <v>0</v>
      </c>
      <c r="J19" s="320">
        <f ca="1">BaoHiem!AK26</f>
        <v>0</v>
      </c>
      <c r="K19" s="320">
        <f ca="1">BaoHiem!AL26</f>
        <v>0</v>
      </c>
      <c r="L19" s="320">
        <f ca="1">BaoHiem!AM26</f>
        <v>0</v>
      </c>
      <c r="M19" s="320">
        <f ca="1">BaoHiem!AN26</f>
        <v>0</v>
      </c>
      <c r="N19" s="320">
        <f ca="1">BaoHiem!AO26</f>
        <v>0</v>
      </c>
      <c r="O19" s="321">
        <f t="shared" ca="1" si="0"/>
        <v>0</v>
      </c>
    </row>
    <row r="20" spans="1:15" ht="25.35" hidden="1" customHeight="1" x14ac:dyDescent="0.45">
      <c r="A20" s="317" t="s">
        <v>292</v>
      </c>
      <c r="B20" s="324" t="s">
        <v>283</v>
      </c>
      <c r="C20" s="320">
        <f t="array" aca="1" ref="C20" ca="1">INDIRECT("'"&amp;C$12&amp;"'!"&amp;$A20)</f>
        <v>0</v>
      </c>
      <c r="D20" s="320">
        <f t="array" aca="1" ref="D20" ca="1">INDIRECT("'"&amp;D$12&amp;"'!"&amp;$A20)</f>
        <v>0</v>
      </c>
      <c r="E20" s="320">
        <f t="array" aca="1" ref="E20" ca="1">INDIRECT("'"&amp;E$12&amp;"'!"&amp;$A20)</f>
        <v>0</v>
      </c>
      <c r="F20" s="320">
        <f t="array" aca="1" ref="F20" ca="1">INDIRECT("'"&amp;F$12&amp;"'!"&amp;$A20)</f>
        <v>0</v>
      </c>
      <c r="G20" s="320">
        <f t="array" aca="1" ref="G20" ca="1">INDIRECT("'"&amp;G$12&amp;"'!"&amp;$A20)</f>
        <v>0</v>
      </c>
      <c r="H20" s="320">
        <f t="array" aca="1" ref="H20" ca="1">INDIRECT("'"&amp;H$12&amp;"'!"&amp;$A20)</f>
        <v>0</v>
      </c>
      <c r="I20" s="320">
        <f t="array" aca="1" ref="I20" ca="1">INDIRECT("'"&amp;I$12&amp;"'!"&amp;$A20)</f>
        <v>0</v>
      </c>
      <c r="J20" s="320">
        <f t="array" aca="1" ref="J20" ca="1">INDIRECT("'"&amp;J$12&amp;"'!"&amp;$A20)</f>
        <v>0</v>
      </c>
      <c r="K20" s="320">
        <f t="array" aca="1" ref="K20" ca="1">INDIRECT("'"&amp;K$12&amp;"'!"&amp;$A20)</f>
        <v>0</v>
      </c>
      <c r="L20" s="320">
        <f t="array" aca="1" ref="L20" ca="1">INDIRECT("'"&amp;L$12&amp;"'!"&amp;$A20)</f>
        <v>0</v>
      </c>
      <c r="M20" s="320">
        <f t="array" aca="1" ref="M20" ca="1">INDIRECT("'"&amp;M$12&amp;"'!"&amp;$A20)</f>
        <v>0</v>
      </c>
      <c r="N20" s="320">
        <f t="array" aca="1" ref="N20" ca="1">INDIRECT("'"&amp;N$12&amp;"'!"&amp;$A20)</f>
        <v>0</v>
      </c>
      <c r="O20" s="321">
        <f t="shared" ca="1" si="0"/>
        <v>0</v>
      </c>
    </row>
    <row r="21" spans="1:15" ht="25.35" hidden="1" customHeight="1" x14ac:dyDescent="0.45">
      <c r="A21" s="317" t="s">
        <v>293</v>
      </c>
      <c r="B21" s="324" t="s">
        <v>284</v>
      </c>
      <c r="C21" s="320">
        <f t="array" aca="1" ref="C21" ca="1">INDIRECT("'"&amp;C$12&amp;"'!"&amp;$A21)</f>
        <v>0</v>
      </c>
      <c r="D21" s="320">
        <f t="array" aca="1" ref="D21" ca="1">INDIRECT("'"&amp;D$12&amp;"'!"&amp;$A21)</f>
        <v>0</v>
      </c>
      <c r="E21" s="320">
        <f t="array" aca="1" ref="E21" ca="1">INDIRECT("'"&amp;E$12&amp;"'!"&amp;$A21)</f>
        <v>0</v>
      </c>
      <c r="F21" s="320">
        <f t="array" aca="1" ref="F21" ca="1">INDIRECT("'"&amp;F$12&amp;"'!"&amp;$A21)</f>
        <v>0</v>
      </c>
      <c r="G21" s="320">
        <f t="array" aca="1" ref="G21" ca="1">INDIRECT("'"&amp;G$12&amp;"'!"&amp;$A21)</f>
        <v>0</v>
      </c>
      <c r="H21" s="320">
        <f t="array" aca="1" ref="H21" ca="1">INDIRECT("'"&amp;H$12&amp;"'!"&amp;$A21)</f>
        <v>0</v>
      </c>
      <c r="I21" s="320">
        <f t="array" aca="1" ref="I21" ca="1">INDIRECT("'"&amp;I$12&amp;"'!"&amp;$A21)</f>
        <v>0</v>
      </c>
      <c r="J21" s="320">
        <f t="array" aca="1" ref="J21" ca="1">INDIRECT("'"&amp;J$12&amp;"'!"&amp;$A21)</f>
        <v>0</v>
      </c>
      <c r="K21" s="320">
        <f t="array" aca="1" ref="K21" ca="1">INDIRECT("'"&amp;K$12&amp;"'!"&amp;$A21)</f>
        <v>0</v>
      </c>
      <c r="L21" s="320">
        <f t="array" aca="1" ref="L21" ca="1">INDIRECT("'"&amp;L$12&amp;"'!"&amp;$A21)</f>
        <v>0</v>
      </c>
      <c r="M21" s="320">
        <f t="array" aca="1" ref="M21" ca="1">INDIRECT("'"&amp;M$12&amp;"'!"&amp;$A21)</f>
        <v>0</v>
      </c>
      <c r="N21" s="320">
        <f t="array" aca="1" ref="N21" ca="1">INDIRECT("'"&amp;N$12&amp;"'!"&amp;$A21)</f>
        <v>0</v>
      </c>
      <c r="O21" s="321">
        <f t="shared" ca="1" si="0"/>
        <v>0</v>
      </c>
    </row>
    <row r="22" spans="1:15" ht="25.35" hidden="1" customHeight="1" x14ac:dyDescent="0.45">
      <c r="A22" s="317" t="s">
        <v>294</v>
      </c>
      <c r="B22" s="324" t="s">
        <v>285</v>
      </c>
      <c r="C22" s="320">
        <f t="array" aca="1" ref="C22" ca="1">INDIRECT("'"&amp;C$12&amp;"'!"&amp;$A22)</f>
        <v>0</v>
      </c>
      <c r="D22" s="320">
        <f t="array" aca="1" ref="D22" ca="1">INDIRECT("'"&amp;D$12&amp;"'!"&amp;$A22)</f>
        <v>0</v>
      </c>
      <c r="E22" s="320">
        <f t="array" aca="1" ref="E22" ca="1">INDIRECT("'"&amp;E$12&amp;"'!"&amp;$A22)</f>
        <v>0</v>
      </c>
      <c r="F22" s="320">
        <f t="array" aca="1" ref="F22" ca="1">INDIRECT("'"&amp;F$12&amp;"'!"&amp;$A22)</f>
        <v>0</v>
      </c>
      <c r="G22" s="320">
        <f t="array" aca="1" ref="G22" ca="1">INDIRECT("'"&amp;G$12&amp;"'!"&amp;$A22)</f>
        <v>0</v>
      </c>
      <c r="H22" s="320">
        <f t="array" aca="1" ref="H22" ca="1">INDIRECT("'"&amp;H$12&amp;"'!"&amp;$A22)</f>
        <v>0</v>
      </c>
      <c r="I22" s="320">
        <f t="array" aca="1" ref="I22" ca="1">INDIRECT("'"&amp;I$12&amp;"'!"&amp;$A22)</f>
        <v>0</v>
      </c>
      <c r="J22" s="320">
        <f t="array" aca="1" ref="J22" ca="1">INDIRECT("'"&amp;J$12&amp;"'!"&amp;$A22)</f>
        <v>0</v>
      </c>
      <c r="K22" s="320">
        <f t="array" aca="1" ref="K22" ca="1">INDIRECT("'"&amp;K$12&amp;"'!"&amp;$A22)</f>
        <v>0</v>
      </c>
      <c r="L22" s="320">
        <f t="array" aca="1" ref="L22" ca="1">INDIRECT("'"&amp;L$12&amp;"'!"&amp;$A22)</f>
        <v>0</v>
      </c>
      <c r="M22" s="320">
        <f t="array" aca="1" ref="M22" ca="1">INDIRECT("'"&amp;M$12&amp;"'!"&amp;$A22)</f>
        <v>0</v>
      </c>
      <c r="N22" s="320">
        <f t="array" aca="1" ref="N22" ca="1">INDIRECT("'"&amp;N$12&amp;"'!"&amp;$A22)</f>
        <v>0</v>
      </c>
      <c r="O22" s="321">
        <f t="shared" ca="1" si="0"/>
        <v>0</v>
      </c>
    </row>
    <row r="25" spans="1:15" x14ac:dyDescent="0.45">
      <c r="C25" s="3">
        <v>0</v>
      </c>
    </row>
    <row r="26" spans="1:15" ht="27" customHeight="1" x14ac:dyDescent="0.45">
      <c r="B26" s="150"/>
      <c r="C26" s="315">
        <f ca="1">OFFSET(C12,0,$C$25)</f>
        <v>1</v>
      </c>
      <c r="D26" s="315">
        <f t="shared" ref="D26:O26" ca="1" si="1">OFFSET(D12,0,$C$25)</f>
        <v>2</v>
      </c>
      <c r="E26" s="315">
        <f t="shared" ca="1" si="1"/>
        <v>3</v>
      </c>
      <c r="F26" s="315">
        <f t="shared" ca="1" si="1"/>
        <v>4</v>
      </c>
      <c r="G26" s="315">
        <f t="shared" ca="1" si="1"/>
        <v>5</v>
      </c>
      <c r="H26" s="315">
        <f t="shared" ca="1" si="1"/>
        <v>6</v>
      </c>
      <c r="I26" s="315">
        <f t="shared" ca="1" si="1"/>
        <v>7</v>
      </c>
      <c r="J26" s="315">
        <f t="shared" ca="1" si="1"/>
        <v>8</v>
      </c>
      <c r="K26" s="315">
        <f t="shared" ca="1" si="1"/>
        <v>9</v>
      </c>
      <c r="L26" s="315">
        <f t="shared" ca="1" si="1"/>
        <v>10</v>
      </c>
      <c r="M26" s="315">
        <f t="shared" ca="1" si="1"/>
        <v>11</v>
      </c>
      <c r="N26" s="315">
        <f t="shared" ca="1" si="1"/>
        <v>12</v>
      </c>
      <c r="O26" s="315" t="str">
        <f t="shared" ca="1" si="1"/>
        <v>Tổng cộng</v>
      </c>
    </row>
    <row r="27" spans="1:15" x14ac:dyDescent="0.45">
      <c r="B27" s="314"/>
      <c r="C27" s="314">
        <f t="shared" ref="C27:O27" ca="1" si="2">OFFSET(C13,0,$C$25)</f>
        <v>0</v>
      </c>
      <c r="D27" s="314">
        <f t="shared" ca="1" si="2"/>
        <v>0</v>
      </c>
      <c r="E27" s="314">
        <f t="shared" ca="1" si="2"/>
        <v>0</v>
      </c>
      <c r="F27" s="314">
        <f t="shared" ca="1" si="2"/>
        <v>0</v>
      </c>
      <c r="G27" s="314">
        <f t="shared" ca="1" si="2"/>
        <v>0</v>
      </c>
      <c r="H27" s="314">
        <f t="shared" ca="1" si="2"/>
        <v>0</v>
      </c>
      <c r="I27" s="314">
        <f t="shared" ca="1" si="2"/>
        <v>0</v>
      </c>
      <c r="J27" s="314">
        <f t="shared" ca="1" si="2"/>
        <v>0</v>
      </c>
      <c r="K27" s="314">
        <f t="shared" ca="1" si="2"/>
        <v>0</v>
      </c>
      <c r="L27" s="314">
        <f t="shared" ca="1" si="2"/>
        <v>0</v>
      </c>
      <c r="M27" s="314">
        <f t="shared" ca="1" si="2"/>
        <v>0</v>
      </c>
      <c r="N27" s="314">
        <f t="shared" ca="1" si="2"/>
        <v>0</v>
      </c>
      <c r="O27" s="316">
        <f t="shared" ca="1" si="2"/>
        <v>0</v>
      </c>
    </row>
    <row r="28" spans="1:15" x14ac:dyDescent="0.45">
      <c r="B28" s="322" t="s">
        <v>282</v>
      </c>
      <c r="C28" s="318">
        <f t="shared" ref="C28:O28" ca="1" si="3">OFFSET(C14,0,$C$25)</f>
        <v>0</v>
      </c>
      <c r="D28" s="318">
        <f t="shared" ca="1" si="3"/>
        <v>0</v>
      </c>
      <c r="E28" s="318">
        <f t="shared" ca="1" si="3"/>
        <v>0</v>
      </c>
      <c r="F28" s="318">
        <f t="shared" ca="1" si="3"/>
        <v>0</v>
      </c>
      <c r="G28" s="318">
        <f t="shared" ca="1" si="3"/>
        <v>0</v>
      </c>
      <c r="H28" s="318">
        <f t="shared" ca="1" si="3"/>
        <v>0</v>
      </c>
      <c r="I28" s="318">
        <f t="shared" ca="1" si="3"/>
        <v>0</v>
      </c>
      <c r="J28" s="318">
        <f t="shared" ca="1" si="3"/>
        <v>0</v>
      </c>
      <c r="K28" s="318">
        <f t="shared" ca="1" si="3"/>
        <v>0</v>
      </c>
      <c r="L28" s="318">
        <f t="shared" ca="1" si="3"/>
        <v>0</v>
      </c>
      <c r="M28" s="318">
        <f t="shared" ca="1" si="3"/>
        <v>0</v>
      </c>
      <c r="N28" s="318">
        <f t="shared" ca="1" si="3"/>
        <v>0</v>
      </c>
      <c r="O28" s="319">
        <f t="shared" ca="1" si="3"/>
        <v>0</v>
      </c>
    </row>
    <row r="29" spans="1:15" x14ac:dyDescent="0.45">
      <c r="B29" s="323" t="s">
        <v>297</v>
      </c>
      <c r="C29" s="318">
        <f t="shared" ref="C29:O29" ca="1" si="4">OFFSET(C15,0,$C$25)</f>
        <v>0</v>
      </c>
      <c r="D29" s="318">
        <f t="shared" ca="1" si="4"/>
        <v>0</v>
      </c>
      <c r="E29" s="318">
        <f t="shared" ca="1" si="4"/>
        <v>0</v>
      </c>
      <c r="F29" s="318">
        <f t="shared" ca="1" si="4"/>
        <v>0</v>
      </c>
      <c r="G29" s="318">
        <f t="shared" ca="1" si="4"/>
        <v>0</v>
      </c>
      <c r="H29" s="318">
        <f t="shared" ca="1" si="4"/>
        <v>0</v>
      </c>
      <c r="I29" s="318">
        <f t="shared" ca="1" si="4"/>
        <v>0</v>
      </c>
      <c r="J29" s="318">
        <f t="shared" ca="1" si="4"/>
        <v>0</v>
      </c>
      <c r="K29" s="318">
        <f t="shared" ca="1" si="4"/>
        <v>0</v>
      </c>
      <c r="L29" s="318">
        <f t="shared" ca="1" si="4"/>
        <v>0</v>
      </c>
      <c r="M29" s="318">
        <f t="shared" ca="1" si="4"/>
        <v>0</v>
      </c>
      <c r="N29" s="318">
        <f t="shared" ca="1" si="4"/>
        <v>0</v>
      </c>
      <c r="O29" s="319">
        <f t="shared" ca="1" si="4"/>
        <v>0</v>
      </c>
    </row>
    <row r="30" spans="1:15" x14ac:dyDescent="0.45">
      <c r="B30" s="324" t="s">
        <v>281</v>
      </c>
      <c r="C30" s="320">
        <f t="shared" ref="C30:O30" ca="1" si="5">OFFSET(C16,0,$C$25)</f>
        <v>0</v>
      </c>
      <c r="D30" s="320">
        <f t="shared" ca="1" si="5"/>
        <v>0</v>
      </c>
      <c r="E30" s="320">
        <f t="shared" ca="1" si="5"/>
        <v>0</v>
      </c>
      <c r="F30" s="320">
        <f t="shared" ca="1" si="5"/>
        <v>0</v>
      </c>
      <c r="G30" s="320">
        <f t="shared" ca="1" si="5"/>
        <v>0</v>
      </c>
      <c r="H30" s="320">
        <f t="shared" ca="1" si="5"/>
        <v>0</v>
      </c>
      <c r="I30" s="320">
        <f t="shared" ca="1" si="5"/>
        <v>0</v>
      </c>
      <c r="J30" s="320">
        <f t="shared" ca="1" si="5"/>
        <v>0</v>
      </c>
      <c r="K30" s="320">
        <f t="shared" ca="1" si="5"/>
        <v>0</v>
      </c>
      <c r="L30" s="320">
        <f t="shared" ca="1" si="5"/>
        <v>0</v>
      </c>
      <c r="M30" s="320">
        <f t="shared" ca="1" si="5"/>
        <v>0</v>
      </c>
      <c r="N30" s="320">
        <f t="shared" ca="1" si="5"/>
        <v>0</v>
      </c>
      <c r="O30" s="321">
        <f t="shared" ca="1" si="5"/>
        <v>0</v>
      </c>
    </row>
    <row r="31" spans="1:15" x14ac:dyDescent="0.45">
      <c r="B31" s="324" t="s">
        <v>158</v>
      </c>
      <c r="C31" s="320">
        <f t="shared" ref="C31:O31" ca="1" si="6">OFFSET(C17,0,$C$25)</f>
        <v>0</v>
      </c>
      <c r="D31" s="320">
        <f t="shared" ca="1" si="6"/>
        <v>0</v>
      </c>
      <c r="E31" s="320">
        <f t="shared" ca="1" si="6"/>
        <v>0</v>
      </c>
      <c r="F31" s="320">
        <f t="shared" ca="1" si="6"/>
        <v>0</v>
      </c>
      <c r="G31" s="320">
        <f t="shared" ca="1" si="6"/>
        <v>0</v>
      </c>
      <c r="H31" s="320">
        <f t="shared" ca="1" si="6"/>
        <v>0</v>
      </c>
      <c r="I31" s="320">
        <f t="shared" ca="1" si="6"/>
        <v>0</v>
      </c>
      <c r="J31" s="320">
        <f t="shared" ca="1" si="6"/>
        <v>0</v>
      </c>
      <c r="K31" s="320">
        <f t="shared" ca="1" si="6"/>
        <v>0</v>
      </c>
      <c r="L31" s="320">
        <f t="shared" ca="1" si="6"/>
        <v>0</v>
      </c>
      <c r="M31" s="320">
        <f t="shared" ca="1" si="6"/>
        <v>0</v>
      </c>
      <c r="N31" s="320">
        <f t="shared" ca="1" si="6"/>
        <v>0</v>
      </c>
      <c r="O31" s="321">
        <f t="shared" ca="1" si="6"/>
        <v>0</v>
      </c>
    </row>
    <row r="32" spans="1:15" x14ac:dyDescent="0.45">
      <c r="B32" s="324" t="s">
        <v>286</v>
      </c>
      <c r="C32" s="320">
        <f t="shared" ref="C32:O32" ca="1" si="7">OFFSET(C18,0,$C$25)</f>
        <v>0</v>
      </c>
      <c r="D32" s="320">
        <f t="shared" ca="1" si="7"/>
        <v>0</v>
      </c>
      <c r="E32" s="320">
        <f t="shared" ca="1" si="7"/>
        <v>0</v>
      </c>
      <c r="F32" s="320">
        <f t="shared" ca="1" si="7"/>
        <v>0</v>
      </c>
      <c r="G32" s="320">
        <f t="shared" ca="1" si="7"/>
        <v>0</v>
      </c>
      <c r="H32" s="320">
        <f t="shared" ca="1" si="7"/>
        <v>0</v>
      </c>
      <c r="I32" s="320">
        <f t="shared" ca="1" si="7"/>
        <v>0</v>
      </c>
      <c r="J32" s="320">
        <f t="shared" ca="1" si="7"/>
        <v>0</v>
      </c>
      <c r="K32" s="320">
        <f t="shared" ca="1" si="7"/>
        <v>0</v>
      </c>
      <c r="L32" s="320">
        <f t="shared" ca="1" si="7"/>
        <v>0</v>
      </c>
      <c r="M32" s="320">
        <f t="shared" ca="1" si="7"/>
        <v>0</v>
      </c>
      <c r="N32" s="320">
        <f t="shared" ca="1" si="7"/>
        <v>0</v>
      </c>
      <c r="O32" s="321">
        <f t="shared" ca="1" si="7"/>
        <v>0</v>
      </c>
    </row>
    <row r="33" spans="2:15" x14ac:dyDescent="0.45">
      <c r="B33" s="324" t="s">
        <v>287</v>
      </c>
      <c r="C33" s="320">
        <f t="shared" ref="C33:O33" ca="1" si="8">OFFSET(C19,0,$C$25)</f>
        <v>0</v>
      </c>
      <c r="D33" s="320">
        <f t="shared" ca="1" si="8"/>
        <v>0</v>
      </c>
      <c r="E33" s="320">
        <f t="shared" ca="1" si="8"/>
        <v>0</v>
      </c>
      <c r="F33" s="320">
        <f t="shared" ca="1" si="8"/>
        <v>0</v>
      </c>
      <c r="G33" s="320">
        <f t="shared" ca="1" si="8"/>
        <v>0</v>
      </c>
      <c r="H33" s="320">
        <f t="shared" ca="1" si="8"/>
        <v>0</v>
      </c>
      <c r="I33" s="320">
        <f t="shared" ca="1" si="8"/>
        <v>0</v>
      </c>
      <c r="J33" s="320">
        <f t="shared" ca="1" si="8"/>
        <v>0</v>
      </c>
      <c r="K33" s="320">
        <f t="shared" ca="1" si="8"/>
        <v>0</v>
      </c>
      <c r="L33" s="320">
        <f t="shared" ca="1" si="8"/>
        <v>0</v>
      </c>
      <c r="M33" s="320">
        <f t="shared" ca="1" si="8"/>
        <v>0</v>
      </c>
      <c r="N33" s="320">
        <f t="shared" ca="1" si="8"/>
        <v>0</v>
      </c>
      <c r="O33" s="321">
        <f t="shared" ca="1" si="8"/>
        <v>0</v>
      </c>
    </row>
    <row r="34" spans="2:15" x14ac:dyDescent="0.45">
      <c r="B34" s="324" t="s">
        <v>283</v>
      </c>
      <c r="C34" s="320">
        <f t="shared" ref="C34:O34" ca="1" si="9">OFFSET(C20,0,$C$25)</f>
        <v>0</v>
      </c>
      <c r="D34" s="320">
        <f t="shared" ca="1" si="9"/>
        <v>0</v>
      </c>
      <c r="E34" s="320">
        <f t="shared" ca="1" si="9"/>
        <v>0</v>
      </c>
      <c r="F34" s="320">
        <f t="shared" ca="1" si="9"/>
        <v>0</v>
      </c>
      <c r="G34" s="320">
        <f t="shared" ca="1" si="9"/>
        <v>0</v>
      </c>
      <c r="H34" s="320">
        <f t="shared" ca="1" si="9"/>
        <v>0</v>
      </c>
      <c r="I34" s="320">
        <f t="shared" ca="1" si="9"/>
        <v>0</v>
      </c>
      <c r="J34" s="320">
        <f t="shared" ca="1" si="9"/>
        <v>0</v>
      </c>
      <c r="K34" s="320">
        <f t="shared" ca="1" si="9"/>
        <v>0</v>
      </c>
      <c r="L34" s="320">
        <f t="shared" ca="1" si="9"/>
        <v>0</v>
      </c>
      <c r="M34" s="320">
        <f t="shared" ca="1" si="9"/>
        <v>0</v>
      </c>
      <c r="N34" s="320">
        <f t="shared" ca="1" si="9"/>
        <v>0</v>
      </c>
      <c r="O34" s="321">
        <f t="shared" ca="1" si="9"/>
        <v>0</v>
      </c>
    </row>
    <row r="35" spans="2:15" x14ac:dyDescent="0.45">
      <c r="B35" s="324" t="s">
        <v>284</v>
      </c>
      <c r="C35" s="320">
        <f t="shared" ref="C35:O35" ca="1" si="10">OFFSET(C21,0,$C$25)</f>
        <v>0</v>
      </c>
      <c r="D35" s="320">
        <f t="shared" ca="1" si="10"/>
        <v>0</v>
      </c>
      <c r="E35" s="320">
        <f t="shared" ca="1" si="10"/>
        <v>0</v>
      </c>
      <c r="F35" s="320">
        <f t="shared" ca="1" si="10"/>
        <v>0</v>
      </c>
      <c r="G35" s="320">
        <f t="shared" ca="1" si="10"/>
        <v>0</v>
      </c>
      <c r="H35" s="320">
        <f t="shared" ca="1" si="10"/>
        <v>0</v>
      </c>
      <c r="I35" s="320">
        <f t="shared" ca="1" si="10"/>
        <v>0</v>
      </c>
      <c r="J35" s="320">
        <f t="shared" ca="1" si="10"/>
        <v>0</v>
      </c>
      <c r="K35" s="320">
        <f t="shared" ca="1" si="10"/>
        <v>0</v>
      </c>
      <c r="L35" s="320">
        <f t="shared" ca="1" si="10"/>
        <v>0</v>
      </c>
      <c r="M35" s="320">
        <f t="shared" ca="1" si="10"/>
        <v>0</v>
      </c>
      <c r="N35" s="320">
        <f t="shared" ca="1" si="10"/>
        <v>0</v>
      </c>
      <c r="O35" s="321">
        <f t="shared" ca="1" si="10"/>
        <v>0</v>
      </c>
    </row>
    <row r="36" spans="2:15" x14ac:dyDescent="0.45">
      <c r="B36" s="324" t="s">
        <v>285</v>
      </c>
      <c r="C36" s="320">
        <f t="shared" ref="C36:O36" ca="1" si="11">OFFSET(C22,0,$C$25)</f>
        <v>0</v>
      </c>
      <c r="D36" s="320">
        <f t="shared" ca="1" si="11"/>
        <v>0</v>
      </c>
      <c r="E36" s="320">
        <f t="shared" ca="1" si="11"/>
        <v>0</v>
      </c>
      <c r="F36" s="320">
        <f t="shared" ca="1" si="11"/>
        <v>0</v>
      </c>
      <c r="G36" s="320">
        <f t="shared" ca="1" si="11"/>
        <v>0</v>
      </c>
      <c r="H36" s="320">
        <f t="shared" ca="1" si="11"/>
        <v>0</v>
      </c>
      <c r="I36" s="320">
        <f t="shared" ca="1" si="11"/>
        <v>0</v>
      </c>
      <c r="J36" s="320">
        <f t="shared" ca="1" si="11"/>
        <v>0</v>
      </c>
      <c r="K36" s="320">
        <f t="shared" ca="1" si="11"/>
        <v>0</v>
      </c>
      <c r="L36" s="320">
        <f t="shared" ca="1" si="11"/>
        <v>0</v>
      </c>
      <c r="M36" s="320">
        <f t="shared" ca="1" si="11"/>
        <v>0</v>
      </c>
      <c r="N36" s="320">
        <f t="shared" ca="1" si="11"/>
        <v>0</v>
      </c>
      <c r="O36" s="321">
        <f t="shared" ca="1" si="11"/>
        <v>0</v>
      </c>
    </row>
  </sheetData>
  <conditionalFormatting sqref="C26:O36">
    <cfRule type="expression" dxfId="12" priority="1">
      <formula>C$26=0</formula>
    </cfRule>
  </conditionalFormatting>
  <pageMargins left="0.7" right="0.7" top="0.75" bottom="0.75" header="0.3" footer="0.3"/>
  <pageSetup paperSize="9" orientation="portrait" verticalDpi="0" r:id="rId1"/>
  <ignoredErrors>
    <ignoredError sqref="C19:N19"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31746" r:id="rId4" name="Scroll Bar 2">
              <controlPr defaultSize="0" autoPict="0">
                <anchor moveWithCells="1">
                  <from>
                    <xdr:col>0</xdr:col>
                    <xdr:colOff>0</xdr:colOff>
                    <xdr:row>25</xdr:row>
                    <xdr:rowOff>19050</xdr:rowOff>
                  </from>
                  <to>
                    <xdr:col>1</xdr:col>
                    <xdr:colOff>1047750</xdr:colOff>
                    <xdr:row>25</xdr:row>
                    <xdr:rowOff>323850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4">
    <tabColor theme="5" tint="-0.249977111117893"/>
  </sheetPr>
  <dimension ref="B1:Y38"/>
  <sheetViews>
    <sheetView showGridLines="0" workbookViewId="0">
      <selection activeCell="I14" sqref="I14"/>
    </sheetView>
  </sheetViews>
  <sheetFormatPr defaultColWidth="9.265625" defaultRowHeight="14.25" x14ac:dyDescent="0.45"/>
  <cols>
    <col min="1" max="1" width="20.265625" style="3" customWidth="1"/>
    <col min="2" max="2" width="1.265625" style="3" customWidth="1"/>
    <col min="3" max="3" width="44.86328125" style="3" bestFit="1" customWidth="1"/>
    <col min="4" max="4" width="12.59765625" style="3" customWidth="1"/>
    <col min="5" max="5" width="9" style="3" customWidth="1"/>
    <col min="6" max="6" width="13.73046875" style="3" customWidth="1"/>
    <col min="7" max="7" width="1.265625" style="3" customWidth="1"/>
    <col min="8" max="8" width="6.265625" style="3" customWidth="1"/>
    <col min="9" max="9" width="15.59765625" style="3" customWidth="1"/>
    <col min="10" max="10" width="10.1328125" style="127" customWidth="1"/>
    <col min="11" max="11" width="44.59765625" style="3" customWidth="1"/>
    <col min="12" max="12" width="7.86328125" style="5" customWidth="1"/>
    <col min="13" max="24" width="12.59765625" style="3" customWidth="1"/>
    <col min="25" max="25" width="21.73046875" style="3" customWidth="1"/>
    <col min="26" max="16384" width="9.265625" style="3"/>
  </cols>
  <sheetData>
    <row r="1" spans="2:25" ht="29.85" customHeight="1" thickBot="1" x14ac:dyDescent="0.5">
      <c r="C1" s="350" t="s">
        <v>302</v>
      </c>
      <c r="D1" s="349" t="s">
        <v>303</v>
      </c>
      <c r="E1" s="204" t="s">
        <v>305</v>
      </c>
      <c r="F1" s="127"/>
      <c r="H1" s="5"/>
      <c r="I1" s="5"/>
      <c r="J1" s="531"/>
      <c r="K1" s="5" t="s">
        <v>305</v>
      </c>
      <c r="M1" s="5" t="s">
        <v>159</v>
      </c>
      <c r="N1" s="5" t="s">
        <v>159</v>
      </c>
      <c r="O1" s="5" t="s">
        <v>159</v>
      </c>
      <c r="P1" s="5" t="s">
        <v>160</v>
      </c>
      <c r="Q1" s="5" t="s">
        <v>160</v>
      </c>
      <c r="R1" s="5" t="s">
        <v>160</v>
      </c>
      <c r="S1" s="5" t="s">
        <v>161</v>
      </c>
      <c r="T1" s="5" t="s">
        <v>161</v>
      </c>
      <c r="U1" s="5" t="s">
        <v>161</v>
      </c>
      <c r="V1" s="5" t="s">
        <v>162</v>
      </c>
      <c r="W1" s="5" t="s">
        <v>162</v>
      </c>
      <c r="X1" s="5" t="s">
        <v>162</v>
      </c>
    </row>
    <row r="2" spans="2:25" ht="21" hidden="1" customHeight="1" thickTop="1" thickBot="1" x14ac:dyDescent="0.5">
      <c r="C2" s="350"/>
      <c r="D2" s="349"/>
      <c r="E2" s="204"/>
      <c r="F2" s="127"/>
      <c r="H2" s="5"/>
      <c r="I2" s="5"/>
      <c r="J2" s="531"/>
      <c r="K2" s="5"/>
      <c r="M2" s="5"/>
      <c r="N2" s="5"/>
      <c r="O2" s="5"/>
      <c r="P2" s="5"/>
      <c r="Q2" s="5"/>
      <c r="R2" s="5"/>
      <c r="S2" s="5"/>
      <c r="T2" s="5"/>
      <c r="U2" s="5"/>
      <c r="V2" s="5"/>
      <c r="W2" s="5"/>
      <c r="X2" s="5"/>
    </row>
    <row r="3" spans="2:25" ht="21" hidden="1" customHeight="1" thickTop="1" thickBot="1" x14ac:dyDescent="0.5">
      <c r="C3" s="350"/>
      <c r="D3" s="349"/>
      <c r="E3" s="204"/>
      <c r="F3" s="127"/>
      <c r="H3" s="5"/>
      <c r="I3" s="5"/>
      <c r="J3" s="531"/>
      <c r="K3" s="5"/>
      <c r="M3" s="5"/>
      <c r="N3" s="5"/>
      <c r="O3" s="5"/>
      <c r="P3" s="5"/>
      <c r="Q3" s="5"/>
      <c r="R3" s="5"/>
      <c r="S3" s="5"/>
      <c r="T3" s="5"/>
      <c r="U3" s="5"/>
      <c r="V3" s="5"/>
      <c r="W3" s="5"/>
      <c r="X3" s="5"/>
    </row>
    <row r="4" spans="2:25" ht="16.149999999999999" customHeight="1" thickTop="1" x14ac:dyDescent="0.45">
      <c r="C4" s="150"/>
      <c r="D4" s="349" t="s">
        <v>304</v>
      </c>
      <c r="E4" s="204">
        <v>3</v>
      </c>
      <c r="F4" s="45"/>
      <c r="H4" s="5"/>
      <c r="I4" s="5"/>
      <c r="J4" s="531"/>
      <c r="K4" s="5" t="s">
        <v>306</v>
      </c>
      <c r="M4" s="5">
        <f>COLUMNS($H$5:M5)</f>
        <v>6</v>
      </c>
      <c r="N4" s="5">
        <f>COLUMNS($H$5:N5)</f>
        <v>7</v>
      </c>
      <c r="O4" s="5">
        <f>COLUMNS($H$5:O5)</f>
        <v>8</v>
      </c>
      <c r="P4" s="5">
        <f>COLUMNS($H$5:P5)</f>
        <v>9</v>
      </c>
      <c r="Q4" s="5">
        <f>COLUMNS($H$5:Q5)</f>
        <v>10</v>
      </c>
      <c r="R4" s="5">
        <f>COLUMNS($H$5:R5)</f>
        <v>11</v>
      </c>
      <c r="S4" s="5">
        <f>COLUMNS($H$5:S5)</f>
        <v>12</v>
      </c>
      <c r="T4" s="5">
        <f>COLUMNS($H$5:T5)</f>
        <v>13</v>
      </c>
      <c r="U4" s="5">
        <f>COLUMNS($H$5:U5)</f>
        <v>14</v>
      </c>
      <c r="V4" s="5">
        <f>COLUMNS($H$5:V5)</f>
        <v>15</v>
      </c>
      <c r="W4" s="5">
        <f>COLUMNS($H$5:W5)</f>
        <v>16</v>
      </c>
      <c r="X4" s="5">
        <f>COLUMNS($H$5:X5)</f>
        <v>17</v>
      </c>
    </row>
    <row r="5" spans="2:25" ht="7.15" customHeight="1" thickBot="1" x14ac:dyDescent="0.5">
      <c r="B5" s="298"/>
      <c r="C5" s="298"/>
      <c r="D5" s="298"/>
      <c r="E5" s="298"/>
      <c r="F5" s="298"/>
      <c r="G5" s="298"/>
      <c r="H5" s="5"/>
      <c r="I5" s="5"/>
      <c r="J5" s="531"/>
      <c r="M5" s="5"/>
      <c r="N5" s="5"/>
      <c r="O5" s="5"/>
      <c r="P5" s="5"/>
      <c r="Q5" s="5"/>
      <c r="R5" s="5"/>
      <c r="S5" s="5"/>
      <c r="T5" s="5"/>
      <c r="U5" s="5"/>
      <c r="V5" s="5"/>
      <c r="W5" s="5"/>
      <c r="X5" s="5"/>
    </row>
    <row r="6" spans="2:25" s="118" customFormat="1" ht="31.9" customHeight="1" thickBot="1" x14ac:dyDescent="0.5">
      <c r="B6" s="299"/>
      <c r="C6" s="374" t="s">
        <v>276</v>
      </c>
      <c r="D6" s="374" t="s">
        <v>277</v>
      </c>
      <c r="E6" s="374" t="s">
        <v>278</v>
      </c>
      <c r="F6" s="374" t="s">
        <v>240</v>
      </c>
      <c r="G6" s="299"/>
      <c r="I6" s="528" t="s">
        <v>353</v>
      </c>
      <c r="J6" s="532">
        <f>MAX(J7:J20)</f>
        <v>0</v>
      </c>
      <c r="K6" s="526"/>
      <c r="L6" s="527" t="s">
        <v>352</v>
      </c>
      <c r="M6" s="523">
        <v>1</v>
      </c>
      <c r="N6" s="524">
        <v>2</v>
      </c>
      <c r="O6" s="524">
        <v>3</v>
      </c>
      <c r="P6" s="524">
        <v>4</v>
      </c>
      <c r="Q6" s="524">
        <v>5</v>
      </c>
      <c r="R6" s="524">
        <v>6</v>
      </c>
      <c r="S6" s="524">
        <v>7</v>
      </c>
      <c r="T6" s="524">
        <v>8</v>
      </c>
      <c r="U6" s="524">
        <v>9</v>
      </c>
      <c r="V6" s="524">
        <v>10</v>
      </c>
      <c r="W6" s="524">
        <v>11</v>
      </c>
      <c r="X6" s="525">
        <v>12</v>
      </c>
      <c r="Y6" s="3"/>
    </row>
    <row r="7" spans="2:25" ht="19.149999999999999" customHeight="1" thickBot="1" x14ac:dyDescent="0.5">
      <c r="B7" s="298"/>
      <c r="C7" s="291" t="s">
        <v>268</v>
      </c>
      <c r="D7" s="292">
        <v>21</v>
      </c>
      <c r="E7" s="293"/>
      <c r="F7" s="296">
        <v>6</v>
      </c>
      <c r="G7" s="298"/>
      <c r="H7" s="5"/>
      <c r="I7" s="529">
        <v>10</v>
      </c>
      <c r="J7" s="531">
        <f>IFERROR(HLOOKUP(I7,$M$6:$Y$11,6,0),0)</f>
        <v>0</v>
      </c>
      <c r="K7" s="347" t="s">
        <v>268</v>
      </c>
      <c r="L7" s="492">
        <v>2</v>
      </c>
      <c r="M7" s="348">
        <f ca="1">COUNTA(INDIRECT("'"&amp;M$6&amp;"'!B14:B1000"))+INDEX(Thue_Ngoai!$I$9:$T$11,1,MATCH(M$6,Thue_Ngoai!$I$13:$T$13,0))</f>
        <v>2</v>
      </c>
      <c r="N7" s="348">
        <f ca="1">COUNTA(INDIRECT("'"&amp;N$6&amp;"'!B14:B1000"))+INDEX(Thue_Ngoai!$I$9:$T$11,1,MATCH(N$6,Thue_Ngoai!$I$13:$T$13,0))</f>
        <v>2</v>
      </c>
      <c r="O7" s="348">
        <f ca="1">COUNTA(INDIRECT("'"&amp;O$6&amp;"'!B14:B1000"))+INDEX(Thue_Ngoai!$I$9:$T$11,1,MATCH(O$6,Thue_Ngoai!$I$13:$T$13,0))</f>
        <v>2</v>
      </c>
      <c r="P7" s="348">
        <f ca="1">COUNTA(INDIRECT("'"&amp;P$6&amp;"'!B14:B1000"))+INDEX(Thue_Ngoai!$I$9:$T$11,1,MATCH(P$6,Thue_Ngoai!$I$13:$T$13,0))</f>
        <v>2</v>
      </c>
      <c r="Q7" s="348">
        <f ca="1">COUNTA(INDIRECT("'"&amp;Q$6&amp;"'!B14:B1000"))+INDEX(Thue_Ngoai!$I$9:$T$11,1,MATCH(Q$6,Thue_Ngoai!$I$13:$T$13,0))</f>
        <v>2</v>
      </c>
      <c r="R7" s="348">
        <f ca="1">COUNTA(INDIRECT("'"&amp;R$6&amp;"'!B14:B1000"))+INDEX(Thue_Ngoai!$I$9:$T$11,1,MATCH(R$6,Thue_Ngoai!$I$13:$T$13,0))</f>
        <v>2</v>
      </c>
      <c r="S7" s="348">
        <f ca="1">COUNTA(INDIRECT("'"&amp;S$6&amp;"'!B14:B1000"))+INDEX(Thue_Ngoai!$I$9:$T$11,1,MATCH(S$6,Thue_Ngoai!$I$13:$T$13,0))</f>
        <v>2</v>
      </c>
      <c r="T7" s="348">
        <f ca="1">COUNTA(INDIRECT("'"&amp;T$6&amp;"'!B14:B1000"))+INDEX(Thue_Ngoai!$I$9:$T$11,1,MATCH(T$6,Thue_Ngoai!$I$13:$T$13,0))</f>
        <v>2</v>
      </c>
      <c r="U7" s="348">
        <f ca="1">COUNTA(INDIRECT("'"&amp;U$6&amp;"'!B14:B1000"))+INDEX(Thue_Ngoai!$I$9:$T$11,1,MATCH(U$6,Thue_Ngoai!$I$13:$T$13,0))</f>
        <v>2</v>
      </c>
      <c r="V7" s="348">
        <f ca="1">COUNTA(INDIRECT("'"&amp;V$6&amp;"'!B14:B1000"))+INDEX(Thue_Ngoai!$I$9:$T$11,1,MATCH(V$6,Thue_Ngoai!$I$13:$T$13,0))</f>
        <v>2</v>
      </c>
      <c r="W7" s="348">
        <f ca="1">COUNTA(INDIRECT("'"&amp;W$6&amp;"'!B14:B1000"))+INDEX(Thue_Ngoai!$I$9:$T$11,1,MATCH(W$6,Thue_Ngoai!$I$13:$T$13,0))</f>
        <v>2</v>
      </c>
      <c r="X7" s="348">
        <f ca="1">COUNTA(INDIRECT("'"&amp;X$6&amp;"'!B14:B1000"))+INDEX(Thue_Ngoai!$I$9:$T$11,1,MATCH(X$6,Thue_Ngoai!$I$13:$T$13,0))</f>
        <v>2</v>
      </c>
    </row>
    <row r="8" spans="2:25" ht="19.149999999999999" customHeight="1" thickBot="1" x14ac:dyDescent="0.5">
      <c r="B8" s="298"/>
      <c r="C8" s="293" t="s">
        <v>269</v>
      </c>
      <c r="D8" s="292">
        <v>22</v>
      </c>
      <c r="E8" s="293"/>
      <c r="F8" s="295">
        <v>6</v>
      </c>
      <c r="G8" s="298"/>
      <c r="H8" s="5"/>
      <c r="I8" s="530">
        <v>11</v>
      </c>
      <c r="J8" s="531">
        <f t="shared" ref="J8:J20" si="0">IFERROR(HLOOKUP(I8,$M$6:$Y$11,6,0),0)</f>
        <v>0</v>
      </c>
      <c r="K8" s="345" t="s">
        <v>269</v>
      </c>
      <c r="L8" s="176">
        <v>3</v>
      </c>
      <c r="M8" s="346">
        <f t="shared" ref="M8:X8" ca="1" si="1">COUNTA(INDIRECT("'"&amp;M$6&amp;"'!B14:B1000"))</f>
        <v>2</v>
      </c>
      <c r="N8" s="346">
        <f t="shared" ca="1" si="1"/>
        <v>2</v>
      </c>
      <c r="O8" s="346">
        <f t="shared" ca="1" si="1"/>
        <v>2</v>
      </c>
      <c r="P8" s="346">
        <f t="shared" ca="1" si="1"/>
        <v>2</v>
      </c>
      <c r="Q8" s="346">
        <f t="shared" ca="1" si="1"/>
        <v>2</v>
      </c>
      <c r="R8" s="346">
        <f t="shared" ca="1" si="1"/>
        <v>2</v>
      </c>
      <c r="S8" s="346">
        <f t="shared" ca="1" si="1"/>
        <v>2</v>
      </c>
      <c r="T8" s="346">
        <f t="shared" ca="1" si="1"/>
        <v>2</v>
      </c>
      <c r="U8" s="346">
        <f t="shared" ca="1" si="1"/>
        <v>2</v>
      </c>
      <c r="V8" s="346">
        <f t="shared" ca="1" si="1"/>
        <v>2</v>
      </c>
      <c r="W8" s="346">
        <f t="shared" ca="1" si="1"/>
        <v>2</v>
      </c>
      <c r="X8" s="346">
        <f t="shared" ca="1" si="1"/>
        <v>2</v>
      </c>
    </row>
    <row r="9" spans="2:25" ht="19.149999999999999" customHeight="1" thickBot="1" x14ac:dyDescent="0.5">
      <c r="B9" s="298"/>
      <c r="C9" s="291" t="s">
        <v>280</v>
      </c>
      <c r="D9" s="292">
        <v>23</v>
      </c>
      <c r="E9" s="293"/>
      <c r="F9" s="296">
        <v>4</v>
      </c>
      <c r="G9" s="298"/>
      <c r="H9" s="5"/>
      <c r="I9" s="530">
        <v>12</v>
      </c>
      <c r="J9" s="531">
        <f t="shared" si="0"/>
        <v>0</v>
      </c>
      <c r="K9" s="347" t="s">
        <v>280</v>
      </c>
      <c r="L9" s="492">
        <v>4</v>
      </c>
      <c r="M9" s="348">
        <f ca="1">COUNTIF(INDIRECT("'"&amp;M$6&amp;"'!AI14:AI1400"),"&gt;0")+COUNTIFS(Thue_Ngoai!I15:I1500,"&gt;2000000",Thue_Ngoai!$E$15:$E$1500,"")</f>
        <v>0</v>
      </c>
      <c r="N9" s="348">
        <f ca="1">COUNTIF(INDIRECT("'"&amp;N$6&amp;"'!AI14:AI1400"),"&gt;0")+COUNTIFS(Thue_Ngoai!J15:J1500,"&gt;2000000",Thue_Ngoai!$E$15:$E$1500,"")</f>
        <v>0</v>
      </c>
      <c r="O9" s="348">
        <f ca="1">COUNTIF(INDIRECT("'"&amp;O$6&amp;"'!AI14:AI1400"),"&gt;0")+COUNTIFS(Thue_Ngoai!K15:K1500,"&gt;2000000",Thue_Ngoai!$E$15:$E$1500,"")</f>
        <v>0</v>
      </c>
      <c r="P9" s="348">
        <f ca="1">COUNTIF(INDIRECT("'"&amp;P$6&amp;"'!AI14:AI1400"),"&gt;0")+COUNTIFS(Thue_Ngoai!L15:L1500,"&gt;2000000",Thue_Ngoai!$E$15:$E$1500,"")</f>
        <v>0</v>
      </c>
      <c r="Q9" s="348">
        <f ca="1">COUNTIF(INDIRECT("'"&amp;Q$6&amp;"'!AI14:AI1400"),"&gt;0")+COUNTIFS(Thue_Ngoai!M15:M1500,"&gt;2000000",Thue_Ngoai!$E$15:$E$1500,"")</f>
        <v>0</v>
      </c>
      <c r="R9" s="348">
        <f ca="1">COUNTIF(INDIRECT("'"&amp;R$6&amp;"'!AI14:AI1400"),"&gt;0")+COUNTIFS(Thue_Ngoai!N15:N1500,"&gt;2000000",Thue_Ngoai!$E$15:$E$1500,"")</f>
        <v>0</v>
      </c>
      <c r="S9" s="348">
        <f ca="1">COUNTIF(INDIRECT("'"&amp;S$6&amp;"'!AI14:AI1400"),"&gt;0")+COUNTIFS(Thue_Ngoai!O15:O1500,"&gt;2000000",Thue_Ngoai!$E$15:$E$1500,"")</f>
        <v>0</v>
      </c>
      <c r="T9" s="348">
        <f ca="1">COUNTIF(INDIRECT("'"&amp;T$6&amp;"'!AI14:AI1400"),"&gt;0")+COUNTIFS(Thue_Ngoai!P15:P1500,"&gt;2000000",Thue_Ngoai!$E$15:$E$1500,"")</f>
        <v>0</v>
      </c>
      <c r="U9" s="348">
        <f ca="1">COUNTIF(INDIRECT("'"&amp;U$6&amp;"'!AI14:AI1400"),"&gt;0")+COUNTIFS(Thue_Ngoai!Q15:Q1500,"&gt;2000000",Thue_Ngoai!$E$15:$E$1500,"")</f>
        <v>0</v>
      </c>
      <c r="V9" s="348">
        <f ca="1">COUNTIF(INDIRECT("'"&amp;V$6&amp;"'!AI14:AI1400"),"&gt;0")+COUNTIFS(Thue_Ngoai!R15:R1500,"&gt;2000000",Thue_Ngoai!$E$15:$E$1500,"")</f>
        <v>0</v>
      </c>
      <c r="W9" s="348">
        <f ca="1">COUNTIF(INDIRECT("'"&amp;W$6&amp;"'!AI14:AI1400"),"&gt;0")+COUNTIFS(Thue_Ngoai!S15:S1500,"&gt;2000000",Thue_Ngoai!$E$15:$E$1500,"")</f>
        <v>0</v>
      </c>
      <c r="X9" s="348">
        <f ca="1">COUNTIF(INDIRECT("'"&amp;X$6&amp;"'!AI14:AI1400"),"&gt;0")+COUNTIFS(Thue_Ngoai!T15:T1500,"&gt;2000000",Thue_Ngoai!$E$15:$E$1500,"")</f>
        <v>0</v>
      </c>
    </row>
    <row r="10" spans="2:25" ht="19.149999999999999" customHeight="1" thickBot="1" x14ac:dyDescent="0.5">
      <c r="B10" s="298"/>
      <c r="C10" s="293" t="s">
        <v>270</v>
      </c>
      <c r="D10" s="292">
        <v>24</v>
      </c>
      <c r="E10" s="293"/>
      <c r="F10" s="295">
        <v>4</v>
      </c>
      <c r="G10" s="298"/>
      <c r="H10" s="5"/>
      <c r="I10" s="530"/>
      <c r="J10" s="531">
        <f t="shared" si="0"/>
        <v>0</v>
      </c>
      <c r="K10" s="345" t="s">
        <v>270</v>
      </c>
      <c r="L10" s="176">
        <v>5</v>
      </c>
      <c r="M10" s="346">
        <f ca="1">M9-M11</f>
        <v>0</v>
      </c>
      <c r="N10" s="346">
        <f t="shared" ref="N10:X10" ca="1" si="2">N9-N11</f>
        <v>0</v>
      </c>
      <c r="O10" s="346">
        <f t="shared" ca="1" si="2"/>
        <v>0</v>
      </c>
      <c r="P10" s="346">
        <f t="shared" ca="1" si="2"/>
        <v>0</v>
      </c>
      <c r="Q10" s="346">
        <f t="shared" ca="1" si="2"/>
        <v>0</v>
      </c>
      <c r="R10" s="346">
        <f t="shared" ca="1" si="2"/>
        <v>0</v>
      </c>
      <c r="S10" s="346">
        <f t="shared" ca="1" si="2"/>
        <v>0</v>
      </c>
      <c r="T10" s="346">
        <f t="shared" ca="1" si="2"/>
        <v>0</v>
      </c>
      <c r="U10" s="346">
        <f t="shared" ca="1" si="2"/>
        <v>0</v>
      </c>
      <c r="V10" s="346">
        <f t="shared" ca="1" si="2"/>
        <v>0</v>
      </c>
      <c r="W10" s="346">
        <f t="shared" ca="1" si="2"/>
        <v>0</v>
      </c>
      <c r="X10" s="346">
        <f t="shared" ca="1" si="2"/>
        <v>0</v>
      </c>
    </row>
    <row r="11" spans="2:25" ht="19.149999999999999" customHeight="1" thickBot="1" x14ac:dyDescent="0.5">
      <c r="B11" s="298"/>
      <c r="C11" s="293" t="s">
        <v>271</v>
      </c>
      <c r="D11" s="292">
        <v>25</v>
      </c>
      <c r="E11" s="293"/>
      <c r="F11" s="295">
        <v>0</v>
      </c>
      <c r="G11" s="298"/>
      <c r="H11" s="5"/>
      <c r="I11" s="5"/>
      <c r="J11" s="531">
        <f t="shared" si="0"/>
        <v>0</v>
      </c>
      <c r="K11" s="345" t="s">
        <v>271</v>
      </c>
      <c r="L11" s="176">
        <v>6</v>
      </c>
      <c r="M11" s="346">
        <f>INDEX(Thue_Ngoai!$I$9:$T$11,2,MATCH(M$6,Thue_Ngoai!$I$13:$T$13,0))</f>
        <v>0</v>
      </c>
      <c r="N11" s="346">
        <f>INDEX(Thue_Ngoai!$I$9:$T$11,2,MATCH(N$6,Thue_Ngoai!$I$13:$T$13,0))</f>
        <v>0</v>
      </c>
      <c r="O11" s="346">
        <f>INDEX(Thue_Ngoai!$I$9:$T$11,2,MATCH(O$6,Thue_Ngoai!$I$13:$T$13,0))</f>
        <v>0</v>
      </c>
      <c r="P11" s="346">
        <f>INDEX(Thue_Ngoai!$I$9:$T$11,2,MATCH(P$6,Thue_Ngoai!$I$13:$T$13,0))</f>
        <v>0</v>
      </c>
      <c r="Q11" s="346">
        <f>INDEX(Thue_Ngoai!$I$9:$T$11,2,MATCH(Q$6,Thue_Ngoai!$I$13:$T$13,0))</f>
        <v>0</v>
      </c>
      <c r="R11" s="346">
        <f>INDEX(Thue_Ngoai!$I$9:$T$11,2,MATCH(R$6,Thue_Ngoai!$I$13:$T$13,0))</f>
        <v>0</v>
      </c>
      <c r="S11" s="346">
        <f>INDEX(Thue_Ngoai!$I$9:$T$11,2,MATCH(S$6,Thue_Ngoai!$I$13:$T$13,0))</f>
        <v>0</v>
      </c>
      <c r="T11" s="346">
        <f>INDEX(Thue_Ngoai!$I$9:$T$11,2,MATCH(T$6,Thue_Ngoai!$I$13:$T$13,0))</f>
        <v>0</v>
      </c>
      <c r="U11" s="346">
        <f>INDEX(Thue_Ngoai!$I$9:$T$11,2,MATCH(U$6,Thue_Ngoai!$I$13:$T$13,0))</f>
        <v>0</v>
      </c>
      <c r="V11" s="346">
        <f>INDEX(Thue_Ngoai!$I$9:$T$11,2,MATCH(V$6,Thue_Ngoai!$I$13:$T$13,0))</f>
        <v>0</v>
      </c>
      <c r="W11" s="346">
        <f>INDEX(Thue_Ngoai!$I$9:$T$11,2,MATCH(W$6,Thue_Ngoai!$I$13:$T$13,0))</f>
        <v>0</v>
      </c>
      <c r="X11" s="346">
        <f>INDEX(Thue_Ngoai!$I$9:$T$11,2,MATCH(X$6,Thue_Ngoai!$I$13:$T$13,0))</f>
        <v>0</v>
      </c>
    </row>
    <row r="12" spans="2:25" ht="19.149999999999999" customHeight="1" thickBot="1" x14ac:dyDescent="0.5">
      <c r="B12" s="298"/>
      <c r="C12" s="291" t="s">
        <v>272</v>
      </c>
      <c r="D12" s="292">
        <v>26</v>
      </c>
      <c r="E12" s="293"/>
      <c r="F12" s="296">
        <f ca="1">IFERROR(HLOOKUP($I$7,$M$6:$Y$20,L12,0),0)+IFERROR(HLOOKUP($I$8,$M$6:$Y$20,L12,0),0)+IFERROR(HLOOKUP($I$9,$M$6:$Y$20,L12,0),0)+IFERROR(HLOOKUP($I$10,$M$6:$Y$20,L12,0),0)</f>
        <v>0</v>
      </c>
      <c r="G12" s="298"/>
      <c r="H12" s="5"/>
      <c r="I12" s="5"/>
      <c r="J12" s="531">
        <f t="shared" si="0"/>
        <v>0</v>
      </c>
      <c r="K12" s="347" t="s">
        <v>272</v>
      </c>
      <c r="L12" s="492">
        <v>7</v>
      </c>
      <c r="M12" s="348">
        <f ca="1">INDEX(INDIRECT("'"&amp;M$6&amp;"'!7:7"),1,MATCH("TNCT",INDIRECT("'"&amp;M$6&amp;"'!13:13"),0))+INDEX(Thue_Ngoai!$I$6:$T$8,1,MATCH(M$6,Thue_Ngoai!$I$13:$T$13,0))</f>
        <v>0</v>
      </c>
      <c r="N12" s="348">
        <f ca="1">INDEX(INDIRECT("'"&amp;N$6&amp;"'!7:7"),1,MATCH("TNCT",INDIRECT("'"&amp;N$6&amp;"'!13:13"),0))+INDEX(Thue_Ngoai!$I$6:$T$8,1,MATCH(N$6,Thue_Ngoai!$I$13:$T$13,0))</f>
        <v>0</v>
      </c>
      <c r="O12" s="348">
        <f ca="1">INDEX(INDIRECT("'"&amp;O$6&amp;"'!7:7"),1,MATCH("TNCT",INDIRECT("'"&amp;O$6&amp;"'!13:13"),0))+INDEX(Thue_Ngoai!$I$6:$T$8,1,MATCH(O$6,Thue_Ngoai!$I$13:$T$13,0))</f>
        <v>0</v>
      </c>
      <c r="P12" s="348">
        <f ca="1">INDEX(INDIRECT("'"&amp;P$6&amp;"'!7:7"),1,MATCH("TNCT",INDIRECT("'"&amp;P$6&amp;"'!13:13"),0))+INDEX(Thue_Ngoai!$I$6:$T$8,1,MATCH(P$6,Thue_Ngoai!$I$13:$T$13,0))</f>
        <v>0</v>
      </c>
      <c r="Q12" s="348">
        <f ca="1">INDEX(INDIRECT("'"&amp;Q$6&amp;"'!7:7"),1,MATCH("TNCT",INDIRECT("'"&amp;Q$6&amp;"'!13:13"),0))+INDEX(Thue_Ngoai!$I$6:$T$8,1,MATCH(Q$6,Thue_Ngoai!$I$13:$T$13,0))</f>
        <v>0</v>
      </c>
      <c r="R12" s="348">
        <f ca="1">INDEX(INDIRECT("'"&amp;R$6&amp;"'!7:7"),1,MATCH("TNCT",INDIRECT("'"&amp;R$6&amp;"'!13:13"),0))+INDEX(Thue_Ngoai!$I$6:$T$8,1,MATCH(R$6,Thue_Ngoai!$I$13:$T$13,0))</f>
        <v>0</v>
      </c>
      <c r="S12" s="348">
        <f ca="1">INDEX(INDIRECT("'"&amp;S$6&amp;"'!7:7"),1,MATCH("TNCT",INDIRECT("'"&amp;S$6&amp;"'!13:13"),0))+INDEX(Thue_Ngoai!$I$6:$T$8,1,MATCH(S$6,Thue_Ngoai!$I$13:$T$13,0))</f>
        <v>0</v>
      </c>
      <c r="T12" s="348">
        <f ca="1">INDEX(INDIRECT("'"&amp;T$6&amp;"'!7:7"),1,MATCH("TNCT",INDIRECT("'"&amp;T$6&amp;"'!13:13"),0))+INDEX(Thue_Ngoai!$I$6:$T$8,1,MATCH(T$6,Thue_Ngoai!$I$13:$T$13,0))</f>
        <v>0</v>
      </c>
      <c r="U12" s="348">
        <f ca="1">INDEX(INDIRECT("'"&amp;U$6&amp;"'!7:7"),1,MATCH("TNCT",INDIRECT("'"&amp;U$6&amp;"'!13:13"),0))+INDEX(Thue_Ngoai!$I$6:$T$8,1,MATCH(U$6,Thue_Ngoai!$I$13:$T$13,0))</f>
        <v>0</v>
      </c>
      <c r="V12" s="348">
        <f ca="1">INDEX(INDIRECT("'"&amp;V$6&amp;"'!7:7"),1,MATCH("TNCT",INDIRECT("'"&amp;V$6&amp;"'!13:13"),0))+INDEX(Thue_Ngoai!$I$6:$T$8,1,MATCH(V$6,Thue_Ngoai!$I$13:$T$13,0))</f>
        <v>0</v>
      </c>
      <c r="W12" s="348">
        <f ca="1">INDEX(INDIRECT("'"&amp;W$6&amp;"'!7:7"),1,MATCH("TNCT",INDIRECT("'"&amp;W$6&amp;"'!13:13"),0))+INDEX(Thue_Ngoai!$I$6:$T$8,1,MATCH(W$6,Thue_Ngoai!$I$13:$T$13,0))</f>
        <v>0</v>
      </c>
      <c r="X12" s="348">
        <f ca="1">INDEX(INDIRECT("'"&amp;X$6&amp;"'!7:7"),1,MATCH("TNCT",INDIRECT("'"&amp;X$6&amp;"'!13:13"),0))+INDEX(Thue_Ngoai!$I$6:$T$8,1,MATCH(X$6,Thue_Ngoai!$I$13:$T$13,0))</f>
        <v>0</v>
      </c>
    </row>
    <row r="13" spans="2:25" ht="19.149999999999999" customHeight="1" thickBot="1" x14ac:dyDescent="0.5">
      <c r="B13" s="298"/>
      <c r="C13" s="293" t="s">
        <v>270</v>
      </c>
      <c r="D13" s="292">
        <v>27</v>
      </c>
      <c r="E13" s="293"/>
      <c r="F13" s="295">
        <f t="shared" ref="F13:F20" ca="1" si="3">IFERROR(HLOOKUP($I$7,$M$6:$Y$20,L13,0),0)+IFERROR(HLOOKUP($I$8,$M$6:$Y$20,L13,0),0)+IFERROR(HLOOKUP($I$9,$M$6:$Y$20,L13,0),0)+IFERROR(HLOOKUP($I$10,$M$6:$Y$20,L13,0),0)</f>
        <v>0</v>
      </c>
      <c r="G13" s="298"/>
      <c r="H13" s="5"/>
      <c r="I13" s="5"/>
      <c r="J13" s="531">
        <f t="shared" si="0"/>
        <v>0</v>
      </c>
      <c r="K13" s="345" t="s">
        <v>270</v>
      </c>
      <c r="L13" s="176">
        <v>8</v>
      </c>
      <c r="M13" s="346">
        <f ca="1">M12-M14</f>
        <v>0</v>
      </c>
      <c r="N13" s="346">
        <f t="shared" ref="N13:X13" ca="1" si="4">N12-N14</f>
        <v>0</v>
      </c>
      <c r="O13" s="346">
        <f t="shared" ca="1" si="4"/>
        <v>0</v>
      </c>
      <c r="P13" s="346">
        <f t="shared" ca="1" si="4"/>
        <v>0</v>
      </c>
      <c r="Q13" s="346">
        <f t="shared" ca="1" si="4"/>
        <v>0</v>
      </c>
      <c r="R13" s="346">
        <f t="shared" ca="1" si="4"/>
        <v>0</v>
      </c>
      <c r="S13" s="346">
        <f t="shared" ca="1" si="4"/>
        <v>0</v>
      </c>
      <c r="T13" s="346">
        <f t="shared" ca="1" si="4"/>
        <v>0</v>
      </c>
      <c r="U13" s="346">
        <f t="shared" ca="1" si="4"/>
        <v>0</v>
      </c>
      <c r="V13" s="346">
        <f t="shared" ca="1" si="4"/>
        <v>0</v>
      </c>
      <c r="W13" s="346">
        <f t="shared" ca="1" si="4"/>
        <v>0</v>
      </c>
      <c r="X13" s="346">
        <f t="shared" ca="1" si="4"/>
        <v>0</v>
      </c>
    </row>
    <row r="14" spans="2:25" ht="19.149999999999999" customHeight="1" thickBot="1" x14ac:dyDescent="0.5">
      <c r="B14" s="298"/>
      <c r="C14" s="293" t="s">
        <v>271</v>
      </c>
      <c r="D14" s="292">
        <v>28</v>
      </c>
      <c r="E14" s="293"/>
      <c r="F14" s="295">
        <f t="shared" si="3"/>
        <v>0</v>
      </c>
      <c r="G14" s="298"/>
      <c r="H14" s="5"/>
      <c r="I14" s="5">
        <v>458718492</v>
      </c>
      <c r="J14" s="531">
        <f t="shared" si="0"/>
        <v>0</v>
      </c>
      <c r="K14" s="345" t="s">
        <v>271</v>
      </c>
      <c r="L14" s="176">
        <v>9</v>
      </c>
      <c r="M14" s="346">
        <f>+INDEX(Thue_Ngoai!$I$6:$T$8,2,MATCH(M$6,Thue_Ngoai!$I$13:$T$13,0))</f>
        <v>0</v>
      </c>
      <c r="N14" s="346">
        <f>+INDEX(Thue_Ngoai!$I$6:$T$8,2,MATCH(N$6,Thue_Ngoai!$I$13:$T$13,0))</f>
        <v>0</v>
      </c>
      <c r="O14" s="346">
        <f>+INDEX(Thue_Ngoai!$I$6:$T$8,2,MATCH(O$6,Thue_Ngoai!$I$13:$T$13,0))</f>
        <v>0</v>
      </c>
      <c r="P14" s="346">
        <f>+INDEX(Thue_Ngoai!$I$6:$T$8,2,MATCH(P$6,Thue_Ngoai!$I$13:$T$13,0))</f>
        <v>0</v>
      </c>
      <c r="Q14" s="346">
        <f>+INDEX(Thue_Ngoai!$I$6:$T$8,2,MATCH(Q$6,Thue_Ngoai!$I$13:$T$13,0))</f>
        <v>0</v>
      </c>
      <c r="R14" s="346">
        <f>+INDEX(Thue_Ngoai!$I$6:$T$8,2,MATCH(R$6,Thue_Ngoai!$I$13:$T$13,0))</f>
        <v>0</v>
      </c>
      <c r="S14" s="346">
        <f>+INDEX(Thue_Ngoai!$I$6:$T$8,2,MATCH(S$6,Thue_Ngoai!$I$13:$T$13,0))</f>
        <v>0</v>
      </c>
      <c r="T14" s="346">
        <f>+INDEX(Thue_Ngoai!$I$6:$T$8,2,MATCH(T$6,Thue_Ngoai!$I$13:$T$13,0))</f>
        <v>0</v>
      </c>
      <c r="U14" s="346">
        <f>+INDEX(Thue_Ngoai!$I$6:$T$8,2,MATCH(U$6,Thue_Ngoai!$I$13:$T$13,0))</f>
        <v>0</v>
      </c>
      <c r="V14" s="346">
        <f>+INDEX(Thue_Ngoai!$I$6:$T$8,2,MATCH(V$6,Thue_Ngoai!$I$13:$T$13,0))</f>
        <v>0</v>
      </c>
      <c r="W14" s="346">
        <f>+INDEX(Thue_Ngoai!$I$6:$T$8,2,MATCH(W$6,Thue_Ngoai!$I$13:$T$13,0))</f>
        <v>0</v>
      </c>
      <c r="X14" s="346">
        <f>+INDEX(Thue_Ngoai!$I$6:$T$8,2,MATCH(X$6,Thue_Ngoai!$I$13:$T$13,0))</f>
        <v>0</v>
      </c>
    </row>
    <row r="15" spans="2:25" ht="19.149999999999999" customHeight="1" thickBot="1" x14ac:dyDescent="0.5">
      <c r="B15" s="298"/>
      <c r="C15" s="291" t="s">
        <v>279</v>
      </c>
      <c r="D15" s="292">
        <v>29</v>
      </c>
      <c r="E15" s="293"/>
      <c r="F15" s="296">
        <f ca="1">IFERROR(HLOOKUP($I$7,$M$6:$Y$20,L15,0),0)+IFERROR(HLOOKUP($I$8,$M$6:$Y$20,L15,0),0)+IFERROR(HLOOKUP($I$9,$M$6:$Y$20,L15,0),0)+IFERROR(HLOOKUP($I$10,$M$6:$Y$20,L15,0),0)</f>
        <v>0</v>
      </c>
      <c r="G15" s="298"/>
      <c r="H15" s="5"/>
      <c r="I15" s="5"/>
      <c r="J15" s="531">
        <f t="shared" si="0"/>
        <v>0</v>
      </c>
      <c r="K15" s="347" t="s">
        <v>279</v>
      </c>
      <c r="L15" s="492">
        <v>10</v>
      </c>
      <c r="M15" s="348">
        <f ca="1">SUMIFS(INDIRECT("'"&amp;M6&amp;"'!"&amp;ADDRESS(14,MATCH("TNCT",INDIRECT("'"&amp;M6&amp;"'!13:13"),0))&amp;":"&amp;ADDRESS(1400,MATCH("TNCT",INDIRECT("'"&amp;M6&amp;"'!13:13"),0))),INDIRECT("'"&amp;M6&amp;"'!"&amp;ADDRESS(14,MATCH("TNCN",INDIRECT("'"&amp;M6&amp;"'!13:13"),0))&amp;":"&amp;ADDRESS(1400,MATCH("TNCN",INDIRECT("'"&amp;M6&amp;"'!13:13"),0))),"&gt;0")+SUM(Thue_Ngoai!I15:I1500)-SUMIFS(Thue_Ngoai!I15:I1500,Thue_Ngoai!I15:I1500,"&lt;2000000",Thue_Ngoai!$E$15:$E$1500,"")</f>
        <v>0</v>
      </c>
      <c r="N15" s="348">
        <f ca="1">SUMIFS(INDIRECT("'"&amp;N6&amp;"'!"&amp;ADDRESS(14,MATCH("TNCT",INDIRECT("'"&amp;N6&amp;"'!13:13"),0))&amp;":"&amp;ADDRESS(1400,MATCH("TNCT",INDIRECT("'"&amp;N6&amp;"'!13:13"),0))),INDIRECT("'"&amp;N6&amp;"'!"&amp;ADDRESS(14,MATCH("TNCN",INDIRECT("'"&amp;N6&amp;"'!13:13"),0))&amp;":"&amp;ADDRESS(1400,MATCH("TNCN",INDIRECT("'"&amp;N6&amp;"'!13:13"),0))),"&gt;0")+SUM(Thue_Ngoai!J15:J1500)-SUMIFS(Thue_Ngoai!J15:J1500,Thue_Ngoai!J15:J1500,"&lt;2000000",Thue_Ngoai!$E$15:$E$1500,"")</f>
        <v>0</v>
      </c>
      <c r="O15" s="348">
        <f ca="1">SUMIFS(INDIRECT("'"&amp;O6&amp;"'!"&amp;ADDRESS(14,MATCH("TNCT",INDIRECT("'"&amp;O6&amp;"'!13:13"),0))&amp;":"&amp;ADDRESS(1400,MATCH("TNCT",INDIRECT("'"&amp;O6&amp;"'!13:13"),0))),INDIRECT("'"&amp;O6&amp;"'!"&amp;ADDRESS(14,MATCH("TNCN",INDIRECT("'"&amp;O6&amp;"'!13:13"),0))&amp;":"&amp;ADDRESS(1400,MATCH("TNCN",INDIRECT("'"&amp;O6&amp;"'!13:13"),0))),"&gt;0")+SUM(Thue_Ngoai!K15:K1500)-SUMIFS(Thue_Ngoai!K15:K1500,Thue_Ngoai!K15:K1500,"&lt;2000000",Thue_Ngoai!$E$15:$E$1500,"")</f>
        <v>0</v>
      </c>
      <c r="P15" s="348">
        <f ca="1">SUMIFS(INDIRECT("'"&amp;P6&amp;"'!"&amp;ADDRESS(14,MATCH("TNCT",INDIRECT("'"&amp;P6&amp;"'!13:13"),0))&amp;":"&amp;ADDRESS(1400,MATCH("TNCT",INDIRECT("'"&amp;P6&amp;"'!13:13"),0))),INDIRECT("'"&amp;P6&amp;"'!"&amp;ADDRESS(14,MATCH("TNCN",INDIRECT("'"&amp;P6&amp;"'!13:13"),0))&amp;":"&amp;ADDRESS(1400,MATCH("TNCN",INDIRECT("'"&amp;P6&amp;"'!13:13"),0))),"&gt;0")+SUM(Thue_Ngoai!L15:L1500)-SUMIFS(Thue_Ngoai!L15:L1500,Thue_Ngoai!L15:L1500,"&lt;2000000",Thue_Ngoai!$E$15:$E$1500,"")</f>
        <v>0</v>
      </c>
      <c r="Q15" s="348">
        <f ca="1">SUMIFS(INDIRECT("'"&amp;Q6&amp;"'!"&amp;ADDRESS(14,MATCH("TNCT",INDIRECT("'"&amp;Q6&amp;"'!13:13"),0))&amp;":"&amp;ADDRESS(1400,MATCH("TNCT",INDIRECT("'"&amp;Q6&amp;"'!13:13"),0))),INDIRECT("'"&amp;Q6&amp;"'!"&amp;ADDRESS(14,MATCH("TNCN",INDIRECT("'"&amp;Q6&amp;"'!13:13"),0))&amp;":"&amp;ADDRESS(1400,MATCH("TNCN",INDIRECT("'"&amp;Q6&amp;"'!13:13"),0))),"&gt;0")+SUM(Thue_Ngoai!M15:M1500)-SUMIFS(Thue_Ngoai!M15:M1500,Thue_Ngoai!M15:M1500,"&lt;2000000",Thue_Ngoai!$E$15:$E$1500,"")</f>
        <v>0</v>
      </c>
      <c r="R15" s="348">
        <f ca="1">SUMIFS(INDIRECT("'"&amp;R6&amp;"'!"&amp;ADDRESS(14,MATCH("TNCT",INDIRECT("'"&amp;R6&amp;"'!13:13"),0))&amp;":"&amp;ADDRESS(1400,MATCH("TNCT",INDIRECT("'"&amp;R6&amp;"'!13:13"),0))),INDIRECT("'"&amp;R6&amp;"'!"&amp;ADDRESS(14,MATCH("TNCN",INDIRECT("'"&amp;R6&amp;"'!13:13"),0))&amp;":"&amp;ADDRESS(1400,MATCH("TNCN",INDIRECT("'"&amp;R6&amp;"'!13:13"),0))),"&gt;0")+SUM(Thue_Ngoai!N15:N1500)-SUMIFS(Thue_Ngoai!N15:N1500,Thue_Ngoai!N15:N1500,"&lt;2000000",Thue_Ngoai!$E$15:$E$1500,"")</f>
        <v>0</v>
      </c>
      <c r="S15" s="348">
        <f ca="1">SUMIFS(INDIRECT("'"&amp;S6&amp;"'!"&amp;ADDRESS(14,MATCH("TNCT",INDIRECT("'"&amp;S6&amp;"'!13:13"),0))&amp;":"&amp;ADDRESS(1400,MATCH("TNCT",INDIRECT("'"&amp;S6&amp;"'!13:13"),0))),INDIRECT("'"&amp;S6&amp;"'!"&amp;ADDRESS(14,MATCH("TNCN",INDIRECT("'"&amp;S6&amp;"'!13:13"),0))&amp;":"&amp;ADDRESS(1400,MATCH("TNCN",INDIRECT("'"&amp;S6&amp;"'!13:13"),0))),"&gt;0")+SUM(Thue_Ngoai!O15:O1500)-SUMIFS(Thue_Ngoai!O15:O1500,Thue_Ngoai!O15:O1500,"&lt;2000000",Thue_Ngoai!$E$15:$E$1500,"")</f>
        <v>0</v>
      </c>
      <c r="T15" s="348">
        <f ca="1">SUMIFS(INDIRECT("'"&amp;T6&amp;"'!"&amp;ADDRESS(14,MATCH("TNCT",INDIRECT("'"&amp;T6&amp;"'!13:13"),0))&amp;":"&amp;ADDRESS(1400,MATCH("TNCT",INDIRECT("'"&amp;T6&amp;"'!13:13"),0))),INDIRECT("'"&amp;T6&amp;"'!"&amp;ADDRESS(14,MATCH("TNCN",INDIRECT("'"&amp;T6&amp;"'!13:13"),0))&amp;":"&amp;ADDRESS(1400,MATCH("TNCN",INDIRECT("'"&amp;T6&amp;"'!13:13"),0))),"&gt;0")+SUM(Thue_Ngoai!P15:P1500)-SUMIFS(Thue_Ngoai!P15:P1500,Thue_Ngoai!P15:P1500,"&lt;2000000",Thue_Ngoai!$E$15:$E$1500,"")</f>
        <v>0</v>
      </c>
      <c r="U15" s="348">
        <f ca="1">SUMIFS(INDIRECT("'"&amp;U6&amp;"'!"&amp;ADDRESS(14,MATCH("TNCT",INDIRECT("'"&amp;U6&amp;"'!13:13"),0))&amp;":"&amp;ADDRESS(1400,MATCH("TNCT",INDIRECT("'"&amp;U6&amp;"'!13:13"),0))),INDIRECT("'"&amp;U6&amp;"'!"&amp;ADDRESS(14,MATCH("TNCN",INDIRECT("'"&amp;U6&amp;"'!13:13"),0))&amp;":"&amp;ADDRESS(1400,MATCH("TNCN",INDIRECT("'"&amp;U6&amp;"'!13:13"),0))),"&gt;0")+SUM(Thue_Ngoai!Q15:Q1500)-SUMIFS(Thue_Ngoai!Q15:Q1500,Thue_Ngoai!Q15:Q1500,"&lt;2000000",Thue_Ngoai!$E$15:$E$1500,"")</f>
        <v>0</v>
      </c>
      <c r="V15" s="348">
        <f ca="1">SUMIFS(INDIRECT("'"&amp;V6&amp;"'!"&amp;ADDRESS(14,MATCH("TNCT",INDIRECT("'"&amp;V6&amp;"'!13:13"),0))&amp;":"&amp;ADDRESS(1400,MATCH("TNCT",INDIRECT("'"&amp;V6&amp;"'!13:13"),0))),INDIRECT("'"&amp;V6&amp;"'!"&amp;ADDRESS(14,MATCH("TNCN",INDIRECT("'"&amp;V6&amp;"'!13:13"),0))&amp;":"&amp;ADDRESS(1400,MATCH("TNCN",INDIRECT("'"&amp;V6&amp;"'!13:13"),0))),"&gt;0")+SUM(Thue_Ngoai!R15:R1500)-SUMIFS(Thue_Ngoai!R15:R1500,Thue_Ngoai!R15:R1500,"&lt;2000000",Thue_Ngoai!$E$15:$E$1500,"")</f>
        <v>0</v>
      </c>
      <c r="W15" s="348">
        <f ca="1">SUMIFS(INDIRECT("'"&amp;W6&amp;"'!"&amp;ADDRESS(14,MATCH("TNCT",INDIRECT("'"&amp;W6&amp;"'!13:13"),0))&amp;":"&amp;ADDRESS(1400,MATCH("TNCT",INDIRECT("'"&amp;W6&amp;"'!13:13"),0))),INDIRECT("'"&amp;W6&amp;"'!"&amp;ADDRESS(14,MATCH("TNCN",INDIRECT("'"&amp;W6&amp;"'!13:13"),0))&amp;":"&amp;ADDRESS(1400,MATCH("TNCN",INDIRECT("'"&amp;W6&amp;"'!13:13"),0))),"&gt;0")+SUM(Thue_Ngoai!S15:S1500)-SUMIFS(Thue_Ngoai!S15:S1500,Thue_Ngoai!S15:S1500,"&lt;2000000",Thue_Ngoai!$E$15:$E$1500,"")</f>
        <v>0</v>
      </c>
      <c r="X15" s="348">
        <f ca="1">SUMIFS(INDIRECT("'"&amp;X6&amp;"'!"&amp;ADDRESS(14,MATCH("TNCT",INDIRECT("'"&amp;X6&amp;"'!13:13"),0))&amp;":"&amp;ADDRESS(1400,MATCH("TNCT",INDIRECT("'"&amp;X6&amp;"'!13:13"),0))),INDIRECT("'"&amp;X6&amp;"'!"&amp;ADDRESS(14,MATCH("TNCN",INDIRECT("'"&amp;X6&amp;"'!13:13"),0))&amp;":"&amp;ADDRESS(1400,MATCH("TNCN",INDIRECT("'"&amp;X6&amp;"'!13:13"),0))),"&gt;0")+SUM(Thue_Ngoai!T15:T1500)-SUMIFS(Thue_Ngoai!T15:T1500,Thue_Ngoai!T15:T1500,"&lt;2000000",Thue_Ngoai!$E$15:$E$1500,"")</f>
        <v>0</v>
      </c>
    </row>
    <row r="16" spans="2:25" ht="19.149999999999999" customHeight="1" thickBot="1" x14ac:dyDescent="0.5">
      <c r="B16" s="298"/>
      <c r="C16" s="293" t="s">
        <v>270</v>
      </c>
      <c r="D16" s="292">
        <v>30</v>
      </c>
      <c r="E16" s="293"/>
      <c r="F16" s="295">
        <f t="shared" ca="1" si="3"/>
        <v>0</v>
      </c>
      <c r="G16" s="298"/>
      <c r="H16" s="5"/>
      <c r="I16" s="5"/>
      <c r="J16" s="531">
        <f t="shared" si="0"/>
        <v>0</v>
      </c>
      <c r="K16" s="345" t="s">
        <v>270</v>
      </c>
      <c r="L16" s="176">
        <v>11</v>
      </c>
      <c r="M16" s="346">
        <f ca="1">M15-M17</f>
        <v>0</v>
      </c>
      <c r="N16" s="346">
        <f t="shared" ref="N16:X16" ca="1" si="5">N15-N17</f>
        <v>0</v>
      </c>
      <c r="O16" s="346">
        <f t="shared" ca="1" si="5"/>
        <v>0</v>
      </c>
      <c r="P16" s="346">
        <f t="shared" ca="1" si="5"/>
        <v>0</v>
      </c>
      <c r="Q16" s="346">
        <f t="shared" ca="1" si="5"/>
        <v>0</v>
      </c>
      <c r="R16" s="346">
        <f t="shared" ca="1" si="5"/>
        <v>0</v>
      </c>
      <c r="S16" s="346">
        <f t="shared" ca="1" si="5"/>
        <v>0</v>
      </c>
      <c r="T16" s="346">
        <f t="shared" ca="1" si="5"/>
        <v>0</v>
      </c>
      <c r="U16" s="346">
        <f t="shared" ca="1" si="5"/>
        <v>0</v>
      </c>
      <c r="V16" s="346">
        <f t="shared" ca="1" si="5"/>
        <v>0</v>
      </c>
      <c r="W16" s="346">
        <f t="shared" ca="1" si="5"/>
        <v>0</v>
      </c>
      <c r="X16" s="346">
        <f t="shared" ca="1" si="5"/>
        <v>0</v>
      </c>
    </row>
    <row r="17" spans="2:24" ht="19.149999999999999" customHeight="1" thickBot="1" x14ac:dyDescent="0.5">
      <c r="B17" s="298"/>
      <c r="C17" s="293" t="s">
        <v>271</v>
      </c>
      <c r="D17" s="292">
        <v>31</v>
      </c>
      <c r="E17" s="293"/>
      <c r="F17" s="295">
        <f t="shared" si="3"/>
        <v>0</v>
      </c>
      <c r="G17" s="298"/>
      <c r="H17" s="5"/>
      <c r="I17" s="5"/>
      <c r="J17" s="531">
        <f t="shared" si="0"/>
        <v>0</v>
      </c>
      <c r="K17" s="345" t="s">
        <v>271</v>
      </c>
      <c r="L17" s="176">
        <v>12</v>
      </c>
      <c r="M17" s="346">
        <f>+INDEX(Thue_Ngoai!$I$6:$T$8,2,MATCH(M$6,Thue_Ngoai!$I$13:$T$13,0))</f>
        <v>0</v>
      </c>
      <c r="N17" s="346">
        <f>+INDEX(Thue_Ngoai!$I$6:$T$8,2,MATCH(N$6,Thue_Ngoai!$I$13:$T$13,0))</f>
        <v>0</v>
      </c>
      <c r="O17" s="346">
        <f>+INDEX(Thue_Ngoai!$I$6:$T$8,2,MATCH(O$6,Thue_Ngoai!$I$13:$T$13,0))</f>
        <v>0</v>
      </c>
      <c r="P17" s="346">
        <f>+INDEX(Thue_Ngoai!$I$6:$T$8,2,MATCH(P$6,Thue_Ngoai!$I$13:$T$13,0))</f>
        <v>0</v>
      </c>
      <c r="Q17" s="346">
        <f>+INDEX(Thue_Ngoai!$I$6:$T$8,2,MATCH(Q$6,Thue_Ngoai!$I$13:$T$13,0))</f>
        <v>0</v>
      </c>
      <c r="R17" s="346">
        <f>+INDEX(Thue_Ngoai!$I$6:$T$8,2,MATCH(R$6,Thue_Ngoai!$I$13:$T$13,0))</f>
        <v>0</v>
      </c>
      <c r="S17" s="346">
        <f>+INDEX(Thue_Ngoai!$I$6:$T$8,2,MATCH(S$6,Thue_Ngoai!$I$13:$T$13,0))</f>
        <v>0</v>
      </c>
      <c r="T17" s="346">
        <f>+INDEX(Thue_Ngoai!$I$6:$T$8,2,MATCH(T$6,Thue_Ngoai!$I$13:$T$13,0))</f>
        <v>0</v>
      </c>
      <c r="U17" s="346">
        <f>+INDEX(Thue_Ngoai!$I$6:$T$8,2,MATCH(U$6,Thue_Ngoai!$I$13:$T$13,0))</f>
        <v>0</v>
      </c>
      <c r="V17" s="346">
        <f>+INDEX(Thue_Ngoai!$I$6:$T$8,2,MATCH(V$6,Thue_Ngoai!$I$13:$T$13,0))</f>
        <v>0</v>
      </c>
      <c r="W17" s="346">
        <f>+INDEX(Thue_Ngoai!$I$6:$T$8,2,MATCH(W$6,Thue_Ngoai!$I$13:$T$13,0))</f>
        <v>0</v>
      </c>
      <c r="X17" s="346">
        <f>+INDEX(Thue_Ngoai!$I$6:$T$8,2,MATCH(X$6,Thue_Ngoai!$I$13:$T$13,0))</f>
        <v>0</v>
      </c>
    </row>
    <row r="18" spans="2:24" ht="19.149999999999999" customHeight="1" thickBot="1" x14ac:dyDescent="0.5">
      <c r="B18" s="298"/>
      <c r="C18" s="291" t="s">
        <v>273</v>
      </c>
      <c r="D18" s="292">
        <v>32</v>
      </c>
      <c r="E18" s="293"/>
      <c r="F18" s="296">
        <f t="shared" ca="1" si="3"/>
        <v>0</v>
      </c>
      <c r="G18" s="298"/>
      <c r="H18" s="5"/>
      <c r="I18" s="5"/>
      <c r="J18" s="531">
        <f t="shared" si="0"/>
        <v>0</v>
      </c>
      <c r="K18" s="347" t="s">
        <v>273</v>
      </c>
      <c r="L18" s="492">
        <v>13</v>
      </c>
      <c r="M18" s="348">
        <f ca="1">INDEX(INDIRECT("'"&amp;M$6&amp;"'!7:7"),1,MATCH("TNCN",INDIRECT("'"&amp;M$6&amp;"'!13:13"),0))+INDEX(Thue_Ngoai!$I$3:$T$5,1,MATCH(M6,Thue_Ngoai!$I$13:$T$13,0))</f>
        <v>0</v>
      </c>
      <c r="N18" s="348">
        <f ca="1">INDEX(INDIRECT("'"&amp;N$6&amp;"'!7:7"),1,MATCH("TNCN",INDIRECT("'"&amp;N$6&amp;"'!13:13"),0))+INDEX(Thue_Ngoai!$I$3:$T$5,1,MATCH(N6,Thue_Ngoai!$I$13:$T$13,0))</f>
        <v>0</v>
      </c>
      <c r="O18" s="348">
        <f ca="1">INDEX(INDIRECT("'"&amp;O$6&amp;"'!7:7"),1,MATCH("TNCN",INDIRECT("'"&amp;O$6&amp;"'!13:13"),0))+INDEX(Thue_Ngoai!$I$3:$T$5,1,MATCH(O6,Thue_Ngoai!$I$13:$T$13,0))</f>
        <v>0</v>
      </c>
      <c r="P18" s="348">
        <f ca="1">INDEX(INDIRECT("'"&amp;P$6&amp;"'!7:7"),1,MATCH("TNCN",INDIRECT("'"&amp;P$6&amp;"'!13:13"),0))+INDEX(Thue_Ngoai!$I$3:$T$5,1,MATCH(P6,Thue_Ngoai!$I$13:$T$13,0))</f>
        <v>0</v>
      </c>
      <c r="Q18" s="348">
        <f ca="1">INDEX(INDIRECT("'"&amp;Q$6&amp;"'!7:7"),1,MATCH("TNCN",INDIRECT("'"&amp;Q$6&amp;"'!13:13"),0))+INDEX(Thue_Ngoai!$I$3:$T$5,1,MATCH(Q6,Thue_Ngoai!$I$13:$T$13,0))</f>
        <v>0</v>
      </c>
      <c r="R18" s="348">
        <f ca="1">INDEX(INDIRECT("'"&amp;R$6&amp;"'!7:7"),1,MATCH("TNCN",INDIRECT("'"&amp;R$6&amp;"'!13:13"),0))+INDEX(Thue_Ngoai!$I$3:$T$5,1,MATCH(R6,Thue_Ngoai!$I$13:$T$13,0))</f>
        <v>0</v>
      </c>
      <c r="S18" s="348">
        <f ca="1">INDEX(INDIRECT("'"&amp;S$6&amp;"'!7:7"),1,MATCH("TNCN",INDIRECT("'"&amp;S$6&amp;"'!13:13"),0))+INDEX(Thue_Ngoai!$I$3:$T$5,1,MATCH(S6,Thue_Ngoai!$I$13:$T$13,0))</f>
        <v>0</v>
      </c>
      <c r="T18" s="348">
        <f ca="1">INDEX(INDIRECT("'"&amp;T$6&amp;"'!7:7"),1,MATCH("TNCN",INDIRECT("'"&amp;T$6&amp;"'!13:13"),0))+INDEX(Thue_Ngoai!$I$3:$T$5,1,MATCH(T6,Thue_Ngoai!$I$13:$T$13,0))</f>
        <v>0</v>
      </c>
      <c r="U18" s="348">
        <f ca="1">INDEX(INDIRECT("'"&amp;U$6&amp;"'!7:7"),1,MATCH("TNCN",INDIRECT("'"&amp;U$6&amp;"'!13:13"),0))+INDEX(Thue_Ngoai!$I$3:$T$5,1,MATCH(U6,Thue_Ngoai!$I$13:$T$13,0))</f>
        <v>0</v>
      </c>
      <c r="V18" s="348">
        <f ca="1">INDEX(INDIRECT("'"&amp;V$6&amp;"'!7:7"),1,MATCH("TNCN",INDIRECT("'"&amp;V$6&amp;"'!13:13"),0))+INDEX(Thue_Ngoai!$I$3:$T$5,1,MATCH(V6,Thue_Ngoai!$I$13:$T$13,0))</f>
        <v>0</v>
      </c>
      <c r="W18" s="348">
        <f ca="1">INDEX(INDIRECT("'"&amp;W$6&amp;"'!7:7"),1,MATCH("TNCN",INDIRECT("'"&amp;W$6&amp;"'!13:13"),0))+INDEX(Thue_Ngoai!$I$3:$T$5,1,MATCH(W6,Thue_Ngoai!$I$13:$T$13,0))</f>
        <v>0</v>
      </c>
      <c r="X18" s="348">
        <f ca="1">INDEX(INDIRECT("'"&amp;X$6&amp;"'!7:7"),1,MATCH("TNCN",INDIRECT("'"&amp;X$6&amp;"'!13:13"),0))+INDEX(Thue_Ngoai!$I$3:$T$5,1,MATCH(X6,Thue_Ngoai!$I$13:$T$13,0))</f>
        <v>0</v>
      </c>
    </row>
    <row r="19" spans="2:24" ht="19.149999999999999" customHeight="1" thickBot="1" x14ac:dyDescent="0.5">
      <c r="B19" s="298"/>
      <c r="C19" s="293" t="s">
        <v>270</v>
      </c>
      <c r="D19" s="292">
        <v>33</v>
      </c>
      <c r="E19" s="293"/>
      <c r="F19" s="295">
        <f t="shared" ca="1" si="3"/>
        <v>0</v>
      </c>
      <c r="G19" s="298"/>
      <c r="H19" s="5"/>
      <c r="I19" s="5"/>
      <c r="J19" s="531">
        <f t="shared" si="0"/>
        <v>0</v>
      </c>
      <c r="K19" s="345" t="s">
        <v>270</v>
      </c>
      <c r="L19" s="176">
        <v>14</v>
      </c>
      <c r="M19" s="346">
        <f ca="1">M18-M20</f>
        <v>0</v>
      </c>
      <c r="N19" s="346">
        <f t="shared" ref="N19:X19" ca="1" si="6">N18-N20</f>
        <v>0</v>
      </c>
      <c r="O19" s="346">
        <f t="shared" ca="1" si="6"/>
        <v>0</v>
      </c>
      <c r="P19" s="346">
        <f t="shared" ca="1" si="6"/>
        <v>0</v>
      </c>
      <c r="Q19" s="346">
        <f t="shared" ca="1" si="6"/>
        <v>0</v>
      </c>
      <c r="R19" s="346">
        <f t="shared" ca="1" si="6"/>
        <v>0</v>
      </c>
      <c r="S19" s="346">
        <f t="shared" ca="1" si="6"/>
        <v>0</v>
      </c>
      <c r="T19" s="346">
        <f t="shared" ca="1" si="6"/>
        <v>0</v>
      </c>
      <c r="U19" s="346">
        <f t="shared" ca="1" si="6"/>
        <v>0</v>
      </c>
      <c r="V19" s="346">
        <f t="shared" ca="1" si="6"/>
        <v>0</v>
      </c>
      <c r="W19" s="346">
        <f t="shared" ca="1" si="6"/>
        <v>0</v>
      </c>
      <c r="X19" s="346">
        <f t="shared" ca="1" si="6"/>
        <v>0</v>
      </c>
    </row>
    <row r="20" spans="2:24" ht="19.149999999999999" customHeight="1" thickBot="1" x14ac:dyDescent="0.5">
      <c r="B20" s="298"/>
      <c r="C20" s="293" t="s">
        <v>271</v>
      </c>
      <c r="D20" s="292">
        <v>34</v>
      </c>
      <c r="E20" s="293"/>
      <c r="F20" s="295">
        <f t="shared" si="3"/>
        <v>0</v>
      </c>
      <c r="G20" s="298"/>
      <c r="H20" s="5"/>
      <c r="I20" s="5"/>
      <c r="J20" s="531">
        <f t="shared" si="0"/>
        <v>0</v>
      </c>
      <c r="K20" s="345" t="s">
        <v>271</v>
      </c>
      <c r="L20" s="176">
        <v>15</v>
      </c>
      <c r="M20" s="346">
        <f>+INDEX(Thue_Ngoai!$I$3:$T$5,3,MATCH(M6,Thue_Ngoai!$I$13:$T$13,0))</f>
        <v>0</v>
      </c>
      <c r="N20" s="346">
        <f>+INDEX(Thue_Ngoai!$I$3:$T$5,3,MATCH(N6,Thue_Ngoai!$I$13:$T$13,0))</f>
        <v>0</v>
      </c>
      <c r="O20" s="346">
        <f>+INDEX(Thue_Ngoai!$I$3:$T$5,3,MATCH(O6,Thue_Ngoai!$I$13:$T$13,0))</f>
        <v>0</v>
      </c>
      <c r="P20" s="346">
        <f>+INDEX(Thue_Ngoai!$I$3:$T$5,3,MATCH(P6,Thue_Ngoai!$I$13:$T$13,0))</f>
        <v>0</v>
      </c>
      <c r="Q20" s="346">
        <f>+INDEX(Thue_Ngoai!$I$3:$T$5,3,MATCH(Q6,Thue_Ngoai!$I$13:$T$13,0))</f>
        <v>0</v>
      </c>
      <c r="R20" s="346">
        <f>+INDEX(Thue_Ngoai!$I$3:$T$5,3,MATCH(R6,Thue_Ngoai!$I$13:$T$13,0))</f>
        <v>0</v>
      </c>
      <c r="S20" s="346">
        <f>+INDEX(Thue_Ngoai!$I$3:$T$5,3,MATCH(S6,Thue_Ngoai!$I$13:$T$13,0))</f>
        <v>0</v>
      </c>
      <c r="T20" s="346">
        <f>+INDEX(Thue_Ngoai!$I$3:$T$5,3,MATCH(T6,Thue_Ngoai!$I$13:$T$13,0))</f>
        <v>0</v>
      </c>
      <c r="U20" s="346">
        <f>+INDEX(Thue_Ngoai!$I$3:$T$5,3,MATCH(U6,Thue_Ngoai!$I$13:$T$13,0))</f>
        <v>0</v>
      </c>
      <c r="V20" s="346">
        <f>+INDEX(Thue_Ngoai!$I$3:$T$5,3,MATCH(V6,Thue_Ngoai!$I$13:$T$13,0))</f>
        <v>0</v>
      </c>
      <c r="W20" s="346">
        <f>+INDEX(Thue_Ngoai!$I$3:$T$5,3,MATCH(W6,Thue_Ngoai!$I$13:$T$13,0))</f>
        <v>0</v>
      </c>
      <c r="X20" s="346">
        <f>+INDEX(Thue_Ngoai!$I$3:$T$5,3,MATCH(X6,Thue_Ngoai!$I$13:$T$13,0))</f>
        <v>0</v>
      </c>
    </row>
    <row r="21" spans="2:24" ht="39.6" customHeight="1" thickBot="1" x14ac:dyDescent="0.5">
      <c r="B21" s="298"/>
      <c r="C21" s="294" t="s">
        <v>274</v>
      </c>
      <c r="D21" s="292">
        <v>35</v>
      </c>
      <c r="E21" s="293"/>
      <c r="F21" s="295"/>
      <c r="G21" s="298"/>
      <c r="M21" s="5"/>
    </row>
    <row r="22" spans="2:24" ht="40.15" customHeight="1" thickBot="1" x14ac:dyDescent="0.5">
      <c r="B22" s="298"/>
      <c r="C22" s="294" t="s">
        <v>275</v>
      </c>
      <c r="D22" s="292">
        <v>36</v>
      </c>
      <c r="E22" s="293"/>
      <c r="F22" s="295"/>
      <c r="G22" s="298"/>
      <c r="M22" s="5"/>
    </row>
    <row r="23" spans="2:24" ht="7.15" customHeight="1" x14ac:dyDescent="0.45">
      <c r="B23" s="298"/>
      <c r="C23" s="298"/>
      <c r="D23" s="298"/>
      <c r="E23" s="298"/>
      <c r="F23" s="298"/>
      <c r="G23" s="298"/>
    </row>
    <row r="25" spans="2:24" hidden="1" x14ac:dyDescent="0.45">
      <c r="D25" s="5" t="str">
        <f>IF(E1="Tháng",D38,E38)</f>
        <v>E26:E29</v>
      </c>
      <c r="E25" s="5"/>
    </row>
    <row r="26" spans="2:24" hidden="1" x14ac:dyDescent="0.45">
      <c r="D26" s="5">
        <v>1</v>
      </c>
      <c r="E26" s="5">
        <v>1</v>
      </c>
    </row>
    <row r="27" spans="2:24" hidden="1" x14ac:dyDescent="0.45">
      <c r="D27" s="5">
        <v>2</v>
      </c>
      <c r="E27" s="5">
        <v>2</v>
      </c>
    </row>
    <row r="28" spans="2:24" hidden="1" x14ac:dyDescent="0.45">
      <c r="D28" s="5">
        <v>3</v>
      </c>
      <c r="E28" s="5">
        <v>3</v>
      </c>
    </row>
    <row r="29" spans="2:24" hidden="1" x14ac:dyDescent="0.45">
      <c r="D29" s="5">
        <v>4</v>
      </c>
      <c r="E29" s="5">
        <v>4</v>
      </c>
    </row>
    <row r="30" spans="2:24" hidden="1" x14ac:dyDescent="0.45">
      <c r="D30" s="5">
        <v>5</v>
      </c>
      <c r="E30" s="5"/>
    </row>
    <row r="31" spans="2:24" hidden="1" x14ac:dyDescent="0.45">
      <c r="D31" s="5">
        <v>6</v>
      </c>
      <c r="E31" s="5"/>
    </row>
    <row r="32" spans="2:24" hidden="1" x14ac:dyDescent="0.45">
      <c r="D32" s="5">
        <v>7</v>
      </c>
      <c r="E32" s="5"/>
    </row>
    <row r="33" spans="4:5" hidden="1" x14ac:dyDescent="0.45">
      <c r="D33" s="5">
        <v>8</v>
      </c>
      <c r="E33" s="5"/>
    </row>
    <row r="34" spans="4:5" hidden="1" x14ac:dyDescent="0.45">
      <c r="D34" s="5">
        <v>9</v>
      </c>
      <c r="E34" s="5"/>
    </row>
    <row r="35" spans="4:5" hidden="1" x14ac:dyDescent="0.45">
      <c r="D35" s="5">
        <v>10</v>
      </c>
      <c r="E35" s="5"/>
    </row>
    <row r="36" spans="4:5" hidden="1" x14ac:dyDescent="0.45">
      <c r="D36" s="5">
        <v>11</v>
      </c>
      <c r="E36" s="5"/>
    </row>
    <row r="37" spans="4:5" hidden="1" x14ac:dyDescent="0.45">
      <c r="D37" s="5">
        <v>12</v>
      </c>
      <c r="E37" s="5"/>
    </row>
    <row r="38" spans="4:5" hidden="1" x14ac:dyDescent="0.45">
      <c r="D38" s="5" t="str">
        <f>"D26:D37"</f>
        <v>D26:D37</v>
      </c>
      <c r="E38" s="5" t="s">
        <v>354</v>
      </c>
    </row>
  </sheetData>
  <phoneticPr fontId="21" type="noConversion"/>
  <dataValidations count="2">
    <dataValidation type="list" allowBlank="1" showInputMessage="1" showErrorMessage="1" sqref="E4" xr:uid="{00000000-0002-0000-1900-000000000000}">
      <formula1>INDIRECT($D$25)</formula1>
    </dataValidation>
    <dataValidation type="list" allowBlank="1" showInputMessage="1" showErrorMessage="1" sqref="E1:E3" xr:uid="{00000000-0002-0000-1900-000001000000}">
      <formula1>"Quý,Tháng"</formula1>
    </dataValidation>
  </dataValidations>
  <pageMargins left="0.7" right="0.7" top="0.75" bottom="0.75" header="0.3" footer="0.3"/>
  <pageSetup paperSize="9" orientation="portrait" verticalDpi="30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9">
    <tabColor theme="5" tint="-0.249977111117893"/>
  </sheetPr>
  <dimension ref="A3:AC38"/>
  <sheetViews>
    <sheetView showGridLines="0" topLeftCell="A3" zoomScaleNormal="100" workbookViewId="0">
      <selection activeCell="C15" sqref="C15"/>
    </sheetView>
  </sheetViews>
  <sheetFormatPr defaultRowHeight="14.25" x14ac:dyDescent="0.45"/>
  <cols>
    <col min="1" max="1" width="4.59765625" customWidth="1"/>
    <col min="2" max="2" width="21.1328125" customWidth="1"/>
    <col min="3" max="3" width="11.73046875" customWidth="1"/>
    <col min="4" max="5" width="9.265625" customWidth="1"/>
    <col min="6" max="6" width="9.73046875" customWidth="1"/>
    <col min="7" max="18" width="13" customWidth="1"/>
    <col min="19" max="19" width="14.73046875" customWidth="1"/>
    <col min="20" max="20" width="10.73046875" customWidth="1"/>
    <col min="21" max="21" width="13.73046875" customWidth="1"/>
    <col min="22" max="24" width="14.1328125" customWidth="1"/>
    <col min="25" max="26" width="14" customWidth="1"/>
    <col min="27" max="27" width="17.86328125" customWidth="1"/>
    <col min="28" max="29" width="16.73046875" customWidth="1"/>
  </cols>
  <sheetData>
    <row r="3" spans="1:29" ht="36.6" customHeight="1" thickBot="1" x14ac:dyDescent="0.7">
      <c r="B3" s="186" t="s">
        <v>327</v>
      </c>
      <c r="C3" s="154"/>
      <c r="D3" s="154"/>
      <c r="E3" s="154"/>
      <c r="F3" s="154"/>
      <c r="G3" s="154"/>
      <c r="H3" s="154"/>
      <c r="I3" s="154"/>
      <c r="J3" s="154"/>
      <c r="K3" s="154"/>
      <c r="L3" s="154"/>
      <c r="M3" s="154"/>
      <c r="N3" s="154"/>
      <c r="O3" s="154"/>
      <c r="P3" s="154"/>
      <c r="Q3" s="154"/>
      <c r="R3" s="154"/>
      <c r="S3" s="154"/>
      <c r="T3" s="154"/>
      <c r="U3" s="154"/>
      <c r="V3" s="154"/>
      <c r="W3" s="154"/>
      <c r="X3" s="154"/>
      <c r="Y3" s="154"/>
      <c r="Z3" s="154"/>
      <c r="AA3" s="154"/>
      <c r="AB3" s="154"/>
      <c r="AC3" s="154"/>
    </row>
    <row r="4" spans="1:29" ht="14.65" thickTop="1" x14ac:dyDescent="0.45"/>
    <row r="7" spans="1:29" hidden="1" x14ac:dyDescent="0.45">
      <c r="C7">
        <v>7</v>
      </c>
    </row>
    <row r="10" spans="1:29" x14ac:dyDescent="0.45">
      <c r="G10" s="207">
        <f ca="1">SUBTOTAL(9,G14:G14000)</f>
        <v>0</v>
      </c>
      <c r="H10" s="207">
        <f t="shared" ref="H10:AC10" ca="1" si="0">SUBTOTAL(9,H14:H14000)</f>
        <v>0</v>
      </c>
      <c r="I10" s="207">
        <f t="shared" ca="1" si="0"/>
        <v>0</v>
      </c>
      <c r="J10" s="207">
        <f t="shared" ca="1" si="0"/>
        <v>0</v>
      </c>
      <c r="K10" s="207">
        <f t="shared" ca="1" si="0"/>
        <v>0</v>
      </c>
      <c r="L10" s="207">
        <f t="shared" ca="1" si="0"/>
        <v>0</v>
      </c>
      <c r="M10" s="207">
        <f t="shared" ca="1" si="0"/>
        <v>0</v>
      </c>
      <c r="N10" s="207">
        <f t="shared" ca="1" si="0"/>
        <v>0</v>
      </c>
      <c r="O10" s="207">
        <f t="shared" ca="1" si="0"/>
        <v>0</v>
      </c>
      <c r="P10" s="207">
        <f t="shared" ca="1" si="0"/>
        <v>0</v>
      </c>
      <c r="Q10" s="207">
        <f t="shared" ca="1" si="0"/>
        <v>0</v>
      </c>
      <c r="R10" s="207">
        <f t="shared" ca="1" si="0"/>
        <v>0</v>
      </c>
      <c r="S10" s="207">
        <f t="shared" ca="1" si="0"/>
        <v>0</v>
      </c>
      <c r="T10" s="207">
        <f t="shared" si="0"/>
        <v>0</v>
      </c>
      <c r="U10" s="207">
        <f t="shared" si="0"/>
        <v>2112000000</v>
      </c>
      <c r="V10" s="207">
        <f t="shared" si="0"/>
        <v>0</v>
      </c>
      <c r="W10" s="207">
        <f t="shared" si="0"/>
        <v>2112000000</v>
      </c>
      <c r="X10" s="207">
        <f t="shared" ca="1" si="0"/>
        <v>0</v>
      </c>
      <c r="Y10" s="207">
        <f t="shared" ca="1" si="0"/>
        <v>0</v>
      </c>
      <c r="Z10" s="207">
        <f t="shared" ca="1" si="0"/>
        <v>0</v>
      </c>
      <c r="AA10" s="207">
        <f t="shared" ca="1" si="0"/>
        <v>0</v>
      </c>
      <c r="AB10" s="207">
        <f t="shared" ca="1" si="0"/>
        <v>0</v>
      </c>
      <c r="AC10" s="207">
        <f t="shared" ca="1" si="0"/>
        <v>0</v>
      </c>
    </row>
    <row r="11" spans="1:29" x14ac:dyDescent="0.45">
      <c r="A11" s="370"/>
      <c r="B11" s="562" t="s">
        <v>372</v>
      </c>
      <c r="C11" s="367" t="s">
        <v>64</v>
      </c>
      <c r="D11" s="370"/>
      <c r="E11" s="563" t="str">
        <f ca="1">"$E$14:$E$"&amp;COUNTA(E14:E1000)+14</f>
        <v>$E$14:$E$39</v>
      </c>
      <c r="F11" s="563"/>
      <c r="G11" s="369"/>
      <c r="H11" s="369"/>
      <c r="I11" s="369"/>
      <c r="J11" s="369"/>
      <c r="K11" s="369"/>
      <c r="L11" s="369"/>
      <c r="M11" s="369"/>
      <c r="N11" s="369"/>
      <c r="O11" s="369"/>
      <c r="P11" s="369"/>
      <c r="Q11" s="369"/>
      <c r="R11" s="369"/>
      <c r="S11" s="369"/>
      <c r="T11" s="369"/>
      <c r="U11" s="369"/>
      <c r="V11" s="369"/>
      <c r="W11" s="369"/>
      <c r="X11" s="369"/>
      <c r="Y11" s="369"/>
      <c r="Z11" s="369"/>
      <c r="AA11" s="695" t="s">
        <v>382</v>
      </c>
      <c r="AB11" s="696"/>
      <c r="AC11" s="697"/>
    </row>
    <row r="12" spans="1:29" s="552" customFormat="1" ht="41.45" customHeight="1" x14ac:dyDescent="0.3">
      <c r="A12" s="566" t="s">
        <v>1</v>
      </c>
      <c r="B12" s="566" t="s">
        <v>2</v>
      </c>
      <c r="C12" s="566" t="s">
        <v>3</v>
      </c>
      <c r="D12" s="566" t="s">
        <v>4</v>
      </c>
      <c r="E12" s="566" t="s">
        <v>156</v>
      </c>
      <c r="F12" s="567" t="s">
        <v>375</v>
      </c>
      <c r="G12" s="566">
        <v>1</v>
      </c>
      <c r="H12" s="566">
        <v>2</v>
      </c>
      <c r="I12" s="566">
        <v>3</v>
      </c>
      <c r="J12" s="566">
        <v>4</v>
      </c>
      <c r="K12" s="566">
        <v>5</v>
      </c>
      <c r="L12" s="566">
        <v>6</v>
      </c>
      <c r="M12" s="566">
        <v>7</v>
      </c>
      <c r="N12" s="566">
        <v>8</v>
      </c>
      <c r="O12" s="566">
        <v>9</v>
      </c>
      <c r="P12" s="566">
        <v>10</v>
      </c>
      <c r="Q12" s="566">
        <v>11</v>
      </c>
      <c r="R12" s="566">
        <v>12</v>
      </c>
      <c r="S12" s="568" t="s">
        <v>163</v>
      </c>
      <c r="T12" s="568" t="s">
        <v>6</v>
      </c>
      <c r="U12" s="569" t="s">
        <v>326</v>
      </c>
      <c r="V12" s="570" t="s">
        <v>373</v>
      </c>
      <c r="W12" s="570" t="s">
        <v>377</v>
      </c>
      <c r="X12" s="570" t="s">
        <v>81</v>
      </c>
      <c r="Y12" s="571" t="s">
        <v>59</v>
      </c>
      <c r="Z12" s="571" t="s">
        <v>378</v>
      </c>
      <c r="AA12" s="572" t="s">
        <v>379</v>
      </c>
      <c r="AB12" s="573" t="s">
        <v>380</v>
      </c>
      <c r="AC12" s="573" t="s">
        <v>381</v>
      </c>
    </row>
    <row r="13" spans="1:29" ht="16.5" customHeight="1" x14ac:dyDescent="0.45">
      <c r="A13" s="129"/>
      <c r="B13" s="129" t="s">
        <v>24</v>
      </c>
      <c r="C13" s="561" t="s">
        <v>25</v>
      </c>
      <c r="D13" s="129" t="s">
        <v>26</v>
      </c>
      <c r="E13" s="129" t="s">
        <v>27</v>
      </c>
      <c r="F13" s="129"/>
      <c r="G13" s="129" t="str">
        <f>$C$11</f>
        <v>TNCT</v>
      </c>
      <c r="H13" s="129" t="str">
        <f>$G$13</f>
        <v>TNCT</v>
      </c>
      <c r="I13" s="129" t="str">
        <f t="shared" ref="I13:R13" si="1">$G$13</f>
        <v>TNCT</v>
      </c>
      <c r="J13" s="129" t="str">
        <f t="shared" si="1"/>
        <v>TNCT</v>
      </c>
      <c r="K13" s="129" t="str">
        <f t="shared" si="1"/>
        <v>TNCT</v>
      </c>
      <c r="L13" s="129" t="str">
        <f t="shared" si="1"/>
        <v>TNCT</v>
      </c>
      <c r="M13" s="129" t="str">
        <f t="shared" si="1"/>
        <v>TNCT</v>
      </c>
      <c r="N13" s="129" t="str">
        <f t="shared" si="1"/>
        <v>TNCT</v>
      </c>
      <c r="O13" s="129" t="str">
        <f t="shared" si="1"/>
        <v>TNCT</v>
      </c>
      <c r="P13" s="129" t="str">
        <f t="shared" si="1"/>
        <v>TNCT</v>
      </c>
      <c r="Q13" s="129" t="str">
        <f t="shared" si="1"/>
        <v>TNCT</v>
      </c>
      <c r="R13" s="129" t="str">
        <f t="shared" si="1"/>
        <v>TNCT</v>
      </c>
      <c r="S13" s="574" t="s">
        <v>164</v>
      </c>
      <c r="T13" s="574" t="s">
        <v>28</v>
      </c>
      <c r="U13" s="564">
        <v>11000000</v>
      </c>
      <c r="V13" s="564">
        <v>4400000</v>
      </c>
      <c r="W13" s="575" t="s">
        <v>383</v>
      </c>
      <c r="X13" s="564" t="s">
        <v>165</v>
      </c>
      <c r="Y13" s="565" t="s">
        <v>154</v>
      </c>
      <c r="Z13" s="565" t="s">
        <v>384</v>
      </c>
      <c r="AA13" s="565" t="s">
        <v>385</v>
      </c>
      <c r="AB13" s="565" t="s">
        <v>386</v>
      </c>
      <c r="AC13" s="565" t="s">
        <v>387</v>
      </c>
    </row>
    <row r="14" spans="1:29" x14ac:dyDescent="0.45">
      <c r="A14" s="5">
        <f ca="1">IF(B14&lt;&gt;"",SUBTOTAL(3,$B$14:B14),"")</f>
        <v>1</v>
      </c>
      <c r="B14" s="3">
        <f ca="1">INDEX(INDIRECT(Danh_Sach!$N$1),ROWS($B$14:$B14),MATCH(B$13,INDIRECT(Danh_Sach!$N$2),0))</f>
        <v>0</v>
      </c>
      <c r="C14" s="118">
        <f ca="1">INDEX(INDIRECT(Danh_Sach!$N$1),ROWS($B$14:$B14),MATCH(C$13,INDIRECT(Danh_Sach!$N$2),0))</f>
        <v>0</v>
      </c>
      <c r="D14" s="118">
        <f ca="1">INDEX(INDIRECT(Danh_Sach!$N$1),ROWS($B$14:$B14),MATCH(D$13,INDIRECT(Danh_Sach!$N$2),0))</f>
        <v>0</v>
      </c>
      <c r="E14" s="118">
        <f ca="1">INDEX(INDIRECT(Danh_Sach!$N$1),ROWS($B$14:$B14),MATCH(E$13,INDIRECT(Danh_Sach!$N$2),0))</f>
        <v>0</v>
      </c>
      <c r="F14" s="118" t="s">
        <v>215</v>
      </c>
      <c r="G14" s="107">
        <f t="array" aca="1" ref="G14" ca="1">INDEX(INDIRECT("'"&amp;G$12&amp;"'!$B$14:$AJ$1400"),ROWS($B$14:$B14),MATCH(G$13,INDIRECT("'"&amp;G$12&amp;"'!$B$13:$AJ$13"),0))</f>
        <v>0</v>
      </c>
      <c r="H14" s="107">
        <f t="array" aca="1" ref="H14" ca="1">INDEX(INDIRECT("'"&amp;H$12&amp;"'!$B$14:$AJ$1400"),ROWS($B$14:$B14),MATCH(H$13,INDIRECT("'"&amp;H$12&amp;"'!$B$13:$AJ$13"),0))</f>
        <v>0</v>
      </c>
      <c r="I14" s="107">
        <f t="array" aca="1" ref="I14" ca="1">INDEX(INDIRECT("'"&amp;I$12&amp;"'!$B$14:$AJ$1400"),ROWS($B$14:$B14),MATCH(I$13,INDIRECT("'"&amp;I$12&amp;"'!$B$13:$AJ$13"),0))</f>
        <v>0</v>
      </c>
      <c r="J14" s="107">
        <f t="array" aca="1" ref="J14" ca="1">INDEX(INDIRECT("'"&amp;J$12&amp;"'!$B$14:$AJ$1400"),ROWS($B$14:$B14),MATCH(J$13,INDIRECT("'"&amp;J$12&amp;"'!$B$13:$AJ$13"),0))</f>
        <v>0</v>
      </c>
      <c r="K14" s="107">
        <f t="array" aca="1" ref="K14" ca="1">INDEX(INDIRECT("'"&amp;K$12&amp;"'!$B$14:$AJ$1400"),ROWS($B$14:$B14),MATCH(K$13,INDIRECT("'"&amp;K$12&amp;"'!$B$13:$AJ$13"),0))</f>
        <v>0</v>
      </c>
      <c r="L14" s="107">
        <f t="array" aca="1" ref="L14" ca="1">INDEX(INDIRECT("'"&amp;L$12&amp;"'!$B$14:$AJ$1400"),ROWS($B$14:$B14),MATCH(L$13,INDIRECT("'"&amp;L$12&amp;"'!$B$13:$AJ$13"),0))</f>
        <v>0</v>
      </c>
      <c r="M14" s="107">
        <f t="array" aca="1" ref="M14" ca="1">INDEX(INDIRECT("'"&amp;M$12&amp;"'!$B$14:$AJ$1400"),ROWS($B$14:$B14),MATCH(M$13,INDIRECT("'"&amp;M$12&amp;"'!$B$13:$AJ$13"),0))</f>
        <v>0</v>
      </c>
      <c r="N14" s="107">
        <f t="array" aca="1" ref="N14" ca="1">INDEX(INDIRECT("'"&amp;N$12&amp;"'!$B$14:$AJ$1400"),ROWS($B$14:$B14),MATCH(N$13,INDIRECT("'"&amp;N$12&amp;"'!$B$13:$AJ$13"),0))</f>
        <v>0</v>
      </c>
      <c r="O14" s="107">
        <f t="array" aca="1" ref="O14" ca="1">INDEX(INDIRECT("'"&amp;O$12&amp;"'!$B$14:$AJ$1400"),ROWS($B$14:$B14),MATCH(O$13,INDIRECT("'"&amp;O$12&amp;"'!$B$13:$AJ$13"),0))</f>
        <v>0</v>
      </c>
      <c r="P14" s="107">
        <f t="array" aca="1" ref="P14" ca="1">INDEX(INDIRECT("'"&amp;P$12&amp;"'!$B$14:$AJ$1400"),ROWS($B$14:$B14),MATCH(P$13,INDIRECT("'"&amp;P$12&amp;"'!$B$13:$AJ$13"),0))</f>
        <v>0</v>
      </c>
      <c r="Q14" s="107">
        <f t="array" aca="1" ref="Q14" ca="1">INDEX(INDIRECT("'"&amp;Q$12&amp;"'!$B$14:$AJ$1400"),ROWS($B$14:$B14),MATCH(Q$13,INDIRECT("'"&amp;Q$12&amp;"'!$B$13:$AJ$13"),0))</f>
        <v>0</v>
      </c>
      <c r="R14" s="107">
        <f ca="1">INDEX(INDIRECT("'"&amp;R$12&amp;"'!$B$14:$AJ$1400"),ROWS($B$14:$B14),MATCH(R$13,INDIRECT("'"&amp;R$12&amp;"'!$B$13:$AJ$13"),0))</f>
        <v>0</v>
      </c>
      <c r="S14" s="375">
        <f ca="1">SUM(G14:R14)</f>
        <v>0</v>
      </c>
      <c r="T14" s="375">
        <f>NPT!Z10</f>
        <v>0</v>
      </c>
      <c r="U14" s="375">
        <f>IF(F14&lt;&gt;"",$U$13*12,SUM('1:12'!AC14))</f>
        <v>132000000</v>
      </c>
      <c r="V14" s="375">
        <f>IF(AND(F14&lt;&gt;"",T14&gt;0),V$13*12*T14,NPT!Q10)</f>
        <v>0</v>
      </c>
      <c r="W14" s="375">
        <f>U14+V14</f>
        <v>132000000</v>
      </c>
      <c r="X14" s="375">
        <f ca="1">SUM('1:12'!AE14)</f>
        <v>0</v>
      </c>
      <c r="Y14" s="375">
        <f ca="1">MAX(0,S14-W14-X14)</f>
        <v>0</v>
      </c>
      <c r="Z14" s="107">
        <f ca="1">SUM('1:12'!AI14)</f>
        <v>0</v>
      </c>
      <c r="AA14" s="107">
        <f ca="1">IF(AND(F14&lt;&gt;"",Y14&gt;0),(Y14-VLOOKUP(Y14-1,INDIRECT(TAXRATE!$E$11),1,1))*VLOOKUP(Y14,INDIRECT(TAXRATE!$E$11),2,1)+VLOOKUP(Y14-1,INDIRECT(TAXRATE!$E$11),3,1),0)</f>
        <v>0</v>
      </c>
      <c r="AB14" s="375">
        <f ca="1">IF(F14&lt;&gt;"",MAX(0,Z14-AA14),0)</f>
        <v>0</v>
      </c>
      <c r="AC14" s="375">
        <f ca="1">IF(F14&lt;&gt;"",MAX(AA14-Z14,0),0)</f>
        <v>0</v>
      </c>
    </row>
    <row r="15" spans="1:29" x14ac:dyDescent="0.45">
      <c r="A15" s="5">
        <f ca="1">IF(B15&lt;&gt;"",SUBTOTAL(3,$B$14:B15),"")</f>
        <v>2</v>
      </c>
      <c r="B15" s="3">
        <f ca="1">INDEX(INDIRECT(Danh_Sach!$N$1),ROWS($B$14:$B15),MATCH(B$13,INDIRECT(Danh_Sach!$N$2),0))</f>
        <v>0</v>
      </c>
      <c r="C15" s="118">
        <f ca="1">INDEX(INDIRECT(Danh_Sach!$N$1),ROWS($B$14:$B15),MATCH(C$13,INDIRECT(Danh_Sach!$N$2),0))</f>
        <v>0</v>
      </c>
      <c r="D15" s="118">
        <f ca="1">INDEX(INDIRECT(Danh_Sach!$N$1),ROWS($B$14:$B15),MATCH(D$13,INDIRECT(Danh_Sach!$N$2),0))</f>
        <v>0</v>
      </c>
      <c r="E15" s="118">
        <f ca="1">INDEX(INDIRECT(Danh_Sach!$N$1),ROWS($B$14:$B15),MATCH(E$13,INDIRECT(Danh_Sach!$N$2),0))</f>
        <v>0</v>
      </c>
      <c r="F15" s="118" t="s">
        <v>215</v>
      </c>
      <c r="G15" s="107">
        <f t="array" aca="1" ref="G15" ca="1">INDEX(INDIRECT("'"&amp;G$12&amp;"'!$B$14:$AJ$1400"),ROWS($B$14:$B15),MATCH(G$13,INDIRECT("'"&amp;G$12&amp;"'!$B$13:$AJ$13"),0))</f>
        <v>0</v>
      </c>
      <c r="H15" s="107">
        <f t="array" aca="1" ref="H15" ca="1">INDEX(INDIRECT("'"&amp;H$12&amp;"'!$B$14:$AJ$1400"),ROWS($B$14:$B15),MATCH(H$13,INDIRECT("'"&amp;H$12&amp;"'!$B$13:$AJ$13"),0))</f>
        <v>0</v>
      </c>
      <c r="I15" s="107">
        <f t="array" aca="1" ref="I15" ca="1">INDEX(INDIRECT("'"&amp;I$12&amp;"'!$B$14:$AJ$1400"),ROWS($B$14:$B15),MATCH(I$13,INDIRECT("'"&amp;I$12&amp;"'!$B$13:$AJ$13"),0))</f>
        <v>0</v>
      </c>
      <c r="J15" s="107">
        <f t="array" aca="1" ref="J15" ca="1">INDEX(INDIRECT("'"&amp;J$12&amp;"'!$B$14:$AJ$1400"),ROWS($B$14:$B15),MATCH(J$13,INDIRECT("'"&amp;J$12&amp;"'!$B$13:$AJ$13"),0))</f>
        <v>0</v>
      </c>
      <c r="K15" s="107">
        <f t="array" aca="1" ref="K15" ca="1">INDEX(INDIRECT("'"&amp;K$12&amp;"'!$B$14:$AJ$1400"),ROWS($B$14:$B15),MATCH(K$13,INDIRECT("'"&amp;K$12&amp;"'!$B$13:$AJ$13"),0))</f>
        <v>0</v>
      </c>
      <c r="L15" s="107">
        <f t="array" aca="1" ref="L15" ca="1">INDEX(INDIRECT("'"&amp;L$12&amp;"'!$B$14:$AJ$1400"),ROWS($B$14:$B15),MATCH(L$13,INDIRECT("'"&amp;L$12&amp;"'!$B$13:$AJ$13"),0))</f>
        <v>0</v>
      </c>
      <c r="M15" s="107">
        <f t="array" aca="1" ref="M15" ca="1">INDEX(INDIRECT("'"&amp;M$12&amp;"'!$B$14:$AJ$1400"),ROWS($B$14:$B15),MATCH(M$13,INDIRECT("'"&amp;M$12&amp;"'!$B$13:$AJ$13"),0))</f>
        <v>0</v>
      </c>
      <c r="N15" s="107">
        <f t="array" aca="1" ref="N15" ca="1">INDEX(INDIRECT("'"&amp;N$12&amp;"'!$B$14:$AJ$1400"),ROWS($B$14:$B15),MATCH(N$13,INDIRECT("'"&amp;N$12&amp;"'!$B$13:$AJ$13"),0))</f>
        <v>0</v>
      </c>
      <c r="O15" s="107">
        <f t="array" aca="1" ref="O15" ca="1">INDEX(INDIRECT("'"&amp;O$12&amp;"'!$B$14:$AJ$1400"),ROWS($B$14:$B15),MATCH(O$13,INDIRECT("'"&amp;O$12&amp;"'!$B$13:$AJ$13"),0))</f>
        <v>0</v>
      </c>
      <c r="P15" s="107">
        <f t="array" aca="1" ref="P15" ca="1">INDEX(INDIRECT("'"&amp;P$12&amp;"'!$B$14:$AJ$1400"),ROWS($B$14:$B15),MATCH(P$13,INDIRECT("'"&amp;P$12&amp;"'!$B$13:$AJ$13"),0))</f>
        <v>0</v>
      </c>
      <c r="Q15" s="107">
        <f t="array" aca="1" ref="Q15" ca="1">INDEX(INDIRECT("'"&amp;Q$12&amp;"'!$B$14:$AJ$1400"),ROWS($B$14:$B15),MATCH(Q$13,INDIRECT("'"&amp;Q$12&amp;"'!$B$13:$AJ$13"),0))</f>
        <v>0</v>
      </c>
      <c r="R15" s="107">
        <f ca="1">INDEX(INDIRECT("'"&amp;R$12&amp;"'!$B$14:$AJ$1400"),ROWS($B$14:$B15),MATCH(R$13,INDIRECT("'"&amp;R$12&amp;"'!$B$13:$AJ$13"),0))</f>
        <v>0</v>
      </c>
      <c r="S15" s="375">
        <f ca="1">SUM(G15:R15)</f>
        <v>0</v>
      </c>
      <c r="T15" s="375">
        <f>NPT!Z11</f>
        <v>0</v>
      </c>
      <c r="U15" s="375">
        <f>IF(F15&lt;&gt;"",$U$13*12,SUM('1:12'!AC15))</f>
        <v>132000000</v>
      </c>
      <c r="V15" s="375">
        <f>IF(AND(F15&lt;&gt;"",T15&gt;0),V$13*12*T15,NPT!Q11)</f>
        <v>0</v>
      </c>
      <c r="W15" s="375">
        <f>U15+V15</f>
        <v>132000000</v>
      </c>
      <c r="X15" s="375">
        <f ca="1">SUM('1:12'!AE15)</f>
        <v>0</v>
      </c>
      <c r="Y15" s="375">
        <f ca="1">MAX(0,S15-W15-X15)</f>
        <v>0</v>
      </c>
      <c r="Z15" s="107">
        <f ca="1">SUM('1:12'!AI15)</f>
        <v>0</v>
      </c>
      <c r="AA15" s="107">
        <f ca="1">IF(AND(F15&lt;&gt;"",Y15&gt;0),(Y15-VLOOKUP(Y15-1,INDIRECT(TAXRATE!$E$11),1,1))*VLOOKUP(Y15,INDIRECT(TAXRATE!$E$11),2,1)+VLOOKUP(Y15-1,INDIRECT(TAXRATE!$E$11),3,1),0)</f>
        <v>0</v>
      </c>
      <c r="AB15" s="375">
        <f ca="1">IF(F15&lt;&gt;"",MAX(0,Z15-AA15),0)</f>
        <v>0</v>
      </c>
      <c r="AC15" s="375">
        <f ca="1">IF(F15&lt;&gt;"",MAX(AA15-Z15,0),0)</f>
        <v>0</v>
      </c>
    </row>
    <row r="16" spans="1:29" x14ac:dyDescent="0.45">
      <c r="A16" s="5">
        <f ca="1">IF(B16&lt;&gt;"",SUBTOTAL(3,$B$14:B16),"")</f>
        <v>3</v>
      </c>
      <c r="B16" s="3">
        <f ca="1">INDEX(INDIRECT(Danh_Sach!$N$1),ROWS($B$14:$B16),MATCH(B$13,INDIRECT(Danh_Sach!$N$2),0))</f>
        <v>0</v>
      </c>
      <c r="C16" s="118">
        <f ca="1">INDEX(INDIRECT(Danh_Sach!$N$1),ROWS($B$14:$B16),MATCH(C$13,INDIRECT(Danh_Sach!$N$2),0))</f>
        <v>0</v>
      </c>
      <c r="D16" s="118">
        <f ca="1">INDEX(INDIRECT(Danh_Sach!$N$1),ROWS($B$14:$B16),MATCH(D$13,INDIRECT(Danh_Sach!$N$2),0))</f>
        <v>0</v>
      </c>
      <c r="E16" s="118">
        <f ca="1">INDEX(INDIRECT(Danh_Sach!$N$1),ROWS($B$14:$B16),MATCH(E$13,INDIRECT(Danh_Sach!$N$2),0))</f>
        <v>0</v>
      </c>
      <c r="F16" s="118" t="s">
        <v>215</v>
      </c>
      <c r="G16" s="107">
        <f t="array" aca="1" ref="G16" ca="1">INDEX(INDIRECT("'"&amp;G$12&amp;"'!$B$14:$AJ$1400"),ROWS($B$14:$B16),MATCH(G$13,INDIRECT("'"&amp;G$12&amp;"'!$B$13:$AJ$13"),0))</f>
        <v>0</v>
      </c>
      <c r="H16" s="107">
        <f t="array" aca="1" ref="H16" ca="1">INDEX(INDIRECT("'"&amp;H$12&amp;"'!$B$14:$AJ$1400"),ROWS($B$14:$B16),MATCH(H$13,INDIRECT("'"&amp;H$12&amp;"'!$B$13:$AJ$13"),0))</f>
        <v>0</v>
      </c>
      <c r="I16" s="107">
        <f t="array" aca="1" ref="I16" ca="1">INDEX(INDIRECT("'"&amp;I$12&amp;"'!$B$14:$AJ$1400"),ROWS($B$14:$B16),MATCH(I$13,INDIRECT("'"&amp;I$12&amp;"'!$B$13:$AJ$13"),0))</f>
        <v>0</v>
      </c>
      <c r="J16" s="107">
        <f t="array" aca="1" ref="J16" ca="1">INDEX(INDIRECT("'"&amp;J$12&amp;"'!$B$14:$AJ$1400"),ROWS($B$14:$B16),MATCH(J$13,INDIRECT("'"&amp;J$12&amp;"'!$B$13:$AJ$13"),0))</f>
        <v>0</v>
      </c>
      <c r="K16" s="107">
        <f t="array" aca="1" ref="K16" ca="1">INDEX(INDIRECT("'"&amp;K$12&amp;"'!$B$14:$AJ$1400"),ROWS($B$14:$B16),MATCH(K$13,INDIRECT("'"&amp;K$12&amp;"'!$B$13:$AJ$13"),0))</f>
        <v>0</v>
      </c>
      <c r="L16" s="107">
        <f t="array" aca="1" ref="L16" ca="1">INDEX(INDIRECT("'"&amp;L$12&amp;"'!$B$14:$AJ$1400"),ROWS($B$14:$B16),MATCH(L$13,INDIRECT("'"&amp;L$12&amp;"'!$B$13:$AJ$13"),0))</f>
        <v>0</v>
      </c>
      <c r="M16" s="107">
        <f t="array" aca="1" ref="M16" ca="1">INDEX(INDIRECT("'"&amp;M$12&amp;"'!$B$14:$AJ$1400"),ROWS($B$14:$B16),MATCH(M$13,INDIRECT("'"&amp;M$12&amp;"'!$B$13:$AJ$13"),0))</f>
        <v>0</v>
      </c>
      <c r="N16" s="107">
        <f t="array" aca="1" ref="N16" ca="1">INDEX(INDIRECT("'"&amp;N$12&amp;"'!$B$14:$AJ$1400"),ROWS($B$14:$B16),MATCH(N$13,INDIRECT("'"&amp;N$12&amp;"'!$B$13:$AJ$13"),0))</f>
        <v>0</v>
      </c>
      <c r="O16" s="107">
        <f t="array" aca="1" ref="O16" ca="1">INDEX(INDIRECT("'"&amp;O$12&amp;"'!$B$14:$AJ$1400"),ROWS($B$14:$B16),MATCH(O$13,INDIRECT("'"&amp;O$12&amp;"'!$B$13:$AJ$13"),0))</f>
        <v>0</v>
      </c>
      <c r="P16" s="107">
        <f t="array" aca="1" ref="P16" ca="1">INDEX(INDIRECT("'"&amp;P$12&amp;"'!$B$14:$AJ$1400"),ROWS($B$14:$B16),MATCH(P$13,INDIRECT("'"&amp;P$12&amp;"'!$B$13:$AJ$13"),0))</f>
        <v>0</v>
      </c>
      <c r="Q16" s="107">
        <f t="array" aca="1" ref="Q16" ca="1">INDEX(INDIRECT("'"&amp;Q$12&amp;"'!$B$14:$AJ$1400"),ROWS($B$14:$B16),MATCH(Q$13,INDIRECT("'"&amp;Q$12&amp;"'!$B$13:$AJ$13"),0))</f>
        <v>0</v>
      </c>
      <c r="R16" s="107">
        <f ca="1">INDEX(INDIRECT("'"&amp;R$12&amp;"'!$B$14:$AJ$1400"),ROWS($B$14:$B16),MATCH(R$13,INDIRECT("'"&amp;R$12&amp;"'!$B$13:$AJ$13"),0))</f>
        <v>0</v>
      </c>
      <c r="S16" s="375">
        <f t="shared" ref="S16:S38" ca="1" si="2">SUM(G16:R16)</f>
        <v>0</v>
      </c>
      <c r="T16" s="375">
        <f>NPT!Z12</f>
        <v>0</v>
      </c>
      <c r="U16" s="375">
        <f>IF(F16&lt;&gt;"",$U$13*12,SUM('1:12'!AC16))</f>
        <v>132000000</v>
      </c>
      <c r="V16" s="375">
        <f>IF(AND(F16&lt;&gt;"",T16&gt;0),V$13*12*T16,NPT!Q12)</f>
        <v>0</v>
      </c>
      <c r="W16" s="375">
        <f t="shared" ref="W16:W38" si="3">U16+V16</f>
        <v>132000000</v>
      </c>
      <c r="X16" s="375">
        <f>SUM('1:12'!AE16)</f>
        <v>0</v>
      </c>
      <c r="Y16" s="375">
        <f t="shared" ref="Y16:Y38" ca="1" si="4">MAX(0,S16-W16-X16)</f>
        <v>0</v>
      </c>
      <c r="Z16" s="107">
        <f>SUM('1:12'!AI16)</f>
        <v>0</v>
      </c>
      <c r="AA16" s="107">
        <f ca="1">IF(AND(F16&lt;&gt;"",Y16&gt;0),(Y16-VLOOKUP(Y16-1,INDIRECT(TAXRATE!$E$11),1,1))*VLOOKUP(Y16,INDIRECT(TAXRATE!$E$11),2,1)+VLOOKUP(Y16-1,INDIRECT(TAXRATE!$E$11),3,1),0)</f>
        <v>0</v>
      </c>
      <c r="AB16" s="375">
        <f t="shared" ref="AB16:AB38" ca="1" si="5">IF(F16&lt;&gt;"",MAX(0,Z16-AA16),0)</f>
        <v>0</v>
      </c>
      <c r="AC16" s="375">
        <f t="shared" ref="AC16:AC38" ca="1" si="6">IF(F16&lt;&gt;"",MAX(AA16-Z16,0),0)</f>
        <v>0</v>
      </c>
    </row>
    <row r="17" spans="1:29" x14ac:dyDescent="0.45">
      <c r="A17" s="5">
        <f ca="1">IF(B17&lt;&gt;"",SUBTOTAL(3,$B$14:B17),"")</f>
        <v>4</v>
      </c>
      <c r="B17" s="3">
        <f ca="1">INDEX(INDIRECT(Danh_Sach!$N$1),ROWS($B$14:$B17),MATCH(B$13,INDIRECT(Danh_Sach!$N$2),0))</f>
        <v>0</v>
      </c>
      <c r="C17" s="118">
        <f ca="1">INDEX(INDIRECT(Danh_Sach!$N$1),ROWS($B$14:$B17),MATCH(C$13,INDIRECT(Danh_Sach!$N$2),0))</f>
        <v>0</v>
      </c>
      <c r="D17" s="118">
        <f ca="1">INDEX(INDIRECT(Danh_Sach!$N$1),ROWS($B$14:$B17),MATCH(D$13,INDIRECT(Danh_Sach!$N$2),0))</f>
        <v>0</v>
      </c>
      <c r="E17" s="118">
        <f ca="1">INDEX(INDIRECT(Danh_Sach!$N$1),ROWS($B$14:$B17),MATCH(E$13,INDIRECT(Danh_Sach!$N$2),0))</f>
        <v>0</v>
      </c>
      <c r="F17" s="118" t="s">
        <v>215</v>
      </c>
      <c r="G17" s="107">
        <f t="array" aca="1" ref="G17" ca="1">INDEX(INDIRECT("'"&amp;G$12&amp;"'!$B$14:$AJ$1400"),ROWS($B$14:$B17),MATCH(G$13,INDIRECT("'"&amp;G$12&amp;"'!$B$13:$AJ$13"),0))</f>
        <v>0</v>
      </c>
      <c r="H17" s="107">
        <f t="array" aca="1" ref="H17" ca="1">INDEX(INDIRECT("'"&amp;H$12&amp;"'!$B$14:$AJ$1400"),ROWS($B$14:$B17),MATCH(H$13,INDIRECT("'"&amp;H$12&amp;"'!$B$13:$AJ$13"),0))</f>
        <v>0</v>
      </c>
      <c r="I17" s="107">
        <f t="array" aca="1" ref="I17" ca="1">INDEX(INDIRECT("'"&amp;I$12&amp;"'!$B$14:$AJ$1400"),ROWS($B$14:$B17),MATCH(I$13,INDIRECT("'"&amp;I$12&amp;"'!$B$13:$AJ$13"),0))</f>
        <v>0</v>
      </c>
      <c r="J17" s="107">
        <f t="array" aca="1" ref="J17" ca="1">INDEX(INDIRECT("'"&amp;J$12&amp;"'!$B$14:$AJ$1400"),ROWS($B$14:$B17),MATCH(J$13,INDIRECT("'"&amp;J$12&amp;"'!$B$13:$AJ$13"),0))</f>
        <v>0</v>
      </c>
      <c r="K17" s="107">
        <f t="array" aca="1" ref="K17" ca="1">INDEX(INDIRECT("'"&amp;K$12&amp;"'!$B$14:$AJ$1400"),ROWS($B$14:$B17),MATCH(K$13,INDIRECT("'"&amp;K$12&amp;"'!$B$13:$AJ$13"),0))</f>
        <v>0</v>
      </c>
      <c r="L17" s="107">
        <f t="array" aca="1" ref="L17" ca="1">INDEX(INDIRECT("'"&amp;L$12&amp;"'!$B$14:$AJ$1400"),ROWS($B$14:$B17),MATCH(L$13,INDIRECT("'"&amp;L$12&amp;"'!$B$13:$AJ$13"),0))</f>
        <v>0</v>
      </c>
      <c r="M17" s="107">
        <f t="array" aca="1" ref="M17" ca="1">INDEX(INDIRECT("'"&amp;M$12&amp;"'!$B$14:$AJ$1400"),ROWS($B$14:$B17),MATCH(M$13,INDIRECT("'"&amp;M$12&amp;"'!$B$13:$AJ$13"),0))</f>
        <v>0</v>
      </c>
      <c r="N17" s="107">
        <f t="array" aca="1" ref="N17" ca="1">INDEX(INDIRECT("'"&amp;N$12&amp;"'!$B$14:$AJ$1400"),ROWS($B$14:$B17),MATCH(N$13,INDIRECT("'"&amp;N$12&amp;"'!$B$13:$AJ$13"),0))</f>
        <v>0</v>
      </c>
      <c r="O17" s="107">
        <f t="array" aca="1" ref="O17" ca="1">INDEX(INDIRECT("'"&amp;O$12&amp;"'!$B$14:$AJ$1400"),ROWS($B$14:$B17),MATCH(O$13,INDIRECT("'"&amp;O$12&amp;"'!$B$13:$AJ$13"),0))</f>
        <v>0</v>
      </c>
      <c r="P17" s="107">
        <f t="array" aca="1" ref="P17" ca="1">INDEX(INDIRECT("'"&amp;P$12&amp;"'!$B$14:$AJ$1400"),ROWS($B$14:$B17),MATCH(P$13,INDIRECT("'"&amp;P$12&amp;"'!$B$13:$AJ$13"),0))</f>
        <v>0</v>
      </c>
      <c r="Q17" s="107">
        <f t="array" aca="1" ref="Q17" ca="1">INDEX(INDIRECT("'"&amp;Q$12&amp;"'!$B$14:$AJ$1400"),ROWS($B$14:$B17),MATCH(Q$13,INDIRECT("'"&amp;Q$12&amp;"'!$B$13:$AJ$13"),0))</f>
        <v>0</v>
      </c>
      <c r="R17" s="107">
        <f ca="1">INDEX(INDIRECT("'"&amp;R$12&amp;"'!$B$14:$AJ$1400"),ROWS($B$14:$B17),MATCH(R$13,INDIRECT("'"&amp;R$12&amp;"'!$B$13:$AJ$13"),0))</f>
        <v>0</v>
      </c>
      <c r="S17" s="375">
        <f t="shared" ca="1" si="2"/>
        <v>0</v>
      </c>
      <c r="T17" s="375">
        <f>NPT!Z13</f>
        <v>0</v>
      </c>
      <c r="U17" s="375">
        <f>IF(F17&lt;&gt;"",$U$13*12,SUM('1:12'!AC17))</f>
        <v>132000000</v>
      </c>
      <c r="V17" s="375">
        <f>IF(AND(F17&lt;&gt;"",T17&gt;0),V$13*12*T17,NPT!Q13)</f>
        <v>0</v>
      </c>
      <c r="W17" s="375">
        <f t="shared" si="3"/>
        <v>132000000</v>
      </c>
      <c r="X17" s="375">
        <f>SUM('1:12'!AE17)</f>
        <v>0</v>
      </c>
      <c r="Y17" s="375">
        <f t="shared" ca="1" si="4"/>
        <v>0</v>
      </c>
      <c r="Z17" s="107">
        <f>SUM('1:12'!AI17)</f>
        <v>0</v>
      </c>
      <c r="AA17" s="107">
        <f ca="1">IF(AND(F17&lt;&gt;"",Y17&gt;0),(Y17-VLOOKUP(Y17-1,INDIRECT(TAXRATE!$E$11),1,1))*VLOOKUP(Y17,INDIRECT(TAXRATE!$E$11),2,1)+VLOOKUP(Y17-1,INDIRECT(TAXRATE!$E$11),3,1),0)</f>
        <v>0</v>
      </c>
      <c r="AB17" s="375">
        <f t="shared" ca="1" si="5"/>
        <v>0</v>
      </c>
      <c r="AC17" s="375">
        <f t="shared" ca="1" si="6"/>
        <v>0</v>
      </c>
    </row>
    <row r="18" spans="1:29" x14ac:dyDescent="0.45">
      <c r="A18" s="5">
        <f ca="1">IF(B18&lt;&gt;"",SUBTOTAL(3,$B$14:B18),"")</f>
        <v>5</v>
      </c>
      <c r="B18" s="3">
        <f ca="1">INDEX(INDIRECT(Danh_Sach!$N$1),ROWS($B$14:$B18),MATCH(B$13,INDIRECT(Danh_Sach!$N$2),0))</f>
        <v>0</v>
      </c>
      <c r="C18" s="118">
        <f ca="1">INDEX(INDIRECT(Danh_Sach!$N$1),ROWS($B$14:$B18),MATCH(C$13,INDIRECT(Danh_Sach!$N$2),0))</f>
        <v>0</v>
      </c>
      <c r="D18" s="118">
        <f ca="1">INDEX(INDIRECT(Danh_Sach!$N$1),ROWS($B$14:$B18),MATCH(D$13,INDIRECT(Danh_Sach!$N$2),0))</f>
        <v>0</v>
      </c>
      <c r="E18" s="118">
        <f ca="1">INDEX(INDIRECT(Danh_Sach!$N$1),ROWS($B$14:$B18),MATCH(E$13,INDIRECT(Danh_Sach!$N$2),0))</f>
        <v>0</v>
      </c>
      <c r="F18" s="118" t="s">
        <v>215</v>
      </c>
      <c r="G18" s="107">
        <f t="array" aca="1" ref="G18" ca="1">INDEX(INDIRECT("'"&amp;G$12&amp;"'!$B$14:$AJ$1400"),ROWS($B$14:$B18),MATCH(G$13,INDIRECT("'"&amp;G$12&amp;"'!$B$13:$AJ$13"),0))</f>
        <v>0</v>
      </c>
      <c r="H18" s="107">
        <f t="array" aca="1" ref="H18" ca="1">INDEX(INDIRECT("'"&amp;H$12&amp;"'!$B$14:$AJ$1400"),ROWS($B$14:$B18),MATCH(H$13,INDIRECT("'"&amp;H$12&amp;"'!$B$13:$AJ$13"),0))</f>
        <v>0</v>
      </c>
      <c r="I18" s="107">
        <f t="array" aca="1" ref="I18" ca="1">INDEX(INDIRECT("'"&amp;I$12&amp;"'!$B$14:$AJ$1400"),ROWS($B$14:$B18),MATCH(I$13,INDIRECT("'"&amp;I$12&amp;"'!$B$13:$AJ$13"),0))</f>
        <v>0</v>
      </c>
      <c r="J18" s="107">
        <f t="array" aca="1" ref="J18" ca="1">INDEX(INDIRECT("'"&amp;J$12&amp;"'!$B$14:$AJ$1400"),ROWS($B$14:$B18),MATCH(J$13,INDIRECT("'"&amp;J$12&amp;"'!$B$13:$AJ$13"),0))</f>
        <v>0</v>
      </c>
      <c r="K18" s="107">
        <f t="array" aca="1" ref="K18" ca="1">INDEX(INDIRECT("'"&amp;K$12&amp;"'!$B$14:$AJ$1400"),ROWS($B$14:$B18),MATCH(K$13,INDIRECT("'"&amp;K$12&amp;"'!$B$13:$AJ$13"),0))</f>
        <v>0</v>
      </c>
      <c r="L18" s="107">
        <f t="array" aca="1" ref="L18" ca="1">INDEX(INDIRECT("'"&amp;L$12&amp;"'!$B$14:$AJ$1400"),ROWS($B$14:$B18),MATCH(L$13,INDIRECT("'"&amp;L$12&amp;"'!$B$13:$AJ$13"),0))</f>
        <v>0</v>
      </c>
      <c r="M18" s="107">
        <f t="array" aca="1" ref="M18" ca="1">INDEX(INDIRECT("'"&amp;M$12&amp;"'!$B$14:$AJ$1400"),ROWS($B$14:$B18),MATCH(M$13,INDIRECT("'"&amp;M$12&amp;"'!$B$13:$AJ$13"),0))</f>
        <v>0</v>
      </c>
      <c r="N18" s="107">
        <f t="array" aca="1" ref="N18" ca="1">INDEX(INDIRECT("'"&amp;N$12&amp;"'!$B$14:$AJ$1400"),ROWS($B$14:$B18),MATCH(N$13,INDIRECT("'"&amp;N$12&amp;"'!$B$13:$AJ$13"),0))</f>
        <v>0</v>
      </c>
      <c r="O18" s="107">
        <f t="array" aca="1" ref="O18" ca="1">INDEX(INDIRECT("'"&amp;O$12&amp;"'!$B$14:$AJ$1400"),ROWS($B$14:$B18),MATCH(O$13,INDIRECT("'"&amp;O$12&amp;"'!$B$13:$AJ$13"),0))</f>
        <v>0</v>
      </c>
      <c r="P18" s="107">
        <f t="array" aca="1" ref="P18" ca="1">INDEX(INDIRECT("'"&amp;P$12&amp;"'!$B$14:$AJ$1400"),ROWS($B$14:$B18),MATCH(P$13,INDIRECT("'"&amp;P$12&amp;"'!$B$13:$AJ$13"),0))</f>
        <v>0</v>
      </c>
      <c r="Q18" s="107">
        <f t="array" aca="1" ref="Q18" ca="1">INDEX(INDIRECT("'"&amp;Q$12&amp;"'!$B$14:$AJ$1400"),ROWS($B$14:$B18),MATCH(Q$13,INDIRECT("'"&amp;Q$12&amp;"'!$B$13:$AJ$13"),0))</f>
        <v>0</v>
      </c>
      <c r="R18" s="107">
        <f ca="1">INDEX(INDIRECT("'"&amp;R$12&amp;"'!$B$14:$AJ$1400"),ROWS($B$14:$B18),MATCH(R$13,INDIRECT("'"&amp;R$12&amp;"'!$B$13:$AJ$13"),0))</f>
        <v>0</v>
      </c>
      <c r="S18" s="375">
        <f t="shared" ca="1" si="2"/>
        <v>0</v>
      </c>
      <c r="T18" s="375">
        <f>NPT!Z14</f>
        <v>0</v>
      </c>
      <c r="U18" s="375">
        <f>IF(F18&lt;&gt;"",$U$13*12,SUM('1:12'!AC18))</f>
        <v>132000000</v>
      </c>
      <c r="V18" s="375">
        <f>IF(AND(F18&lt;&gt;"",T18&gt;0),V$13*12*T18,NPT!Q14)</f>
        <v>0</v>
      </c>
      <c r="W18" s="375">
        <f t="shared" si="3"/>
        <v>132000000</v>
      </c>
      <c r="X18" s="375">
        <f>SUM('1:12'!AE18)</f>
        <v>0</v>
      </c>
      <c r="Y18" s="375">
        <f t="shared" ca="1" si="4"/>
        <v>0</v>
      </c>
      <c r="Z18" s="107">
        <f>SUM('1:12'!AI18)</f>
        <v>0</v>
      </c>
      <c r="AA18" s="107">
        <f ca="1">IF(AND(F18&lt;&gt;"",Y18&gt;0),(Y18-VLOOKUP(Y18-1,INDIRECT(TAXRATE!$E$11),1,1))*VLOOKUP(Y18,INDIRECT(TAXRATE!$E$11),2,1)+VLOOKUP(Y18-1,INDIRECT(TAXRATE!$E$11),3,1),0)</f>
        <v>0</v>
      </c>
      <c r="AB18" s="375">
        <f t="shared" ca="1" si="5"/>
        <v>0</v>
      </c>
      <c r="AC18" s="375">
        <f t="shared" ca="1" si="6"/>
        <v>0</v>
      </c>
    </row>
    <row r="19" spans="1:29" x14ac:dyDescent="0.45">
      <c r="A19" s="5">
        <f ca="1">IF(B19&lt;&gt;"",SUBTOTAL(3,$B$14:B19),"")</f>
        <v>6</v>
      </c>
      <c r="B19" s="3">
        <f ca="1">INDEX(INDIRECT(Danh_Sach!$N$1),ROWS($B$14:$B19),MATCH(B$13,INDIRECT(Danh_Sach!$N$2),0))</f>
        <v>0</v>
      </c>
      <c r="C19" s="118">
        <f ca="1">INDEX(INDIRECT(Danh_Sach!$N$1),ROWS($B$14:$B19),MATCH(C$13,INDIRECT(Danh_Sach!$N$2),0))</f>
        <v>0</v>
      </c>
      <c r="D19" s="118">
        <f ca="1">INDEX(INDIRECT(Danh_Sach!$N$1),ROWS($B$14:$B19),MATCH(D$13,INDIRECT(Danh_Sach!$N$2),0))</f>
        <v>0</v>
      </c>
      <c r="E19" s="118">
        <f ca="1">INDEX(INDIRECT(Danh_Sach!$N$1),ROWS($B$14:$B19),MATCH(E$13,INDIRECT(Danh_Sach!$N$2),0))</f>
        <v>0</v>
      </c>
      <c r="F19" s="118" t="s">
        <v>215</v>
      </c>
      <c r="G19" s="107">
        <f t="array" aca="1" ref="G19" ca="1">INDEX(INDIRECT("'"&amp;G$12&amp;"'!$B$14:$AJ$1400"),ROWS($B$14:$B19),MATCH(G$13,INDIRECT("'"&amp;G$12&amp;"'!$B$13:$AJ$13"),0))</f>
        <v>0</v>
      </c>
      <c r="H19" s="107">
        <f t="array" aca="1" ref="H19" ca="1">INDEX(INDIRECT("'"&amp;H$12&amp;"'!$B$14:$AJ$1400"),ROWS($B$14:$B19),MATCH(H$13,INDIRECT("'"&amp;H$12&amp;"'!$B$13:$AJ$13"),0))</f>
        <v>0</v>
      </c>
      <c r="I19" s="107">
        <f t="array" aca="1" ref="I19" ca="1">INDEX(INDIRECT("'"&amp;I$12&amp;"'!$B$14:$AJ$1400"),ROWS($B$14:$B19),MATCH(I$13,INDIRECT("'"&amp;I$12&amp;"'!$B$13:$AJ$13"),0))</f>
        <v>0</v>
      </c>
      <c r="J19" s="107">
        <f t="array" aca="1" ref="J19" ca="1">INDEX(INDIRECT("'"&amp;J$12&amp;"'!$B$14:$AJ$1400"),ROWS($B$14:$B19),MATCH(J$13,INDIRECT("'"&amp;J$12&amp;"'!$B$13:$AJ$13"),0))</f>
        <v>0</v>
      </c>
      <c r="K19" s="107">
        <f t="array" aca="1" ref="K19" ca="1">INDEX(INDIRECT("'"&amp;K$12&amp;"'!$B$14:$AJ$1400"),ROWS($B$14:$B19),MATCH(K$13,INDIRECT("'"&amp;K$12&amp;"'!$B$13:$AJ$13"),0))</f>
        <v>0</v>
      </c>
      <c r="L19" s="107">
        <f t="array" aca="1" ref="L19" ca="1">INDEX(INDIRECT("'"&amp;L$12&amp;"'!$B$14:$AJ$1400"),ROWS($B$14:$B19),MATCH(L$13,INDIRECT("'"&amp;L$12&amp;"'!$B$13:$AJ$13"),0))</f>
        <v>0</v>
      </c>
      <c r="M19" s="107">
        <f t="array" aca="1" ref="M19" ca="1">INDEX(INDIRECT("'"&amp;M$12&amp;"'!$B$14:$AJ$1400"),ROWS($B$14:$B19),MATCH(M$13,INDIRECT("'"&amp;M$12&amp;"'!$B$13:$AJ$13"),0))</f>
        <v>0</v>
      </c>
      <c r="N19" s="107">
        <f t="array" aca="1" ref="N19" ca="1">INDEX(INDIRECT("'"&amp;N$12&amp;"'!$B$14:$AJ$1400"),ROWS($B$14:$B19),MATCH(N$13,INDIRECT("'"&amp;N$12&amp;"'!$B$13:$AJ$13"),0))</f>
        <v>0</v>
      </c>
      <c r="O19" s="107">
        <f t="array" aca="1" ref="O19" ca="1">INDEX(INDIRECT("'"&amp;O$12&amp;"'!$B$14:$AJ$1400"),ROWS($B$14:$B19),MATCH(O$13,INDIRECT("'"&amp;O$12&amp;"'!$B$13:$AJ$13"),0))</f>
        <v>0</v>
      </c>
      <c r="P19" s="107">
        <f t="array" aca="1" ref="P19" ca="1">INDEX(INDIRECT("'"&amp;P$12&amp;"'!$B$14:$AJ$1400"),ROWS($B$14:$B19),MATCH(P$13,INDIRECT("'"&amp;P$12&amp;"'!$B$13:$AJ$13"),0))</f>
        <v>0</v>
      </c>
      <c r="Q19" s="107">
        <f t="array" aca="1" ref="Q19" ca="1">INDEX(INDIRECT("'"&amp;Q$12&amp;"'!$B$14:$AJ$1400"),ROWS($B$14:$B19),MATCH(Q$13,INDIRECT("'"&amp;Q$12&amp;"'!$B$13:$AJ$13"),0))</f>
        <v>0</v>
      </c>
      <c r="R19" s="107">
        <f ca="1">INDEX(INDIRECT("'"&amp;R$12&amp;"'!$B$14:$AJ$1400"),ROWS($B$14:$B19),MATCH(R$13,INDIRECT("'"&amp;R$12&amp;"'!$B$13:$AJ$13"),0))</f>
        <v>0</v>
      </c>
      <c r="S19" s="375">
        <f t="shared" ca="1" si="2"/>
        <v>0</v>
      </c>
      <c r="T19" s="375">
        <f>NPT!Z15</f>
        <v>0</v>
      </c>
      <c r="U19" s="375">
        <f>IF(F19&lt;&gt;"",$U$13*12,SUM('1:12'!AC19))</f>
        <v>132000000</v>
      </c>
      <c r="V19" s="375">
        <f>IF(AND(F19&lt;&gt;"",T19&gt;0),V$13*12*T19,NPT!Q15)</f>
        <v>0</v>
      </c>
      <c r="W19" s="375">
        <f t="shared" si="3"/>
        <v>132000000</v>
      </c>
      <c r="X19" s="375">
        <f>SUM('1:12'!AE19)</f>
        <v>0</v>
      </c>
      <c r="Y19" s="375">
        <f t="shared" ca="1" si="4"/>
        <v>0</v>
      </c>
      <c r="Z19" s="107">
        <f>SUM('1:12'!AI19)</f>
        <v>0</v>
      </c>
      <c r="AA19" s="107">
        <f ca="1">IF(AND(F19&lt;&gt;"",Y19&gt;0),(Y19-VLOOKUP(Y19-1,INDIRECT(TAXRATE!$E$11),1,1))*VLOOKUP(Y19,INDIRECT(TAXRATE!$E$11),2,1)+VLOOKUP(Y19-1,INDIRECT(TAXRATE!$E$11),3,1),0)</f>
        <v>0</v>
      </c>
      <c r="AB19" s="375">
        <f t="shared" ca="1" si="5"/>
        <v>0</v>
      </c>
      <c r="AC19" s="375">
        <f t="shared" ca="1" si="6"/>
        <v>0</v>
      </c>
    </row>
    <row r="20" spans="1:29" x14ac:dyDescent="0.45">
      <c r="A20" s="5">
        <f ca="1">IF(B20&lt;&gt;"",SUBTOTAL(3,$B$14:B20),"")</f>
        <v>7</v>
      </c>
      <c r="B20" s="3">
        <f ca="1">INDEX(INDIRECT(Danh_Sach!$N$1),ROWS($B$14:$B20),MATCH(B$13,INDIRECT(Danh_Sach!$N$2),0))</f>
        <v>0</v>
      </c>
      <c r="C20" s="118">
        <f ca="1">INDEX(INDIRECT(Danh_Sach!$N$1),ROWS($B$14:$B20),MATCH(C$13,INDIRECT(Danh_Sach!$N$2),0))</f>
        <v>0</v>
      </c>
      <c r="D20" s="118">
        <f ca="1">INDEX(INDIRECT(Danh_Sach!$N$1),ROWS($B$14:$B20),MATCH(D$13,INDIRECT(Danh_Sach!$N$2),0))</f>
        <v>0</v>
      </c>
      <c r="E20" s="118">
        <f ca="1">INDEX(INDIRECT(Danh_Sach!$N$1),ROWS($B$14:$B20),MATCH(E$13,INDIRECT(Danh_Sach!$N$2),0))</f>
        <v>0</v>
      </c>
      <c r="F20" s="118" t="s">
        <v>215</v>
      </c>
      <c r="G20" s="107">
        <f t="array" aca="1" ref="G20" ca="1">INDEX(INDIRECT("'"&amp;G$12&amp;"'!$B$14:$AJ$1400"),ROWS($B$14:$B20),MATCH(G$13,INDIRECT("'"&amp;G$12&amp;"'!$B$13:$AJ$13"),0))</f>
        <v>0</v>
      </c>
      <c r="H20" s="107">
        <f t="array" aca="1" ref="H20" ca="1">INDEX(INDIRECT("'"&amp;H$12&amp;"'!$B$14:$AJ$1400"),ROWS($B$14:$B20),MATCH(H$13,INDIRECT("'"&amp;H$12&amp;"'!$B$13:$AJ$13"),0))</f>
        <v>0</v>
      </c>
      <c r="I20" s="107">
        <f t="array" aca="1" ref="I20" ca="1">INDEX(INDIRECT("'"&amp;I$12&amp;"'!$B$14:$AJ$1400"),ROWS($B$14:$B20),MATCH(I$13,INDIRECT("'"&amp;I$12&amp;"'!$B$13:$AJ$13"),0))</f>
        <v>0</v>
      </c>
      <c r="J20" s="107">
        <f t="array" aca="1" ref="J20" ca="1">INDEX(INDIRECT("'"&amp;J$12&amp;"'!$B$14:$AJ$1400"),ROWS($B$14:$B20),MATCH(J$13,INDIRECT("'"&amp;J$12&amp;"'!$B$13:$AJ$13"),0))</f>
        <v>0</v>
      </c>
      <c r="K20" s="107">
        <f t="array" aca="1" ref="K20" ca="1">INDEX(INDIRECT("'"&amp;K$12&amp;"'!$B$14:$AJ$1400"),ROWS($B$14:$B20),MATCH(K$13,INDIRECT("'"&amp;K$12&amp;"'!$B$13:$AJ$13"),0))</f>
        <v>0</v>
      </c>
      <c r="L20" s="107">
        <f t="array" aca="1" ref="L20" ca="1">INDEX(INDIRECT("'"&amp;L$12&amp;"'!$B$14:$AJ$1400"),ROWS($B$14:$B20),MATCH(L$13,INDIRECT("'"&amp;L$12&amp;"'!$B$13:$AJ$13"),0))</f>
        <v>0</v>
      </c>
      <c r="M20" s="107">
        <f t="array" aca="1" ref="M20" ca="1">INDEX(INDIRECT("'"&amp;M$12&amp;"'!$B$14:$AJ$1400"),ROWS($B$14:$B20),MATCH(M$13,INDIRECT("'"&amp;M$12&amp;"'!$B$13:$AJ$13"),0))</f>
        <v>0</v>
      </c>
      <c r="N20" s="107">
        <f t="array" aca="1" ref="N20" ca="1">INDEX(INDIRECT("'"&amp;N$12&amp;"'!$B$14:$AJ$1400"),ROWS($B$14:$B20),MATCH(N$13,INDIRECT("'"&amp;N$12&amp;"'!$B$13:$AJ$13"),0))</f>
        <v>0</v>
      </c>
      <c r="O20" s="107">
        <f t="array" aca="1" ref="O20" ca="1">INDEX(INDIRECT("'"&amp;O$12&amp;"'!$B$14:$AJ$1400"),ROWS($B$14:$B20),MATCH(O$13,INDIRECT("'"&amp;O$12&amp;"'!$B$13:$AJ$13"),0))</f>
        <v>0</v>
      </c>
      <c r="P20" s="107">
        <f t="array" aca="1" ref="P20" ca="1">INDEX(INDIRECT("'"&amp;P$12&amp;"'!$B$14:$AJ$1400"),ROWS($B$14:$B20),MATCH(P$13,INDIRECT("'"&amp;P$12&amp;"'!$B$13:$AJ$13"),0))</f>
        <v>0</v>
      </c>
      <c r="Q20" s="107">
        <f t="array" aca="1" ref="Q20" ca="1">INDEX(INDIRECT("'"&amp;Q$12&amp;"'!$B$14:$AJ$1400"),ROWS($B$14:$B20),MATCH(Q$13,INDIRECT("'"&amp;Q$12&amp;"'!$B$13:$AJ$13"),0))</f>
        <v>0</v>
      </c>
      <c r="R20" s="107">
        <f ca="1">INDEX(INDIRECT("'"&amp;R$12&amp;"'!$B$14:$AJ$1400"),ROWS($B$14:$B20),MATCH(R$13,INDIRECT("'"&amp;R$12&amp;"'!$B$13:$AJ$13"),0))</f>
        <v>0</v>
      </c>
      <c r="S20" s="375">
        <f t="shared" ca="1" si="2"/>
        <v>0</v>
      </c>
      <c r="T20" s="375">
        <f>NPT!Z16</f>
        <v>0</v>
      </c>
      <c r="U20" s="375">
        <f>IF(F20&lt;&gt;"",$U$13*12,SUM('1:12'!AC20))</f>
        <v>132000000</v>
      </c>
      <c r="V20" s="375">
        <f>IF(AND(F20&lt;&gt;"",T20&gt;0),V$13*12*T20,NPT!Q16)</f>
        <v>0</v>
      </c>
      <c r="W20" s="375">
        <f t="shared" si="3"/>
        <v>132000000</v>
      </c>
      <c r="X20" s="375">
        <f>SUM('1:12'!AE20)</f>
        <v>0</v>
      </c>
      <c r="Y20" s="375">
        <f t="shared" ca="1" si="4"/>
        <v>0</v>
      </c>
      <c r="Z20" s="107">
        <f>SUM('1:12'!AI20)</f>
        <v>0</v>
      </c>
      <c r="AA20" s="107">
        <f ca="1">IF(AND(F20&lt;&gt;"",Y20&gt;0),(Y20-VLOOKUP(Y20-1,INDIRECT(TAXRATE!$E$11),1,1))*VLOOKUP(Y20,INDIRECT(TAXRATE!$E$11),2,1)+VLOOKUP(Y20-1,INDIRECT(TAXRATE!$E$11),3,1),0)</f>
        <v>0</v>
      </c>
      <c r="AB20" s="375">
        <f t="shared" ca="1" si="5"/>
        <v>0</v>
      </c>
      <c r="AC20" s="375">
        <f t="shared" ca="1" si="6"/>
        <v>0</v>
      </c>
    </row>
    <row r="21" spans="1:29" x14ac:dyDescent="0.45">
      <c r="A21" s="5">
        <f ca="1">IF(B21&lt;&gt;"",SUBTOTAL(3,$B$14:B21),"")</f>
        <v>8</v>
      </c>
      <c r="B21" s="3">
        <f ca="1">INDEX(INDIRECT(Danh_Sach!$N$1),ROWS($B$14:$B21),MATCH(B$13,INDIRECT(Danh_Sach!$N$2),0))</f>
        <v>0</v>
      </c>
      <c r="C21" s="118">
        <f ca="1">INDEX(INDIRECT(Danh_Sach!$N$1),ROWS($B$14:$B21),MATCH(C$13,INDIRECT(Danh_Sach!$N$2),0))</f>
        <v>0</v>
      </c>
      <c r="D21" s="118">
        <f ca="1">INDEX(INDIRECT(Danh_Sach!$N$1),ROWS($B$14:$B21),MATCH(D$13,INDIRECT(Danh_Sach!$N$2),0))</f>
        <v>0</v>
      </c>
      <c r="E21" s="118">
        <f ca="1">INDEX(INDIRECT(Danh_Sach!$N$1),ROWS($B$14:$B21),MATCH(E$13,INDIRECT(Danh_Sach!$N$2),0))</f>
        <v>0</v>
      </c>
      <c r="F21" s="118" t="s">
        <v>215</v>
      </c>
      <c r="G21" s="107">
        <f t="array" aca="1" ref="G21" ca="1">INDEX(INDIRECT("'"&amp;G$12&amp;"'!$B$14:$AJ$1400"),ROWS($B$14:$B21),MATCH(G$13,INDIRECT("'"&amp;G$12&amp;"'!$B$13:$AJ$13"),0))</f>
        <v>0</v>
      </c>
      <c r="H21" s="107">
        <f t="array" aca="1" ref="H21" ca="1">INDEX(INDIRECT("'"&amp;H$12&amp;"'!$B$14:$AJ$1400"),ROWS($B$14:$B21),MATCH(H$13,INDIRECT("'"&amp;H$12&amp;"'!$B$13:$AJ$13"),0))</f>
        <v>0</v>
      </c>
      <c r="I21" s="107">
        <f t="array" aca="1" ref="I21" ca="1">INDEX(INDIRECT("'"&amp;I$12&amp;"'!$B$14:$AJ$1400"),ROWS($B$14:$B21),MATCH(I$13,INDIRECT("'"&amp;I$12&amp;"'!$B$13:$AJ$13"),0))</f>
        <v>0</v>
      </c>
      <c r="J21" s="107">
        <f t="array" aca="1" ref="J21" ca="1">INDEX(INDIRECT("'"&amp;J$12&amp;"'!$B$14:$AJ$1400"),ROWS($B$14:$B21),MATCH(J$13,INDIRECT("'"&amp;J$12&amp;"'!$B$13:$AJ$13"),0))</f>
        <v>0</v>
      </c>
      <c r="K21" s="107">
        <f t="array" aca="1" ref="K21" ca="1">INDEX(INDIRECT("'"&amp;K$12&amp;"'!$B$14:$AJ$1400"),ROWS($B$14:$B21),MATCH(K$13,INDIRECT("'"&amp;K$12&amp;"'!$B$13:$AJ$13"),0))</f>
        <v>0</v>
      </c>
      <c r="L21" s="107">
        <f t="array" aca="1" ref="L21" ca="1">INDEX(INDIRECT("'"&amp;L$12&amp;"'!$B$14:$AJ$1400"),ROWS($B$14:$B21),MATCH(L$13,INDIRECT("'"&amp;L$12&amp;"'!$B$13:$AJ$13"),0))</f>
        <v>0</v>
      </c>
      <c r="M21" s="107">
        <f t="array" aca="1" ref="M21" ca="1">INDEX(INDIRECT("'"&amp;M$12&amp;"'!$B$14:$AJ$1400"),ROWS($B$14:$B21),MATCH(M$13,INDIRECT("'"&amp;M$12&amp;"'!$B$13:$AJ$13"),0))</f>
        <v>0</v>
      </c>
      <c r="N21" s="107">
        <f t="array" aca="1" ref="N21" ca="1">INDEX(INDIRECT("'"&amp;N$12&amp;"'!$B$14:$AJ$1400"),ROWS($B$14:$B21),MATCH(N$13,INDIRECT("'"&amp;N$12&amp;"'!$B$13:$AJ$13"),0))</f>
        <v>0</v>
      </c>
      <c r="O21" s="107">
        <f t="array" aca="1" ref="O21" ca="1">INDEX(INDIRECT("'"&amp;O$12&amp;"'!$B$14:$AJ$1400"),ROWS($B$14:$B21),MATCH(O$13,INDIRECT("'"&amp;O$12&amp;"'!$B$13:$AJ$13"),0))</f>
        <v>0</v>
      </c>
      <c r="P21" s="107">
        <f t="array" aca="1" ref="P21" ca="1">INDEX(INDIRECT("'"&amp;P$12&amp;"'!$B$14:$AJ$1400"),ROWS($B$14:$B21),MATCH(P$13,INDIRECT("'"&amp;P$12&amp;"'!$B$13:$AJ$13"),0))</f>
        <v>0</v>
      </c>
      <c r="Q21" s="107">
        <f t="array" aca="1" ref="Q21" ca="1">INDEX(INDIRECT("'"&amp;Q$12&amp;"'!$B$14:$AJ$1400"),ROWS($B$14:$B21),MATCH(Q$13,INDIRECT("'"&amp;Q$12&amp;"'!$B$13:$AJ$13"),0))</f>
        <v>0</v>
      </c>
      <c r="R21" s="107">
        <f ca="1">INDEX(INDIRECT("'"&amp;R$12&amp;"'!$B$14:$AJ$1400"),ROWS($B$14:$B21),MATCH(R$13,INDIRECT("'"&amp;R$12&amp;"'!$B$13:$AJ$13"),0))</f>
        <v>0</v>
      </c>
      <c r="S21" s="375">
        <f t="shared" ca="1" si="2"/>
        <v>0</v>
      </c>
      <c r="T21" s="375">
        <f>NPT!Z17</f>
        <v>0</v>
      </c>
      <c r="U21" s="375">
        <f>IF(F21&lt;&gt;"",$U$13*12,SUM('1:12'!AC21))</f>
        <v>132000000</v>
      </c>
      <c r="V21" s="375">
        <f>IF(AND(F21&lt;&gt;"",T21&gt;0),V$13*12*T21,NPT!Q17)</f>
        <v>0</v>
      </c>
      <c r="W21" s="375">
        <f t="shared" si="3"/>
        <v>132000000</v>
      </c>
      <c r="X21" s="375">
        <f>SUM('1:12'!AE21)</f>
        <v>0</v>
      </c>
      <c r="Y21" s="375">
        <f t="shared" ca="1" si="4"/>
        <v>0</v>
      </c>
      <c r="Z21" s="107">
        <f>SUM('1:12'!AI21)</f>
        <v>0</v>
      </c>
      <c r="AA21" s="107">
        <f ca="1">IF(AND(F21&lt;&gt;"",Y21&gt;0),(Y21-VLOOKUP(Y21-1,INDIRECT(TAXRATE!$E$11),1,1))*VLOOKUP(Y21,INDIRECT(TAXRATE!$E$11),2,1)+VLOOKUP(Y21-1,INDIRECT(TAXRATE!$E$11),3,1),0)</f>
        <v>0</v>
      </c>
      <c r="AB21" s="375">
        <f t="shared" ca="1" si="5"/>
        <v>0</v>
      </c>
      <c r="AC21" s="375">
        <f t="shared" ca="1" si="6"/>
        <v>0</v>
      </c>
    </row>
    <row r="22" spans="1:29" x14ac:dyDescent="0.45">
      <c r="A22" s="5">
        <f ca="1">IF(B22&lt;&gt;"",SUBTOTAL(3,$B$14:B22),"")</f>
        <v>9</v>
      </c>
      <c r="B22" s="3">
        <f ca="1">INDEX(INDIRECT(Danh_Sach!$N$1),ROWS($B$14:$B22),MATCH(B$13,INDIRECT(Danh_Sach!$N$2),0))</f>
        <v>0</v>
      </c>
      <c r="C22" s="118">
        <f ca="1">INDEX(INDIRECT(Danh_Sach!$N$1),ROWS($B$14:$B22),MATCH(C$13,INDIRECT(Danh_Sach!$N$2),0))</f>
        <v>0</v>
      </c>
      <c r="D22" s="118">
        <f ca="1">INDEX(INDIRECT(Danh_Sach!$N$1),ROWS($B$14:$B22),MATCH(D$13,INDIRECT(Danh_Sach!$N$2),0))</f>
        <v>0</v>
      </c>
      <c r="E22" s="118">
        <f ca="1">INDEX(INDIRECT(Danh_Sach!$N$1),ROWS($B$14:$B22),MATCH(E$13,INDIRECT(Danh_Sach!$N$2),0))</f>
        <v>0</v>
      </c>
      <c r="F22" s="118" t="s">
        <v>215</v>
      </c>
      <c r="G22" s="107">
        <f t="array" aca="1" ref="G22" ca="1">INDEX(INDIRECT("'"&amp;G$12&amp;"'!$B$14:$AJ$1400"),ROWS($B$14:$B22),MATCH(G$13,INDIRECT("'"&amp;G$12&amp;"'!$B$13:$AJ$13"),0))</f>
        <v>0</v>
      </c>
      <c r="H22" s="107">
        <f t="array" aca="1" ref="H22" ca="1">INDEX(INDIRECT("'"&amp;H$12&amp;"'!$B$14:$AJ$1400"),ROWS($B$14:$B22),MATCH(H$13,INDIRECT("'"&amp;H$12&amp;"'!$B$13:$AJ$13"),0))</f>
        <v>0</v>
      </c>
      <c r="I22" s="107">
        <f t="array" aca="1" ref="I22" ca="1">INDEX(INDIRECT("'"&amp;I$12&amp;"'!$B$14:$AJ$1400"),ROWS($B$14:$B22),MATCH(I$13,INDIRECT("'"&amp;I$12&amp;"'!$B$13:$AJ$13"),0))</f>
        <v>0</v>
      </c>
      <c r="J22" s="107">
        <f t="array" aca="1" ref="J22" ca="1">INDEX(INDIRECT("'"&amp;J$12&amp;"'!$B$14:$AJ$1400"),ROWS($B$14:$B22),MATCH(J$13,INDIRECT("'"&amp;J$12&amp;"'!$B$13:$AJ$13"),0))</f>
        <v>0</v>
      </c>
      <c r="K22" s="107">
        <f t="array" aca="1" ref="K22" ca="1">INDEX(INDIRECT("'"&amp;K$12&amp;"'!$B$14:$AJ$1400"),ROWS($B$14:$B22),MATCH(K$13,INDIRECT("'"&amp;K$12&amp;"'!$B$13:$AJ$13"),0))</f>
        <v>0</v>
      </c>
      <c r="L22" s="107">
        <f t="array" aca="1" ref="L22" ca="1">INDEX(INDIRECT("'"&amp;L$12&amp;"'!$B$14:$AJ$1400"),ROWS($B$14:$B22),MATCH(L$13,INDIRECT("'"&amp;L$12&amp;"'!$B$13:$AJ$13"),0))</f>
        <v>0</v>
      </c>
      <c r="M22" s="107">
        <f t="array" aca="1" ref="M22" ca="1">INDEX(INDIRECT("'"&amp;M$12&amp;"'!$B$14:$AJ$1400"),ROWS($B$14:$B22),MATCH(M$13,INDIRECT("'"&amp;M$12&amp;"'!$B$13:$AJ$13"),0))</f>
        <v>0</v>
      </c>
      <c r="N22" s="107">
        <f t="array" aca="1" ref="N22" ca="1">INDEX(INDIRECT("'"&amp;N$12&amp;"'!$B$14:$AJ$1400"),ROWS($B$14:$B22),MATCH(N$13,INDIRECT("'"&amp;N$12&amp;"'!$B$13:$AJ$13"),0))</f>
        <v>0</v>
      </c>
      <c r="O22" s="107">
        <f t="array" aca="1" ref="O22" ca="1">INDEX(INDIRECT("'"&amp;O$12&amp;"'!$B$14:$AJ$1400"),ROWS($B$14:$B22),MATCH(O$13,INDIRECT("'"&amp;O$12&amp;"'!$B$13:$AJ$13"),0))</f>
        <v>0</v>
      </c>
      <c r="P22" s="107">
        <f t="array" aca="1" ref="P22" ca="1">INDEX(INDIRECT("'"&amp;P$12&amp;"'!$B$14:$AJ$1400"),ROWS($B$14:$B22),MATCH(P$13,INDIRECT("'"&amp;P$12&amp;"'!$B$13:$AJ$13"),0))</f>
        <v>0</v>
      </c>
      <c r="Q22" s="107">
        <f t="array" aca="1" ref="Q22" ca="1">INDEX(INDIRECT("'"&amp;Q$12&amp;"'!$B$14:$AJ$1400"),ROWS($B$14:$B22),MATCH(Q$13,INDIRECT("'"&amp;Q$12&amp;"'!$B$13:$AJ$13"),0))</f>
        <v>0</v>
      </c>
      <c r="R22" s="107">
        <f ca="1">INDEX(INDIRECT("'"&amp;R$12&amp;"'!$B$14:$AJ$1400"),ROWS($B$14:$B22),MATCH(R$13,INDIRECT("'"&amp;R$12&amp;"'!$B$13:$AJ$13"),0))</f>
        <v>0</v>
      </c>
      <c r="S22" s="375">
        <f t="shared" ca="1" si="2"/>
        <v>0</v>
      </c>
      <c r="T22" s="375">
        <f>NPT!Z18</f>
        <v>0</v>
      </c>
      <c r="U22" s="375">
        <f>IF(F22&lt;&gt;"",$U$13*12,SUM('1:12'!AC22))</f>
        <v>132000000</v>
      </c>
      <c r="V22" s="375">
        <f>IF(AND(F22&lt;&gt;"",T22&gt;0),V$13*12*T22,NPT!Q18)</f>
        <v>0</v>
      </c>
      <c r="W22" s="375">
        <f t="shared" si="3"/>
        <v>132000000</v>
      </c>
      <c r="X22" s="375">
        <f>SUM('1:12'!AE22)</f>
        <v>0</v>
      </c>
      <c r="Y22" s="375">
        <f t="shared" ca="1" si="4"/>
        <v>0</v>
      </c>
      <c r="Z22" s="107">
        <f>SUM('1:12'!AI22)</f>
        <v>0</v>
      </c>
      <c r="AA22" s="107">
        <f ca="1">IF(AND(F22&lt;&gt;"",Y22&gt;0),(Y22-VLOOKUP(Y22-1,INDIRECT(TAXRATE!$E$11),1,1))*VLOOKUP(Y22,INDIRECT(TAXRATE!$E$11),2,1)+VLOOKUP(Y22-1,INDIRECT(TAXRATE!$E$11),3,1),0)</f>
        <v>0</v>
      </c>
      <c r="AB22" s="375">
        <f t="shared" ca="1" si="5"/>
        <v>0</v>
      </c>
      <c r="AC22" s="375">
        <f t="shared" ca="1" si="6"/>
        <v>0</v>
      </c>
    </row>
    <row r="23" spans="1:29" x14ac:dyDescent="0.45">
      <c r="A23" s="5">
        <f ca="1">IF(B23&lt;&gt;"",SUBTOTAL(3,$B$14:B23),"")</f>
        <v>10</v>
      </c>
      <c r="B23" s="3">
        <f ca="1">INDEX(INDIRECT(Danh_Sach!$N$1),ROWS($B$14:$B23),MATCH(B$13,INDIRECT(Danh_Sach!$N$2),0))</f>
        <v>0</v>
      </c>
      <c r="C23" s="118">
        <f ca="1">INDEX(INDIRECT(Danh_Sach!$N$1),ROWS($B$14:$B23),MATCH(C$13,INDIRECT(Danh_Sach!$N$2),0))</f>
        <v>0</v>
      </c>
      <c r="D23" s="118">
        <f ca="1">INDEX(INDIRECT(Danh_Sach!$N$1),ROWS($B$14:$B23),MATCH(D$13,INDIRECT(Danh_Sach!$N$2),0))</f>
        <v>0</v>
      </c>
      <c r="E23" s="118">
        <f ca="1">INDEX(INDIRECT(Danh_Sach!$N$1),ROWS($B$14:$B23),MATCH(E$13,INDIRECT(Danh_Sach!$N$2),0))</f>
        <v>0</v>
      </c>
      <c r="F23" s="118" t="s">
        <v>215</v>
      </c>
      <c r="G23" s="107">
        <f t="array" aca="1" ref="G23" ca="1">INDEX(INDIRECT("'"&amp;G$12&amp;"'!$B$14:$AJ$1400"),ROWS($B$14:$B23),MATCH(G$13,INDIRECT("'"&amp;G$12&amp;"'!$B$13:$AJ$13"),0))</f>
        <v>0</v>
      </c>
      <c r="H23" s="107">
        <f t="array" aca="1" ref="H23" ca="1">INDEX(INDIRECT("'"&amp;H$12&amp;"'!$B$14:$AJ$1400"),ROWS($B$14:$B23),MATCH(H$13,INDIRECT("'"&amp;H$12&amp;"'!$B$13:$AJ$13"),0))</f>
        <v>0</v>
      </c>
      <c r="I23" s="107">
        <f t="array" aca="1" ref="I23" ca="1">INDEX(INDIRECT("'"&amp;I$12&amp;"'!$B$14:$AJ$1400"),ROWS($B$14:$B23),MATCH(I$13,INDIRECT("'"&amp;I$12&amp;"'!$B$13:$AJ$13"),0))</f>
        <v>0</v>
      </c>
      <c r="J23" s="107">
        <f t="array" aca="1" ref="J23" ca="1">INDEX(INDIRECT("'"&amp;J$12&amp;"'!$B$14:$AJ$1400"),ROWS($B$14:$B23),MATCH(J$13,INDIRECT("'"&amp;J$12&amp;"'!$B$13:$AJ$13"),0))</f>
        <v>0</v>
      </c>
      <c r="K23" s="107">
        <f t="array" aca="1" ref="K23" ca="1">INDEX(INDIRECT("'"&amp;K$12&amp;"'!$B$14:$AJ$1400"),ROWS($B$14:$B23),MATCH(K$13,INDIRECT("'"&amp;K$12&amp;"'!$B$13:$AJ$13"),0))</f>
        <v>0</v>
      </c>
      <c r="L23" s="107">
        <f t="array" aca="1" ref="L23" ca="1">INDEX(INDIRECT("'"&amp;L$12&amp;"'!$B$14:$AJ$1400"),ROWS($B$14:$B23),MATCH(L$13,INDIRECT("'"&amp;L$12&amp;"'!$B$13:$AJ$13"),0))</f>
        <v>0</v>
      </c>
      <c r="M23" s="107">
        <f t="array" aca="1" ref="M23" ca="1">INDEX(INDIRECT("'"&amp;M$12&amp;"'!$B$14:$AJ$1400"),ROWS($B$14:$B23),MATCH(M$13,INDIRECT("'"&amp;M$12&amp;"'!$B$13:$AJ$13"),0))</f>
        <v>0</v>
      </c>
      <c r="N23" s="107">
        <f t="array" aca="1" ref="N23" ca="1">INDEX(INDIRECT("'"&amp;N$12&amp;"'!$B$14:$AJ$1400"),ROWS($B$14:$B23),MATCH(N$13,INDIRECT("'"&amp;N$12&amp;"'!$B$13:$AJ$13"),0))</f>
        <v>0</v>
      </c>
      <c r="O23" s="107">
        <f t="array" aca="1" ref="O23" ca="1">INDEX(INDIRECT("'"&amp;O$12&amp;"'!$B$14:$AJ$1400"),ROWS($B$14:$B23),MATCH(O$13,INDIRECT("'"&amp;O$12&amp;"'!$B$13:$AJ$13"),0))</f>
        <v>0</v>
      </c>
      <c r="P23" s="107">
        <f t="array" aca="1" ref="P23" ca="1">INDEX(INDIRECT("'"&amp;P$12&amp;"'!$B$14:$AJ$1400"),ROWS($B$14:$B23),MATCH(P$13,INDIRECT("'"&amp;P$12&amp;"'!$B$13:$AJ$13"),0))</f>
        <v>0</v>
      </c>
      <c r="Q23" s="107">
        <f t="array" aca="1" ref="Q23" ca="1">INDEX(INDIRECT("'"&amp;Q$12&amp;"'!$B$14:$AJ$1400"),ROWS($B$14:$B23),MATCH(Q$13,INDIRECT("'"&amp;Q$12&amp;"'!$B$13:$AJ$13"),0))</f>
        <v>0</v>
      </c>
      <c r="R23" s="107">
        <f ca="1">INDEX(INDIRECT("'"&amp;R$12&amp;"'!$B$14:$AJ$1400"),ROWS($B$14:$B23),MATCH(R$13,INDIRECT("'"&amp;R$12&amp;"'!$B$13:$AJ$13"),0))</f>
        <v>0</v>
      </c>
      <c r="S23" s="375">
        <f t="shared" ca="1" si="2"/>
        <v>0</v>
      </c>
      <c r="T23" s="375">
        <f>NPT!Z19</f>
        <v>0</v>
      </c>
      <c r="U23" s="375">
        <f>IF(F23&lt;&gt;"",$U$13*12,SUM('1:12'!AC23))</f>
        <v>132000000</v>
      </c>
      <c r="V23" s="375">
        <f>IF(AND(F23&lt;&gt;"",T23&gt;0),V$13*12*T23,NPT!Q19)</f>
        <v>0</v>
      </c>
      <c r="W23" s="375">
        <f t="shared" si="3"/>
        <v>132000000</v>
      </c>
      <c r="X23" s="375">
        <f>SUM('1:12'!AE23)</f>
        <v>0</v>
      </c>
      <c r="Y23" s="375">
        <f t="shared" ca="1" si="4"/>
        <v>0</v>
      </c>
      <c r="Z23" s="107">
        <f>SUM('1:12'!AI23)</f>
        <v>0</v>
      </c>
      <c r="AA23" s="107">
        <f ca="1">IF(AND(F23&lt;&gt;"",Y23&gt;0),(Y23-VLOOKUP(Y23-1,INDIRECT(TAXRATE!$E$11),1,1))*VLOOKUP(Y23,INDIRECT(TAXRATE!$E$11),2,1)+VLOOKUP(Y23-1,INDIRECT(TAXRATE!$E$11),3,1),0)</f>
        <v>0</v>
      </c>
      <c r="AB23" s="375">
        <f t="shared" ca="1" si="5"/>
        <v>0</v>
      </c>
      <c r="AC23" s="375">
        <f t="shared" ca="1" si="6"/>
        <v>0</v>
      </c>
    </row>
    <row r="24" spans="1:29" x14ac:dyDescent="0.45">
      <c r="A24" s="5">
        <f ca="1">IF(B24&lt;&gt;"",SUBTOTAL(3,$B$14:B24),"")</f>
        <v>11</v>
      </c>
      <c r="B24" s="3">
        <f ca="1">INDEX(INDIRECT(Danh_Sach!$N$1),ROWS($B$14:$B24),MATCH(B$13,INDIRECT(Danh_Sach!$N$2),0))</f>
        <v>0</v>
      </c>
      <c r="C24" s="118">
        <f ca="1">INDEX(INDIRECT(Danh_Sach!$N$1),ROWS($B$14:$B24),MATCH(C$13,INDIRECT(Danh_Sach!$N$2),0))</f>
        <v>0</v>
      </c>
      <c r="D24" s="118">
        <f ca="1">INDEX(INDIRECT(Danh_Sach!$N$1),ROWS($B$14:$B24),MATCH(D$13,INDIRECT(Danh_Sach!$N$2),0))</f>
        <v>0</v>
      </c>
      <c r="E24" s="118">
        <f ca="1">INDEX(INDIRECT(Danh_Sach!$N$1),ROWS($B$14:$B24),MATCH(E$13,INDIRECT(Danh_Sach!$N$2),0))</f>
        <v>0</v>
      </c>
      <c r="F24" s="118" t="s">
        <v>215</v>
      </c>
      <c r="G24" s="107">
        <f t="array" aca="1" ref="G24" ca="1">INDEX(INDIRECT("'"&amp;G$12&amp;"'!$B$14:$AJ$1400"),ROWS($B$14:$B24),MATCH(G$13,INDIRECT("'"&amp;G$12&amp;"'!$B$13:$AJ$13"),0))</f>
        <v>0</v>
      </c>
      <c r="H24" s="107">
        <f t="array" aca="1" ref="H24" ca="1">INDEX(INDIRECT("'"&amp;H$12&amp;"'!$B$14:$AJ$1400"),ROWS($B$14:$B24),MATCH(H$13,INDIRECT("'"&amp;H$12&amp;"'!$B$13:$AJ$13"),0))</f>
        <v>0</v>
      </c>
      <c r="I24" s="107">
        <f t="array" aca="1" ref="I24" ca="1">INDEX(INDIRECT("'"&amp;I$12&amp;"'!$B$14:$AJ$1400"),ROWS($B$14:$B24),MATCH(I$13,INDIRECT("'"&amp;I$12&amp;"'!$B$13:$AJ$13"),0))</f>
        <v>0</v>
      </c>
      <c r="J24" s="107">
        <f t="array" aca="1" ref="J24" ca="1">INDEX(INDIRECT("'"&amp;J$12&amp;"'!$B$14:$AJ$1400"),ROWS($B$14:$B24),MATCH(J$13,INDIRECT("'"&amp;J$12&amp;"'!$B$13:$AJ$13"),0))</f>
        <v>0</v>
      </c>
      <c r="K24" s="107">
        <f t="array" aca="1" ref="K24" ca="1">INDEX(INDIRECT("'"&amp;K$12&amp;"'!$B$14:$AJ$1400"),ROWS($B$14:$B24),MATCH(K$13,INDIRECT("'"&amp;K$12&amp;"'!$B$13:$AJ$13"),0))</f>
        <v>0</v>
      </c>
      <c r="L24" s="107">
        <f t="array" aca="1" ref="L24" ca="1">INDEX(INDIRECT("'"&amp;L$12&amp;"'!$B$14:$AJ$1400"),ROWS($B$14:$B24),MATCH(L$13,INDIRECT("'"&amp;L$12&amp;"'!$B$13:$AJ$13"),0))</f>
        <v>0</v>
      </c>
      <c r="M24" s="107">
        <f t="array" aca="1" ref="M24" ca="1">INDEX(INDIRECT("'"&amp;M$12&amp;"'!$B$14:$AJ$1400"),ROWS($B$14:$B24),MATCH(M$13,INDIRECT("'"&amp;M$12&amp;"'!$B$13:$AJ$13"),0))</f>
        <v>0</v>
      </c>
      <c r="N24" s="107">
        <f t="array" aca="1" ref="N24" ca="1">INDEX(INDIRECT("'"&amp;N$12&amp;"'!$B$14:$AJ$1400"),ROWS($B$14:$B24),MATCH(N$13,INDIRECT("'"&amp;N$12&amp;"'!$B$13:$AJ$13"),0))</f>
        <v>0</v>
      </c>
      <c r="O24" s="107">
        <f t="array" aca="1" ref="O24" ca="1">INDEX(INDIRECT("'"&amp;O$12&amp;"'!$B$14:$AJ$1400"),ROWS($B$14:$B24),MATCH(O$13,INDIRECT("'"&amp;O$12&amp;"'!$B$13:$AJ$13"),0))</f>
        <v>0</v>
      </c>
      <c r="P24" s="107">
        <f t="array" aca="1" ref="P24" ca="1">INDEX(INDIRECT("'"&amp;P$12&amp;"'!$B$14:$AJ$1400"),ROWS($B$14:$B24),MATCH(P$13,INDIRECT("'"&amp;P$12&amp;"'!$B$13:$AJ$13"),0))</f>
        <v>0</v>
      </c>
      <c r="Q24" s="107">
        <f t="array" aca="1" ref="Q24" ca="1">INDEX(INDIRECT("'"&amp;Q$12&amp;"'!$B$14:$AJ$1400"),ROWS($B$14:$B24),MATCH(Q$13,INDIRECT("'"&amp;Q$12&amp;"'!$B$13:$AJ$13"),0))</f>
        <v>0</v>
      </c>
      <c r="R24" s="107">
        <f ca="1">INDEX(INDIRECT("'"&amp;R$12&amp;"'!$B$14:$AJ$1400"),ROWS($B$14:$B24),MATCH(R$13,INDIRECT("'"&amp;R$12&amp;"'!$B$13:$AJ$13"),0))</f>
        <v>0</v>
      </c>
      <c r="S24" s="375">
        <f t="shared" ca="1" si="2"/>
        <v>0</v>
      </c>
      <c r="T24" s="375">
        <f>NPT!Z20</f>
        <v>0</v>
      </c>
      <c r="U24" s="375">
        <f>IF(F24&lt;&gt;"",$U$13*12,SUM('1:12'!AC24))</f>
        <v>132000000</v>
      </c>
      <c r="V24" s="375">
        <f>IF(AND(F24&lt;&gt;"",T24&gt;0),V$13*12*T24,NPT!Q20)</f>
        <v>0</v>
      </c>
      <c r="W24" s="375">
        <f t="shared" si="3"/>
        <v>132000000</v>
      </c>
      <c r="X24" s="375">
        <f>SUM('1:12'!AE24)</f>
        <v>0</v>
      </c>
      <c r="Y24" s="375">
        <f t="shared" ca="1" si="4"/>
        <v>0</v>
      </c>
      <c r="Z24" s="107">
        <f>SUM('1:12'!AI24)</f>
        <v>0</v>
      </c>
      <c r="AA24" s="107">
        <f ca="1">IF(AND(F24&lt;&gt;"",Y24&gt;0),(Y24-VLOOKUP(Y24-1,INDIRECT(TAXRATE!$E$11),1,1))*VLOOKUP(Y24,INDIRECT(TAXRATE!$E$11),2,1)+VLOOKUP(Y24-1,INDIRECT(TAXRATE!$E$11),3,1),0)</f>
        <v>0</v>
      </c>
      <c r="AB24" s="375">
        <f t="shared" ca="1" si="5"/>
        <v>0</v>
      </c>
      <c r="AC24" s="375">
        <f t="shared" ca="1" si="6"/>
        <v>0</v>
      </c>
    </row>
    <row r="25" spans="1:29" x14ac:dyDescent="0.45">
      <c r="A25" s="5">
        <f ca="1">IF(B25&lt;&gt;"",SUBTOTAL(3,$B$14:B25),"")</f>
        <v>12</v>
      </c>
      <c r="B25" s="3">
        <f ca="1">INDEX(INDIRECT(Danh_Sach!$N$1),ROWS($B$14:$B25),MATCH(B$13,INDIRECT(Danh_Sach!$N$2),0))</f>
        <v>0</v>
      </c>
      <c r="C25" s="118">
        <f ca="1">INDEX(INDIRECT(Danh_Sach!$N$1),ROWS($B$14:$B25),MATCH(C$13,INDIRECT(Danh_Sach!$N$2),0))</f>
        <v>0</v>
      </c>
      <c r="D25" s="118">
        <f ca="1">INDEX(INDIRECT(Danh_Sach!$N$1),ROWS($B$14:$B25),MATCH(D$13,INDIRECT(Danh_Sach!$N$2),0))</f>
        <v>0</v>
      </c>
      <c r="E25" s="118">
        <f ca="1">INDEX(INDIRECT(Danh_Sach!$N$1),ROWS($B$14:$B25),MATCH(E$13,INDIRECT(Danh_Sach!$N$2),0))</f>
        <v>0</v>
      </c>
      <c r="F25" s="118" t="s">
        <v>215</v>
      </c>
      <c r="G25" s="107">
        <f t="array" aca="1" ref="G25" ca="1">INDEX(INDIRECT("'"&amp;G$12&amp;"'!$B$14:$AJ$1400"),ROWS($B$14:$B25),MATCH(G$13,INDIRECT("'"&amp;G$12&amp;"'!$B$13:$AJ$13"),0))</f>
        <v>0</v>
      </c>
      <c r="H25" s="107">
        <f t="array" aca="1" ref="H25" ca="1">INDEX(INDIRECT("'"&amp;H$12&amp;"'!$B$14:$AJ$1400"),ROWS($B$14:$B25),MATCH(H$13,INDIRECT("'"&amp;H$12&amp;"'!$B$13:$AJ$13"),0))</f>
        <v>0</v>
      </c>
      <c r="I25" s="107">
        <f t="array" aca="1" ref="I25" ca="1">INDEX(INDIRECT("'"&amp;I$12&amp;"'!$B$14:$AJ$1400"),ROWS($B$14:$B25),MATCH(I$13,INDIRECT("'"&amp;I$12&amp;"'!$B$13:$AJ$13"),0))</f>
        <v>0</v>
      </c>
      <c r="J25" s="107">
        <f t="array" aca="1" ref="J25" ca="1">INDEX(INDIRECT("'"&amp;J$12&amp;"'!$B$14:$AJ$1400"),ROWS($B$14:$B25),MATCH(J$13,INDIRECT("'"&amp;J$12&amp;"'!$B$13:$AJ$13"),0))</f>
        <v>0</v>
      </c>
      <c r="K25" s="107">
        <f t="array" aca="1" ref="K25" ca="1">INDEX(INDIRECT("'"&amp;K$12&amp;"'!$B$14:$AJ$1400"),ROWS($B$14:$B25),MATCH(K$13,INDIRECT("'"&amp;K$12&amp;"'!$B$13:$AJ$13"),0))</f>
        <v>0</v>
      </c>
      <c r="L25" s="107">
        <f t="array" aca="1" ref="L25" ca="1">INDEX(INDIRECT("'"&amp;L$12&amp;"'!$B$14:$AJ$1400"),ROWS($B$14:$B25),MATCH(L$13,INDIRECT("'"&amp;L$12&amp;"'!$B$13:$AJ$13"),0))</f>
        <v>0</v>
      </c>
      <c r="M25" s="107">
        <f t="array" aca="1" ref="M25" ca="1">INDEX(INDIRECT("'"&amp;M$12&amp;"'!$B$14:$AJ$1400"),ROWS($B$14:$B25),MATCH(M$13,INDIRECT("'"&amp;M$12&amp;"'!$B$13:$AJ$13"),0))</f>
        <v>0</v>
      </c>
      <c r="N25" s="107">
        <f t="array" aca="1" ref="N25" ca="1">INDEX(INDIRECT("'"&amp;N$12&amp;"'!$B$14:$AJ$1400"),ROWS($B$14:$B25),MATCH(N$13,INDIRECT("'"&amp;N$12&amp;"'!$B$13:$AJ$13"),0))</f>
        <v>0</v>
      </c>
      <c r="O25" s="107">
        <f t="array" aca="1" ref="O25" ca="1">INDEX(INDIRECT("'"&amp;O$12&amp;"'!$B$14:$AJ$1400"),ROWS($B$14:$B25),MATCH(O$13,INDIRECT("'"&amp;O$12&amp;"'!$B$13:$AJ$13"),0))</f>
        <v>0</v>
      </c>
      <c r="P25" s="107">
        <f t="array" aca="1" ref="P25" ca="1">INDEX(INDIRECT("'"&amp;P$12&amp;"'!$B$14:$AJ$1400"),ROWS($B$14:$B25),MATCH(P$13,INDIRECT("'"&amp;P$12&amp;"'!$B$13:$AJ$13"),0))</f>
        <v>0</v>
      </c>
      <c r="Q25" s="107">
        <f t="array" aca="1" ref="Q25" ca="1">INDEX(INDIRECT("'"&amp;Q$12&amp;"'!$B$14:$AJ$1400"),ROWS($B$14:$B25),MATCH(Q$13,INDIRECT("'"&amp;Q$12&amp;"'!$B$13:$AJ$13"),0))</f>
        <v>0</v>
      </c>
      <c r="R25" s="107">
        <f ca="1">INDEX(INDIRECT("'"&amp;R$12&amp;"'!$B$14:$AJ$1400"),ROWS($B$14:$B25),MATCH(R$13,INDIRECT("'"&amp;R$12&amp;"'!$B$13:$AJ$13"),0))</f>
        <v>0</v>
      </c>
      <c r="S25" s="375">
        <f t="shared" ca="1" si="2"/>
        <v>0</v>
      </c>
      <c r="T25" s="375">
        <f>NPT!Z21</f>
        <v>0</v>
      </c>
      <c r="U25" s="375">
        <f>IF(F25&lt;&gt;"",$U$13*12,SUM('1:12'!AC25))</f>
        <v>132000000</v>
      </c>
      <c r="V25" s="375">
        <f>IF(AND(F25&lt;&gt;"",T25&gt;0),V$13*12*T25,NPT!Q21)</f>
        <v>0</v>
      </c>
      <c r="W25" s="375">
        <f t="shared" si="3"/>
        <v>132000000</v>
      </c>
      <c r="X25" s="375">
        <f>SUM('1:12'!AE25)</f>
        <v>0</v>
      </c>
      <c r="Y25" s="375">
        <f t="shared" ca="1" si="4"/>
        <v>0</v>
      </c>
      <c r="Z25" s="107">
        <f>SUM('1:12'!AI25)</f>
        <v>0</v>
      </c>
      <c r="AA25" s="107">
        <f ca="1">IF(AND(F25&lt;&gt;"",Y25&gt;0),(Y25-VLOOKUP(Y25-1,INDIRECT(TAXRATE!$E$11),1,1))*VLOOKUP(Y25,INDIRECT(TAXRATE!$E$11),2,1)+VLOOKUP(Y25-1,INDIRECT(TAXRATE!$E$11),3,1),0)</f>
        <v>0</v>
      </c>
      <c r="AB25" s="375">
        <f t="shared" ca="1" si="5"/>
        <v>0</v>
      </c>
      <c r="AC25" s="375">
        <f t="shared" ca="1" si="6"/>
        <v>0</v>
      </c>
    </row>
    <row r="26" spans="1:29" x14ac:dyDescent="0.45">
      <c r="A26" s="5">
        <f ca="1">IF(B26&lt;&gt;"",SUBTOTAL(3,$B$14:B26),"")</f>
        <v>13</v>
      </c>
      <c r="B26" s="3">
        <f ca="1">INDEX(INDIRECT(Danh_Sach!$N$1),ROWS($B$14:$B26),MATCH(B$13,INDIRECT(Danh_Sach!$N$2),0))</f>
        <v>0</v>
      </c>
      <c r="C26" s="118">
        <f ca="1">INDEX(INDIRECT(Danh_Sach!$N$1),ROWS($B$14:$B26),MATCH(C$13,INDIRECT(Danh_Sach!$N$2),0))</f>
        <v>0</v>
      </c>
      <c r="D26" s="118">
        <f ca="1">INDEX(INDIRECT(Danh_Sach!$N$1),ROWS($B$14:$B26),MATCH(D$13,INDIRECT(Danh_Sach!$N$2),0))</f>
        <v>0</v>
      </c>
      <c r="E26" s="118">
        <f ca="1">INDEX(INDIRECT(Danh_Sach!$N$1),ROWS($B$14:$B26),MATCH(E$13,INDIRECT(Danh_Sach!$N$2),0))</f>
        <v>0</v>
      </c>
      <c r="F26" s="118" t="s">
        <v>215</v>
      </c>
      <c r="G26" s="107">
        <f t="array" aca="1" ref="G26" ca="1">INDEX(INDIRECT("'"&amp;G$12&amp;"'!$B$14:$AJ$1400"),ROWS($B$14:$B26),MATCH(G$13,INDIRECT("'"&amp;G$12&amp;"'!$B$13:$AJ$13"),0))</f>
        <v>0</v>
      </c>
      <c r="H26" s="107">
        <f t="array" aca="1" ref="H26" ca="1">INDEX(INDIRECT("'"&amp;H$12&amp;"'!$B$14:$AJ$1400"),ROWS($B$14:$B26),MATCH(H$13,INDIRECT("'"&amp;H$12&amp;"'!$B$13:$AJ$13"),0))</f>
        <v>0</v>
      </c>
      <c r="I26" s="107">
        <f t="array" aca="1" ref="I26" ca="1">INDEX(INDIRECT("'"&amp;I$12&amp;"'!$B$14:$AJ$1400"),ROWS($B$14:$B26),MATCH(I$13,INDIRECT("'"&amp;I$12&amp;"'!$B$13:$AJ$13"),0))</f>
        <v>0</v>
      </c>
      <c r="J26" s="107">
        <f t="array" aca="1" ref="J26" ca="1">INDEX(INDIRECT("'"&amp;J$12&amp;"'!$B$14:$AJ$1400"),ROWS($B$14:$B26),MATCH(J$13,INDIRECT("'"&amp;J$12&amp;"'!$B$13:$AJ$13"),0))</f>
        <v>0</v>
      </c>
      <c r="K26" s="107">
        <f t="array" aca="1" ref="K26" ca="1">INDEX(INDIRECT("'"&amp;K$12&amp;"'!$B$14:$AJ$1400"),ROWS($B$14:$B26),MATCH(K$13,INDIRECT("'"&amp;K$12&amp;"'!$B$13:$AJ$13"),0))</f>
        <v>0</v>
      </c>
      <c r="L26" s="107">
        <f t="array" aca="1" ref="L26" ca="1">INDEX(INDIRECT("'"&amp;L$12&amp;"'!$B$14:$AJ$1400"),ROWS($B$14:$B26),MATCH(L$13,INDIRECT("'"&amp;L$12&amp;"'!$B$13:$AJ$13"),0))</f>
        <v>0</v>
      </c>
      <c r="M26" s="107">
        <f t="array" aca="1" ref="M26" ca="1">INDEX(INDIRECT("'"&amp;M$12&amp;"'!$B$14:$AJ$1400"),ROWS($B$14:$B26),MATCH(M$13,INDIRECT("'"&amp;M$12&amp;"'!$B$13:$AJ$13"),0))</f>
        <v>0</v>
      </c>
      <c r="N26" s="107">
        <f t="array" aca="1" ref="N26" ca="1">INDEX(INDIRECT("'"&amp;N$12&amp;"'!$B$14:$AJ$1400"),ROWS($B$14:$B26),MATCH(N$13,INDIRECT("'"&amp;N$12&amp;"'!$B$13:$AJ$13"),0))</f>
        <v>0</v>
      </c>
      <c r="O26" s="107">
        <f t="array" aca="1" ref="O26" ca="1">INDEX(INDIRECT("'"&amp;O$12&amp;"'!$B$14:$AJ$1400"),ROWS($B$14:$B26),MATCH(O$13,INDIRECT("'"&amp;O$12&amp;"'!$B$13:$AJ$13"),0))</f>
        <v>0</v>
      </c>
      <c r="P26" s="107">
        <f t="array" aca="1" ref="P26" ca="1">INDEX(INDIRECT("'"&amp;P$12&amp;"'!$B$14:$AJ$1400"),ROWS($B$14:$B26),MATCH(P$13,INDIRECT("'"&amp;P$12&amp;"'!$B$13:$AJ$13"),0))</f>
        <v>0</v>
      </c>
      <c r="Q26" s="107">
        <f t="array" aca="1" ref="Q26" ca="1">INDEX(INDIRECT("'"&amp;Q$12&amp;"'!$B$14:$AJ$1400"),ROWS($B$14:$B26),MATCH(Q$13,INDIRECT("'"&amp;Q$12&amp;"'!$B$13:$AJ$13"),0))</f>
        <v>0</v>
      </c>
      <c r="R26" s="107">
        <f ca="1">INDEX(INDIRECT("'"&amp;R$12&amp;"'!$B$14:$AJ$1400"),ROWS($B$14:$B26),MATCH(R$13,INDIRECT("'"&amp;R$12&amp;"'!$B$13:$AJ$13"),0))</f>
        <v>0</v>
      </c>
      <c r="S26" s="375">
        <f t="shared" ca="1" si="2"/>
        <v>0</v>
      </c>
      <c r="T26" s="375">
        <f>NPT!Z22</f>
        <v>0</v>
      </c>
      <c r="U26" s="375">
        <f>IF(F26&lt;&gt;"",$U$13*12,SUM('1:12'!AC26))</f>
        <v>132000000</v>
      </c>
      <c r="V26" s="375">
        <f>IF(AND(F26&lt;&gt;"",T26&gt;0),V$13*12*T26,NPT!Q22)</f>
        <v>0</v>
      </c>
      <c r="W26" s="375">
        <f t="shared" si="3"/>
        <v>132000000</v>
      </c>
      <c r="X26" s="375">
        <f>SUM('1:12'!AE26)</f>
        <v>0</v>
      </c>
      <c r="Y26" s="375">
        <f t="shared" ca="1" si="4"/>
        <v>0</v>
      </c>
      <c r="Z26" s="107">
        <f>SUM('1:12'!AI26)</f>
        <v>0</v>
      </c>
      <c r="AA26" s="107">
        <f ca="1">IF(AND(F26&lt;&gt;"",Y26&gt;0),(Y26-VLOOKUP(Y26-1,INDIRECT(TAXRATE!$E$11),1,1))*VLOOKUP(Y26,INDIRECT(TAXRATE!$E$11),2,1)+VLOOKUP(Y26-1,INDIRECT(TAXRATE!$E$11),3,1),0)</f>
        <v>0</v>
      </c>
      <c r="AB26" s="375">
        <f t="shared" ca="1" si="5"/>
        <v>0</v>
      </c>
      <c r="AC26" s="375">
        <f t="shared" ca="1" si="6"/>
        <v>0</v>
      </c>
    </row>
    <row r="27" spans="1:29" x14ac:dyDescent="0.45">
      <c r="A27" s="5">
        <f ca="1">IF(B27&lt;&gt;"",SUBTOTAL(3,$B$14:B27),"")</f>
        <v>14</v>
      </c>
      <c r="B27" s="3">
        <f ca="1">INDEX(INDIRECT(Danh_Sach!$N$1),ROWS($B$14:$B27),MATCH(B$13,INDIRECT(Danh_Sach!$N$2),0))</f>
        <v>0</v>
      </c>
      <c r="C27" s="118">
        <f ca="1">INDEX(INDIRECT(Danh_Sach!$N$1),ROWS($B$14:$B27),MATCH(C$13,INDIRECT(Danh_Sach!$N$2),0))</f>
        <v>0</v>
      </c>
      <c r="D27" s="118">
        <f ca="1">INDEX(INDIRECT(Danh_Sach!$N$1),ROWS($B$14:$B27),MATCH(D$13,INDIRECT(Danh_Sach!$N$2),0))</f>
        <v>0</v>
      </c>
      <c r="E27" s="118">
        <f ca="1">INDEX(INDIRECT(Danh_Sach!$N$1),ROWS($B$14:$B27),MATCH(E$13,INDIRECT(Danh_Sach!$N$2),0))</f>
        <v>0</v>
      </c>
      <c r="F27" s="118" t="s">
        <v>215</v>
      </c>
      <c r="G27" s="107">
        <f t="array" aca="1" ref="G27" ca="1">INDEX(INDIRECT("'"&amp;G$12&amp;"'!$B$14:$AJ$1400"),ROWS($B$14:$B27),MATCH(G$13,INDIRECT("'"&amp;G$12&amp;"'!$B$13:$AJ$13"),0))</f>
        <v>0</v>
      </c>
      <c r="H27" s="107">
        <f t="array" aca="1" ref="H27" ca="1">INDEX(INDIRECT("'"&amp;H$12&amp;"'!$B$14:$AJ$1400"),ROWS($B$14:$B27),MATCH(H$13,INDIRECT("'"&amp;H$12&amp;"'!$B$13:$AJ$13"),0))</f>
        <v>0</v>
      </c>
      <c r="I27" s="107">
        <f t="array" aca="1" ref="I27" ca="1">INDEX(INDIRECT("'"&amp;I$12&amp;"'!$B$14:$AJ$1400"),ROWS($B$14:$B27),MATCH(I$13,INDIRECT("'"&amp;I$12&amp;"'!$B$13:$AJ$13"),0))</f>
        <v>0</v>
      </c>
      <c r="J27" s="107">
        <f t="array" aca="1" ref="J27" ca="1">INDEX(INDIRECT("'"&amp;J$12&amp;"'!$B$14:$AJ$1400"),ROWS($B$14:$B27),MATCH(J$13,INDIRECT("'"&amp;J$12&amp;"'!$B$13:$AJ$13"),0))</f>
        <v>0</v>
      </c>
      <c r="K27" s="107">
        <f t="array" aca="1" ref="K27" ca="1">INDEX(INDIRECT("'"&amp;K$12&amp;"'!$B$14:$AJ$1400"),ROWS($B$14:$B27),MATCH(K$13,INDIRECT("'"&amp;K$12&amp;"'!$B$13:$AJ$13"),0))</f>
        <v>0</v>
      </c>
      <c r="L27" s="107">
        <f t="array" aca="1" ref="L27" ca="1">INDEX(INDIRECT("'"&amp;L$12&amp;"'!$B$14:$AJ$1400"),ROWS($B$14:$B27),MATCH(L$13,INDIRECT("'"&amp;L$12&amp;"'!$B$13:$AJ$13"),0))</f>
        <v>0</v>
      </c>
      <c r="M27" s="107">
        <f t="array" aca="1" ref="M27" ca="1">INDEX(INDIRECT("'"&amp;M$12&amp;"'!$B$14:$AJ$1400"),ROWS($B$14:$B27),MATCH(M$13,INDIRECT("'"&amp;M$12&amp;"'!$B$13:$AJ$13"),0))</f>
        <v>0</v>
      </c>
      <c r="N27" s="107">
        <f t="array" aca="1" ref="N27" ca="1">INDEX(INDIRECT("'"&amp;N$12&amp;"'!$B$14:$AJ$1400"),ROWS($B$14:$B27),MATCH(N$13,INDIRECT("'"&amp;N$12&amp;"'!$B$13:$AJ$13"),0))</f>
        <v>0</v>
      </c>
      <c r="O27" s="107">
        <f t="array" aca="1" ref="O27" ca="1">INDEX(INDIRECT("'"&amp;O$12&amp;"'!$B$14:$AJ$1400"),ROWS($B$14:$B27),MATCH(O$13,INDIRECT("'"&amp;O$12&amp;"'!$B$13:$AJ$13"),0))</f>
        <v>0</v>
      </c>
      <c r="P27" s="107">
        <f t="array" aca="1" ref="P27" ca="1">INDEX(INDIRECT("'"&amp;P$12&amp;"'!$B$14:$AJ$1400"),ROWS($B$14:$B27),MATCH(P$13,INDIRECT("'"&amp;P$12&amp;"'!$B$13:$AJ$13"),0))</f>
        <v>0</v>
      </c>
      <c r="Q27" s="107">
        <f t="array" aca="1" ref="Q27" ca="1">INDEX(INDIRECT("'"&amp;Q$12&amp;"'!$B$14:$AJ$1400"),ROWS($B$14:$B27),MATCH(Q$13,INDIRECT("'"&amp;Q$12&amp;"'!$B$13:$AJ$13"),0))</f>
        <v>0</v>
      </c>
      <c r="R27" s="107">
        <f ca="1">INDEX(INDIRECT("'"&amp;R$12&amp;"'!$B$14:$AJ$1400"),ROWS($B$14:$B27),MATCH(R$13,INDIRECT("'"&amp;R$12&amp;"'!$B$13:$AJ$13"),0))</f>
        <v>0</v>
      </c>
      <c r="S27" s="375">
        <f t="shared" ca="1" si="2"/>
        <v>0</v>
      </c>
      <c r="T27" s="375">
        <f>NPT!Z23</f>
        <v>0</v>
      </c>
      <c r="U27" s="375">
        <f>IF(F27&lt;&gt;"",$U$13*12,SUM('1:12'!AC27))</f>
        <v>132000000</v>
      </c>
      <c r="V27" s="375">
        <f>IF(AND(F27&lt;&gt;"",T27&gt;0),V$13*12*T27,NPT!Q23)</f>
        <v>0</v>
      </c>
      <c r="W27" s="375">
        <f t="shared" si="3"/>
        <v>132000000</v>
      </c>
      <c r="X27" s="375">
        <f>SUM('1:12'!AE27)</f>
        <v>0</v>
      </c>
      <c r="Y27" s="375">
        <f t="shared" ca="1" si="4"/>
        <v>0</v>
      </c>
      <c r="Z27" s="107">
        <f>SUM('1:12'!AI27)</f>
        <v>0</v>
      </c>
      <c r="AA27" s="107">
        <f ca="1">IF(AND(F27&lt;&gt;"",Y27&gt;0),(Y27-VLOOKUP(Y27-1,INDIRECT(TAXRATE!$E$11),1,1))*VLOOKUP(Y27,INDIRECT(TAXRATE!$E$11),2,1)+VLOOKUP(Y27-1,INDIRECT(TAXRATE!$E$11),3,1),0)</f>
        <v>0</v>
      </c>
      <c r="AB27" s="375">
        <f t="shared" ca="1" si="5"/>
        <v>0</v>
      </c>
      <c r="AC27" s="375">
        <f t="shared" ca="1" si="6"/>
        <v>0</v>
      </c>
    </row>
    <row r="28" spans="1:29" x14ac:dyDescent="0.45">
      <c r="A28" s="5">
        <f ca="1">IF(B28&lt;&gt;"",SUBTOTAL(3,$B$14:B28),"")</f>
        <v>15</v>
      </c>
      <c r="B28" s="3">
        <f ca="1">INDEX(INDIRECT(Danh_Sach!$N$1),ROWS($B$14:$B28),MATCH(B$13,INDIRECT(Danh_Sach!$N$2),0))</f>
        <v>0</v>
      </c>
      <c r="C28" s="118">
        <f ca="1">INDEX(INDIRECT(Danh_Sach!$N$1),ROWS($B$14:$B28),MATCH(C$13,INDIRECT(Danh_Sach!$N$2),0))</f>
        <v>0</v>
      </c>
      <c r="D28" s="118">
        <f ca="1">INDEX(INDIRECT(Danh_Sach!$N$1),ROWS($B$14:$B28),MATCH(D$13,INDIRECT(Danh_Sach!$N$2),0))</f>
        <v>0</v>
      </c>
      <c r="E28" s="118">
        <f ca="1">INDEX(INDIRECT(Danh_Sach!$N$1),ROWS($B$14:$B28),MATCH(E$13,INDIRECT(Danh_Sach!$N$2),0))</f>
        <v>0</v>
      </c>
      <c r="F28" s="118" t="s">
        <v>215</v>
      </c>
      <c r="G28" s="107">
        <f t="array" aca="1" ref="G28" ca="1">INDEX(INDIRECT("'"&amp;G$12&amp;"'!$B$14:$AJ$1400"),ROWS($B$14:$B28),MATCH(G$13,INDIRECT("'"&amp;G$12&amp;"'!$B$13:$AJ$13"),0))</f>
        <v>0</v>
      </c>
      <c r="H28" s="107">
        <f t="array" aca="1" ref="H28" ca="1">INDEX(INDIRECT("'"&amp;H$12&amp;"'!$B$14:$AJ$1400"),ROWS($B$14:$B28),MATCH(H$13,INDIRECT("'"&amp;H$12&amp;"'!$B$13:$AJ$13"),0))</f>
        <v>0</v>
      </c>
      <c r="I28" s="107">
        <f t="array" aca="1" ref="I28" ca="1">INDEX(INDIRECT("'"&amp;I$12&amp;"'!$B$14:$AJ$1400"),ROWS($B$14:$B28),MATCH(I$13,INDIRECT("'"&amp;I$12&amp;"'!$B$13:$AJ$13"),0))</f>
        <v>0</v>
      </c>
      <c r="J28" s="107">
        <f t="array" aca="1" ref="J28" ca="1">INDEX(INDIRECT("'"&amp;J$12&amp;"'!$B$14:$AJ$1400"),ROWS($B$14:$B28),MATCH(J$13,INDIRECT("'"&amp;J$12&amp;"'!$B$13:$AJ$13"),0))</f>
        <v>0</v>
      </c>
      <c r="K28" s="107">
        <f t="array" aca="1" ref="K28" ca="1">INDEX(INDIRECT("'"&amp;K$12&amp;"'!$B$14:$AJ$1400"),ROWS($B$14:$B28),MATCH(K$13,INDIRECT("'"&amp;K$12&amp;"'!$B$13:$AJ$13"),0))</f>
        <v>0</v>
      </c>
      <c r="L28" s="107">
        <f t="array" aca="1" ref="L28" ca="1">INDEX(INDIRECT("'"&amp;L$12&amp;"'!$B$14:$AJ$1400"),ROWS($B$14:$B28),MATCH(L$13,INDIRECT("'"&amp;L$12&amp;"'!$B$13:$AJ$13"),0))</f>
        <v>0</v>
      </c>
      <c r="M28" s="107">
        <f t="array" aca="1" ref="M28" ca="1">INDEX(INDIRECT("'"&amp;M$12&amp;"'!$B$14:$AJ$1400"),ROWS($B$14:$B28),MATCH(M$13,INDIRECT("'"&amp;M$12&amp;"'!$B$13:$AJ$13"),0))</f>
        <v>0</v>
      </c>
      <c r="N28" s="107">
        <f t="array" aca="1" ref="N28" ca="1">INDEX(INDIRECT("'"&amp;N$12&amp;"'!$B$14:$AJ$1400"),ROWS($B$14:$B28),MATCH(N$13,INDIRECT("'"&amp;N$12&amp;"'!$B$13:$AJ$13"),0))</f>
        <v>0</v>
      </c>
      <c r="O28" s="107">
        <f t="array" aca="1" ref="O28" ca="1">INDEX(INDIRECT("'"&amp;O$12&amp;"'!$B$14:$AJ$1400"),ROWS($B$14:$B28),MATCH(O$13,INDIRECT("'"&amp;O$12&amp;"'!$B$13:$AJ$13"),0))</f>
        <v>0</v>
      </c>
      <c r="P28" s="107">
        <f t="array" aca="1" ref="P28" ca="1">INDEX(INDIRECT("'"&amp;P$12&amp;"'!$B$14:$AJ$1400"),ROWS($B$14:$B28),MATCH(P$13,INDIRECT("'"&amp;P$12&amp;"'!$B$13:$AJ$13"),0))</f>
        <v>0</v>
      </c>
      <c r="Q28" s="107">
        <f t="array" aca="1" ref="Q28" ca="1">INDEX(INDIRECT("'"&amp;Q$12&amp;"'!$B$14:$AJ$1400"),ROWS($B$14:$B28),MATCH(Q$13,INDIRECT("'"&amp;Q$12&amp;"'!$B$13:$AJ$13"),0))</f>
        <v>0</v>
      </c>
      <c r="R28" s="107">
        <f ca="1">INDEX(INDIRECT("'"&amp;R$12&amp;"'!$B$14:$AJ$1400"),ROWS($B$14:$B28),MATCH(R$13,INDIRECT("'"&amp;R$12&amp;"'!$B$13:$AJ$13"),0))</f>
        <v>0</v>
      </c>
      <c r="S28" s="375">
        <f t="shared" ca="1" si="2"/>
        <v>0</v>
      </c>
      <c r="T28" s="375">
        <f>NPT!Z24</f>
        <v>0</v>
      </c>
      <c r="U28" s="375">
        <f>IF(F28&lt;&gt;"",$U$13*12,SUM('1:12'!AC28))</f>
        <v>132000000</v>
      </c>
      <c r="V28" s="375">
        <f>IF(AND(F28&lt;&gt;"",T28&gt;0),V$13*12*T28,NPT!Q24)</f>
        <v>0</v>
      </c>
      <c r="W28" s="375">
        <f t="shared" si="3"/>
        <v>132000000</v>
      </c>
      <c r="X28" s="375">
        <f>SUM('1:12'!AE28)</f>
        <v>0</v>
      </c>
      <c r="Y28" s="375">
        <f t="shared" ca="1" si="4"/>
        <v>0</v>
      </c>
      <c r="Z28" s="107">
        <f>SUM('1:12'!AI28)</f>
        <v>0</v>
      </c>
      <c r="AA28" s="107">
        <f ca="1">IF(AND(F28&lt;&gt;"",Y28&gt;0),(Y28-VLOOKUP(Y28-1,INDIRECT(TAXRATE!$E$11),1,1))*VLOOKUP(Y28,INDIRECT(TAXRATE!$E$11),2,1)+VLOOKUP(Y28-1,INDIRECT(TAXRATE!$E$11),3,1),0)</f>
        <v>0</v>
      </c>
      <c r="AB28" s="375">
        <f t="shared" ca="1" si="5"/>
        <v>0</v>
      </c>
      <c r="AC28" s="375">
        <f t="shared" ca="1" si="6"/>
        <v>0</v>
      </c>
    </row>
    <row r="29" spans="1:29" x14ac:dyDescent="0.45">
      <c r="A29" s="5">
        <f ca="1">IF(B29&lt;&gt;"",SUBTOTAL(3,$B$14:B29),"")</f>
        <v>16</v>
      </c>
      <c r="B29" s="3">
        <f ca="1">INDEX(INDIRECT(Danh_Sach!$N$1),ROWS($B$14:$B29),MATCH(B$13,INDIRECT(Danh_Sach!$N$2),0))</f>
        <v>0</v>
      </c>
      <c r="C29" s="118">
        <f ca="1">INDEX(INDIRECT(Danh_Sach!$N$1),ROWS($B$14:$B29),MATCH(C$13,INDIRECT(Danh_Sach!$N$2),0))</f>
        <v>0</v>
      </c>
      <c r="D29" s="118">
        <f ca="1">INDEX(INDIRECT(Danh_Sach!$N$1),ROWS($B$14:$B29),MATCH(D$13,INDIRECT(Danh_Sach!$N$2),0))</f>
        <v>0</v>
      </c>
      <c r="E29" s="118">
        <f ca="1">INDEX(INDIRECT(Danh_Sach!$N$1),ROWS($B$14:$B29),MATCH(E$13,INDIRECT(Danh_Sach!$N$2),0))</f>
        <v>0</v>
      </c>
      <c r="F29" s="118" t="s">
        <v>215</v>
      </c>
      <c r="G29" s="107">
        <f t="array" aca="1" ref="G29" ca="1">INDEX(INDIRECT("'"&amp;G$12&amp;"'!$B$14:$AJ$1400"),ROWS($B$14:$B29),MATCH(G$13,INDIRECT("'"&amp;G$12&amp;"'!$B$13:$AJ$13"),0))</f>
        <v>0</v>
      </c>
      <c r="H29" s="107">
        <f t="array" aca="1" ref="H29" ca="1">INDEX(INDIRECT("'"&amp;H$12&amp;"'!$B$14:$AJ$1400"),ROWS($B$14:$B29),MATCH(H$13,INDIRECT("'"&amp;H$12&amp;"'!$B$13:$AJ$13"),0))</f>
        <v>0</v>
      </c>
      <c r="I29" s="107">
        <f t="array" aca="1" ref="I29" ca="1">INDEX(INDIRECT("'"&amp;I$12&amp;"'!$B$14:$AJ$1400"),ROWS($B$14:$B29),MATCH(I$13,INDIRECT("'"&amp;I$12&amp;"'!$B$13:$AJ$13"),0))</f>
        <v>0</v>
      </c>
      <c r="J29" s="107">
        <f t="array" aca="1" ref="J29" ca="1">INDEX(INDIRECT("'"&amp;J$12&amp;"'!$B$14:$AJ$1400"),ROWS($B$14:$B29),MATCH(J$13,INDIRECT("'"&amp;J$12&amp;"'!$B$13:$AJ$13"),0))</f>
        <v>0</v>
      </c>
      <c r="K29" s="107">
        <f t="array" aca="1" ref="K29" ca="1">INDEX(INDIRECT("'"&amp;K$12&amp;"'!$B$14:$AJ$1400"),ROWS($B$14:$B29),MATCH(K$13,INDIRECT("'"&amp;K$12&amp;"'!$B$13:$AJ$13"),0))</f>
        <v>0</v>
      </c>
      <c r="L29" s="107">
        <f t="array" aca="1" ref="L29" ca="1">INDEX(INDIRECT("'"&amp;L$12&amp;"'!$B$14:$AJ$1400"),ROWS($B$14:$B29),MATCH(L$13,INDIRECT("'"&amp;L$12&amp;"'!$B$13:$AJ$13"),0))</f>
        <v>0</v>
      </c>
      <c r="M29" s="107">
        <f t="array" aca="1" ref="M29" ca="1">INDEX(INDIRECT("'"&amp;M$12&amp;"'!$B$14:$AJ$1400"),ROWS($B$14:$B29),MATCH(M$13,INDIRECT("'"&amp;M$12&amp;"'!$B$13:$AJ$13"),0))</f>
        <v>0</v>
      </c>
      <c r="N29" s="107">
        <f t="array" aca="1" ref="N29" ca="1">INDEX(INDIRECT("'"&amp;N$12&amp;"'!$B$14:$AJ$1400"),ROWS($B$14:$B29),MATCH(N$13,INDIRECT("'"&amp;N$12&amp;"'!$B$13:$AJ$13"),0))</f>
        <v>0</v>
      </c>
      <c r="O29" s="107">
        <f t="array" aca="1" ref="O29" ca="1">INDEX(INDIRECT("'"&amp;O$12&amp;"'!$B$14:$AJ$1400"),ROWS($B$14:$B29),MATCH(O$13,INDIRECT("'"&amp;O$12&amp;"'!$B$13:$AJ$13"),0))</f>
        <v>0</v>
      </c>
      <c r="P29" s="107">
        <f t="array" aca="1" ref="P29" ca="1">INDEX(INDIRECT("'"&amp;P$12&amp;"'!$B$14:$AJ$1400"),ROWS($B$14:$B29),MATCH(P$13,INDIRECT("'"&amp;P$12&amp;"'!$B$13:$AJ$13"),0))</f>
        <v>0</v>
      </c>
      <c r="Q29" s="107">
        <f t="array" aca="1" ref="Q29" ca="1">INDEX(INDIRECT("'"&amp;Q$12&amp;"'!$B$14:$AJ$1400"),ROWS($B$14:$B29),MATCH(Q$13,INDIRECT("'"&amp;Q$12&amp;"'!$B$13:$AJ$13"),0))</f>
        <v>0</v>
      </c>
      <c r="R29" s="107">
        <f ca="1">INDEX(INDIRECT("'"&amp;R$12&amp;"'!$B$14:$AJ$1400"),ROWS($B$14:$B29),MATCH(R$13,INDIRECT("'"&amp;R$12&amp;"'!$B$13:$AJ$13"),0))</f>
        <v>0</v>
      </c>
      <c r="S29" s="375">
        <f t="shared" ca="1" si="2"/>
        <v>0</v>
      </c>
      <c r="T29" s="375">
        <f>NPT!Z25</f>
        <v>0</v>
      </c>
      <c r="U29" s="375">
        <f>IF(F29&lt;&gt;"",$U$13*12,SUM('1:12'!AC29))</f>
        <v>132000000</v>
      </c>
      <c r="V29" s="375">
        <f>IF(AND(F29&lt;&gt;"",T29&gt;0),V$13*12*T29,NPT!Q25)</f>
        <v>0</v>
      </c>
      <c r="W29" s="375">
        <f t="shared" si="3"/>
        <v>132000000</v>
      </c>
      <c r="X29" s="375">
        <f>SUM('1:12'!AE29)</f>
        <v>0</v>
      </c>
      <c r="Y29" s="375">
        <f t="shared" ca="1" si="4"/>
        <v>0</v>
      </c>
      <c r="Z29" s="107">
        <f>SUM('1:12'!AI29)</f>
        <v>0</v>
      </c>
      <c r="AA29" s="107">
        <f ca="1">IF(AND(F29&lt;&gt;"",Y29&gt;0),(Y29-VLOOKUP(Y29-1,INDIRECT(TAXRATE!$E$11),1,1))*VLOOKUP(Y29,INDIRECT(TAXRATE!$E$11),2,1)+VLOOKUP(Y29-1,INDIRECT(TAXRATE!$E$11),3,1),0)</f>
        <v>0</v>
      </c>
      <c r="AB29" s="375">
        <f t="shared" ca="1" si="5"/>
        <v>0</v>
      </c>
      <c r="AC29" s="375">
        <f t="shared" ca="1" si="6"/>
        <v>0</v>
      </c>
    </row>
    <row r="30" spans="1:29" x14ac:dyDescent="0.45">
      <c r="A30" s="5">
        <f ca="1">IF(B30&lt;&gt;"",SUBTOTAL(3,$B$14:B30),"")</f>
        <v>17</v>
      </c>
      <c r="B30" s="3">
        <f ca="1">INDEX(INDIRECT(Danh_Sach!$N$1),ROWS($B$14:$B30),MATCH(B$13,INDIRECT(Danh_Sach!$N$2),0))</f>
        <v>0</v>
      </c>
      <c r="C30" s="118">
        <f ca="1">INDEX(INDIRECT(Danh_Sach!$N$1),ROWS($B$14:$B30),MATCH(C$13,INDIRECT(Danh_Sach!$N$2),0))</f>
        <v>0</v>
      </c>
      <c r="D30" s="118">
        <f ca="1">INDEX(INDIRECT(Danh_Sach!$N$1),ROWS($B$14:$B30),MATCH(D$13,INDIRECT(Danh_Sach!$N$2),0))</f>
        <v>0</v>
      </c>
      <c r="E30" s="118">
        <f ca="1">INDEX(INDIRECT(Danh_Sach!$N$1),ROWS($B$14:$B30),MATCH(E$13,INDIRECT(Danh_Sach!$N$2),0))</f>
        <v>0</v>
      </c>
      <c r="G30" s="107">
        <f t="array" aca="1" ref="G30" ca="1">INDEX(INDIRECT("'"&amp;G$12&amp;"'!$B$14:$AJ$1400"),ROWS($B$14:$B30),MATCH(G$13,INDIRECT("'"&amp;G$12&amp;"'!$B$13:$AJ$13"),0))</f>
        <v>0</v>
      </c>
      <c r="H30" s="107">
        <f t="array" aca="1" ref="H30" ca="1">INDEX(INDIRECT("'"&amp;H$12&amp;"'!$B$14:$AJ$1400"),ROWS($B$14:$B30),MATCH(H$13,INDIRECT("'"&amp;H$12&amp;"'!$B$13:$AJ$13"),0))</f>
        <v>0</v>
      </c>
      <c r="I30" s="107">
        <f t="array" aca="1" ref="I30" ca="1">INDEX(INDIRECT("'"&amp;I$12&amp;"'!$B$14:$AJ$1400"),ROWS($B$14:$B30),MATCH(I$13,INDIRECT("'"&amp;I$12&amp;"'!$B$13:$AJ$13"),0))</f>
        <v>0</v>
      </c>
      <c r="J30" s="107">
        <f t="array" aca="1" ref="J30" ca="1">INDEX(INDIRECT("'"&amp;J$12&amp;"'!$B$14:$AJ$1400"),ROWS($B$14:$B30),MATCH(J$13,INDIRECT("'"&amp;J$12&amp;"'!$B$13:$AJ$13"),0))</f>
        <v>0</v>
      </c>
      <c r="K30" s="107">
        <f t="array" aca="1" ref="K30" ca="1">INDEX(INDIRECT("'"&amp;K$12&amp;"'!$B$14:$AJ$1400"),ROWS($B$14:$B30),MATCH(K$13,INDIRECT("'"&amp;K$12&amp;"'!$B$13:$AJ$13"),0))</f>
        <v>0</v>
      </c>
      <c r="L30" s="107">
        <f t="array" aca="1" ref="L30" ca="1">INDEX(INDIRECT("'"&amp;L$12&amp;"'!$B$14:$AJ$1400"),ROWS($B$14:$B30),MATCH(L$13,INDIRECT("'"&amp;L$12&amp;"'!$B$13:$AJ$13"),0))</f>
        <v>0</v>
      </c>
      <c r="M30" s="107">
        <f t="array" aca="1" ref="M30" ca="1">INDEX(INDIRECT("'"&amp;M$12&amp;"'!$B$14:$AJ$1400"),ROWS($B$14:$B30),MATCH(M$13,INDIRECT("'"&amp;M$12&amp;"'!$B$13:$AJ$13"),0))</f>
        <v>0</v>
      </c>
      <c r="N30" s="107">
        <f t="array" aca="1" ref="N30" ca="1">INDEX(INDIRECT("'"&amp;N$12&amp;"'!$B$14:$AJ$1400"),ROWS($B$14:$B30),MATCH(N$13,INDIRECT("'"&amp;N$12&amp;"'!$B$13:$AJ$13"),0))</f>
        <v>0</v>
      </c>
      <c r="O30" s="107">
        <f t="array" aca="1" ref="O30" ca="1">INDEX(INDIRECT("'"&amp;O$12&amp;"'!$B$14:$AJ$1400"),ROWS($B$14:$B30),MATCH(O$13,INDIRECT("'"&amp;O$12&amp;"'!$B$13:$AJ$13"),0))</f>
        <v>0</v>
      </c>
      <c r="P30" s="107">
        <f t="array" aca="1" ref="P30" ca="1">INDEX(INDIRECT("'"&amp;P$12&amp;"'!$B$14:$AJ$1400"),ROWS($B$14:$B30),MATCH(P$13,INDIRECT("'"&amp;P$12&amp;"'!$B$13:$AJ$13"),0))</f>
        <v>0</v>
      </c>
      <c r="Q30" s="107">
        <f t="array" aca="1" ref="Q30" ca="1">INDEX(INDIRECT("'"&amp;Q$12&amp;"'!$B$14:$AJ$1400"),ROWS($B$14:$B30),MATCH(Q$13,INDIRECT("'"&amp;Q$12&amp;"'!$B$13:$AJ$13"),0))</f>
        <v>0</v>
      </c>
      <c r="R30" s="107">
        <f ca="1">INDEX(INDIRECT("'"&amp;R$12&amp;"'!$B$14:$AJ$1400"),ROWS($B$14:$B30),MATCH(R$13,INDIRECT("'"&amp;R$12&amp;"'!$B$13:$AJ$13"),0))</f>
        <v>0</v>
      </c>
      <c r="S30" s="375">
        <f t="shared" ca="1" si="2"/>
        <v>0</v>
      </c>
      <c r="T30" s="375">
        <f>NPT!Z26</f>
        <v>0</v>
      </c>
      <c r="U30" s="375">
        <f>IF(F30&lt;&gt;"",$U$13*12,SUM('1:12'!AC30))</f>
        <v>0</v>
      </c>
      <c r="V30" s="375">
        <f>IF(AND(F30&lt;&gt;"",T30&gt;0),V$13*12*T30,NPT!Q26)</f>
        <v>0</v>
      </c>
      <c r="W30" s="375">
        <f t="shared" si="3"/>
        <v>0</v>
      </c>
      <c r="X30" s="375">
        <f>SUM('1:12'!AE30)</f>
        <v>0</v>
      </c>
      <c r="Y30" s="375">
        <f t="shared" ca="1" si="4"/>
        <v>0</v>
      </c>
      <c r="Z30" s="107">
        <f>SUM('1:12'!AI30)</f>
        <v>0</v>
      </c>
      <c r="AA30" s="107">
        <f ca="1">IF(AND(F30&lt;&gt;"",Y30&gt;0),(Y30-VLOOKUP(Y30-1,INDIRECT(TAXRATE!$E$11),1,1))*VLOOKUP(Y30,INDIRECT(TAXRATE!$E$11),2,1)+VLOOKUP(Y30-1,INDIRECT(TAXRATE!$E$11),3,1),0)</f>
        <v>0</v>
      </c>
      <c r="AB30" s="375">
        <f t="shared" si="5"/>
        <v>0</v>
      </c>
      <c r="AC30" s="375">
        <f t="shared" si="6"/>
        <v>0</v>
      </c>
    </row>
    <row r="31" spans="1:29" x14ac:dyDescent="0.45">
      <c r="A31" s="5">
        <f ca="1">IF(B31&lt;&gt;"",SUBTOTAL(3,$B$14:B31),"")</f>
        <v>18</v>
      </c>
      <c r="B31" s="3">
        <f ca="1">INDEX(INDIRECT(Danh_Sach!$N$1),ROWS($B$14:$B31),MATCH(B$13,INDIRECT(Danh_Sach!$N$2),0))</f>
        <v>0</v>
      </c>
      <c r="C31" s="118">
        <f ca="1">INDEX(INDIRECT(Danh_Sach!$N$1),ROWS($B$14:$B31),MATCH(C$13,INDIRECT(Danh_Sach!$N$2),0))</f>
        <v>0</v>
      </c>
      <c r="D31" s="118">
        <f ca="1">INDEX(INDIRECT(Danh_Sach!$N$1),ROWS($B$14:$B31),MATCH(D$13,INDIRECT(Danh_Sach!$N$2),0))</f>
        <v>0</v>
      </c>
      <c r="E31" s="118">
        <f ca="1">INDEX(INDIRECT(Danh_Sach!$N$1),ROWS($B$14:$B31),MATCH(E$13,INDIRECT(Danh_Sach!$N$2),0))</f>
        <v>0</v>
      </c>
      <c r="G31" s="107">
        <f t="array" aca="1" ref="G31" ca="1">INDEX(INDIRECT("'"&amp;G$12&amp;"'!$B$14:$AJ$1400"),ROWS($B$14:$B31),MATCH(G$13,INDIRECT("'"&amp;G$12&amp;"'!$B$13:$AJ$13"),0))</f>
        <v>0</v>
      </c>
      <c r="H31" s="107">
        <f t="array" aca="1" ref="H31" ca="1">INDEX(INDIRECT("'"&amp;H$12&amp;"'!$B$14:$AJ$1400"),ROWS($B$14:$B31),MATCH(H$13,INDIRECT("'"&amp;H$12&amp;"'!$B$13:$AJ$13"),0))</f>
        <v>0</v>
      </c>
      <c r="I31" s="107">
        <f t="array" aca="1" ref="I31" ca="1">INDEX(INDIRECT("'"&amp;I$12&amp;"'!$B$14:$AJ$1400"),ROWS($B$14:$B31),MATCH(I$13,INDIRECT("'"&amp;I$12&amp;"'!$B$13:$AJ$13"),0))</f>
        <v>0</v>
      </c>
      <c r="J31" s="107">
        <f t="array" aca="1" ref="J31" ca="1">INDEX(INDIRECT("'"&amp;J$12&amp;"'!$B$14:$AJ$1400"),ROWS($B$14:$B31),MATCH(J$13,INDIRECT("'"&amp;J$12&amp;"'!$B$13:$AJ$13"),0))</f>
        <v>0</v>
      </c>
      <c r="K31" s="107">
        <f t="array" aca="1" ref="K31" ca="1">INDEX(INDIRECT("'"&amp;K$12&amp;"'!$B$14:$AJ$1400"),ROWS($B$14:$B31),MATCH(K$13,INDIRECT("'"&amp;K$12&amp;"'!$B$13:$AJ$13"),0))</f>
        <v>0</v>
      </c>
      <c r="L31" s="107">
        <f t="array" aca="1" ref="L31" ca="1">INDEX(INDIRECT("'"&amp;L$12&amp;"'!$B$14:$AJ$1400"),ROWS($B$14:$B31),MATCH(L$13,INDIRECT("'"&amp;L$12&amp;"'!$B$13:$AJ$13"),0))</f>
        <v>0</v>
      </c>
      <c r="M31" s="107">
        <f t="array" aca="1" ref="M31" ca="1">INDEX(INDIRECT("'"&amp;M$12&amp;"'!$B$14:$AJ$1400"),ROWS($B$14:$B31),MATCH(M$13,INDIRECT("'"&amp;M$12&amp;"'!$B$13:$AJ$13"),0))</f>
        <v>0</v>
      </c>
      <c r="N31" s="107">
        <f t="array" aca="1" ref="N31" ca="1">INDEX(INDIRECT("'"&amp;N$12&amp;"'!$B$14:$AJ$1400"),ROWS($B$14:$B31),MATCH(N$13,INDIRECT("'"&amp;N$12&amp;"'!$B$13:$AJ$13"),0))</f>
        <v>0</v>
      </c>
      <c r="O31" s="107">
        <f t="array" aca="1" ref="O31" ca="1">INDEX(INDIRECT("'"&amp;O$12&amp;"'!$B$14:$AJ$1400"),ROWS($B$14:$B31),MATCH(O$13,INDIRECT("'"&amp;O$12&amp;"'!$B$13:$AJ$13"),0))</f>
        <v>0</v>
      </c>
      <c r="P31" s="107">
        <f t="array" aca="1" ref="P31" ca="1">INDEX(INDIRECT("'"&amp;P$12&amp;"'!$B$14:$AJ$1400"),ROWS($B$14:$B31),MATCH(P$13,INDIRECT("'"&amp;P$12&amp;"'!$B$13:$AJ$13"),0))</f>
        <v>0</v>
      </c>
      <c r="Q31" s="107">
        <f t="array" aca="1" ref="Q31" ca="1">INDEX(INDIRECT("'"&amp;Q$12&amp;"'!$B$14:$AJ$1400"),ROWS($B$14:$B31),MATCH(Q$13,INDIRECT("'"&amp;Q$12&amp;"'!$B$13:$AJ$13"),0))</f>
        <v>0</v>
      </c>
      <c r="R31" s="107">
        <f ca="1">INDEX(INDIRECT("'"&amp;R$12&amp;"'!$B$14:$AJ$1400"),ROWS($B$14:$B31),MATCH(R$13,INDIRECT("'"&amp;R$12&amp;"'!$B$13:$AJ$13"),0))</f>
        <v>0</v>
      </c>
      <c r="S31" s="375">
        <f t="shared" ca="1" si="2"/>
        <v>0</v>
      </c>
      <c r="T31" s="375">
        <f>NPT!Z27</f>
        <v>0</v>
      </c>
      <c r="U31" s="375">
        <f>IF(F31&lt;&gt;"",$U$13*12,SUM('1:12'!AC31))</f>
        <v>0</v>
      </c>
      <c r="V31" s="375">
        <f>IF(AND(F31&lt;&gt;"",T31&gt;0),V$13*12*T31,NPT!Q27)</f>
        <v>0</v>
      </c>
      <c r="W31" s="375">
        <f t="shared" si="3"/>
        <v>0</v>
      </c>
      <c r="X31" s="375">
        <f>SUM('1:12'!AE31)</f>
        <v>0</v>
      </c>
      <c r="Y31" s="375">
        <f t="shared" ca="1" si="4"/>
        <v>0</v>
      </c>
      <c r="Z31" s="107">
        <f>SUM('1:12'!AI31)</f>
        <v>0</v>
      </c>
      <c r="AA31" s="107">
        <f ca="1">IF(AND(F31&lt;&gt;"",Y31&gt;0),(Y31-VLOOKUP(Y31-1,INDIRECT(TAXRATE!$E$11),1,1))*VLOOKUP(Y31,INDIRECT(TAXRATE!$E$11),2,1)+VLOOKUP(Y31-1,INDIRECT(TAXRATE!$E$11),3,1),0)</f>
        <v>0</v>
      </c>
      <c r="AB31" s="375">
        <f t="shared" si="5"/>
        <v>0</v>
      </c>
      <c r="AC31" s="375">
        <f t="shared" si="6"/>
        <v>0</v>
      </c>
    </row>
    <row r="32" spans="1:29" x14ac:dyDescent="0.45">
      <c r="A32" s="5">
        <f ca="1">IF(B32&lt;&gt;"",SUBTOTAL(3,$B$14:B32),"")</f>
        <v>19</v>
      </c>
      <c r="B32" s="3">
        <f ca="1">INDEX(INDIRECT(Danh_Sach!$N$1),ROWS($B$14:$B32),MATCH(B$13,INDIRECT(Danh_Sach!$N$2),0))</f>
        <v>0</v>
      </c>
      <c r="C32" s="118">
        <f ca="1">INDEX(INDIRECT(Danh_Sach!$N$1),ROWS($B$14:$B32),MATCH(C$13,INDIRECT(Danh_Sach!$N$2),0))</f>
        <v>0</v>
      </c>
      <c r="D32" s="118">
        <f ca="1">INDEX(INDIRECT(Danh_Sach!$N$1),ROWS($B$14:$B32),MATCH(D$13,INDIRECT(Danh_Sach!$N$2),0))</f>
        <v>0</v>
      </c>
      <c r="E32" s="118">
        <f ca="1">INDEX(INDIRECT(Danh_Sach!$N$1),ROWS($B$14:$B32),MATCH(E$13,INDIRECT(Danh_Sach!$N$2),0))</f>
        <v>0</v>
      </c>
      <c r="G32" s="107">
        <f t="array" aca="1" ref="G32" ca="1">INDEX(INDIRECT("'"&amp;G$12&amp;"'!$B$14:$AJ$1400"),ROWS($B$14:$B32),MATCH(G$13,INDIRECT("'"&amp;G$12&amp;"'!$B$13:$AJ$13"),0))</f>
        <v>0</v>
      </c>
      <c r="H32" s="107">
        <f t="array" aca="1" ref="H32" ca="1">INDEX(INDIRECT("'"&amp;H$12&amp;"'!$B$14:$AJ$1400"),ROWS($B$14:$B32),MATCH(H$13,INDIRECT("'"&amp;H$12&amp;"'!$B$13:$AJ$13"),0))</f>
        <v>0</v>
      </c>
      <c r="I32" s="107">
        <f t="array" aca="1" ref="I32" ca="1">INDEX(INDIRECT("'"&amp;I$12&amp;"'!$B$14:$AJ$1400"),ROWS($B$14:$B32),MATCH(I$13,INDIRECT("'"&amp;I$12&amp;"'!$B$13:$AJ$13"),0))</f>
        <v>0</v>
      </c>
      <c r="J32" s="107">
        <f t="array" aca="1" ref="J32" ca="1">INDEX(INDIRECT("'"&amp;J$12&amp;"'!$B$14:$AJ$1400"),ROWS($B$14:$B32),MATCH(J$13,INDIRECT("'"&amp;J$12&amp;"'!$B$13:$AJ$13"),0))</f>
        <v>0</v>
      </c>
      <c r="K32" s="107">
        <f t="array" aca="1" ref="K32" ca="1">INDEX(INDIRECT("'"&amp;K$12&amp;"'!$B$14:$AJ$1400"),ROWS($B$14:$B32),MATCH(K$13,INDIRECT("'"&amp;K$12&amp;"'!$B$13:$AJ$13"),0))</f>
        <v>0</v>
      </c>
      <c r="L32" s="107">
        <f t="array" aca="1" ref="L32" ca="1">INDEX(INDIRECT("'"&amp;L$12&amp;"'!$B$14:$AJ$1400"),ROWS($B$14:$B32),MATCH(L$13,INDIRECT("'"&amp;L$12&amp;"'!$B$13:$AJ$13"),0))</f>
        <v>0</v>
      </c>
      <c r="M32" s="107">
        <f t="array" aca="1" ref="M32" ca="1">INDEX(INDIRECT("'"&amp;M$12&amp;"'!$B$14:$AJ$1400"),ROWS($B$14:$B32),MATCH(M$13,INDIRECT("'"&amp;M$12&amp;"'!$B$13:$AJ$13"),0))</f>
        <v>0</v>
      </c>
      <c r="N32" s="107">
        <f t="array" aca="1" ref="N32" ca="1">INDEX(INDIRECT("'"&amp;N$12&amp;"'!$B$14:$AJ$1400"),ROWS($B$14:$B32),MATCH(N$13,INDIRECT("'"&amp;N$12&amp;"'!$B$13:$AJ$13"),0))</f>
        <v>0</v>
      </c>
      <c r="O32" s="107">
        <f t="array" aca="1" ref="O32" ca="1">INDEX(INDIRECT("'"&amp;O$12&amp;"'!$B$14:$AJ$1400"),ROWS($B$14:$B32),MATCH(O$13,INDIRECT("'"&amp;O$12&amp;"'!$B$13:$AJ$13"),0))</f>
        <v>0</v>
      </c>
      <c r="P32" s="107">
        <f t="array" aca="1" ref="P32" ca="1">INDEX(INDIRECT("'"&amp;P$12&amp;"'!$B$14:$AJ$1400"),ROWS($B$14:$B32),MATCH(P$13,INDIRECT("'"&amp;P$12&amp;"'!$B$13:$AJ$13"),0))</f>
        <v>0</v>
      </c>
      <c r="Q32" s="107">
        <f t="array" aca="1" ref="Q32" ca="1">INDEX(INDIRECT("'"&amp;Q$12&amp;"'!$B$14:$AJ$1400"),ROWS($B$14:$B32),MATCH(Q$13,INDIRECT("'"&amp;Q$12&amp;"'!$B$13:$AJ$13"),0))</f>
        <v>0</v>
      </c>
      <c r="R32" s="107">
        <f ca="1">INDEX(INDIRECT("'"&amp;R$12&amp;"'!$B$14:$AJ$1400"),ROWS($B$14:$B32),MATCH(R$13,INDIRECT("'"&amp;R$12&amp;"'!$B$13:$AJ$13"),0))</f>
        <v>0</v>
      </c>
      <c r="S32" s="375">
        <f t="shared" ca="1" si="2"/>
        <v>0</v>
      </c>
      <c r="T32" s="375">
        <f>NPT!Z28</f>
        <v>0</v>
      </c>
      <c r="U32" s="375">
        <f>IF(F32&lt;&gt;"",$U$13*12,SUM('1:12'!AC32))</f>
        <v>0</v>
      </c>
      <c r="V32" s="375">
        <f>IF(AND(F32&lt;&gt;"",T32&gt;0),V$13*12*T32,NPT!Q28)</f>
        <v>0</v>
      </c>
      <c r="W32" s="375">
        <f t="shared" si="3"/>
        <v>0</v>
      </c>
      <c r="X32" s="375">
        <f>SUM('1:12'!AE32)</f>
        <v>0</v>
      </c>
      <c r="Y32" s="375">
        <f t="shared" ca="1" si="4"/>
        <v>0</v>
      </c>
      <c r="Z32" s="107">
        <f>SUM('1:12'!AI32)</f>
        <v>0</v>
      </c>
      <c r="AA32" s="107">
        <f ca="1">IF(AND(F32&lt;&gt;"",Y32&gt;0),(Y32-VLOOKUP(Y32-1,INDIRECT(TAXRATE!$E$11),1,1))*VLOOKUP(Y32,INDIRECT(TAXRATE!$E$11),2,1)+VLOOKUP(Y32-1,INDIRECT(TAXRATE!$E$11),3,1),0)</f>
        <v>0</v>
      </c>
      <c r="AB32" s="375">
        <f t="shared" si="5"/>
        <v>0</v>
      </c>
      <c r="AC32" s="375">
        <f t="shared" si="6"/>
        <v>0</v>
      </c>
    </row>
    <row r="33" spans="1:29" x14ac:dyDescent="0.45">
      <c r="A33" s="5">
        <f ca="1">IF(B33&lt;&gt;"",SUBTOTAL(3,$B$14:B33),"")</f>
        <v>20</v>
      </c>
      <c r="B33" s="3">
        <f ca="1">INDEX(INDIRECT(Danh_Sach!$N$1),ROWS($B$14:$B33),MATCH(B$13,INDIRECT(Danh_Sach!$N$2),0))</f>
        <v>0</v>
      </c>
      <c r="C33" s="118">
        <f ca="1">INDEX(INDIRECT(Danh_Sach!$N$1),ROWS($B$14:$B33),MATCH(C$13,INDIRECT(Danh_Sach!$N$2),0))</f>
        <v>0</v>
      </c>
      <c r="D33" s="118">
        <f ca="1">INDEX(INDIRECT(Danh_Sach!$N$1),ROWS($B$14:$B33),MATCH(D$13,INDIRECT(Danh_Sach!$N$2),0))</f>
        <v>0</v>
      </c>
      <c r="E33" s="118">
        <f ca="1">INDEX(INDIRECT(Danh_Sach!$N$1),ROWS($B$14:$B33),MATCH(E$13,INDIRECT(Danh_Sach!$N$2),0))</f>
        <v>0</v>
      </c>
      <c r="G33" s="107">
        <f t="array" aca="1" ref="G33" ca="1">INDEX(INDIRECT("'"&amp;G$12&amp;"'!$B$14:$AJ$1400"),ROWS($B$14:$B33),MATCH(G$13,INDIRECT("'"&amp;G$12&amp;"'!$B$13:$AJ$13"),0))</f>
        <v>0</v>
      </c>
      <c r="H33" s="107">
        <f t="array" aca="1" ref="H33" ca="1">INDEX(INDIRECT("'"&amp;H$12&amp;"'!$B$14:$AJ$1400"),ROWS($B$14:$B33),MATCH(H$13,INDIRECT("'"&amp;H$12&amp;"'!$B$13:$AJ$13"),0))</f>
        <v>0</v>
      </c>
      <c r="I33" s="107">
        <f t="array" aca="1" ref="I33" ca="1">INDEX(INDIRECT("'"&amp;I$12&amp;"'!$B$14:$AJ$1400"),ROWS($B$14:$B33),MATCH(I$13,INDIRECT("'"&amp;I$12&amp;"'!$B$13:$AJ$13"),0))</f>
        <v>0</v>
      </c>
      <c r="J33" s="107">
        <f t="array" aca="1" ref="J33" ca="1">INDEX(INDIRECT("'"&amp;J$12&amp;"'!$B$14:$AJ$1400"),ROWS($B$14:$B33),MATCH(J$13,INDIRECT("'"&amp;J$12&amp;"'!$B$13:$AJ$13"),0))</f>
        <v>0</v>
      </c>
      <c r="K33" s="107">
        <f t="array" aca="1" ref="K33" ca="1">INDEX(INDIRECT("'"&amp;K$12&amp;"'!$B$14:$AJ$1400"),ROWS($B$14:$B33),MATCH(K$13,INDIRECT("'"&amp;K$12&amp;"'!$B$13:$AJ$13"),0))</f>
        <v>0</v>
      </c>
      <c r="L33" s="107">
        <f t="array" aca="1" ref="L33" ca="1">INDEX(INDIRECT("'"&amp;L$12&amp;"'!$B$14:$AJ$1400"),ROWS($B$14:$B33),MATCH(L$13,INDIRECT("'"&amp;L$12&amp;"'!$B$13:$AJ$13"),0))</f>
        <v>0</v>
      </c>
      <c r="M33" s="107">
        <f t="array" aca="1" ref="M33" ca="1">INDEX(INDIRECT("'"&amp;M$12&amp;"'!$B$14:$AJ$1400"),ROWS($B$14:$B33),MATCH(M$13,INDIRECT("'"&amp;M$12&amp;"'!$B$13:$AJ$13"),0))</f>
        <v>0</v>
      </c>
      <c r="N33" s="107">
        <f t="array" aca="1" ref="N33" ca="1">INDEX(INDIRECT("'"&amp;N$12&amp;"'!$B$14:$AJ$1400"),ROWS($B$14:$B33),MATCH(N$13,INDIRECT("'"&amp;N$12&amp;"'!$B$13:$AJ$13"),0))</f>
        <v>0</v>
      </c>
      <c r="O33" s="107">
        <f t="array" aca="1" ref="O33" ca="1">INDEX(INDIRECT("'"&amp;O$12&amp;"'!$B$14:$AJ$1400"),ROWS($B$14:$B33),MATCH(O$13,INDIRECT("'"&amp;O$12&amp;"'!$B$13:$AJ$13"),0))</f>
        <v>0</v>
      </c>
      <c r="P33" s="107">
        <f t="array" aca="1" ref="P33" ca="1">INDEX(INDIRECT("'"&amp;P$12&amp;"'!$B$14:$AJ$1400"),ROWS($B$14:$B33),MATCH(P$13,INDIRECT("'"&amp;P$12&amp;"'!$B$13:$AJ$13"),0))</f>
        <v>0</v>
      </c>
      <c r="Q33" s="107">
        <f t="array" aca="1" ref="Q33" ca="1">INDEX(INDIRECT("'"&amp;Q$12&amp;"'!$B$14:$AJ$1400"),ROWS($B$14:$B33),MATCH(Q$13,INDIRECT("'"&amp;Q$12&amp;"'!$B$13:$AJ$13"),0))</f>
        <v>0</v>
      </c>
      <c r="R33" s="107">
        <f ca="1">INDEX(INDIRECT("'"&amp;R$12&amp;"'!$B$14:$AJ$1400"),ROWS($B$14:$B33),MATCH(R$13,INDIRECT("'"&amp;R$12&amp;"'!$B$13:$AJ$13"),0))</f>
        <v>0</v>
      </c>
      <c r="S33" s="375">
        <f t="shared" ca="1" si="2"/>
        <v>0</v>
      </c>
      <c r="T33" s="375">
        <f>NPT!Z29</f>
        <v>0</v>
      </c>
      <c r="U33" s="375">
        <f>IF(F33&lt;&gt;"",$U$13*12,SUM('1:12'!AC33))</f>
        <v>0</v>
      </c>
      <c r="V33" s="375">
        <f>IF(AND(F33&lt;&gt;"",T33&gt;0),V$13*12*T33,NPT!Q29)</f>
        <v>0</v>
      </c>
      <c r="W33" s="375">
        <f t="shared" si="3"/>
        <v>0</v>
      </c>
      <c r="X33" s="375">
        <f>SUM('1:12'!AE33)</f>
        <v>0</v>
      </c>
      <c r="Y33" s="375">
        <f t="shared" ca="1" si="4"/>
        <v>0</v>
      </c>
      <c r="Z33" s="107">
        <f>SUM('1:12'!AI33)</f>
        <v>0</v>
      </c>
      <c r="AA33" s="107">
        <f ca="1">IF(AND(F33&lt;&gt;"",Y33&gt;0),(Y33-VLOOKUP(Y33-1,INDIRECT(TAXRATE!$E$11),1,1))*VLOOKUP(Y33,INDIRECT(TAXRATE!$E$11),2,1)+VLOOKUP(Y33-1,INDIRECT(TAXRATE!$E$11),3,1),0)</f>
        <v>0</v>
      </c>
      <c r="AB33" s="375">
        <f t="shared" si="5"/>
        <v>0</v>
      </c>
      <c r="AC33" s="375">
        <f t="shared" si="6"/>
        <v>0</v>
      </c>
    </row>
    <row r="34" spans="1:29" x14ac:dyDescent="0.45">
      <c r="A34" s="5">
        <f ca="1">IF(B34&lt;&gt;"",SUBTOTAL(3,$B$14:B34),"")</f>
        <v>21</v>
      </c>
      <c r="B34" s="3">
        <f ca="1">INDEX(INDIRECT(Danh_Sach!$N$1),ROWS($B$14:$B34),MATCH(B$13,INDIRECT(Danh_Sach!$N$2),0))</f>
        <v>0</v>
      </c>
      <c r="C34" s="118">
        <f ca="1">INDEX(INDIRECT(Danh_Sach!$N$1),ROWS($B$14:$B34),MATCH(C$13,INDIRECT(Danh_Sach!$N$2),0))</f>
        <v>0</v>
      </c>
      <c r="D34" s="118">
        <f ca="1">INDEX(INDIRECT(Danh_Sach!$N$1),ROWS($B$14:$B34),MATCH(D$13,INDIRECT(Danh_Sach!$N$2),0))</f>
        <v>0</v>
      </c>
      <c r="E34" s="118">
        <f ca="1">INDEX(INDIRECT(Danh_Sach!$N$1),ROWS($B$14:$B34),MATCH(E$13,INDIRECT(Danh_Sach!$N$2),0))</f>
        <v>0</v>
      </c>
      <c r="G34" s="107">
        <f t="array" aca="1" ref="G34" ca="1">INDEX(INDIRECT("'"&amp;G$12&amp;"'!$B$14:$AJ$1400"),ROWS($B$14:$B34),MATCH(G$13,INDIRECT("'"&amp;G$12&amp;"'!$B$13:$AJ$13"),0))</f>
        <v>0</v>
      </c>
      <c r="H34" s="107">
        <f t="array" aca="1" ref="H34" ca="1">INDEX(INDIRECT("'"&amp;H$12&amp;"'!$B$14:$AJ$1400"),ROWS($B$14:$B34),MATCH(H$13,INDIRECT("'"&amp;H$12&amp;"'!$B$13:$AJ$13"),0))</f>
        <v>0</v>
      </c>
      <c r="I34" s="107">
        <f t="array" aca="1" ref="I34" ca="1">INDEX(INDIRECT("'"&amp;I$12&amp;"'!$B$14:$AJ$1400"),ROWS($B$14:$B34),MATCH(I$13,INDIRECT("'"&amp;I$12&amp;"'!$B$13:$AJ$13"),0))</f>
        <v>0</v>
      </c>
      <c r="J34" s="107">
        <f t="array" aca="1" ref="J34" ca="1">INDEX(INDIRECT("'"&amp;J$12&amp;"'!$B$14:$AJ$1400"),ROWS($B$14:$B34),MATCH(J$13,INDIRECT("'"&amp;J$12&amp;"'!$B$13:$AJ$13"),0))</f>
        <v>0</v>
      </c>
      <c r="K34" s="107">
        <f t="array" aca="1" ref="K34" ca="1">INDEX(INDIRECT("'"&amp;K$12&amp;"'!$B$14:$AJ$1400"),ROWS($B$14:$B34),MATCH(K$13,INDIRECT("'"&amp;K$12&amp;"'!$B$13:$AJ$13"),0))</f>
        <v>0</v>
      </c>
      <c r="L34" s="107">
        <f t="array" aca="1" ref="L34" ca="1">INDEX(INDIRECT("'"&amp;L$12&amp;"'!$B$14:$AJ$1400"),ROWS($B$14:$B34),MATCH(L$13,INDIRECT("'"&amp;L$12&amp;"'!$B$13:$AJ$13"),0))</f>
        <v>0</v>
      </c>
      <c r="M34" s="107">
        <f t="array" aca="1" ref="M34" ca="1">INDEX(INDIRECT("'"&amp;M$12&amp;"'!$B$14:$AJ$1400"),ROWS($B$14:$B34),MATCH(M$13,INDIRECT("'"&amp;M$12&amp;"'!$B$13:$AJ$13"),0))</f>
        <v>0</v>
      </c>
      <c r="N34" s="107">
        <f t="array" aca="1" ref="N34" ca="1">INDEX(INDIRECT("'"&amp;N$12&amp;"'!$B$14:$AJ$1400"),ROWS($B$14:$B34),MATCH(N$13,INDIRECT("'"&amp;N$12&amp;"'!$B$13:$AJ$13"),0))</f>
        <v>0</v>
      </c>
      <c r="O34" s="107">
        <f t="array" aca="1" ref="O34" ca="1">INDEX(INDIRECT("'"&amp;O$12&amp;"'!$B$14:$AJ$1400"),ROWS($B$14:$B34),MATCH(O$13,INDIRECT("'"&amp;O$12&amp;"'!$B$13:$AJ$13"),0))</f>
        <v>0</v>
      </c>
      <c r="P34" s="107">
        <f t="array" aca="1" ref="P34" ca="1">INDEX(INDIRECT("'"&amp;P$12&amp;"'!$B$14:$AJ$1400"),ROWS($B$14:$B34),MATCH(P$13,INDIRECT("'"&amp;P$12&amp;"'!$B$13:$AJ$13"),0))</f>
        <v>0</v>
      </c>
      <c r="Q34" s="107">
        <f t="array" aca="1" ref="Q34" ca="1">INDEX(INDIRECT("'"&amp;Q$12&amp;"'!$B$14:$AJ$1400"),ROWS($B$14:$B34),MATCH(Q$13,INDIRECT("'"&amp;Q$12&amp;"'!$B$13:$AJ$13"),0))</f>
        <v>0</v>
      </c>
      <c r="R34" s="107">
        <f ca="1">INDEX(INDIRECT("'"&amp;R$12&amp;"'!$B$14:$AJ$1400"),ROWS($B$14:$B34),MATCH(R$13,INDIRECT("'"&amp;R$12&amp;"'!$B$13:$AJ$13"),0))</f>
        <v>0</v>
      </c>
      <c r="S34" s="375">
        <f t="shared" ca="1" si="2"/>
        <v>0</v>
      </c>
      <c r="T34" s="375">
        <f>NPT!Z30</f>
        <v>0</v>
      </c>
      <c r="U34" s="375">
        <f>IF(F34&lt;&gt;"",$U$13*12,SUM('1:12'!AC34))</f>
        <v>0</v>
      </c>
      <c r="V34" s="375">
        <f>IF(AND(F34&lt;&gt;"",T34&gt;0),V$13*12*T34,NPT!Q30)</f>
        <v>0</v>
      </c>
      <c r="W34" s="375">
        <f t="shared" si="3"/>
        <v>0</v>
      </c>
      <c r="X34" s="375">
        <f>SUM('1:12'!AE34)</f>
        <v>0</v>
      </c>
      <c r="Y34" s="375">
        <f t="shared" ca="1" si="4"/>
        <v>0</v>
      </c>
      <c r="Z34" s="107">
        <f>SUM('1:12'!AI34)</f>
        <v>0</v>
      </c>
      <c r="AA34" s="107">
        <f ca="1">IF(AND(F34&lt;&gt;"",Y34&gt;0),(Y34-VLOOKUP(Y34-1,INDIRECT(TAXRATE!$E$11),1,1))*VLOOKUP(Y34,INDIRECT(TAXRATE!$E$11),2,1)+VLOOKUP(Y34-1,INDIRECT(TAXRATE!$E$11),3,1),0)</f>
        <v>0</v>
      </c>
      <c r="AB34" s="375">
        <f t="shared" si="5"/>
        <v>0</v>
      </c>
      <c r="AC34" s="375">
        <f t="shared" si="6"/>
        <v>0</v>
      </c>
    </row>
    <row r="35" spans="1:29" x14ac:dyDescent="0.45">
      <c r="A35" s="5">
        <f ca="1">IF(B35&lt;&gt;"",SUBTOTAL(3,$B$14:B35),"")</f>
        <v>22</v>
      </c>
      <c r="B35" s="3">
        <f ca="1">INDEX(INDIRECT(Danh_Sach!$N$1),ROWS($B$14:$B35),MATCH(B$13,INDIRECT(Danh_Sach!$N$2),0))</f>
        <v>0</v>
      </c>
      <c r="C35" s="118">
        <f ca="1">INDEX(INDIRECT(Danh_Sach!$N$1),ROWS($B$14:$B35),MATCH(C$13,INDIRECT(Danh_Sach!$N$2),0))</f>
        <v>0</v>
      </c>
      <c r="D35" s="118">
        <f ca="1">INDEX(INDIRECT(Danh_Sach!$N$1),ROWS($B$14:$B35),MATCH(D$13,INDIRECT(Danh_Sach!$N$2),0))</f>
        <v>0</v>
      </c>
      <c r="E35" s="118">
        <f ca="1">INDEX(INDIRECT(Danh_Sach!$N$1),ROWS($B$14:$B35),MATCH(E$13,INDIRECT(Danh_Sach!$N$2),0))</f>
        <v>0</v>
      </c>
      <c r="G35" s="107">
        <f t="array" aca="1" ref="G35" ca="1">INDEX(INDIRECT("'"&amp;G$12&amp;"'!$B$14:$AJ$1400"),ROWS($B$14:$B35),MATCH(G$13,INDIRECT("'"&amp;G$12&amp;"'!$B$13:$AJ$13"),0))</f>
        <v>0</v>
      </c>
      <c r="H35" s="107">
        <f t="array" aca="1" ref="H35" ca="1">INDEX(INDIRECT("'"&amp;H$12&amp;"'!$B$14:$AJ$1400"),ROWS($B$14:$B35),MATCH(H$13,INDIRECT("'"&amp;H$12&amp;"'!$B$13:$AJ$13"),0))</f>
        <v>0</v>
      </c>
      <c r="I35" s="107">
        <f t="array" aca="1" ref="I35" ca="1">INDEX(INDIRECT("'"&amp;I$12&amp;"'!$B$14:$AJ$1400"),ROWS($B$14:$B35),MATCH(I$13,INDIRECT("'"&amp;I$12&amp;"'!$B$13:$AJ$13"),0))</f>
        <v>0</v>
      </c>
      <c r="J35" s="107">
        <f t="array" aca="1" ref="J35" ca="1">INDEX(INDIRECT("'"&amp;J$12&amp;"'!$B$14:$AJ$1400"),ROWS($B$14:$B35),MATCH(J$13,INDIRECT("'"&amp;J$12&amp;"'!$B$13:$AJ$13"),0))</f>
        <v>0</v>
      </c>
      <c r="K35" s="107">
        <f t="array" aca="1" ref="K35" ca="1">INDEX(INDIRECT("'"&amp;K$12&amp;"'!$B$14:$AJ$1400"),ROWS($B$14:$B35),MATCH(K$13,INDIRECT("'"&amp;K$12&amp;"'!$B$13:$AJ$13"),0))</f>
        <v>0</v>
      </c>
      <c r="L35" s="107">
        <f t="array" aca="1" ref="L35" ca="1">INDEX(INDIRECT("'"&amp;L$12&amp;"'!$B$14:$AJ$1400"),ROWS($B$14:$B35),MATCH(L$13,INDIRECT("'"&amp;L$12&amp;"'!$B$13:$AJ$13"),0))</f>
        <v>0</v>
      </c>
      <c r="M35" s="107">
        <f t="array" aca="1" ref="M35" ca="1">INDEX(INDIRECT("'"&amp;M$12&amp;"'!$B$14:$AJ$1400"),ROWS($B$14:$B35),MATCH(M$13,INDIRECT("'"&amp;M$12&amp;"'!$B$13:$AJ$13"),0))</f>
        <v>0</v>
      </c>
      <c r="N35" s="107">
        <f t="array" aca="1" ref="N35" ca="1">INDEX(INDIRECT("'"&amp;N$12&amp;"'!$B$14:$AJ$1400"),ROWS($B$14:$B35),MATCH(N$13,INDIRECT("'"&amp;N$12&amp;"'!$B$13:$AJ$13"),0))</f>
        <v>0</v>
      </c>
      <c r="O35" s="107">
        <f t="array" aca="1" ref="O35" ca="1">INDEX(INDIRECT("'"&amp;O$12&amp;"'!$B$14:$AJ$1400"),ROWS($B$14:$B35),MATCH(O$13,INDIRECT("'"&amp;O$12&amp;"'!$B$13:$AJ$13"),0))</f>
        <v>0</v>
      </c>
      <c r="P35" s="107">
        <f t="array" aca="1" ref="P35" ca="1">INDEX(INDIRECT("'"&amp;P$12&amp;"'!$B$14:$AJ$1400"),ROWS($B$14:$B35),MATCH(P$13,INDIRECT("'"&amp;P$12&amp;"'!$B$13:$AJ$13"),0))</f>
        <v>0</v>
      </c>
      <c r="Q35" s="107">
        <f t="array" aca="1" ref="Q35" ca="1">INDEX(INDIRECT("'"&amp;Q$12&amp;"'!$B$14:$AJ$1400"),ROWS($B$14:$B35),MATCH(Q$13,INDIRECT("'"&amp;Q$12&amp;"'!$B$13:$AJ$13"),0))</f>
        <v>0</v>
      </c>
      <c r="R35" s="107">
        <f ca="1">INDEX(INDIRECT("'"&amp;R$12&amp;"'!$B$14:$AJ$1400"),ROWS($B$14:$B35),MATCH(R$13,INDIRECT("'"&amp;R$12&amp;"'!$B$13:$AJ$13"),0))</f>
        <v>0</v>
      </c>
      <c r="S35" s="375">
        <f t="shared" ca="1" si="2"/>
        <v>0</v>
      </c>
      <c r="T35" s="375">
        <f>NPT!Z31</f>
        <v>0</v>
      </c>
      <c r="U35" s="375">
        <f>IF(F35&lt;&gt;"",$U$13*12,SUM('1:12'!AC35))</f>
        <v>0</v>
      </c>
      <c r="V35" s="375">
        <f>IF(AND(F35&lt;&gt;"",T35&gt;0),V$13*12*T35,NPT!Q31)</f>
        <v>0</v>
      </c>
      <c r="W35" s="375">
        <f t="shared" si="3"/>
        <v>0</v>
      </c>
      <c r="X35" s="375">
        <f>SUM('1:12'!AE35)</f>
        <v>0</v>
      </c>
      <c r="Y35" s="375">
        <f t="shared" ca="1" si="4"/>
        <v>0</v>
      </c>
      <c r="Z35" s="107">
        <f>SUM('1:12'!AI35)</f>
        <v>0</v>
      </c>
      <c r="AA35" s="107">
        <f ca="1">IF(AND(F35&lt;&gt;"",Y35&gt;0),(Y35-VLOOKUP(Y35-1,INDIRECT(TAXRATE!$E$11),1,1))*VLOOKUP(Y35,INDIRECT(TAXRATE!$E$11),2,1)+VLOOKUP(Y35-1,INDIRECT(TAXRATE!$E$11),3,1),0)</f>
        <v>0</v>
      </c>
      <c r="AB35" s="375">
        <f t="shared" si="5"/>
        <v>0</v>
      </c>
      <c r="AC35" s="375">
        <f t="shared" si="6"/>
        <v>0</v>
      </c>
    </row>
    <row r="36" spans="1:29" x14ac:dyDescent="0.45">
      <c r="A36" s="5">
        <f ca="1">IF(B36&lt;&gt;"",SUBTOTAL(3,$B$14:B36),"")</f>
        <v>23</v>
      </c>
      <c r="B36" s="3">
        <f ca="1">INDEX(INDIRECT(Danh_Sach!$N$1),ROWS($B$14:$B36),MATCH(B$13,INDIRECT(Danh_Sach!$N$2),0))</f>
        <v>0</v>
      </c>
      <c r="C36" s="118">
        <f ca="1">INDEX(INDIRECT(Danh_Sach!$N$1),ROWS($B$14:$B36),MATCH(C$13,INDIRECT(Danh_Sach!$N$2),0))</f>
        <v>0</v>
      </c>
      <c r="D36" s="118">
        <f ca="1">INDEX(INDIRECT(Danh_Sach!$N$1),ROWS($B$14:$B36),MATCH(D$13,INDIRECT(Danh_Sach!$N$2),0))</f>
        <v>0</v>
      </c>
      <c r="E36" s="118">
        <f ca="1">INDEX(INDIRECT(Danh_Sach!$N$1),ROWS($B$14:$B36),MATCH(E$13,INDIRECT(Danh_Sach!$N$2),0))</f>
        <v>0</v>
      </c>
      <c r="G36" s="107">
        <f t="array" aca="1" ref="G36" ca="1">INDEX(INDIRECT("'"&amp;G$12&amp;"'!$B$14:$AJ$1400"),ROWS($B$14:$B36),MATCH(G$13,INDIRECT("'"&amp;G$12&amp;"'!$B$13:$AJ$13"),0))</f>
        <v>0</v>
      </c>
      <c r="H36" s="107">
        <f t="array" aca="1" ref="H36" ca="1">INDEX(INDIRECT("'"&amp;H$12&amp;"'!$B$14:$AJ$1400"),ROWS($B$14:$B36),MATCH(H$13,INDIRECT("'"&amp;H$12&amp;"'!$B$13:$AJ$13"),0))</f>
        <v>0</v>
      </c>
      <c r="I36" s="107">
        <f t="array" aca="1" ref="I36" ca="1">INDEX(INDIRECT("'"&amp;I$12&amp;"'!$B$14:$AJ$1400"),ROWS($B$14:$B36),MATCH(I$13,INDIRECT("'"&amp;I$12&amp;"'!$B$13:$AJ$13"),0))</f>
        <v>0</v>
      </c>
      <c r="J36" s="107">
        <f t="array" aca="1" ref="J36" ca="1">INDEX(INDIRECT("'"&amp;J$12&amp;"'!$B$14:$AJ$1400"),ROWS($B$14:$B36),MATCH(J$13,INDIRECT("'"&amp;J$12&amp;"'!$B$13:$AJ$13"),0))</f>
        <v>0</v>
      </c>
      <c r="K36" s="107">
        <f t="array" aca="1" ref="K36" ca="1">INDEX(INDIRECT("'"&amp;K$12&amp;"'!$B$14:$AJ$1400"),ROWS($B$14:$B36),MATCH(K$13,INDIRECT("'"&amp;K$12&amp;"'!$B$13:$AJ$13"),0))</f>
        <v>0</v>
      </c>
      <c r="L36" s="107">
        <f t="array" aca="1" ref="L36" ca="1">INDEX(INDIRECT("'"&amp;L$12&amp;"'!$B$14:$AJ$1400"),ROWS($B$14:$B36),MATCH(L$13,INDIRECT("'"&amp;L$12&amp;"'!$B$13:$AJ$13"),0))</f>
        <v>0</v>
      </c>
      <c r="M36" s="107">
        <f t="array" aca="1" ref="M36" ca="1">INDEX(INDIRECT("'"&amp;M$12&amp;"'!$B$14:$AJ$1400"),ROWS($B$14:$B36),MATCH(M$13,INDIRECT("'"&amp;M$12&amp;"'!$B$13:$AJ$13"),0))</f>
        <v>0</v>
      </c>
      <c r="N36" s="107">
        <f t="array" aca="1" ref="N36" ca="1">INDEX(INDIRECT("'"&amp;N$12&amp;"'!$B$14:$AJ$1400"),ROWS($B$14:$B36),MATCH(N$13,INDIRECT("'"&amp;N$12&amp;"'!$B$13:$AJ$13"),0))</f>
        <v>0</v>
      </c>
      <c r="O36" s="107">
        <f t="array" aca="1" ref="O36" ca="1">INDEX(INDIRECT("'"&amp;O$12&amp;"'!$B$14:$AJ$1400"),ROWS($B$14:$B36),MATCH(O$13,INDIRECT("'"&amp;O$12&amp;"'!$B$13:$AJ$13"),0))</f>
        <v>0</v>
      </c>
      <c r="P36" s="107">
        <f t="array" aca="1" ref="P36" ca="1">INDEX(INDIRECT("'"&amp;P$12&amp;"'!$B$14:$AJ$1400"),ROWS($B$14:$B36),MATCH(P$13,INDIRECT("'"&amp;P$12&amp;"'!$B$13:$AJ$13"),0))</f>
        <v>0</v>
      </c>
      <c r="Q36" s="107">
        <f t="array" aca="1" ref="Q36" ca="1">INDEX(INDIRECT("'"&amp;Q$12&amp;"'!$B$14:$AJ$1400"),ROWS($B$14:$B36),MATCH(Q$13,INDIRECT("'"&amp;Q$12&amp;"'!$B$13:$AJ$13"),0))</f>
        <v>0</v>
      </c>
      <c r="R36" s="107">
        <f ca="1">INDEX(INDIRECT("'"&amp;R$12&amp;"'!$B$14:$AJ$1400"),ROWS($B$14:$B36),MATCH(R$13,INDIRECT("'"&amp;R$12&amp;"'!$B$13:$AJ$13"),0))</f>
        <v>0</v>
      </c>
      <c r="S36" s="375">
        <f t="shared" ca="1" si="2"/>
        <v>0</v>
      </c>
      <c r="T36" s="375">
        <f>NPT!Z32</f>
        <v>0</v>
      </c>
      <c r="U36" s="375">
        <f>IF(F36&lt;&gt;"",$U$13*12,SUM('1:12'!AC36))</f>
        <v>0</v>
      </c>
      <c r="V36" s="375">
        <f>IF(AND(F36&lt;&gt;"",T36&gt;0),V$13*12*T36,NPT!Q32)</f>
        <v>0</v>
      </c>
      <c r="W36" s="375">
        <f t="shared" si="3"/>
        <v>0</v>
      </c>
      <c r="X36" s="375">
        <f>SUM('1:12'!AE36)</f>
        <v>0</v>
      </c>
      <c r="Y36" s="375">
        <f t="shared" ca="1" si="4"/>
        <v>0</v>
      </c>
      <c r="Z36" s="107">
        <f>SUM('1:12'!AI36)</f>
        <v>0</v>
      </c>
      <c r="AA36" s="107">
        <f ca="1">IF(AND(F36&lt;&gt;"",Y36&gt;0),(Y36-VLOOKUP(Y36-1,INDIRECT(TAXRATE!$E$11),1,1))*VLOOKUP(Y36,INDIRECT(TAXRATE!$E$11),2,1)+VLOOKUP(Y36-1,INDIRECT(TAXRATE!$E$11),3,1),0)</f>
        <v>0</v>
      </c>
      <c r="AB36" s="375">
        <f t="shared" si="5"/>
        <v>0</v>
      </c>
      <c r="AC36" s="375">
        <f t="shared" si="6"/>
        <v>0</v>
      </c>
    </row>
    <row r="37" spans="1:29" x14ac:dyDescent="0.45">
      <c r="A37" s="5">
        <f ca="1">IF(B37&lt;&gt;"",SUBTOTAL(3,$B$14:B37),"")</f>
        <v>24</v>
      </c>
      <c r="B37" s="3">
        <f ca="1">INDEX(INDIRECT(Danh_Sach!$N$1),ROWS($B$14:$B37),MATCH(B$13,INDIRECT(Danh_Sach!$N$2),0))</f>
        <v>0</v>
      </c>
      <c r="C37" s="118">
        <f ca="1">INDEX(INDIRECT(Danh_Sach!$N$1),ROWS($B$14:$B37),MATCH(C$13,INDIRECT(Danh_Sach!$N$2),0))</f>
        <v>0</v>
      </c>
      <c r="D37" s="118">
        <f ca="1">INDEX(INDIRECT(Danh_Sach!$N$1),ROWS($B$14:$B37),MATCH(D$13,INDIRECT(Danh_Sach!$N$2),0))</f>
        <v>0</v>
      </c>
      <c r="E37" s="118">
        <f ca="1">INDEX(INDIRECT(Danh_Sach!$N$1),ROWS($B$14:$B37),MATCH(E$13,INDIRECT(Danh_Sach!$N$2),0))</f>
        <v>0</v>
      </c>
      <c r="G37" s="107">
        <f t="array" aca="1" ref="G37" ca="1">INDEX(INDIRECT("'"&amp;G$12&amp;"'!$B$14:$AJ$1400"),ROWS($B$14:$B37),MATCH(G$13,INDIRECT("'"&amp;G$12&amp;"'!$B$13:$AJ$13"),0))</f>
        <v>0</v>
      </c>
      <c r="H37" s="107">
        <f t="array" aca="1" ref="H37" ca="1">INDEX(INDIRECT("'"&amp;H$12&amp;"'!$B$14:$AJ$1400"),ROWS($B$14:$B37),MATCH(H$13,INDIRECT("'"&amp;H$12&amp;"'!$B$13:$AJ$13"),0))</f>
        <v>0</v>
      </c>
      <c r="I37" s="107">
        <f t="array" aca="1" ref="I37" ca="1">INDEX(INDIRECT("'"&amp;I$12&amp;"'!$B$14:$AJ$1400"),ROWS($B$14:$B37),MATCH(I$13,INDIRECT("'"&amp;I$12&amp;"'!$B$13:$AJ$13"),0))</f>
        <v>0</v>
      </c>
      <c r="J37" s="107">
        <f t="array" aca="1" ref="J37" ca="1">INDEX(INDIRECT("'"&amp;J$12&amp;"'!$B$14:$AJ$1400"),ROWS($B$14:$B37),MATCH(J$13,INDIRECT("'"&amp;J$12&amp;"'!$B$13:$AJ$13"),0))</f>
        <v>0</v>
      </c>
      <c r="K37" s="107">
        <f t="array" aca="1" ref="K37" ca="1">INDEX(INDIRECT("'"&amp;K$12&amp;"'!$B$14:$AJ$1400"),ROWS($B$14:$B37),MATCH(K$13,INDIRECT("'"&amp;K$12&amp;"'!$B$13:$AJ$13"),0))</f>
        <v>0</v>
      </c>
      <c r="L37" s="107">
        <f t="array" aca="1" ref="L37" ca="1">INDEX(INDIRECT("'"&amp;L$12&amp;"'!$B$14:$AJ$1400"),ROWS($B$14:$B37),MATCH(L$13,INDIRECT("'"&amp;L$12&amp;"'!$B$13:$AJ$13"),0))</f>
        <v>0</v>
      </c>
      <c r="M37" s="107">
        <f t="array" aca="1" ref="M37" ca="1">INDEX(INDIRECT("'"&amp;M$12&amp;"'!$B$14:$AJ$1400"),ROWS($B$14:$B37),MATCH(M$13,INDIRECT("'"&amp;M$12&amp;"'!$B$13:$AJ$13"),0))</f>
        <v>0</v>
      </c>
      <c r="N37" s="107">
        <f t="array" aca="1" ref="N37" ca="1">INDEX(INDIRECT("'"&amp;N$12&amp;"'!$B$14:$AJ$1400"),ROWS($B$14:$B37),MATCH(N$13,INDIRECT("'"&amp;N$12&amp;"'!$B$13:$AJ$13"),0))</f>
        <v>0</v>
      </c>
      <c r="O37" s="107">
        <f t="array" aca="1" ref="O37" ca="1">INDEX(INDIRECT("'"&amp;O$12&amp;"'!$B$14:$AJ$1400"),ROWS($B$14:$B37),MATCH(O$13,INDIRECT("'"&amp;O$12&amp;"'!$B$13:$AJ$13"),0))</f>
        <v>0</v>
      </c>
      <c r="P37" s="107">
        <f t="array" aca="1" ref="P37" ca="1">INDEX(INDIRECT("'"&amp;P$12&amp;"'!$B$14:$AJ$1400"),ROWS($B$14:$B37),MATCH(P$13,INDIRECT("'"&amp;P$12&amp;"'!$B$13:$AJ$13"),0))</f>
        <v>0</v>
      </c>
      <c r="Q37" s="107">
        <f t="array" aca="1" ref="Q37" ca="1">INDEX(INDIRECT("'"&amp;Q$12&amp;"'!$B$14:$AJ$1400"),ROWS($B$14:$B37),MATCH(Q$13,INDIRECT("'"&amp;Q$12&amp;"'!$B$13:$AJ$13"),0))</f>
        <v>0</v>
      </c>
      <c r="R37" s="107">
        <f ca="1">INDEX(INDIRECT("'"&amp;R$12&amp;"'!$B$14:$AJ$1400"),ROWS($B$14:$B37),MATCH(R$13,INDIRECT("'"&amp;R$12&amp;"'!$B$13:$AJ$13"),0))</f>
        <v>0</v>
      </c>
      <c r="S37" s="375">
        <f t="shared" ca="1" si="2"/>
        <v>0</v>
      </c>
      <c r="T37" s="375">
        <f>NPT!Z33</f>
        <v>0</v>
      </c>
      <c r="U37" s="375">
        <f>IF(F37&lt;&gt;"",$U$13*12,SUM('1:12'!AC37))</f>
        <v>0</v>
      </c>
      <c r="V37" s="375">
        <f>IF(AND(F37&lt;&gt;"",T37&gt;0),V$13*12*T37,NPT!Q33)</f>
        <v>0</v>
      </c>
      <c r="W37" s="375">
        <f t="shared" si="3"/>
        <v>0</v>
      </c>
      <c r="X37" s="375">
        <f>SUM('1:12'!AE37)</f>
        <v>0</v>
      </c>
      <c r="Y37" s="375">
        <f t="shared" ca="1" si="4"/>
        <v>0</v>
      </c>
      <c r="Z37" s="107">
        <f>SUM('1:12'!AI37)</f>
        <v>0</v>
      </c>
      <c r="AA37" s="107">
        <f ca="1">IF(AND(F37&lt;&gt;"",Y37&gt;0),(Y37-VLOOKUP(Y37-1,INDIRECT(TAXRATE!$E$11),1,1))*VLOOKUP(Y37,INDIRECT(TAXRATE!$E$11),2,1)+VLOOKUP(Y37-1,INDIRECT(TAXRATE!$E$11),3,1),0)</f>
        <v>0</v>
      </c>
      <c r="AB37" s="375">
        <f t="shared" si="5"/>
        <v>0</v>
      </c>
      <c r="AC37" s="375">
        <f t="shared" si="6"/>
        <v>0</v>
      </c>
    </row>
    <row r="38" spans="1:29" x14ac:dyDescent="0.45">
      <c r="A38" s="5">
        <f ca="1">IF(B38&lt;&gt;"",SUBTOTAL(3,$B$14:B38),"")</f>
        <v>25</v>
      </c>
      <c r="B38" s="3">
        <f ca="1">INDEX(INDIRECT(Danh_Sach!$N$1),ROWS($B$14:$B38),MATCH(B$13,INDIRECT(Danh_Sach!$N$2),0))</f>
        <v>0</v>
      </c>
      <c r="C38" s="118">
        <f ca="1">INDEX(INDIRECT(Danh_Sach!$N$1),ROWS($B$14:$B38),MATCH(C$13,INDIRECT(Danh_Sach!$N$2),0))</f>
        <v>0</v>
      </c>
      <c r="D38" s="118">
        <f ca="1">INDEX(INDIRECT(Danh_Sach!$N$1),ROWS($B$14:$B38),MATCH(D$13,INDIRECT(Danh_Sach!$N$2),0))</f>
        <v>0</v>
      </c>
      <c r="E38" s="118">
        <f ca="1">INDEX(INDIRECT(Danh_Sach!$N$1),ROWS($B$14:$B38),MATCH(E$13,INDIRECT(Danh_Sach!$N$2),0))</f>
        <v>0</v>
      </c>
      <c r="G38" s="107">
        <f t="array" aca="1" ref="G38" ca="1">INDEX(INDIRECT("'"&amp;G$12&amp;"'!$B$14:$AJ$1400"),ROWS($B$14:$B38),MATCH(G$13,INDIRECT("'"&amp;G$12&amp;"'!$B$13:$AJ$13"),0))</f>
        <v>0</v>
      </c>
      <c r="H38" s="107">
        <f t="array" aca="1" ref="H38" ca="1">INDEX(INDIRECT("'"&amp;H$12&amp;"'!$B$14:$AJ$1400"),ROWS($B$14:$B38),MATCH(H$13,INDIRECT("'"&amp;H$12&amp;"'!$B$13:$AJ$13"),0))</f>
        <v>0</v>
      </c>
      <c r="I38" s="107">
        <f t="array" aca="1" ref="I38" ca="1">INDEX(INDIRECT("'"&amp;I$12&amp;"'!$B$14:$AJ$1400"),ROWS($B$14:$B38),MATCH(I$13,INDIRECT("'"&amp;I$12&amp;"'!$B$13:$AJ$13"),0))</f>
        <v>0</v>
      </c>
      <c r="J38" s="107">
        <f t="array" aca="1" ref="J38" ca="1">INDEX(INDIRECT("'"&amp;J$12&amp;"'!$B$14:$AJ$1400"),ROWS($B$14:$B38),MATCH(J$13,INDIRECT("'"&amp;J$12&amp;"'!$B$13:$AJ$13"),0))</f>
        <v>0</v>
      </c>
      <c r="K38" s="107">
        <f t="array" aca="1" ref="K38" ca="1">INDEX(INDIRECT("'"&amp;K$12&amp;"'!$B$14:$AJ$1400"),ROWS($B$14:$B38),MATCH(K$13,INDIRECT("'"&amp;K$12&amp;"'!$B$13:$AJ$13"),0))</f>
        <v>0</v>
      </c>
      <c r="L38" s="107">
        <f t="array" aca="1" ref="L38" ca="1">INDEX(INDIRECT("'"&amp;L$12&amp;"'!$B$14:$AJ$1400"),ROWS($B$14:$B38),MATCH(L$13,INDIRECT("'"&amp;L$12&amp;"'!$B$13:$AJ$13"),0))</f>
        <v>0</v>
      </c>
      <c r="M38" s="107">
        <f t="array" aca="1" ref="M38" ca="1">INDEX(INDIRECT("'"&amp;M$12&amp;"'!$B$14:$AJ$1400"),ROWS($B$14:$B38),MATCH(M$13,INDIRECT("'"&amp;M$12&amp;"'!$B$13:$AJ$13"),0))</f>
        <v>0</v>
      </c>
      <c r="N38" s="107">
        <f t="array" aca="1" ref="N38" ca="1">INDEX(INDIRECT("'"&amp;N$12&amp;"'!$B$14:$AJ$1400"),ROWS($B$14:$B38),MATCH(N$13,INDIRECT("'"&amp;N$12&amp;"'!$B$13:$AJ$13"),0))</f>
        <v>0</v>
      </c>
      <c r="O38" s="107">
        <f t="array" aca="1" ref="O38" ca="1">INDEX(INDIRECT("'"&amp;O$12&amp;"'!$B$14:$AJ$1400"),ROWS($B$14:$B38),MATCH(O$13,INDIRECT("'"&amp;O$12&amp;"'!$B$13:$AJ$13"),0))</f>
        <v>0</v>
      </c>
      <c r="P38" s="107">
        <f t="array" aca="1" ref="P38" ca="1">INDEX(INDIRECT("'"&amp;P$12&amp;"'!$B$14:$AJ$1400"),ROWS($B$14:$B38),MATCH(P$13,INDIRECT("'"&amp;P$12&amp;"'!$B$13:$AJ$13"),0))</f>
        <v>0</v>
      </c>
      <c r="Q38" s="107">
        <f t="array" aca="1" ref="Q38" ca="1">INDEX(INDIRECT("'"&amp;Q$12&amp;"'!$B$14:$AJ$1400"),ROWS($B$14:$B38),MATCH(Q$13,INDIRECT("'"&amp;Q$12&amp;"'!$B$13:$AJ$13"),0))</f>
        <v>0</v>
      </c>
      <c r="R38" s="107">
        <f ca="1">INDEX(INDIRECT("'"&amp;R$12&amp;"'!$B$14:$AJ$1400"),ROWS($B$14:$B38),MATCH(R$13,INDIRECT("'"&amp;R$12&amp;"'!$B$13:$AJ$13"),0))</f>
        <v>0</v>
      </c>
      <c r="S38" s="375">
        <f t="shared" ca="1" si="2"/>
        <v>0</v>
      </c>
      <c r="T38" s="375">
        <f>NPT!Z34</f>
        <v>0</v>
      </c>
      <c r="U38" s="375">
        <f>IF(F38&lt;&gt;"",$U$13*12,SUM('1:12'!AC38))</f>
        <v>0</v>
      </c>
      <c r="V38" s="375">
        <f>IF(AND(F38&lt;&gt;"",T38&gt;0),V$13*12*T38,NPT!Q34)</f>
        <v>0</v>
      </c>
      <c r="W38" s="375">
        <f t="shared" si="3"/>
        <v>0</v>
      </c>
      <c r="X38" s="375">
        <f>SUM('1:12'!AE38)</f>
        <v>0</v>
      </c>
      <c r="Y38" s="375">
        <f t="shared" ca="1" si="4"/>
        <v>0</v>
      </c>
      <c r="Z38" s="107">
        <f>SUM('1:12'!AI38)</f>
        <v>0</v>
      </c>
      <c r="AA38" s="107">
        <f ca="1">IF(AND(F38&lt;&gt;"",Y38&gt;0),(Y38-VLOOKUP(Y38-1,INDIRECT(TAXRATE!$E$11),1,1))*VLOOKUP(Y38,INDIRECT(TAXRATE!$E$11),2,1)+VLOOKUP(Y38-1,INDIRECT(TAXRATE!$E$11),3,1),0)</f>
        <v>0</v>
      </c>
      <c r="AB38" s="375">
        <f t="shared" si="5"/>
        <v>0</v>
      </c>
      <c r="AC38" s="375">
        <f t="shared" si="6"/>
        <v>0</v>
      </c>
    </row>
  </sheetData>
  <mergeCells count="1">
    <mergeCell ref="AA11:AC11"/>
  </mergeCells>
  <conditionalFormatting sqref="A14:AC63">
    <cfRule type="expression" dxfId="11" priority="1">
      <formula>AND($A14&gt;0,ISEVEN($A14)=TRUE)</formula>
    </cfRule>
  </conditionalFormatting>
  <dataValidations count="1">
    <dataValidation type="list" allowBlank="1" showInputMessage="1" showErrorMessage="1" sqref="C11" xr:uid="{00000000-0002-0000-1A00-000000000000}">
      <formula1>"TNCT,TNCN"</formula1>
    </dataValidation>
  </dataValidations>
  <pageMargins left="0.7" right="0.7" top="0.75" bottom="0.75" header="0.3" footer="0.3"/>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051">
    <tabColor theme="5" tint="-0.249977111117893"/>
    <pageSetUpPr fitToPage="1"/>
  </sheetPr>
  <dimension ref="A3:U46"/>
  <sheetViews>
    <sheetView showGridLines="0" topLeftCell="D7" workbookViewId="0">
      <selection activeCell="C11" sqref="C11"/>
    </sheetView>
  </sheetViews>
  <sheetFormatPr defaultRowHeight="14.25" x14ac:dyDescent="0.45"/>
  <cols>
    <col min="2" max="2" width="20.86328125" customWidth="1"/>
    <col min="3" max="4" width="16.73046875" customWidth="1"/>
    <col min="6" max="6" width="14.265625" customWidth="1"/>
    <col min="7" max="8" width="14.59765625" customWidth="1"/>
    <col min="9" max="9" width="11.1328125" customWidth="1"/>
    <col min="10" max="10" width="14.73046875" bestFit="1" customWidth="1"/>
    <col min="11" max="11" width="11.1328125" customWidth="1"/>
    <col min="12" max="12" width="11.73046875" customWidth="1"/>
    <col min="13" max="13" width="11.1328125" customWidth="1"/>
    <col min="14" max="14" width="12.86328125" customWidth="1"/>
    <col min="15" max="15" width="13.265625" customWidth="1"/>
    <col min="16" max="16" width="10.73046875" customWidth="1"/>
    <col min="17" max="17" width="0" hidden="1" customWidth="1"/>
    <col min="18" max="18" width="14.86328125" customWidth="1"/>
    <col min="19" max="20" width="11.1328125" customWidth="1"/>
  </cols>
  <sheetData>
    <row r="3" spans="1:21" ht="42" customHeight="1" thickBot="1" x14ac:dyDescent="0.7">
      <c r="A3" s="186" t="s">
        <v>307</v>
      </c>
      <c r="B3" s="154"/>
      <c r="C3" s="154"/>
      <c r="D3" s="154"/>
      <c r="E3" s="154"/>
      <c r="F3" s="154"/>
      <c r="G3" s="154"/>
      <c r="H3" s="154"/>
      <c r="I3" s="154"/>
      <c r="J3" s="154"/>
      <c r="K3" s="154"/>
      <c r="L3" s="154"/>
      <c r="M3" s="154"/>
      <c r="N3" s="154"/>
      <c r="O3" s="154"/>
      <c r="P3" s="154"/>
      <c r="Q3" s="154"/>
      <c r="R3" s="154"/>
      <c r="S3" s="154"/>
      <c r="T3" s="154"/>
    </row>
    <row r="4" spans="1:21" ht="14.65" thickTop="1" x14ac:dyDescent="0.45">
      <c r="F4" s="577">
        <f ca="1">SUM(F10:F1000)</f>
        <v>0</v>
      </c>
      <c r="G4" s="577">
        <f t="shared" ref="G4:T4" ca="1" si="0">SUM(G10:G1000)</f>
        <v>0</v>
      </c>
      <c r="H4" s="577">
        <f t="shared" ca="1" si="0"/>
        <v>0</v>
      </c>
      <c r="I4" s="577">
        <f t="shared" ca="1" si="0"/>
        <v>0</v>
      </c>
      <c r="J4" s="577">
        <f t="shared" ca="1" si="0"/>
        <v>2112000000</v>
      </c>
      <c r="K4" s="577">
        <f t="shared" ca="1" si="0"/>
        <v>0</v>
      </c>
      <c r="L4" s="577">
        <f t="shared" ca="1" si="0"/>
        <v>0</v>
      </c>
      <c r="M4" s="577">
        <f t="shared" ca="1" si="0"/>
        <v>0</v>
      </c>
      <c r="N4" s="577">
        <f t="shared" ca="1" si="0"/>
        <v>0</v>
      </c>
      <c r="O4" s="577">
        <f t="shared" ca="1" si="0"/>
        <v>0</v>
      </c>
      <c r="P4" s="577">
        <f t="shared" ca="1" si="0"/>
        <v>0</v>
      </c>
      <c r="Q4" s="577">
        <f t="shared" ca="1" si="0"/>
        <v>0</v>
      </c>
      <c r="R4" s="577">
        <f t="shared" ca="1" si="0"/>
        <v>0</v>
      </c>
      <c r="S4" s="577">
        <f t="shared" ca="1" si="0"/>
        <v>0</v>
      </c>
      <c r="T4" s="577">
        <f t="shared" ca="1" si="0"/>
        <v>0</v>
      </c>
    </row>
    <row r="5" spans="1:21" s="5" customFormat="1" hidden="1" x14ac:dyDescent="0.45">
      <c r="A5" s="49"/>
      <c r="B5" s="49" t="s">
        <v>24</v>
      </c>
      <c r="C5" s="89" t="s">
        <v>25</v>
      </c>
      <c r="D5" s="49" t="s">
        <v>26</v>
      </c>
      <c r="E5" s="49"/>
      <c r="F5" s="49" t="s">
        <v>164</v>
      </c>
      <c r="G5" s="49"/>
      <c r="H5" s="49"/>
      <c r="I5" s="49" t="s">
        <v>28</v>
      </c>
      <c r="J5" s="49" t="s">
        <v>383</v>
      </c>
      <c r="K5" s="49"/>
      <c r="L5" s="49" t="s">
        <v>165</v>
      </c>
      <c r="M5" s="49"/>
      <c r="N5" s="49" t="s">
        <v>154</v>
      </c>
      <c r="O5" s="49" t="s">
        <v>384</v>
      </c>
      <c r="P5" s="49"/>
      <c r="Q5" s="49"/>
      <c r="R5" s="49" t="s">
        <v>385</v>
      </c>
      <c r="S5" s="49" t="s">
        <v>386</v>
      </c>
      <c r="T5" s="49" t="s">
        <v>387</v>
      </c>
    </row>
    <row r="6" spans="1:21" ht="24" customHeight="1" x14ac:dyDescent="0.45">
      <c r="A6" s="700" t="s">
        <v>1</v>
      </c>
      <c r="B6" s="699" t="s">
        <v>114</v>
      </c>
      <c r="C6" s="698" t="s">
        <v>115</v>
      </c>
      <c r="D6" s="698" t="s">
        <v>116</v>
      </c>
      <c r="E6" s="698" t="s">
        <v>117</v>
      </c>
      <c r="F6" s="699" t="s">
        <v>57</v>
      </c>
      <c r="G6" s="699"/>
      <c r="H6" s="699"/>
      <c r="I6" s="698" t="s">
        <v>118</v>
      </c>
      <c r="J6" s="698"/>
      <c r="K6" s="698"/>
      <c r="L6" s="698"/>
      <c r="M6" s="698"/>
      <c r="N6" s="698" t="s">
        <v>119</v>
      </c>
      <c r="O6" s="698" t="s">
        <v>120</v>
      </c>
      <c r="P6" s="698" t="s">
        <v>121</v>
      </c>
      <c r="Q6" s="106"/>
      <c r="R6" s="698" t="s">
        <v>122</v>
      </c>
      <c r="S6" s="698"/>
      <c r="T6" s="698"/>
    </row>
    <row r="7" spans="1:21" ht="23.45" customHeight="1" x14ac:dyDescent="0.45">
      <c r="A7" s="701"/>
      <c r="B7" s="698"/>
      <c r="C7" s="698"/>
      <c r="D7" s="698"/>
      <c r="E7" s="698"/>
      <c r="F7" s="698" t="s">
        <v>123</v>
      </c>
      <c r="G7" s="698" t="s">
        <v>124</v>
      </c>
      <c r="H7" s="698"/>
      <c r="I7" s="698" t="s">
        <v>6</v>
      </c>
      <c r="J7" s="698" t="s">
        <v>125</v>
      </c>
      <c r="K7" s="698" t="s">
        <v>126</v>
      </c>
      <c r="L7" s="698" t="s">
        <v>127</v>
      </c>
      <c r="M7" s="698" t="s">
        <v>128</v>
      </c>
      <c r="N7" s="698"/>
      <c r="O7" s="698"/>
      <c r="P7" s="698"/>
      <c r="Q7" s="106"/>
      <c r="R7" s="698" t="s">
        <v>129</v>
      </c>
      <c r="S7" s="698" t="s">
        <v>130</v>
      </c>
      <c r="T7" s="698" t="s">
        <v>131</v>
      </c>
    </row>
    <row r="8" spans="1:21" x14ac:dyDescent="0.45">
      <c r="A8" s="702"/>
      <c r="B8" s="698"/>
      <c r="C8" s="698"/>
      <c r="D8" s="698"/>
      <c r="E8" s="698"/>
      <c r="F8" s="698"/>
      <c r="G8" s="106" t="s">
        <v>132</v>
      </c>
      <c r="H8" s="106" t="s">
        <v>133</v>
      </c>
      <c r="I8" s="698"/>
      <c r="J8" s="698"/>
      <c r="K8" s="698"/>
      <c r="L8" s="698"/>
      <c r="M8" s="698"/>
      <c r="N8" s="698"/>
      <c r="O8" s="698"/>
      <c r="P8" s="698"/>
      <c r="Q8" s="106"/>
      <c r="R8" s="698"/>
      <c r="S8" s="698"/>
      <c r="T8" s="698"/>
    </row>
    <row r="9" spans="1:21" x14ac:dyDescent="0.45">
      <c r="A9" s="106" t="s">
        <v>134</v>
      </c>
      <c r="B9" s="106" t="s">
        <v>135</v>
      </c>
      <c r="C9" s="106" t="s">
        <v>136</v>
      </c>
      <c r="D9" s="106" t="s">
        <v>137</v>
      </c>
      <c r="E9" s="106" t="s">
        <v>138</v>
      </c>
      <c r="F9" s="106" t="s">
        <v>139</v>
      </c>
      <c r="G9" s="106" t="s">
        <v>140</v>
      </c>
      <c r="H9" s="106" t="s">
        <v>141</v>
      </c>
      <c r="I9" s="106"/>
      <c r="J9" s="106" t="s">
        <v>142</v>
      </c>
      <c r="K9" s="106" t="s">
        <v>143</v>
      </c>
      <c r="L9" s="106" t="s">
        <v>144</v>
      </c>
      <c r="M9" s="106" t="s">
        <v>145</v>
      </c>
      <c r="N9" s="106" t="s">
        <v>146</v>
      </c>
      <c r="O9" s="106" t="s">
        <v>147</v>
      </c>
      <c r="P9" s="106" t="s">
        <v>148</v>
      </c>
      <c r="Q9" s="106"/>
      <c r="R9" s="106" t="s">
        <v>149</v>
      </c>
      <c r="S9" s="106" t="s">
        <v>150</v>
      </c>
      <c r="T9" s="106" t="s">
        <v>151</v>
      </c>
    </row>
    <row r="10" spans="1:21" x14ac:dyDescent="0.45">
      <c r="A10" s="15">
        <f>ROWS($A$10:A10)</f>
        <v>1</v>
      </c>
      <c r="B10">
        <f ca="1">IF(QTTNCN!B14="","",QTTNCN!B14)</f>
        <v>0</v>
      </c>
      <c r="C10">
        <f ca="1">IF(QTTNCN!C14="","",QTTNCN!C14)</f>
        <v>0</v>
      </c>
      <c r="D10" t="str">
        <f ca="1">IF(QTTNCN!D14=0,"",QTTNCN!D14)</f>
        <v/>
      </c>
      <c r="E10" s="15" t="str">
        <f>IF(QTTNCN!F14="","",QTTNCN!F14)</f>
        <v>x</v>
      </c>
      <c r="F10" s="50">
        <f t="array" aca="1" ref="F10" ca="1">IFERROR(INDIRECT("QTTNCN!"&amp;ADDRESS(ROWS($A$1:$A14),MATCH(F$5,QTTNCN!$A$13:$AE$13,0))),"")</f>
        <v>0</v>
      </c>
      <c r="G10" s="50" t="str">
        <f t="array" aca="1" ref="G10" ca="1">IFERROR(INDIRECT("QTTNCN!"&amp;ADDRESS(ROWS($A$1:$A14),MATCH(G$5,QTTNCN!$A$13:$AE$13,0))),"")</f>
        <v/>
      </c>
      <c r="H10" s="50" t="str">
        <f t="array" aca="1" ref="H10" ca="1">IFERROR(INDIRECT("QTTNCN!"&amp;ADDRESS(ROWS($A$1:$A14),MATCH(H$5,QTTNCN!$A$13:$AE$13,0))),"")</f>
        <v/>
      </c>
      <c r="I10" s="50">
        <f t="array" aca="1" ref="I10" ca="1">IFERROR(INDIRECT("QTTNCN!"&amp;ADDRESS(ROWS($A$1:$A14),MATCH(I$5,QTTNCN!$A$13:$AE$13,0))),"")</f>
        <v>0</v>
      </c>
      <c r="J10" s="50">
        <f t="array" aca="1" ref="J10" ca="1">IFERROR(INDIRECT("QTTNCN!"&amp;ADDRESS(ROWS($A$1:$A14),MATCH(J$5,QTTNCN!$A$13:$AE$13,0))),"")</f>
        <v>132000000</v>
      </c>
      <c r="K10" s="50" t="str">
        <f t="array" aca="1" ref="K10" ca="1">IFERROR(INDIRECT("QTTNCN!"&amp;ADDRESS(ROWS($A$1:$A14),MATCH(K$5,QTTNCN!$A$13:$AE$13,0))),"")</f>
        <v/>
      </c>
      <c r="L10" s="50">
        <f t="array" aca="1" ref="L10" ca="1">IFERROR(INDIRECT("QTTNCN!"&amp;ADDRESS(ROWS($A$1:$A14),MATCH(L$5,QTTNCN!$A$13:$AE$13,0))),"")</f>
        <v>0</v>
      </c>
      <c r="M10" s="50" t="str">
        <f t="array" aca="1" ref="M10" ca="1">IFERROR(INDIRECT("QTTNCN!"&amp;ADDRESS(ROWS($A$1:$A14),MATCH(M$5,QTTNCN!$A$13:$AE$13,0))),"")</f>
        <v/>
      </c>
      <c r="N10" s="50">
        <f t="array" aca="1" ref="N10" ca="1">IFERROR(INDIRECT("QTTNCN!"&amp;ADDRESS(ROWS($A$1:$A14),MATCH(N$5,QTTNCN!$A$13:$AE$13,0))),"")</f>
        <v>0</v>
      </c>
      <c r="O10" s="50">
        <f t="array" aca="1" ref="O10" ca="1">IFERROR(INDIRECT("QTTNCN!"&amp;ADDRESS(ROWS($A$1:$A14),MATCH(O$5,QTTNCN!$A$13:$AE$13,0))),"")</f>
        <v>0</v>
      </c>
      <c r="P10" s="50" t="str">
        <f t="array" aca="1" ref="P10" ca="1">IFERROR(INDIRECT("QTTNCN!"&amp;ADDRESS(ROWS($A$1:$A14),MATCH(P$5,QTTNCN!$A$13:$AE$13,0))),"")</f>
        <v/>
      </c>
      <c r="Q10" s="50" t="str">
        <f t="array" aca="1" ref="Q10" ca="1">IFERROR(INDIRECT("QTTNCN!"&amp;ADDRESS(ROWS($A$1:$A14),MATCH(Q$5,QTTNCN!$A$13:$AE$13,0))),"")</f>
        <v/>
      </c>
      <c r="R10" s="50">
        <f t="array" aca="1" ref="R10" ca="1">IFERROR(INDIRECT("QTTNCN!"&amp;ADDRESS(ROWS($A$1:$A14),MATCH(R$5,QTTNCN!$A$13:$AE$13,0))),"")</f>
        <v>0</v>
      </c>
      <c r="S10" s="50">
        <f t="array" aca="1" ref="S10" ca="1">IFERROR(INDIRECT("QTTNCN!"&amp;ADDRESS(ROWS($A$1:$A14),MATCH(S$5,QTTNCN!$A$13:$AE$13,0))),"")</f>
        <v>0</v>
      </c>
      <c r="T10" s="50">
        <f t="array" aca="1" ref="T10" ca="1">IFERROR(INDIRECT("QTTNCN!"&amp;ADDRESS(ROWS($A$1:$A14),MATCH(T$5,QTTNCN!$A$13:$AE$13,0))),"")</f>
        <v>0</v>
      </c>
      <c r="U10" s="50">
        <f ca="1">LEN(B10)</f>
        <v>1</v>
      </c>
    </row>
    <row r="11" spans="1:21" x14ac:dyDescent="0.45">
      <c r="A11" s="15">
        <f>ROWS($A$10:A11)</f>
        <v>2</v>
      </c>
      <c r="B11">
        <f ca="1">IF(QTTNCN!B15="","",QTTNCN!B15)</f>
        <v>0</v>
      </c>
      <c r="C11">
        <f ca="1">IF(QTTNCN!C15="","",QTTNCN!C15)</f>
        <v>0</v>
      </c>
      <c r="D11" t="str">
        <f ca="1">IF(QTTNCN!D15=0,"",QTTNCN!D15)</f>
        <v/>
      </c>
      <c r="E11" t="str">
        <f>IF(QTTNCN!F15="","",QTTNCN!F15)</f>
        <v>x</v>
      </c>
      <c r="F11" s="50">
        <f t="array" aca="1" ref="F11" ca="1">IFERROR(INDIRECT("QTTNCN!"&amp;ADDRESS(ROWS($A$1:$A15),MATCH(F$5,QTTNCN!$A$13:$AE$13,0))),"")</f>
        <v>0</v>
      </c>
      <c r="G11" s="50" t="str">
        <f t="array" aca="1" ref="G11" ca="1">IFERROR(INDIRECT("QTTNCN!"&amp;ADDRESS(ROWS($A$1:$A15),MATCH(G$5,QTTNCN!$A$13:$AE$13,0))),"")</f>
        <v/>
      </c>
      <c r="H11" s="50" t="str">
        <f t="array" aca="1" ref="H11" ca="1">IFERROR(INDIRECT("QTTNCN!"&amp;ADDRESS(ROWS($A$1:$A15),MATCH(H$5,QTTNCN!$A$13:$AE$13,0))),"")</f>
        <v/>
      </c>
      <c r="I11" s="50">
        <f t="array" aca="1" ref="I11" ca="1">IFERROR(INDIRECT("QTTNCN!"&amp;ADDRESS(ROWS($A$1:$A15),MATCH(I$5,QTTNCN!$A$13:$AE$13,0))),"")</f>
        <v>0</v>
      </c>
      <c r="J11" s="50">
        <f t="array" aca="1" ref="J11" ca="1">IFERROR(INDIRECT("QTTNCN!"&amp;ADDRESS(ROWS($A$1:$A15),MATCH(J$5,QTTNCN!$A$13:$AE$13,0))),"")</f>
        <v>132000000</v>
      </c>
      <c r="K11" s="50" t="str">
        <f t="array" aca="1" ref="K11" ca="1">IFERROR(INDIRECT("QTTNCN!"&amp;ADDRESS(ROWS($A$1:$A15),MATCH(K$5,QTTNCN!$A$13:$AE$13,0))),"")</f>
        <v/>
      </c>
      <c r="L11" s="50">
        <f t="array" aca="1" ref="L11" ca="1">IFERROR(INDIRECT("QTTNCN!"&amp;ADDRESS(ROWS($A$1:$A15),MATCH(L$5,QTTNCN!$A$13:$AE$13,0))),"")</f>
        <v>0</v>
      </c>
      <c r="M11" s="50" t="str">
        <f t="array" aca="1" ref="M11" ca="1">IFERROR(INDIRECT("QTTNCN!"&amp;ADDRESS(ROWS($A$1:$A15),MATCH(M$5,QTTNCN!$A$13:$AE$13,0))),"")</f>
        <v/>
      </c>
      <c r="N11" s="50">
        <f t="array" aca="1" ref="N11" ca="1">IFERROR(INDIRECT("QTTNCN!"&amp;ADDRESS(ROWS($A$1:$A15),MATCH(N$5,QTTNCN!$A$13:$AE$13,0))),"")</f>
        <v>0</v>
      </c>
      <c r="O11" s="50">
        <f t="array" aca="1" ref="O11" ca="1">IFERROR(INDIRECT("QTTNCN!"&amp;ADDRESS(ROWS($A$1:$A15),MATCH(O$5,QTTNCN!$A$13:$AE$13,0))),"")</f>
        <v>0</v>
      </c>
      <c r="P11" s="50" t="str">
        <f t="array" aca="1" ref="P11" ca="1">IFERROR(INDIRECT("QTTNCN!"&amp;ADDRESS(ROWS($A$1:$A15),MATCH(P$5,QTTNCN!$A$13:$AE$13,0))),"")</f>
        <v/>
      </c>
      <c r="Q11" s="50" t="str">
        <f t="array" aca="1" ref="Q11" ca="1">IFERROR(INDIRECT("QTTNCN!"&amp;ADDRESS(ROWS($A$1:$A15),MATCH(Q$5,QTTNCN!$A$13:$AE$13,0))),"")</f>
        <v/>
      </c>
      <c r="R11" s="50">
        <f t="array" aca="1" ref="R11" ca="1">IFERROR(INDIRECT("QTTNCN!"&amp;ADDRESS(ROWS($A$1:$A15),MATCH(R$5,QTTNCN!$A$13:$AE$13,0))),"")</f>
        <v>0</v>
      </c>
      <c r="S11" s="50">
        <f t="array" aca="1" ref="S11" ca="1">IFERROR(INDIRECT("QTTNCN!"&amp;ADDRESS(ROWS($A$1:$A15),MATCH(S$5,QTTNCN!$A$13:$AE$13,0))),"")</f>
        <v>0</v>
      </c>
      <c r="T11" s="50">
        <f t="array" aca="1" ref="T11" ca="1">IFERROR(INDIRECT("QTTNCN!"&amp;ADDRESS(ROWS($A$1:$A15),MATCH(T$5,QTTNCN!$A$13:$AE$13,0))),"")</f>
        <v>0</v>
      </c>
      <c r="U11" s="50">
        <f t="shared" ref="U11:U25" ca="1" si="1">LEN(B11)</f>
        <v>1</v>
      </c>
    </row>
    <row r="12" spans="1:21" x14ac:dyDescent="0.45">
      <c r="A12" s="15">
        <f>ROWS($A$10:A12)</f>
        <v>3</v>
      </c>
      <c r="B12">
        <f ca="1">IF(QTTNCN!B16="","",QTTNCN!B16)</f>
        <v>0</v>
      </c>
      <c r="C12">
        <f ca="1">IF(QTTNCN!C16="","",QTTNCN!C16)</f>
        <v>0</v>
      </c>
      <c r="D12" t="str">
        <f ca="1">IF(QTTNCN!D16=0,"",QTTNCN!D16)</f>
        <v/>
      </c>
      <c r="E12" t="str">
        <f>IF(QTTNCN!F16="","",QTTNCN!F16)</f>
        <v>x</v>
      </c>
      <c r="F12" s="50">
        <f t="array" aca="1" ref="F12" ca="1">IFERROR(INDIRECT("QTTNCN!"&amp;ADDRESS(ROWS($A$1:$A16),MATCH(F$5,QTTNCN!$A$13:$AE$13,0))),"")</f>
        <v>0</v>
      </c>
      <c r="G12" s="50" t="str">
        <f t="array" aca="1" ref="G12" ca="1">IFERROR(INDIRECT("QTTNCN!"&amp;ADDRESS(ROWS($A$1:$A16),MATCH(G$5,QTTNCN!$A$13:$AE$13,0))),"")</f>
        <v/>
      </c>
      <c r="H12" s="50" t="str">
        <f t="array" aca="1" ref="H12" ca="1">IFERROR(INDIRECT("QTTNCN!"&amp;ADDRESS(ROWS($A$1:$A16),MATCH(H$5,QTTNCN!$A$13:$AE$13,0))),"")</f>
        <v/>
      </c>
      <c r="I12" s="50">
        <f t="array" aca="1" ref="I12" ca="1">IFERROR(INDIRECT("QTTNCN!"&amp;ADDRESS(ROWS($A$1:$A16),MATCH(I$5,QTTNCN!$A$13:$AE$13,0))),"")</f>
        <v>0</v>
      </c>
      <c r="J12" s="50">
        <f t="array" aca="1" ref="J12" ca="1">IFERROR(INDIRECT("QTTNCN!"&amp;ADDRESS(ROWS($A$1:$A16),MATCH(J$5,QTTNCN!$A$13:$AE$13,0))),"")</f>
        <v>132000000</v>
      </c>
      <c r="K12" s="50" t="str">
        <f t="array" aca="1" ref="K12" ca="1">IFERROR(INDIRECT("QTTNCN!"&amp;ADDRESS(ROWS($A$1:$A16),MATCH(K$5,QTTNCN!$A$13:$AE$13,0))),"")</f>
        <v/>
      </c>
      <c r="L12" s="50">
        <f t="array" aca="1" ref="L12" ca="1">IFERROR(INDIRECT("QTTNCN!"&amp;ADDRESS(ROWS($A$1:$A16),MATCH(L$5,QTTNCN!$A$13:$AE$13,0))),"")</f>
        <v>0</v>
      </c>
      <c r="M12" s="50" t="str">
        <f t="array" aca="1" ref="M12" ca="1">IFERROR(INDIRECT("QTTNCN!"&amp;ADDRESS(ROWS($A$1:$A16),MATCH(M$5,QTTNCN!$A$13:$AE$13,0))),"")</f>
        <v/>
      </c>
      <c r="N12" s="50">
        <f t="array" aca="1" ref="N12" ca="1">IFERROR(INDIRECT("QTTNCN!"&amp;ADDRESS(ROWS($A$1:$A16),MATCH(N$5,QTTNCN!$A$13:$AE$13,0))),"")</f>
        <v>0</v>
      </c>
      <c r="O12" s="50">
        <f t="array" aca="1" ref="O12" ca="1">IFERROR(INDIRECT("QTTNCN!"&amp;ADDRESS(ROWS($A$1:$A16),MATCH(O$5,QTTNCN!$A$13:$AE$13,0))),"")</f>
        <v>0</v>
      </c>
      <c r="P12" s="50" t="str">
        <f t="array" aca="1" ref="P12" ca="1">IFERROR(INDIRECT("QTTNCN!"&amp;ADDRESS(ROWS($A$1:$A16),MATCH(P$5,QTTNCN!$A$13:$AE$13,0))),"")</f>
        <v/>
      </c>
      <c r="Q12" s="50" t="str">
        <f t="array" aca="1" ref="Q12" ca="1">IFERROR(INDIRECT("QTTNCN!"&amp;ADDRESS(ROWS($A$1:$A16),MATCH(Q$5,QTTNCN!$A$13:$AE$13,0))),"")</f>
        <v/>
      </c>
      <c r="R12" s="50">
        <f t="array" aca="1" ref="R12" ca="1">IFERROR(INDIRECT("QTTNCN!"&amp;ADDRESS(ROWS($A$1:$A16),MATCH(R$5,QTTNCN!$A$13:$AE$13,0))),"")</f>
        <v>0</v>
      </c>
      <c r="S12" s="50">
        <f t="array" aca="1" ref="S12" ca="1">IFERROR(INDIRECT("QTTNCN!"&amp;ADDRESS(ROWS($A$1:$A16),MATCH(S$5,QTTNCN!$A$13:$AE$13,0))),"")</f>
        <v>0</v>
      </c>
      <c r="T12" s="50">
        <f t="array" aca="1" ref="T12" ca="1">IFERROR(INDIRECT("QTTNCN!"&amp;ADDRESS(ROWS($A$1:$A16),MATCH(T$5,QTTNCN!$A$13:$AE$13,0))),"")</f>
        <v>0</v>
      </c>
      <c r="U12" s="50">
        <f t="shared" ca="1" si="1"/>
        <v>1</v>
      </c>
    </row>
    <row r="13" spans="1:21" x14ac:dyDescent="0.45">
      <c r="A13" s="15">
        <f>ROWS($A$10:A13)</f>
        <v>4</v>
      </c>
      <c r="B13">
        <f ca="1">IF(QTTNCN!B17="","",QTTNCN!B17)</f>
        <v>0</v>
      </c>
      <c r="C13">
        <f ca="1">IF(QTTNCN!C17="","",QTTNCN!C17)</f>
        <v>0</v>
      </c>
      <c r="D13" t="str">
        <f ca="1">IF(QTTNCN!D17=0,"",QTTNCN!D17)</f>
        <v/>
      </c>
      <c r="E13" t="str">
        <f>IF(QTTNCN!F17="","",QTTNCN!F17)</f>
        <v>x</v>
      </c>
      <c r="F13" s="50">
        <f t="array" aca="1" ref="F13" ca="1">IFERROR(INDIRECT("QTTNCN!"&amp;ADDRESS(ROWS($A$1:$A17),MATCH(F$5,QTTNCN!$A$13:$AE$13,0))),"")</f>
        <v>0</v>
      </c>
      <c r="G13" s="50" t="str">
        <f t="array" aca="1" ref="G13" ca="1">IFERROR(INDIRECT("QTTNCN!"&amp;ADDRESS(ROWS($A$1:$A17),MATCH(G$5,QTTNCN!$A$13:$AE$13,0))),"")</f>
        <v/>
      </c>
      <c r="H13" s="50" t="str">
        <f t="array" aca="1" ref="H13" ca="1">IFERROR(INDIRECT("QTTNCN!"&amp;ADDRESS(ROWS($A$1:$A17),MATCH(H$5,QTTNCN!$A$13:$AE$13,0))),"")</f>
        <v/>
      </c>
      <c r="I13" s="50">
        <f t="array" aca="1" ref="I13" ca="1">IFERROR(INDIRECT("QTTNCN!"&amp;ADDRESS(ROWS($A$1:$A17),MATCH(I$5,QTTNCN!$A$13:$AE$13,0))),"")</f>
        <v>0</v>
      </c>
      <c r="J13" s="50">
        <f t="array" aca="1" ref="J13" ca="1">IFERROR(INDIRECT("QTTNCN!"&amp;ADDRESS(ROWS($A$1:$A17),MATCH(J$5,QTTNCN!$A$13:$AE$13,0))),"")</f>
        <v>132000000</v>
      </c>
      <c r="K13" s="50" t="str">
        <f t="array" aca="1" ref="K13" ca="1">IFERROR(INDIRECT("QTTNCN!"&amp;ADDRESS(ROWS($A$1:$A17),MATCH(K$5,QTTNCN!$A$13:$AE$13,0))),"")</f>
        <v/>
      </c>
      <c r="L13" s="50">
        <f t="array" aca="1" ref="L13" ca="1">IFERROR(INDIRECT("QTTNCN!"&amp;ADDRESS(ROWS($A$1:$A17),MATCH(L$5,QTTNCN!$A$13:$AE$13,0))),"")</f>
        <v>0</v>
      </c>
      <c r="M13" s="50" t="str">
        <f t="array" aca="1" ref="M13" ca="1">IFERROR(INDIRECT("QTTNCN!"&amp;ADDRESS(ROWS($A$1:$A17),MATCH(M$5,QTTNCN!$A$13:$AE$13,0))),"")</f>
        <v/>
      </c>
      <c r="N13" s="50">
        <f t="array" aca="1" ref="N13" ca="1">IFERROR(INDIRECT("QTTNCN!"&amp;ADDRESS(ROWS($A$1:$A17),MATCH(N$5,QTTNCN!$A$13:$AE$13,0))),"")</f>
        <v>0</v>
      </c>
      <c r="O13" s="50">
        <f t="array" aca="1" ref="O13" ca="1">IFERROR(INDIRECT("QTTNCN!"&amp;ADDRESS(ROWS($A$1:$A17),MATCH(O$5,QTTNCN!$A$13:$AE$13,0))),"")</f>
        <v>0</v>
      </c>
      <c r="P13" s="50" t="str">
        <f t="array" aca="1" ref="P13" ca="1">IFERROR(INDIRECT("QTTNCN!"&amp;ADDRESS(ROWS($A$1:$A17),MATCH(P$5,QTTNCN!$A$13:$AE$13,0))),"")</f>
        <v/>
      </c>
      <c r="Q13" s="50" t="str">
        <f t="array" aca="1" ref="Q13" ca="1">IFERROR(INDIRECT("QTTNCN!"&amp;ADDRESS(ROWS($A$1:$A17),MATCH(Q$5,QTTNCN!$A$13:$AE$13,0))),"")</f>
        <v/>
      </c>
      <c r="R13" s="50">
        <f t="array" aca="1" ref="R13" ca="1">IFERROR(INDIRECT("QTTNCN!"&amp;ADDRESS(ROWS($A$1:$A17),MATCH(R$5,QTTNCN!$A$13:$AE$13,0))),"")</f>
        <v>0</v>
      </c>
      <c r="S13" s="50">
        <f t="array" aca="1" ref="S13" ca="1">IFERROR(INDIRECT("QTTNCN!"&amp;ADDRESS(ROWS($A$1:$A17),MATCH(S$5,QTTNCN!$A$13:$AE$13,0))),"")</f>
        <v>0</v>
      </c>
      <c r="T13" s="50">
        <f t="array" aca="1" ref="T13" ca="1">IFERROR(INDIRECT("QTTNCN!"&amp;ADDRESS(ROWS($A$1:$A17),MATCH(T$5,QTTNCN!$A$13:$AE$13,0))),"")</f>
        <v>0</v>
      </c>
      <c r="U13" s="50">
        <f t="shared" ca="1" si="1"/>
        <v>1</v>
      </c>
    </row>
    <row r="14" spans="1:21" x14ac:dyDescent="0.45">
      <c r="A14" s="15">
        <f>ROWS($A$10:A14)</f>
        <v>5</v>
      </c>
      <c r="B14">
        <f ca="1">IF(QTTNCN!B18="","",QTTNCN!B18)</f>
        <v>0</v>
      </c>
      <c r="C14">
        <f ca="1">IF(QTTNCN!C18="","",QTTNCN!C18)</f>
        <v>0</v>
      </c>
      <c r="D14" t="str">
        <f ca="1">IF(QTTNCN!D18=0,"",QTTNCN!D18)</f>
        <v/>
      </c>
      <c r="E14" t="str">
        <f>IF(QTTNCN!F18="","",QTTNCN!F18)</f>
        <v>x</v>
      </c>
      <c r="F14" s="50">
        <f t="array" aca="1" ref="F14" ca="1">IFERROR(INDIRECT("QTTNCN!"&amp;ADDRESS(ROWS($A$1:$A18),MATCH(F$5,QTTNCN!$A$13:$AE$13,0))),"")</f>
        <v>0</v>
      </c>
      <c r="G14" s="50" t="str">
        <f t="array" aca="1" ref="G14" ca="1">IFERROR(INDIRECT("QTTNCN!"&amp;ADDRESS(ROWS($A$1:$A18),MATCH(G$5,QTTNCN!$A$13:$AE$13,0))),"")</f>
        <v/>
      </c>
      <c r="H14" s="50" t="str">
        <f t="array" aca="1" ref="H14" ca="1">IFERROR(INDIRECT("QTTNCN!"&amp;ADDRESS(ROWS($A$1:$A18),MATCH(H$5,QTTNCN!$A$13:$AE$13,0))),"")</f>
        <v/>
      </c>
      <c r="I14" s="50">
        <f t="array" aca="1" ref="I14" ca="1">IFERROR(INDIRECT("QTTNCN!"&amp;ADDRESS(ROWS($A$1:$A18),MATCH(I$5,QTTNCN!$A$13:$AE$13,0))),"")</f>
        <v>0</v>
      </c>
      <c r="J14" s="50">
        <f t="array" aca="1" ref="J14" ca="1">IFERROR(INDIRECT("QTTNCN!"&amp;ADDRESS(ROWS($A$1:$A18),MATCH(J$5,QTTNCN!$A$13:$AE$13,0))),"")</f>
        <v>132000000</v>
      </c>
      <c r="K14" s="50" t="str">
        <f t="array" aca="1" ref="K14" ca="1">IFERROR(INDIRECT("QTTNCN!"&amp;ADDRESS(ROWS($A$1:$A18),MATCH(K$5,QTTNCN!$A$13:$AE$13,0))),"")</f>
        <v/>
      </c>
      <c r="L14" s="50">
        <f t="array" aca="1" ref="L14" ca="1">IFERROR(INDIRECT("QTTNCN!"&amp;ADDRESS(ROWS($A$1:$A18),MATCH(L$5,QTTNCN!$A$13:$AE$13,0))),"")</f>
        <v>0</v>
      </c>
      <c r="M14" s="50" t="str">
        <f t="array" aca="1" ref="M14" ca="1">IFERROR(INDIRECT("QTTNCN!"&amp;ADDRESS(ROWS($A$1:$A18),MATCH(M$5,QTTNCN!$A$13:$AE$13,0))),"")</f>
        <v/>
      </c>
      <c r="N14" s="50">
        <f t="array" aca="1" ref="N14" ca="1">IFERROR(INDIRECT("QTTNCN!"&amp;ADDRESS(ROWS($A$1:$A18),MATCH(N$5,QTTNCN!$A$13:$AE$13,0))),"")</f>
        <v>0</v>
      </c>
      <c r="O14" s="50">
        <f t="array" aca="1" ref="O14" ca="1">IFERROR(INDIRECT("QTTNCN!"&amp;ADDRESS(ROWS($A$1:$A18),MATCH(O$5,QTTNCN!$A$13:$AE$13,0))),"")</f>
        <v>0</v>
      </c>
      <c r="P14" s="50" t="str">
        <f t="array" aca="1" ref="P14" ca="1">IFERROR(INDIRECT("QTTNCN!"&amp;ADDRESS(ROWS($A$1:$A18),MATCH(P$5,QTTNCN!$A$13:$AE$13,0))),"")</f>
        <v/>
      </c>
      <c r="Q14" s="50" t="str">
        <f t="array" aca="1" ref="Q14" ca="1">IFERROR(INDIRECT("QTTNCN!"&amp;ADDRESS(ROWS($A$1:$A18),MATCH(Q$5,QTTNCN!$A$13:$AE$13,0))),"")</f>
        <v/>
      </c>
      <c r="R14" s="50">
        <f t="array" aca="1" ref="R14" ca="1">IFERROR(INDIRECT("QTTNCN!"&amp;ADDRESS(ROWS($A$1:$A18),MATCH(R$5,QTTNCN!$A$13:$AE$13,0))),"")</f>
        <v>0</v>
      </c>
      <c r="S14" s="50">
        <f t="array" aca="1" ref="S14" ca="1">IFERROR(INDIRECT("QTTNCN!"&amp;ADDRESS(ROWS($A$1:$A18),MATCH(S$5,QTTNCN!$A$13:$AE$13,0))),"")</f>
        <v>0</v>
      </c>
      <c r="T14" s="50">
        <f t="array" aca="1" ref="T14" ca="1">IFERROR(INDIRECT("QTTNCN!"&amp;ADDRESS(ROWS($A$1:$A18),MATCH(T$5,QTTNCN!$A$13:$AE$13,0))),"")</f>
        <v>0</v>
      </c>
      <c r="U14" s="50">
        <f t="shared" ca="1" si="1"/>
        <v>1</v>
      </c>
    </row>
    <row r="15" spans="1:21" x14ac:dyDescent="0.45">
      <c r="A15" s="15">
        <f>ROWS($A$10:A15)</f>
        <v>6</v>
      </c>
      <c r="B15">
        <f ca="1">IF(QTTNCN!B19="","",QTTNCN!B19)</f>
        <v>0</v>
      </c>
      <c r="C15">
        <f ca="1">IF(QTTNCN!C19="","",QTTNCN!C19)</f>
        <v>0</v>
      </c>
      <c r="D15" t="str">
        <f ca="1">IF(QTTNCN!D19=0,"",QTTNCN!D19)</f>
        <v/>
      </c>
      <c r="E15" t="str">
        <f>IF(QTTNCN!F19="","",QTTNCN!F19)</f>
        <v>x</v>
      </c>
      <c r="F15" s="50">
        <f t="array" aca="1" ref="F15" ca="1">IFERROR(INDIRECT("QTTNCN!"&amp;ADDRESS(ROWS($A$1:$A19),MATCH(F$5,QTTNCN!$A$13:$AE$13,0))),"")</f>
        <v>0</v>
      </c>
      <c r="G15" s="50" t="str">
        <f t="array" aca="1" ref="G15" ca="1">IFERROR(INDIRECT("QTTNCN!"&amp;ADDRESS(ROWS($A$1:$A19),MATCH(G$5,QTTNCN!$A$13:$AE$13,0))),"")</f>
        <v/>
      </c>
      <c r="H15" s="50" t="str">
        <f t="array" aca="1" ref="H15" ca="1">IFERROR(INDIRECT("QTTNCN!"&amp;ADDRESS(ROWS($A$1:$A19),MATCH(H$5,QTTNCN!$A$13:$AE$13,0))),"")</f>
        <v/>
      </c>
      <c r="I15" s="50">
        <f t="array" aca="1" ref="I15" ca="1">IFERROR(INDIRECT("QTTNCN!"&amp;ADDRESS(ROWS($A$1:$A19),MATCH(I$5,QTTNCN!$A$13:$AE$13,0))),"")</f>
        <v>0</v>
      </c>
      <c r="J15" s="50">
        <f t="array" aca="1" ref="J15" ca="1">IFERROR(INDIRECT("QTTNCN!"&amp;ADDRESS(ROWS($A$1:$A19),MATCH(J$5,QTTNCN!$A$13:$AE$13,0))),"")</f>
        <v>132000000</v>
      </c>
      <c r="K15" s="50" t="str">
        <f t="array" aca="1" ref="K15" ca="1">IFERROR(INDIRECT("QTTNCN!"&amp;ADDRESS(ROWS($A$1:$A19),MATCH(K$5,QTTNCN!$A$13:$AE$13,0))),"")</f>
        <v/>
      </c>
      <c r="L15" s="50">
        <f t="array" aca="1" ref="L15" ca="1">IFERROR(INDIRECT("QTTNCN!"&amp;ADDRESS(ROWS($A$1:$A19),MATCH(L$5,QTTNCN!$A$13:$AE$13,0))),"")</f>
        <v>0</v>
      </c>
      <c r="M15" s="50" t="str">
        <f t="array" aca="1" ref="M15" ca="1">IFERROR(INDIRECT("QTTNCN!"&amp;ADDRESS(ROWS($A$1:$A19),MATCH(M$5,QTTNCN!$A$13:$AE$13,0))),"")</f>
        <v/>
      </c>
      <c r="N15" s="50">
        <f t="array" aca="1" ref="N15" ca="1">IFERROR(INDIRECT("QTTNCN!"&amp;ADDRESS(ROWS($A$1:$A19),MATCH(N$5,QTTNCN!$A$13:$AE$13,0))),"")</f>
        <v>0</v>
      </c>
      <c r="O15" s="50">
        <f t="array" aca="1" ref="O15" ca="1">IFERROR(INDIRECT("QTTNCN!"&amp;ADDRESS(ROWS($A$1:$A19),MATCH(O$5,QTTNCN!$A$13:$AE$13,0))),"")</f>
        <v>0</v>
      </c>
      <c r="P15" s="50" t="str">
        <f t="array" aca="1" ref="P15" ca="1">IFERROR(INDIRECT("QTTNCN!"&amp;ADDRESS(ROWS($A$1:$A19),MATCH(P$5,QTTNCN!$A$13:$AE$13,0))),"")</f>
        <v/>
      </c>
      <c r="Q15" s="50" t="str">
        <f t="array" aca="1" ref="Q15" ca="1">IFERROR(INDIRECT("QTTNCN!"&amp;ADDRESS(ROWS($A$1:$A19),MATCH(Q$5,QTTNCN!$A$13:$AE$13,0))),"")</f>
        <v/>
      </c>
      <c r="R15" s="50">
        <f t="array" aca="1" ref="R15" ca="1">IFERROR(INDIRECT("QTTNCN!"&amp;ADDRESS(ROWS($A$1:$A19),MATCH(R$5,QTTNCN!$A$13:$AE$13,0))),"")</f>
        <v>0</v>
      </c>
      <c r="S15" s="50">
        <f t="array" aca="1" ref="S15" ca="1">IFERROR(INDIRECT("QTTNCN!"&amp;ADDRESS(ROWS($A$1:$A19),MATCH(S$5,QTTNCN!$A$13:$AE$13,0))),"")</f>
        <v>0</v>
      </c>
      <c r="T15" s="50">
        <f t="array" aca="1" ref="T15" ca="1">IFERROR(INDIRECT("QTTNCN!"&amp;ADDRESS(ROWS($A$1:$A19),MATCH(T$5,QTTNCN!$A$13:$AE$13,0))),"")</f>
        <v>0</v>
      </c>
      <c r="U15" s="50">
        <f t="shared" ca="1" si="1"/>
        <v>1</v>
      </c>
    </row>
    <row r="16" spans="1:21" x14ac:dyDescent="0.45">
      <c r="A16" s="15">
        <f>ROWS($A$10:A16)</f>
        <v>7</v>
      </c>
      <c r="B16">
        <f ca="1">IF(QTTNCN!B20="","",QTTNCN!B20)</f>
        <v>0</v>
      </c>
      <c r="C16">
        <f ca="1">IF(QTTNCN!C20="","",QTTNCN!C20)</f>
        <v>0</v>
      </c>
      <c r="D16" t="str">
        <f ca="1">IF(QTTNCN!D20=0,"",QTTNCN!D20)</f>
        <v/>
      </c>
      <c r="E16" t="str">
        <f>IF(QTTNCN!F20="","",QTTNCN!F20)</f>
        <v>x</v>
      </c>
      <c r="F16" s="50">
        <f t="array" aca="1" ref="F16" ca="1">IFERROR(INDIRECT("QTTNCN!"&amp;ADDRESS(ROWS($A$1:$A20),MATCH(F$5,QTTNCN!$A$13:$AE$13,0))),"")</f>
        <v>0</v>
      </c>
      <c r="G16" s="50" t="str">
        <f t="array" aca="1" ref="G16" ca="1">IFERROR(INDIRECT("QTTNCN!"&amp;ADDRESS(ROWS($A$1:$A20),MATCH(G$5,QTTNCN!$A$13:$AE$13,0))),"")</f>
        <v/>
      </c>
      <c r="H16" s="50" t="str">
        <f t="array" aca="1" ref="H16" ca="1">IFERROR(INDIRECT("QTTNCN!"&amp;ADDRESS(ROWS($A$1:$A20),MATCH(H$5,QTTNCN!$A$13:$AE$13,0))),"")</f>
        <v/>
      </c>
      <c r="I16" s="50">
        <f t="array" aca="1" ref="I16" ca="1">IFERROR(INDIRECT("QTTNCN!"&amp;ADDRESS(ROWS($A$1:$A20),MATCH(I$5,QTTNCN!$A$13:$AE$13,0))),"")</f>
        <v>0</v>
      </c>
      <c r="J16" s="50">
        <f t="array" aca="1" ref="J16" ca="1">IFERROR(INDIRECT("QTTNCN!"&amp;ADDRESS(ROWS($A$1:$A20),MATCH(J$5,QTTNCN!$A$13:$AE$13,0))),"")</f>
        <v>132000000</v>
      </c>
      <c r="K16" s="50" t="str">
        <f t="array" aca="1" ref="K16" ca="1">IFERROR(INDIRECT("QTTNCN!"&amp;ADDRESS(ROWS($A$1:$A20),MATCH(K$5,QTTNCN!$A$13:$AE$13,0))),"")</f>
        <v/>
      </c>
      <c r="L16" s="50">
        <f t="array" aca="1" ref="L16" ca="1">IFERROR(INDIRECT("QTTNCN!"&amp;ADDRESS(ROWS($A$1:$A20),MATCH(L$5,QTTNCN!$A$13:$AE$13,0))),"")</f>
        <v>0</v>
      </c>
      <c r="M16" s="50" t="str">
        <f t="array" aca="1" ref="M16" ca="1">IFERROR(INDIRECT("QTTNCN!"&amp;ADDRESS(ROWS($A$1:$A20),MATCH(M$5,QTTNCN!$A$13:$AE$13,0))),"")</f>
        <v/>
      </c>
      <c r="N16" s="50">
        <f t="array" aca="1" ref="N16" ca="1">IFERROR(INDIRECT("QTTNCN!"&amp;ADDRESS(ROWS($A$1:$A20),MATCH(N$5,QTTNCN!$A$13:$AE$13,0))),"")</f>
        <v>0</v>
      </c>
      <c r="O16" s="50">
        <f t="array" aca="1" ref="O16" ca="1">IFERROR(INDIRECT("QTTNCN!"&amp;ADDRESS(ROWS($A$1:$A20),MATCH(O$5,QTTNCN!$A$13:$AE$13,0))),"")</f>
        <v>0</v>
      </c>
      <c r="P16" s="50" t="str">
        <f t="array" aca="1" ref="P16" ca="1">IFERROR(INDIRECT("QTTNCN!"&amp;ADDRESS(ROWS($A$1:$A20),MATCH(P$5,QTTNCN!$A$13:$AE$13,0))),"")</f>
        <v/>
      </c>
      <c r="Q16" s="50" t="str">
        <f t="array" aca="1" ref="Q16" ca="1">IFERROR(INDIRECT("QTTNCN!"&amp;ADDRESS(ROWS($A$1:$A20),MATCH(Q$5,QTTNCN!$A$13:$AE$13,0))),"")</f>
        <v/>
      </c>
      <c r="R16" s="50">
        <f t="array" aca="1" ref="R16" ca="1">IFERROR(INDIRECT("QTTNCN!"&amp;ADDRESS(ROWS($A$1:$A20),MATCH(R$5,QTTNCN!$A$13:$AE$13,0))),"")</f>
        <v>0</v>
      </c>
      <c r="S16" s="50">
        <f t="array" aca="1" ref="S16" ca="1">IFERROR(INDIRECT("QTTNCN!"&amp;ADDRESS(ROWS($A$1:$A20),MATCH(S$5,QTTNCN!$A$13:$AE$13,0))),"")</f>
        <v>0</v>
      </c>
      <c r="T16" s="50">
        <f t="array" aca="1" ref="T16" ca="1">IFERROR(INDIRECT("QTTNCN!"&amp;ADDRESS(ROWS($A$1:$A20),MATCH(T$5,QTTNCN!$A$13:$AE$13,0))),"")</f>
        <v>0</v>
      </c>
      <c r="U16" s="50">
        <f t="shared" ca="1" si="1"/>
        <v>1</v>
      </c>
    </row>
    <row r="17" spans="1:21" x14ac:dyDescent="0.45">
      <c r="A17" s="15">
        <f>ROWS($A$10:A17)</f>
        <v>8</v>
      </c>
      <c r="B17">
        <f ca="1">IF(QTTNCN!B21="","",QTTNCN!B21)</f>
        <v>0</v>
      </c>
      <c r="C17">
        <f ca="1">IF(QTTNCN!C21="","",QTTNCN!C21)</f>
        <v>0</v>
      </c>
      <c r="D17" t="str">
        <f ca="1">IF(QTTNCN!D21=0,"",QTTNCN!D21)</f>
        <v/>
      </c>
      <c r="E17" t="str">
        <f>IF(QTTNCN!F21="","",QTTNCN!F21)</f>
        <v>x</v>
      </c>
      <c r="F17" s="50">
        <f t="array" aca="1" ref="F17" ca="1">IFERROR(INDIRECT("QTTNCN!"&amp;ADDRESS(ROWS($A$1:$A21),MATCH(F$5,QTTNCN!$A$13:$AE$13,0))),"")</f>
        <v>0</v>
      </c>
      <c r="G17" s="50" t="str">
        <f t="array" aca="1" ref="G17" ca="1">IFERROR(INDIRECT("QTTNCN!"&amp;ADDRESS(ROWS($A$1:$A21),MATCH(G$5,QTTNCN!$A$13:$AE$13,0))),"")</f>
        <v/>
      </c>
      <c r="H17" s="50" t="str">
        <f t="array" aca="1" ref="H17" ca="1">IFERROR(INDIRECT("QTTNCN!"&amp;ADDRESS(ROWS($A$1:$A21),MATCH(H$5,QTTNCN!$A$13:$AE$13,0))),"")</f>
        <v/>
      </c>
      <c r="I17" s="50">
        <f t="array" aca="1" ref="I17" ca="1">IFERROR(INDIRECT("QTTNCN!"&amp;ADDRESS(ROWS($A$1:$A21),MATCH(I$5,QTTNCN!$A$13:$AE$13,0))),"")</f>
        <v>0</v>
      </c>
      <c r="J17" s="50">
        <f t="array" aca="1" ref="J17" ca="1">IFERROR(INDIRECT("QTTNCN!"&amp;ADDRESS(ROWS($A$1:$A21),MATCH(J$5,QTTNCN!$A$13:$AE$13,0))),"")</f>
        <v>132000000</v>
      </c>
      <c r="K17" s="50" t="str">
        <f t="array" aca="1" ref="K17" ca="1">IFERROR(INDIRECT("QTTNCN!"&amp;ADDRESS(ROWS($A$1:$A21),MATCH(K$5,QTTNCN!$A$13:$AE$13,0))),"")</f>
        <v/>
      </c>
      <c r="L17" s="50">
        <f t="array" aca="1" ref="L17" ca="1">IFERROR(INDIRECT("QTTNCN!"&amp;ADDRESS(ROWS($A$1:$A21),MATCH(L$5,QTTNCN!$A$13:$AE$13,0))),"")</f>
        <v>0</v>
      </c>
      <c r="M17" s="50" t="str">
        <f t="array" aca="1" ref="M17" ca="1">IFERROR(INDIRECT("QTTNCN!"&amp;ADDRESS(ROWS($A$1:$A21),MATCH(M$5,QTTNCN!$A$13:$AE$13,0))),"")</f>
        <v/>
      </c>
      <c r="N17" s="50">
        <f t="array" aca="1" ref="N17" ca="1">IFERROR(INDIRECT("QTTNCN!"&amp;ADDRESS(ROWS($A$1:$A21),MATCH(N$5,QTTNCN!$A$13:$AE$13,0))),"")</f>
        <v>0</v>
      </c>
      <c r="O17" s="50">
        <f t="array" aca="1" ref="O17" ca="1">IFERROR(INDIRECT("QTTNCN!"&amp;ADDRESS(ROWS($A$1:$A21),MATCH(O$5,QTTNCN!$A$13:$AE$13,0))),"")</f>
        <v>0</v>
      </c>
      <c r="P17" s="50" t="str">
        <f t="array" aca="1" ref="P17" ca="1">IFERROR(INDIRECT("QTTNCN!"&amp;ADDRESS(ROWS($A$1:$A21),MATCH(P$5,QTTNCN!$A$13:$AE$13,0))),"")</f>
        <v/>
      </c>
      <c r="Q17" s="50" t="str">
        <f t="array" aca="1" ref="Q17" ca="1">IFERROR(INDIRECT("QTTNCN!"&amp;ADDRESS(ROWS($A$1:$A21),MATCH(Q$5,QTTNCN!$A$13:$AE$13,0))),"")</f>
        <v/>
      </c>
      <c r="R17" s="50">
        <f t="array" aca="1" ref="R17" ca="1">IFERROR(INDIRECT("QTTNCN!"&amp;ADDRESS(ROWS($A$1:$A21),MATCH(R$5,QTTNCN!$A$13:$AE$13,0))),"")</f>
        <v>0</v>
      </c>
      <c r="S17" s="50">
        <f t="array" aca="1" ref="S17" ca="1">IFERROR(INDIRECT("QTTNCN!"&amp;ADDRESS(ROWS($A$1:$A21),MATCH(S$5,QTTNCN!$A$13:$AE$13,0))),"")</f>
        <v>0</v>
      </c>
      <c r="T17" s="50">
        <f t="array" aca="1" ref="T17" ca="1">IFERROR(INDIRECT("QTTNCN!"&amp;ADDRESS(ROWS($A$1:$A21),MATCH(T$5,QTTNCN!$A$13:$AE$13,0))),"")</f>
        <v>0</v>
      </c>
      <c r="U17" s="50">
        <f t="shared" ca="1" si="1"/>
        <v>1</v>
      </c>
    </row>
    <row r="18" spans="1:21" x14ac:dyDescent="0.45">
      <c r="A18" s="15">
        <f>ROWS($A$10:A18)</f>
        <v>9</v>
      </c>
      <c r="B18">
        <f ca="1">IF(QTTNCN!B22="","",QTTNCN!B22)</f>
        <v>0</v>
      </c>
      <c r="C18">
        <f ca="1">IF(QTTNCN!C22="","",QTTNCN!C22)</f>
        <v>0</v>
      </c>
      <c r="D18" t="str">
        <f ca="1">IF(QTTNCN!D22=0,"",QTTNCN!D22)</f>
        <v/>
      </c>
      <c r="E18" t="str">
        <f>IF(QTTNCN!F22="","",QTTNCN!F22)</f>
        <v>x</v>
      </c>
      <c r="F18" s="50">
        <f t="array" aca="1" ref="F18" ca="1">IFERROR(INDIRECT("QTTNCN!"&amp;ADDRESS(ROWS($A$1:$A22),MATCH(F$5,QTTNCN!$A$13:$AE$13,0))),"")</f>
        <v>0</v>
      </c>
      <c r="G18" s="50" t="str">
        <f t="array" aca="1" ref="G18" ca="1">IFERROR(INDIRECT("QTTNCN!"&amp;ADDRESS(ROWS($A$1:$A22),MATCH(G$5,QTTNCN!$A$13:$AE$13,0))),"")</f>
        <v/>
      </c>
      <c r="H18" s="50" t="str">
        <f t="array" aca="1" ref="H18" ca="1">IFERROR(INDIRECT("QTTNCN!"&amp;ADDRESS(ROWS($A$1:$A22),MATCH(H$5,QTTNCN!$A$13:$AE$13,0))),"")</f>
        <v/>
      </c>
      <c r="I18" s="50">
        <f t="array" aca="1" ref="I18" ca="1">IFERROR(INDIRECT("QTTNCN!"&amp;ADDRESS(ROWS($A$1:$A22),MATCH(I$5,QTTNCN!$A$13:$AE$13,0))),"")</f>
        <v>0</v>
      </c>
      <c r="J18" s="50">
        <f t="array" aca="1" ref="J18" ca="1">IFERROR(INDIRECT("QTTNCN!"&amp;ADDRESS(ROWS($A$1:$A22),MATCH(J$5,QTTNCN!$A$13:$AE$13,0))),"")</f>
        <v>132000000</v>
      </c>
      <c r="K18" s="50" t="str">
        <f t="array" aca="1" ref="K18" ca="1">IFERROR(INDIRECT("QTTNCN!"&amp;ADDRESS(ROWS($A$1:$A22),MATCH(K$5,QTTNCN!$A$13:$AE$13,0))),"")</f>
        <v/>
      </c>
      <c r="L18" s="50">
        <f t="array" aca="1" ref="L18" ca="1">IFERROR(INDIRECT("QTTNCN!"&amp;ADDRESS(ROWS($A$1:$A22),MATCH(L$5,QTTNCN!$A$13:$AE$13,0))),"")</f>
        <v>0</v>
      </c>
      <c r="M18" s="50" t="str">
        <f t="array" aca="1" ref="M18" ca="1">IFERROR(INDIRECT("QTTNCN!"&amp;ADDRESS(ROWS($A$1:$A22),MATCH(M$5,QTTNCN!$A$13:$AE$13,0))),"")</f>
        <v/>
      </c>
      <c r="N18" s="50">
        <f t="array" aca="1" ref="N18" ca="1">IFERROR(INDIRECT("QTTNCN!"&amp;ADDRESS(ROWS($A$1:$A22),MATCH(N$5,QTTNCN!$A$13:$AE$13,0))),"")</f>
        <v>0</v>
      </c>
      <c r="O18" s="50">
        <f t="array" aca="1" ref="O18" ca="1">IFERROR(INDIRECT("QTTNCN!"&amp;ADDRESS(ROWS($A$1:$A22),MATCH(O$5,QTTNCN!$A$13:$AE$13,0))),"")</f>
        <v>0</v>
      </c>
      <c r="P18" s="50" t="str">
        <f t="array" aca="1" ref="P18" ca="1">IFERROR(INDIRECT("QTTNCN!"&amp;ADDRESS(ROWS($A$1:$A22),MATCH(P$5,QTTNCN!$A$13:$AE$13,0))),"")</f>
        <v/>
      </c>
      <c r="Q18" s="50" t="str">
        <f t="array" aca="1" ref="Q18" ca="1">IFERROR(INDIRECT("QTTNCN!"&amp;ADDRESS(ROWS($A$1:$A22),MATCH(Q$5,QTTNCN!$A$13:$AE$13,0))),"")</f>
        <v/>
      </c>
      <c r="R18" s="50">
        <f t="array" aca="1" ref="R18" ca="1">IFERROR(INDIRECT("QTTNCN!"&amp;ADDRESS(ROWS($A$1:$A22),MATCH(R$5,QTTNCN!$A$13:$AE$13,0))),"")</f>
        <v>0</v>
      </c>
      <c r="S18" s="50">
        <f t="array" aca="1" ref="S18" ca="1">IFERROR(INDIRECT("QTTNCN!"&amp;ADDRESS(ROWS($A$1:$A22),MATCH(S$5,QTTNCN!$A$13:$AE$13,0))),"")</f>
        <v>0</v>
      </c>
      <c r="T18" s="50">
        <f t="array" aca="1" ref="T18" ca="1">IFERROR(INDIRECT("QTTNCN!"&amp;ADDRESS(ROWS($A$1:$A22),MATCH(T$5,QTTNCN!$A$13:$AE$13,0))),"")</f>
        <v>0</v>
      </c>
      <c r="U18" s="50">
        <f t="shared" ca="1" si="1"/>
        <v>1</v>
      </c>
    </row>
    <row r="19" spans="1:21" x14ac:dyDescent="0.45">
      <c r="A19" s="15">
        <f>ROWS($A$10:A19)</f>
        <v>10</v>
      </c>
      <c r="B19">
        <f ca="1">IF(QTTNCN!B23="","",QTTNCN!B23)</f>
        <v>0</v>
      </c>
      <c r="C19">
        <f ca="1">IF(QTTNCN!C23="","",QTTNCN!C23)</f>
        <v>0</v>
      </c>
      <c r="D19" t="str">
        <f ca="1">IF(QTTNCN!D23=0,"",QTTNCN!D23)</f>
        <v/>
      </c>
      <c r="E19" t="str">
        <f>IF(QTTNCN!F23="","",QTTNCN!F23)</f>
        <v>x</v>
      </c>
      <c r="F19" s="50">
        <f t="array" aca="1" ref="F19" ca="1">IFERROR(INDIRECT("QTTNCN!"&amp;ADDRESS(ROWS($A$1:$A23),MATCH(F$5,QTTNCN!$A$13:$AE$13,0))),"")</f>
        <v>0</v>
      </c>
      <c r="G19" s="50" t="str">
        <f t="array" aca="1" ref="G19" ca="1">IFERROR(INDIRECT("QTTNCN!"&amp;ADDRESS(ROWS($A$1:$A23),MATCH(G$5,QTTNCN!$A$13:$AE$13,0))),"")</f>
        <v/>
      </c>
      <c r="H19" s="50" t="str">
        <f t="array" aca="1" ref="H19" ca="1">IFERROR(INDIRECT("QTTNCN!"&amp;ADDRESS(ROWS($A$1:$A23),MATCH(H$5,QTTNCN!$A$13:$AE$13,0))),"")</f>
        <v/>
      </c>
      <c r="I19" s="50">
        <f t="array" aca="1" ref="I19" ca="1">IFERROR(INDIRECT("QTTNCN!"&amp;ADDRESS(ROWS($A$1:$A23),MATCH(I$5,QTTNCN!$A$13:$AE$13,0))),"")</f>
        <v>0</v>
      </c>
      <c r="J19" s="50">
        <f t="array" aca="1" ref="J19" ca="1">IFERROR(INDIRECT("QTTNCN!"&amp;ADDRESS(ROWS($A$1:$A23),MATCH(J$5,QTTNCN!$A$13:$AE$13,0))),"")</f>
        <v>132000000</v>
      </c>
      <c r="K19" s="50" t="str">
        <f t="array" aca="1" ref="K19" ca="1">IFERROR(INDIRECT("QTTNCN!"&amp;ADDRESS(ROWS($A$1:$A23),MATCH(K$5,QTTNCN!$A$13:$AE$13,0))),"")</f>
        <v/>
      </c>
      <c r="L19" s="50">
        <f t="array" aca="1" ref="L19" ca="1">IFERROR(INDIRECT("QTTNCN!"&amp;ADDRESS(ROWS($A$1:$A23),MATCH(L$5,QTTNCN!$A$13:$AE$13,0))),"")</f>
        <v>0</v>
      </c>
      <c r="M19" s="50" t="str">
        <f t="array" aca="1" ref="M19" ca="1">IFERROR(INDIRECT("QTTNCN!"&amp;ADDRESS(ROWS($A$1:$A23),MATCH(M$5,QTTNCN!$A$13:$AE$13,0))),"")</f>
        <v/>
      </c>
      <c r="N19" s="50">
        <f t="array" aca="1" ref="N19" ca="1">IFERROR(INDIRECT("QTTNCN!"&amp;ADDRESS(ROWS($A$1:$A23),MATCH(N$5,QTTNCN!$A$13:$AE$13,0))),"")</f>
        <v>0</v>
      </c>
      <c r="O19" s="50">
        <f t="array" aca="1" ref="O19" ca="1">IFERROR(INDIRECT("QTTNCN!"&amp;ADDRESS(ROWS($A$1:$A23),MATCH(O$5,QTTNCN!$A$13:$AE$13,0))),"")</f>
        <v>0</v>
      </c>
      <c r="P19" s="50" t="str">
        <f t="array" aca="1" ref="P19" ca="1">IFERROR(INDIRECT("QTTNCN!"&amp;ADDRESS(ROWS($A$1:$A23),MATCH(P$5,QTTNCN!$A$13:$AE$13,0))),"")</f>
        <v/>
      </c>
      <c r="Q19" s="50" t="str">
        <f t="array" aca="1" ref="Q19" ca="1">IFERROR(INDIRECT("QTTNCN!"&amp;ADDRESS(ROWS($A$1:$A23),MATCH(Q$5,QTTNCN!$A$13:$AE$13,0))),"")</f>
        <v/>
      </c>
      <c r="R19" s="50">
        <f t="array" aca="1" ref="R19" ca="1">IFERROR(INDIRECT("QTTNCN!"&amp;ADDRESS(ROWS($A$1:$A23),MATCH(R$5,QTTNCN!$A$13:$AE$13,0))),"")</f>
        <v>0</v>
      </c>
      <c r="S19" s="50">
        <f t="array" aca="1" ref="S19" ca="1">IFERROR(INDIRECT("QTTNCN!"&amp;ADDRESS(ROWS($A$1:$A23),MATCH(S$5,QTTNCN!$A$13:$AE$13,0))),"")</f>
        <v>0</v>
      </c>
      <c r="T19" s="50">
        <f t="array" aca="1" ref="T19" ca="1">IFERROR(INDIRECT("QTTNCN!"&amp;ADDRESS(ROWS($A$1:$A23),MATCH(T$5,QTTNCN!$A$13:$AE$13,0))),"")</f>
        <v>0</v>
      </c>
      <c r="U19" s="50">
        <f t="shared" ca="1" si="1"/>
        <v>1</v>
      </c>
    </row>
    <row r="20" spans="1:21" x14ac:dyDescent="0.45">
      <c r="A20" s="15">
        <f>ROWS($A$10:A20)</f>
        <v>11</v>
      </c>
      <c r="B20">
        <f ca="1">IF(QTTNCN!B24="","",QTTNCN!B24)</f>
        <v>0</v>
      </c>
      <c r="C20">
        <f ca="1">IF(QTTNCN!C24="","",QTTNCN!C24)</f>
        <v>0</v>
      </c>
      <c r="D20" t="str">
        <f ca="1">IF(QTTNCN!D24=0,"",QTTNCN!D24)</f>
        <v/>
      </c>
      <c r="E20" t="str">
        <f>IF(QTTNCN!F24="","",QTTNCN!F24)</f>
        <v>x</v>
      </c>
      <c r="F20" s="50">
        <f t="array" aca="1" ref="F20" ca="1">IFERROR(INDIRECT("QTTNCN!"&amp;ADDRESS(ROWS($A$1:$A24),MATCH(F$5,QTTNCN!$A$13:$AE$13,0))),"")</f>
        <v>0</v>
      </c>
      <c r="G20" s="50" t="str">
        <f t="array" aca="1" ref="G20" ca="1">IFERROR(INDIRECT("QTTNCN!"&amp;ADDRESS(ROWS($A$1:$A24),MATCH(G$5,QTTNCN!$A$13:$AE$13,0))),"")</f>
        <v/>
      </c>
      <c r="H20" s="50" t="str">
        <f t="array" aca="1" ref="H20" ca="1">IFERROR(INDIRECT("QTTNCN!"&amp;ADDRESS(ROWS($A$1:$A24),MATCH(H$5,QTTNCN!$A$13:$AE$13,0))),"")</f>
        <v/>
      </c>
      <c r="I20" s="50">
        <f t="array" aca="1" ref="I20" ca="1">IFERROR(INDIRECT("QTTNCN!"&amp;ADDRESS(ROWS($A$1:$A24),MATCH(I$5,QTTNCN!$A$13:$AE$13,0))),"")</f>
        <v>0</v>
      </c>
      <c r="J20" s="50">
        <f t="array" aca="1" ref="J20" ca="1">IFERROR(INDIRECT("QTTNCN!"&amp;ADDRESS(ROWS($A$1:$A24),MATCH(J$5,QTTNCN!$A$13:$AE$13,0))),"")</f>
        <v>132000000</v>
      </c>
      <c r="K20" s="50" t="str">
        <f t="array" aca="1" ref="K20" ca="1">IFERROR(INDIRECT("QTTNCN!"&amp;ADDRESS(ROWS($A$1:$A24),MATCH(K$5,QTTNCN!$A$13:$AE$13,0))),"")</f>
        <v/>
      </c>
      <c r="L20" s="50">
        <f t="array" aca="1" ref="L20" ca="1">IFERROR(INDIRECT("QTTNCN!"&amp;ADDRESS(ROWS($A$1:$A24),MATCH(L$5,QTTNCN!$A$13:$AE$13,0))),"")</f>
        <v>0</v>
      </c>
      <c r="M20" s="50" t="str">
        <f t="array" aca="1" ref="M20" ca="1">IFERROR(INDIRECT("QTTNCN!"&amp;ADDRESS(ROWS($A$1:$A24),MATCH(M$5,QTTNCN!$A$13:$AE$13,0))),"")</f>
        <v/>
      </c>
      <c r="N20" s="50">
        <f t="array" aca="1" ref="N20" ca="1">IFERROR(INDIRECT("QTTNCN!"&amp;ADDRESS(ROWS($A$1:$A24),MATCH(N$5,QTTNCN!$A$13:$AE$13,0))),"")</f>
        <v>0</v>
      </c>
      <c r="O20" s="50">
        <f t="array" aca="1" ref="O20" ca="1">IFERROR(INDIRECT("QTTNCN!"&amp;ADDRESS(ROWS($A$1:$A24),MATCH(O$5,QTTNCN!$A$13:$AE$13,0))),"")</f>
        <v>0</v>
      </c>
      <c r="P20" s="50" t="str">
        <f t="array" aca="1" ref="P20" ca="1">IFERROR(INDIRECT("QTTNCN!"&amp;ADDRESS(ROWS($A$1:$A24),MATCH(P$5,QTTNCN!$A$13:$AE$13,0))),"")</f>
        <v/>
      </c>
      <c r="Q20" s="50" t="str">
        <f t="array" aca="1" ref="Q20" ca="1">IFERROR(INDIRECT("QTTNCN!"&amp;ADDRESS(ROWS($A$1:$A24),MATCH(Q$5,QTTNCN!$A$13:$AE$13,0))),"")</f>
        <v/>
      </c>
      <c r="R20" s="50">
        <f t="array" aca="1" ref="R20" ca="1">IFERROR(INDIRECT("QTTNCN!"&amp;ADDRESS(ROWS($A$1:$A24),MATCH(R$5,QTTNCN!$A$13:$AE$13,0))),"")</f>
        <v>0</v>
      </c>
      <c r="S20" s="50">
        <f t="array" aca="1" ref="S20" ca="1">IFERROR(INDIRECT("QTTNCN!"&amp;ADDRESS(ROWS($A$1:$A24),MATCH(S$5,QTTNCN!$A$13:$AE$13,0))),"")</f>
        <v>0</v>
      </c>
      <c r="T20" s="50">
        <f t="array" aca="1" ref="T20" ca="1">IFERROR(INDIRECT("QTTNCN!"&amp;ADDRESS(ROWS($A$1:$A24),MATCH(T$5,QTTNCN!$A$13:$AE$13,0))),"")</f>
        <v>0</v>
      </c>
      <c r="U20" s="50">
        <f t="shared" ca="1" si="1"/>
        <v>1</v>
      </c>
    </row>
    <row r="21" spans="1:21" x14ac:dyDescent="0.45">
      <c r="A21" s="15">
        <f>ROWS($A$10:A21)</f>
        <v>12</v>
      </c>
      <c r="B21">
        <f ca="1">IF(QTTNCN!B25="","",QTTNCN!B25)</f>
        <v>0</v>
      </c>
      <c r="C21">
        <f ca="1">IF(QTTNCN!C25="","",QTTNCN!C25)</f>
        <v>0</v>
      </c>
      <c r="D21" t="str">
        <f ca="1">IF(QTTNCN!D25=0,"",QTTNCN!D25)</f>
        <v/>
      </c>
      <c r="E21" t="str">
        <f>IF(QTTNCN!F25="","",QTTNCN!F25)</f>
        <v>x</v>
      </c>
      <c r="F21" s="50">
        <f t="array" aca="1" ref="F21" ca="1">IFERROR(INDIRECT("QTTNCN!"&amp;ADDRESS(ROWS($A$1:$A25),MATCH(F$5,QTTNCN!$A$13:$AE$13,0))),"")</f>
        <v>0</v>
      </c>
      <c r="G21" s="50" t="str">
        <f t="array" aca="1" ref="G21" ca="1">IFERROR(INDIRECT("QTTNCN!"&amp;ADDRESS(ROWS($A$1:$A25),MATCH(G$5,QTTNCN!$A$13:$AE$13,0))),"")</f>
        <v/>
      </c>
      <c r="H21" s="50" t="str">
        <f t="array" aca="1" ref="H21" ca="1">IFERROR(INDIRECT("QTTNCN!"&amp;ADDRESS(ROWS($A$1:$A25),MATCH(H$5,QTTNCN!$A$13:$AE$13,0))),"")</f>
        <v/>
      </c>
      <c r="I21" s="50">
        <f t="array" aca="1" ref="I21" ca="1">IFERROR(INDIRECT("QTTNCN!"&amp;ADDRESS(ROWS($A$1:$A25),MATCH(I$5,QTTNCN!$A$13:$AE$13,0))),"")</f>
        <v>0</v>
      </c>
      <c r="J21" s="50">
        <f t="array" aca="1" ref="J21" ca="1">IFERROR(INDIRECT("QTTNCN!"&amp;ADDRESS(ROWS($A$1:$A25),MATCH(J$5,QTTNCN!$A$13:$AE$13,0))),"")</f>
        <v>132000000</v>
      </c>
      <c r="K21" s="50" t="str">
        <f t="array" aca="1" ref="K21" ca="1">IFERROR(INDIRECT("QTTNCN!"&amp;ADDRESS(ROWS($A$1:$A25),MATCH(K$5,QTTNCN!$A$13:$AE$13,0))),"")</f>
        <v/>
      </c>
      <c r="L21" s="50">
        <f t="array" aca="1" ref="L21" ca="1">IFERROR(INDIRECT("QTTNCN!"&amp;ADDRESS(ROWS($A$1:$A25),MATCH(L$5,QTTNCN!$A$13:$AE$13,0))),"")</f>
        <v>0</v>
      </c>
      <c r="M21" s="50" t="str">
        <f t="array" aca="1" ref="M21" ca="1">IFERROR(INDIRECT("QTTNCN!"&amp;ADDRESS(ROWS($A$1:$A25),MATCH(M$5,QTTNCN!$A$13:$AE$13,0))),"")</f>
        <v/>
      </c>
      <c r="N21" s="50">
        <f t="array" aca="1" ref="N21" ca="1">IFERROR(INDIRECT("QTTNCN!"&amp;ADDRESS(ROWS($A$1:$A25),MATCH(N$5,QTTNCN!$A$13:$AE$13,0))),"")</f>
        <v>0</v>
      </c>
      <c r="O21" s="50">
        <f t="array" aca="1" ref="O21" ca="1">IFERROR(INDIRECT("QTTNCN!"&amp;ADDRESS(ROWS($A$1:$A25),MATCH(O$5,QTTNCN!$A$13:$AE$13,0))),"")</f>
        <v>0</v>
      </c>
      <c r="P21" s="50" t="str">
        <f t="array" aca="1" ref="P21" ca="1">IFERROR(INDIRECT("QTTNCN!"&amp;ADDRESS(ROWS($A$1:$A25),MATCH(P$5,QTTNCN!$A$13:$AE$13,0))),"")</f>
        <v/>
      </c>
      <c r="Q21" s="50" t="str">
        <f t="array" aca="1" ref="Q21" ca="1">IFERROR(INDIRECT("QTTNCN!"&amp;ADDRESS(ROWS($A$1:$A25),MATCH(Q$5,QTTNCN!$A$13:$AE$13,0))),"")</f>
        <v/>
      </c>
      <c r="R21" s="50">
        <f t="array" aca="1" ref="R21" ca="1">IFERROR(INDIRECT("QTTNCN!"&amp;ADDRESS(ROWS($A$1:$A25),MATCH(R$5,QTTNCN!$A$13:$AE$13,0))),"")</f>
        <v>0</v>
      </c>
      <c r="S21" s="50">
        <f t="array" aca="1" ref="S21" ca="1">IFERROR(INDIRECT("QTTNCN!"&amp;ADDRESS(ROWS($A$1:$A25),MATCH(S$5,QTTNCN!$A$13:$AE$13,0))),"")</f>
        <v>0</v>
      </c>
      <c r="T21" s="50">
        <f t="array" aca="1" ref="T21" ca="1">IFERROR(INDIRECT("QTTNCN!"&amp;ADDRESS(ROWS($A$1:$A25),MATCH(T$5,QTTNCN!$A$13:$AE$13,0))),"")</f>
        <v>0</v>
      </c>
      <c r="U21" s="50">
        <f t="shared" ca="1" si="1"/>
        <v>1</v>
      </c>
    </row>
    <row r="22" spans="1:21" x14ac:dyDescent="0.45">
      <c r="A22" s="15">
        <f>ROWS($A$10:A22)</f>
        <v>13</v>
      </c>
      <c r="B22">
        <f ca="1">IF(QTTNCN!B26="","",QTTNCN!B26)</f>
        <v>0</v>
      </c>
      <c r="C22">
        <f ca="1">IF(QTTNCN!C26="","",QTTNCN!C26)</f>
        <v>0</v>
      </c>
      <c r="D22" t="str">
        <f ca="1">IF(QTTNCN!D26=0,"",QTTNCN!D26)</f>
        <v/>
      </c>
      <c r="E22" t="str">
        <f>IF(QTTNCN!F26="","",QTTNCN!F26)</f>
        <v>x</v>
      </c>
      <c r="F22" s="50">
        <f t="array" aca="1" ref="F22" ca="1">IFERROR(INDIRECT("QTTNCN!"&amp;ADDRESS(ROWS($A$1:$A26),MATCH(F$5,QTTNCN!$A$13:$AE$13,0))),"")</f>
        <v>0</v>
      </c>
      <c r="G22" s="50" t="str">
        <f t="array" aca="1" ref="G22" ca="1">IFERROR(INDIRECT("QTTNCN!"&amp;ADDRESS(ROWS($A$1:$A26),MATCH(G$5,QTTNCN!$A$13:$AE$13,0))),"")</f>
        <v/>
      </c>
      <c r="H22" s="50" t="str">
        <f t="array" aca="1" ref="H22" ca="1">IFERROR(INDIRECT("QTTNCN!"&amp;ADDRESS(ROWS($A$1:$A26),MATCH(H$5,QTTNCN!$A$13:$AE$13,0))),"")</f>
        <v/>
      </c>
      <c r="I22" s="50">
        <f t="array" aca="1" ref="I22" ca="1">IFERROR(INDIRECT("QTTNCN!"&amp;ADDRESS(ROWS($A$1:$A26),MATCH(I$5,QTTNCN!$A$13:$AE$13,0))),"")</f>
        <v>0</v>
      </c>
      <c r="J22" s="50">
        <f t="array" aca="1" ref="J22" ca="1">IFERROR(INDIRECT("QTTNCN!"&amp;ADDRESS(ROWS($A$1:$A26),MATCH(J$5,QTTNCN!$A$13:$AE$13,0))),"")</f>
        <v>132000000</v>
      </c>
      <c r="K22" s="50" t="str">
        <f t="array" aca="1" ref="K22" ca="1">IFERROR(INDIRECT("QTTNCN!"&amp;ADDRESS(ROWS($A$1:$A26),MATCH(K$5,QTTNCN!$A$13:$AE$13,0))),"")</f>
        <v/>
      </c>
      <c r="L22" s="50">
        <f t="array" aca="1" ref="L22" ca="1">IFERROR(INDIRECT("QTTNCN!"&amp;ADDRESS(ROWS($A$1:$A26),MATCH(L$5,QTTNCN!$A$13:$AE$13,0))),"")</f>
        <v>0</v>
      </c>
      <c r="M22" s="50" t="str">
        <f t="array" aca="1" ref="M22" ca="1">IFERROR(INDIRECT("QTTNCN!"&amp;ADDRESS(ROWS($A$1:$A26),MATCH(M$5,QTTNCN!$A$13:$AE$13,0))),"")</f>
        <v/>
      </c>
      <c r="N22" s="50">
        <f t="array" aca="1" ref="N22" ca="1">IFERROR(INDIRECT("QTTNCN!"&amp;ADDRESS(ROWS($A$1:$A26),MATCH(N$5,QTTNCN!$A$13:$AE$13,0))),"")</f>
        <v>0</v>
      </c>
      <c r="O22" s="50">
        <f t="array" aca="1" ref="O22" ca="1">IFERROR(INDIRECT("QTTNCN!"&amp;ADDRESS(ROWS($A$1:$A26),MATCH(O$5,QTTNCN!$A$13:$AE$13,0))),"")</f>
        <v>0</v>
      </c>
      <c r="P22" s="50" t="str">
        <f t="array" aca="1" ref="P22" ca="1">IFERROR(INDIRECT("QTTNCN!"&amp;ADDRESS(ROWS($A$1:$A26),MATCH(P$5,QTTNCN!$A$13:$AE$13,0))),"")</f>
        <v/>
      </c>
      <c r="Q22" s="50" t="str">
        <f t="array" aca="1" ref="Q22" ca="1">IFERROR(INDIRECT("QTTNCN!"&amp;ADDRESS(ROWS($A$1:$A26),MATCH(Q$5,QTTNCN!$A$13:$AE$13,0))),"")</f>
        <v/>
      </c>
      <c r="R22" s="50">
        <f t="array" aca="1" ref="R22" ca="1">IFERROR(INDIRECT("QTTNCN!"&amp;ADDRESS(ROWS($A$1:$A26),MATCH(R$5,QTTNCN!$A$13:$AE$13,0))),"")</f>
        <v>0</v>
      </c>
      <c r="S22" s="50">
        <f t="array" aca="1" ref="S22" ca="1">IFERROR(INDIRECT("QTTNCN!"&amp;ADDRESS(ROWS($A$1:$A26),MATCH(S$5,QTTNCN!$A$13:$AE$13,0))),"")</f>
        <v>0</v>
      </c>
      <c r="T22" s="50">
        <f t="array" aca="1" ref="T22" ca="1">IFERROR(INDIRECT("QTTNCN!"&amp;ADDRESS(ROWS($A$1:$A26),MATCH(T$5,QTTNCN!$A$13:$AE$13,0))),"")</f>
        <v>0</v>
      </c>
      <c r="U22" s="50">
        <f t="shared" ca="1" si="1"/>
        <v>1</v>
      </c>
    </row>
    <row r="23" spans="1:21" x14ac:dyDescent="0.45">
      <c r="A23" s="15">
        <f>ROWS($A$10:A23)</f>
        <v>14</v>
      </c>
      <c r="B23">
        <f ca="1">IF(QTTNCN!B27="","",QTTNCN!B27)</f>
        <v>0</v>
      </c>
      <c r="C23">
        <f ca="1">IF(QTTNCN!C27="","",QTTNCN!C27)</f>
        <v>0</v>
      </c>
      <c r="D23" t="str">
        <f ca="1">IF(QTTNCN!D27=0,"",QTTNCN!D27)</f>
        <v/>
      </c>
      <c r="E23" t="str">
        <f>IF(QTTNCN!F27="","",QTTNCN!F27)</f>
        <v>x</v>
      </c>
      <c r="F23" s="50">
        <f t="array" aca="1" ref="F23" ca="1">IFERROR(INDIRECT("QTTNCN!"&amp;ADDRESS(ROWS($A$1:$A27),MATCH(F$5,QTTNCN!$A$13:$AE$13,0))),"")</f>
        <v>0</v>
      </c>
      <c r="G23" s="50" t="str">
        <f t="array" aca="1" ref="G23" ca="1">IFERROR(INDIRECT("QTTNCN!"&amp;ADDRESS(ROWS($A$1:$A27),MATCH(G$5,QTTNCN!$A$13:$AE$13,0))),"")</f>
        <v/>
      </c>
      <c r="H23" s="50" t="str">
        <f t="array" aca="1" ref="H23" ca="1">IFERROR(INDIRECT("QTTNCN!"&amp;ADDRESS(ROWS($A$1:$A27),MATCH(H$5,QTTNCN!$A$13:$AE$13,0))),"")</f>
        <v/>
      </c>
      <c r="I23" s="50">
        <f t="array" aca="1" ref="I23" ca="1">IFERROR(INDIRECT("QTTNCN!"&amp;ADDRESS(ROWS($A$1:$A27),MATCH(I$5,QTTNCN!$A$13:$AE$13,0))),"")</f>
        <v>0</v>
      </c>
      <c r="J23" s="50">
        <f t="array" aca="1" ref="J23" ca="1">IFERROR(INDIRECT("QTTNCN!"&amp;ADDRESS(ROWS($A$1:$A27),MATCH(J$5,QTTNCN!$A$13:$AE$13,0))),"")</f>
        <v>132000000</v>
      </c>
      <c r="K23" s="50" t="str">
        <f t="array" aca="1" ref="K23" ca="1">IFERROR(INDIRECT("QTTNCN!"&amp;ADDRESS(ROWS($A$1:$A27),MATCH(K$5,QTTNCN!$A$13:$AE$13,0))),"")</f>
        <v/>
      </c>
      <c r="L23" s="50">
        <f t="array" aca="1" ref="L23" ca="1">IFERROR(INDIRECT("QTTNCN!"&amp;ADDRESS(ROWS($A$1:$A27),MATCH(L$5,QTTNCN!$A$13:$AE$13,0))),"")</f>
        <v>0</v>
      </c>
      <c r="M23" s="50" t="str">
        <f t="array" aca="1" ref="M23" ca="1">IFERROR(INDIRECT("QTTNCN!"&amp;ADDRESS(ROWS($A$1:$A27),MATCH(M$5,QTTNCN!$A$13:$AE$13,0))),"")</f>
        <v/>
      </c>
      <c r="N23" s="50">
        <f t="array" aca="1" ref="N23" ca="1">IFERROR(INDIRECT("QTTNCN!"&amp;ADDRESS(ROWS($A$1:$A27),MATCH(N$5,QTTNCN!$A$13:$AE$13,0))),"")</f>
        <v>0</v>
      </c>
      <c r="O23" s="50">
        <f t="array" aca="1" ref="O23" ca="1">IFERROR(INDIRECT("QTTNCN!"&amp;ADDRESS(ROWS($A$1:$A27),MATCH(O$5,QTTNCN!$A$13:$AE$13,0))),"")</f>
        <v>0</v>
      </c>
      <c r="P23" s="50" t="str">
        <f t="array" aca="1" ref="P23" ca="1">IFERROR(INDIRECT("QTTNCN!"&amp;ADDRESS(ROWS($A$1:$A27),MATCH(P$5,QTTNCN!$A$13:$AE$13,0))),"")</f>
        <v/>
      </c>
      <c r="Q23" s="50" t="str">
        <f t="array" aca="1" ref="Q23" ca="1">IFERROR(INDIRECT("QTTNCN!"&amp;ADDRESS(ROWS($A$1:$A27),MATCH(Q$5,QTTNCN!$A$13:$AE$13,0))),"")</f>
        <v/>
      </c>
      <c r="R23" s="50">
        <f t="array" aca="1" ref="R23" ca="1">IFERROR(INDIRECT("QTTNCN!"&amp;ADDRESS(ROWS($A$1:$A27),MATCH(R$5,QTTNCN!$A$13:$AE$13,0))),"")</f>
        <v>0</v>
      </c>
      <c r="S23" s="50">
        <f t="array" aca="1" ref="S23" ca="1">IFERROR(INDIRECT("QTTNCN!"&amp;ADDRESS(ROWS($A$1:$A27),MATCH(S$5,QTTNCN!$A$13:$AE$13,0))),"")</f>
        <v>0</v>
      </c>
      <c r="T23" s="50">
        <f t="array" aca="1" ref="T23" ca="1">IFERROR(INDIRECT("QTTNCN!"&amp;ADDRESS(ROWS($A$1:$A27),MATCH(T$5,QTTNCN!$A$13:$AE$13,0))),"")</f>
        <v>0</v>
      </c>
      <c r="U23" s="50">
        <f t="shared" ca="1" si="1"/>
        <v>1</v>
      </c>
    </row>
    <row r="24" spans="1:21" x14ac:dyDescent="0.45">
      <c r="A24" s="15">
        <f>ROWS($A$10:A24)</f>
        <v>15</v>
      </c>
      <c r="B24">
        <f ca="1">IF(QTTNCN!B28="","",QTTNCN!B28)</f>
        <v>0</v>
      </c>
      <c r="C24">
        <f ca="1">IF(QTTNCN!C28="","",QTTNCN!C28)</f>
        <v>0</v>
      </c>
      <c r="D24" t="str">
        <f ca="1">IF(QTTNCN!D28=0,"",QTTNCN!D28)</f>
        <v/>
      </c>
      <c r="E24" t="str">
        <f>IF(QTTNCN!F28="","",QTTNCN!F28)</f>
        <v>x</v>
      </c>
      <c r="F24" s="50">
        <f t="array" aca="1" ref="F24" ca="1">IFERROR(INDIRECT("QTTNCN!"&amp;ADDRESS(ROWS($A$1:$A28),MATCH(F$5,QTTNCN!$A$13:$AE$13,0))),"")</f>
        <v>0</v>
      </c>
      <c r="G24" s="50" t="str">
        <f t="array" aca="1" ref="G24" ca="1">IFERROR(INDIRECT("QTTNCN!"&amp;ADDRESS(ROWS($A$1:$A28),MATCH(G$5,QTTNCN!$A$13:$AE$13,0))),"")</f>
        <v/>
      </c>
      <c r="H24" s="50" t="str">
        <f t="array" aca="1" ref="H24" ca="1">IFERROR(INDIRECT("QTTNCN!"&amp;ADDRESS(ROWS($A$1:$A28),MATCH(H$5,QTTNCN!$A$13:$AE$13,0))),"")</f>
        <v/>
      </c>
      <c r="I24" s="50">
        <f t="array" aca="1" ref="I24" ca="1">IFERROR(INDIRECT("QTTNCN!"&amp;ADDRESS(ROWS($A$1:$A28),MATCH(I$5,QTTNCN!$A$13:$AE$13,0))),"")</f>
        <v>0</v>
      </c>
      <c r="J24" s="50">
        <f t="array" aca="1" ref="J24" ca="1">IFERROR(INDIRECT("QTTNCN!"&amp;ADDRESS(ROWS($A$1:$A28),MATCH(J$5,QTTNCN!$A$13:$AE$13,0))),"")</f>
        <v>132000000</v>
      </c>
      <c r="K24" s="50" t="str">
        <f t="array" aca="1" ref="K24" ca="1">IFERROR(INDIRECT("QTTNCN!"&amp;ADDRESS(ROWS($A$1:$A28),MATCH(K$5,QTTNCN!$A$13:$AE$13,0))),"")</f>
        <v/>
      </c>
      <c r="L24" s="50">
        <f t="array" aca="1" ref="L24" ca="1">IFERROR(INDIRECT("QTTNCN!"&amp;ADDRESS(ROWS($A$1:$A28),MATCH(L$5,QTTNCN!$A$13:$AE$13,0))),"")</f>
        <v>0</v>
      </c>
      <c r="M24" s="50" t="str">
        <f t="array" aca="1" ref="M24" ca="1">IFERROR(INDIRECT("QTTNCN!"&amp;ADDRESS(ROWS($A$1:$A28),MATCH(M$5,QTTNCN!$A$13:$AE$13,0))),"")</f>
        <v/>
      </c>
      <c r="N24" s="50">
        <f t="array" aca="1" ref="N24" ca="1">IFERROR(INDIRECT("QTTNCN!"&amp;ADDRESS(ROWS($A$1:$A28),MATCH(N$5,QTTNCN!$A$13:$AE$13,0))),"")</f>
        <v>0</v>
      </c>
      <c r="O24" s="50">
        <f t="array" aca="1" ref="O24" ca="1">IFERROR(INDIRECT("QTTNCN!"&amp;ADDRESS(ROWS($A$1:$A28),MATCH(O$5,QTTNCN!$A$13:$AE$13,0))),"")</f>
        <v>0</v>
      </c>
      <c r="P24" s="50" t="str">
        <f t="array" aca="1" ref="P24" ca="1">IFERROR(INDIRECT("QTTNCN!"&amp;ADDRESS(ROWS($A$1:$A28),MATCH(P$5,QTTNCN!$A$13:$AE$13,0))),"")</f>
        <v/>
      </c>
      <c r="Q24" s="50" t="str">
        <f t="array" aca="1" ref="Q24" ca="1">IFERROR(INDIRECT("QTTNCN!"&amp;ADDRESS(ROWS($A$1:$A28),MATCH(Q$5,QTTNCN!$A$13:$AE$13,0))),"")</f>
        <v/>
      </c>
      <c r="R24" s="50">
        <f t="array" aca="1" ref="R24" ca="1">IFERROR(INDIRECT("QTTNCN!"&amp;ADDRESS(ROWS($A$1:$A28),MATCH(R$5,QTTNCN!$A$13:$AE$13,0))),"")</f>
        <v>0</v>
      </c>
      <c r="S24" s="50">
        <f t="array" aca="1" ref="S24" ca="1">IFERROR(INDIRECT("QTTNCN!"&amp;ADDRESS(ROWS($A$1:$A28),MATCH(S$5,QTTNCN!$A$13:$AE$13,0))),"")</f>
        <v>0</v>
      </c>
      <c r="T24" s="50">
        <f t="array" aca="1" ref="T24" ca="1">IFERROR(INDIRECT("QTTNCN!"&amp;ADDRESS(ROWS($A$1:$A28),MATCH(T$5,QTTNCN!$A$13:$AE$13,0))),"")</f>
        <v>0</v>
      </c>
      <c r="U24" s="50">
        <f t="shared" ca="1" si="1"/>
        <v>1</v>
      </c>
    </row>
    <row r="25" spans="1:21" x14ac:dyDescent="0.45">
      <c r="A25" s="15">
        <f>ROWS($A$10:A25)</f>
        <v>16</v>
      </c>
      <c r="B25">
        <f ca="1">IF(QTTNCN!B29="","",QTTNCN!B29)</f>
        <v>0</v>
      </c>
      <c r="C25">
        <f ca="1">IF(QTTNCN!C29="","",QTTNCN!C29)</f>
        <v>0</v>
      </c>
      <c r="E25" t="str">
        <f>IF(QTTNCN!F29="","",QTTNCN!F29)</f>
        <v>x</v>
      </c>
      <c r="F25" s="50">
        <f t="array" aca="1" ref="F25" ca="1">IFERROR(INDIRECT("QTTNCN!"&amp;ADDRESS(ROWS($A$1:$A29),MATCH(F$5,QTTNCN!$A$13:$AE$13,0))),"")</f>
        <v>0</v>
      </c>
      <c r="G25" s="50" t="str">
        <f t="array" aca="1" ref="G25" ca="1">IFERROR(INDIRECT("QTTNCN!"&amp;ADDRESS(ROWS($A$1:$A29),MATCH(G$5,QTTNCN!$A$13:$AE$13,0))),"")</f>
        <v/>
      </c>
      <c r="H25" s="50" t="str">
        <f t="array" aca="1" ref="H25" ca="1">IFERROR(INDIRECT("QTTNCN!"&amp;ADDRESS(ROWS($A$1:$A29),MATCH(H$5,QTTNCN!$A$13:$AE$13,0))),"")</f>
        <v/>
      </c>
      <c r="I25" s="50">
        <f t="array" aca="1" ref="I25" ca="1">IFERROR(INDIRECT("QTTNCN!"&amp;ADDRESS(ROWS($A$1:$A29),MATCH(I$5,QTTNCN!$A$13:$AE$13,0))),"")</f>
        <v>0</v>
      </c>
      <c r="J25" s="50">
        <f t="array" aca="1" ref="J25" ca="1">IFERROR(INDIRECT("QTTNCN!"&amp;ADDRESS(ROWS($A$1:$A29),MATCH(J$5,QTTNCN!$A$13:$AE$13,0))),"")</f>
        <v>132000000</v>
      </c>
      <c r="K25" s="50" t="str">
        <f t="array" aca="1" ref="K25" ca="1">IFERROR(INDIRECT("QTTNCN!"&amp;ADDRESS(ROWS($A$1:$A29),MATCH(K$5,QTTNCN!$A$13:$AE$13,0))),"")</f>
        <v/>
      </c>
      <c r="L25" s="50">
        <f t="array" aca="1" ref="L25" ca="1">IFERROR(INDIRECT("QTTNCN!"&amp;ADDRESS(ROWS($A$1:$A29),MATCH(L$5,QTTNCN!$A$13:$AE$13,0))),"")</f>
        <v>0</v>
      </c>
      <c r="M25" s="50" t="str">
        <f t="array" aca="1" ref="M25" ca="1">IFERROR(INDIRECT("QTTNCN!"&amp;ADDRESS(ROWS($A$1:$A29),MATCH(M$5,QTTNCN!$A$13:$AE$13,0))),"")</f>
        <v/>
      </c>
      <c r="N25" s="50">
        <f t="array" aca="1" ref="N25" ca="1">IFERROR(INDIRECT("QTTNCN!"&amp;ADDRESS(ROWS($A$1:$A29),MATCH(N$5,QTTNCN!$A$13:$AE$13,0))),"")</f>
        <v>0</v>
      </c>
      <c r="O25" s="50">
        <f t="array" aca="1" ref="O25" ca="1">IFERROR(INDIRECT("QTTNCN!"&amp;ADDRESS(ROWS($A$1:$A29),MATCH(O$5,QTTNCN!$A$13:$AE$13,0))),"")</f>
        <v>0</v>
      </c>
      <c r="P25" s="50" t="str">
        <f t="array" aca="1" ref="P25" ca="1">IFERROR(INDIRECT("QTTNCN!"&amp;ADDRESS(ROWS($A$1:$A29),MATCH(P$5,QTTNCN!$A$13:$AE$13,0))),"")</f>
        <v/>
      </c>
      <c r="Q25" s="50" t="str">
        <f t="array" aca="1" ref="Q25" ca="1">IFERROR(INDIRECT("QTTNCN!"&amp;ADDRESS(ROWS($A$1:$A29),MATCH(Q$5,QTTNCN!$A$13:$AE$13,0))),"")</f>
        <v/>
      </c>
      <c r="R25" s="50">
        <f t="array" aca="1" ref="R25" ca="1">IFERROR(INDIRECT("QTTNCN!"&amp;ADDRESS(ROWS($A$1:$A29),MATCH(R$5,QTTNCN!$A$13:$AE$13,0))),"")</f>
        <v>0</v>
      </c>
      <c r="S25" s="50">
        <f t="array" aca="1" ref="S25" ca="1">IFERROR(INDIRECT("QTTNCN!"&amp;ADDRESS(ROWS($A$1:$A29),MATCH(S$5,QTTNCN!$A$13:$AE$13,0))),"")</f>
        <v>0</v>
      </c>
      <c r="T25" s="50">
        <f t="array" aca="1" ref="T25" ca="1">IFERROR(INDIRECT("QTTNCN!"&amp;ADDRESS(ROWS($A$1:$A29),MATCH(T$5,QTTNCN!$A$13:$AE$13,0))),"")</f>
        <v>0</v>
      </c>
      <c r="U25" s="50">
        <f t="shared" ca="1" si="1"/>
        <v>1</v>
      </c>
    </row>
    <row r="26" spans="1:21" x14ac:dyDescent="0.45">
      <c r="A26" s="15">
        <f>ROWS($A$10:A26)</f>
        <v>17</v>
      </c>
      <c r="B26">
        <f ca="1">IF(QTTNCN!B30="","",QTTNCN!B30)</f>
        <v>0</v>
      </c>
      <c r="C26">
        <f ca="1">IF(QTTNCN!C30="","",QTTNCN!C30)</f>
        <v>0</v>
      </c>
      <c r="E26" t="str">
        <f>IF(QTTNCN!F30="","",QTTNCN!F30)</f>
        <v/>
      </c>
      <c r="F26" s="50">
        <f t="array" aca="1" ref="F26" ca="1">IFERROR(INDIRECT("QTTNCN!"&amp;ADDRESS(ROWS($A$1:$A30),MATCH(F$5,QTTNCN!$A$13:$AE$13,0))),"")</f>
        <v>0</v>
      </c>
      <c r="G26" s="50" t="str">
        <f t="array" aca="1" ref="G26" ca="1">IFERROR(INDIRECT("QTTNCN!"&amp;ADDRESS(ROWS($A$1:$A30),MATCH(G$5,QTTNCN!$A$13:$AE$13,0))),"")</f>
        <v/>
      </c>
      <c r="H26" s="50" t="str">
        <f t="array" aca="1" ref="H26" ca="1">IFERROR(INDIRECT("QTTNCN!"&amp;ADDRESS(ROWS($A$1:$A30),MATCH(H$5,QTTNCN!$A$13:$AE$13,0))),"")</f>
        <v/>
      </c>
      <c r="I26" s="50">
        <f t="array" aca="1" ref="I26" ca="1">IFERROR(INDIRECT("QTTNCN!"&amp;ADDRESS(ROWS($A$1:$A30),MATCH(I$5,QTTNCN!$A$13:$AE$13,0))),"")</f>
        <v>0</v>
      </c>
      <c r="J26" s="50">
        <f t="array" aca="1" ref="J26" ca="1">IFERROR(INDIRECT("QTTNCN!"&amp;ADDRESS(ROWS($A$1:$A30),MATCH(J$5,QTTNCN!$A$13:$AE$13,0))),"")</f>
        <v>0</v>
      </c>
      <c r="K26" s="50" t="str">
        <f t="array" aca="1" ref="K26" ca="1">IFERROR(INDIRECT("QTTNCN!"&amp;ADDRESS(ROWS($A$1:$A30),MATCH(K$5,QTTNCN!$A$13:$AE$13,0))),"")</f>
        <v/>
      </c>
      <c r="L26" s="50">
        <f t="array" aca="1" ref="L26" ca="1">IFERROR(INDIRECT("QTTNCN!"&amp;ADDRESS(ROWS($A$1:$A30),MATCH(L$5,QTTNCN!$A$13:$AE$13,0))),"")</f>
        <v>0</v>
      </c>
      <c r="M26" s="50" t="str">
        <f t="array" aca="1" ref="M26" ca="1">IFERROR(INDIRECT("QTTNCN!"&amp;ADDRESS(ROWS($A$1:$A30),MATCH(M$5,QTTNCN!$A$13:$AE$13,0))),"")</f>
        <v/>
      </c>
      <c r="N26" s="50">
        <f t="array" aca="1" ref="N26" ca="1">IFERROR(INDIRECT("QTTNCN!"&amp;ADDRESS(ROWS($A$1:$A30),MATCH(N$5,QTTNCN!$A$13:$AE$13,0))),"")</f>
        <v>0</v>
      </c>
      <c r="O26" s="50">
        <f t="array" aca="1" ref="O26" ca="1">IFERROR(INDIRECT("QTTNCN!"&amp;ADDRESS(ROWS($A$1:$A30),MATCH(O$5,QTTNCN!$A$13:$AE$13,0))),"")</f>
        <v>0</v>
      </c>
      <c r="P26" s="50" t="str">
        <f t="array" aca="1" ref="P26" ca="1">IFERROR(INDIRECT("QTTNCN!"&amp;ADDRESS(ROWS($A$1:$A30),MATCH(P$5,QTTNCN!$A$13:$AE$13,0))),"")</f>
        <v/>
      </c>
      <c r="Q26" s="50" t="str">
        <f t="array" aca="1" ref="Q26" ca="1">IFERROR(INDIRECT("QTTNCN!"&amp;ADDRESS(ROWS($A$1:$A30),MATCH(Q$5,QTTNCN!$A$13:$AE$13,0))),"")</f>
        <v/>
      </c>
      <c r="R26" s="50">
        <f t="array" aca="1" ref="R26" ca="1">IFERROR(INDIRECT("QTTNCN!"&amp;ADDRESS(ROWS($A$1:$A30),MATCH(R$5,QTTNCN!$A$13:$AE$13,0))),"")</f>
        <v>0</v>
      </c>
      <c r="S26" s="50">
        <f t="array" aca="1" ref="S26" ca="1">IFERROR(INDIRECT("QTTNCN!"&amp;ADDRESS(ROWS($A$1:$A30),MATCH(S$5,QTTNCN!$A$13:$AE$13,0))),"")</f>
        <v>0</v>
      </c>
      <c r="T26" s="50">
        <f t="array" aca="1" ref="T26" ca="1">IFERROR(INDIRECT("QTTNCN!"&amp;ADDRESS(ROWS($A$1:$A30),MATCH(T$5,QTTNCN!$A$13:$AE$13,0))),"")</f>
        <v>0</v>
      </c>
      <c r="U26" s="50">
        <f t="shared" ref="U26:U35" ca="1" si="2">LEN(B26)</f>
        <v>1</v>
      </c>
    </row>
    <row r="27" spans="1:21" x14ac:dyDescent="0.45">
      <c r="A27" s="15">
        <f>ROWS($A$10:A27)</f>
        <v>18</v>
      </c>
      <c r="B27">
        <f ca="1">IF(QTTNCN!B31="","",QTTNCN!B31)</f>
        <v>0</v>
      </c>
      <c r="C27">
        <f ca="1">IF(QTTNCN!C31="","",QTTNCN!C31)</f>
        <v>0</v>
      </c>
      <c r="E27" t="str">
        <f>IF(QTTNCN!F31="","",QTTNCN!F31)</f>
        <v/>
      </c>
      <c r="F27" s="50">
        <f t="array" aca="1" ref="F27" ca="1">IFERROR(INDIRECT("QTTNCN!"&amp;ADDRESS(ROWS($A$1:$A31),MATCH(F$5,QTTNCN!$A$13:$AE$13,0))),"")</f>
        <v>0</v>
      </c>
      <c r="G27" s="50" t="str">
        <f t="array" aca="1" ref="G27" ca="1">IFERROR(INDIRECT("QTTNCN!"&amp;ADDRESS(ROWS($A$1:$A31),MATCH(G$5,QTTNCN!$A$13:$AE$13,0))),"")</f>
        <v/>
      </c>
      <c r="H27" s="50" t="str">
        <f t="array" aca="1" ref="H27" ca="1">IFERROR(INDIRECT("QTTNCN!"&amp;ADDRESS(ROWS($A$1:$A31),MATCH(H$5,QTTNCN!$A$13:$AE$13,0))),"")</f>
        <v/>
      </c>
      <c r="I27" s="50">
        <f t="array" aca="1" ref="I27" ca="1">IFERROR(INDIRECT("QTTNCN!"&amp;ADDRESS(ROWS($A$1:$A31),MATCH(I$5,QTTNCN!$A$13:$AE$13,0))),"")</f>
        <v>0</v>
      </c>
      <c r="J27" s="50">
        <f t="array" aca="1" ref="J27" ca="1">IFERROR(INDIRECT("QTTNCN!"&amp;ADDRESS(ROWS($A$1:$A31),MATCH(J$5,QTTNCN!$A$13:$AE$13,0))),"")</f>
        <v>0</v>
      </c>
      <c r="K27" s="50" t="str">
        <f t="array" aca="1" ref="K27" ca="1">IFERROR(INDIRECT("QTTNCN!"&amp;ADDRESS(ROWS($A$1:$A31),MATCH(K$5,QTTNCN!$A$13:$AE$13,0))),"")</f>
        <v/>
      </c>
      <c r="L27" s="50">
        <f t="array" aca="1" ref="L27" ca="1">IFERROR(INDIRECT("QTTNCN!"&amp;ADDRESS(ROWS($A$1:$A31),MATCH(L$5,QTTNCN!$A$13:$AE$13,0))),"")</f>
        <v>0</v>
      </c>
      <c r="M27" s="50" t="str">
        <f t="array" aca="1" ref="M27" ca="1">IFERROR(INDIRECT("QTTNCN!"&amp;ADDRESS(ROWS($A$1:$A31),MATCH(M$5,QTTNCN!$A$13:$AE$13,0))),"")</f>
        <v/>
      </c>
      <c r="N27" s="50">
        <f t="array" aca="1" ref="N27" ca="1">IFERROR(INDIRECT("QTTNCN!"&amp;ADDRESS(ROWS($A$1:$A31),MATCH(N$5,QTTNCN!$A$13:$AE$13,0))),"")</f>
        <v>0</v>
      </c>
      <c r="O27" s="50">
        <f t="array" aca="1" ref="O27" ca="1">IFERROR(INDIRECT("QTTNCN!"&amp;ADDRESS(ROWS($A$1:$A31),MATCH(O$5,QTTNCN!$A$13:$AE$13,0))),"")</f>
        <v>0</v>
      </c>
      <c r="P27" s="50" t="str">
        <f t="array" aca="1" ref="P27" ca="1">IFERROR(INDIRECT("QTTNCN!"&amp;ADDRESS(ROWS($A$1:$A31),MATCH(P$5,QTTNCN!$A$13:$AE$13,0))),"")</f>
        <v/>
      </c>
      <c r="Q27" s="50" t="str">
        <f t="array" aca="1" ref="Q27" ca="1">IFERROR(INDIRECT("QTTNCN!"&amp;ADDRESS(ROWS($A$1:$A31),MATCH(Q$5,QTTNCN!$A$13:$AE$13,0))),"")</f>
        <v/>
      </c>
      <c r="R27" s="50">
        <f t="array" aca="1" ref="R27" ca="1">IFERROR(INDIRECT("QTTNCN!"&amp;ADDRESS(ROWS($A$1:$A31),MATCH(R$5,QTTNCN!$A$13:$AE$13,0))),"")</f>
        <v>0</v>
      </c>
      <c r="S27" s="50">
        <f t="array" aca="1" ref="S27" ca="1">IFERROR(INDIRECT("QTTNCN!"&amp;ADDRESS(ROWS($A$1:$A31),MATCH(S$5,QTTNCN!$A$13:$AE$13,0))),"")</f>
        <v>0</v>
      </c>
      <c r="T27" s="50">
        <f t="array" aca="1" ref="T27" ca="1">IFERROR(INDIRECT("QTTNCN!"&amp;ADDRESS(ROWS($A$1:$A31),MATCH(T$5,QTTNCN!$A$13:$AE$13,0))),"")</f>
        <v>0</v>
      </c>
      <c r="U27" s="50">
        <f t="shared" ca="1" si="2"/>
        <v>1</v>
      </c>
    </row>
    <row r="28" spans="1:21" x14ac:dyDescent="0.45">
      <c r="A28" s="15">
        <f>ROWS($A$10:A28)</f>
        <v>19</v>
      </c>
      <c r="B28">
        <f ca="1">IF(QTTNCN!B32="","",QTTNCN!B32)</f>
        <v>0</v>
      </c>
      <c r="C28">
        <f ca="1">IF(QTTNCN!C32="","",QTTNCN!C32)</f>
        <v>0</v>
      </c>
      <c r="E28" t="str">
        <f>IF(QTTNCN!F32="","",QTTNCN!F32)</f>
        <v/>
      </c>
      <c r="F28" s="50">
        <f t="array" aca="1" ref="F28" ca="1">IFERROR(INDIRECT("QTTNCN!"&amp;ADDRESS(ROWS($A$1:$A32),MATCH(F$5,QTTNCN!$A$13:$AE$13,0))),"")</f>
        <v>0</v>
      </c>
      <c r="G28" s="50" t="str">
        <f t="array" aca="1" ref="G28" ca="1">IFERROR(INDIRECT("QTTNCN!"&amp;ADDRESS(ROWS($A$1:$A32),MATCH(G$5,QTTNCN!$A$13:$AE$13,0))),"")</f>
        <v/>
      </c>
      <c r="H28" s="50" t="str">
        <f t="array" aca="1" ref="H28" ca="1">IFERROR(INDIRECT("QTTNCN!"&amp;ADDRESS(ROWS($A$1:$A32),MATCH(H$5,QTTNCN!$A$13:$AE$13,0))),"")</f>
        <v/>
      </c>
      <c r="I28" s="50">
        <f t="array" aca="1" ref="I28" ca="1">IFERROR(INDIRECT("QTTNCN!"&amp;ADDRESS(ROWS($A$1:$A32),MATCH(I$5,QTTNCN!$A$13:$AE$13,0))),"")</f>
        <v>0</v>
      </c>
      <c r="J28" s="50">
        <f t="array" aca="1" ref="J28" ca="1">IFERROR(INDIRECT("QTTNCN!"&amp;ADDRESS(ROWS($A$1:$A32),MATCH(J$5,QTTNCN!$A$13:$AE$13,0))),"")</f>
        <v>0</v>
      </c>
      <c r="K28" s="50" t="str">
        <f t="array" aca="1" ref="K28" ca="1">IFERROR(INDIRECT("QTTNCN!"&amp;ADDRESS(ROWS($A$1:$A32),MATCH(K$5,QTTNCN!$A$13:$AE$13,0))),"")</f>
        <v/>
      </c>
      <c r="L28" s="50">
        <f t="array" aca="1" ref="L28" ca="1">IFERROR(INDIRECT("QTTNCN!"&amp;ADDRESS(ROWS($A$1:$A32),MATCH(L$5,QTTNCN!$A$13:$AE$13,0))),"")</f>
        <v>0</v>
      </c>
      <c r="M28" s="50" t="str">
        <f t="array" aca="1" ref="M28" ca="1">IFERROR(INDIRECT("QTTNCN!"&amp;ADDRESS(ROWS($A$1:$A32),MATCH(M$5,QTTNCN!$A$13:$AE$13,0))),"")</f>
        <v/>
      </c>
      <c r="N28" s="50">
        <f t="array" aca="1" ref="N28" ca="1">IFERROR(INDIRECT("QTTNCN!"&amp;ADDRESS(ROWS($A$1:$A32),MATCH(N$5,QTTNCN!$A$13:$AE$13,0))),"")</f>
        <v>0</v>
      </c>
      <c r="O28" s="50">
        <f t="array" aca="1" ref="O28" ca="1">IFERROR(INDIRECT("QTTNCN!"&amp;ADDRESS(ROWS($A$1:$A32),MATCH(O$5,QTTNCN!$A$13:$AE$13,0))),"")</f>
        <v>0</v>
      </c>
      <c r="P28" s="50" t="str">
        <f t="array" aca="1" ref="P28" ca="1">IFERROR(INDIRECT("QTTNCN!"&amp;ADDRESS(ROWS($A$1:$A32),MATCH(P$5,QTTNCN!$A$13:$AE$13,0))),"")</f>
        <v/>
      </c>
      <c r="Q28" s="50" t="str">
        <f t="array" aca="1" ref="Q28" ca="1">IFERROR(INDIRECT("QTTNCN!"&amp;ADDRESS(ROWS($A$1:$A32),MATCH(Q$5,QTTNCN!$A$13:$AE$13,0))),"")</f>
        <v/>
      </c>
      <c r="R28" s="50">
        <f t="array" aca="1" ref="R28" ca="1">IFERROR(INDIRECT("QTTNCN!"&amp;ADDRESS(ROWS($A$1:$A32),MATCH(R$5,QTTNCN!$A$13:$AE$13,0))),"")</f>
        <v>0</v>
      </c>
      <c r="S28" s="50">
        <f t="array" aca="1" ref="S28" ca="1">IFERROR(INDIRECT("QTTNCN!"&amp;ADDRESS(ROWS($A$1:$A32),MATCH(S$5,QTTNCN!$A$13:$AE$13,0))),"")</f>
        <v>0</v>
      </c>
      <c r="T28" s="50">
        <f t="array" aca="1" ref="T28" ca="1">IFERROR(INDIRECT("QTTNCN!"&amp;ADDRESS(ROWS($A$1:$A32),MATCH(T$5,QTTNCN!$A$13:$AE$13,0))),"")</f>
        <v>0</v>
      </c>
      <c r="U28" s="50">
        <f t="shared" ca="1" si="2"/>
        <v>1</v>
      </c>
    </row>
    <row r="29" spans="1:21" x14ac:dyDescent="0.45">
      <c r="A29" s="15">
        <f>ROWS($A$10:A29)</f>
        <v>20</v>
      </c>
      <c r="B29">
        <f ca="1">IF(QTTNCN!B33="","",QTTNCN!B33)</f>
        <v>0</v>
      </c>
      <c r="C29">
        <f ca="1">IF(QTTNCN!C33="","",QTTNCN!C33)</f>
        <v>0</v>
      </c>
      <c r="E29" t="str">
        <f>IF(QTTNCN!F33="","",QTTNCN!F33)</f>
        <v/>
      </c>
      <c r="F29" s="50">
        <f t="array" aca="1" ref="F29" ca="1">IFERROR(INDIRECT("QTTNCN!"&amp;ADDRESS(ROWS($A$1:$A33),MATCH(F$5,QTTNCN!$A$13:$AE$13,0))),"")</f>
        <v>0</v>
      </c>
      <c r="G29" s="50" t="str">
        <f t="array" aca="1" ref="G29" ca="1">IFERROR(INDIRECT("QTTNCN!"&amp;ADDRESS(ROWS($A$1:$A33),MATCH(G$5,QTTNCN!$A$13:$AE$13,0))),"")</f>
        <v/>
      </c>
      <c r="H29" s="50" t="str">
        <f t="array" aca="1" ref="H29" ca="1">IFERROR(INDIRECT("QTTNCN!"&amp;ADDRESS(ROWS($A$1:$A33),MATCH(H$5,QTTNCN!$A$13:$AE$13,0))),"")</f>
        <v/>
      </c>
      <c r="I29" s="50">
        <f t="array" aca="1" ref="I29" ca="1">IFERROR(INDIRECT("QTTNCN!"&amp;ADDRESS(ROWS($A$1:$A33),MATCH(I$5,QTTNCN!$A$13:$AE$13,0))),"")</f>
        <v>0</v>
      </c>
      <c r="J29" s="50">
        <f t="array" aca="1" ref="J29" ca="1">IFERROR(INDIRECT("QTTNCN!"&amp;ADDRESS(ROWS($A$1:$A33),MATCH(J$5,QTTNCN!$A$13:$AE$13,0))),"")</f>
        <v>0</v>
      </c>
      <c r="K29" s="50" t="str">
        <f t="array" aca="1" ref="K29" ca="1">IFERROR(INDIRECT("QTTNCN!"&amp;ADDRESS(ROWS($A$1:$A33),MATCH(K$5,QTTNCN!$A$13:$AE$13,0))),"")</f>
        <v/>
      </c>
      <c r="L29" s="50">
        <f t="array" aca="1" ref="L29" ca="1">IFERROR(INDIRECT("QTTNCN!"&amp;ADDRESS(ROWS($A$1:$A33),MATCH(L$5,QTTNCN!$A$13:$AE$13,0))),"")</f>
        <v>0</v>
      </c>
      <c r="M29" s="50" t="str">
        <f t="array" aca="1" ref="M29" ca="1">IFERROR(INDIRECT("QTTNCN!"&amp;ADDRESS(ROWS($A$1:$A33),MATCH(M$5,QTTNCN!$A$13:$AE$13,0))),"")</f>
        <v/>
      </c>
      <c r="N29" s="50">
        <f t="array" aca="1" ref="N29" ca="1">IFERROR(INDIRECT("QTTNCN!"&amp;ADDRESS(ROWS($A$1:$A33),MATCH(N$5,QTTNCN!$A$13:$AE$13,0))),"")</f>
        <v>0</v>
      </c>
      <c r="O29" s="50">
        <f t="array" aca="1" ref="O29" ca="1">IFERROR(INDIRECT("QTTNCN!"&amp;ADDRESS(ROWS($A$1:$A33),MATCH(O$5,QTTNCN!$A$13:$AE$13,0))),"")</f>
        <v>0</v>
      </c>
      <c r="P29" s="50" t="str">
        <f t="array" aca="1" ref="P29" ca="1">IFERROR(INDIRECT("QTTNCN!"&amp;ADDRESS(ROWS($A$1:$A33),MATCH(P$5,QTTNCN!$A$13:$AE$13,0))),"")</f>
        <v/>
      </c>
      <c r="Q29" s="50" t="str">
        <f t="array" aca="1" ref="Q29" ca="1">IFERROR(INDIRECT("QTTNCN!"&amp;ADDRESS(ROWS($A$1:$A33),MATCH(Q$5,QTTNCN!$A$13:$AE$13,0))),"")</f>
        <v/>
      </c>
      <c r="R29" s="50">
        <f t="array" aca="1" ref="R29" ca="1">IFERROR(INDIRECT("QTTNCN!"&amp;ADDRESS(ROWS($A$1:$A33),MATCH(R$5,QTTNCN!$A$13:$AE$13,0))),"")</f>
        <v>0</v>
      </c>
      <c r="S29" s="50">
        <f t="array" aca="1" ref="S29" ca="1">IFERROR(INDIRECT("QTTNCN!"&amp;ADDRESS(ROWS($A$1:$A33),MATCH(S$5,QTTNCN!$A$13:$AE$13,0))),"")</f>
        <v>0</v>
      </c>
      <c r="T29" s="50">
        <f t="array" aca="1" ref="T29" ca="1">IFERROR(INDIRECT("QTTNCN!"&amp;ADDRESS(ROWS($A$1:$A33),MATCH(T$5,QTTNCN!$A$13:$AE$13,0))),"")</f>
        <v>0</v>
      </c>
      <c r="U29" s="50">
        <f t="shared" ca="1" si="2"/>
        <v>1</v>
      </c>
    </row>
    <row r="30" spans="1:21" x14ac:dyDescent="0.45">
      <c r="A30" s="15">
        <f>ROWS($A$10:A30)</f>
        <v>21</v>
      </c>
      <c r="B30">
        <f ca="1">IF(QTTNCN!B34="","",QTTNCN!B34)</f>
        <v>0</v>
      </c>
      <c r="C30">
        <f ca="1">IF(QTTNCN!C34="","",QTTNCN!C34)</f>
        <v>0</v>
      </c>
      <c r="E30" t="str">
        <f>IF(QTTNCN!F34="","",QTTNCN!F34)</f>
        <v/>
      </c>
      <c r="F30" s="50">
        <f t="array" aca="1" ref="F30" ca="1">IFERROR(INDIRECT("QTTNCN!"&amp;ADDRESS(ROWS($A$1:$A34),MATCH(F$5,QTTNCN!$A$13:$AE$13,0))),"")</f>
        <v>0</v>
      </c>
      <c r="G30" s="50" t="str">
        <f t="array" aca="1" ref="G30" ca="1">IFERROR(INDIRECT("QTTNCN!"&amp;ADDRESS(ROWS($A$1:$A34),MATCH(G$5,QTTNCN!$A$13:$AE$13,0))),"")</f>
        <v/>
      </c>
      <c r="H30" s="50" t="str">
        <f t="array" aca="1" ref="H30" ca="1">IFERROR(INDIRECT("QTTNCN!"&amp;ADDRESS(ROWS($A$1:$A34),MATCH(H$5,QTTNCN!$A$13:$AE$13,0))),"")</f>
        <v/>
      </c>
      <c r="I30" s="50">
        <f t="array" aca="1" ref="I30" ca="1">IFERROR(INDIRECT("QTTNCN!"&amp;ADDRESS(ROWS($A$1:$A34),MATCH(I$5,QTTNCN!$A$13:$AE$13,0))),"")</f>
        <v>0</v>
      </c>
      <c r="J30" s="50">
        <f t="array" aca="1" ref="J30" ca="1">IFERROR(INDIRECT("QTTNCN!"&amp;ADDRESS(ROWS($A$1:$A34),MATCH(J$5,QTTNCN!$A$13:$AE$13,0))),"")</f>
        <v>0</v>
      </c>
      <c r="K30" s="50" t="str">
        <f t="array" aca="1" ref="K30" ca="1">IFERROR(INDIRECT("QTTNCN!"&amp;ADDRESS(ROWS($A$1:$A34),MATCH(K$5,QTTNCN!$A$13:$AE$13,0))),"")</f>
        <v/>
      </c>
      <c r="L30" s="50">
        <f t="array" aca="1" ref="L30" ca="1">IFERROR(INDIRECT("QTTNCN!"&amp;ADDRESS(ROWS($A$1:$A34),MATCH(L$5,QTTNCN!$A$13:$AE$13,0))),"")</f>
        <v>0</v>
      </c>
      <c r="M30" s="50" t="str">
        <f t="array" aca="1" ref="M30" ca="1">IFERROR(INDIRECT("QTTNCN!"&amp;ADDRESS(ROWS($A$1:$A34),MATCH(M$5,QTTNCN!$A$13:$AE$13,0))),"")</f>
        <v/>
      </c>
      <c r="N30" s="50">
        <f t="array" aca="1" ref="N30" ca="1">IFERROR(INDIRECT("QTTNCN!"&amp;ADDRESS(ROWS($A$1:$A34),MATCH(N$5,QTTNCN!$A$13:$AE$13,0))),"")</f>
        <v>0</v>
      </c>
      <c r="O30" s="50">
        <f t="array" aca="1" ref="O30" ca="1">IFERROR(INDIRECT("QTTNCN!"&amp;ADDRESS(ROWS($A$1:$A34),MATCH(O$5,QTTNCN!$A$13:$AE$13,0))),"")</f>
        <v>0</v>
      </c>
      <c r="P30" s="50" t="str">
        <f t="array" aca="1" ref="P30" ca="1">IFERROR(INDIRECT("QTTNCN!"&amp;ADDRESS(ROWS($A$1:$A34),MATCH(P$5,QTTNCN!$A$13:$AE$13,0))),"")</f>
        <v/>
      </c>
      <c r="Q30" s="50" t="str">
        <f t="array" aca="1" ref="Q30" ca="1">IFERROR(INDIRECT("QTTNCN!"&amp;ADDRESS(ROWS($A$1:$A34),MATCH(Q$5,QTTNCN!$A$13:$AE$13,0))),"")</f>
        <v/>
      </c>
      <c r="R30" s="50">
        <f t="array" aca="1" ref="R30" ca="1">IFERROR(INDIRECT("QTTNCN!"&amp;ADDRESS(ROWS($A$1:$A34),MATCH(R$5,QTTNCN!$A$13:$AE$13,0))),"")</f>
        <v>0</v>
      </c>
      <c r="S30" s="50">
        <f t="array" aca="1" ref="S30" ca="1">IFERROR(INDIRECT("QTTNCN!"&amp;ADDRESS(ROWS($A$1:$A34),MATCH(S$5,QTTNCN!$A$13:$AE$13,0))),"")</f>
        <v>0</v>
      </c>
      <c r="T30" s="50">
        <f t="array" aca="1" ref="T30" ca="1">IFERROR(INDIRECT("QTTNCN!"&amp;ADDRESS(ROWS($A$1:$A34),MATCH(T$5,QTTNCN!$A$13:$AE$13,0))),"")</f>
        <v>0</v>
      </c>
      <c r="U30" s="50">
        <f t="shared" ca="1" si="2"/>
        <v>1</v>
      </c>
    </row>
    <row r="31" spans="1:21" x14ac:dyDescent="0.45">
      <c r="A31" s="15">
        <f>ROWS($A$10:A31)</f>
        <v>22</v>
      </c>
      <c r="B31">
        <f ca="1">IF(QTTNCN!B35="","",QTTNCN!B35)</f>
        <v>0</v>
      </c>
      <c r="C31">
        <f ca="1">IF(QTTNCN!C35="","",QTTNCN!C35)</f>
        <v>0</v>
      </c>
      <c r="E31" t="str">
        <f>IF(QTTNCN!F35="","",QTTNCN!F35)</f>
        <v/>
      </c>
      <c r="F31" s="50">
        <f t="array" aca="1" ref="F31" ca="1">IFERROR(INDIRECT("QTTNCN!"&amp;ADDRESS(ROWS($A$1:$A35),MATCH(F$5,QTTNCN!$A$13:$AE$13,0))),"")</f>
        <v>0</v>
      </c>
      <c r="G31" s="50" t="str">
        <f t="array" aca="1" ref="G31" ca="1">IFERROR(INDIRECT("QTTNCN!"&amp;ADDRESS(ROWS($A$1:$A35),MATCH(G$5,QTTNCN!$A$13:$AE$13,0))),"")</f>
        <v/>
      </c>
      <c r="H31" s="50" t="str">
        <f t="array" aca="1" ref="H31" ca="1">IFERROR(INDIRECT("QTTNCN!"&amp;ADDRESS(ROWS($A$1:$A35),MATCH(H$5,QTTNCN!$A$13:$AE$13,0))),"")</f>
        <v/>
      </c>
      <c r="I31" s="50">
        <f t="array" aca="1" ref="I31" ca="1">IFERROR(INDIRECT("QTTNCN!"&amp;ADDRESS(ROWS($A$1:$A35),MATCH(I$5,QTTNCN!$A$13:$AE$13,0))),"")</f>
        <v>0</v>
      </c>
      <c r="J31" s="50">
        <f t="array" aca="1" ref="J31" ca="1">IFERROR(INDIRECT("QTTNCN!"&amp;ADDRESS(ROWS($A$1:$A35),MATCH(J$5,QTTNCN!$A$13:$AE$13,0))),"")</f>
        <v>0</v>
      </c>
      <c r="K31" s="50" t="str">
        <f t="array" aca="1" ref="K31" ca="1">IFERROR(INDIRECT("QTTNCN!"&amp;ADDRESS(ROWS($A$1:$A35),MATCH(K$5,QTTNCN!$A$13:$AE$13,0))),"")</f>
        <v/>
      </c>
      <c r="L31" s="50">
        <f t="array" aca="1" ref="L31" ca="1">IFERROR(INDIRECT("QTTNCN!"&amp;ADDRESS(ROWS($A$1:$A35),MATCH(L$5,QTTNCN!$A$13:$AE$13,0))),"")</f>
        <v>0</v>
      </c>
      <c r="M31" s="50" t="str">
        <f t="array" aca="1" ref="M31" ca="1">IFERROR(INDIRECT("QTTNCN!"&amp;ADDRESS(ROWS($A$1:$A35),MATCH(M$5,QTTNCN!$A$13:$AE$13,0))),"")</f>
        <v/>
      </c>
      <c r="N31" s="50">
        <f t="array" aca="1" ref="N31" ca="1">IFERROR(INDIRECT("QTTNCN!"&amp;ADDRESS(ROWS($A$1:$A35),MATCH(N$5,QTTNCN!$A$13:$AE$13,0))),"")</f>
        <v>0</v>
      </c>
      <c r="O31" s="50">
        <f t="array" aca="1" ref="O31" ca="1">IFERROR(INDIRECT("QTTNCN!"&amp;ADDRESS(ROWS($A$1:$A35),MATCH(O$5,QTTNCN!$A$13:$AE$13,0))),"")</f>
        <v>0</v>
      </c>
      <c r="P31" s="50" t="str">
        <f t="array" aca="1" ref="P31" ca="1">IFERROR(INDIRECT("QTTNCN!"&amp;ADDRESS(ROWS($A$1:$A35),MATCH(P$5,QTTNCN!$A$13:$AE$13,0))),"")</f>
        <v/>
      </c>
      <c r="Q31" s="50" t="str">
        <f t="array" aca="1" ref="Q31" ca="1">IFERROR(INDIRECT("QTTNCN!"&amp;ADDRESS(ROWS($A$1:$A35),MATCH(Q$5,QTTNCN!$A$13:$AE$13,0))),"")</f>
        <v/>
      </c>
      <c r="R31" s="50">
        <f t="array" aca="1" ref="R31" ca="1">IFERROR(INDIRECT("QTTNCN!"&amp;ADDRESS(ROWS($A$1:$A35),MATCH(R$5,QTTNCN!$A$13:$AE$13,0))),"")</f>
        <v>0</v>
      </c>
      <c r="S31" s="50">
        <f t="array" aca="1" ref="S31" ca="1">IFERROR(INDIRECT("QTTNCN!"&amp;ADDRESS(ROWS($A$1:$A35),MATCH(S$5,QTTNCN!$A$13:$AE$13,0))),"")</f>
        <v>0</v>
      </c>
      <c r="T31" s="50">
        <f t="array" aca="1" ref="T31" ca="1">IFERROR(INDIRECT("QTTNCN!"&amp;ADDRESS(ROWS($A$1:$A35),MATCH(T$5,QTTNCN!$A$13:$AE$13,0))),"")</f>
        <v>0</v>
      </c>
      <c r="U31" s="50">
        <f t="shared" ca="1" si="2"/>
        <v>1</v>
      </c>
    </row>
    <row r="32" spans="1:21" x14ac:dyDescent="0.45">
      <c r="A32" s="15">
        <f>ROWS($A$10:A32)</f>
        <v>23</v>
      </c>
      <c r="B32">
        <f ca="1">IF(QTTNCN!B36="","",QTTNCN!B36)</f>
        <v>0</v>
      </c>
      <c r="C32">
        <f ca="1">IF(QTTNCN!C36="","",QTTNCN!C36)</f>
        <v>0</v>
      </c>
      <c r="E32" t="str">
        <f>IF(QTTNCN!F36="","",QTTNCN!F36)</f>
        <v/>
      </c>
      <c r="F32" s="50">
        <f t="array" aca="1" ref="F32" ca="1">IFERROR(INDIRECT("QTTNCN!"&amp;ADDRESS(ROWS($A$1:$A36),MATCH(F$5,QTTNCN!$A$13:$AE$13,0))),"")</f>
        <v>0</v>
      </c>
      <c r="G32" s="50" t="str">
        <f t="array" aca="1" ref="G32" ca="1">IFERROR(INDIRECT("QTTNCN!"&amp;ADDRESS(ROWS($A$1:$A36),MATCH(G$5,QTTNCN!$A$13:$AE$13,0))),"")</f>
        <v/>
      </c>
      <c r="H32" s="50" t="str">
        <f t="array" aca="1" ref="H32" ca="1">IFERROR(INDIRECT("QTTNCN!"&amp;ADDRESS(ROWS($A$1:$A36),MATCH(H$5,QTTNCN!$A$13:$AE$13,0))),"")</f>
        <v/>
      </c>
      <c r="I32" s="50">
        <f t="array" aca="1" ref="I32" ca="1">IFERROR(INDIRECT("QTTNCN!"&amp;ADDRESS(ROWS($A$1:$A36),MATCH(I$5,QTTNCN!$A$13:$AE$13,0))),"")</f>
        <v>0</v>
      </c>
      <c r="J32" s="50">
        <f t="array" aca="1" ref="J32" ca="1">IFERROR(INDIRECT("QTTNCN!"&amp;ADDRESS(ROWS($A$1:$A36),MATCH(J$5,QTTNCN!$A$13:$AE$13,0))),"")</f>
        <v>0</v>
      </c>
      <c r="K32" s="50" t="str">
        <f t="array" aca="1" ref="K32" ca="1">IFERROR(INDIRECT("QTTNCN!"&amp;ADDRESS(ROWS($A$1:$A36),MATCH(K$5,QTTNCN!$A$13:$AE$13,0))),"")</f>
        <v/>
      </c>
      <c r="L32" s="50">
        <f t="array" aca="1" ref="L32" ca="1">IFERROR(INDIRECT("QTTNCN!"&amp;ADDRESS(ROWS($A$1:$A36),MATCH(L$5,QTTNCN!$A$13:$AE$13,0))),"")</f>
        <v>0</v>
      </c>
      <c r="M32" s="50" t="str">
        <f t="array" aca="1" ref="M32" ca="1">IFERROR(INDIRECT("QTTNCN!"&amp;ADDRESS(ROWS($A$1:$A36),MATCH(M$5,QTTNCN!$A$13:$AE$13,0))),"")</f>
        <v/>
      </c>
      <c r="N32" s="50">
        <f t="array" aca="1" ref="N32" ca="1">IFERROR(INDIRECT("QTTNCN!"&amp;ADDRESS(ROWS($A$1:$A36),MATCH(N$5,QTTNCN!$A$13:$AE$13,0))),"")</f>
        <v>0</v>
      </c>
      <c r="O32" s="50">
        <f t="array" aca="1" ref="O32" ca="1">IFERROR(INDIRECT("QTTNCN!"&amp;ADDRESS(ROWS($A$1:$A36),MATCH(O$5,QTTNCN!$A$13:$AE$13,0))),"")</f>
        <v>0</v>
      </c>
      <c r="P32" s="50" t="str">
        <f t="array" aca="1" ref="P32" ca="1">IFERROR(INDIRECT("QTTNCN!"&amp;ADDRESS(ROWS($A$1:$A36),MATCH(P$5,QTTNCN!$A$13:$AE$13,0))),"")</f>
        <v/>
      </c>
      <c r="Q32" s="50" t="str">
        <f t="array" aca="1" ref="Q32" ca="1">IFERROR(INDIRECT("QTTNCN!"&amp;ADDRESS(ROWS($A$1:$A36),MATCH(Q$5,QTTNCN!$A$13:$AE$13,0))),"")</f>
        <v/>
      </c>
      <c r="R32" s="50">
        <f t="array" aca="1" ref="R32" ca="1">IFERROR(INDIRECT("QTTNCN!"&amp;ADDRESS(ROWS($A$1:$A36),MATCH(R$5,QTTNCN!$A$13:$AE$13,0))),"")</f>
        <v>0</v>
      </c>
      <c r="S32" s="50">
        <f t="array" aca="1" ref="S32" ca="1">IFERROR(INDIRECT("QTTNCN!"&amp;ADDRESS(ROWS($A$1:$A36),MATCH(S$5,QTTNCN!$A$13:$AE$13,0))),"")</f>
        <v>0</v>
      </c>
      <c r="T32" s="50">
        <f t="array" aca="1" ref="T32" ca="1">IFERROR(INDIRECT("QTTNCN!"&amp;ADDRESS(ROWS($A$1:$A36),MATCH(T$5,QTTNCN!$A$13:$AE$13,0))),"")</f>
        <v>0</v>
      </c>
      <c r="U32" s="50">
        <f t="shared" ca="1" si="2"/>
        <v>1</v>
      </c>
    </row>
    <row r="33" spans="1:21" x14ac:dyDescent="0.45">
      <c r="A33" s="15">
        <f>ROWS($A$10:A33)</f>
        <v>24</v>
      </c>
      <c r="B33">
        <f ca="1">IF(QTTNCN!B37="","",QTTNCN!B37)</f>
        <v>0</v>
      </c>
      <c r="C33">
        <f ca="1">IF(QTTNCN!C37="","",QTTNCN!C37)</f>
        <v>0</v>
      </c>
      <c r="E33" t="str">
        <f>IF(QTTNCN!F37="","",QTTNCN!F37)</f>
        <v/>
      </c>
      <c r="F33" s="50">
        <f t="array" aca="1" ref="F33" ca="1">IFERROR(INDIRECT("QTTNCN!"&amp;ADDRESS(ROWS($A$1:$A37),MATCH(F$5,QTTNCN!$A$13:$AE$13,0))),"")</f>
        <v>0</v>
      </c>
      <c r="G33" s="50" t="str">
        <f t="array" aca="1" ref="G33" ca="1">IFERROR(INDIRECT("QTTNCN!"&amp;ADDRESS(ROWS($A$1:$A37),MATCH(G$5,QTTNCN!$A$13:$AE$13,0))),"")</f>
        <v/>
      </c>
      <c r="H33" s="50" t="str">
        <f t="array" aca="1" ref="H33" ca="1">IFERROR(INDIRECT("QTTNCN!"&amp;ADDRESS(ROWS($A$1:$A37),MATCH(H$5,QTTNCN!$A$13:$AE$13,0))),"")</f>
        <v/>
      </c>
      <c r="I33" s="50">
        <f t="array" aca="1" ref="I33" ca="1">IFERROR(INDIRECT("QTTNCN!"&amp;ADDRESS(ROWS($A$1:$A37),MATCH(I$5,QTTNCN!$A$13:$AE$13,0))),"")</f>
        <v>0</v>
      </c>
      <c r="J33" s="50">
        <f t="array" aca="1" ref="J33" ca="1">IFERROR(INDIRECT("QTTNCN!"&amp;ADDRESS(ROWS($A$1:$A37),MATCH(J$5,QTTNCN!$A$13:$AE$13,0))),"")</f>
        <v>0</v>
      </c>
      <c r="K33" s="50" t="str">
        <f t="array" aca="1" ref="K33" ca="1">IFERROR(INDIRECT("QTTNCN!"&amp;ADDRESS(ROWS($A$1:$A37),MATCH(K$5,QTTNCN!$A$13:$AE$13,0))),"")</f>
        <v/>
      </c>
      <c r="L33" s="50">
        <f t="array" aca="1" ref="L33" ca="1">IFERROR(INDIRECT("QTTNCN!"&amp;ADDRESS(ROWS($A$1:$A37),MATCH(L$5,QTTNCN!$A$13:$AE$13,0))),"")</f>
        <v>0</v>
      </c>
      <c r="M33" s="50" t="str">
        <f t="array" aca="1" ref="M33" ca="1">IFERROR(INDIRECT("QTTNCN!"&amp;ADDRESS(ROWS($A$1:$A37),MATCH(M$5,QTTNCN!$A$13:$AE$13,0))),"")</f>
        <v/>
      </c>
      <c r="N33" s="50">
        <f t="array" aca="1" ref="N33" ca="1">IFERROR(INDIRECT("QTTNCN!"&amp;ADDRESS(ROWS($A$1:$A37),MATCH(N$5,QTTNCN!$A$13:$AE$13,0))),"")</f>
        <v>0</v>
      </c>
      <c r="O33" s="50">
        <f t="array" aca="1" ref="O33" ca="1">IFERROR(INDIRECT("QTTNCN!"&amp;ADDRESS(ROWS($A$1:$A37),MATCH(O$5,QTTNCN!$A$13:$AE$13,0))),"")</f>
        <v>0</v>
      </c>
      <c r="P33" s="50" t="str">
        <f t="array" aca="1" ref="P33" ca="1">IFERROR(INDIRECT("QTTNCN!"&amp;ADDRESS(ROWS($A$1:$A37),MATCH(P$5,QTTNCN!$A$13:$AE$13,0))),"")</f>
        <v/>
      </c>
      <c r="Q33" s="50" t="str">
        <f t="array" aca="1" ref="Q33" ca="1">IFERROR(INDIRECT("QTTNCN!"&amp;ADDRESS(ROWS($A$1:$A37),MATCH(Q$5,QTTNCN!$A$13:$AE$13,0))),"")</f>
        <v/>
      </c>
      <c r="R33" s="50">
        <f t="array" aca="1" ref="R33" ca="1">IFERROR(INDIRECT("QTTNCN!"&amp;ADDRESS(ROWS($A$1:$A37),MATCH(R$5,QTTNCN!$A$13:$AE$13,0))),"")</f>
        <v>0</v>
      </c>
      <c r="S33" s="50">
        <f t="array" aca="1" ref="S33" ca="1">IFERROR(INDIRECT("QTTNCN!"&amp;ADDRESS(ROWS($A$1:$A37),MATCH(S$5,QTTNCN!$A$13:$AE$13,0))),"")</f>
        <v>0</v>
      </c>
      <c r="T33" s="50">
        <f t="array" aca="1" ref="T33" ca="1">IFERROR(INDIRECT("QTTNCN!"&amp;ADDRESS(ROWS($A$1:$A37),MATCH(T$5,QTTNCN!$A$13:$AE$13,0))),"")</f>
        <v>0</v>
      </c>
      <c r="U33" s="50">
        <f t="shared" ca="1" si="2"/>
        <v>1</v>
      </c>
    </row>
    <row r="34" spans="1:21" x14ac:dyDescent="0.45">
      <c r="A34" s="15">
        <f>ROWS($A$10:A34)</f>
        <v>25</v>
      </c>
      <c r="B34">
        <f ca="1">IF(QTTNCN!B38="","",QTTNCN!B38)</f>
        <v>0</v>
      </c>
      <c r="C34">
        <f ca="1">IF(QTTNCN!C38="","",QTTNCN!C38)</f>
        <v>0</v>
      </c>
      <c r="E34" t="str">
        <f>IF(QTTNCN!F38="","",QTTNCN!F38)</f>
        <v/>
      </c>
      <c r="F34" s="50">
        <f t="array" aca="1" ref="F34" ca="1">IFERROR(INDIRECT("QTTNCN!"&amp;ADDRESS(ROWS($A$1:$A38),MATCH(F$5,QTTNCN!$A$13:$AE$13,0))),"")</f>
        <v>0</v>
      </c>
      <c r="G34" s="50" t="str">
        <f t="array" aca="1" ref="G34" ca="1">IFERROR(INDIRECT("QTTNCN!"&amp;ADDRESS(ROWS($A$1:$A38),MATCH(G$5,QTTNCN!$A$13:$AE$13,0))),"")</f>
        <v/>
      </c>
      <c r="H34" s="50" t="str">
        <f t="array" aca="1" ref="H34" ca="1">IFERROR(INDIRECT("QTTNCN!"&amp;ADDRESS(ROWS($A$1:$A38),MATCH(H$5,QTTNCN!$A$13:$AE$13,0))),"")</f>
        <v/>
      </c>
      <c r="I34" s="50">
        <f t="array" aca="1" ref="I34" ca="1">IFERROR(INDIRECT("QTTNCN!"&amp;ADDRESS(ROWS($A$1:$A38),MATCH(I$5,QTTNCN!$A$13:$AE$13,0))),"")</f>
        <v>0</v>
      </c>
      <c r="J34" s="50">
        <f t="array" aca="1" ref="J34" ca="1">IFERROR(INDIRECT("QTTNCN!"&amp;ADDRESS(ROWS($A$1:$A38),MATCH(J$5,QTTNCN!$A$13:$AE$13,0))),"")</f>
        <v>0</v>
      </c>
      <c r="K34" s="50" t="str">
        <f t="array" aca="1" ref="K34" ca="1">IFERROR(INDIRECT("QTTNCN!"&amp;ADDRESS(ROWS($A$1:$A38),MATCH(K$5,QTTNCN!$A$13:$AE$13,0))),"")</f>
        <v/>
      </c>
      <c r="L34" s="50">
        <f t="array" aca="1" ref="L34" ca="1">IFERROR(INDIRECT("QTTNCN!"&amp;ADDRESS(ROWS($A$1:$A38),MATCH(L$5,QTTNCN!$A$13:$AE$13,0))),"")</f>
        <v>0</v>
      </c>
      <c r="M34" s="50" t="str">
        <f t="array" aca="1" ref="M34" ca="1">IFERROR(INDIRECT("QTTNCN!"&amp;ADDRESS(ROWS($A$1:$A38),MATCH(M$5,QTTNCN!$A$13:$AE$13,0))),"")</f>
        <v/>
      </c>
      <c r="N34" s="50">
        <f t="array" aca="1" ref="N34" ca="1">IFERROR(INDIRECT("QTTNCN!"&amp;ADDRESS(ROWS($A$1:$A38),MATCH(N$5,QTTNCN!$A$13:$AE$13,0))),"")</f>
        <v>0</v>
      </c>
      <c r="O34" s="50">
        <f t="array" aca="1" ref="O34" ca="1">IFERROR(INDIRECT("QTTNCN!"&amp;ADDRESS(ROWS($A$1:$A38),MATCH(O$5,QTTNCN!$A$13:$AE$13,0))),"")</f>
        <v>0</v>
      </c>
      <c r="P34" s="50" t="str">
        <f t="array" aca="1" ref="P34" ca="1">IFERROR(INDIRECT("QTTNCN!"&amp;ADDRESS(ROWS($A$1:$A38),MATCH(P$5,QTTNCN!$A$13:$AE$13,0))),"")</f>
        <v/>
      </c>
      <c r="Q34" s="50" t="str">
        <f t="array" aca="1" ref="Q34" ca="1">IFERROR(INDIRECT("QTTNCN!"&amp;ADDRESS(ROWS($A$1:$A38),MATCH(Q$5,QTTNCN!$A$13:$AE$13,0))),"")</f>
        <v/>
      </c>
      <c r="R34" s="50">
        <f t="array" aca="1" ref="R34" ca="1">IFERROR(INDIRECT("QTTNCN!"&amp;ADDRESS(ROWS($A$1:$A38),MATCH(R$5,QTTNCN!$A$13:$AE$13,0))),"")</f>
        <v>0</v>
      </c>
      <c r="S34" s="50">
        <f t="array" aca="1" ref="S34" ca="1">IFERROR(INDIRECT("QTTNCN!"&amp;ADDRESS(ROWS($A$1:$A38),MATCH(S$5,QTTNCN!$A$13:$AE$13,0))),"")</f>
        <v>0</v>
      </c>
      <c r="T34" s="50">
        <f t="array" aca="1" ref="T34" ca="1">IFERROR(INDIRECT("QTTNCN!"&amp;ADDRESS(ROWS($A$1:$A38),MATCH(T$5,QTTNCN!$A$13:$AE$13,0))),"")</f>
        <v>0</v>
      </c>
      <c r="U34" s="50">
        <f t="shared" ca="1" si="2"/>
        <v>1</v>
      </c>
    </row>
    <row r="35" spans="1:21" x14ac:dyDescent="0.45">
      <c r="A35" s="15">
        <f>ROWS($A$10:A35)</f>
        <v>26</v>
      </c>
      <c r="B35" t="str">
        <f>IF(QTTNCN!B39="","",QTTNCN!B39)</f>
        <v/>
      </c>
      <c r="C35" t="str">
        <f>IF(QTTNCN!C39="","",QTTNCN!C39)</f>
        <v/>
      </c>
      <c r="E35" t="str">
        <f>IF(QTTNCN!F39="","",QTTNCN!F39)</f>
        <v/>
      </c>
      <c r="F35" s="50">
        <f t="array" aca="1" ref="F35" ca="1">IFERROR(INDIRECT("QTTNCN!"&amp;ADDRESS(ROWS($A$1:$A39),MATCH(F$5,QTTNCN!$A$13:$AE$13,0))),"")</f>
        <v>0</v>
      </c>
      <c r="G35" s="50" t="str">
        <f t="array" aca="1" ref="G35" ca="1">IFERROR(INDIRECT("QTTNCN!"&amp;ADDRESS(ROWS($A$1:$A39),MATCH(G$5,QTTNCN!$A$13:$AE$13,0))),"")</f>
        <v/>
      </c>
      <c r="H35" s="50" t="str">
        <f t="array" aca="1" ref="H35" ca="1">IFERROR(INDIRECT("QTTNCN!"&amp;ADDRESS(ROWS($A$1:$A39),MATCH(H$5,QTTNCN!$A$13:$AE$13,0))),"")</f>
        <v/>
      </c>
      <c r="I35" s="50">
        <f t="array" aca="1" ref="I35" ca="1">IFERROR(INDIRECT("QTTNCN!"&amp;ADDRESS(ROWS($A$1:$A39),MATCH(I$5,QTTNCN!$A$13:$AE$13,0))),"")</f>
        <v>0</v>
      </c>
      <c r="J35" s="50">
        <f t="array" aca="1" ref="J35" ca="1">IFERROR(INDIRECT("QTTNCN!"&amp;ADDRESS(ROWS($A$1:$A39),MATCH(J$5,QTTNCN!$A$13:$AE$13,0))),"")</f>
        <v>0</v>
      </c>
      <c r="K35" s="50" t="str">
        <f t="array" aca="1" ref="K35" ca="1">IFERROR(INDIRECT("QTTNCN!"&amp;ADDRESS(ROWS($A$1:$A39),MATCH(K$5,QTTNCN!$A$13:$AE$13,0))),"")</f>
        <v/>
      </c>
      <c r="L35" s="50">
        <f t="array" aca="1" ref="L35" ca="1">IFERROR(INDIRECT("QTTNCN!"&amp;ADDRESS(ROWS($A$1:$A39),MATCH(L$5,QTTNCN!$A$13:$AE$13,0))),"")</f>
        <v>0</v>
      </c>
      <c r="M35" s="50" t="str">
        <f t="array" aca="1" ref="M35" ca="1">IFERROR(INDIRECT("QTTNCN!"&amp;ADDRESS(ROWS($A$1:$A39),MATCH(M$5,QTTNCN!$A$13:$AE$13,0))),"")</f>
        <v/>
      </c>
      <c r="N35" s="50">
        <f t="array" aca="1" ref="N35" ca="1">IFERROR(INDIRECT("QTTNCN!"&amp;ADDRESS(ROWS($A$1:$A39),MATCH(N$5,QTTNCN!$A$13:$AE$13,0))),"")</f>
        <v>0</v>
      </c>
      <c r="O35" s="50">
        <f t="array" aca="1" ref="O35" ca="1">IFERROR(INDIRECT("QTTNCN!"&amp;ADDRESS(ROWS($A$1:$A39),MATCH(O$5,QTTNCN!$A$13:$AE$13,0))),"")</f>
        <v>0</v>
      </c>
      <c r="P35" s="50" t="str">
        <f t="array" aca="1" ref="P35" ca="1">IFERROR(INDIRECT("QTTNCN!"&amp;ADDRESS(ROWS($A$1:$A39),MATCH(P$5,QTTNCN!$A$13:$AE$13,0))),"")</f>
        <v/>
      </c>
      <c r="Q35" s="50" t="str">
        <f t="array" aca="1" ref="Q35" ca="1">IFERROR(INDIRECT("QTTNCN!"&amp;ADDRESS(ROWS($A$1:$A39),MATCH(Q$5,QTTNCN!$A$13:$AE$13,0))),"")</f>
        <v/>
      </c>
      <c r="R35" s="50">
        <f t="array" aca="1" ref="R35" ca="1">IFERROR(INDIRECT("QTTNCN!"&amp;ADDRESS(ROWS($A$1:$A39),MATCH(R$5,QTTNCN!$A$13:$AE$13,0))),"")</f>
        <v>0</v>
      </c>
      <c r="S35" s="50">
        <f t="array" aca="1" ref="S35" ca="1">IFERROR(INDIRECT("QTTNCN!"&amp;ADDRESS(ROWS($A$1:$A39),MATCH(S$5,QTTNCN!$A$13:$AE$13,0))),"")</f>
        <v>0</v>
      </c>
      <c r="T35" s="50">
        <f t="array" aca="1" ref="T35" ca="1">IFERROR(INDIRECT("QTTNCN!"&amp;ADDRESS(ROWS($A$1:$A39),MATCH(T$5,QTTNCN!$A$13:$AE$13,0))),"")</f>
        <v>0</v>
      </c>
      <c r="U35" s="50">
        <f t="shared" si="2"/>
        <v>0</v>
      </c>
    </row>
    <row r="36" spans="1:21" x14ac:dyDescent="0.45">
      <c r="A36" s="15">
        <f>ROWS($A$10:A36)</f>
        <v>27</v>
      </c>
      <c r="B36" t="str">
        <f>IF(QTTNCN!B40="","",QTTNCN!B40)</f>
        <v/>
      </c>
      <c r="C36" t="str">
        <f>IF(QTTNCN!C40="","",QTTNCN!C40)</f>
        <v/>
      </c>
      <c r="E36" t="str">
        <f>IF(QTTNCN!F40="","",QTTNCN!F40)</f>
        <v/>
      </c>
      <c r="F36" s="50">
        <f t="array" aca="1" ref="F36" ca="1">IFERROR(INDIRECT("QTTNCN!"&amp;ADDRESS(ROWS($A$1:$A40),MATCH(F$5,QTTNCN!$A$13:$AE$13,0))),"")</f>
        <v>0</v>
      </c>
      <c r="G36" s="50" t="str">
        <f t="array" aca="1" ref="G36" ca="1">IFERROR(INDIRECT("QTTNCN!"&amp;ADDRESS(ROWS($A$1:$A40),MATCH(G$5,QTTNCN!$A$13:$AE$13,0))),"")</f>
        <v/>
      </c>
      <c r="H36" s="50" t="str">
        <f t="array" aca="1" ref="H36" ca="1">IFERROR(INDIRECT("QTTNCN!"&amp;ADDRESS(ROWS($A$1:$A40),MATCH(H$5,QTTNCN!$A$13:$AE$13,0))),"")</f>
        <v/>
      </c>
      <c r="I36" s="50">
        <f t="array" aca="1" ref="I36" ca="1">IFERROR(INDIRECT("QTTNCN!"&amp;ADDRESS(ROWS($A$1:$A40),MATCH(I$5,QTTNCN!$A$13:$AE$13,0))),"")</f>
        <v>0</v>
      </c>
      <c r="J36" s="50">
        <f t="array" aca="1" ref="J36" ca="1">IFERROR(INDIRECT("QTTNCN!"&amp;ADDRESS(ROWS($A$1:$A40),MATCH(J$5,QTTNCN!$A$13:$AE$13,0))),"")</f>
        <v>0</v>
      </c>
      <c r="K36" s="50" t="str">
        <f t="array" aca="1" ref="K36" ca="1">IFERROR(INDIRECT("QTTNCN!"&amp;ADDRESS(ROWS($A$1:$A40),MATCH(K$5,QTTNCN!$A$13:$AE$13,0))),"")</f>
        <v/>
      </c>
      <c r="L36" s="50">
        <f t="array" aca="1" ref="L36" ca="1">IFERROR(INDIRECT("QTTNCN!"&amp;ADDRESS(ROWS($A$1:$A40),MATCH(L$5,QTTNCN!$A$13:$AE$13,0))),"")</f>
        <v>0</v>
      </c>
      <c r="M36" s="50" t="str">
        <f t="array" aca="1" ref="M36" ca="1">IFERROR(INDIRECT("QTTNCN!"&amp;ADDRESS(ROWS($A$1:$A40),MATCH(M$5,QTTNCN!$A$13:$AE$13,0))),"")</f>
        <v/>
      </c>
      <c r="N36" s="50">
        <f t="array" aca="1" ref="N36" ca="1">IFERROR(INDIRECT("QTTNCN!"&amp;ADDRESS(ROWS($A$1:$A40),MATCH(N$5,QTTNCN!$A$13:$AE$13,0))),"")</f>
        <v>0</v>
      </c>
      <c r="O36" s="50">
        <f t="array" aca="1" ref="O36" ca="1">IFERROR(INDIRECT("QTTNCN!"&amp;ADDRESS(ROWS($A$1:$A40),MATCH(O$5,QTTNCN!$A$13:$AE$13,0))),"")</f>
        <v>0</v>
      </c>
      <c r="P36" s="50" t="str">
        <f t="array" aca="1" ref="P36" ca="1">IFERROR(INDIRECT("QTTNCN!"&amp;ADDRESS(ROWS($A$1:$A40),MATCH(P$5,QTTNCN!$A$13:$AE$13,0))),"")</f>
        <v/>
      </c>
      <c r="Q36" s="50" t="str">
        <f t="array" aca="1" ref="Q36" ca="1">IFERROR(INDIRECT("QTTNCN!"&amp;ADDRESS(ROWS($A$1:$A40),MATCH(Q$5,QTTNCN!$A$13:$AE$13,0))),"")</f>
        <v/>
      </c>
      <c r="R36" s="50">
        <f t="array" aca="1" ref="R36" ca="1">IFERROR(INDIRECT("QTTNCN!"&amp;ADDRESS(ROWS($A$1:$A40),MATCH(R$5,QTTNCN!$A$13:$AE$13,0))),"")</f>
        <v>0</v>
      </c>
      <c r="S36" s="50">
        <f t="array" aca="1" ref="S36" ca="1">IFERROR(INDIRECT("QTTNCN!"&amp;ADDRESS(ROWS($A$1:$A40),MATCH(S$5,QTTNCN!$A$13:$AE$13,0))),"")</f>
        <v>0</v>
      </c>
      <c r="T36" s="50">
        <f t="array" aca="1" ref="T36" ca="1">IFERROR(INDIRECT("QTTNCN!"&amp;ADDRESS(ROWS($A$1:$A40),MATCH(T$5,QTTNCN!$A$13:$AE$13,0))),"")</f>
        <v>0</v>
      </c>
      <c r="U36" s="50">
        <f t="shared" ref="U36:U38" si="3">LEN(B36)</f>
        <v>0</v>
      </c>
    </row>
    <row r="37" spans="1:21" x14ac:dyDescent="0.45">
      <c r="A37" s="15">
        <f>ROWS($A$10:A37)</f>
        <v>28</v>
      </c>
      <c r="B37" t="str">
        <f>IF(QTTNCN!B41="","",QTTNCN!B41)</f>
        <v/>
      </c>
      <c r="C37" t="str">
        <f>IF(QTTNCN!C41="","",QTTNCN!C41)</f>
        <v/>
      </c>
      <c r="E37" t="str">
        <f>IF(QTTNCN!F41="","",QTTNCN!F41)</f>
        <v/>
      </c>
      <c r="F37" s="50">
        <f t="array" aca="1" ref="F37" ca="1">IFERROR(INDIRECT("QTTNCN!"&amp;ADDRESS(ROWS($A$1:$A41),MATCH(F$5,QTTNCN!$A$13:$AE$13,0))),"")</f>
        <v>0</v>
      </c>
      <c r="G37" s="50" t="str">
        <f t="array" aca="1" ref="G37" ca="1">IFERROR(INDIRECT("QTTNCN!"&amp;ADDRESS(ROWS($A$1:$A41),MATCH(G$5,QTTNCN!$A$13:$AE$13,0))),"")</f>
        <v/>
      </c>
      <c r="H37" s="50" t="str">
        <f t="array" aca="1" ref="H37" ca="1">IFERROR(INDIRECT("QTTNCN!"&amp;ADDRESS(ROWS($A$1:$A41),MATCH(H$5,QTTNCN!$A$13:$AE$13,0))),"")</f>
        <v/>
      </c>
      <c r="I37" s="50">
        <f t="array" aca="1" ref="I37" ca="1">IFERROR(INDIRECT("QTTNCN!"&amp;ADDRESS(ROWS($A$1:$A41),MATCH(I$5,QTTNCN!$A$13:$AE$13,0))),"")</f>
        <v>0</v>
      </c>
      <c r="J37" s="50">
        <f t="array" aca="1" ref="J37" ca="1">IFERROR(INDIRECT("QTTNCN!"&amp;ADDRESS(ROWS($A$1:$A41),MATCH(J$5,QTTNCN!$A$13:$AE$13,0))),"")</f>
        <v>0</v>
      </c>
      <c r="K37" s="50" t="str">
        <f t="array" aca="1" ref="K37" ca="1">IFERROR(INDIRECT("QTTNCN!"&amp;ADDRESS(ROWS($A$1:$A41),MATCH(K$5,QTTNCN!$A$13:$AE$13,0))),"")</f>
        <v/>
      </c>
      <c r="L37" s="50">
        <f t="array" aca="1" ref="L37" ca="1">IFERROR(INDIRECT("QTTNCN!"&amp;ADDRESS(ROWS($A$1:$A41),MATCH(L$5,QTTNCN!$A$13:$AE$13,0))),"")</f>
        <v>0</v>
      </c>
      <c r="M37" s="50" t="str">
        <f t="array" aca="1" ref="M37" ca="1">IFERROR(INDIRECT("QTTNCN!"&amp;ADDRESS(ROWS($A$1:$A41),MATCH(M$5,QTTNCN!$A$13:$AE$13,0))),"")</f>
        <v/>
      </c>
      <c r="N37" s="50">
        <f t="array" aca="1" ref="N37" ca="1">IFERROR(INDIRECT("QTTNCN!"&amp;ADDRESS(ROWS($A$1:$A41),MATCH(N$5,QTTNCN!$A$13:$AE$13,0))),"")</f>
        <v>0</v>
      </c>
      <c r="O37" s="50">
        <f t="array" aca="1" ref="O37" ca="1">IFERROR(INDIRECT("QTTNCN!"&amp;ADDRESS(ROWS($A$1:$A41),MATCH(O$5,QTTNCN!$A$13:$AE$13,0))),"")</f>
        <v>0</v>
      </c>
      <c r="P37" s="50" t="str">
        <f t="array" aca="1" ref="P37" ca="1">IFERROR(INDIRECT("QTTNCN!"&amp;ADDRESS(ROWS($A$1:$A41),MATCH(P$5,QTTNCN!$A$13:$AE$13,0))),"")</f>
        <v/>
      </c>
      <c r="Q37" s="50" t="str">
        <f t="array" aca="1" ref="Q37" ca="1">IFERROR(INDIRECT("QTTNCN!"&amp;ADDRESS(ROWS($A$1:$A41),MATCH(Q$5,QTTNCN!$A$13:$AE$13,0))),"")</f>
        <v/>
      </c>
      <c r="R37" s="50">
        <f t="array" aca="1" ref="R37" ca="1">IFERROR(INDIRECT("QTTNCN!"&amp;ADDRESS(ROWS($A$1:$A41),MATCH(R$5,QTTNCN!$A$13:$AE$13,0))),"")</f>
        <v>0</v>
      </c>
      <c r="S37" s="50">
        <f t="array" aca="1" ref="S37" ca="1">IFERROR(INDIRECT("QTTNCN!"&amp;ADDRESS(ROWS($A$1:$A41),MATCH(S$5,QTTNCN!$A$13:$AE$13,0))),"")</f>
        <v>0</v>
      </c>
      <c r="T37" s="50">
        <f t="array" aca="1" ref="T37" ca="1">IFERROR(INDIRECT("QTTNCN!"&amp;ADDRESS(ROWS($A$1:$A41),MATCH(T$5,QTTNCN!$A$13:$AE$13,0))),"")</f>
        <v>0</v>
      </c>
      <c r="U37" s="50">
        <f t="shared" si="3"/>
        <v>0</v>
      </c>
    </row>
    <row r="38" spans="1:21" x14ac:dyDescent="0.45">
      <c r="A38" s="15">
        <f>ROWS($A$10:A38)</f>
        <v>29</v>
      </c>
      <c r="B38" t="str">
        <f>IF(QTTNCN!B42="","",QTTNCN!B42)</f>
        <v/>
      </c>
      <c r="C38" t="str">
        <f>IF(QTTNCN!C42="","",QTTNCN!C42)</f>
        <v/>
      </c>
      <c r="E38" t="str">
        <f>IF(QTTNCN!F42="","",QTTNCN!F42)</f>
        <v/>
      </c>
      <c r="F38" s="50">
        <f t="array" aca="1" ref="F38" ca="1">IFERROR(INDIRECT("QTTNCN!"&amp;ADDRESS(ROWS($A$1:$A42),MATCH(F$5,QTTNCN!$A$13:$AE$13,0))),"")</f>
        <v>0</v>
      </c>
      <c r="G38" s="50" t="str">
        <f t="array" aca="1" ref="G38" ca="1">IFERROR(INDIRECT("QTTNCN!"&amp;ADDRESS(ROWS($A$1:$A42),MATCH(G$5,QTTNCN!$A$13:$AE$13,0))),"")</f>
        <v/>
      </c>
      <c r="H38" s="50" t="str">
        <f t="array" aca="1" ref="H38" ca="1">IFERROR(INDIRECT("QTTNCN!"&amp;ADDRESS(ROWS($A$1:$A42),MATCH(H$5,QTTNCN!$A$13:$AE$13,0))),"")</f>
        <v/>
      </c>
      <c r="I38" s="50">
        <f t="array" aca="1" ref="I38" ca="1">IFERROR(INDIRECT("QTTNCN!"&amp;ADDRESS(ROWS($A$1:$A42),MATCH(I$5,QTTNCN!$A$13:$AE$13,0))),"")</f>
        <v>0</v>
      </c>
      <c r="J38" s="50">
        <f t="array" aca="1" ref="J38" ca="1">IFERROR(INDIRECT("QTTNCN!"&amp;ADDRESS(ROWS($A$1:$A42),MATCH(J$5,QTTNCN!$A$13:$AE$13,0))),"")</f>
        <v>0</v>
      </c>
      <c r="K38" s="50" t="str">
        <f t="array" aca="1" ref="K38" ca="1">IFERROR(INDIRECT("QTTNCN!"&amp;ADDRESS(ROWS($A$1:$A42),MATCH(K$5,QTTNCN!$A$13:$AE$13,0))),"")</f>
        <v/>
      </c>
      <c r="L38" s="50">
        <f t="array" aca="1" ref="L38" ca="1">IFERROR(INDIRECT("QTTNCN!"&amp;ADDRESS(ROWS($A$1:$A42),MATCH(L$5,QTTNCN!$A$13:$AE$13,0))),"")</f>
        <v>0</v>
      </c>
      <c r="M38" s="50" t="str">
        <f t="array" aca="1" ref="M38" ca="1">IFERROR(INDIRECT("QTTNCN!"&amp;ADDRESS(ROWS($A$1:$A42),MATCH(M$5,QTTNCN!$A$13:$AE$13,0))),"")</f>
        <v/>
      </c>
      <c r="N38" s="50">
        <f t="array" aca="1" ref="N38" ca="1">IFERROR(INDIRECT("QTTNCN!"&amp;ADDRESS(ROWS($A$1:$A42),MATCH(N$5,QTTNCN!$A$13:$AE$13,0))),"")</f>
        <v>0</v>
      </c>
      <c r="O38" s="50">
        <f t="array" aca="1" ref="O38" ca="1">IFERROR(INDIRECT("QTTNCN!"&amp;ADDRESS(ROWS($A$1:$A42),MATCH(O$5,QTTNCN!$A$13:$AE$13,0))),"")</f>
        <v>0</v>
      </c>
      <c r="P38" s="50" t="str">
        <f t="array" aca="1" ref="P38" ca="1">IFERROR(INDIRECT("QTTNCN!"&amp;ADDRESS(ROWS($A$1:$A42),MATCH(P$5,QTTNCN!$A$13:$AE$13,0))),"")</f>
        <v/>
      </c>
      <c r="Q38" s="50" t="str">
        <f t="array" aca="1" ref="Q38" ca="1">IFERROR(INDIRECT("QTTNCN!"&amp;ADDRESS(ROWS($A$1:$A42),MATCH(Q$5,QTTNCN!$A$13:$AE$13,0))),"")</f>
        <v/>
      </c>
      <c r="R38" s="50">
        <f t="array" aca="1" ref="R38" ca="1">IFERROR(INDIRECT("QTTNCN!"&amp;ADDRESS(ROWS($A$1:$A42),MATCH(R$5,QTTNCN!$A$13:$AE$13,0))),"")</f>
        <v>0</v>
      </c>
      <c r="S38" s="50">
        <f t="array" aca="1" ref="S38" ca="1">IFERROR(INDIRECT("QTTNCN!"&amp;ADDRESS(ROWS($A$1:$A42),MATCH(S$5,QTTNCN!$A$13:$AE$13,0))),"")</f>
        <v>0</v>
      </c>
      <c r="T38" s="50">
        <f t="array" aca="1" ref="T38" ca="1">IFERROR(INDIRECT("QTTNCN!"&amp;ADDRESS(ROWS($A$1:$A42),MATCH(T$5,QTTNCN!$A$13:$AE$13,0))),"")</f>
        <v>0</v>
      </c>
      <c r="U38" s="50">
        <f t="shared" si="3"/>
        <v>0</v>
      </c>
    </row>
    <row r="39" spans="1:21" x14ac:dyDescent="0.45">
      <c r="A39" s="15"/>
      <c r="C39" s="15"/>
      <c r="D39" s="15"/>
      <c r="F39" s="50"/>
      <c r="I39" s="50"/>
      <c r="J39" s="50"/>
      <c r="K39" s="50"/>
      <c r="L39" s="50"/>
      <c r="M39" s="50"/>
      <c r="N39" s="50"/>
      <c r="O39" s="50"/>
    </row>
    <row r="40" spans="1:21" x14ac:dyDescent="0.45">
      <c r="A40" s="15"/>
      <c r="C40" s="15"/>
      <c r="D40" s="15"/>
      <c r="F40" s="50"/>
      <c r="I40" s="50"/>
      <c r="J40" s="50"/>
      <c r="K40" s="50"/>
      <c r="L40" s="50"/>
      <c r="M40" s="50"/>
      <c r="N40" s="50"/>
      <c r="O40" s="50"/>
    </row>
    <row r="41" spans="1:21" x14ac:dyDescent="0.45">
      <c r="A41" s="15"/>
      <c r="C41" s="15"/>
      <c r="D41" s="15"/>
      <c r="F41" s="50"/>
      <c r="I41" s="50"/>
      <c r="J41" s="50"/>
      <c r="K41" s="50"/>
      <c r="L41" s="50"/>
      <c r="M41" s="50"/>
      <c r="N41" s="50"/>
      <c r="O41" s="50"/>
    </row>
    <row r="42" spans="1:21" x14ac:dyDescent="0.45">
      <c r="A42" s="15"/>
      <c r="C42" s="15"/>
      <c r="D42" s="15"/>
      <c r="F42" s="50"/>
      <c r="I42" s="50"/>
      <c r="J42" s="50"/>
      <c r="K42" s="50"/>
      <c r="L42" s="50"/>
      <c r="M42" s="50"/>
      <c r="N42" s="50"/>
      <c r="O42" s="50"/>
    </row>
    <row r="43" spans="1:21" x14ac:dyDescent="0.45">
      <c r="A43" s="15"/>
      <c r="C43" s="15"/>
      <c r="D43" s="15"/>
      <c r="F43" s="50"/>
      <c r="I43" s="50"/>
      <c r="J43" s="50"/>
      <c r="K43" s="50"/>
      <c r="L43" s="50"/>
      <c r="M43" s="50"/>
      <c r="N43" s="50"/>
      <c r="O43" s="50"/>
    </row>
    <row r="44" spans="1:21" x14ac:dyDescent="0.45">
      <c r="A44" s="15"/>
      <c r="C44" s="15"/>
      <c r="D44" s="15"/>
      <c r="F44" s="50"/>
      <c r="I44" s="50"/>
      <c r="J44" s="50"/>
      <c r="K44" s="50"/>
      <c r="L44" s="50"/>
      <c r="M44" s="50"/>
      <c r="N44" s="50"/>
      <c r="O44" s="50"/>
    </row>
    <row r="45" spans="1:21" x14ac:dyDescent="0.45">
      <c r="A45" s="15"/>
      <c r="C45" s="15"/>
      <c r="D45" s="15"/>
      <c r="F45" s="50"/>
      <c r="I45" s="50"/>
      <c r="J45" s="50"/>
      <c r="K45" s="50"/>
      <c r="L45" s="50"/>
      <c r="M45" s="50"/>
      <c r="N45" s="50"/>
      <c r="O45" s="50"/>
    </row>
    <row r="46" spans="1:21" x14ac:dyDescent="0.45">
      <c r="A46" s="15"/>
      <c r="C46" s="15"/>
      <c r="D46" s="15"/>
      <c r="F46" s="50"/>
      <c r="I46" s="50"/>
      <c r="J46" s="50"/>
      <c r="K46" s="50"/>
      <c r="L46" s="50"/>
      <c r="M46" s="50"/>
      <c r="N46" s="50"/>
      <c r="O46" s="50"/>
    </row>
  </sheetData>
  <mergeCells count="21">
    <mergeCell ref="R7:R8"/>
    <mergeCell ref="S7:S8"/>
    <mergeCell ref="T7:T8"/>
    <mergeCell ref="A6:A8"/>
    <mergeCell ref="N6:N8"/>
    <mergeCell ref="O6:O8"/>
    <mergeCell ref="P6:P8"/>
    <mergeCell ref="R6:T6"/>
    <mergeCell ref="F7:F8"/>
    <mergeCell ref="G7:H7"/>
    <mergeCell ref="I7:I8"/>
    <mergeCell ref="J7:J8"/>
    <mergeCell ref="K7:K8"/>
    <mergeCell ref="L7:L8"/>
    <mergeCell ref="B6:B8"/>
    <mergeCell ref="C6:C8"/>
    <mergeCell ref="D6:D8"/>
    <mergeCell ref="E6:E8"/>
    <mergeCell ref="F6:H6"/>
    <mergeCell ref="I6:M6"/>
    <mergeCell ref="M7:M8"/>
  </mergeCells>
  <pageMargins left="0.23" right="0.23" top="0.75" bottom="0.75" header="0.3" footer="0.3"/>
  <pageSetup paperSize="9" scale="57" fitToHeight="0" orientation="landscape"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052">
    <tabColor theme="5" tint="-0.249977111117893"/>
  </sheetPr>
  <dimension ref="A3:M31"/>
  <sheetViews>
    <sheetView showGridLines="0" workbookViewId="0">
      <selection activeCell="F14" sqref="F14"/>
    </sheetView>
  </sheetViews>
  <sheetFormatPr defaultColWidth="9.265625" defaultRowHeight="14.25" x14ac:dyDescent="0.45"/>
  <cols>
    <col min="1" max="1" width="6.59765625" style="3" customWidth="1"/>
    <col min="2" max="4" width="15.265625" style="3" customWidth="1"/>
    <col min="5" max="5" width="9.86328125" style="3" customWidth="1"/>
    <col min="6" max="6" width="13.265625" style="3" customWidth="1"/>
    <col min="7" max="7" width="14.265625" style="3" customWidth="1"/>
    <col min="8" max="9" width="12.1328125" style="3" customWidth="1"/>
    <col min="10" max="10" width="16.265625" style="3" customWidth="1"/>
    <col min="11" max="11" width="15.73046875" style="3" customWidth="1"/>
    <col min="12" max="12" width="15" style="3" customWidth="1"/>
    <col min="13" max="13" width="9.86328125" style="45" hidden="1" customWidth="1"/>
    <col min="14" max="16384" width="9.265625" style="3"/>
  </cols>
  <sheetData>
    <row r="3" spans="1:13" ht="42.6" customHeight="1" thickBot="1" x14ac:dyDescent="0.5">
      <c r="A3" s="352" t="s">
        <v>308</v>
      </c>
      <c r="B3" s="2"/>
      <c r="C3" s="2"/>
      <c r="D3" s="2"/>
      <c r="E3" s="2"/>
      <c r="F3" s="2"/>
      <c r="G3" s="2"/>
      <c r="H3" s="2"/>
      <c r="I3" s="2"/>
      <c r="J3" s="2"/>
      <c r="K3" s="2"/>
      <c r="L3" s="2"/>
    </row>
    <row r="4" spans="1:13" ht="14.65" thickTop="1" x14ac:dyDescent="0.45"/>
    <row r="5" spans="1:13" x14ac:dyDescent="0.45">
      <c r="A5" s="81"/>
      <c r="B5" s="81">
        <v>1</v>
      </c>
      <c r="C5" s="81">
        <v>2</v>
      </c>
      <c r="D5" s="81">
        <v>3</v>
      </c>
      <c r="E5" s="81">
        <v>4</v>
      </c>
      <c r="F5" s="81">
        <v>20</v>
      </c>
      <c r="G5" s="81"/>
      <c r="H5" s="81"/>
      <c r="I5" s="81"/>
      <c r="J5" s="81">
        <v>33</v>
      </c>
      <c r="K5" s="81"/>
      <c r="L5" s="81"/>
      <c r="M5" s="45">
        <v>6</v>
      </c>
    </row>
    <row r="6" spans="1:13" s="5" customFormat="1" x14ac:dyDescent="0.45">
      <c r="A6" s="705" t="s">
        <v>1</v>
      </c>
      <c r="B6" s="705" t="s">
        <v>2</v>
      </c>
      <c r="C6" s="705" t="s">
        <v>115</v>
      </c>
      <c r="D6" s="705" t="s">
        <v>309</v>
      </c>
      <c r="E6" s="704" t="s">
        <v>271</v>
      </c>
      <c r="F6" s="704" t="s">
        <v>57</v>
      </c>
      <c r="G6" s="704"/>
      <c r="H6" s="704"/>
      <c r="I6" s="704"/>
      <c r="J6" s="704" t="s">
        <v>314</v>
      </c>
      <c r="K6" s="704"/>
      <c r="L6" s="703" t="s">
        <v>317</v>
      </c>
      <c r="M6" s="533"/>
    </row>
    <row r="7" spans="1:13" s="5" customFormat="1" x14ac:dyDescent="0.45">
      <c r="A7" s="705"/>
      <c r="B7" s="705"/>
      <c r="C7" s="705"/>
      <c r="D7" s="705"/>
      <c r="E7" s="704"/>
      <c r="F7" s="704" t="s">
        <v>123</v>
      </c>
      <c r="G7" s="706" t="s">
        <v>310</v>
      </c>
      <c r="H7" s="704" t="s">
        <v>311</v>
      </c>
      <c r="I7" s="704"/>
      <c r="J7" s="704" t="s">
        <v>315</v>
      </c>
      <c r="K7" s="706" t="s">
        <v>316</v>
      </c>
      <c r="L7" s="703"/>
      <c r="M7" s="533"/>
    </row>
    <row r="8" spans="1:13" s="5" customFormat="1" ht="50.85" customHeight="1" x14ac:dyDescent="0.45">
      <c r="A8" s="705"/>
      <c r="B8" s="705"/>
      <c r="C8" s="705"/>
      <c r="D8" s="705"/>
      <c r="E8" s="704"/>
      <c r="F8" s="704"/>
      <c r="G8" s="706"/>
      <c r="H8" s="351" t="s">
        <v>312</v>
      </c>
      <c r="I8" s="351" t="s">
        <v>313</v>
      </c>
      <c r="J8" s="704"/>
      <c r="K8" s="706"/>
      <c r="L8" s="703"/>
      <c r="M8" s="533"/>
    </row>
    <row r="9" spans="1:13" x14ac:dyDescent="0.45">
      <c r="A9" s="5">
        <f>ROWS($A$9:A9)</f>
        <v>1</v>
      </c>
      <c r="B9" s="3">
        <f t="array" ref="B9">IFERROR(INDEX(Thue_Ngoai!$B$15:$V$2503,ROWS($B$9:$B9),B$5),0)</f>
        <v>0</v>
      </c>
      <c r="C9" s="3">
        <f t="array" ref="C9">IFERROR(INDEX(Thue_Ngoai!$B$15:$V$2503,ROWS($B$9:$B9),C$5),0)</f>
        <v>0</v>
      </c>
      <c r="D9" s="3">
        <f t="array" ref="D9">IFERROR(INDEX(Thue_Ngoai!$B$15:$V$2503,ROWS($B$9:$B9),D$5),0)</f>
        <v>0</v>
      </c>
      <c r="E9" s="3">
        <f t="array" ref="E9">IFERROR(INDEX(Thue_Ngoai!$B$15:$V$2503,ROWS($B$9:$B9),E$5),0)</f>
        <v>0</v>
      </c>
      <c r="F9" s="11">
        <f t="array" ref="F9">IF(M9="GROSS",INDEX(Thue_Ngoai!$B$15:$V$2503,ROWS($B$9:$B9),F$5),INDEX(Thue_Ngoai!$B$15:$V$2503,ROWS($B$9:$B9),F$5)/0.9)</f>
        <v>0</v>
      </c>
      <c r="G9" s="11"/>
      <c r="H9" s="11"/>
      <c r="I9" s="11"/>
      <c r="J9" s="11">
        <f t="array" ref="J9">IFERROR(INDEX(Thue_Ngoai!$B$15:$AH$2503,ROWS($B$9:$B9),J$5),0)</f>
        <v>0</v>
      </c>
      <c r="M9" s="534">
        <f t="array" ref="M9">INDEX(Thue_Ngoai!$B$15:$V$2503,ROWS($B$9:$B9),M$5)</f>
        <v>0</v>
      </c>
    </row>
    <row r="10" spans="1:13" x14ac:dyDescent="0.45">
      <c r="A10" s="5">
        <f>ROWS($A$9:A10)</f>
        <v>2</v>
      </c>
      <c r="B10" s="3">
        <f t="array" ref="B10">IFERROR(INDEX(Thue_Ngoai!$B$15:$V$2503,ROWS($B$9:$B10),B$5),0)</f>
        <v>0</v>
      </c>
      <c r="C10" s="3">
        <f t="array" ref="C10">IFERROR(INDEX(Thue_Ngoai!$B$15:$V$2503,ROWS($B$9:$B10),C$5),0)</f>
        <v>0</v>
      </c>
      <c r="D10" s="3">
        <f t="array" ref="D10">IFERROR(INDEX(Thue_Ngoai!$B$15:$V$2503,ROWS($B$9:$B10),D$5),0)</f>
        <v>0</v>
      </c>
      <c r="E10" s="3">
        <f t="array" ref="E10">IFERROR(INDEX(Thue_Ngoai!$B$15:$V$2503,ROWS($B$9:$B10),E$5),0)</f>
        <v>0</v>
      </c>
      <c r="F10" s="11">
        <f t="array" ref="F10">IF(M10="GROSS",INDEX(Thue_Ngoai!$B$15:$V$2503,ROWS($B$9:$B10),F$5),INDEX(Thue_Ngoai!$B$15:$V$2503,ROWS($B$9:$B10),F$5)/0.9)</f>
        <v>0</v>
      </c>
      <c r="G10" s="11"/>
      <c r="H10" s="11"/>
      <c r="I10" s="11"/>
      <c r="J10" s="11">
        <f t="array" ref="J10">IFERROR(INDEX(Thue_Ngoai!$B$15:$AH$2503,ROWS($B$9:$B10),J$5),0)</f>
        <v>0</v>
      </c>
      <c r="M10" s="534">
        <f t="array" ref="M10">INDEX(Thue_Ngoai!$B$15:$V$2503,ROWS($B$9:$B10),M$5)</f>
        <v>0</v>
      </c>
    </row>
    <row r="11" spans="1:13" x14ac:dyDescent="0.45">
      <c r="A11" s="5">
        <f>ROWS($A$9:A11)</f>
        <v>3</v>
      </c>
      <c r="B11" s="3">
        <f t="array" ref="B11">IFERROR(INDEX(Thue_Ngoai!$B$15:$V$2503,ROWS($B$9:$B11),B$5),0)</f>
        <v>0</v>
      </c>
      <c r="C11" s="3">
        <f t="array" ref="C11">IFERROR(INDEX(Thue_Ngoai!$B$15:$V$2503,ROWS($B$9:$B11),C$5),0)</f>
        <v>0</v>
      </c>
      <c r="D11" s="3">
        <f t="array" ref="D11">IFERROR(INDEX(Thue_Ngoai!$B$15:$V$2503,ROWS($B$9:$B11),D$5),0)</f>
        <v>0</v>
      </c>
      <c r="E11" s="3">
        <f t="array" ref="E11">IFERROR(INDEX(Thue_Ngoai!$B$15:$V$2503,ROWS($B$9:$B11),E$5),0)</f>
        <v>0</v>
      </c>
      <c r="F11" s="11">
        <f t="array" ref="F11">IF(M11="GROSS",INDEX(Thue_Ngoai!$B$15:$V$2503,ROWS($B$9:$B11),F$5),INDEX(Thue_Ngoai!$B$15:$V$2503,ROWS($B$9:$B11),F$5)/0.9)</f>
        <v>0</v>
      </c>
      <c r="G11" s="11"/>
      <c r="H11" s="11"/>
      <c r="I11" s="11"/>
      <c r="J11" s="11">
        <f t="array" ref="J11">IFERROR(INDEX(Thue_Ngoai!$B$15:$AH$2503,ROWS($B$9:$B11),J$5),0)</f>
        <v>0</v>
      </c>
      <c r="M11" s="534">
        <f t="array" ref="M11">INDEX(Thue_Ngoai!$B$15:$V$2503,ROWS($B$9:$B11),M$5)</f>
        <v>0</v>
      </c>
    </row>
    <row r="12" spans="1:13" x14ac:dyDescent="0.45">
      <c r="A12" s="5">
        <f>ROWS($A$9:A12)</f>
        <v>4</v>
      </c>
      <c r="B12" s="3">
        <f t="array" ref="B12">IFERROR(INDEX(Thue_Ngoai!$B$15:$V$2503,ROWS($B$9:$B12),B$5),0)</f>
        <v>0</v>
      </c>
      <c r="C12" s="3">
        <f t="array" ref="C12">IFERROR(INDEX(Thue_Ngoai!$B$15:$V$2503,ROWS($B$9:$B12),C$5),0)</f>
        <v>0</v>
      </c>
      <c r="D12" s="3">
        <f t="array" ref="D12">IFERROR(INDEX(Thue_Ngoai!$B$15:$V$2503,ROWS($B$9:$B12),D$5),0)</f>
        <v>0</v>
      </c>
      <c r="E12" s="3">
        <f t="array" ref="E12">IFERROR(INDEX(Thue_Ngoai!$B$15:$V$2503,ROWS($B$9:$B12),E$5),0)</f>
        <v>0</v>
      </c>
      <c r="F12" s="11">
        <f t="array" ref="F12">IF(M12="GROSS",INDEX(Thue_Ngoai!$B$15:$V$2503,ROWS($B$9:$B12),F$5),INDEX(Thue_Ngoai!$B$15:$V$2503,ROWS($B$9:$B12),F$5)/0.9)</f>
        <v>0</v>
      </c>
      <c r="G12" s="11"/>
      <c r="H12" s="11"/>
      <c r="I12" s="11"/>
      <c r="J12" s="11">
        <f t="array" ref="J12">IFERROR(INDEX(Thue_Ngoai!$B$15:$AH$2503,ROWS($B$9:$B12),J$5),0)</f>
        <v>0</v>
      </c>
      <c r="M12" s="534">
        <f t="array" ref="M12">INDEX(Thue_Ngoai!$B$15:$V$2503,ROWS($B$9:$B12),M$5)</f>
        <v>0</v>
      </c>
    </row>
    <row r="13" spans="1:13" x14ac:dyDescent="0.45">
      <c r="A13" s="5">
        <f>ROWS($A$9:A13)</f>
        <v>5</v>
      </c>
      <c r="B13" s="3">
        <f t="array" ref="B13">IFERROR(INDEX(Thue_Ngoai!$B$15:$V$2503,ROWS($B$9:$B13),B$5),0)</f>
        <v>0</v>
      </c>
      <c r="C13" s="3">
        <f t="array" ref="C13">IFERROR(INDEX(Thue_Ngoai!$B$15:$V$2503,ROWS($B$9:$B13),C$5),0)</f>
        <v>0</v>
      </c>
      <c r="D13" s="3">
        <f t="array" ref="D13">IFERROR(INDEX(Thue_Ngoai!$B$15:$V$2503,ROWS($B$9:$B13),D$5),0)</f>
        <v>0</v>
      </c>
      <c r="E13" s="3">
        <f t="array" ref="E13">IFERROR(INDEX(Thue_Ngoai!$B$15:$V$2503,ROWS($B$9:$B13),E$5),0)</f>
        <v>0</v>
      </c>
      <c r="F13" s="11">
        <f t="array" ref="F13">IF(M13="GROSS",INDEX(Thue_Ngoai!$B$15:$V$2503,ROWS($B$9:$B13),F$5),INDEX(Thue_Ngoai!$B$15:$V$2503,ROWS($B$9:$B13),F$5)/0.9)</f>
        <v>0</v>
      </c>
      <c r="G13" s="11"/>
      <c r="H13" s="11"/>
      <c r="I13" s="11"/>
      <c r="J13" s="11">
        <f t="array" ref="J13">IFERROR(INDEX(Thue_Ngoai!$B$15:$AH$2503,ROWS($B$9:$B13),J$5),0)</f>
        <v>0</v>
      </c>
      <c r="M13" s="534">
        <f t="array" ref="M13">INDEX(Thue_Ngoai!$B$15:$V$2503,ROWS($B$9:$B13),M$5)</f>
        <v>0</v>
      </c>
    </row>
    <row r="14" spans="1:13" x14ac:dyDescent="0.45">
      <c r="A14" s="5">
        <f>ROWS($A$9:A14)</f>
        <v>6</v>
      </c>
      <c r="B14" s="3">
        <f t="array" ref="B14">IFERROR(INDEX(Thue_Ngoai!$B$15:$V$2503,ROWS($B$9:$B14),B$5),0)</f>
        <v>0</v>
      </c>
      <c r="C14" s="3">
        <f t="array" ref="C14">IFERROR(INDEX(Thue_Ngoai!$B$15:$V$2503,ROWS($B$9:$B14),C$5),0)</f>
        <v>0</v>
      </c>
      <c r="D14" s="3">
        <f t="array" ref="D14">IFERROR(INDEX(Thue_Ngoai!$B$15:$V$2503,ROWS($B$9:$B14),D$5),0)</f>
        <v>0</v>
      </c>
      <c r="E14" s="3">
        <f t="array" ref="E14">IFERROR(INDEX(Thue_Ngoai!$B$15:$V$2503,ROWS($B$9:$B14),E$5),0)</f>
        <v>0</v>
      </c>
      <c r="F14" s="11">
        <f t="array" ref="F14">IF(M14="GROSS",INDEX(Thue_Ngoai!$B$15:$V$2503,ROWS($B$9:$B14),F$5),INDEX(Thue_Ngoai!$B$15:$V$2503,ROWS($B$9:$B14),F$5)/0.9)</f>
        <v>0</v>
      </c>
      <c r="G14" s="11"/>
      <c r="H14" s="11"/>
      <c r="I14" s="11"/>
      <c r="J14" s="11">
        <f t="array" ref="J14">IFERROR(INDEX(Thue_Ngoai!$B$15:$AH$2503,ROWS($B$9:$B14),J$5),0)</f>
        <v>0</v>
      </c>
      <c r="M14" s="534">
        <f t="array" ref="M14">INDEX(Thue_Ngoai!$B$15:$V$2503,ROWS($B$9:$B14),M$5)</f>
        <v>0</v>
      </c>
    </row>
    <row r="15" spans="1:13" x14ac:dyDescent="0.45">
      <c r="A15" s="5">
        <f>ROWS($A$9:A15)</f>
        <v>7</v>
      </c>
      <c r="B15" s="3">
        <f t="array" ref="B15">IFERROR(INDEX(Thue_Ngoai!$B$15:$V$2503,ROWS($B$9:$B15),B$5),0)</f>
        <v>0</v>
      </c>
      <c r="C15" s="3">
        <f t="array" ref="C15">IFERROR(INDEX(Thue_Ngoai!$B$15:$V$2503,ROWS($B$9:$B15),C$5),0)</f>
        <v>0</v>
      </c>
      <c r="D15" s="3">
        <f t="array" ref="D15">IFERROR(INDEX(Thue_Ngoai!$B$15:$V$2503,ROWS($B$9:$B15),D$5),0)</f>
        <v>0</v>
      </c>
      <c r="E15" s="3">
        <f t="array" ref="E15">IFERROR(INDEX(Thue_Ngoai!$B$15:$V$2503,ROWS($B$9:$B15),E$5),0)</f>
        <v>0</v>
      </c>
      <c r="F15" s="11">
        <f t="array" ref="F15">IF(M15="GROSS",INDEX(Thue_Ngoai!$B$15:$V$2503,ROWS($B$9:$B15),F$5),INDEX(Thue_Ngoai!$B$15:$V$2503,ROWS($B$9:$B15),F$5)/0.9)</f>
        <v>0</v>
      </c>
      <c r="G15" s="11"/>
      <c r="H15" s="11"/>
      <c r="I15" s="11"/>
      <c r="J15" s="11">
        <f t="array" ref="J15">IFERROR(INDEX(Thue_Ngoai!$B$15:$AH$2503,ROWS($B$9:$B15),J$5),0)</f>
        <v>0</v>
      </c>
      <c r="M15" s="534">
        <f t="array" ref="M15">INDEX(Thue_Ngoai!$B$15:$V$2503,ROWS($B$9:$B15),M$5)</f>
        <v>0</v>
      </c>
    </row>
    <row r="16" spans="1:13" x14ac:dyDescent="0.45">
      <c r="A16" s="5">
        <f>ROWS($A$9:A16)</f>
        <v>8</v>
      </c>
      <c r="B16" s="3">
        <f t="array" ref="B16">IFERROR(INDEX(Thue_Ngoai!$B$15:$V$2503,ROWS($B$9:$B16),B$5),0)</f>
        <v>0</v>
      </c>
      <c r="C16" s="3">
        <f t="array" ref="C16">IFERROR(INDEX(Thue_Ngoai!$B$15:$V$2503,ROWS($B$9:$B16),C$5),0)</f>
        <v>0</v>
      </c>
      <c r="D16" s="3">
        <f t="array" ref="D16">IFERROR(INDEX(Thue_Ngoai!$B$15:$V$2503,ROWS($B$9:$B16),D$5),0)</f>
        <v>0</v>
      </c>
      <c r="E16" s="3">
        <f t="array" ref="E16">IFERROR(INDEX(Thue_Ngoai!$B$15:$V$2503,ROWS($B$9:$B16),E$5),0)</f>
        <v>0</v>
      </c>
      <c r="F16" s="11">
        <f t="array" ref="F16">IF(M16="GROSS",INDEX(Thue_Ngoai!$B$15:$V$2503,ROWS($B$9:$B16),F$5),INDEX(Thue_Ngoai!$B$15:$V$2503,ROWS($B$9:$B16),F$5)/0.9)</f>
        <v>0</v>
      </c>
      <c r="G16" s="11"/>
      <c r="H16" s="11"/>
      <c r="I16" s="11"/>
      <c r="J16" s="11">
        <f t="array" ref="J16">IFERROR(INDEX(Thue_Ngoai!$B$15:$AH$2503,ROWS($B$9:$B16),J$5),0)</f>
        <v>0</v>
      </c>
      <c r="M16" s="534">
        <f t="array" ref="M16">INDEX(Thue_Ngoai!$B$15:$V$2503,ROWS($B$9:$B16),M$5)</f>
        <v>0</v>
      </c>
    </row>
    <row r="17" spans="1:13" x14ac:dyDescent="0.45">
      <c r="A17" s="5">
        <f>ROWS($A$9:A17)</f>
        <v>9</v>
      </c>
      <c r="B17" s="3">
        <f t="array" ref="B17">IFERROR(INDEX(Thue_Ngoai!$B$15:$V$2503,ROWS($B$9:$B17),B$5),0)</f>
        <v>0</v>
      </c>
      <c r="C17" s="3">
        <f t="array" ref="C17">IFERROR(INDEX(Thue_Ngoai!$B$15:$V$2503,ROWS($B$9:$B17),C$5),0)</f>
        <v>0</v>
      </c>
      <c r="D17" s="3">
        <f t="array" ref="D17">IFERROR(INDEX(Thue_Ngoai!$B$15:$V$2503,ROWS($B$9:$B17),D$5),0)</f>
        <v>0</v>
      </c>
      <c r="E17" s="3">
        <f t="array" ref="E17">IFERROR(INDEX(Thue_Ngoai!$B$15:$V$2503,ROWS($B$9:$B17),E$5),0)</f>
        <v>0</v>
      </c>
      <c r="F17" s="11">
        <f t="array" ref="F17">IF(M17="GROSS",INDEX(Thue_Ngoai!$B$15:$V$2503,ROWS($B$9:$B17),F$5),INDEX(Thue_Ngoai!$B$15:$V$2503,ROWS($B$9:$B17),F$5)/0.9)</f>
        <v>0</v>
      </c>
      <c r="G17" s="11"/>
      <c r="H17" s="11"/>
      <c r="I17" s="11"/>
      <c r="J17" s="11">
        <f t="array" ref="J17">IFERROR(INDEX(Thue_Ngoai!$B$15:$AH$2503,ROWS($B$9:$B17),J$5),0)</f>
        <v>0</v>
      </c>
      <c r="M17" s="534">
        <f t="array" ref="M17">INDEX(Thue_Ngoai!$B$15:$V$2503,ROWS($B$9:$B17),M$5)</f>
        <v>0</v>
      </c>
    </row>
    <row r="18" spans="1:13" x14ac:dyDescent="0.45">
      <c r="A18" s="5">
        <f>ROWS($A$9:A18)</f>
        <v>10</v>
      </c>
      <c r="B18" s="3">
        <f t="array" ref="B18">IFERROR(INDEX(Thue_Ngoai!$B$15:$V$2503,ROWS($B$9:$B18),B$5),0)</f>
        <v>0</v>
      </c>
      <c r="C18" s="3">
        <f t="array" ref="C18">IFERROR(INDEX(Thue_Ngoai!$B$15:$V$2503,ROWS($B$9:$B18),C$5),0)</f>
        <v>0</v>
      </c>
      <c r="D18" s="3">
        <f t="array" ref="D18">IFERROR(INDEX(Thue_Ngoai!$B$15:$V$2503,ROWS($B$9:$B18),D$5),0)</f>
        <v>0</v>
      </c>
      <c r="E18" s="3">
        <f t="array" ref="E18">IFERROR(INDEX(Thue_Ngoai!$B$15:$V$2503,ROWS($B$9:$B18),E$5),0)</f>
        <v>0</v>
      </c>
      <c r="F18" s="11">
        <f t="array" ref="F18">IF(M18="GROSS",INDEX(Thue_Ngoai!$B$15:$V$2503,ROWS($B$9:$B18),F$5),INDEX(Thue_Ngoai!$B$15:$V$2503,ROWS($B$9:$B18),F$5)/0.9)</f>
        <v>0</v>
      </c>
      <c r="G18" s="11"/>
      <c r="H18" s="11"/>
      <c r="I18" s="11"/>
      <c r="J18" s="11">
        <f t="array" ref="J18">IFERROR(INDEX(Thue_Ngoai!$B$15:$AH$2503,ROWS($B$9:$B18),J$5),0)</f>
        <v>0</v>
      </c>
      <c r="M18" s="534">
        <f t="array" ref="M18">INDEX(Thue_Ngoai!$B$15:$V$2503,ROWS($B$9:$B18),M$5)</f>
        <v>0</v>
      </c>
    </row>
    <row r="19" spans="1:13" x14ac:dyDescent="0.45">
      <c r="A19" s="5">
        <f>ROWS($A$9:A19)</f>
        <v>11</v>
      </c>
      <c r="B19" s="3">
        <f t="array" ref="B19">IFERROR(INDEX(Thue_Ngoai!$B$15:$V$2503,ROWS($B$9:$B19),B$5),0)</f>
        <v>0</v>
      </c>
      <c r="C19" s="3">
        <f t="array" ref="C19">IFERROR(INDEX(Thue_Ngoai!$B$15:$V$2503,ROWS($B$9:$B19),C$5),0)</f>
        <v>0</v>
      </c>
      <c r="D19" s="3">
        <f t="array" ref="D19">IFERROR(INDEX(Thue_Ngoai!$B$15:$V$2503,ROWS($B$9:$B19),D$5),0)</f>
        <v>0</v>
      </c>
      <c r="E19" s="3">
        <f t="array" ref="E19">IFERROR(INDEX(Thue_Ngoai!$B$15:$V$2503,ROWS($B$9:$B19),E$5),0)</f>
        <v>0</v>
      </c>
      <c r="F19" s="11">
        <f t="array" ref="F19">IF(M19="GROSS",INDEX(Thue_Ngoai!$B$15:$V$2503,ROWS($B$9:$B19),F$5),INDEX(Thue_Ngoai!$B$15:$V$2503,ROWS($B$9:$B19),F$5)/0.9)</f>
        <v>0</v>
      </c>
      <c r="G19" s="11"/>
      <c r="H19" s="11"/>
      <c r="I19" s="11"/>
      <c r="J19" s="11">
        <f t="array" ref="J19">IFERROR(INDEX(Thue_Ngoai!$B$15:$AH$2503,ROWS($B$9:$B19),J$5),0)</f>
        <v>0</v>
      </c>
      <c r="M19" s="534">
        <f t="array" ref="M19">INDEX(Thue_Ngoai!$B$15:$V$2503,ROWS($B$9:$B19),M$5)</f>
        <v>0</v>
      </c>
    </row>
    <row r="20" spans="1:13" x14ac:dyDescent="0.45">
      <c r="A20" s="5">
        <f>ROWS($A$9:A20)</f>
        <v>12</v>
      </c>
      <c r="B20" s="3">
        <f t="array" ref="B20">IFERROR(INDEX(Thue_Ngoai!$B$15:$V$2503,ROWS($B$9:$B20),B$5),0)</f>
        <v>0</v>
      </c>
      <c r="C20" s="3">
        <f t="array" ref="C20">IFERROR(INDEX(Thue_Ngoai!$B$15:$V$2503,ROWS($B$9:$B20),C$5),0)</f>
        <v>0</v>
      </c>
      <c r="D20" s="3">
        <f t="array" ref="D20">IFERROR(INDEX(Thue_Ngoai!$B$15:$V$2503,ROWS($B$9:$B20),D$5),0)</f>
        <v>0</v>
      </c>
      <c r="E20" s="3">
        <f t="array" ref="E20">IFERROR(INDEX(Thue_Ngoai!$B$15:$V$2503,ROWS($B$9:$B20),E$5),0)</f>
        <v>0</v>
      </c>
      <c r="F20" s="11">
        <f t="array" ref="F20">IF(M20="GROSS",INDEX(Thue_Ngoai!$B$15:$V$2503,ROWS($B$9:$B20),F$5),INDEX(Thue_Ngoai!$B$15:$V$2503,ROWS($B$9:$B20),F$5)/0.9)</f>
        <v>0</v>
      </c>
      <c r="G20" s="11"/>
      <c r="H20" s="11"/>
      <c r="I20" s="11"/>
      <c r="J20" s="11">
        <f t="array" ref="J20">IFERROR(INDEX(Thue_Ngoai!$B$15:$AH$2503,ROWS($B$9:$B20),J$5),0)</f>
        <v>0</v>
      </c>
      <c r="M20" s="534">
        <f t="array" ref="M20">INDEX(Thue_Ngoai!$B$15:$V$2503,ROWS($B$9:$B20),M$5)</f>
        <v>0</v>
      </c>
    </row>
    <row r="21" spans="1:13" x14ac:dyDescent="0.45">
      <c r="A21" s="5">
        <f>ROWS($A$9:A21)</f>
        <v>13</v>
      </c>
      <c r="B21" s="3">
        <f t="array" ref="B21">IFERROR(INDEX(Thue_Ngoai!$B$15:$V$2503,ROWS($B$9:$B21),B$5),0)</f>
        <v>0</v>
      </c>
      <c r="C21" s="3">
        <f t="array" ref="C21">IFERROR(INDEX(Thue_Ngoai!$B$15:$V$2503,ROWS($B$9:$B21),C$5),0)</f>
        <v>0</v>
      </c>
      <c r="D21" s="3">
        <f t="array" ref="D21">IFERROR(INDEX(Thue_Ngoai!$B$15:$V$2503,ROWS($B$9:$B21),D$5),0)</f>
        <v>0</v>
      </c>
      <c r="E21" s="3">
        <f t="array" ref="E21">IFERROR(INDEX(Thue_Ngoai!$B$15:$V$2503,ROWS($B$9:$B21),E$5),0)</f>
        <v>0</v>
      </c>
      <c r="F21" s="11">
        <f t="array" ref="F21">IF(M21="GROSS",INDEX(Thue_Ngoai!$B$15:$V$2503,ROWS($B$9:$B21),F$5),INDEX(Thue_Ngoai!$B$15:$V$2503,ROWS($B$9:$B21),F$5)/0.9)</f>
        <v>0</v>
      </c>
      <c r="G21" s="11"/>
      <c r="H21" s="11"/>
      <c r="I21" s="11"/>
      <c r="J21" s="11">
        <f t="array" ref="J21">IFERROR(INDEX(Thue_Ngoai!$B$15:$AH$2503,ROWS($B$9:$B21),J$5),0)</f>
        <v>0</v>
      </c>
      <c r="M21" s="534">
        <f t="array" ref="M21">INDEX(Thue_Ngoai!$B$15:$V$2503,ROWS($B$9:$B21),M$5)</f>
        <v>0</v>
      </c>
    </row>
    <row r="22" spans="1:13" x14ac:dyDescent="0.45">
      <c r="A22" s="5"/>
      <c r="F22" s="11"/>
      <c r="G22" s="11"/>
      <c r="H22" s="11"/>
      <c r="I22" s="11"/>
      <c r="J22" s="11"/>
    </row>
    <row r="23" spans="1:13" x14ac:dyDescent="0.45">
      <c r="A23" s="5"/>
      <c r="F23" s="11"/>
      <c r="G23" s="11"/>
      <c r="H23" s="11"/>
      <c r="I23" s="11"/>
      <c r="J23" s="11"/>
    </row>
    <row r="24" spans="1:13" x14ac:dyDescent="0.45">
      <c r="A24" s="5"/>
      <c r="F24" s="11"/>
      <c r="G24" s="11"/>
      <c r="H24" s="11"/>
      <c r="I24" s="11"/>
      <c r="J24" s="11"/>
    </row>
    <row r="25" spans="1:13" x14ac:dyDescent="0.45">
      <c r="A25" s="5"/>
      <c r="F25" s="11"/>
      <c r="G25" s="11"/>
      <c r="H25" s="11"/>
      <c r="I25" s="11"/>
      <c r="J25" s="11"/>
    </row>
    <row r="26" spans="1:13" x14ac:dyDescent="0.45">
      <c r="A26" s="5"/>
      <c r="F26" s="11"/>
      <c r="G26" s="11"/>
      <c r="H26" s="11"/>
      <c r="I26" s="11"/>
      <c r="J26" s="11"/>
    </row>
    <row r="27" spans="1:13" x14ac:dyDescent="0.45">
      <c r="A27" s="5"/>
      <c r="F27" s="11"/>
      <c r="G27" s="11"/>
      <c r="H27" s="11"/>
      <c r="I27" s="11"/>
      <c r="J27" s="11"/>
    </row>
    <row r="28" spans="1:13" x14ac:dyDescent="0.45">
      <c r="A28" s="5"/>
      <c r="F28" s="11"/>
      <c r="G28" s="11"/>
      <c r="H28" s="11"/>
      <c r="I28" s="11"/>
      <c r="J28" s="11"/>
    </row>
    <row r="29" spans="1:13" x14ac:dyDescent="0.45">
      <c r="A29" s="5"/>
      <c r="F29" s="11"/>
      <c r="G29" s="11"/>
      <c r="H29" s="11"/>
      <c r="I29" s="11"/>
      <c r="J29" s="11"/>
    </row>
    <row r="30" spans="1:13" x14ac:dyDescent="0.45">
      <c r="A30" s="5"/>
      <c r="F30" s="11"/>
      <c r="G30" s="11"/>
      <c r="H30" s="11"/>
      <c r="I30" s="11"/>
      <c r="J30" s="11"/>
    </row>
    <row r="31" spans="1:13" x14ac:dyDescent="0.45">
      <c r="A31" s="5"/>
      <c r="F31" s="11"/>
      <c r="G31" s="11"/>
      <c r="H31" s="11"/>
      <c r="I31" s="11"/>
      <c r="J31" s="11"/>
    </row>
  </sheetData>
  <mergeCells count="13">
    <mergeCell ref="A6:A8"/>
    <mergeCell ref="F6:I6"/>
    <mergeCell ref="H7:I7"/>
    <mergeCell ref="F7:F8"/>
    <mergeCell ref="G7:G8"/>
    <mergeCell ref="L6:L8"/>
    <mergeCell ref="E6:E8"/>
    <mergeCell ref="D6:D8"/>
    <mergeCell ref="C6:C8"/>
    <mergeCell ref="B6:B8"/>
    <mergeCell ref="J6:K6"/>
    <mergeCell ref="J7:J8"/>
    <mergeCell ref="K7:K8"/>
  </mergeCells>
  <pageMargins left="0.7" right="0.7" top="0.75" bottom="0.75" header="0.3" footer="0.3"/>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TNgoai">
    <tabColor rgb="FFFFFF00"/>
  </sheetPr>
  <dimension ref="A1:AH188"/>
  <sheetViews>
    <sheetView showGridLines="0" topLeftCell="D1" workbookViewId="0">
      <selection activeCell="M24" sqref="M24"/>
    </sheetView>
  </sheetViews>
  <sheetFormatPr defaultColWidth="9.265625" defaultRowHeight="14.25" x14ac:dyDescent="0.45"/>
  <cols>
    <col min="1" max="1" width="4.73046875" style="3" customWidth="1"/>
    <col min="2" max="2" width="15.73046875" style="3" customWidth="1"/>
    <col min="3" max="3" width="12.59765625" style="3" customWidth="1"/>
    <col min="4" max="4" width="14.86328125" style="3" customWidth="1"/>
    <col min="5" max="6" width="11" style="5" customWidth="1"/>
    <col min="7" max="7" width="11" style="118" customWidth="1"/>
    <col min="8" max="8" width="10.73046875" style="118" customWidth="1"/>
    <col min="9" max="20" width="11.265625" style="3" customWidth="1"/>
    <col min="21" max="21" width="12.1328125" style="3" customWidth="1"/>
    <col min="22" max="34" width="10.86328125" style="3" customWidth="1"/>
    <col min="35" max="16384" width="9.265625" style="3"/>
  </cols>
  <sheetData>
    <row r="1" spans="1:34" ht="19.899999999999999" thickBot="1" x14ac:dyDescent="0.5">
      <c r="A1" s="2" t="s">
        <v>325</v>
      </c>
      <c r="B1" s="2"/>
      <c r="C1" s="2"/>
      <c r="D1" s="283"/>
      <c r="E1" s="6"/>
      <c r="F1" s="6"/>
      <c r="G1" s="6"/>
      <c r="H1" s="6"/>
      <c r="I1" s="284"/>
      <c r="J1" s="285"/>
      <c r="K1" s="285"/>
      <c r="L1" s="285"/>
      <c r="M1" s="285"/>
      <c r="N1" s="285"/>
      <c r="O1" s="285"/>
      <c r="P1" s="285"/>
      <c r="Q1" s="285"/>
      <c r="R1" s="285"/>
      <c r="S1" s="285"/>
      <c r="T1" s="285"/>
    </row>
    <row r="2" spans="1:34" ht="17.25" customHeight="1" thickTop="1" x14ac:dyDescent="0.45">
      <c r="A2" s="288"/>
      <c r="B2" s="288"/>
      <c r="C2" s="288"/>
      <c r="D2" s="289"/>
      <c r="E2" s="290"/>
      <c r="F2" s="290"/>
      <c r="G2" s="290"/>
      <c r="H2" s="290"/>
      <c r="I2" s="286"/>
      <c r="J2" s="287"/>
      <c r="AH2" s="3">
        <f>COLUMN()-1</f>
        <v>33</v>
      </c>
    </row>
    <row r="3" spans="1:34" ht="17.25" customHeight="1" x14ac:dyDescent="0.45">
      <c r="A3" s="288"/>
      <c r="B3" s="288"/>
      <c r="C3" s="288"/>
      <c r="D3" s="289"/>
      <c r="E3" s="290"/>
      <c r="F3" s="290"/>
      <c r="G3" s="290"/>
      <c r="H3" s="451" t="s">
        <v>339</v>
      </c>
      <c r="I3" s="446">
        <f>V9</f>
        <v>0</v>
      </c>
      <c r="J3" s="447">
        <f t="shared" ref="J3:T5" si="0">W9</f>
        <v>0</v>
      </c>
      <c r="K3" s="447">
        <f t="shared" si="0"/>
        <v>0</v>
      </c>
      <c r="L3" s="447">
        <f t="shared" si="0"/>
        <v>0</v>
      </c>
      <c r="M3" s="447">
        <f t="shared" si="0"/>
        <v>0</v>
      </c>
      <c r="N3" s="447">
        <f t="shared" si="0"/>
        <v>0</v>
      </c>
      <c r="O3" s="447">
        <f t="shared" si="0"/>
        <v>0</v>
      </c>
      <c r="P3" s="447">
        <f t="shared" si="0"/>
        <v>0</v>
      </c>
      <c r="Q3" s="447">
        <f t="shared" si="0"/>
        <v>0</v>
      </c>
      <c r="R3" s="447">
        <f t="shared" si="0"/>
        <v>0</v>
      </c>
      <c r="S3" s="447">
        <f t="shared" si="0"/>
        <v>0</v>
      </c>
      <c r="T3" s="448">
        <f t="shared" si="0"/>
        <v>0</v>
      </c>
      <c r="U3" s="449">
        <f t="shared" ref="U3:U8" si="1">SUM(I3:T3)</f>
        <v>0</v>
      </c>
    </row>
    <row r="4" spans="1:34" ht="17.25" customHeight="1" x14ac:dyDescent="0.45">
      <c r="A4" s="288"/>
      <c r="B4" s="288"/>
      <c r="C4" s="288"/>
      <c r="D4" s="289"/>
      <c r="E4" s="290"/>
      <c r="F4" s="290"/>
      <c r="G4" s="290"/>
      <c r="H4" s="452" t="s">
        <v>266</v>
      </c>
      <c r="I4" s="444">
        <f>V10</f>
        <v>0</v>
      </c>
      <c r="J4" s="442">
        <f t="shared" si="0"/>
        <v>0</v>
      </c>
      <c r="K4" s="442">
        <f t="shared" si="0"/>
        <v>0</v>
      </c>
      <c r="L4" s="442">
        <f t="shared" si="0"/>
        <v>0</v>
      </c>
      <c r="M4" s="442">
        <f t="shared" si="0"/>
        <v>0</v>
      </c>
      <c r="N4" s="442">
        <f t="shared" si="0"/>
        <v>0</v>
      </c>
      <c r="O4" s="442">
        <f t="shared" si="0"/>
        <v>0</v>
      </c>
      <c r="P4" s="442">
        <f t="shared" si="0"/>
        <v>0</v>
      </c>
      <c r="Q4" s="442">
        <f t="shared" si="0"/>
        <v>0</v>
      </c>
      <c r="R4" s="442">
        <f t="shared" si="0"/>
        <v>0</v>
      </c>
      <c r="S4" s="442">
        <f t="shared" si="0"/>
        <v>0</v>
      </c>
      <c r="T4" s="443">
        <f t="shared" si="0"/>
        <v>0</v>
      </c>
      <c r="U4" s="354">
        <f t="shared" si="1"/>
        <v>0</v>
      </c>
    </row>
    <row r="5" spans="1:34" s="108" customFormat="1" ht="17.25" customHeight="1" x14ac:dyDescent="0.45">
      <c r="B5" s="362"/>
      <c r="E5" s="118"/>
      <c r="F5" s="118"/>
      <c r="G5" s="118"/>
      <c r="H5" s="453" t="s">
        <v>265</v>
      </c>
      <c r="I5" s="456">
        <f>V11</f>
        <v>0</v>
      </c>
      <c r="J5" s="457">
        <f t="shared" si="0"/>
        <v>0</v>
      </c>
      <c r="K5" s="457">
        <f t="shared" si="0"/>
        <v>0</v>
      </c>
      <c r="L5" s="457">
        <f t="shared" si="0"/>
        <v>0</v>
      </c>
      <c r="M5" s="457">
        <f t="shared" si="0"/>
        <v>0</v>
      </c>
      <c r="N5" s="457">
        <f t="shared" si="0"/>
        <v>0</v>
      </c>
      <c r="O5" s="457">
        <f t="shared" si="0"/>
        <v>0</v>
      </c>
      <c r="P5" s="457">
        <f t="shared" si="0"/>
        <v>0</v>
      </c>
      <c r="Q5" s="457">
        <f t="shared" si="0"/>
        <v>0</v>
      </c>
      <c r="R5" s="457">
        <f t="shared" si="0"/>
        <v>0</v>
      </c>
      <c r="S5" s="457">
        <f t="shared" si="0"/>
        <v>0</v>
      </c>
      <c r="T5" s="458">
        <f t="shared" si="0"/>
        <v>0</v>
      </c>
      <c r="U5" s="423">
        <f t="shared" si="1"/>
        <v>0</v>
      </c>
    </row>
    <row r="6" spans="1:34" s="108" customFormat="1" ht="17.25" customHeight="1" x14ac:dyDescent="0.45">
      <c r="E6" s="118"/>
      <c r="F6" s="118"/>
      <c r="G6" s="118"/>
      <c r="H6" s="454" t="s">
        <v>340</v>
      </c>
      <c r="I6" s="459">
        <f>SUM(I15:I1500)</f>
        <v>0</v>
      </c>
      <c r="J6" s="459">
        <f t="shared" ref="J6:T6" si="2">SUM(J15:J1500)</f>
        <v>0</v>
      </c>
      <c r="K6" s="459">
        <f t="shared" si="2"/>
        <v>0</v>
      </c>
      <c r="L6" s="459">
        <f t="shared" si="2"/>
        <v>0</v>
      </c>
      <c r="M6" s="459">
        <f t="shared" si="2"/>
        <v>0</v>
      </c>
      <c r="N6" s="459">
        <f t="shared" si="2"/>
        <v>0</v>
      </c>
      <c r="O6" s="459">
        <f t="shared" si="2"/>
        <v>0</v>
      </c>
      <c r="P6" s="459">
        <f t="shared" si="2"/>
        <v>0</v>
      </c>
      <c r="Q6" s="459">
        <f t="shared" si="2"/>
        <v>0</v>
      </c>
      <c r="R6" s="459">
        <f t="shared" si="2"/>
        <v>0</v>
      </c>
      <c r="S6" s="459">
        <f t="shared" si="2"/>
        <v>0</v>
      </c>
      <c r="T6" s="459">
        <f t="shared" si="2"/>
        <v>0</v>
      </c>
      <c r="U6" s="450">
        <f t="shared" si="1"/>
        <v>0</v>
      </c>
    </row>
    <row r="7" spans="1:34" s="108" customFormat="1" ht="17.25" customHeight="1" x14ac:dyDescent="0.45">
      <c r="E7" s="118"/>
      <c r="F7" s="118"/>
      <c r="G7" s="118"/>
      <c r="H7" s="452" t="s">
        <v>266</v>
      </c>
      <c r="I7" s="440">
        <f>SUMIFS(I15:I1500,$E$15:$E$1500,"x")</f>
        <v>0</v>
      </c>
      <c r="J7" s="440">
        <f t="shared" ref="J7:T7" si="3">SUMIFS(J15:J1500,$E$15:$E$1500,"x")</f>
        <v>0</v>
      </c>
      <c r="K7" s="440">
        <f t="shared" si="3"/>
        <v>0</v>
      </c>
      <c r="L7" s="440">
        <f t="shared" si="3"/>
        <v>0</v>
      </c>
      <c r="M7" s="440">
        <f t="shared" si="3"/>
        <v>0</v>
      </c>
      <c r="N7" s="440">
        <f t="shared" si="3"/>
        <v>0</v>
      </c>
      <c r="O7" s="440">
        <f t="shared" si="3"/>
        <v>0</v>
      </c>
      <c r="P7" s="440">
        <f t="shared" si="3"/>
        <v>0</v>
      </c>
      <c r="Q7" s="440">
        <f t="shared" si="3"/>
        <v>0</v>
      </c>
      <c r="R7" s="440">
        <f t="shared" si="3"/>
        <v>0</v>
      </c>
      <c r="S7" s="440">
        <f t="shared" si="3"/>
        <v>0</v>
      </c>
      <c r="T7" s="440">
        <f t="shared" si="3"/>
        <v>0</v>
      </c>
      <c r="U7" s="354">
        <f t="shared" si="1"/>
        <v>0</v>
      </c>
      <c r="AH7" s="371" t="s">
        <v>266</v>
      </c>
    </row>
    <row r="8" spans="1:34" s="108" customFormat="1" ht="17.25" customHeight="1" x14ac:dyDescent="0.45">
      <c r="B8" s="108">
        <f>COUNTA(B15:B1203)</f>
        <v>0</v>
      </c>
      <c r="E8" s="118"/>
      <c r="F8" s="118"/>
      <c r="G8" s="118"/>
      <c r="H8" s="453" t="s">
        <v>265</v>
      </c>
      <c r="I8" s="441">
        <f>I6-I7</f>
        <v>0</v>
      </c>
      <c r="J8" s="441">
        <f t="shared" ref="J8:T8" si="4">J6-J7</f>
        <v>0</v>
      </c>
      <c r="K8" s="441">
        <f t="shared" si="4"/>
        <v>0</v>
      </c>
      <c r="L8" s="441">
        <f t="shared" si="4"/>
        <v>0</v>
      </c>
      <c r="M8" s="441">
        <f t="shared" si="4"/>
        <v>0</v>
      </c>
      <c r="N8" s="441">
        <f t="shared" si="4"/>
        <v>0</v>
      </c>
      <c r="O8" s="441">
        <f t="shared" si="4"/>
        <v>0</v>
      </c>
      <c r="P8" s="441">
        <f t="shared" si="4"/>
        <v>0</v>
      </c>
      <c r="Q8" s="441">
        <f t="shared" si="4"/>
        <v>0</v>
      </c>
      <c r="R8" s="441">
        <f t="shared" si="4"/>
        <v>0</v>
      </c>
      <c r="S8" s="441">
        <f t="shared" si="4"/>
        <v>0</v>
      </c>
      <c r="T8" s="441">
        <f t="shared" si="4"/>
        <v>0</v>
      </c>
      <c r="U8" s="423">
        <f t="shared" si="1"/>
        <v>0</v>
      </c>
      <c r="AH8" s="371" t="s">
        <v>265</v>
      </c>
    </row>
    <row r="9" spans="1:34" s="108" customFormat="1" ht="17.25" customHeight="1" x14ac:dyDescent="0.45">
      <c r="E9" s="118"/>
      <c r="F9" s="118"/>
      <c r="G9" s="118"/>
      <c r="H9" s="455" t="s">
        <v>341</v>
      </c>
      <c r="I9" s="445">
        <f>COUNTA(I$15:I$1500)</f>
        <v>0</v>
      </c>
      <c r="J9" s="445">
        <f t="shared" ref="J9:T9" si="5">COUNTA(J$15:J$1500)</f>
        <v>0</v>
      </c>
      <c r="K9" s="445">
        <f t="shared" si="5"/>
        <v>0</v>
      </c>
      <c r="L9" s="445">
        <f t="shared" si="5"/>
        <v>0</v>
      </c>
      <c r="M9" s="445">
        <f t="shared" si="5"/>
        <v>0</v>
      </c>
      <c r="N9" s="445">
        <f t="shared" si="5"/>
        <v>0</v>
      </c>
      <c r="O9" s="445">
        <f t="shared" si="5"/>
        <v>0</v>
      </c>
      <c r="P9" s="445">
        <f t="shared" si="5"/>
        <v>0</v>
      </c>
      <c r="Q9" s="445">
        <f t="shared" si="5"/>
        <v>0</v>
      </c>
      <c r="R9" s="445">
        <f t="shared" si="5"/>
        <v>0</v>
      </c>
      <c r="S9" s="445">
        <f t="shared" si="5"/>
        <v>0</v>
      </c>
      <c r="T9" s="445">
        <f t="shared" si="5"/>
        <v>0</v>
      </c>
      <c r="U9" s="429" t="s">
        <v>82</v>
      </c>
      <c r="V9" s="430">
        <f>SUM(V15:V1500)</f>
        <v>0</v>
      </c>
      <c r="W9" s="430">
        <f t="shared" ref="W9:AG9" si="6">SUM(W15:W1500)</f>
        <v>0</v>
      </c>
      <c r="X9" s="430">
        <f t="shared" si="6"/>
        <v>0</v>
      </c>
      <c r="Y9" s="430">
        <f t="shared" si="6"/>
        <v>0</v>
      </c>
      <c r="Z9" s="430">
        <f t="shared" si="6"/>
        <v>0</v>
      </c>
      <c r="AA9" s="430">
        <f t="shared" si="6"/>
        <v>0</v>
      </c>
      <c r="AB9" s="430">
        <f t="shared" si="6"/>
        <v>0</v>
      </c>
      <c r="AC9" s="430">
        <f t="shared" si="6"/>
        <v>0</v>
      </c>
      <c r="AD9" s="430">
        <f t="shared" si="6"/>
        <v>0</v>
      </c>
      <c r="AE9" s="430">
        <f t="shared" si="6"/>
        <v>0</v>
      </c>
      <c r="AF9" s="430">
        <f t="shared" si="6"/>
        <v>0</v>
      </c>
      <c r="AG9" s="430">
        <f t="shared" si="6"/>
        <v>0</v>
      </c>
      <c r="AH9" s="371"/>
    </row>
    <row r="10" spans="1:34" s="108" customFormat="1" ht="17.25" customHeight="1" x14ac:dyDescent="0.45">
      <c r="E10" s="118"/>
      <c r="F10" s="118"/>
      <c r="G10" s="118"/>
      <c r="H10" s="452" t="s">
        <v>266</v>
      </c>
      <c r="I10" s="440">
        <f>COUNTIFS(I15:I1500,"&gt;0",$E$15:$E$1500,"x")</f>
        <v>0</v>
      </c>
      <c r="J10" s="440">
        <f t="shared" ref="J10:T10" si="7">COUNTIFS(J15:J1500,"&gt;0",$E$15:$E$1500,"x")</f>
        <v>0</v>
      </c>
      <c r="K10" s="440">
        <f t="shared" si="7"/>
        <v>0</v>
      </c>
      <c r="L10" s="440">
        <f t="shared" si="7"/>
        <v>0</v>
      </c>
      <c r="M10" s="440">
        <f t="shared" si="7"/>
        <v>0</v>
      </c>
      <c r="N10" s="440">
        <f t="shared" si="7"/>
        <v>0</v>
      </c>
      <c r="O10" s="440">
        <f t="shared" si="7"/>
        <v>0</v>
      </c>
      <c r="P10" s="440">
        <f t="shared" si="7"/>
        <v>0</v>
      </c>
      <c r="Q10" s="440">
        <f t="shared" si="7"/>
        <v>0</v>
      </c>
      <c r="R10" s="440">
        <f t="shared" si="7"/>
        <v>0</v>
      </c>
      <c r="S10" s="440">
        <f t="shared" si="7"/>
        <v>0</v>
      </c>
      <c r="T10" s="440">
        <f t="shared" si="7"/>
        <v>0</v>
      </c>
      <c r="U10" s="427" t="s">
        <v>266</v>
      </c>
      <c r="V10" s="431">
        <f>SUMIFS(V$15:V$1500,$E$15:$E$1500,"x")</f>
        <v>0</v>
      </c>
      <c r="W10" s="431">
        <f t="shared" ref="W10:AG10" si="8">SUMIFS(W$15:W$1500,$E$15:$E$1500,"x")</f>
        <v>0</v>
      </c>
      <c r="X10" s="431">
        <f t="shared" si="8"/>
        <v>0</v>
      </c>
      <c r="Y10" s="431">
        <f t="shared" si="8"/>
        <v>0</v>
      </c>
      <c r="Z10" s="431">
        <f t="shared" si="8"/>
        <v>0</v>
      </c>
      <c r="AA10" s="431">
        <f t="shared" si="8"/>
        <v>0</v>
      </c>
      <c r="AB10" s="431">
        <f t="shared" si="8"/>
        <v>0</v>
      </c>
      <c r="AC10" s="431">
        <f t="shared" si="8"/>
        <v>0</v>
      </c>
      <c r="AD10" s="431">
        <f t="shared" si="8"/>
        <v>0</v>
      </c>
      <c r="AE10" s="431">
        <f t="shared" si="8"/>
        <v>0</v>
      </c>
      <c r="AF10" s="431">
        <f t="shared" si="8"/>
        <v>0</v>
      </c>
      <c r="AG10" s="431">
        <f t="shared" si="8"/>
        <v>0</v>
      </c>
      <c r="AH10" s="371"/>
    </row>
    <row r="11" spans="1:34" s="108" customFormat="1" ht="17.25" customHeight="1" thickBot="1" x14ac:dyDescent="0.5">
      <c r="E11" s="118"/>
      <c r="F11" s="118"/>
      <c r="G11" s="118"/>
      <c r="H11" s="453" t="s">
        <v>265</v>
      </c>
      <c r="I11" s="441">
        <f>I9-I10</f>
        <v>0</v>
      </c>
      <c r="J11" s="441">
        <f t="shared" ref="J11:T11" si="9">J9-J10</f>
        <v>0</v>
      </c>
      <c r="K11" s="441">
        <f t="shared" si="9"/>
        <v>0</v>
      </c>
      <c r="L11" s="441">
        <f t="shared" si="9"/>
        <v>0</v>
      </c>
      <c r="M11" s="441">
        <f t="shared" si="9"/>
        <v>0</v>
      </c>
      <c r="N11" s="441">
        <f t="shared" si="9"/>
        <v>0</v>
      </c>
      <c r="O11" s="441">
        <f t="shared" si="9"/>
        <v>0</v>
      </c>
      <c r="P11" s="441">
        <f t="shared" si="9"/>
        <v>0</v>
      </c>
      <c r="Q11" s="441">
        <f t="shared" si="9"/>
        <v>0</v>
      </c>
      <c r="R11" s="441">
        <f t="shared" si="9"/>
        <v>0</v>
      </c>
      <c r="S11" s="441">
        <f t="shared" si="9"/>
        <v>0</v>
      </c>
      <c r="T11" s="441">
        <f t="shared" si="9"/>
        <v>0</v>
      </c>
      <c r="U11" s="428" t="s">
        <v>265</v>
      </c>
      <c r="V11" s="432">
        <f>V9-V10</f>
        <v>0</v>
      </c>
      <c r="W11" s="432">
        <f t="shared" ref="W11:AG11" si="10">W9-W10</f>
        <v>0</v>
      </c>
      <c r="X11" s="432">
        <f t="shared" si="10"/>
        <v>0</v>
      </c>
      <c r="Y11" s="432">
        <f t="shared" si="10"/>
        <v>0</v>
      </c>
      <c r="Z11" s="432">
        <f t="shared" si="10"/>
        <v>0</v>
      </c>
      <c r="AA11" s="432">
        <f t="shared" si="10"/>
        <v>0</v>
      </c>
      <c r="AB11" s="432">
        <f t="shared" si="10"/>
        <v>0</v>
      </c>
      <c r="AC11" s="432">
        <f t="shared" si="10"/>
        <v>0</v>
      </c>
      <c r="AD11" s="432">
        <f t="shared" si="10"/>
        <v>0</v>
      </c>
      <c r="AE11" s="432">
        <f t="shared" si="10"/>
        <v>0</v>
      </c>
      <c r="AF11" s="432">
        <f t="shared" si="10"/>
        <v>0</v>
      </c>
      <c r="AG11" s="432">
        <f t="shared" si="10"/>
        <v>0</v>
      </c>
      <c r="AH11" s="371"/>
    </row>
    <row r="12" spans="1:34" ht="18" customHeight="1" thickBot="1" x14ac:dyDescent="0.5">
      <c r="A12" s="334"/>
      <c r="B12" s="335"/>
      <c r="C12" s="335"/>
      <c r="D12" s="335"/>
      <c r="E12" s="336"/>
      <c r="F12" s="336"/>
      <c r="G12" s="336"/>
      <c r="H12" s="353"/>
      <c r="I12" s="424"/>
      <c r="J12" s="425"/>
      <c r="K12" s="425"/>
      <c r="L12" s="425"/>
      <c r="M12" s="425"/>
      <c r="N12" s="425"/>
      <c r="O12" s="425"/>
      <c r="P12" s="425"/>
      <c r="Q12" s="425"/>
      <c r="R12" s="425"/>
      <c r="S12" s="425"/>
      <c r="T12" s="426"/>
      <c r="U12" s="707" t="s">
        <v>188</v>
      </c>
      <c r="V12" s="356" t="s">
        <v>319</v>
      </c>
      <c r="W12" s="356"/>
      <c r="X12" s="356"/>
      <c r="Y12" s="356"/>
      <c r="Z12" s="356"/>
      <c r="AA12" s="356"/>
      <c r="AB12" s="356"/>
      <c r="AC12" s="356"/>
      <c r="AD12" s="356"/>
      <c r="AE12" s="356"/>
      <c r="AF12" s="356"/>
      <c r="AG12" s="356"/>
      <c r="AH12" s="709" t="s">
        <v>318</v>
      </c>
    </row>
    <row r="13" spans="1:34" ht="36.6" customHeight="1" x14ac:dyDescent="0.45">
      <c r="A13" s="341" t="s">
        <v>1</v>
      </c>
      <c r="B13" s="341" t="s">
        <v>2</v>
      </c>
      <c r="C13" s="341" t="s">
        <v>3</v>
      </c>
      <c r="D13" s="341" t="s">
        <v>4</v>
      </c>
      <c r="E13" s="342" t="s">
        <v>217</v>
      </c>
      <c r="F13" s="342" t="s">
        <v>335</v>
      </c>
      <c r="G13" s="343" t="s">
        <v>267</v>
      </c>
      <c r="H13" s="344" t="s">
        <v>85</v>
      </c>
      <c r="I13" s="359">
        <v>1</v>
      </c>
      <c r="J13" s="359">
        <v>2</v>
      </c>
      <c r="K13" s="359">
        <v>3</v>
      </c>
      <c r="L13" s="359">
        <v>4</v>
      </c>
      <c r="M13" s="359">
        <v>5</v>
      </c>
      <c r="N13" s="359">
        <v>6</v>
      </c>
      <c r="O13" s="359">
        <v>7</v>
      </c>
      <c r="P13" s="359">
        <v>8</v>
      </c>
      <c r="Q13" s="359">
        <v>9</v>
      </c>
      <c r="R13" s="359">
        <v>10</v>
      </c>
      <c r="S13" s="359">
        <v>11</v>
      </c>
      <c r="T13" s="360">
        <v>12</v>
      </c>
      <c r="U13" s="708"/>
      <c r="V13" s="358">
        <v>1</v>
      </c>
      <c r="W13" s="355">
        <v>2</v>
      </c>
      <c r="X13" s="355">
        <v>3</v>
      </c>
      <c r="Y13" s="355">
        <v>4</v>
      </c>
      <c r="Z13" s="355">
        <v>5</v>
      </c>
      <c r="AA13" s="355">
        <v>6</v>
      </c>
      <c r="AB13" s="355">
        <v>7</v>
      </c>
      <c r="AC13" s="355">
        <v>8</v>
      </c>
      <c r="AD13" s="355">
        <v>9</v>
      </c>
      <c r="AE13" s="355">
        <v>10</v>
      </c>
      <c r="AF13" s="355">
        <v>11</v>
      </c>
      <c r="AG13" s="357">
        <v>12</v>
      </c>
      <c r="AH13" s="710"/>
    </row>
    <row r="14" spans="1:34" ht="8.1" customHeight="1" x14ac:dyDescent="0.45">
      <c r="A14" s="337"/>
      <c r="B14" s="338"/>
      <c r="C14" s="338"/>
      <c r="D14" s="338"/>
      <c r="E14" s="339"/>
      <c r="F14" s="339"/>
      <c r="G14" s="339"/>
      <c r="H14" s="339"/>
      <c r="I14" s="340"/>
      <c r="J14" s="340"/>
      <c r="K14" s="340"/>
      <c r="L14" s="340"/>
      <c r="M14" s="340"/>
      <c r="N14" s="340"/>
      <c r="O14" s="340"/>
      <c r="P14" s="340"/>
      <c r="Q14" s="340"/>
      <c r="R14" s="340"/>
      <c r="S14" s="340"/>
      <c r="T14" s="340"/>
      <c r="U14" s="340"/>
      <c r="V14" s="340"/>
      <c r="W14" s="340"/>
      <c r="X14" s="340"/>
      <c r="Y14" s="340"/>
      <c r="Z14" s="340"/>
      <c r="AA14" s="340"/>
      <c r="AB14" s="340"/>
      <c r="AC14" s="340"/>
      <c r="AD14" s="340"/>
      <c r="AE14" s="340"/>
      <c r="AF14" s="340"/>
      <c r="AG14" s="340"/>
      <c r="AH14" s="340"/>
    </row>
    <row r="15" spans="1:34" s="108" customFormat="1" ht="13.15" x14ac:dyDescent="0.45">
      <c r="A15" s="361" t="str">
        <f>IF(B15&lt;&gt;"",COUNTA($B$15:B15),"")</f>
        <v/>
      </c>
      <c r="E15" s="118"/>
      <c r="F15" s="118"/>
      <c r="G15" s="118"/>
      <c r="H15" s="297">
        <f>IF($B15="",0,IF($E15="X",20%,10%))</f>
        <v>0</v>
      </c>
      <c r="I15" s="362"/>
      <c r="J15" s="362"/>
      <c r="K15" s="362"/>
      <c r="L15" s="362"/>
      <c r="M15" s="362"/>
      <c r="N15" s="362"/>
      <c r="O15" s="362"/>
      <c r="P15" s="362"/>
      <c r="Q15" s="362"/>
      <c r="R15" s="362"/>
      <c r="S15" s="362"/>
      <c r="T15" s="362"/>
      <c r="U15" s="362">
        <f>SUM(I15:T15)</f>
        <v>0</v>
      </c>
      <c r="V15" s="362">
        <f>IF(I15&gt;=2000000,IF($G15="GROSS",I15*10%,I15/0.9*10%),0)</f>
        <v>0</v>
      </c>
      <c r="W15" s="362">
        <f t="shared" ref="W15:AG15" si="11">IF(J15&gt;=2000000,IF($G15="GROSS",J15*10%,J15/0.9*10%),0)</f>
        <v>0</v>
      </c>
      <c r="X15" s="362">
        <f t="shared" si="11"/>
        <v>0</v>
      </c>
      <c r="Y15" s="362">
        <f t="shared" si="11"/>
        <v>0</v>
      </c>
      <c r="Z15" s="362">
        <f t="shared" si="11"/>
        <v>0</v>
      </c>
      <c r="AA15" s="362">
        <f t="shared" si="11"/>
        <v>0</v>
      </c>
      <c r="AB15" s="362">
        <f t="shared" si="11"/>
        <v>0</v>
      </c>
      <c r="AC15" s="362">
        <f t="shared" si="11"/>
        <v>0</v>
      </c>
      <c r="AD15" s="362">
        <f t="shared" si="11"/>
        <v>0</v>
      </c>
      <c r="AE15" s="362">
        <f t="shared" si="11"/>
        <v>0</v>
      </c>
      <c r="AF15" s="362">
        <f t="shared" si="11"/>
        <v>0</v>
      </c>
      <c r="AG15" s="362">
        <f t="shared" si="11"/>
        <v>0</v>
      </c>
      <c r="AH15" s="363">
        <f>SUM(V15:AG15)</f>
        <v>0</v>
      </c>
    </row>
    <row r="16" spans="1:34" s="108" customFormat="1" ht="13.15" x14ac:dyDescent="0.45">
      <c r="A16" s="361" t="str">
        <f>IF(B16&lt;&gt;"",COUNTA($B$15:B16),"")</f>
        <v/>
      </c>
      <c r="E16" s="118"/>
      <c r="F16" s="118"/>
      <c r="G16" s="118"/>
      <c r="H16" s="297">
        <f>IF($B16="",0,IF($E16="X",20%,10%))</f>
        <v>0</v>
      </c>
      <c r="I16" s="362"/>
      <c r="J16" s="362"/>
      <c r="K16" s="362"/>
      <c r="L16" s="362"/>
      <c r="M16" s="362"/>
      <c r="N16" s="362"/>
      <c r="O16" s="362"/>
      <c r="P16" s="362"/>
      <c r="Q16" s="362"/>
      <c r="R16" s="362"/>
      <c r="S16" s="362"/>
      <c r="T16" s="362"/>
      <c r="U16" s="362">
        <f>SUM(I16:T16)</f>
        <v>0</v>
      </c>
      <c r="V16" s="362">
        <f>IF(I16&gt;=2000000,IF($G16="GROSS",I16*10%,I16/0.9*10%),0)</f>
        <v>0</v>
      </c>
      <c r="W16" s="362">
        <f t="shared" ref="W16" si="12">IF(J16&gt;=2000000,IF($G16="GROSS",J16*10%,J16/0.9*10%),0)</f>
        <v>0</v>
      </c>
      <c r="X16" s="362">
        <f t="shared" ref="X16" si="13">IF(K16&gt;=2000000,IF($G16="GROSS",K16*10%,K16/0.9*10%),0)</f>
        <v>0</v>
      </c>
      <c r="Y16" s="362">
        <f t="shared" ref="Y16" si="14">IF(L16&gt;=2000000,IF($G16="GROSS",L16*10%,L16/0.9*10%),0)</f>
        <v>0</v>
      </c>
      <c r="Z16" s="362">
        <f t="shared" ref="Z16" si="15">IF(M16&gt;=2000000,IF($G16="GROSS",M16*10%,M16/0.9*10%),0)</f>
        <v>0</v>
      </c>
      <c r="AA16" s="362">
        <f t="shared" ref="AA16" si="16">IF(N16&gt;=2000000,IF($G16="GROSS",N16*10%,N16/0.9*10%),0)</f>
        <v>0</v>
      </c>
      <c r="AB16" s="362">
        <f t="shared" ref="AB16" si="17">IF(O16&gt;=2000000,IF($G16="GROSS",O16*10%,O16/0.9*10%),0)</f>
        <v>0</v>
      </c>
      <c r="AC16" s="362">
        <f t="shared" ref="AC16" si="18">IF(P16&gt;=2000000,IF($G16="GROSS",P16*10%,P16/0.9*10%),0)</f>
        <v>0</v>
      </c>
      <c r="AD16" s="362">
        <f t="shared" ref="AD16" si="19">IF(Q16&gt;=2000000,IF($G16="GROSS",Q16*10%,Q16/0.9*10%),0)</f>
        <v>0</v>
      </c>
      <c r="AE16" s="362">
        <f t="shared" ref="AE16" si="20">IF(R16&gt;=2000000,IF($G16="GROSS",R16*10%,R16/0.9*10%),0)</f>
        <v>0</v>
      </c>
      <c r="AF16" s="362">
        <f t="shared" ref="AF16" si="21">IF(S16&gt;=2000000,IF($G16="GROSS",S16*10%,S16/0.9*10%),0)</f>
        <v>0</v>
      </c>
      <c r="AG16" s="362">
        <f t="shared" ref="AG16" si="22">IF(T16&gt;=2000000,IF($G16="GROSS",T16*10%,T16/0.9*10%),0)</f>
        <v>0</v>
      </c>
      <c r="AH16" s="363">
        <f>SUM(V16:AG16)</f>
        <v>0</v>
      </c>
    </row>
    <row r="17" spans="1:34" s="108" customFormat="1" ht="13.15" x14ac:dyDescent="0.45">
      <c r="A17" s="361" t="str">
        <f>IF(B17&lt;&gt;"",COUNTA($B$15:B17),"")</f>
        <v/>
      </c>
      <c r="E17" s="118"/>
      <c r="F17" s="118"/>
      <c r="G17" s="118"/>
      <c r="H17" s="297">
        <f t="shared" ref="H17:H20" si="23">IF($B17="",0,IF($E17="X",20%,10%))</f>
        <v>0</v>
      </c>
      <c r="I17" s="362"/>
      <c r="J17" s="362"/>
      <c r="K17" s="362"/>
      <c r="L17" s="362"/>
      <c r="M17" s="362"/>
      <c r="N17" s="362"/>
      <c r="O17" s="362"/>
      <c r="P17" s="362"/>
      <c r="Q17" s="362"/>
      <c r="R17" s="362"/>
      <c r="S17" s="362"/>
      <c r="T17" s="362"/>
      <c r="U17" s="362">
        <f t="shared" ref="U17:U20" si="24">SUM(I17:T17)</f>
        <v>0</v>
      </c>
      <c r="V17" s="362">
        <f t="shared" ref="V17:V20" si="25">IF(I17&gt;=2000000,IF($G17="GROSS",I17*10%,I17/0.9*10%),0)</f>
        <v>0</v>
      </c>
      <c r="W17" s="362">
        <f t="shared" ref="W17:W20" si="26">IF(J17&gt;=2000000,IF($G17="GROSS",J17*10%,J17/0.9*10%),0)</f>
        <v>0</v>
      </c>
      <c r="X17" s="362">
        <f t="shared" ref="X17:X20" si="27">IF(K17&gt;=2000000,IF($G17="GROSS",K17*10%,K17/0.9*10%),0)</f>
        <v>0</v>
      </c>
      <c r="Y17" s="362">
        <f t="shared" ref="Y17:Y20" si="28">IF(L17&gt;=2000000,IF($G17="GROSS",L17*10%,L17/0.9*10%),0)</f>
        <v>0</v>
      </c>
      <c r="Z17" s="362">
        <f t="shared" ref="Z17:Z20" si="29">IF(M17&gt;=2000000,IF($G17="GROSS",M17*10%,M17/0.9*10%),0)</f>
        <v>0</v>
      </c>
      <c r="AA17" s="362">
        <f t="shared" ref="AA17:AA20" si="30">IF(N17&gt;=2000000,IF($G17="GROSS",N17*10%,N17/0.9*10%),0)</f>
        <v>0</v>
      </c>
      <c r="AB17" s="362">
        <f t="shared" ref="AB17:AB20" si="31">IF(O17&gt;=2000000,IF($G17="GROSS",O17*10%,O17/0.9*10%),0)</f>
        <v>0</v>
      </c>
      <c r="AC17" s="362">
        <f t="shared" ref="AC17:AC20" si="32">IF(P17&gt;=2000000,IF($G17="GROSS",P17*10%,P17/0.9*10%),0)</f>
        <v>0</v>
      </c>
      <c r="AD17" s="362">
        <f t="shared" ref="AD17:AD20" si="33">IF(Q17&gt;=2000000,IF($G17="GROSS",Q17*10%,Q17/0.9*10%),0)</f>
        <v>0</v>
      </c>
      <c r="AE17" s="362">
        <f t="shared" ref="AE17:AE20" si="34">IF(R17&gt;=2000000,IF($G17="GROSS",R17*10%,R17/0.9*10%),0)</f>
        <v>0</v>
      </c>
      <c r="AF17" s="362">
        <f t="shared" ref="AF17:AF20" si="35">IF(S17&gt;=2000000,IF($G17="GROSS",S17*10%,S17/0.9*10%),0)</f>
        <v>0</v>
      </c>
      <c r="AG17" s="362">
        <f t="shared" ref="AG17:AG20" si="36">IF(T17&gt;=2000000,IF($G17="GROSS",T17*10%,T17/0.9*10%),0)</f>
        <v>0</v>
      </c>
      <c r="AH17" s="363">
        <f t="shared" ref="AH17:AH20" si="37">SUM(V17:AG17)</f>
        <v>0</v>
      </c>
    </row>
    <row r="18" spans="1:34" s="108" customFormat="1" ht="13.15" x14ac:dyDescent="0.45">
      <c r="A18" s="361" t="str">
        <f>IF(B18&lt;&gt;"",COUNTA($B$15:B18),"")</f>
        <v/>
      </c>
      <c r="E18" s="118"/>
      <c r="F18" s="118"/>
      <c r="G18" s="118"/>
      <c r="H18" s="297">
        <f t="shared" si="23"/>
        <v>0</v>
      </c>
      <c r="I18" s="362"/>
      <c r="J18" s="362"/>
      <c r="K18" s="362"/>
      <c r="L18" s="362"/>
      <c r="M18" s="362"/>
      <c r="N18" s="362"/>
      <c r="O18" s="362"/>
      <c r="P18" s="362"/>
      <c r="Q18" s="362"/>
      <c r="R18" s="362"/>
      <c r="S18" s="362"/>
      <c r="T18" s="362"/>
      <c r="U18" s="362">
        <f t="shared" si="24"/>
        <v>0</v>
      </c>
      <c r="V18" s="362">
        <f t="shared" si="25"/>
        <v>0</v>
      </c>
      <c r="W18" s="362">
        <f t="shared" si="26"/>
        <v>0</v>
      </c>
      <c r="X18" s="362">
        <f t="shared" si="27"/>
        <v>0</v>
      </c>
      <c r="Y18" s="362">
        <f t="shared" si="28"/>
        <v>0</v>
      </c>
      <c r="Z18" s="362">
        <f t="shared" si="29"/>
        <v>0</v>
      </c>
      <c r="AA18" s="362">
        <f t="shared" si="30"/>
        <v>0</v>
      </c>
      <c r="AB18" s="362">
        <f t="shared" si="31"/>
        <v>0</v>
      </c>
      <c r="AC18" s="362">
        <f t="shared" si="32"/>
        <v>0</v>
      </c>
      <c r="AD18" s="362">
        <f t="shared" si="33"/>
        <v>0</v>
      </c>
      <c r="AE18" s="362">
        <f t="shared" si="34"/>
        <v>0</v>
      </c>
      <c r="AF18" s="362">
        <f t="shared" si="35"/>
        <v>0</v>
      </c>
      <c r="AG18" s="362">
        <f t="shared" si="36"/>
        <v>0</v>
      </c>
      <c r="AH18" s="363">
        <f t="shared" si="37"/>
        <v>0</v>
      </c>
    </row>
    <row r="19" spans="1:34" s="108" customFormat="1" ht="13.15" x14ac:dyDescent="0.45">
      <c r="A19" s="361" t="str">
        <f>IF(B19&lt;&gt;"",COUNTA($B$15:B19),"")</f>
        <v/>
      </c>
      <c r="E19" s="118"/>
      <c r="F19" s="118"/>
      <c r="G19" s="118"/>
      <c r="H19" s="297">
        <f t="shared" si="23"/>
        <v>0</v>
      </c>
      <c r="I19" s="362"/>
      <c r="J19" s="362"/>
      <c r="K19" s="362"/>
      <c r="L19" s="362"/>
      <c r="M19" s="362"/>
      <c r="N19" s="362"/>
      <c r="O19" s="362"/>
      <c r="P19" s="362"/>
      <c r="Q19" s="362"/>
      <c r="R19" s="362"/>
      <c r="S19" s="362"/>
      <c r="T19" s="362"/>
      <c r="U19" s="362">
        <f t="shared" si="24"/>
        <v>0</v>
      </c>
      <c r="V19" s="362">
        <f t="shared" si="25"/>
        <v>0</v>
      </c>
      <c r="W19" s="362">
        <f t="shared" si="26"/>
        <v>0</v>
      </c>
      <c r="X19" s="362">
        <f t="shared" si="27"/>
        <v>0</v>
      </c>
      <c r="Y19" s="362">
        <f t="shared" si="28"/>
        <v>0</v>
      </c>
      <c r="Z19" s="362">
        <f t="shared" si="29"/>
        <v>0</v>
      </c>
      <c r="AA19" s="362">
        <f t="shared" si="30"/>
        <v>0</v>
      </c>
      <c r="AB19" s="362">
        <f t="shared" si="31"/>
        <v>0</v>
      </c>
      <c r="AC19" s="362">
        <f t="shared" si="32"/>
        <v>0</v>
      </c>
      <c r="AD19" s="362">
        <f t="shared" si="33"/>
        <v>0</v>
      </c>
      <c r="AE19" s="362">
        <f t="shared" si="34"/>
        <v>0</v>
      </c>
      <c r="AF19" s="362">
        <f t="shared" si="35"/>
        <v>0</v>
      </c>
      <c r="AG19" s="362">
        <f t="shared" si="36"/>
        <v>0</v>
      </c>
      <c r="AH19" s="363">
        <f t="shared" si="37"/>
        <v>0</v>
      </c>
    </row>
    <row r="20" spans="1:34" s="108" customFormat="1" ht="13.15" x14ac:dyDescent="0.45">
      <c r="A20" s="361" t="str">
        <f>IF(B20&lt;&gt;"",COUNTA($B$15:B20),"")</f>
        <v/>
      </c>
      <c r="E20" s="118"/>
      <c r="F20" s="118"/>
      <c r="G20" s="118"/>
      <c r="H20" s="297">
        <f t="shared" si="23"/>
        <v>0</v>
      </c>
      <c r="I20" s="362"/>
      <c r="J20" s="362"/>
      <c r="K20" s="362"/>
      <c r="L20" s="362"/>
      <c r="M20" s="362"/>
      <c r="N20" s="362"/>
      <c r="O20" s="362"/>
      <c r="P20" s="362"/>
      <c r="Q20" s="362"/>
      <c r="R20" s="362"/>
      <c r="S20" s="362"/>
      <c r="T20" s="362"/>
      <c r="U20" s="362">
        <f t="shared" si="24"/>
        <v>0</v>
      </c>
      <c r="V20" s="362">
        <f t="shared" si="25"/>
        <v>0</v>
      </c>
      <c r="W20" s="362">
        <f t="shared" si="26"/>
        <v>0</v>
      </c>
      <c r="X20" s="362">
        <f t="shared" si="27"/>
        <v>0</v>
      </c>
      <c r="Y20" s="362">
        <f t="shared" si="28"/>
        <v>0</v>
      </c>
      <c r="Z20" s="362">
        <f t="shared" si="29"/>
        <v>0</v>
      </c>
      <c r="AA20" s="362">
        <f t="shared" si="30"/>
        <v>0</v>
      </c>
      <c r="AB20" s="362">
        <f t="shared" si="31"/>
        <v>0</v>
      </c>
      <c r="AC20" s="362">
        <f t="shared" si="32"/>
        <v>0</v>
      </c>
      <c r="AD20" s="362">
        <f t="shared" si="33"/>
        <v>0</v>
      </c>
      <c r="AE20" s="362">
        <f t="shared" si="34"/>
        <v>0</v>
      </c>
      <c r="AF20" s="362">
        <f t="shared" si="35"/>
        <v>0</v>
      </c>
      <c r="AG20" s="362">
        <f t="shared" si="36"/>
        <v>0</v>
      </c>
      <c r="AH20" s="363">
        <f t="shared" si="37"/>
        <v>0</v>
      </c>
    </row>
    <row r="21" spans="1:34" s="108" customFormat="1" ht="13.15" x14ac:dyDescent="0.45">
      <c r="A21" s="361"/>
      <c r="E21" s="118"/>
      <c r="F21" s="118"/>
      <c r="G21" s="118"/>
      <c r="H21" s="297"/>
      <c r="I21" s="362"/>
      <c r="J21" s="362"/>
      <c r="K21" s="362"/>
      <c r="L21" s="362"/>
      <c r="M21" s="362"/>
      <c r="N21" s="362"/>
      <c r="O21" s="362"/>
      <c r="P21" s="362"/>
      <c r="Q21" s="362"/>
      <c r="R21" s="362"/>
      <c r="S21" s="362"/>
      <c r="T21" s="362"/>
      <c r="AH21" s="363"/>
    </row>
    <row r="22" spans="1:34" s="108" customFormat="1" ht="13.15" x14ac:dyDescent="0.45">
      <c r="A22" s="361"/>
      <c r="E22" s="118"/>
      <c r="F22" s="118"/>
      <c r="G22" s="118"/>
      <c r="H22" s="297"/>
      <c r="I22" s="362"/>
      <c r="J22" s="362"/>
      <c r="K22" s="362"/>
      <c r="L22" s="362"/>
      <c r="M22" s="362"/>
      <c r="N22" s="362"/>
      <c r="O22" s="362"/>
      <c r="P22" s="362"/>
      <c r="Q22" s="362"/>
      <c r="R22" s="362"/>
      <c r="S22" s="362"/>
      <c r="T22" s="362"/>
      <c r="AH22" s="363"/>
    </row>
    <row r="23" spans="1:34" s="108" customFormat="1" ht="13.15" x14ac:dyDescent="0.45">
      <c r="A23" s="361"/>
      <c r="E23" s="118"/>
      <c r="F23" s="118"/>
      <c r="G23" s="118"/>
      <c r="H23" s="297"/>
      <c r="I23" s="362"/>
      <c r="J23" s="362"/>
      <c r="K23" s="362"/>
      <c r="L23" s="362"/>
      <c r="M23" s="362"/>
      <c r="N23" s="362"/>
      <c r="O23" s="362"/>
      <c r="P23" s="362"/>
      <c r="Q23" s="362"/>
      <c r="R23" s="362"/>
      <c r="S23" s="362"/>
      <c r="T23" s="362"/>
      <c r="AH23" s="363"/>
    </row>
    <row r="24" spans="1:34" s="108" customFormat="1" ht="13.15" x14ac:dyDescent="0.45">
      <c r="A24" s="361"/>
      <c r="E24" s="118"/>
      <c r="F24" s="118"/>
      <c r="G24" s="118"/>
      <c r="H24" s="297"/>
      <c r="I24" s="362"/>
      <c r="J24" s="362"/>
      <c r="K24" s="362"/>
      <c r="L24" s="362"/>
      <c r="M24" s="362"/>
      <c r="N24" s="362"/>
      <c r="O24" s="362"/>
      <c r="P24" s="362"/>
      <c r="Q24" s="362"/>
      <c r="R24" s="362"/>
      <c r="S24" s="362"/>
      <c r="T24" s="362"/>
      <c r="AH24" s="363"/>
    </row>
    <row r="25" spans="1:34" s="108" customFormat="1" ht="13.15" x14ac:dyDescent="0.45">
      <c r="A25" s="361"/>
      <c r="E25" s="118"/>
      <c r="F25" s="118"/>
      <c r="G25" s="118"/>
      <c r="H25" s="297"/>
      <c r="I25" s="362"/>
      <c r="J25" s="362"/>
      <c r="K25" s="362"/>
      <c r="L25" s="362"/>
      <c r="M25" s="362"/>
      <c r="N25" s="362"/>
      <c r="O25" s="362"/>
      <c r="P25" s="362"/>
      <c r="Q25" s="362"/>
      <c r="R25" s="362"/>
      <c r="S25" s="362"/>
      <c r="T25" s="362"/>
      <c r="AH25" s="363"/>
    </row>
    <row r="26" spans="1:34" s="108" customFormat="1" ht="13.15" x14ac:dyDescent="0.45">
      <c r="A26" s="361"/>
      <c r="E26" s="118"/>
      <c r="F26" s="118"/>
      <c r="G26" s="118"/>
      <c r="H26" s="297"/>
      <c r="I26" s="362"/>
      <c r="J26" s="362"/>
      <c r="K26" s="362"/>
      <c r="L26" s="362"/>
      <c r="M26" s="362"/>
      <c r="N26" s="362"/>
      <c r="O26" s="362"/>
      <c r="P26" s="362"/>
      <c r="Q26" s="362"/>
      <c r="R26" s="362"/>
      <c r="S26" s="362"/>
      <c r="T26" s="362"/>
      <c r="AH26" s="363"/>
    </row>
    <row r="27" spans="1:34" s="108" customFormat="1" ht="13.15" x14ac:dyDescent="0.45">
      <c r="A27" s="361"/>
      <c r="E27" s="118"/>
      <c r="F27" s="118"/>
      <c r="G27" s="118"/>
      <c r="H27" s="297"/>
      <c r="I27" s="362"/>
      <c r="J27" s="362"/>
      <c r="K27" s="362"/>
      <c r="L27" s="362"/>
      <c r="M27" s="362"/>
      <c r="N27" s="362"/>
      <c r="O27" s="362"/>
      <c r="P27" s="362"/>
      <c r="Q27" s="362"/>
      <c r="R27" s="362"/>
      <c r="S27" s="362"/>
      <c r="T27" s="362"/>
      <c r="AH27" s="363"/>
    </row>
    <row r="28" spans="1:34" s="108" customFormat="1" ht="13.15" x14ac:dyDescent="0.45">
      <c r="A28" s="361"/>
      <c r="E28" s="118"/>
      <c r="F28" s="118"/>
      <c r="G28" s="118"/>
      <c r="H28" s="297"/>
      <c r="I28" s="362"/>
      <c r="J28" s="362"/>
      <c r="K28" s="362"/>
      <c r="L28" s="362"/>
      <c r="M28" s="362"/>
      <c r="N28" s="362"/>
      <c r="O28" s="362"/>
      <c r="P28" s="362"/>
      <c r="Q28" s="362"/>
      <c r="R28" s="362"/>
      <c r="S28" s="362"/>
      <c r="T28" s="362"/>
      <c r="AH28" s="363"/>
    </row>
    <row r="29" spans="1:34" s="108" customFormat="1" ht="13.15" x14ac:dyDescent="0.45">
      <c r="A29" s="361"/>
      <c r="E29" s="118"/>
      <c r="F29" s="118"/>
      <c r="G29" s="118"/>
      <c r="H29" s="297"/>
      <c r="I29" s="362"/>
      <c r="J29" s="362"/>
      <c r="K29" s="362"/>
      <c r="L29" s="362"/>
      <c r="M29" s="362"/>
      <c r="N29" s="362"/>
      <c r="O29" s="362"/>
      <c r="P29" s="362"/>
      <c r="Q29" s="362"/>
      <c r="R29" s="362"/>
      <c r="S29" s="362"/>
      <c r="T29" s="362"/>
      <c r="AH29" s="363"/>
    </row>
    <row r="30" spans="1:34" s="108" customFormat="1" ht="13.15" x14ac:dyDescent="0.45">
      <c r="A30" s="361"/>
      <c r="E30" s="118"/>
      <c r="F30" s="118"/>
      <c r="G30" s="118"/>
      <c r="H30" s="297"/>
      <c r="I30" s="362"/>
      <c r="J30" s="362"/>
      <c r="K30" s="362"/>
      <c r="L30" s="362"/>
      <c r="M30" s="362"/>
      <c r="N30" s="362"/>
      <c r="O30" s="362"/>
      <c r="P30" s="362"/>
      <c r="Q30" s="362"/>
      <c r="R30" s="362"/>
      <c r="S30" s="362"/>
      <c r="T30" s="362"/>
      <c r="AH30" s="363"/>
    </row>
    <row r="31" spans="1:34" s="108" customFormat="1" ht="13.15" x14ac:dyDescent="0.45">
      <c r="A31" s="361"/>
      <c r="E31" s="118"/>
      <c r="F31" s="118"/>
      <c r="G31" s="118"/>
      <c r="H31" s="297"/>
      <c r="I31" s="362"/>
      <c r="J31" s="362"/>
      <c r="K31" s="362"/>
      <c r="L31" s="362"/>
      <c r="M31" s="362"/>
      <c r="N31" s="362"/>
      <c r="O31" s="362"/>
      <c r="P31" s="362"/>
      <c r="Q31" s="362"/>
      <c r="R31" s="362"/>
      <c r="S31" s="362"/>
      <c r="T31" s="362"/>
      <c r="AH31" s="363"/>
    </row>
    <row r="32" spans="1:34" s="108" customFormat="1" ht="13.15" x14ac:dyDescent="0.45">
      <c r="A32" s="361" t="str">
        <f>IF(B32&lt;&gt;"",COUNTA($B$15:B32),"")</f>
        <v/>
      </c>
      <c r="E32" s="118"/>
      <c r="F32" s="118"/>
      <c r="G32" s="118"/>
      <c r="H32" s="297"/>
      <c r="I32" s="362"/>
      <c r="J32" s="362"/>
      <c r="K32" s="362"/>
      <c r="L32" s="362"/>
      <c r="M32" s="362"/>
      <c r="N32" s="362"/>
      <c r="O32" s="362"/>
      <c r="P32" s="362"/>
      <c r="Q32" s="362"/>
      <c r="R32" s="362"/>
      <c r="S32" s="362"/>
      <c r="T32" s="362"/>
      <c r="AH32" s="363"/>
    </row>
    <row r="33" spans="1:34" s="108" customFormat="1" ht="13.15" x14ac:dyDescent="0.45">
      <c r="A33" s="361" t="str">
        <f>IF(B33&lt;&gt;"",COUNTA($B$15:B33),"")</f>
        <v/>
      </c>
      <c r="E33" s="118"/>
      <c r="F33" s="118"/>
      <c r="G33" s="118"/>
      <c r="H33" s="297"/>
      <c r="I33" s="362"/>
      <c r="J33" s="362"/>
      <c r="K33" s="362"/>
      <c r="L33" s="362"/>
      <c r="M33" s="362"/>
      <c r="N33" s="362"/>
      <c r="O33" s="362"/>
      <c r="P33" s="362"/>
      <c r="Q33" s="362"/>
      <c r="R33" s="362"/>
      <c r="S33" s="362"/>
      <c r="T33" s="362"/>
      <c r="AH33" s="363"/>
    </row>
    <row r="34" spans="1:34" s="108" customFormat="1" ht="13.15" x14ac:dyDescent="0.45">
      <c r="A34" s="361" t="str">
        <f>IF(B34&lt;&gt;"",COUNTA($B$15:B34),"")</f>
        <v/>
      </c>
      <c r="E34" s="118"/>
      <c r="F34" s="118"/>
      <c r="G34" s="118"/>
      <c r="H34" s="297"/>
      <c r="I34" s="362"/>
      <c r="J34" s="362"/>
      <c r="K34" s="362"/>
      <c r="L34" s="362"/>
      <c r="M34" s="362"/>
      <c r="N34" s="362"/>
      <c r="O34" s="362"/>
      <c r="P34" s="362"/>
      <c r="Q34" s="362"/>
      <c r="R34" s="362"/>
      <c r="S34" s="362"/>
      <c r="T34" s="362"/>
      <c r="AH34" s="363"/>
    </row>
    <row r="35" spans="1:34" s="108" customFormat="1" ht="13.15" x14ac:dyDescent="0.45">
      <c r="A35" s="361" t="str">
        <f>IF(B35&lt;&gt;"",COUNTA($B$15:B35),"")</f>
        <v/>
      </c>
      <c r="E35" s="118"/>
      <c r="F35" s="118"/>
      <c r="G35" s="118"/>
      <c r="H35" s="297"/>
      <c r="I35" s="362"/>
      <c r="J35" s="362"/>
      <c r="K35" s="362"/>
      <c r="L35" s="362"/>
      <c r="M35" s="362"/>
      <c r="N35" s="362"/>
      <c r="O35" s="362"/>
      <c r="P35" s="362"/>
      <c r="Q35" s="362"/>
      <c r="R35" s="362"/>
      <c r="S35" s="362"/>
      <c r="T35" s="362"/>
      <c r="AH35" s="363"/>
    </row>
    <row r="36" spans="1:34" s="108" customFormat="1" ht="13.15" x14ac:dyDescent="0.45">
      <c r="A36" s="361" t="str">
        <f>IF(B36&lt;&gt;"",COUNTA($B$15:B36),"")</f>
        <v/>
      </c>
      <c r="E36" s="118"/>
      <c r="F36" s="118"/>
      <c r="G36" s="118"/>
      <c r="H36" s="297"/>
      <c r="I36" s="362"/>
      <c r="J36" s="362"/>
      <c r="K36" s="362"/>
      <c r="L36" s="362"/>
      <c r="M36" s="362"/>
      <c r="N36" s="362"/>
      <c r="O36" s="362"/>
      <c r="P36" s="362"/>
      <c r="Q36" s="362"/>
      <c r="R36" s="362"/>
      <c r="S36" s="362"/>
      <c r="T36" s="362"/>
      <c r="AH36" s="363"/>
    </row>
    <row r="37" spans="1:34" s="108" customFormat="1" ht="13.15" x14ac:dyDescent="0.45">
      <c r="A37" s="361" t="str">
        <f>IF(B37&lt;&gt;"",COUNTA($B$15:B37),"")</f>
        <v/>
      </c>
      <c r="E37" s="118"/>
      <c r="F37" s="118"/>
      <c r="G37" s="118"/>
      <c r="H37" s="297"/>
      <c r="I37" s="362"/>
      <c r="J37" s="362"/>
      <c r="K37" s="362"/>
      <c r="L37" s="362"/>
      <c r="M37" s="362"/>
      <c r="N37" s="362"/>
      <c r="O37" s="362"/>
      <c r="P37" s="362"/>
      <c r="Q37" s="362"/>
      <c r="R37" s="362"/>
      <c r="S37" s="362"/>
      <c r="T37" s="362"/>
      <c r="AH37" s="363"/>
    </row>
    <row r="38" spans="1:34" s="108" customFormat="1" ht="13.15" x14ac:dyDescent="0.45">
      <c r="A38" s="361" t="str">
        <f>IF(B38&lt;&gt;"",COUNTA($B$15:B38),"")</f>
        <v/>
      </c>
      <c r="E38" s="118"/>
      <c r="F38" s="118"/>
      <c r="G38" s="118"/>
      <c r="H38" s="297"/>
      <c r="I38" s="362"/>
      <c r="J38" s="362"/>
      <c r="K38" s="362"/>
      <c r="L38" s="362"/>
      <c r="M38" s="362"/>
      <c r="N38" s="362"/>
      <c r="O38" s="362"/>
      <c r="P38" s="362"/>
      <c r="Q38" s="362"/>
      <c r="R38" s="362"/>
      <c r="S38" s="362"/>
      <c r="T38" s="362"/>
      <c r="AH38" s="363"/>
    </row>
    <row r="39" spans="1:34" s="108" customFormat="1" ht="13.15" x14ac:dyDescent="0.45">
      <c r="A39" s="361" t="str">
        <f>IF(B39&lt;&gt;"",COUNTA($B$15:B39),"")</f>
        <v/>
      </c>
      <c r="E39" s="118"/>
      <c r="F39" s="118"/>
      <c r="G39" s="118"/>
      <c r="H39" s="297"/>
      <c r="I39" s="362"/>
      <c r="J39" s="362"/>
      <c r="K39" s="362"/>
      <c r="L39" s="362"/>
      <c r="M39" s="362"/>
      <c r="N39" s="362"/>
      <c r="O39" s="362"/>
      <c r="P39" s="362"/>
      <c r="Q39" s="362"/>
      <c r="R39" s="362"/>
      <c r="S39" s="362"/>
      <c r="T39" s="362"/>
      <c r="AH39" s="363"/>
    </row>
    <row r="40" spans="1:34" s="108" customFormat="1" ht="13.15" x14ac:dyDescent="0.45">
      <c r="A40" s="361" t="str">
        <f>IF(B40&lt;&gt;"",COUNTA($B$15:B40),"")</f>
        <v/>
      </c>
      <c r="E40" s="118"/>
      <c r="F40" s="118"/>
      <c r="G40" s="118"/>
      <c r="H40" s="297"/>
      <c r="I40" s="362"/>
      <c r="J40" s="362"/>
      <c r="K40" s="362"/>
      <c r="L40" s="362"/>
      <c r="M40" s="362"/>
      <c r="N40" s="362"/>
      <c r="O40" s="362"/>
      <c r="P40" s="362"/>
      <c r="Q40" s="362"/>
      <c r="R40" s="362"/>
      <c r="S40" s="362"/>
      <c r="T40" s="362"/>
      <c r="AH40" s="363"/>
    </row>
    <row r="41" spans="1:34" s="108" customFormat="1" ht="13.15" x14ac:dyDescent="0.45">
      <c r="A41" s="361" t="str">
        <f>IF(B41&lt;&gt;"",COUNTA($B$15:B41),"")</f>
        <v/>
      </c>
      <c r="E41" s="118"/>
      <c r="F41" s="118"/>
      <c r="G41" s="118"/>
      <c r="H41" s="297"/>
      <c r="I41" s="362"/>
      <c r="J41" s="362"/>
      <c r="K41" s="362"/>
      <c r="L41" s="362"/>
      <c r="M41" s="362"/>
      <c r="N41" s="362"/>
      <c r="O41" s="362"/>
      <c r="P41" s="362"/>
      <c r="Q41" s="362"/>
      <c r="R41" s="362"/>
      <c r="S41" s="362"/>
      <c r="T41" s="362"/>
      <c r="AH41" s="363"/>
    </row>
    <row r="42" spans="1:34" s="108" customFormat="1" ht="13.15" x14ac:dyDescent="0.45">
      <c r="A42" s="361" t="str">
        <f>IF(B42&lt;&gt;"",COUNTA($B$15:B42),"")</f>
        <v/>
      </c>
      <c r="E42" s="118"/>
      <c r="F42" s="118"/>
      <c r="G42" s="118"/>
      <c r="H42" s="297"/>
      <c r="I42" s="362"/>
      <c r="J42" s="362"/>
      <c r="K42" s="362"/>
      <c r="L42" s="362"/>
      <c r="M42" s="362"/>
      <c r="N42" s="362"/>
      <c r="O42" s="362"/>
      <c r="P42" s="362"/>
      <c r="Q42" s="362"/>
      <c r="R42" s="362"/>
      <c r="S42" s="362"/>
      <c r="T42" s="362"/>
      <c r="AH42" s="363"/>
    </row>
    <row r="43" spans="1:34" s="108" customFormat="1" ht="13.15" x14ac:dyDescent="0.45">
      <c r="A43" s="361" t="str">
        <f>IF(B43&lt;&gt;"",COUNTA($B$15:B43),"")</f>
        <v/>
      </c>
      <c r="E43" s="118"/>
      <c r="F43" s="118"/>
      <c r="G43" s="118"/>
      <c r="H43" s="297"/>
      <c r="I43" s="362"/>
      <c r="J43" s="362"/>
      <c r="K43" s="362"/>
      <c r="L43" s="362"/>
      <c r="M43" s="362"/>
      <c r="N43" s="362"/>
      <c r="O43" s="362"/>
      <c r="P43" s="362"/>
      <c r="Q43" s="362"/>
      <c r="R43" s="362"/>
      <c r="S43" s="362"/>
      <c r="T43" s="362"/>
      <c r="AH43" s="363"/>
    </row>
    <row r="44" spans="1:34" s="108" customFormat="1" ht="13.15" x14ac:dyDescent="0.45">
      <c r="A44" s="361" t="str">
        <f>IF(B44&lt;&gt;"",COUNTA($B$15:B44),"")</f>
        <v/>
      </c>
      <c r="E44" s="118"/>
      <c r="F44" s="118"/>
      <c r="G44" s="118"/>
      <c r="H44" s="297"/>
      <c r="I44" s="362"/>
      <c r="J44" s="362"/>
      <c r="K44" s="362"/>
      <c r="L44" s="362"/>
      <c r="M44" s="362"/>
      <c r="N44" s="362"/>
      <c r="O44" s="362"/>
      <c r="P44" s="362"/>
      <c r="Q44" s="362"/>
      <c r="R44" s="362"/>
      <c r="S44" s="362"/>
      <c r="T44" s="362"/>
      <c r="AH44" s="363"/>
    </row>
    <row r="45" spans="1:34" s="108" customFormat="1" ht="13.15" x14ac:dyDescent="0.45">
      <c r="A45" s="361" t="str">
        <f>IF(B45&lt;&gt;"",COUNTA($B$15:B45),"")</f>
        <v/>
      </c>
      <c r="E45" s="118"/>
      <c r="F45" s="118"/>
      <c r="G45" s="118"/>
      <c r="H45" s="297"/>
      <c r="I45" s="362"/>
      <c r="J45" s="362"/>
      <c r="K45" s="362"/>
      <c r="L45" s="362"/>
      <c r="M45" s="362"/>
      <c r="N45" s="362"/>
      <c r="O45" s="362"/>
      <c r="P45" s="362"/>
      <c r="Q45" s="362"/>
      <c r="R45" s="362"/>
      <c r="S45" s="362"/>
      <c r="T45" s="362"/>
      <c r="AH45" s="363"/>
    </row>
    <row r="46" spans="1:34" s="108" customFormat="1" ht="13.15" x14ac:dyDescent="0.45">
      <c r="A46" s="361" t="str">
        <f>IF(B46&lt;&gt;"",COUNTA($B$15:B46),"")</f>
        <v/>
      </c>
      <c r="E46" s="118"/>
      <c r="F46" s="118"/>
      <c r="G46" s="118"/>
      <c r="H46" s="297"/>
      <c r="I46" s="362"/>
      <c r="J46" s="362"/>
      <c r="K46" s="362"/>
      <c r="L46" s="362"/>
      <c r="M46" s="362"/>
      <c r="N46" s="362"/>
      <c r="O46" s="362"/>
      <c r="P46" s="362"/>
      <c r="Q46" s="362"/>
      <c r="R46" s="362"/>
      <c r="S46" s="362"/>
      <c r="T46" s="362"/>
      <c r="AH46" s="363"/>
    </row>
    <row r="47" spans="1:34" s="108" customFormat="1" ht="13.15" x14ac:dyDescent="0.45">
      <c r="A47" s="361" t="str">
        <f>IF(B47&lt;&gt;"",COUNTA($B$15:B47),"")</f>
        <v/>
      </c>
      <c r="E47" s="118"/>
      <c r="F47" s="118"/>
      <c r="G47" s="118"/>
      <c r="H47" s="297"/>
      <c r="I47" s="362"/>
      <c r="J47" s="362"/>
      <c r="K47" s="362"/>
      <c r="L47" s="362"/>
      <c r="M47" s="362"/>
      <c r="N47" s="362"/>
      <c r="O47" s="362"/>
      <c r="P47" s="362"/>
      <c r="Q47" s="362"/>
      <c r="R47" s="362"/>
      <c r="S47" s="362"/>
      <c r="T47" s="362"/>
      <c r="AH47" s="363"/>
    </row>
    <row r="48" spans="1:34" s="108" customFormat="1" ht="13.15" x14ac:dyDescent="0.45">
      <c r="A48" s="361" t="str">
        <f>IF(B48&lt;&gt;"",COUNTA($B$15:B48),"")</f>
        <v/>
      </c>
      <c r="E48" s="118"/>
      <c r="F48" s="118"/>
      <c r="G48" s="118"/>
      <c r="H48" s="297"/>
      <c r="I48" s="362"/>
      <c r="J48" s="362"/>
      <c r="K48" s="362"/>
      <c r="L48" s="362"/>
      <c r="M48" s="362"/>
      <c r="N48" s="362"/>
      <c r="O48" s="362"/>
      <c r="P48" s="362"/>
      <c r="Q48" s="362"/>
      <c r="R48" s="362"/>
      <c r="S48" s="362"/>
      <c r="T48" s="362"/>
      <c r="AH48" s="363"/>
    </row>
    <row r="49" spans="1:34" s="108" customFormat="1" ht="13.15" x14ac:dyDescent="0.45">
      <c r="A49" s="361" t="str">
        <f>IF(B49&lt;&gt;"",COUNTA($B$15:B49),"")</f>
        <v/>
      </c>
      <c r="E49" s="118"/>
      <c r="F49" s="118"/>
      <c r="G49" s="118"/>
      <c r="H49" s="297"/>
      <c r="I49" s="362"/>
      <c r="J49" s="362"/>
      <c r="K49" s="362"/>
      <c r="L49" s="362"/>
      <c r="M49" s="362"/>
      <c r="N49" s="362"/>
      <c r="O49" s="362"/>
      <c r="P49" s="362"/>
      <c r="Q49" s="362"/>
      <c r="R49" s="362"/>
      <c r="S49" s="362"/>
      <c r="T49" s="362"/>
      <c r="AH49" s="363"/>
    </row>
    <row r="50" spans="1:34" s="108" customFormat="1" ht="13.15" x14ac:dyDescent="0.45">
      <c r="A50" s="361" t="str">
        <f>IF(B50&lt;&gt;"",COUNTA($B$15:B50),"")</f>
        <v/>
      </c>
      <c r="E50" s="118"/>
      <c r="F50" s="118"/>
      <c r="G50" s="118"/>
      <c r="H50" s="297"/>
      <c r="I50" s="362"/>
      <c r="J50" s="362"/>
      <c r="K50" s="362"/>
      <c r="L50" s="362"/>
      <c r="M50" s="362"/>
      <c r="N50" s="362"/>
      <c r="O50" s="362"/>
      <c r="P50" s="362"/>
      <c r="Q50" s="362"/>
      <c r="R50" s="362"/>
      <c r="S50" s="362"/>
      <c r="T50" s="362"/>
      <c r="AH50" s="363"/>
    </row>
    <row r="51" spans="1:34" s="108" customFormat="1" ht="13.15" x14ac:dyDescent="0.45">
      <c r="A51" s="361" t="str">
        <f>IF(B51&lt;&gt;"",COUNTA($B$15:B51),"")</f>
        <v/>
      </c>
      <c r="E51" s="118"/>
      <c r="F51" s="118"/>
      <c r="G51" s="118"/>
      <c r="H51" s="297"/>
      <c r="I51" s="362"/>
      <c r="J51" s="362"/>
      <c r="K51" s="362"/>
      <c r="L51" s="362"/>
      <c r="M51" s="362"/>
      <c r="N51" s="362"/>
      <c r="O51" s="362"/>
      <c r="P51" s="362"/>
      <c r="Q51" s="362"/>
      <c r="R51" s="362"/>
      <c r="S51" s="362"/>
      <c r="T51" s="362"/>
      <c r="AH51" s="363"/>
    </row>
    <row r="52" spans="1:34" s="108" customFormat="1" ht="13.15" x14ac:dyDescent="0.45">
      <c r="A52" s="361" t="str">
        <f>IF(B52&lt;&gt;"",COUNTA($B$15:B52),"")</f>
        <v/>
      </c>
      <c r="E52" s="118"/>
      <c r="F52" s="118"/>
      <c r="G52" s="118"/>
      <c r="H52" s="297"/>
      <c r="I52" s="362"/>
      <c r="J52" s="362"/>
      <c r="K52" s="362"/>
      <c r="L52" s="362"/>
      <c r="M52" s="362"/>
      <c r="N52" s="362"/>
      <c r="O52" s="362"/>
      <c r="P52" s="362"/>
      <c r="Q52" s="362"/>
      <c r="R52" s="362"/>
      <c r="S52" s="362"/>
      <c r="T52" s="362"/>
      <c r="AH52" s="363"/>
    </row>
    <row r="53" spans="1:34" s="108" customFormat="1" ht="13.15" x14ac:dyDescent="0.45">
      <c r="A53" s="361" t="str">
        <f>IF(B53&lt;&gt;"",COUNTA($B$15:B53),"")</f>
        <v/>
      </c>
      <c r="E53" s="118"/>
      <c r="F53" s="118"/>
      <c r="G53" s="118"/>
      <c r="H53" s="297"/>
      <c r="I53" s="362"/>
      <c r="J53" s="362"/>
      <c r="K53" s="362"/>
      <c r="L53" s="362"/>
      <c r="M53" s="362"/>
      <c r="N53" s="362"/>
      <c r="O53" s="362"/>
      <c r="P53" s="362"/>
      <c r="Q53" s="362"/>
      <c r="R53" s="362"/>
      <c r="S53" s="362"/>
      <c r="T53" s="362"/>
      <c r="AH53" s="363"/>
    </row>
    <row r="54" spans="1:34" s="108" customFormat="1" ht="13.15" x14ac:dyDescent="0.45">
      <c r="A54" s="361" t="str">
        <f>IF(B54&lt;&gt;"",COUNTA($B$15:B54),"")</f>
        <v/>
      </c>
      <c r="E54" s="118"/>
      <c r="F54" s="118"/>
      <c r="G54" s="118"/>
      <c r="H54" s="297"/>
      <c r="I54" s="362"/>
      <c r="J54" s="362"/>
      <c r="K54" s="362"/>
      <c r="L54" s="362"/>
      <c r="M54" s="362"/>
      <c r="N54" s="362"/>
      <c r="O54" s="362"/>
      <c r="P54" s="362"/>
      <c r="Q54" s="362"/>
      <c r="R54" s="362"/>
      <c r="S54" s="362"/>
      <c r="T54" s="362"/>
      <c r="AH54" s="363"/>
    </row>
    <row r="55" spans="1:34" s="108" customFormat="1" ht="13.15" x14ac:dyDescent="0.45">
      <c r="A55" s="361" t="str">
        <f>IF(B55&lt;&gt;"",COUNTA($B$15:B55),"")</f>
        <v/>
      </c>
      <c r="E55" s="118"/>
      <c r="F55" s="118"/>
      <c r="G55" s="118"/>
      <c r="H55" s="297"/>
      <c r="I55" s="362"/>
      <c r="J55" s="362"/>
      <c r="K55" s="362"/>
      <c r="L55" s="362"/>
      <c r="M55" s="362"/>
      <c r="N55" s="362"/>
      <c r="O55" s="362"/>
      <c r="P55" s="362"/>
      <c r="Q55" s="362"/>
      <c r="R55" s="362"/>
      <c r="S55" s="362"/>
      <c r="T55" s="362"/>
      <c r="AH55" s="363"/>
    </row>
    <row r="56" spans="1:34" s="108" customFormat="1" ht="13.15" x14ac:dyDescent="0.45">
      <c r="A56" s="361" t="str">
        <f>IF(B56&lt;&gt;"",COUNTA($B$15:B56),"")</f>
        <v/>
      </c>
      <c r="E56" s="118"/>
      <c r="F56" s="118"/>
      <c r="G56" s="118"/>
      <c r="H56" s="297"/>
      <c r="I56" s="362"/>
      <c r="J56" s="362"/>
      <c r="K56" s="362"/>
      <c r="L56" s="362"/>
      <c r="M56" s="362"/>
      <c r="N56" s="362"/>
      <c r="O56" s="362"/>
      <c r="P56" s="362"/>
      <c r="Q56" s="362"/>
      <c r="R56" s="362"/>
      <c r="S56" s="362"/>
      <c r="T56" s="362"/>
      <c r="AH56" s="363"/>
    </row>
    <row r="57" spans="1:34" s="108" customFormat="1" ht="13.15" x14ac:dyDescent="0.45">
      <c r="A57" s="361" t="str">
        <f>IF(B57&lt;&gt;"",COUNTA($B$15:B57),"")</f>
        <v/>
      </c>
      <c r="E57" s="118"/>
      <c r="F57" s="118"/>
      <c r="G57" s="118"/>
      <c r="H57" s="297"/>
      <c r="I57" s="362"/>
      <c r="J57" s="362"/>
      <c r="K57" s="362"/>
      <c r="L57" s="362"/>
      <c r="M57" s="362"/>
      <c r="N57" s="362"/>
      <c r="O57" s="362"/>
      <c r="P57" s="362"/>
      <c r="Q57" s="362"/>
      <c r="R57" s="362"/>
      <c r="S57" s="362"/>
      <c r="T57" s="362"/>
      <c r="AH57" s="363"/>
    </row>
    <row r="58" spans="1:34" s="108" customFormat="1" ht="13.15" x14ac:dyDescent="0.45">
      <c r="A58" s="361" t="str">
        <f>IF(B58&lt;&gt;"",COUNTA($B$15:B58),"")</f>
        <v/>
      </c>
      <c r="E58" s="118"/>
      <c r="F58" s="118"/>
      <c r="G58" s="118"/>
      <c r="H58" s="297"/>
      <c r="I58" s="362"/>
      <c r="J58" s="362"/>
      <c r="K58" s="362"/>
      <c r="L58" s="362"/>
      <c r="M58" s="362"/>
      <c r="N58" s="362"/>
      <c r="O58" s="362"/>
      <c r="P58" s="362"/>
      <c r="Q58" s="362"/>
      <c r="R58" s="362"/>
      <c r="S58" s="362"/>
      <c r="T58" s="362"/>
      <c r="AH58" s="363"/>
    </row>
    <row r="59" spans="1:34" s="108" customFormat="1" ht="13.15" x14ac:dyDescent="0.45">
      <c r="A59" s="361" t="str">
        <f>IF(B59&lt;&gt;"",COUNTA($B$15:B59),"")</f>
        <v/>
      </c>
      <c r="E59" s="118"/>
      <c r="F59" s="118"/>
      <c r="G59" s="118"/>
      <c r="H59" s="297"/>
      <c r="I59" s="362"/>
      <c r="J59" s="362"/>
      <c r="K59" s="362"/>
      <c r="L59" s="362"/>
      <c r="M59" s="362"/>
      <c r="N59" s="362"/>
      <c r="O59" s="362"/>
      <c r="P59" s="362"/>
      <c r="Q59" s="362"/>
      <c r="R59" s="362"/>
      <c r="S59" s="362"/>
      <c r="T59" s="362"/>
      <c r="AH59" s="363"/>
    </row>
    <row r="60" spans="1:34" s="108" customFormat="1" ht="13.15" x14ac:dyDescent="0.45">
      <c r="A60" s="361" t="str">
        <f>IF(B60&lt;&gt;"",COUNTA($B$15:B60),"")</f>
        <v/>
      </c>
      <c r="E60" s="118"/>
      <c r="F60" s="118"/>
      <c r="G60" s="118"/>
      <c r="H60" s="297"/>
      <c r="I60" s="362"/>
      <c r="J60" s="362"/>
      <c r="K60" s="362"/>
      <c r="L60" s="362"/>
      <c r="M60" s="362"/>
      <c r="N60" s="362"/>
      <c r="O60" s="362"/>
      <c r="P60" s="362"/>
      <c r="Q60" s="362"/>
      <c r="R60" s="362"/>
      <c r="S60" s="362"/>
      <c r="T60" s="362"/>
      <c r="AH60" s="363"/>
    </row>
    <row r="61" spans="1:34" s="108" customFormat="1" ht="13.15" x14ac:dyDescent="0.45">
      <c r="A61" s="361" t="str">
        <f>IF(B61&lt;&gt;"",COUNTA($B$15:B61),"")</f>
        <v/>
      </c>
      <c r="E61" s="118"/>
      <c r="F61" s="118"/>
      <c r="G61" s="118"/>
      <c r="H61" s="297"/>
      <c r="I61" s="362"/>
      <c r="J61" s="362"/>
      <c r="K61" s="362"/>
      <c r="L61" s="362"/>
      <c r="M61" s="362"/>
      <c r="N61" s="362"/>
      <c r="O61" s="362"/>
      <c r="P61" s="362"/>
      <c r="Q61" s="362"/>
      <c r="R61" s="362"/>
      <c r="S61" s="362"/>
      <c r="T61" s="362"/>
      <c r="AH61" s="363"/>
    </row>
    <row r="62" spans="1:34" s="108" customFormat="1" ht="13.15" x14ac:dyDescent="0.45">
      <c r="A62" s="361" t="str">
        <f>IF(B62&lt;&gt;"",COUNTA($B$15:B62),"")</f>
        <v/>
      </c>
      <c r="E62" s="118"/>
      <c r="F62" s="118"/>
      <c r="G62" s="118"/>
      <c r="H62" s="297"/>
      <c r="I62" s="362"/>
      <c r="J62" s="362"/>
      <c r="K62" s="362"/>
      <c r="L62" s="362"/>
      <c r="M62" s="362"/>
      <c r="N62" s="362"/>
      <c r="O62" s="362"/>
      <c r="P62" s="362"/>
      <c r="Q62" s="362"/>
      <c r="R62" s="362"/>
      <c r="S62" s="362"/>
      <c r="T62" s="362"/>
      <c r="AH62" s="363"/>
    </row>
    <row r="63" spans="1:34" s="108" customFormat="1" ht="13.15" x14ac:dyDescent="0.45">
      <c r="A63" s="361" t="str">
        <f>IF(B63&lt;&gt;"",COUNTA($B$15:B63),"")</f>
        <v/>
      </c>
      <c r="E63" s="118"/>
      <c r="F63" s="118"/>
      <c r="G63" s="118"/>
      <c r="H63" s="297"/>
      <c r="I63" s="362"/>
      <c r="J63" s="362"/>
      <c r="K63" s="362"/>
      <c r="L63" s="362"/>
      <c r="M63" s="362"/>
      <c r="N63" s="362"/>
      <c r="O63" s="362"/>
      <c r="P63" s="362"/>
      <c r="Q63" s="362"/>
      <c r="R63" s="362"/>
      <c r="S63" s="362"/>
      <c r="T63" s="362"/>
      <c r="AH63" s="363"/>
    </row>
    <row r="64" spans="1:34" s="108" customFormat="1" ht="13.15" x14ac:dyDescent="0.45">
      <c r="A64" s="361" t="str">
        <f>IF(B64&lt;&gt;"",COUNTA($B$15:B64),"")</f>
        <v/>
      </c>
      <c r="E64" s="118"/>
      <c r="F64" s="118"/>
      <c r="G64" s="118"/>
      <c r="H64" s="297"/>
      <c r="I64" s="362"/>
      <c r="J64" s="362"/>
      <c r="K64" s="362"/>
      <c r="L64" s="362"/>
      <c r="M64" s="362"/>
      <c r="N64" s="362"/>
      <c r="O64" s="362"/>
      <c r="P64" s="362"/>
      <c r="Q64" s="362"/>
      <c r="R64" s="362"/>
      <c r="S64" s="362"/>
      <c r="T64" s="362"/>
      <c r="AH64" s="363"/>
    </row>
    <row r="65" spans="1:34" s="108" customFormat="1" ht="13.15" x14ac:dyDescent="0.45">
      <c r="A65" s="361" t="str">
        <f>IF(B65&lt;&gt;"",COUNTA($B$15:B65),"")</f>
        <v/>
      </c>
      <c r="E65" s="118"/>
      <c r="F65" s="118"/>
      <c r="G65" s="118"/>
      <c r="H65" s="297"/>
      <c r="I65" s="362"/>
      <c r="J65" s="362"/>
      <c r="K65" s="362"/>
      <c r="L65" s="362"/>
      <c r="M65" s="362"/>
      <c r="N65" s="362"/>
      <c r="O65" s="362"/>
      <c r="P65" s="362"/>
      <c r="Q65" s="362"/>
      <c r="R65" s="362"/>
      <c r="S65" s="362"/>
      <c r="T65" s="362"/>
      <c r="AH65" s="363"/>
    </row>
    <row r="66" spans="1:34" s="108" customFormat="1" ht="13.15" x14ac:dyDescent="0.45">
      <c r="A66" s="361" t="str">
        <f>IF(B66&lt;&gt;"",COUNTA($B$15:B66),"")</f>
        <v/>
      </c>
      <c r="E66" s="118"/>
      <c r="F66" s="118"/>
      <c r="G66" s="118"/>
      <c r="H66" s="297"/>
      <c r="I66" s="362"/>
      <c r="J66" s="362"/>
      <c r="K66" s="362"/>
      <c r="L66" s="362"/>
      <c r="M66" s="362"/>
      <c r="N66" s="362"/>
      <c r="O66" s="362"/>
      <c r="P66" s="362"/>
      <c r="Q66" s="362"/>
      <c r="R66" s="362"/>
      <c r="S66" s="362"/>
      <c r="T66" s="362"/>
      <c r="AH66" s="363"/>
    </row>
    <row r="67" spans="1:34" s="108" customFormat="1" ht="13.15" x14ac:dyDescent="0.45">
      <c r="A67" s="361" t="str">
        <f>IF(B67&lt;&gt;"",COUNTA($B$15:B67),"")</f>
        <v/>
      </c>
      <c r="E67" s="118"/>
      <c r="F67" s="118"/>
      <c r="G67" s="118"/>
      <c r="H67" s="297"/>
      <c r="I67" s="362"/>
      <c r="J67" s="362"/>
      <c r="K67" s="362"/>
      <c r="L67" s="362"/>
      <c r="M67" s="362"/>
      <c r="N67" s="362"/>
      <c r="O67" s="362"/>
      <c r="P67" s="362"/>
      <c r="Q67" s="362"/>
      <c r="R67" s="362"/>
      <c r="S67" s="362"/>
      <c r="T67" s="362"/>
      <c r="AH67" s="363"/>
    </row>
    <row r="68" spans="1:34" s="108" customFormat="1" ht="13.15" x14ac:dyDescent="0.45">
      <c r="A68" s="361" t="str">
        <f>IF(B68&lt;&gt;"",COUNTA($B$15:B68),"")</f>
        <v/>
      </c>
      <c r="E68" s="118"/>
      <c r="F68" s="118"/>
      <c r="G68" s="118"/>
      <c r="H68" s="297"/>
      <c r="I68" s="362"/>
      <c r="J68" s="362"/>
      <c r="K68" s="362"/>
      <c r="L68" s="362"/>
      <c r="M68" s="362"/>
      <c r="N68" s="362"/>
      <c r="O68" s="362"/>
      <c r="P68" s="362"/>
      <c r="Q68" s="362"/>
      <c r="R68" s="362"/>
      <c r="S68" s="362"/>
      <c r="T68" s="362"/>
      <c r="AH68" s="363"/>
    </row>
    <row r="69" spans="1:34" s="108" customFormat="1" ht="13.15" x14ac:dyDescent="0.45">
      <c r="A69" s="361" t="str">
        <f>IF(B69&lt;&gt;"",COUNTA($B$15:B69),"")</f>
        <v/>
      </c>
      <c r="E69" s="118"/>
      <c r="F69" s="118"/>
      <c r="G69" s="118"/>
      <c r="H69" s="297"/>
      <c r="I69" s="362"/>
      <c r="J69" s="362"/>
      <c r="K69" s="362"/>
      <c r="L69" s="362"/>
      <c r="M69" s="362"/>
      <c r="N69" s="362"/>
      <c r="O69" s="362"/>
      <c r="P69" s="362"/>
      <c r="Q69" s="362"/>
      <c r="R69" s="362"/>
      <c r="S69" s="362"/>
      <c r="T69" s="362"/>
      <c r="AH69" s="363"/>
    </row>
    <row r="70" spans="1:34" s="108" customFormat="1" ht="13.15" x14ac:dyDescent="0.45">
      <c r="A70" s="361" t="str">
        <f>IF(B70&lt;&gt;"",COUNTA($B$15:B70),"")</f>
        <v/>
      </c>
      <c r="E70" s="118"/>
      <c r="F70" s="118"/>
      <c r="G70" s="118"/>
      <c r="H70" s="297"/>
      <c r="I70" s="362"/>
      <c r="J70" s="362"/>
      <c r="K70" s="362"/>
      <c r="L70" s="362"/>
      <c r="M70" s="362"/>
      <c r="N70" s="362"/>
      <c r="O70" s="362"/>
      <c r="P70" s="362"/>
      <c r="Q70" s="362"/>
      <c r="R70" s="362"/>
      <c r="S70" s="362"/>
      <c r="T70" s="362"/>
      <c r="AH70" s="363"/>
    </row>
    <row r="71" spans="1:34" s="108" customFormat="1" ht="13.15" x14ac:dyDescent="0.45">
      <c r="A71" s="361" t="str">
        <f>IF(B71&lt;&gt;"",COUNTA($B$15:B71),"")</f>
        <v/>
      </c>
      <c r="E71" s="118"/>
      <c r="F71" s="118"/>
      <c r="G71" s="118"/>
      <c r="H71" s="297"/>
      <c r="I71" s="362"/>
      <c r="J71" s="362"/>
      <c r="K71" s="362"/>
      <c r="L71" s="362"/>
      <c r="M71" s="362"/>
      <c r="N71" s="362"/>
      <c r="O71" s="362"/>
      <c r="P71" s="362"/>
      <c r="Q71" s="362"/>
      <c r="R71" s="362"/>
      <c r="S71" s="362"/>
      <c r="T71" s="362"/>
      <c r="AH71" s="363"/>
    </row>
    <row r="72" spans="1:34" s="108" customFormat="1" ht="13.15" x14ac:dyDescent="0.45">
      <c r="A72" s="361" t="str">
        <f>IF(B72&lt;&gt;"",COUNTA($B$15:B72),"")</f>
        <v/>
      </c>
      <c r="E72" s="118"/>
      <c r="F72" s="118"/>
      <c r="G72" s="118"/>
      <c r="H72" s="297"/>
      <c r="I72" s="362"/>
      <c r="J72" s="362"/>
      <c r="K72" s="362"/>
      <c r="L72" s="362"/>
      <c r="M72" s="362"/>
      <c r="N72" s="362"/>
      <c r="O72" s="362"/>
      <c r="P72" s="362"/>
      <c r="Q72" s="362"/>
      <c r="R72" s="362"/>
      <c r="S72" s="362"/>
      <c r="T72" s="362"/>
      <c r="AH72" s="363"/>
    </row>
    <row r="73" spans="1:34" s="108" customFormat="1" ht="13.15" x14ac:dyDescent="0.45">
      <c r="A73" s="361" t="str">
        <f>IF(B73&lt;&gt;"",COUNTA($B$15:B73),"")</f>
        <v/>
      </c>
      <c r="E73" s="118"/>
      <c r="F73" s="118"/>
      <c r="G73" s="118"/>
      <c r="H73" s="297"/>
      <c r="I73" s="362"/>
      <c r="J73" s="362"/>
      <c r="K73" s="362"/>
      <c r="L73" s="362"/>
      <c r="M73" s="362"/>
      <c r="N73" s="362"/>
      <c r="O73" s="362"/>
      <c r="P73" s="362"/>
      <c r="Q73" s="362"/>
      <c r="R73" s="362"/>
      <c r="S73" s="362"/>
      <c r="T73" s="362"/>
      <c r="AH73" s="363"/>
    </row>
    <row r="74" spans="1:34" s="108" customFormat="1" ht="13.15" x14ac:dyDescent="0.45">
      <c r="A74" s="361" t="str">
        <f>IF(B74&lt;&gt;"",COUNTA($B$15:B74),"")</f>
        <v/>
      </c>
      <c r="E74" s="118"/>
      <c r="F74" s="118"/>
      <c r="G74" s="118"/>
      <c r="H74" s="297"/>
      <c r="I74" s="362"/>
      <c r="J74" s="362"/>
      <c r="K74" s="362"/>
      <c r="L74" s="362"/>
      <c r="M74" s="362"/>
      <c r="N74" s="362"/>
      <c r="O74" s="362"/>
      <c r="P74" s="362"/>
      <c r="Q74" s="362"/>
      <c r="R74" s="362"/>
      <c r="S74" s="362"/>
      <c r="T74" s="362"/>
      <c r="AH74" s="363"/>
    </row>
    <row r="75" spans="1:34" s="108" customFormat="1" ht="13.15" x14ac:dyDescent="0.45">
      <c r="A75" s="361" t="str">
        <f>IF(B75&lt;&gt;"",COUNTA($B$15:B75),"")</f>
        <v/>
      </c>
      <c r="E75" s="118"/>
      <c r="F75" s="118"/>
      <c r="G75" s="118"/>
      <c r="H75" s="297"/>
      <c r="I75" s="362"/>
      <c r="J75" s="362"/>
      <c r="K75" s="362"/>
      <c r="L75" s="362"/>
      <c r="M75" s="362"/>
      <c r="N75" s="362"/>
      <c r="O75" s="362"/>
      <c r="P75" s="362"/>
      <c r="Q75" s="362"/>
      <c r="R75" s="362"/>
      <c r="S75" s="362"/>
      <c r="T75" s="362"/>
      <c r="AH75" s="363"/>
    </row>
    <row r="76" spans="1:34" s="108" customFormat="1" ht="13.15" x14ac:dyDescent="0.45">
      <c r="A76" s="361" t="str">
        <f>IF(B76&lt;&gt;"",COUNTA($B$15:B76),"")</f>
        <v/>
      </c>
      <c r="E76" s="118"/>
      <c r="F76" s="118"/>
      <c r="G76" s="118"/>
      <c r="H76" s="297"/>
      <c r="I76" s="362"/>
      <c r="J76" s="362"/>
      <c r="K76" s="362"/>
      <c r="L76" s="362"/>
      <c r="M76" s="362"/>
      <c r="N76" s="362"/>
      <c r="O76" s="362"/>
      <c r="P76" s="362"/>
      <c r="Q76" s="362"/>
      <c r="R76" s="362"/>
      <c r="S76" s="362"/>
      <c r="T76" s="362"/>
      <c r="AH76" s="363"/>
    </row>
    <row r="77" spans="1:34" s="108" customFormat="1" ht="13.15" x14ac:dyDescent="0.45">
      <c r="A77" s="361" t="str">
        <f>IF(B77&lt;&gt;"",COUNTA($B$15:B77),"")</f>
        <v/>
      </c>
      <c r="E77" s="118"/>
      <c r="F77" s="118"/>
      <c r="G77" s="118"/>
      <c r="H77" s="297"/>
      <c r="I77" s="362"/>
      <c r="J77" s="362"/>
      <c r="K77" s="362"/>
      <c r="L77" s="362"/>
      <c r="M77" s="362"/>
      <c r="N77" s="362"/>
      <c r="O77" s="362"/>
      <c r="P77" s="362"/>
      <c r="Q77" s="362"/>
      <c r="R77" s="362"/>
      <c r="S77" s="362"/>
      <c r="T77" s="362"/>
      <c r="AH77" s="363"/>
    </row>
    <row r="78" spans="1:34" s="108" customFormat="1" ht="13.15" x14ac:dyDescent="0.45">
      <c r="A78" s="361" t="str">
        <f>IF(B78&lt;&gt;"",COUNTA($B$15:B78),"")</f>
        <v/>
      </c>
      <c r="E78" s="118"/>
      <c r="F78" s="118"/>
      <c r="G78" s="118"/>
      <c r="H78" s="297"/>
      <c r="I78" s="362"/>
      <c r="J78" s="362"/>
      <c r="K78" s="362"/>
      <c r="L78" s="362"/>
      <c r="M78" s="362"/>
      <c r="N78" s="362"/>
      <c r="O78" s="362"/>
      <c r="P78" s="362"/>
      <c r="Q78" s="362"/>
      <c r="R78" s="362"/>
      <c r="S78" s="362"/>
      <c r="T78" s="362"/>
      <c r="AH78" s="363"/>
    </row>
    <row r="79" spans="1:34" s="108" customFormat="1" ht="13.15" x14ac:dyDescent="0.45">
      <c r="A79" s="361" t="str">
        <f>IF(B79&lt;&gt;"",COUNTA($B$15:B79),"")</f>
        <v/>
      </c>
      <c r="E79" s="118"/>
      <c r="F79" s="118"/>
      <c r="G79" s="118"/>
      <c r="H79" s="297"/>
      <c r="I79" s="362"/>
      <c r="J79" s="362"/>
      <c r="K79" s="362"/>
      <c r="L79" s="362"/>
      <c r="M79" s="362"/>
      <c r="N79" s="362"/>
      <c r="O79" s="362"/>
      <c r="P79" s="362"/>
      <c r="Q79" s="362"/>
      <c r="R79" s="362"/>
      <c r="S79" s="362"/>
      <c r="T79" s="362"/>
      <c r="AH79" s="363"/>
    </row>
    <row r="80" spans="1:34" s="108" customFormat="1" ht="13.15" x14ac:dyDescent="0.45">
      <c r="A80" s="361" t="str">
        <f>IF(B80&lt;&gt;"",COUNTA($B$15:B80),"")</f>
        <v/>
      </c>
      <c r="E80" s="118"/>
      <c r="F80" s="118"/>
      <c r="G80" s="118"/>
      <c r="H80" s="297"/>
      <c r="I80" s="362"/>
      <c r="J80" s="362"/>
      <c r="K80" s="362"/>
      <c r="L80" s="362"/>
      <c r="M80" s="362"/>
      <c r="N80" s="362"/>
      <c r="O80" s="362"/>
      <c r="P80" s="362"/>
      <c r="Q80" s="362"/>
      <c r="R80" s="362"/>
      <c r="S80" s="362"/>
      <c r="T80" s="362"/>
      <c r="AH80" s="363"/>
    </row>
    <row r="81" spans="1:34" s="108" customFormat="1" ht="13.15" x14ac:dyDescent="0.45">
      <c r="A81" s="361" t="str">
        <f>IF(B81&lt;&gt;"",COUNTA($B$15:B81),"")</f>
        <v/>
      </c>
      <c r="E81" s="118"/>
      <c r="F81" s="118"/>
      <c r="G81" s="118"/>
      <c r="H81" s="297"/>
      <c r="I81" s="362"/>
      <c r="J81" s="362"/>
      <c r="K81" s="362"/>
      <c r="L81" s="362"/>
      <c r="M81" s="362"/>
      <c r="N81" s="362"/>
      <c r="O81" s="362"/>
      <c r="P81" s="362"/>
      <c r="Q81" s="362"/>
      <c r="R81" s="362"/>
      <c r="S81" s="362"/>
      <c r="T81" s="362"/>
      <c r="AH81" s="363"/>
    </row>
    <row r="82" spans="1:34" s="108" customFormat="1" ht="13.15" x14ac:dyDescent="0.45">
      <c r="A82" s="361" t="str">
        <f>IF(B82&lt;&gt;"",COUNTA($B$15:B82),"")</f>
        <v/>
      </c>
      <c r="E82" s="118"/>
      <c r="F82" s="118"/>
      <c r="G82" s="118"/>
      <c r="H82" s="297"/>
      <c r="I82" s="362"/>
      <c r="J82" s="362"/>
      <c r="K82" s="362"/>
      <c r="L82" s="362"/>
      <c r="M82" s="362"/>
      <c r="N82" s="362"/>
      <c r="O82" s="362"/>
      <c r="P82" s="362"/>
      <c r="Q82" s="362"/>
      <c r="R82" s="362"/>
      <c r="S82" s="362"/>
      <c r="T82" s="362"/>
      <c r="AH82" s="363"/>
    </row>
    <row r="83" spans="1:34" s="108" customFormat="1" ht="13.15" x14ac:dyDescent="0.45">
      <c r="A83" s="361" t="str">
        <f>IF(B83&lt;&gt;"",COUNTA($B$15:B83),"")</f>
        <v/>
      </c>
      <c r="E83" s="118"/>
      <c r="F83" s="118"/>
      <c r="G83" s="118"/>
      <c r="H83" s="297"/>
      <c r="I83" s="362"/>
      <c r="J83" s="362"/>
      <c r="K83" s="362"/>
      <c r="L83" s="362"/>
      <c r="M83" s="362"/>
      <c r="N83" s="362"/>
      <c r="O83" s="362"/>
      <c r="P83" s="362"/>
      <c r="Q83" s="362"/>
      <c r="R83" s="362"/>
      <c r="S83" s="362"/>
      <c r="T83" s="362"/>
      <c r="AH83" s="363"/>
    </row>
    <row r="84" spans="1:34" s="108" customFormat="1" ht="13.15" x14ac:dyDescent="0.45">
      <c r="A84" s="361" t="str">
        <f>IF(B84&lt;&gt;"",COUNTA($B$15:B84),"")</f>
        <v/>
      </c>
      <c r="E84" s="118"/>
      <c r="F84" s="118"/>
      <c r="G84" s="118"/>
      <c r="H84" s="297"/>
      <c r="I84" s="362"/>
      <c r="J84" s="362"/>
      <c r="K84" s="362"/>
      <c r="L84" s="362"/>
      <c r="M84" s="362"/>
      <c r="N84" s="362"/>
      <c r="O84" s="362"/>
      <c r="P84" s="362"/>
      <c r="Q84" s="362"/>
      <c r="R84" s="362"/>
      <c r="S84" s="362"/>
      <c r="T84" s="362"/>
      <c r="AH84" s="363"/>
    </row>
    <row r="85" spans="1:34" s="108" customFormat="1" ht="13.15" x14ac:dyDescent="0.45">
      <c r="A85" s="361" t="str">
        <f>IF(B85&lt;&gt;"",COUNTA($B$15:B85),"")</f>
        <v/>
      </c>
      <c r="E85" s="118"/>
      <c r="F85" s="118"/>
      <c r="G85" s="118"/>
      <c r="H85" s="297"/>
      <c r="I85" s="362"/>
      <c r="J85" s="362"/>
      <c r="K85" s="362"/>
      <c r="L85" s="362"/>
      <c r="M85" s="362"/>
      <c r="N85" s="362"/>
      <c r="O85" s="362"/>
      <c r="P85" s="362"/>
      <c r="Q85" s="362"/>
      <c r="R85" s="362"/>
      <c r="S85" s="362"/>
      <c r="T85" s="362"/>
      <c r="AH85" s="363"/>
    </row>
    <row r="86" spans="1:34" s="108" customFormat="1" ht="13.15" x14ac:dyDescent="0.45">
      <c r="A86" s="361" t="str">
        <f>IF(B86&lt;&gt;"",COUNTA($B$15:B86),"")</f>
        <v/>
      </c>
      <c r="E86" s="118"/>
      <c r="F86" s="118"/>
      <c r="G86" s="118"/>
      <c r="H86" s="297"/>
      <c r="I86" s="362"/>
      <c r="J86" s="362"/>
      <c r="K86" s="362"/>
      <c r="L86" s="362"/>
      <c r="M86" s="362"/>
      <c r="N86" s="362"/>
      <c r="O86" s="362"/>
      <c r="P86" s="362"/>
      <c r="Q86" s="362"/>
      <c r="R86" s="362"/>
      <c r="S86" s="362"/>
      <c r="T86" s="362"/>
      <c r="AH86" s="363"/>
    </row>
    <row r="87" spans="1:34" s="108" customFormat="1" ht="13.15" x14ac:dyDescent="0.45">
      <c r="A87" s="361" t="str">
        <f>IF(B87&lt;&gt;"",COUNTA($B$15:B87),"")</f>
        <v/>
      </c>
      <c r="E87" s="118"/>
      <c r="F87" s="118"/>
      <c r="G87" s="118"/>
      <c r="H87" s="297"/>
      <c r="I87" s="362"/>
      <c r="J87" s="362"/>
      <c r="K87" s="362"/>
      <c r="L87" s="362"/>
      <c r="M87" s="362"/>
      <c r="N87" s="362"/>
      <c r="O87" s="362"/>
      <c r="P87" s="362"/>
      <c r="Q87" s="362"/>
      <c r="R87" s="362"/>
      <c r="S87" s="362"/>
      <c r="T87" s="362"/>
      <c r="AH87" s="363"/>
    </row>
    <row r="88" spans="1:34" s="108" customFormat="1" ht="13.15" x14ac:dyDescent="0.45">
      <c r="A88" s="361" t="str">
        <f>IF(B88&lt;&gt;"",COUNTA($B$15:B88),"")</f>
        <v/>
      </c>
      <c r="E88" s="118"/>
      <c r="F88" s="118"/>
      <c r="G88" s="118"/>
      <c r="H88" s="297"/>
      <c r="I88" s="362"/>
      <c r="J88" s="362"/>
      <c r="K88" s="362"/>
      <c r="L88" s="362"/>
      <c r="M88" s="362"/>
      <c r="N88" s="362"/>
      <c r="O88" s="362"/>
      <c r="P88" s="362"/>
      <c r="Q88" s="362"/>
      <c r="R88" s="362"/>
      <c r="S88" s="362"/>
      <c r="T88" s="362"/>
      <c r="AH88" s="363"/>
    </row>
    <row r="89" spans="1:34" s="108" customFormat="1" ht="13.15" x14ac:dyDescent="0.45">
      <c r="A89" s="361" t="str">
        <f>IF(B89&lt;&gt;"",COUNTA($B$15:B89),"")</f>
        <v/>
      </c>
      <c r="E89" s="118"/>
      <c r="F89" s="118"/>
      <c r="G89" s="118"/>
      <c r="H89" s="297"/>
      <c r="I89" s="362"/>
      <c r="J89" s="362"/>
      <c r="K89" s="362"/>
      <c r="L89" s="362"/>
      <c r="M89" s="362"/>
      <c r="N89" s="362"/>
      <c r="O89" s="362"/>
      <c r="P89" s="362"/>
      <c r="Q89" s="362"/>
      <c r="R89" s="362"/>
      <c r="S89" s="362"/>
      <c r="T89" s="362"/>
      <c r="AH89" s="363"/>
    </row>
    <row r="90" spans="1:34" s="108" customFormat="1" ht="13.15" x14ac:dyDescent="0.45">
      <c r="A90" s="361" t="str">
        <f>IF(B90&lt;&gt;"",COUNTA($B$15:B90),"")</f>
        <v/>
      </c>
      <c r="E90" s="118"/>
      <c r="F90" s="118"/>
      <c r="G90" s="118"/>
      <c r="H90" s="297"/>
      <c r="I90" s="362"/>
      <c r="J90" s="362"/>
      <c r="K90" s="362"/>
      <c r="L90" s="362"/>
      <c r="M90" s="362"/>
      <c r="N90" s="362"/>
      <c r="O90" s="362"/>
      <c r="P90" s="362"/>
      <c r="Q90" s="362"/>
      <c r="R90" s="362"/>
      <c r="S90" s="362"/>
      <c r="T90" s="362"/>
      <c r="AH90" s="363"/>
    </row>
    <row r="91" spans="1:34" s="108" customFormat="1" ht="13.15" x14ac:dyDescent="0.45">
      <c r="A91" s="361" t="str">
        <f>IF(B91&lt;&gt;"",COUNTA($B$15:B91),"")</f>
        <v/>
      </c>
      <c r="E91" s="118"/>
      <c r="F91" s="118"/>
      <c r="G91" s="118"/>
      <c r="H91" s="297"/>
      <c r="I91" s="362"/>
      <c r="J91" s="362"/>
      <c r="K91" s="362"/>
      <c r="L91" s="362"/>
      <c r="M91" s="362"/>
      <c r="N91" s="362"/>
      <c r="O91" s="362"/>
      <c r="P91" s="362"/>
      <c r="Q91" s="362"/>
      <c r="R91" s="362"/>
      <c r="S91" s="362"/>
      <c r="T91" s="362"/>
      <c r="AH91" s="363"/>
    </row>
    <row r="92" spans="1:34" s="108" customFormat="1" ht="13.15" x14ac:dyDescent="0.45">
      <c r="A92" s="361" t="str">
        <f>IF(B92&lt;&gt;"",COUNTA($B$15:B92),"")</f>
        <v/>
      </c>
      <c r="E92" s="118"/>
      <c r="F92" s="118"/>
      <c r="G92" s="118"/>
      <c r="H92" s="297"/>
      <c r="I92" s="362"/>
      <c r="J92" s="362"/>
      <c r="K92" s="362"/>
      <c r="L92" s="362"/>
      <c r="M92" s="362"/>
      <c r="N92" s="362"/>
      <c r="O92" s="362"/>
      <c r="P92" s="362"/>
      <c r="Q92" s="362"/>
      <c r="R92" s="362"/>
      <c r="S92" s="362"/>
      <c r="T92" s="362"/>
      <c r="AH92" s="363"/>
    </row>
    <row r="93" spans="1:34" s="108" customFormat="1" ht="13.15" x14ac:dyDescent="0.45">
      <c r="A93" s="361" t="str">
        <f>IF(B93&lt;&gt;"",COUNTA($B$15:B93),"")</f>
        <v/>
      </c>
      <c r="E93" s="118"/>
      <c r="F93" s="118"/>
      <c r="G93" s="118"/>
      <c r="H93" s="297"/>
      <c r="I93" s="362"/>
      <c r="J93" s="362"/>
      <c r="K93" s="362"/>
      <c r="L93" s="362"/>
      <c r="M93" s="362"/>
      <c r="N93" s="362"/>
      <c r="O93" s="362"/>
      <c r="P93" s="362"/>
      <c r="Q93" s="362"/>
      <c r="R93" s="362"/>
      <c r="S93" s="362"/>
      <c r="T93" s="362"/>
      <c r="AH93" s="363"/>
    </row>
    <row r="94" spans="1:34" s="108" customFormat="1" ht="13.15" x14ac:dyDescent="0.45">
      <c r="A94" s="361" t="str">
        <f>IF(B94&lt;&gt;"",COUNTA($B$15:B94),"")</f>
        <v/>
      </c>
      <c r="E94" s="118"/>
      <c r="F94" s="118"/>
      <c r="G94" s="118"/>
      <c r="H94" s="297"/>
      <c r="I94" s="362"/>
      <c r="J94" s="362"/>
      <c r="K94" s="362"/>
      <c r="L94" s="362"/>
      <c r="M94" s="362"/>
      <c r="N94" s="362"/>
      <c r="O94" s="362"/>
      <c r="P94" s="362"/>
      <c r="Q94" s="362"/>
      <c r="R94" s="362"/>
      <c r="S94" s="362"/>
      <c r="T94" s="362"/>
      <c r="AH94" s="363"/>
    </row>
    <row r="95" spans="1:34" s="108" customFormat="1" ht="13.15" x14ac:dyDescent="0.45">
      <c r="A95" s="361" t="str">
        <f>IF(B95&lt;&gt;"",COUNTA($B$15:B95),"")</f>
        <v/>
      </c>
      <c r="E95" s="118"/>
      <c r="F95" s="118"/>
      <c r="G95" s="118"/>
      <c r="H95" s="297"/>
      <c r="I95" s="362"/>
      <c r="J95" s="362"/>
      <c r="K95" s="362"/>
      <c r="L95" s="362"/>
      <c r="M95" s="362"/>
      <c r="N95" s="362"/>
      <c r="O95" s="362"/>
      <c r="P95" s="362"/>
      <c r="Q95" s="362"/>
      <c r="R95" s="362"/>
      <c r="S95" s="362"/>
      <c r="T95" s="362"/>
      <c r="AH95" s="363"/>
    </row>
    <row r="96" spans="1:34" s="108" customFormat="1" ht="13.15" x14ac:dyDescent="0.45">
      <c r="A96" s="361" t="str">
        <f>IF(B96&lt;&gt;"",COUNTA($B$15:B96),"")</f>
        <v/>
      </c>
      <c r="E96" s="118"/>
      <c r="F96" s="118"/>
      <c r="G96" s="118"/>
      <c r="H96" s="297"/>
      <c r="I96" s="362"/>
      <c r="J96" s="362"/>
      <c r="K96" s="362"/>
      <c r="L96" s="362"/>
      <c r="M96" s="362"/>
      <c r="N96" s="362"/>
      <c r="O96" s="362"/>
      <c r="P96" s="362"/>
      <c r="Q96" s="362"/>
      <c r="R96" s="362"/>
      <c r="S96" s="362"/>
      <c r="T96" s="362"/>
      <c r="AH96" s="363"/>
    </row>
    <row r="97" spans="1:34" s="108" customFormat="1" ht="13.15" x14ac:dyDescent="0.45">
      <c r="A97" s="361" t="str">
        <f>IF(B97&lt;&gt;"",COUNTA($B$15:B97),"")</f>
        <v/>
      </c>
      <c r="E97" s="118"/>
      <c r="F97" s="118"/>
      <c r="G97" s="118"/>
      <c r="H97" s="297"/>
      <c r="I97" s="362"/>
      <c r="J97" s="362"/>
      <c r="K97" s="362"/>
      <c r="L97" s="362"/>
      <c r="M97" s="362"/>
      <c r="N97" s="362"/>
      <c r="O97" s="362"/>
      <c r="P97" s="362"/>
      <c r="Q97" s="362"/>
      <c r="R97" s="362"/>
      <c r="S97" s="362"/>
      <c r="T97" s="362"/>
      <c r="AH97" s="363"/>
    </row>
    <row r="98" spans="1:34" s="108" customFormat="1" ht="13.15" x14ac:dyDescent="0.45">
      <c r="A98" s="361" t="str">
        <f>IF(B98&lt;&gt;"",COUNTA($B$15:B98),"")</f>
        <v/>
      </c>
      <c r="E98" s="118"/>
      <c r="F98" s="118"/>
      <c r="G98" s="118"/>
      <c r="H98" s="297"/>
      <c r="I98" s="362"/>
      <c r="J98" s="362"/>
      <c r="K98" s="362"/>
      <c r="L98" s="362"/>
      <c r="M98" s="362"/>
      <c r="N98" s="362"/>
      <c r="O98" s="362"/>
      <c r="P98" s="362"/>
      <c r="Q98" s="362"/>
      <c r="R98" s="362"/>
      <c r="S98" s="362"/>
      <c r="T98" s="362"/>
      <c r="AH98" s="363"/>
    </row>
    <row r="99" spans="1:34" s="108" customFormat="1" ht="13.15" x14ac:dyDescent="0.45">
      <c r="A99" s="361" t="str">
        <f>IF(B99&lt;&gt;"",COUNTA($B$15:B99),"")</f>
        <v/>
      </c>
      <c r="E99" s="118"/>
      <c r="F99" s="118"/>
      <c r="G99" s="118"/>
      <c r="H99" s="118"/>
      <c r="AH99" s="363">
        <f t="shared" ref="AH99:AH143" si="38">SUM(V99:AG99)</f>
        <v>0</v>
      </c>
    </row>
    <row r="100" spans="1:34" s="108" customFormat="1" ht="13.15" x14ac:dyDescent="0.45">
      <c r="A100" s="361" t="str">
        <f>IF(B100&lt;&gt;"",COUNTA($B$15:B100),"")</f>
        <v/>
      </c>
      <c r="E100" s="118"/>
      <c r="F100" s="118"/>
      <c r="G100" s="118"/>
      <c r="H100" s="118"/>
      <c r="AH100" s="363">
        <f t="shared" si="38"/>
        <v>0</v>
      </c>
    </row>
    <row r="101" spans="1:34" s="108" customFormat="1" ht="13.15" x14ac:dyDescent="0.45">
      <c r="A101" s="361" t="str">
        <f>IF(B101&lt;&gt;"",COUNTA($B$15:B101),"")</f>
        <v/>
      </c>
      <c r="E101" s="118"/>
      <c r="F101" s="118"/>
      <c r="G101" s="118"/>
      <c r="H101" s="118"/>
      <c r="AH101" s="363">
        <f t="shared" si="38"/>
        <v>0</v>
      </c>
    </row>
    <row r="102" spans="1:34" s="108" customFormat="1" ht="13.15" x14ac:dyDescent="0.45">
      <c r="A102" s="361" t="str">
        <f>IF(B102&lt;&gt;"",COUNTA($B$15:B102),"")</f>
        <v/>
      </c>
      <c r="E102" s="118"/>
      <c r="F102" s="118"/>
      <c r="G102" s="118"/>
      <c r="H102" s="118"/>
      <c r="AH102" s="363">
        <f t="shared" si="38"/>
        <v>0</v>
      </c>
    </row>
    <row r="103" spans="1:34" s="108" customFormat="1" ht="13.15" x14ac:dyDescent="0.45">
      <c r="A103" s="361" t="str">
        <f>IF(B103&lt;&gt;"",COUNTA($B$15:B103),"")</f>
        <v/>
      </c>
      <c r="E103" s="118"/>
      <c r="F103" s="118"/>
      <c r="G103" s="118"/>
      <c r="H103" s="118"/>
      <c r="AH103" s="363">
        <f t="shared" si="38"/>
        <v>0</v>
      </c>
    </row>
    <row r="104" spans="1:34" s="108" customFormat="1" ht="13.15" x14ac:dyDescent="0.45">
      <c r="A104" s="361" t="str">
        <f>IF(B104&lt;&gt;"",COUNTA($B$15:B104),"")</f>
        <v/>
      </c>
      <c r="E104" s="118"/>
      <c r="F104" s="118"/>
      <c r="G104" s="118"/>
      <c r="H104" s="118"/>
      <c r="AH104" s="363">
        <f t="shared" si="38"/>
        <v>0</v>
      </c>
    </row>
    <row r="105" spans="1:34" s="108" customFormat="1" ht="13.15" x14ac:dyDescent="0.45">
      <c r="A105" s="361" t="str">
        <f>IF(B105&lt;&gt;"",COUNTA($B$15:B105),"")</f>
        <v/>
      </c>
      <c r="E105" s="118"/>
      <c r="F105" s="118"/>
      <c r="G105" s="118"/>
      <c r="H105" s="118"/>
      <c r="AH105" s="363">
        <f t="shared" si="38"/>
        <v>0</v>
      </c>
    </row>
    <row r="106" spans="1:34" s="108" customFormat="1" ht="13.15" x14ac:dyDescent="0.45">
      <c r="A106" s="361" t="str">
        <f>IF(B106&lt;&gt;"",COUNTA($B$15:B106),"")</f>
        <v/>
      </c>
      <c r="E106" s="118"/>
      <c r="F106" s="118"/>
      <c r="G106" s="118"/>
      <c r="H106" s="118"/>
      <c r="AH106" s="363">
        <f t="shared" si="38"/>
        <v>0</v>
      </c>
    </row>
    <row r="107" spans="1:34" s="108" customFormat="1" ht="13.15" x14ac:dyDescent="0.45">
      <c r="A107" s="361" t="str">
        <f>IF(B107&lt;&gt;"",COUNTA($B$15:B107),"")</f>
        <v/>
      </c>
      <c r="E107" s="118"/>
      <c r="F107" s="118"/>
      <c r="G107" s="118"/>
      <c r="H107" s="118"/>
      <c r="AH107" s="363">
        <f t="shared" si="38"/>
        <v>0</v>
      </c>
    </row>
    <row r="108" spans="1:34" s="108" customFormat="1" ht="13.15" x14ac:dyDescent="0.45">
      <c r="A108" s="361" t="str">
        <f>IF(B108&lt;&gt;"",COUNTA($B$15:B108),"")</f>
        <v/>
      </c>
      <c r="E108" s="118"/>
      <c r="F108" s="118"/>
      <c r="G108" s="118"/>
      <c r="H108" s="118"/>
      <c r="AH108" s="363">
        <f t="shared" si="38"/>
        <v>0</v>
      </c>
    </row>
    <row r="109" spans="1:34" s="108" customFormat="1" ht="13.15" x14ac:dyDescent="0.45">
      <c r="A109" s="361" t="str">
        <f>IF(B109&lt;&gt;"",COUNTA($B$15:B109),"")</f>
        <v/>
      </c>
      <c r="E109" s="118"/>
      <c r="F109" s="118"/>
      <c r="G109" s="118"/>
      <c r="H109" s="118"/>
      <c r="AH109" s="363">
        <f t="shared" si="38"/>
        <v>0</v>
      </c>
    </row>
    <row r="110" spans="1:34" s="108" customFormat="1" ht="13.15" x14ac:dyDescent="0.45">
      <c r="A110" s="361" t="str">
        <f>IF(B110&lt;&gt;"",COUNTA($B$15:B110),"")</f>
        <v/>
      </c>
      <c r="E110" s="118"/>
      <c r="F110" s="118"/>
      <c r="G110" s="118"/>
      <c r="H110" s="118"/>
      <c r="AH110" s="363">
        <f t="shared" si="38"/>
        <v>0</v>
      </c>
    </row>
    <row r="111" spans="1:34" s="108" customFormat="1" ht="13.15" x14ac:dyDescent="0.45">
      <c r="A111" s="361" t="str">
        <f>IF(B111&lt;&gt;"",COUNTA($B$15:B111),"")</f>
        <v/>
      </c>
      <c r="E111" s="118"/>
      <c r="F111" s="118"/>
      <c r="G111" s="118"/>
      <c r="H111" s="118"/>
      <c r="AH111" s="363">
        <f t="shared" si="38"/>
        <v>0</v>
      </c>
    </row>
    <row r="112" spans="1:34" s="108" customFormat="1" ht="13.15" x14ac:dyDescent="0.45">
      <c r="A112" s="361" t="str">
        <f>IF(B112&lt;&gt;"",COUNTA($B$15:B112),"")</f>
        <v/>
      </c>
      <c r="E112" s="118"/>
      <c r="F112" s="118"/>
      <c r="G112" s="118"/>
      <c r="H112" s="118"/>
      <c r="AH112" s="363">
        <f t="shared" si="38"/>
        <v>0</v>
      </c>
    </row>
    <row r="113" spans="1:34" s="108" customFormat="1" ht="13.15" x14ac:dyDescent="0.45">
      <c r="A113" s="361" t="str">
        <f>IF(B113&lt;&gt;"",COUNTA($B$15:B113),"")</f>
        <v/>
      </c>
      <c r="E113" s="118"/>
      <c r="F113" s="118"/>
      <c r="G113" s="118"/>
      <c r="H113" s="118"/>
      <c r="AH113" s="363">
        <f t="shared" si="38"/>
        <v>0</v>
      </c>
    </row>
    <row r="114" spans="1:34" s="108" customFormat="1" ht="13.15" x14ac:dyDescent="0.45">
      <c r="A114" s="361" t="str">
        <f>IF(B114&lt;&gt;"",COUNTA($B$15:B114),"")</f>
        <v/>
      </c>
      <c r="E114" s="118"/>
      <c r="F114" s="118"/>
      <c r="G114" s="118"/>
      <c r="H114" s="118"/>
      <c r="AH114" s="363">
        <f t="shared" si="38"/>
        <v>0</v>
      </c>
    </row>
    <row r="115" spans="1:34" s="108" customFormat="1" ht="13.15" x14ac:dyDescent="0.45">
      <c r="A115" s="361" t="str">
        <f>IF(B115&lt;&gt;"",COUNTA($B$15:B115),"")</f>
        <v/>
      </c>
      <c r="E115" s="118"/>
      <c r="F115" s="118"/>
      <c r="G115" s="118"/>
      <c r="H115" s="118"/>
      <c r="AH115" s="363">
        <f t="shared" si="38"/>
        <v>0</v>
      </c>
    </row>
    <row r="116" spans="1:34" s="108" customFormat="1" ht="13.15" x14ac:dyDescent="0.45">
      <c r="A116" s="361" t="str">
        <f>IF(B116&lt;&gt;"",COUNTA($B$15:B116),"")</f>
        <v/>
      </c>
      <c r="E116" s="118"/>
      <c r="F116" s="118"/>
      <c r="G116" s="118"/>
      <c r="H116" s="118"/>
      <c r="AH116" s="363">
        <f t="shared" si="38"/>
        <v>0</v>
      </c>
    </row>
    <row r="117" spans="1:34" s="108" customFormat="1" ht="13.15" x14ac:dyDescent="0.45">
      <c r="A117" s="361" t="str">
        <f>IF(B117&lt;&gt;"",COUNTA($B$15:B117),"")</f>
        <v/>
      </c>
      <c r="E117" s="118"/>
      <c r="F117" s="118"/>
      <c r="G117" s="118"/>
      <c r="H117" s="118"/>
      <c r="AH117" s="363">
        <f t="shared" si="38"/>
        <v>0</v>
      </c>
    </row>
    <row r="118" spans="1:34" s="108" customFormat="1" ht="13.15" x14ac:dyDescent="0.45">
      <c r="A118" s="361" t="str">
        <f>IF(B118&lt;&gt;"",COUNTA($B$15:B118),"")</f>
        <v/>
      </c>
      <c r="E118" s="118"/>
      <c r="F118" s="118"/>
      <c r="G118" s="118"/>
      <c r="H118" s="118"/>
      <c r="AH118" s="363">
        <f t="shared" si="38"/>
        <v>0</v>
      </c>
    </row>
    <row r="119" spans="1:34" s="108" customFormat="1" ht="13.15" x14ac:dyDescent="0.45">
      <c r="A119" s="361" t="str">
        <f>IF(B119&lt;&gt;"",COUNTA($B$15:B119),"")</f>
        <v/>
      </c>
      <c r="E119" s="118"/>
      <c r="F119" s="118"/>
      <c r="G119" s="118"/>
      <c r="H119" s="118"/>
      <c r="AH119" s="363">
        <f t="shared" si="38"/>
        <v>0</v>
      </c>
    </row>
    <row r="120" spans="1:34" s="108" customFormat="1" ht="13.15" x14ac:dyDescent="0.45">
      <c r="A120" s="361" t="str">
        <f>IF(B120&lt;&gt;"",COUNTA($B$15:B120),"")</f>
        <v/>
      </c>
      <c r="E120" s="118"/>
      <c r="F120" s="118"/>
      <c r="G120" s="118"/>
      <c r="H120" s="118"/>
      <c r="AH120" s="363">
        <f t="shared" si="38"/>
        <v>0</v>
      </c>
    </row>
    <row r="121" spans="1:34" s="108" customFormat="1" ht="13.15" x14ac:dyDescent="0.45">
      <c r="A121" s="361" t="str">
        <f>IF(B121&lt;&gt;"",COUNTA($B$15:B121),"")</f>
        <v/>
      </c>
      <c r="E121" s="118"/>
      <c r="F121" s="118"/>
      <c r="G121" s="118"/>
      <c r="H121" s="118"/>
      <c r="AH121" s="363">
        <f t="shared" si="38"/>
        <v>0</v>
      </c>
    </row>
    <row r="122" spans="1:34" s="108" customFormat="1" ht="13.15" x14ac:dyDescent="0.45">
      <c r="A122" s="361" t="str">
        <f>IF(B122&lt;&gt;"",COUNTA($B$15:B122),"")</f>
        <v/>
      </c>
      <c r="E122" s="118"/>
      <c r="F122" s="118"/>
      <c r="G122" s="118"/>
      <c r="H122" s="118"/>
      <c r="AH122" s="363">
        <f t="shared" si="38"/>
        <v>0</v>
      </c>
    </row>
    <row r="123" spans="1:34" s="108" customFormat="1" ht="13.15" x14ac:dyDescent="0.45">
      <c r="A123" s="361" t="str">
        <f>IF(B123&lt;&gt;"",COUNTA($B$15:B123),"")</f>
        <v/>
      </c>
      <c r="E123" s="118"/>
      <c r="F123" s="118"/>
      <c r="G123" s="118"/>
      <c r="H123" s="118"/>
      <c r="AH123" s="363">
        <f t="shared" si="38"/>
        <v>0</v>
      </c>
    </row>
    <row r="124" spans="1:34" s="108" customFormat="1" ht="13.15" x14ac:dyDescent="0.45">
      <c r="A124" s="361" t="str">
        <f>IF(B124&lt;&gt;"",COUNTA($B$15:B124),"")</f>
        <v/>
      </c>
      <c r="E124" s="118"/>
      <c r="F124" s="118"/>
      <c r="G124" s="118"/>
      <c r="H124" s="118"/>
      <c r="AH124" s="363">
        <f t="shared" si="38"/>
        <v>0</v>
      </c>
    </row>
    <row r="125" spans="1:34" s="108" customFormat="1" ht="13.15" x14ac:dyDescent="0.45">
      <c r="A125" s="361" t="str">
        <f>IF(B125&lt;&gt;"",COUNTA($B$15:B125),"")</f>
        <v/>
      </c>
      <c r="E125" s="118"/>
      <c r="F125" s="118"/>
      <c r="G125" s="118"/>
      <c r="H125" s="118"/>
      <c r="AH125" s="363">
        <f t="shared" si="38"/>
        <v>0</v>
      </c>
    </row>
    <row r="126" spans="1:34" s="108" customFormat="1" ht="13.15" x14ac:dyDescent="0.45">
      <c r="A126" s="361" t="str">
        <f>IF(B126&lt;&gt;"",COUNTA($B$15:B126),"")</f>
        <v/>
      </c>
      <c r="E126" s="118"/>
      <c r="F126" s="118"/>
      <c r="G126" s="118"/>
      <c r="H126" s="118"/>
      <c r="AH126" s="363">
        <f t="shared" si="38"/>
        <v>0</v>
      </c>
    </row>
    <row r="127" spans="1:34" s="108" customFormat="1" ht="13.15" x14ac:dyDescent="0.45">
      <c r="A127" s="361" t="str">
        <f>IF(B127&lt;&gt;"",COUNTA($B$15:B127),"")</f>
        <v/>
      </c>
      <c r="E127" s="118"/>
      <c r="F127" s="118"/>
      <c r="G127" s="118"/>
      <c r="H127" s="118"/>
      <c r="AH127" s="363">
        <f t="shared" si="38"/>
        <v>0</v>
      </c>
    </row>
    <row r="128" spans="1:34" s="108" customFormat="1" ht="13.15" x14ac:dyDescent="0.45">
      <c r="A128" s="361" t="str">
        <f>IF(B128&lt;&gt;"",COUNTA($B$15:B128),"")</f>
        <v/>
      </c>
      <c r="E128" s="118"/>
      <c r="F128" s="118"/>
      <c r="G128" s="118"/>
      <c r="H128" s="118"/>
      <c r="AH128" s="363">
        <f t="shared" si="38"/>
        <v>0</v>
      </c>
    </row>
    <row r="129" spans="1:34" s="108" customFormat="1" ht="13.15" x14ac:dyDescent="0.45">
      <c r="A129" s="361" t="str">
        <f>IF(B129&lt;&gt;"",COUNTA($B$15:B129),"")</f>
        <v/>
      </c>
      <c r="E129" s="118"/>
      <c r="F129" s="118"/>
      <c r="G129" s="118"/>
      <c r="H129" s="118"/>
      <c r="AH129" s="363">
        <f t="shared" si="38"/>
        <v>0</v>
      </c>
    </row>
    <row r="130" spans="1:34" s="108" customFormat="1" ht="13.15" x14ac:dyDescent="0.45">
      <c r="A130" s="361" t="str">
        <f>IF(B130&lt;&gt;"",COUNTA($B$15:B130),"")</f>
        <v/>
      </c>
      <c r="E130" s="118"/>
      <c r="F130" s="118"/>
      <c r="G130" s="118"/>
      <c r="H130" s="118"/>
      <c r="AH130" s="363">
        <f t="shared" si="38"/>
        <v>0</v>
      </c>
    </row>
    <row r="131" spans="1:34" s="108" customFormat="1" ht="13.15" x14ac:dyDescent="0.45">
      <c r="A131" s="361" t="str">
        <f>IF(B131&lt;&gt;"",COUNTA($B$15:B131),"")</f>
        <v/>
      </c>
      <c r="E131" s="118"/>
      <c r="F131" s="118"/>
      <c r="G131" s="118"/>
      <c r="H131" s="118"/>
      <c r="AH131" s="363">
        <f t="shared" si="38"/>
        <v>0</v>
      </c>
    </row>
    <row r="132" spans="1:34" s="108" customFormat="1" ht="13.15" x14ac:dyDescent="0.45">
      <c r="A132" s="361" t="str">
        <f>IF(B132&lt;&gt;"",COUNTA($B$15:B132),"")</f>
        <v/>
      </c>
      <c r="E132" s="118"/>
      <c r="F132" s="118"/>
      <c r="G132" s="118"/>
      <c r="H132" s="118"/>
      <c r="AH132" s="363">
        <f t="shared" si="38"/>
        <v>0</v>
      </c>
    </row>
    <row r="133" spans="1:34" s="108" customFormat="1" ht="13.15" x14ac:dyDescent="0.45">
      <c r="A133" s="361" t="str">
        <f>IF(B133&lt;&gt;"",COUNTA($B$15:B133),"")</f>
        <v/>
      </c>
      <c r="E133" s="118"/>
      <c r="F133" s="118"/>
      <c r="G133" s="118"/>
      <c r="H133" s="118"/>
      <c r="AH133" s="363">
        <f t="shared" si="38"/>
        <v>0</v>
      </c>
    </row>
    <row r="134" spans="1:34" s="108" customFormat="1" ht="13.15" x14ac:dyDescent="0.45">
      <c r="A134" s="361" t="str">
        <f>IF(B134&lt;&gt;"",COUNTA($B$15:B134),"")</f>
        <v/>
      </c>
      <c r="E134" s="118"/>
      <c r="F134" s="118"/>
      <c r="G134" s="118"/>
      <c r="H134" s="118"/>
      <c r="AH134" s="363">
        <f t="shared" si="38"/>
        <v>0</v>
      </c>
    </row>
    <row r="135" spans="1:34" s="108" customFormat="1" ht="13.15" x14ac:dyDescent="0.45">
      <c r="A135" s="361" t="str">
        <f>IF(B135&lt;&gt;"",COUNTA($B$15:B135),"")</f>
        <v/>
      </c>
      <c r="E135" s="118"/>
      <c r="F135" s="118"/>
      <c r="G135" s="118"/>
      <c r="H135" s="118"/>
      <c r="AH135" s="363">
        <f t="shared" si="38"/>
        <v>0</v>
      </c>
    </row>
    <row r="136" spans="1:34" s="108" customFormat="1" ht="13.15" x14ac:dyDescent="0.45">
      <c r="A136" s="361" t="str">
        <f>IF(B136&lt;&gt;"",COUNTA($B$15:B136),"")</f>
        <v/>
      </c>
      <c r="E136" s="118"/>
      <c r="F136" s="118"/>
      <c r="G136" s="118"/>
      <c r="H136" s="118"/>
      <c r="AH136" s="363">
        <f t="shared" si="38"/>
        <v>0</v>
      </c>
    </row>
    <row r="137" spans="1:34" s="108" customFormat="1" ht="13.15" x14ac:dyDescent="0.45">
      <c r="A137" s="361" t="str">
        <f>IF(B137&lt;&gt;"",COUNTA($B$15:B137),"")</f>
        <v/>
      </c>
      <c r="E137" s="118"/>
      <c r="F137" s="118"/>
      <c r="G137" s="118"/>
      <c r="H137" s="118"/>
      <c r="AH137" s="363">
        <f t="shared" si="38"/>
        <v>0</v>
      </c>
    </row>
    <row r="138" spans="1:34" s="108" customFormat="1" ht="13.15" x14ac:dyDescent="0.45">
      <c r="A138" s="361" t="str">
        <f>IF(B138&lt;&gt;"",COUNTA($B$15:B138),"")</f>
        <v/>
      </c>
      <c r="E138" s="118"/>
      <c r="F138" s="118"/>
      <c r="G138" s="118"/>
      <c r="H138" s="118"/>
      <c r="AH138" s="363">
        <f t="shared" si="38"/>
        <v>0</v>
      </c>
    </row>
    <row r="139" spans="1:34" s="108" customFormat="1" ht="13.15" x14ac:dyDescent="0.45">
      <c r="A139" s="361" t="str">
        <f>IF(B139&lt;&gt;"",COUNTA($B$15:B139),"")</f>
        <v/>
      </c>
      <c r="E139" s="118"/>
      <c r="F139" s="118"/>
      <c r="G139" s="118"/>
      <c r="H139" s="118"/>
      <c r="AH139" s="363">
        <f t="shared" si="38"/>
        <v>0</v>
      </c>
    </row>
    <row r="140" spans="1:34" s="108" customFormat="1" ht="13.15" x14ac:dyDescent="0.45">
      <c r="A140" s="361" t="str">
        <f>IF(B140&lt;&gt;"",COUNTA($B$15:B140),"")</f>
        <v/>
      </c>
      <c r="E140" s="118"/>
      <c r="F140" s="118"/>
      <c r="G140" s="118"/>
      <c r="H140" s="118"/>
      <c r="AH140" s="363">
        <f t="shared" si="38"/>
        <v>0</v>
      </c>
    </row>
    <row r="141" spans="1:34" s="108" customFormat="1" ht="13.15" x14ac:dyDescent="0.45">
      <c r="A141" s="361" t="str">
        <f>IF(B141&lt;&gt;"",COUNTA($B$15:B141),"")</f>
        <v/>
      </c>
      <c r="E141" s="118"/>
      <c r="F141" s="118"/>
      <c r="G141" s="118"/>
      <c r="H141" s="118"/>
      <c r="AH141" s="363">
        <f t="shared" si="38"/>
        <v>0</v>
      </c>
    </row>
    <row r="142" spans="1:34" s="108" customFormat="1" ht="13.15" x14ac:dyDescent="0.45">
      <c r="A142" s="361" t="str">
        <f>IF(B142&lt;&gt;"",COUNTA($B$15:B142),"")</f>
        <v/>
      </c>
      <c r="E142" s="118"/>
      <c r="F142" s="118"/>
      <c r="G142" s="118"/>
      <c r="H142" s="118"/>
      <c r="AH142" s="363">
        <f t="shared" si="38"/>
        <v>0</v>
      </c>
    </row>
    <row r="143" spans="1:34" s="108" customFormat="1" ht="13.15" x14ac:dyDescent="0.45">
      <c r="A143" s="361" t="str">
        <f>IF(B143&lt;&gt;"",COUNTA($B$15:B143),"")</f>
        <v/>
      </c>
      <c r="E143" s="118"/>
      <c r="F143" s="118"/>
      <c r="G143" s="118"/>
      <c r="H143" s="118"/>
      <c r="AH143" s="363">
        <f t="shared" si="38"/>
        <v>0</v>
      </c>
    </row>
    <row r="144" spans="1:34" s="108" customFormat="1" ht="13.15" x14ac:dyDescent="0.45">
      <c r="A144" s="361" t="str">
        <f>IF(B144&lt;&gt;"",COUNTA($B$15:B144),"")</f>
        <v/>
      </c>
      <c r="E144" s="118"/>
      <c r="F144" s="118"/>
      <c r="G144" s="118"/>
      <c r="H144" s="118"/>
      <c r="AH144" s="363">
        <f t="shared" ref="AH144:AH179" si="39">SUM(V144:AG144)</f>
        <v>0</v>
      </c>
    </row>
    <row r="145" spans="1:34" s="108" customFormat="1" ht="13.15" x14ac:dyDescent="0.45">
      <c r="A145" s="361" t="str">
        <f>IF(B145&lt;&gt;"",COUNTA($B$15:B145),"")</f>
        <v/>
      </c>
      <c r="E145" s="118"/>
      <c r="F145" s="118"/>
      <c r="G145" s="118"/>
      <c r="H145" s="118"/>
      <c r="AH145" s="363">
        <f t="shared" si="39"/>
        <v>0</v>
      </c>
    </row>
    <row r="146" spans="1:34" s="108" customFormat="1" ht="13.15" x14ac:dyDescent="0.45">
      <c r="A146" s="361" t="str">
        <f>IF(B146&lt;&gt;"",COUNTA($B$15:B146),"")</f>
        <v/>
      </c>
      <c r="E146" s="118"/>
      <c r="F146" s="118"/>
      <c r="G146" s="118"/>
      <c r="H146" s="118"/>
      <c r="AH146" s="363">
        <f t="shared" si="39"/>
        <v>0</v>
      </c>
    </row>
    <row r="147" spans="1:34" s="108" customFormat="1" ht="13.15" x14ac:dyDescent="0.45">
      <c r="A147" s="361" t="str">
        <f>IF(B147&lt;&gt;"",COUNTA($B$15:B147),"")</f>
        <v/>
      </c>
      <c r="E147" s="118"/>
      <c r="F147" s="118"/>
      <c r="G147" s="118"/>
      <c r="H147" s="118"/>
      <c r="AH147" s="363">
        <f t="shared" si="39"/>
        <v>0</v>
      </c>
    </row>
    <row r="148" spans="1:34" s="108" customFormat="1" ht="13.15" x14ac:dyDescent="0.45">
      <c r="A148" s="361" t="str">
        <f>IF(B148&lt;&gt;"",COUNTA($B$15:B148),"")</f>
        <v/>
      </c>
      <c r="E148" s="118"/>
      <c r="F148" s="118"/>
      <c r="G148" s="118"/>
      <c r="H148" s="118"/>
      <c r="AH148" s="363">
        <f t="shared" si="39"/>
        <v>0</v>
      </c>
    </row>
    <row r="149" spans="1:34" s="108" customFormat="1" ht="13.15" x14ac:dyDescent="0.45">
      <c r="A149" s="361" t="str">
        <f>IF(B149&lt;&gt;"",COUNTA($B$15:B149),"")</f>
        <v/>
      </c>
      <c r="E149" s="118"/>
      <c r="F149" s="118"/>
      <c r="G149" s="118"/>
      <c r="H149" s="118"/>
      <c r="AH149" s="363">
        <f t="shared" si="39"/>
        <v>0</v>
      </c>
    </row>
    <row r="150" spans="1:34" s="108" customFormat="1" ht="13.15" x14ac:dyDescent="0.45">
      <c r="A150" s="361" t="str">
        <f>IF(B150&lt;&gt;"",COUNTA($B$15:B150),"")</f>
        <v/>
      </c>
      <c r="E150" s="118"/>
      <c r="F150" s="118"/>
      <c r="G150" s="118"/>
      <c r="H150" s="118"/>
      <c r="AH150" s="363">
        <f t="shared" si="39"/>
        <v>0</v>
      </c>
    </row>
    <row r="151" spans="1:34" s="108" customFormat="1" ht="13.15" x14ac:dyDescent="0.45">
      <c r="A151" s="361" t="str">
        <f>IF(B151&lt;&gt;"",COUNTA($B$15:B151),"")</f>
        <v/>
      </c>
      <c r="E151" s="118"/>
      <c r="F151" s="118"/>
      <c r="G151" s="118"/>
      <c r="H151" s="118"/>
      <c r="AH151" s="363">
        <f t="shared" si="39"/>
        <v>0</v>
      </c>
    </row>
    <row r="152" spans="1:34" s="108" customFormat="1" ht="13.15" x14ac:dyDescent="0.45">
      <c r="A152" s="361" t="str">
        <f>IF(B152&lt;&gt;"",COUNTA($B$15:B152),"")</f>
        <v/>
      </c>
      <c r="E152" s="118"/>
      <c r="F152" s="118"/>
      <c r="G152" s="118"/>
      <c r="H152" s="118"/>
      <c r="AH152" s="363">
        <f t="shared" si="39"/>
        <v>0</v>
      </c>
    </row>
    <row r="153" spans="1:34" s="108" customFormat="1" ht="13.15" x14ac:dyDescent="0.45">
      <c r="A153" s="361" t="str">
        <f>IF(B153&lt;&gt;"",COUNTA($B$15:B153),"")</f>
        <v/>
      </c>
      <c r="E153" s="118"/>
      <c r="F153" s="118"/>
      <c r="G153" s="118"/>
      <c r="H153" s="118"/>
      <c r="AH153" s="363">
        <f t="shared" si="39"/>
        <v>0</v>
      </c>
    </row>
    <row r="154" spans="1:34" s="108" customFormat="1" ht="13.15" x14ac:dyDescent="0.45">
      <c r="A154" s="361" t="str">
        <f>IF(B154&lt;&gt;"",COUNTA($B$15:B154),"")</f>
        <v/>
      </c>
      <c r="E154" s="118"/>
      <c r="F154" s="118"/>
      <c r="G154" s="118"/>
      <c r="H154" s="118"/>
      <c r="AH154" s="363">
        <f t="shared" si="39"/>
        <v>0</v>
      </c>
    </row>
    <row r="155" spans="1:34" s="108" customFormat="1" ht="13.15" x14ac:dyDescent="0.45">
      <c r="A155" s="361" t="str">
        <f>IF(B155&lt;&gt;"",COUNTA($B$15:B155),"")</f>
        <v/>
      </c>
      <c r="E155" s="118"/>
      <c r="F155" s="118"/>
      <c r="G155" s="118"/>
      <c r="H155" s="118"/>
      <c r="AH155" s="363">
        <f t="shared" si="39"/>
        <v>0</v>
      </c>
    </row>
    <row r="156" spans="1:34" s="108" customFormat="1" ht="13.15" x14ac:dyDescent="0.45">
      <c r="A156" s="361" t="str">
        <f>IF(B156&lt;&gt;"",COUNTA($B$15:B156),"")</f>
        <v/>
      </c>
      <c r="E156" s="118"/>
      <c r="F156" s="118"/>
      <c r="G156" s="118"/>
      <c r="H156" s="118"/>
      <c r="AH156" s="363">
        <f t="shared" si="39"/>
        <v>0</v>
      </c>
    </row>
    <row r="157" spans="1:34" s="108" customFormat="1" ht="13.15" x14ac:dyDescent="0.45">
      <c r="A157" s="361" t="str">
        <f>IF(B157&lt;&gt;"",COUNTA($B$15:B157),"")</f>
        <v/>
      </c>
      <c r="E157" s="118"/>
      <c r="F157" s="118"/>
      <c r="G157" s="118"/>
      <c r="H157" s="118"/>
      <c r="AH157" s="363">
        <f t="shared" si="39"/>
        <v>0</v>
      </c>
    </row>
    <row r="158" spans="1:34" x14ac:dyDescent="0.45">
      <c r="A158" s="110" t="str">
        <f>IF(B158&lt;&gt;"",COUNTA($B$15:B158),"")</f>
        <v/>
      </c>
      <c r="AH158" s="363">
        <f t="shared" si="39"/>
        <v>0</v>
      </c>
    </row>
    <row r="159" spans="1:34" x14ac:dyDescent="0.45">
      <c r="A159" s="110" t="str">
        <f>IF(B159&lt;&gt;"",COUNTA($B$15:B159),"")</f>
        <v/>
      </c>
      <c r="AH159" s="363">
        <f t="shared" si="39"/>
        <v>0</v>
      </c>
    </row>
    <row r="160" spans="1:34" x14ac:dyDescent="0.45">
      <c r="A160" s="110" t="str">
        <f>IF(B160&lt;&gt;"",COUNTA($B$15:B160),"")</f>
        <v/>
      </c>
      <c r="AH160" s="363">
        <f t="shared" si="39"/>
        <v>0</v>
      </c>
    </row>
    <row r="161" spans="1:34" x14ac:dyDescent="0.45">
      <c r="A161" s="110" t="str">
        <f>IF(B161&lt;&gt;"",COUNTA($B$15:B161),"")</f>
        <v/>
      </c>
      <c r="AH161" s="363">
        <f t="shared" si="39"/>
        <v>0</v>
      </c>
    </row>
    <row r="162" spans="1:34" x14ac:dyDescent="0.45">
      <c r="A162" s="110" t="str">
        <f>IF(B162&lt;&gt;"",COUNTA($B$15:B162),"")</f>
        <v/>
      </c>
      <c r="AH162" s="363">
        <f t="shared" si="39"/>
        <v>0</v>
      </c>
    </row>
    <row r="163" spans="1:34" x14ac:dyDescent="0.45">
      <c r="A163" s="110" t="str">
        <f>IF(B163&lt;&gt;"",COUNTA($B$15:B163),"")</f>
        <v/>
      </c>
      <c r="AH163" s="363">
        <f t="shared" si="39"/>
        <v>0</v>
      </c>
    </row>
    <row r="164" spans="1:34" x14ac:dyDescent="0.45">
      <c r="A164" s="110" t="str">
        <f>IF(B164&lt;&gt;"",COUNTA($B$15:B164),"")</f>
        <v/>
      </c>
      <c r="AH164" s="363">
        <f t="shared" si="39"/>
        <v>0</v>
      </c>
    </row>
    <row r="165" spans="1:34" x14ac:dyDescent="0.45">
      <c r="A165" s="110" t="str">
        <f>IF(B165&lt;&gt;"",COUNTA($B$15:B165),"")</f>
        <v/>
      </c>
      <c r="AH165" s="363">
        <f t="shared" si="39"/>
        <v>0</v>
      </c>
    </row>
    <row r="166" spans="1:34" x14ac:dyDescent="0.45">
      <c r="A166" s="110" t="str">
        <f>IF(B166&lt;&gt;"",COUNTA($B$15:B166),"")</f>
        <v/>
      </c>
      <c r="AH166" s="363">
        <f t="shared" si="39"/>
        <v>0</v>
      </c>
    </row>
    <row r="167" spans="1:34" x14ac:dyDescent="0.45">
      <c r="A167" s="110" t="str">
        <f>IF(B167&lt;&gt;"",COUNTA($B$15:B167),"")</f>
        <v/>
      </c>
      <c r="AH167" s="363">
        <f t="shared" si="39"/>
        <v>0</v>
      </c>
    </row>
    <row r="168" spans="1:34" x14ac:dyDescent="0.45">
      <c r="A168" s="110" t="str">
        <f>IF(B168&lt;&gt;"",COUNTA($B$15:B168),"")</f>
        <v/>
      </c>
      <c r="AH168" s="363">
        <f t="shared" si="39"/>
        <v>0</v>
      </c>
    </row>
    <row r="169" spans="1:34" x14ac:dyDescent="0.45">
      <c r="A169" s="110" t="str">
        <f>IF(B169&lt;&gt;"",COUNTA($B$15:B169),"")</f>
        <v/>
      </c>
      <c r="AH169" s="363">
        <f t="shared" si="39"/>
        <v>0</v>
      </c>
    </row>
    <row r="170" spans="1:34" x14ac:dyDescent="0.45">
      <c r="A170" s="110" t="str">
        <f>IF(B170&lt;&gt;"",COUNTA($B$15:B170),"")</f>
        <v/>
      </c>
      <c r="AH170" s="363">
        <f t="shared" si="39"/>
        <v>0</v>
      </c>
    </row>
    <row r="171" spans="1:34" x14ac:dyDescent="0.45">
      <c r="A171" s="110" t="str">
        <f>IF(B171&lt;&gt;"",COUNTA($B$15:B171),"")</f>
        <v/>
      </c>
      <c r="AH171" s="363">
        <f t="shared" si="39"/>
        <v>0</v>
      </c>
    </row>
    <row r="172" spans="1:34" x14ac:dyDescent="0.45">
      <c r="A172" s="110" t="str">
        <f>IF(B172&lt;&gt;"",COUNTA($B$15:B172),"")</f>
        <v/>
      </c>
      <c r="AH172" s="363">
        <f t="shared" si="39"/>
        <v>0</v>
      </c>
    </row>
    <row r="173" spans="1:34" x14ac:dyDescent="0.45">
      <c r="A173" s="110" t="str">
        <f>IF(B173&lt;&gt;"",COUNTA($B$15:B173),"")</f>
        <v/>
      </c>
      <c r="AH173" s="363">
        <f t="shared" si="39"/>
        <v>0</v>
      </c>
    </row>
    <row r="174" spans="1:34" x14ac:dyDescent="0.45">
      <c r="A174" s="110" t="str">
        <f>IF(B174&lt;&gt;"",COUNTA($B$15:B174),"")</f>
        <v/>
      </c>
      <c r="AH174" s="363">
        <f t="shared" si="39"/>
        <v>0</v>
      </c>
    </row>
    <row r="175" spans="1:34" x14ac:dyDescent="0.45">
      <c r="A175" s="110" t="str">
        <f>IF(B175&lt;&gt;"",COUNTA($B$15:B175),"")</f>
        <v/>
      </c>
      <c r="AH175" s="363">
        <f t="shared" si="39"/>
        <v>0</v>
      </c>
    </row>
    <row r="176" spans="1:34" x14ac:dyDescent="0.45">
      <c r="A176" s="110" t="str">
        <f>IF(B176&lt;&gt;"",COUNTA($B$15:B176),"")</f>
        <v/>
      </c>
      <c r="AH176" s="363">
        <f t="shared" si="39"/>
        <v>0</v>
      </c>
    </row>
    <row r="177" spans="1:34" x14ac:dyDescent="0.45">
      <c r="A177" s="110" t="str">
        <f>IF(B177&lt;&gt;"",COUNTA($B$15:B177),"")</f>
        <v/>
      </c>
      <c r="AH177" s="363">
        <f t="shared" si="39"/>
        <v>0</v>
      </c>
    </row>
    <row r="178" spans="1:34" x14ac:dyDescent="0.45">
      <c r="A178" s="110" t="str">
        <f>IF(B178&lt;&gt;"",COUNTA($B$15:B178),"")</f>
        <v/>
      </c>
      <c r="AH178" s="363">
        <f t="shared" si="39"/>
        <v>0</v>
      </c>
    </row>
    <row r="179" spans="1:34" x14ac:dyDescent="0.45">
      <c r="A179" s="110" t="str">
        <f>IF(B179&lt;&gt;"",COUNTA($B$15:B179),"")</f>
        <v/>
      </c>
      <c r="AH179" s="363">
        <f t="shared" si="39"/>
        <v>0</v>
      </c>
    </row>
    <row r="180" spans="1:34" x14ac:dyDescent="0.45">
      <c r="A180" s="110" t="str">
        <f>IF(B180&lt;&gt;"",COUNTA($B$15:B180),"")</f>
        <v/>
      </c>
    </row>
    <row r="181" spans="1:34" x14ac:dyDescent="0.45">
      <c r="A181" s="110" t="str">
        <f>IF(B181&lt;&gt;"",COUNTA($B$15:B181),"")</f>
        <v/>
      </c>
    </row>
    <row r="182" spans="1:34" x14ac:dyDescent="0.45">
      <c r="A182" s="110" t="str">
        <f>IF(B182&lt;&gt;"",COUNTA($B$15:B182),"")</f>
        <v/>
      </c>
    </row>
    <row r="183" spans="1:34" x14ac:dyDescent="0.45">
      <c r="A183" s="110" t="str">
        <f>IF(B183&lt;&gt;"",COUNTA($B$15:B183),"")</f>
        <v/>
      </c>
    </row>
    <row r="184" spans="1:34" x14ac:dyDescent="0.45">
      <c r="A184" s="110" t="str">
        <f>IF(B184&lt;&gt;"",COUNTA($B$15:B184),"")</f>
        <v/>
      </c>
    </row>
    <row r="185" spans="1:34" x14ac:dyDescent="0.45">
      <c r="A185" s="110" t="str">
        <f>IF(B185&lt;&gt;"",COUNTA($B$15:B185),"")</f>
        <v/>
      </c>
    </row>
    <row r="186" spans="1:34" x14ac:dyDescent="0.45">
      <c r="A186" s="110" t="str">
        <f>IF(B186&lt;&gt;"",COUNTA($B$15:B186),"")</f>
        <v/>
      </c>
    </row>
    <row r="187" spans="1:34" x14ac:dyDescent="0.45">
      <c r="A187" s="110" t="str">
        <f>IF(B187&lt;&gt;"",COUNTA($B$15:B187),"")</f>
        <v/>
      </c>
    </row>
    <row r="188" spans="1:34" x14ac:dyDescent="0.45">
      <c r="A188" s="110" t="str">
        <f>IF(B188&lt;&gt;"",COUNTA($B$15:B188),"")</f>
        <v/>
      </c>
    </row>
  </sheetData>
  <mergeCells count="2">
    <mergeCell ref="U12:U13"/>
    <mergeCell ref="AH12:AH13"/>
  </mergeCells>
  <phoneticPr fontId="21" type="noConversion"/>
  <dataValidations count="1">
    <dataValidation type="list" allowBlank="1" showInputMessage="1" showErrorMessage="1" sqref="G15:G34" xr:uid="{00000000-0002-0000-1D00-000000000000}">
      <formula1>"GROSS,NET"</formula1>
    </dataValidation>
  </dataValidation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7"/>
  <dimension ref="A1:G39"/>
  <sheetViews>
    <sheetView showGridLines="0" workbookViewId="0">
      <selection activeCell="D23" sqref="D23"/>
    </sheetView>
  </sheetViews>
  <sheetFormatPr defaultRowHeight="14.25" x14ac:dyDescent="0.45"/>
  <cols>
    <col min="2" max="2" width="22.59765625" customWidth="1"/>
    <col min="3" max="4" width="15.265625" customWidth="1"/>
    <col min="5" max="5" width="22" customWidth="1"/>
    <col min="6" max="6" width="20.59765625" customWidth="1"/>
    <col min="7" max="7" width="20.265625" customWidth="1"/>
    <col min="8" max="8" width="17.86328125" customWidth="1"/>
  </cols>
  <sheetData>
    <row r="1" spans="1:7" ht="19.899999999999999" thickBot="1" x14ac:dyDescent="0.65">
      <c r="A1" s="154" t="s">
        <v>216</v>
      </c>
      <c r="B1" s="154"/>
      <c r="C1" s="154"/>
      <c r="D1" s="154"/>
      <c r="E1" s="154"/>
      <c r="F1" s="154"/>
      <c r="G1" s="154"/>
    </row>
    <row r="2" spans="1:7" ht="76.5" customHeight="1" thickTop="1" x14ac:dyDescent="0.45"/>
    <row r="3" spans="1:7" ht="19.7" customHeight="1" x14ac:dyDescent="0.45">
      <c r="A3" s="711" t="s">
        <v>1</v>
      </c>
      <c r="B3" s="711" t="s">
        <v>2</v>
      </c>
      <c r="C3" s="711" t="s">
        <v>3</v>
      </c>
      <c r="D3" s="711" t="s">
        <v>4</v>
      </c>
      <c r="E3" s="646" t="s">
        <v>217</v>
      </c>
      <c r="F3" s="711" t="s">
        <v>218</v>
      </c>
      <c r="G3" s="711" t="s">
        <v>219</v>
      </c>
    </row>
    <row r="4" spans="1:7" ht="19.7" customHeight="1" x14ac:dyDescent="0.45">
      <c r="A4" s="711"/>
      <c r="B4" s="711"/>
      <c r="C4" s="711"/>
      <c r="D4" s="711"/>
      <c r="E4" s="646"/>
      <c r="F4" s="711"/>
      <c r="G4" s="711"/>
    </row>
    <row r="5" spans="1:7" x14ac:dyDescent="0.45">
      <c r="A5" s="174">
        <v>1</v>
      </c>
      <c r="B5" s="175"/>
      <c r="C5" s="176"/>
      <c r="D5" s="176"/>
      <c r="E5" s="177"/>
      <c r="F5" s="177"/>
      <c r="G5" s="177"/>
    </row>
    <row r="6" spans="1:7" x14ac:dyDescent="0.45">
      <c r="A6" s="174">
        <v>2</v>
      </c>
      <c r="B6" s="175"/>
      <c r="C6" s="176"/>
      <c r="D6" s="25"/>
      <c r="E6" s="177"/>
      <c r="F6" s="177"/>
      <c r="G6" s="177"/>
    </row>
    <row r="7" spans="1:7" x14ac:dyDescent="0.45">
      <c r="A7" s="174">
        <v>3</v>
      </c>
      <c r="B7" s="175"/>
      <c r="C7" s="176"/>
      <c r="D7" s="176"/>
      <c r="E7" s="177"/>
      <c r="F7" s="177"/>
      <c r="G7" s="177"/>
    </row>
    <row r="8" spans="1:7" x14ac:dyDescent="0.45">
      <c r="A8" s="174">
        <v>4</v>
      </c>
      <c r="B8" s="175"/>
      <c r="C8" s="176"/>
      <c r="D8" s="176"/>
      <c r="E8" s="177"/>
      <c r="F8" s="177"/>
      <c r="G8" s="177"/>
    </row>
    <row r="9" spans="1:7" x14ac:dyDescent="0.45">
      <c r="A9" s="174">
        <v>5</v>
      </c>
      <c r="B9" s="175"/>
      <c r="C9" s="176"/>
      <c r="D9" s="176"/>
      <c r="E9" s="177"/>
      <c r="F9" s="177"/>
      <c r="G9" s="177"/>
    </row>
    <row r="10" spans="1:7" x14ac:dyDescent="0.45">
      <c r="A10" s="174">
        <v>6</v>
      </c>
      <c r="B10" s="175"/>
      <c r="C10" s="176"/>
      <c r="D10" s="176"/>
      <c r="E10" s="177"/>
      <c r="F10" s="177"/>
      <c r="G10" s="177"/>
    </row>
    <row r="11" spans="1:7" x14ac:dyDescent="0.45">
      <c r="A11" s="174">
        <v>7</v>
      </c>
      <c r="B11" s="175"/>
      <c r="C11" s="176"/>
      <c r="D11" s="176"/>
      <c r="E11" s="177"/>
      <c r="F11" s="177"/>
      <c r="G11" s="177"/>
    </row>
    <row r="12" spans="1:7" x14ac:dyDescent="0.45">
      <c r="A12" s="174">
        <v>8</v>
      </c>
      <c r="B12" s="175"/>
      <c r="C12" s="176"/>
      <c r="D12" s="176"/>
      <c r="E12" s="177"/>
      <c r="F12" s="177"/>
      <c r="G12" s="177"/>
    </row>
    <row r="13" spans="1:7" x14ac:dyDescent="0.45">
      <c r="A13" s="174">
        <v>9</v>
      </c>
      <c r="B13" s="175"/>
      <c r="C13" s="176"/>
      <c r="D13" s="178"/>
      <c r="E13" s="177"/>
      <c r="F13" s="177"/>
      <c r="G13" s="177"/>
    </row>
    <row r="14" spans="1:7" x14ac:dyDescent="0.45">
      <c r="A14" s="174">
        <v>10</v>
      </c>
      <c r="B14" s="175"/>
      <c r="C14" s="176"/>
      <c r="D14" s="178"/>
      <c r="E14" s="177"/>
      <c r="F14" s="177"/>
      <c r="G14" s="177"/>
    </row>
    <row r="15" spans="1:7" x14ac:dyDescent="0.45">
      <c r="A15" s="174">
        <v>11</v>
      </c>
      <c r="B15" s="175"/>
      <c r="C15" s="176"/>
      <c r="D15" s="176"/>
      <c r="E15" s="177"/>
      <c r="F15" s="177"/>
      <c r="G15" s="177"/>
    </row>
    <row r="16" spans="1:7" x14ac:dyDescent="0.45">
      <c r="A16" s="174">
        <v>12</v>
      </c>
      <c r="B16" s="175"/>
      <c r="C16" s="176"/>
      <c r="D16" s="25"/>
      <c r="E16" s="177"/>
      <c r="F16" s="177"/>
      <c r="G16" s="177"/>
    </row>
    <row r="17" spans="1:7" x14ac:dyDescent="0.45">
      <c r="A17" s="174">
        <v>13</v>
      </c>
      <c r="B17" s="175"/>
      <c r="C17" s="176"/>
      <c r="D17" s="176"/>
      <c r="E17" s="177"/>
      <c r="F17" s="177"/>
      <c r="G17" s="177"/>
    </row>
    <row r="18" spans="1:7" x14ac:dyDescent="0.45">
      <c r="A18" s="174">
        <v>14</v>
      </c>
      <c r="B18" s="175"/>
      <c r="C18" s="176"/>
      <c r="D18" s="178"/>
      <c r="E18" s="177"/>
      <c r="F18" s="177"/>
      <c r="G18" s="177"/>
    </row>
    <row r="19" spans="1:7" x14ac:dyDescent="0.45">
      <c r="A19" s="174">
        <v>15</v>
      </c>
      <c r="B19" s="175"/>
      <c r="C19" s="178"/>
      <c r="D19" s="178"/>
      <c r="E19" s="177"/>
      <c r="F19" s="177"/>
      <c r="G19" s="177"/>
    </row>
    <row r="20" spans="1:7" x14ac:dyDescent="0.45">
      <c r="A20" s="174">
        <v>16</v>
      </c>
      <c r="B20" s="175"/>
      <c r="C20" s="176"/>
      <c r="D20" s="176"/>
      <c r="E20" s="177"/>
      <c r="F20" s="177"/>
      <c r="G20" s="177"/>
    </row>
    <row r="21" spans="1:7" x14ac:dyDescent="0.45">
      <c r="A21" s="174">
        <v>17</v>
      </c>
      <c r="B21" s="175"/>
      <c r="C21" s="176"/>
      <c r="D21" s="178"/>
      <c r="E21" s="177"/>
      <c r="F21" s="177"/>
      <c r="G21" s="177"/>
    </row>
    <row r="22" spans="1:7" x14ac:dyDescent="0.45">
      <c r="A22" s="174">
        <v>18</v>
      </c>
      <c r="B22" s="175"/>
      <c r="C22" s="176"/>
      <c r="D22" s="178"/>
      <c r="E22" s="177"/>
      <c r="F22" s="177"/>
      <c r="G22" s="177"/>
    </row>
    <row r="23" spans="1:7" x14ac:dyDescent="0.45">
      <c r="A23" s="174">
        <v>19</v>
      </c>
      <c r="B23" s="175"/>
      <c r="C23" s="176"/>
      <c r="D23" s="176"/>
      <c r="E23" s="177"/>
      <c r="F23" s="177"/>
      <c r="G23" s="177"/>
    </row>
    <row r="24" spans="1:7" x14ac:dyDescent="0.45">
      <c r="A24" s="174">
        <v>20</v>
      </c>
      <c r="B24" s="175"/>
      <c r="C24" s="176"/>
      <c r="D24" s="176"/>
      <c r="E24" s="177"/>
      <c r="F24" s="177"/>
      <c r="G24" s="177"/>
    </row>
    <row r="25" spans="1:7" x14ac:dyDescent="0.45">
      <c r="A25" s="174">
        <v>21</v>
      </c>
      <c r="B25" s="175"/>
      <c r="C25" s="176"/>
      <c r="D25" s="176"/>
      <c r="E25" s="177"/>
      <c r="F25" s="177"/>
      <c r="G25" s="177"/>
    </row>
    <row r="26" spans="1:7" x14ac:dyDescent="0.45">
      <c r="A26" s="174">
        <v>22</v>
      </c>
      <c r="B26" s="175"/>
      <c r="C26" s="176"/>
      <c r="D26" s="178"/>
      <c r="E26" s="177"/>
      <c r="F26" s="177"/>
      <c r="G26" s="177"/>
    </row>
    <row r="27" spans="1:7" x14ac:dyDescent="0.45">
      <c r="A27" s="174">
        <v>23</v>
      </c>
      <c r="B27" s="175"/>
      <c r="C27" s="176"/>
      <c r="D27" s="176"/>
      <c r="E27" s="177"/>
      <c r="F27" s="177"/>
      <c r="G27" s="177"/>
    </row>
    <row r="28" spans="1:7" x14ac:dyDescent="0.45">
      <c r="A28" s="174">
        <v>24</v>
      </c>
      <c r="B28" s="175"/>
      <c r="C28" s="176"/>
      <c r="D28" s="176"/>
      <c r="E28" s="177"/>
      <c r="F28" s="177"/>
      <c r="G28" s="177"/>
    </row>
    <row r="29" spans="1:7" x14ac:dyDescent="0.45">
      <c r="A29" s="174">
        <v>25</v>
      </c>
      <c r="B29" s="175"/>
      <c r="C29" s="176"/>
      <c r="D29" s="176"/>
      <c r="E29" s="177"/>
      <c r="F29" s="177"/>
      <c r="G29" s="177"/>
    </row>
    <row r="30" spans="1:7" x14ac:dyDescent="0.45">
      <c r="A30" s="174">
        <v>26</v>
      </c>
      <c r="B30" s="175"/>
      <c r="C30" s="176"/>
      <c r="D30" s="176"/>
      <c r="E30" s="177"/>
      <c r="F30" s="177"/>
      <c r="G30" s="177"/>
    </row>
    <row r="31" spans="1:7" x14ac:dyDescent="0.45">
      <c r="A31" s="174">
        <v>27</v>
      </c>
      <c r="B31" s="175"/>
      <c r="C31" s="176"/>
      <c r="D31" s="176"/>
      <c r="E31" s="177"/>
      <c r="F31" s="177"/>
      <c r="G31" s="177"/>
    </row>
    <row r="32" spans="1:7" x14ac:dyDescent="0.45">
      <c r="A32" s="174">
        <v>28</v>
      </c>
      <c r="B32" s="175"/>
      <c r="C32" s="176"/>
      <c r="D32" s="176"/>
      <c r="E32" s="177"/>
      <c r="F32" s="177"/>
      <c r="G32" s="177"/>
    </row>
    <row r="33" spans="1:7" x14ac:dyDescent="0.45">
      <c r="A33" s="174">
        <v>29</v>
      </c>
      <c r="B33" s="175"/>
      <c r="C33" s="178"/>
      <c r="D33" s="176"/>
      <c r="E33" s="177"/>
      <c r="F33" s="177"/>
      <c r="G33" s="177"/>
    </row>
    <row r="34" spans="1:7" x14ac:dyDescent="0.45">
      <c r="A34" s="174">
        <v>30</v>
      </c>
      <c r="B34" s="175"/>
      <c r="C34" s="178"/>
      <c r="D34" s="176"/>
      <c r="E34" s="177"/>
      <c r="F34" s="177"/>
      <c r="G34" s="177"/>
    </row>
    <row r="35" spans="1:7" x14ac:dyDescent="0.45">
      <c r="A35" s="174">
        <v>31</v>
      </c>
      <c r="B35" s="175"/>
      <c r="C35" s="178"/>
      <c r="D35" s="176"/>
      <c r="E35" s="177"/>
      <c r="F35" s="177"/>
      <c r="G35" s="177"/>
    </row>
    <row r="36" spans="1:7" x14ac:dyDescent="0.45">
      <c r="A36" s="174">
        <v>32</v>
      </c>
      <c r="B36" s="175"/>
      <c r="C36" s="178"/>
      <c r="D36" s="176"/>
      <c r="E36" s="177"/>
      <c r="F36" s="177"/>
      <c r="G36" s="177"/>
    </row>
    <row r="37" spans="1:7" x14ac:dyDescent="0.45">
      <c r="A37" s="174">
        <v>33</v>
      </c>
      <c r="B37" s="175"/>
      <c r="C37" s="176"/>
      <c r="D37" s="176"/>
      <c r="E37" s="177"/>
      <c r="F37" s="177"/>
      <c r="G37" s="177"/>
    </row>
    <row r="38" spans="1:7" x14ac:dyDescent="0.45">
      <c r="A38" s="174">
        <v>34</v>
      </c>
      <c r="B38" s="175"/>
      <c r="C38" s="176"/>
      <c r="D38" s="176"/>
      <c r="E38" s="177"/>
      <c r="F38" s="177"/>
      <c r="G38" s="177"/>
    </row>
    <row r="39" spans="1:7" x14ac:dyDescent="0.45">
      <c r="A39" s="174">
        <v>35</v>
      </c>
      <c r="B39" s="175"/>
      <c r="C39" s="176"/>
      <c r="D39" s="176"/>
      <c r="E39" s="177"/>
      <c r="F39" s="177"/>
      <c r="G39" s="177"/>
    </row>
  </sheetData>
  <mergeCells count="7">
    <mergeCell ref="G3:G4"/>
    <mergeCell ref="A3:A4"/>
    <mergeCell ref="B3:B4"/>
    <mergeCell ref="C3:C4"/>
    <mergeCell ref="D3:D4"/>
    <mergeCell ref="E3:E4"/>
    <mergeCell ref="F3:F4"/>
  </mergeCells>
  <conditionalFormatting sqref="C22:D39">
    <cfRule type="duplicateValues" dxfId="10" priority="11"/>
  </conditionalFormatting>
  <conditionalFormatting sqref="C5:D6 C8:D8 C16:D16 C18:D21">
    <cfRule type="duplicateValues" dxfId="9" priority="10"/>
  </conditionalFormatting>
  <conditionalFormatting sqref="C7:D7">
    <cfRule type="duplicateValues" dxfId="8" priority="9"/>
  </conditionalFormatting>
  <conditionalFormatting sqref="C9:D9">
    <cfRule type="duplicateValues" dxfId="7" priority="8"/>
  </conditionalFormatting>
  <conditionalFormatting sqref="C11:D12">
    <cfRule type="duplicateValues" dxfId="6" priority="7"/>
  </conditionalFormatting>
  <conditionalFormatting sqref="C12:D12">
    <cfRule type="duplicateValues" dxfId="5" priority="6"/>
  </conditionalFormatting>
  <conditionalFormatting sqref="C14:D14">
    <cfRule type="duplicateValues" dxfId="4" priority="5"/>
  </conditionalFormatting>
  <conditionalFormatting sqref="C13:D13">
    <cfRule type="duplicateValues" dxfId="3" priority="4"/>
  </conditionalFormatting>
  <conditionalFormatting sqref="C15:D15">
    <cfRule type="duplicateValues" dxfId="2" priority="3"/>
  </conditionalFormatting>
  <conditionalFormatting sqref="C17:D17">
    <cfRule type="duplicateValues" dxfId="1" priority="2"/>
  </conditionalFormatting>
  <conditionalFormatting sqref="C10:D10">
    <cfRule type="duplicateValues" dxfId="0" priority="1"/>
  </conditionalFormatting>
  <pageMargins left="0.7" right="0.7" top="0.75" bottom="0.75" header="0.3" footer="0.3"/>
  <colBreaks count="1" manualBreakCount="1">
    <brk id="7" max="1048575" man="1"/>
  </colBreaks>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
    <tabColor rgb="FF000000"/>
  </sheetPr>
  <dimension ref="A1:V18"/>
  <sheetViews>
    <sheetView showGridLines="0" workbookViewId="0">
      <selection activeCell="E6" sqref="E6"/>
    </sheetView>
  </sheetViews>
  <sheetFormatPr defaultColWidth="9.265625" defaultRowHeight="14.25" x14ac:dyDescent="0.45"/>
  <cols>
    <col min="1" max="3" width="14.265625" style="3" customWidth="1"/>
    <col min="4" max="4" width="9.265625" style="3"/>
    <col min="5" max="5" width="16.86328125" style="3" customWidth="1"/>
    <col min="6" max="6" width="11.1328125" style="3" bestFit="1" customWidth="1"/>
    <col min="7" max="7" width="22.1328125" style="3" customWidth="1"/>
    <col min="8" max="8" width="15.1328125" style="3" customWidth="1"/>
    <col min="9" max="9" width="15.265625" style="3" customWidth="1"/>
    <col min="10" max="16" width="9.265625" style="3"/>
    <col min="17" max="17" width="12.1328125" style="3" customWidth="1"/>
    <col min="18" max="18" width="8.59765625" style="3" customWidth="1"/>
    <col min="19" max="19" width="25.86328125" style="3" customWidth="1"/>
    <col min="20" max="20" width="8.1328125" style="3" customWidth="1"/>
    <col min="21" max="21" width="25.86328125" style="3" customWidth="1"/>
    <col min="22" max="22" width="11.265625" style="3" customWidth="1"/>
    <col min="23" max="24" width="9.265625" style="3"/>
    <col min="25" max="25" width="13.265625" style="3" customWidth="1"/>
    <col min="26" max="26" width="14.1328125" style="3" customWidth="1"/>
    <col min="27" max="16384" width="9.265625" style="3"/>
  </cols>
  <sheetData>
    <row r="1" spans="1:22" x14ac:dyDescent="0.45">
      <c r="A1" s="714" t="s">
        <v>83</v>
      </c>
      <c r="B1" s="714"/>
      <c r="C1" s="714"/>
      <c r="E1" s="3" t="s">
        <v>87</v>
      </c>
    </row>
    <row r="2" spans="1:22" x14ac:dyDescent="0.45">
      <c r="A2" s="5" t="s">
        <v>84</v>
      </c>
      <c r="B2" s="5" t="s">
        <v>85</v>
      </c>
      <c r="C2" s="5" t="s">
        <v>86</v>
      </c>
    </row>
    <row r="3" spans="1:22" x14ac:dyDescent="0.45">
      <c r="A3" s="3">
        <v>0</v>
      </c>
      <c r="B3" s="389">
        <v>0.05</v>
      </c>
      <c r="C3" s="3">
        <v>0</v>
      </c>
    </row>
    <row r="4" spans="1:22" x14ac:dyDescent="0.45">
      <c r="A4" s="11">
        <v>5000000</v>
      </c>
      <c r="B4" s="389">
        <v>0.1</v>
      </c>
      <c r="C4" s="11">
        <f t="shared" ref="C4:C9" si="0">(A4-A3)*B3+C3</f>
        <v>250000</v>
      </c>
      <c r="E4" s="22"/>
    </row>
    <row r="5" spans="1:22" x14ac:dyDescent="0.45">
      <c r="A5" s="11">
        <v>10000000</v>
      </c>
      <c r="B5" s="389">
        <v>0.15</v>
      </c>
      <c r="C5" s="11">
        <f t="shared" si="0"/>
        <v>750000</v>
      </c>
      <c r="R5" s="3" t="s">
        <v>300</v>
      </c>
      <c r="S5" s="187">
        <v>5</v>
      </c>
    </row>
    <row r="6" spans="1:22" x14ac:dyDescent="0.45">
      <c r="A6" s="11">
        <v>18000000</v>
      </c>
      <c r="B6" s="389">
        <v>0.2</v>
      </c>
      <c r="C6" s="11">
        <f t="shared" si="0"/>
        <v>1950000</v>
      </c>
      <c r="E6" s="22"/>
      <c r="R6" s="715">
        <v>334</v>
      </c>
      <c r="S6" s="715"/>
      <c r="T6" s="715"/>
      <c r="U6" s="715"/>
    </row>
    <row r="7" spans="1:22" x14ac:dyDescent="0.45">
      <c r="A7" s="11">
        <v>32000000</v>
      </c>
      <c r="B7" s="389">
        <v>0.25</v>
      </c>
      <c r="C7" s="11">
        <f t="shared" si="0"/>
        <v>4750000</v>
      </c>
      <c r="R7" s="316"/>
      <c r="S7" s="398" t="s">
        <v>328</v>
      </c>
      <c r="T7" s="367"/>
      <c r="U7" s="367" t="s">
        <v>329</v>
      </c>
    </row>
    <row r="8" spans="1:22" ht="17.649999999999999" customHeight="1" x14ac:dyDescent="0.45">
      <c r="A8" s="11">
        <v>52000000</v>
      </c>
      <c r="B8" s="389">
        <v>0.3</v>
      </c>
      <c r="C8" s="11">
        <f t="shared" si="0"/>
        <v>9750000</v>
      </c>
      <c r="Q8" s="712" t="s">
        <v>330</v>
      </c>
      <c r="R8" s="3">
        <v>3383</v>
      </c>
      <c r="S8" s="390">
        <f ca="1">HLOOKUP($S$5,BaoHiem!$AD$20:$AO$23,2,0)</f>
        <v>0</v>
      </c>
      <c r="T8" s="3">
        <v>642</v>
      </c>
      <c r="U8" s="11">
        <f t="array" aca="1" ref="U8" ca="1">INDIRECT("'"&amp;$S$5&amp;"'!V2")</f>
        <v>0</v>
      </c>
      <c r="V8" s="713" t="s">
        <v>331</v>
      </c>
    </row>
    <row r="9" spans="1:22" ht="17.649999999999999" customHeight="1" x14ac:dyDescent="0.45">
      <c r="A9" s="11">
        <v>80000000</v>
      </c>
      <c r="B9" s="389">
        <v>0.35</v>
      </c>
      <c r="C9" s="11">
        <f t="shared" si="0"/>
        <v>18150000</v>
      </c>
      <c r="Q9" s="712"/>
      <c r="R9" s="3">
        <v>3384</v>
      </c>
      <c r="S9" s="390">
        <f ca="1">HLOOKUP($S$5,BaoHiem!$AD$20:$AO$23,3,0)</f>
        <v>0</v>
      </c>
      <c r="T9" s="3">
        <v>154</v>
      </c>
      <c r="U9" s="11">
        <f t="array" aca="1" ref="U9" ca="1">INDIRECT("'"&amp;$S$5&amp;"'!V3")</f>
        <v>0</v>
      </c>
      <c r="V9" s="713"/>
    </row>
    <row r="10" spans="1:22" ht="17.649999999999999" customHeight="1" x14ac:dyDescent="0.45">
      <c r="Q10" s="712"/>
      <c r="R10" s="3">
        <v>3386</v>
      </c>
      <c r="S10" s="390">
        <f ca="1">HLOOKUP($S$5,BaoHiem!$AD$20:$AO$23,4,0)</f>
        <v>0</v>
      </c>
      <c r="U10" s="11"/>
      <c r="V10" s="713"/>
    </row>
    <row r="11" spans="1:22" ht="17.649999999999999" customHeight="1" x14ac:dyDescent="0.45">
      <c r="A11" s="3">
        <v>0</v>
      </c>
      <c r="B11" s="389">
        <v>0.05</v>
      </c>
      <c r="C11" s="3">
        <v>0</v>
      </c>
      <c r="E11" s="3" t="s">
        <v>157</v>
      </c>
      <c r="S11" s="391"/>
      <c r="U11" s="11"/>
    </row>
    <row r="12" spans="1:22" ht="17.25" customHeight="1" x14ac:dyDescent="0.45">
      <c r="A12" s="11">
        <v>60000000</v>
      </c>
      <c r="B12" s="389">
        <v>0.1</v>
      </c>
      <c r="C12" s="11">
        <f t="shared" ref="C12:C17" si="1">(A12-A11)*B11+C11</f>
        <v>3000000</v>
      </c>
      <c r="Q12" s="396" t="s">
        <v>332</v>
      </c>
      <c r="R12" s="3">
        <v>3335</v>
      </c>
      <c r="S12" s="390">
        <f t="array" aca="1" ref="S12" ca="1">INDIRECT("'"&amp;$S$5&amp;"'!AH7")</f>
        <v>0</v>
      </c>
    </row>
    <row r="13" spans="1:22" ht="17.649999999999999" customHeight="1" x14ac:dyDescent="0.45">
      <c r="A13" s="11">
        <v>120000000</v>
      </c>
      <c r="B13" s="389">
        <v>0.15</v>
      </c>
      <c r="C13" s="11">
        <f t="shared" si="1"/>
        <v>9000000</v>
      </c>
      <c r="G13" s="11"/>
      <c r="S13" s="391"/>
    </row>
    <row r="14" spans="1:22" ht="17.649999999999999" customHeight="1" x14ac:dyDescent="0.45">
      <c r="A14" s="11">
        <v>216000000</v>
      </c>
      <c r="B14" s="389">
        <v>0.2</v>
      </c>
      <c r="C14" s="11">
        <f t="shared" si="1"/>
        <v>23400000</v>
      </c>
      <c r="E14" s="11"/>
      <c r="F14" s="22"/>
      <c r="G14" s="11"/>
      <c r="H14" s="22"/>
      <c r="I14" s="22"/>
      <c r="Q14" s="397" t="s">
        <v>333</v>
      </c>
      <c r="R14" s="368" t="s">
        <v>334</v>
      </c>
      <c r="S14" s="390">
        <f t="array" aca="1" ref="S14" ca="1">INDIRECT("'"&amp;$S$5&amp;"'!AI7")</f>
        <v>0</v>
      </c>
    </row>
    <row r="15" spans="1:22" ht="17.649999999999999" customHeight="1" x14ac:dyDescent="0.45">
      <c r="A15" s="11">
        <v>384000000</v>
      </c>
      <c r="B15" s="389">
        <v>0.25</v>
      </c>
      <c r="C15" s="11">
        <f t="shared" si="1"/>
        <v>57000000</v>
      </c>
      <c r="E15" s="392"/>
      <c r="F15" s="393"/>
      <c r="G15" s="389"/>
      <c r="H15" s="394"/>
      <c r="I15" s="394"/>
      <c r="S15" s="391"/>
    </row>
    <row r="16" spans="1:22" ht="17.649999999999999" customHeight="1" x14ac:dyDescent="0.45">
      <c r="A16" s="11">
        <v>624000000</v>
      </c>
      <c r="B16" s="389">
        <v>0.3</v>
      </c>
      <c r="C16" s="11">
        <f t="shared" si="1"/>
        <v>117000000</v>
      </c>
      <c r="G16" s="22"/>
      <c r="H16" s="22"/>
      <c r="I16" s="22"/>
      <c r="S16" s="391"/>
    </row>
    <row r="17" spans="1:21" ht="17.649999999999999" customHeight="1" x14ac:dyDescent="0.45">
      <c r="A17" s="11">
        <v>960000000</v>
      </c>
      <c r="B17" s="389">
        <v>0.35</v>
      </c>
      <c r="C17" s="11">
        <f t="shared" si="1"/>
        <v>217800000</v>
      </c>
      <c r="S17" s="391"/>
    </row>
    <row r="18" spans="1:21" ht="17.649999999999999" customHeight="1" x14ac:dyDescent="0.45">
      <c r="S18" s="395">
        <f ca="1">SUM(S8:S17)</f>
        <v>0</v>
      </c>
      <c r="U18" s="22">
        <f ca="1">SUM(U8:U17)</f>
        <v>0</v>
      </c>
    </row>
  </sheetData>
  <mergeCells count="4">
    <mergeCell ref="Q8:Q10"/>
    <mergeCell ref="V8:V10"/>
    <mergeCell ref="A1:C1"/>
    <mergeCell ref="R6:U6"/>
  </mergeCells>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6</vt:i4>
      </vt:variant>
    </vt:vector>
  </HeadingPairs>
  <TitlesOfParts>
    <vt:vector size="38" baseType="lpstr">
      <vt:lpstr>Info</vt:lpstr>
      <vt:lpstr>Danh_Sach</vt:lpstr>
      <vt:lpstr>Cham_Cong</vt:lpstr>
      <vt:lpstr>BaoHiem</vt:lpstr>
      <vt:lpstr>NPT</vt:lpstr>
      <vt:lpstr>1</vt:lpstr>
      <vt:lpstr>2</vt:lpstr>
      <vt:lpstr>3</vt:lpstr>
      <vt:lpstr>4</vt:lpstr>
      <vt:lpstr>5</vt:lpstr>
      <vt:lpstr>6</vt:lpstr>
      <vt:lpstr>7</vt:lpstr>
      <vt:lpstr>8</vt:lpstr>
      <vt:lpstr>9</vt:lpstr>
      <vt:lpstr>10</vt:lpstr>
      <vt:lpstr>11</vt:lpstr>
      <vt:lpstr>12</vt:lpstr>
      <vt:lpstr>Thuong_Quy</vt:lpstr>
      <vt:lpstr>CTP</vt:lpstr>
      <vt:lpstr>ThemGio</vt:lpstr>
      <vt:lpstr>Thuong</vt:lpstr>
      <vt:lpstr>In_BL</vt:lpstr>
      <vt:lpstr>In_BCC</vt:lpstr>
      <vt:lpstr>Tong_Hop</vt:lpstr>
      <vt:lpstr>Thong_Ke</vt:lpstr>
      <vt:lpstr>05KK</vt:lpstr>
      <vt:lpstr>QTTNCN</vt:lpstr>
      <vt:lpstr>PL05_1</vt:lpstr>
      <vt:lpstr>PL05_2</vt:lpstr>
      <vt:lpstr>Thue_Ngoai</vt:lpstr>
      <vt:lpstr>DS_Thue_Ngoai</vt:lpstr>
      <vt:lpstr>TAXRATE</vt:lpstr>
      <vt:lpstr>ChiTietThueNgoai</vt:lpstr>
      <vt:lpstr>In_BCC!Criteria</vt:lpstr>
      <vt:lpstr>In_BL!Criteria</vt:lpstr>
      <vt:lpstr>DS_Thue_Ngoai!Print_Area</vt:lpstr>
      <vt:lpstr>PL05_1!Print_Area</vt:lpstr>
      <vt:lpstr>ThemGio!Print_Area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c:creator>
  <cp:lastModifiedBy>Thanh Ha Dao</cp:lastModifiedBy>
  <cp:lastPrinted>2023-03-15T07:43:49Z</cp:lastPrinted>
  <dcterms:created xsi:type="dcterms:W3CDTF">2020-06-10T13:18:58Z</dcterms:created>
  <dcterms:modified xsi:type="dcterms:W3CDTF">2025-10-12T04:42:33Z</dcterms:modified>
</cp:coreProperties>
</file>