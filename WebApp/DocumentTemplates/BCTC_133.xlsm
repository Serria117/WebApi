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ersonal\WebApi\WebApp\DocumentTemplates\"/>
    </mc:Choice>
  </mc:AlternateContent>
  <xr:revisionPtr revIDLastSave="0" documentId="13_ncr:1_{F0860229-9ECF-4CB9-A08C-E2FBDFB0D830}" xr6:coauthVersionLast="47" xr6:coauthVersionMax="47" xr10:uidLastSave="{00000000-0000-0000-0000-000000000000}"/>
  <bookViews>
    <workbookView xWindow="-98" yWindow="-98" windowWidth="23236" windowHeight="13875" firstSheet="1" activeTab="1" xr2:uid="{00000000-000D-0000-FFFF-FFFF00000000}"/>
  </bookViews>
  <sheets>
    <sheet name="HuongDan" sheetId="17" r:id="rId1"/>
    <sheet name="MAIN" sheetId="6" r:id="rId2"/>
    <sheet name="INPUT" sheetId="5" r:id="rId3"/>
    <sheet name="KiemTraBCD" sheetId="10" r:id="rId4"/>
    <sheet name="QTTNDN" sheetId="9" r:id="rId5"/>
    <sheet name="BaoCaoTHTC" sheetId="2" r:id="rId6"/>
    <sheet name="BCKQKD" sheetId="3" r:id="rId7"/>
    <sheet name="BCDTK" sheetId="1" r:id="rId8"/>
    <sheet name="LCTT" sheetId="4" state="hidden" r:id="rId9"/>
    <sheet name="111" sheetId="14" state="hidden" r:id="rId10"/>
    <sheet name="112" sheetId="15" state="hidden" r:id="rId11"/>
    <sheet name="TMBCTC" sheetId="12" r:id="rId12"/>
    <sheet name="DSKH" sheetId="7" state="veryHidden" r:id="rId13"/>
    <sheet name="City" sheetId="16" state="hidden" r:id="rId14"/>
    <sheet name="Protect" sheetId="13" state="veryHidden" r:id="rId15"/>
    <sheet name="Draff" sheetId="11" state="hidden" r:id="rId16"/>
    <sheet name="BCTC_XML_Old" sheetId="8" state="hidden" r:id="rId17"/>
    <sheet name="BCTC_XML" sheetId="19" state="hidden" r:id="rId18"/>
  </sheets>
  <externalReferences>
    <externalReference r:id="rId19"/>
  </externalReferences>
  <definedNames>
    <definedName name="_xlnm._FilterDatabase" localSheetId="9" hidden="1">'111'!$A$4:$H$626</definedName>
    <definedName name="_xlnm._FilterDatabase" localSheetId="10" hidden="1">'112'!$A$4:$I$199</definedName>
    <definedName name="_xlnm._FilterDatabase" localSheetId="5" hidden="1">BaoCaoTHTC!$B$6:$F$6</definedName>
    <definedName name="_xlnm._FilterDatabase" localSheetId="7" hidden="1">BCDTK!$A$8:$L$131</definedName>
    <definedName name="_xlnm._FilterDatabase" localSheetId="6" hidden="1">BCKQKD!$D$8:$H$24</definedName>
    <definedName name="_xlnm._FilterDatabase" localSheetId="17" hidden="1">BCTC_XML!$A$2:$O$2</definedName>
    <definedName name="_xlnm._FilterDatabase" localSheetId="16" hidden="1">BCTC_XML_Old!$A$2:$O$2</definedName>
    <definedName name="_xlnm._FilterDatabase" localSheetId="2" hidden="1">INPUT!$B$6:$C$110</definedName>
    <definedName name="_xlnm._FilterDatabase" localSheetId="3" hidden="1">KiemTraBCD!$A$9:$B$132</definedName>
    <definedName name="_xlnm._FilterDatabase" localSheetId="8" hidden="1">LCTT!$D$6:$H$33</definedName>
    <definedName name="_xlnm._FilterDatabase" localSheetId="4" hidden="1">QTTNDN!$B$73:$E$93</definedName>
    <definedName name="_xlnm.Database">INDIRECT([1]Input!$I$24)</definedName>
    <definedName name="_xlnm.Print_Area" localSheetId="5">BaoCaoTHTC!$H$1:$L$54</definedName>
    <definedName name="_xlnm.Print_Area" localSheetId="7">BCDTK!$E$3:$L$132</definedName>
    <definedName name="_xlnm.Print_Area" localSheetId="6">BCKQKD!$C$3:$I$26</definedName>
    <definedName name="QL">INDIRECT(City!$O$1)</definedName>
    <definedName name="QuanName">INDIRECT(City!$O$3)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" i="5" l="1"/>
  <c r="M8" i="5"/>
  <c r="N8" i="5"/>
  <c r="O8" i="5"/>
  <c r="P8" i="5"/>
  <c r="Q8" i="5"/>
  <c r="R8" i="5"/>
  <c r="S8" i="5"/>
  <c r="T8" i="5"/>
  <c r="U8" i="5"/>
  <c r="V8" i="5"/>
  <c r="L9" i="5"/>
  <c r="M9" i="5"/>
  <c r="N9" i="5"/>
  <c r="O9" i="5"/>
  <c r="P9" i="5"/>
  <c r="Q9" i="5"/>
  <c r="R9" i="5"/>
  <c r="S9" i="5"/>
  <c r="T9" i="5"/>
  <c r="U9" i="5"/>
  <c r="V9" i="5"/>
  <c r="L10" i="5"/>
  <c r="M10" i="5"/>
  <c r="N10" i="5"/>
  <c r="O10" i="5"/>
  <c r="P10" i="5"/>
  <c r="Q10" i="5"/>
  <c r="R10" i="5"/>
  <c r="S10" i="5"/>
  <c r="T10" i="5"/>
  <c r="U10" i="5"/>
  <c r="V10" i="5"/>
  <c r="L11" i="5"/>
  <c r="M11" i="5"/>
  <c r="N11" i="5"/>
  <c r="O11" i="5"/>
  <c r="P11" i="5"/>
  <c r="Q11" i="5"/>
  <c r="R11" i="5"/>
  <c r="S11" i="5"/>
  <c r="T11" i="5"/>
  <c r="U11" i="5"/>
  <c r="V11" i="5"/>
  <c r="L12" i="5"/>
  <c r="M12" i="5"/>
  <c r="N12" i="5"/>
  <c r="O12" i="5"/>
  <c r="P12" i="5"/>
  <c r="Q12" i="5"/>
  <c r="R12" i="5"/>
  <c r="S12" i="5"/>
  <c r="T12" i="5"/>
  <c r="U12" i="5"/>
  <c r="L13" i="5"/>
  <c r="M13" i="5"/>
  <c r="N13" i="5"/>
  <c r="O13" i="5"/>
  <c r="P13" i="5"/>
  <c r="Q13" i="5"/>
  <c r="R13" i="5"/>
  <c r="S13" i="5"/>
  <c r="T13" i="5"/>
  <c r="U13" i="5"/>
  <c r="L14" i="5"/>
  <c r="M14" i="5"/>
  <c r="N14" i="5"/>
  <c r="O14" i="5"/>
  <c r="P14" i="5"/>
  <c r="Q14" i="5"/>
  <c r="R14" i="5"/>
  <c r="S14" i="5"/>
  <c r="T14" i="5"/>
  <c r="U14" i="5"/>
  <c r="V14" i="5"/>
  <c r="L15" i="5"/>
  <c r="M15" i="5"/>
  <c r="N15" i="5"/>
  <c r="O15" i="5"/>
  <c r="P15" i="5"/>
  <c r="Q15" i="5"/>
  <c r="R15" i="5"/>
  <c r="S15" i="5"/>
  <c r="T15" i="5"/>
  <c r="U15" i="5"/>
  <c r="V15" i="5" s="1"/>
  <c r="L16" i="5"/>
  <c r="M16" i="5"/>
  <c r="N16" i="5"/>
  <c r="O16" i="5"/>
  <c r="P16" i="5"/>
  <c r="Q16" i="5"/>
  <c r="R16" i="5"/>
  <c r="S16" i="5"/>
  <c r="T16" i="5"/>
  <c r="U16" i="5"/>
  <c r="V16" i="5"/>
  <c r="L17" i="5"/>
  <c r="M17" i="5"/>
  <c r="N17" i="5"/>
  <c r="O17" i="5"/>
  <c r="P17" i="5"/>
  <c r="Q17" i="5"/>
  <c r="R17" i="5"/>
  <c r="S17" i="5"/>
  <c r="T17" i="5"/>
  <c r="U17" i="5"/>
  <c r="L18" i="5"/>
  <c r="M18" i="5"/>
  <c r="N18" i="5"/>
  <c r="O18" i="5"/>
  <c r="P18" i="5"/>
  <c r="Q18" i="5"/>
  <c r="R18" i="5"/>
  <c r="S18" i="5"/>
  <c r="T18" i="5"/>
  <c r="U18" i="5"/>
  <c r="L19" i="5"/>
  <c r="M19" i="5"/>
  <c r="N19" i="5"/>
  <c r="O19" i="5"/>
  <c r="P19" i="5"/>
  <c r="Q19" i="5"/>
  <c r="R19" i="5"/>
  <c r="S19" i="5"/>
  <c r="T19" i="5"/>
  <c r="V19" i="5" s="1"/>
  <c r="U19" i="5"/>
  <c r="L20" i="5"/>
  <c r="M20" i="5"/>
  <c r="N20" i="5"/>
  <c r="O20" i="5"/>
  <c r="P20" i="5"/>
  <c r="Q20" i="5"/>
  <c r="R20" i="5"/>
  <c r="S20" i="5"/>
  <c r="V20" i="5" s="1"/>
  <c r="T20" i="5"/>
  <c r="U20" i="5"/>
  <c r="L21" i="5"/>
  <c r="M21" i="5"/>
  <c r="N21" i="5"/>
  <c r="O21" i="5"/>
  <c r="P21" i="5"/>
  <c r="Q21" i="5"/>
  <c r="R21" i="5"/>
  <c r="S21" i="5"/>
  <c r="T21" i="5"/>
  <c r="U21" i="5"/>
  <c r="L22" i="5"/>
  <c r="M22" i="5"/>
  <c r="N22" i="5"/>
  <c r="O22" i="5"/>
  <c r="P22" i="5"/>
  <c r="Q22" i="5"/>
  <c r="R22" i="5"/>
  <c r="S22" i="5"/>
  <c r="T22" i="5"/>
  <c r="U22" i="5"/>
  <c r="L23" i="5"/>
  <c r="M23" i="5"/>
  <c r="N23" i="5"/>
  <c r="O23" i="5"/>
  <c r="P23" i="5"/>
  <c r="Q23" i="5"/>
  <c r="R23" i="5"/>
  <c r="S23" i="5"/>
  <c r="T23" i="5"/>
  <c r="U23" i="5"/>
  <c r="V23" i="5"/>
  <c r="L24" i="5"/>
  <c r="M24" i="5"/>
  <c r="N24" i="5"/>
  <c r="O24" i="5"/>
  <c r="P24" i="5"/>
  <c r="Q24" i="5"/>
  <c r="R24" i="5"/>
  <c r="S24" i="5"/>
  <c r="T24" i="5"/>
  <c r="U24" i="5"/>
  <c r="V24" i="5"/>
  <c r="L25" i="5"/>
  <c r="M25" i="5"/>
  <c r="N25" i="5"/>
  <c r="O25" i="5"/>
  <c r="P25" i="5"/>
  <c r="Q25" i="5"/>
  <c r="R25" i="5"/>
  <c r="S25" i="5"/>
  <c r="T25" i="5"/>
  <c r="U25" i="5"/>
  <c r="V25" i="5"/>
  <c r="L26" i="5"/>
  <c r="M26" i="5"/>
  <c r="N26" i="5"/>
  <c r="O26" i="5"/>
  <c r="P26" i="5"/>
  <c r="Q26" i="5"/>
  <c r="R26" i="5"/>
  <c r="S26" i="5"/>
  <c r="V26" i="5" s="1"/>
  <c r="T26" i="5"/>
  <c r="U26" i="5"/>
  <c r="L27" i="5"/>
  <c r="M27" i="5"/>
  <c r="N27" i="5"/>
  <c r="O27" i="5"/>
  <c r="P27" i="5"/>
  <c r="Q27" i="5"/>
  <c r="R27" i="5"/>
  <c r="S27" i="5"/>
  <c r="T27" i="5"/>
  <c r="U27" i="5"/>
  <c r="L28" i="5"/>
  <c r="M28" i="5"/>
  <c r="N28" i="5"/>
  <c r="O28" i="5"/>
  <c r="P28" i="5"/>
  <c r="Q28" i="5"/>
  <c r="R28" i="5"/>
  <c r="S28" i="5"/>
  <c r="T28" i="5"/>
  <c r="U28" i="5"/>
  <c r="L29" i="5"/>
  <c r="M29" i="5"/>
  <c r="N29" i="5"/>
  <c r="O29" i="5"/>
  <c r="P29" i="5"/>
  <c r="Q29" i="5"/>
  <c r="R29" i="5"/>
  <c r="S29" i="5"/>
  <c r="T29" i="5"/>
  <c r="V29" i="5" s="1"/>
  <c r="U29" i="5"/>
  <c r="L30" i="5"/>
  <c r="M30" i="5"/>
  <c r="N30" i="5"/>
  <c r="O30" i="5"/>
  <c r="P30" i="5"/>
  <c r="Q30" i="5"/>
  <c r="R30" i="5"/>
  <c r="S30" i="5"/>
  <c r="V30" i="5" s="1"/>
  <c r="T30" i="5"/>
  <c r="U30" i="5"/>
  <c r="L31" i="5"/>
  <c r="M31" i="5"/>
  <c r="N31" i="5"/>
  <c r="O31" i="5"/>
  <c r="P31" i="5"/>
  <c r="Q31" i="5"/>
  <c r="R31" i="5"/>
  <c r="S31" i="5"/>
  <c r="T31" i="5"/>
  <c r="U31" i="5"/>
  <c r="L32" i="5"/>
  <c r="M32" i="5"/>
  <c r="N32" i="5"/>
  <c r="O32" i="5"/>
  <c r="P32" i="5"/>
  <c r="Q32" i="5"/>
  <c r="R32" i="5"/>
  <c r="S32" i="5"/>
  <c r="V32" i="5" s="1"/>
  <c r="T32" i="5"/>
  <c r="U32" i="5"/>
  <c r="L33" i="5"/>
  <c r="M33" i="5"/>
  <c r="N33" i="5"/>
  <c r="O33" i="5"/>
  <c r="P33" i="5"/>
  <c r="Q33" i="5"/>
  <c r="R33" i="5"/>
  <c r="S33" i="5"/>
  <c r="V33" i="5" s="1"/>
  <c r="T33" i="5"/>
  <c r="U33" i="5"/>
  <c r="L34" i="5"/>
  <c r="M34" i="5"/>
  <c r="N34" i="5"/>
  <c r="O34" i="5"/>
  <c r="P34" i="5"/>
  <c r="Q34" i="5"/>
  <c r="R34" i="5"/>
  <c r="S34" i="5"/>
  <c r="V34" i="5" s="1"/>
  <c r="T34" i="5"/>
  <c r="U34" i="5"/>
  <c r="L35" i="5"/>
  <c r="M35" i="5"/>
  <c r="N35" i="5"/>
  <c r="O35" i="5"/>
  <c r="P35" i="5"/>
  <c r="Q35" i="5"/>
  <c r="R35" i="5"/>
  <c r="S35" i="5"/>
  <c r="T35" i="5"/>
  <c r="U35" i="5"/>
  <c r="V35" i="5"/>
  <c r="L36" i="5"/>
  <c r="M36" i="5"/>
  <c r="N36" i="5"/>
  <c r="O36" i="5"/>
  <c r="P36" i="5"/>
  <c r="Q36" i="5"/>
  <c r="R36" i="5"/>
  <c r="S36" i="5"/>
  <c r="T36" i="5"/>
  <c r="U36" i="5"/>
  <c r="V36" i="5"/>
  <c r="L37" i="5"/>
  <c r="M37" i="5"/>
  <c r="N37" i="5"/>
  <c r="O37" i="5"/>
  <c r="P37" i="5"/>
  <c r="Q37" i="5"/>
  <c r="R37" i="5"/>
  <c r="S37" i="5"/>
  <c r="V37" i="5" s="1"/>
  <c r="T37" i="5"/>
  <c r="U37" i="5"/>
  <c r="L38" i="5"/>
  <c r="M38" i="5"/>
  <c r="N38" i="5"/>
  <c r="O38" i="5"/>
  <c r="P38" i="5"/>
  <c r="Q38" i="5"/>
  <c r="R38" i="5"/>
  <c r="S38" i="5"/>
  <c r="V38" i="5" s="1"/>
  <c r="T38" i="5"/>
  <c r="U38" i="5"/>
  <c r="L39" i="5"/>
  <c r="M39" i="5"/>
  <c r="N39" i="5"/>
  <c r="O39" i="5"/>
  <c r="P39" i="5"/>
  <c r="Q39" i="5"/>
  <c r="R39" i="5"/>
  <c r="S39" i="5"/>
  <c r="T39" i="5"/>
  <c r="V39" i="5" s="1"/>
  <c r="U39" i="5"/>
  <c r="L40" i="5"/>
  <c r="M40" i="5"/>
  <c r="N40" i="5"/>
  <c r="O40" i="5"/>
  <c r="P40" i="5"/>
  <c r="Q40" i="5"/>
  <c r="R40" i="5"/>
  <c r="S40" i="5"/>
  <c r="T40" i="5"/>
  <c r="V40" i="5" s="1"/>
  <c r="U40" i="5"/>
  <c r="L41" i="5"/>
  <c r="M41" i="5"/>
  <c r="N41" i="5"/>
  <c r="O41" i="5"/>
  <c r="P41" i="5"/>
  <c r="Q41" i="5"/>
  <c r="R41" i="5"/>
  <c r="S41" i="5"/>
  <c r="T41" i="5"/>
  <c r="U41" i="5"/>
  <c r="L42" i="5"/>
  <c r="M42" i="5"/>
  <c r="N42" i="5"/>
  <c r="O42" i="5"/>
  <c r="P42" i="5"/>
  <c r="Q42" i="5"/>
  <c r="R42" i="5"/>
  <c r="S42" i="5"/>
  <c r="T42" i="5"/>
  <c r="U42" i="5"/>
  <c r="V42" i="5"/>
  <c r="L43" i="5"/>
  <c r="M43" i="5"/>
  <c r="N43" i="5"/>
  <c r="O43" i="5"/>
  <c r="P43" i="5"/>
  <c r="Q43" i="5"/>
  <c r="R43" i="5"/>
  <c r="S43" i="5"/>
  <c r="T43" i="5"/>
  <c r="V43" i="5" s="1"/>
  <c r="U43" i="5"/>
  <c r="L44" i="5"/>
  <c r="M44" i="5"/>
  <c r="N44" i="5"/>
  <c r="O44" i="5"/>
  <c r="P44" i="5"/>
  <c r="Q44" i="5"/>
  <c r="R44" i="5"/>
  <c r="S44" i="5"/>
  <c r="T44" i="5"/>
  <c r="U44" i="5"/>
  <c r="V44" i="5"/>
  <c r="L45" i="5"/>
  <c r="M45" i="5"/>
  <c r="N45" i="5"/>
  <c r="O45" i="5"/>
  <c r="P45" i="5"/>
  <c r="Q45" i="5"/>
  <c r="R45" i="5"/>
  <c r="S45" i="5"/>
  <c r="T45" i="5"/>
  <c r="U45" i="5"/>
  <c r="L46" i="5"/>
  <c r="M46" i="5"/>
  <c r="N46" i="5"/>
  <c r="O46" i="5"/>
  <c r="P46" i="5"/>
  <c r="Q46" i="5"/>
  <c r="R46" i="5"/>
  <c r="S46" i="5"/>
  <c r="T46" i="5"/>
  <c r="V46" i="5" s="1"/>
  <c r="U46" i="5"/>
  <c r="L47" i="5"/>
  <c r="M47" i="5"/>
  <c r="N47" i="5"/>
  <c r="O47" i="5"/>
  <c r="P47" i="5"/>
  <c r="Q47" i="5"/>
  <c r="R47" i="5"/>
  <c r="S47" i="5"/>
  <c r="V47" i="5" s="1"/>
  <c r="T47" i="5"/>
  <c r="U47" i="5"/>
  <c r="L48" i="5"/>
  <c r="M48" i="5"/>
  <c r="N48" i="5"/>
  <c r="O48" i="5"/>
  <c r="P48" i="5"/>
  <c r="Q48" i="5"/>
  <c r="R48" i="5"/>
  <c r="S48" i="5"/>
  <c r="V48" i="5" s="1"/>
  <c r="T48" i="5"/>
  <c r="U48" i="5"/>
  <c r="L49" i="5"/>
  <c r="M49" i="5"/>
  <c r="N49" i="5"/>
  <c r="O49" i="5"/>
  <c r="P49" i="5"/>
  <c r="Q49" i="5"/>
  <c r="R49" i="5"/>
  <c r="S49" i="5"/>
  <c r="V49" i="5" s="1"/>
  <c r="T49" i="5"/>
  <c r="U49" i="5"/>
  <c r="L50" i="5"/>
  <c r="M50" i="5"/>
  <c r="N50" i="5"/>
  <c r="O50" i="5"/>
  <c r="P50" i="5"/>
  <c r="Q50" i="5"/>
  <c r="R50" i="5"/>
  <c r="S50" i="5"/>
  <c r="V50" i="5" s="1"/>
  <c r="T50" i="5"/>
  <c r="U50" i="5"/>
  <c r="L51" i="5"/>
  <c r="M51" i="5"/>
  <c r="N51" i="5"/>
  <c r="O51" i="5"/>
  <c r="P51" i="5"/>
  <c r="Q51" i="5"/>
  <c r="R51" i="5"/>
  <c r="S51" i="5"/>
  <c r="T51" i="5"/>
  <c r="V51" i="5" s="1"/>
  <c r="U51" i="5"/>
  <c r="L52" i="5"/>
  <c r="M52" i="5"/>
  <c r="N52" i="5"/>
  <c r="O52" i="5"/>
  <c r="P52" i="5"/>
  <c r="Q52" i="5"/>
  <c r="R52" i="5"/>
  <c r="S52" i="5"/>
  <c r="V52" i="5" s="1"/>
  <c r="T52" i="5"/>
  <c r="U52" i="5"/>
  <c r="L53" i="5"/>
  <c r="M53" i="5"/>
  <c r="N53" i="5"/>
  <c r="O53" i="5"/>
  <c r="P53" i="5"/>
  <c r="Q53" i="5"/>
  <c r="R53" i="5"/>
  <c r="S53" i="5"/>
  <c r="V53" i="5" s="1"/>
  <c r="T53" i="5"/>
  <c r="U53" i="5"/>
  <c r="L54" i="5"/>
  <c r="M54" i="5"/>
  <c r="N54" i="5"/>
  <c r="O54" i="5"/>
  <c r="P54" i="5"/>
  <c r="Q54" i="5"/>
  <c r="R54" i="5"/>
  <c r="S54" i="5"/>
  <c r="T54" i="5"/>
  <c r="V54" i="5" s="1"/>
  <c r="U54" i="5"/>
  <c r="L55" i="5"/>
  <c r="M55" i="5"/>
  <c r="N55" i="5"/>
  <c r="O55" i="5"/>
  <c r="P55" i="5"/>
  <c r="Q55" i="5"/>
  <c r="R55" i="5"/>
  <c r="S55" i="5"/>
  <c r="T55" i="5"/>
  <c r="V55" i="5" s="1"/>
  <c r="U55" i="5"/>
  <c r="L56" i="5"/>
  <c r="M56" i="5"/>
  <c r="N56" i="5"/>
  <c r="O56" i="5"/>
  <c r="P56" i="5"/>
  <c r="Q56" i="5"/>
  <c r="R56" i="5"/>
  <c r="S56" i="5"/>
  <c r="T56" i="5"/>
  <c r="U56" i="5"/>
  <c r="L57" i="5"/>
  <c r="M57" i="5"/>
  <c r="N57" i="5"/>
  <c r="O57" i="5"/>
  <c r="P57" i="5"/>
  <c r="Q57" i="5"/>
  <c r="R57" i="5"/>
  <c r="S57" i="5"/>
  <c r="T57" i="5"/>
  <c r="V57" i="5" s="1"/>
  <c r="U57" i="5"/>
  <c r="L58" i="5"/>
  <c r="M58" i="5"/>
  <c r="N58" i="5"/>
  <c r="O58" i="5"/>
  <c r="P58" i="5"/>
  <c r="Q58" i="5"/>
  <c r="R58" i="5"/>
  <c r="S58" i="5"/>
  <c r="V58" i="5" s="1"/>
  <c r="T58" i="5"/>
  <c r="U58" i="5"/>
  <c r="L59" i="5"/>
  <c r="M59" i="5"/>
  <c r="N59" i="5"/>
  <c r="O59" i="5"/>
  <c r="P59" i="5"/>
  <c r="Q59" i="5"/>
  <c r="R59" i="5"/>
  <c r="S59" i="5"/>
  <c r="T59" i="5"/>
  <c r="U59" i="5"/>
  <c r="L60" i="5"/>
  <c r="M60" i="5"/>
  <c r="N60" i="5"/>
  <c r="O60" i="5"/>
  <c r="P60" i="5"/>
  <c r="Q60" i="5"/>
  <c r="R60" i="5"/>
  <c r="S60" i="5"/>
  <c r="V60" i="5" s="1"/>
  <c r="T60" i="5"/>
  <c r="U60" i="5"/>
  <c r="L61" i="5"/>
  <c r="M61" i="5"/>
  <c r="N61" i="5"/>
  <c r="O61" i="5"/>
  <c r="P61" i="5"/>
  <c r="Q61" i="5"/>
  <c r="R61" i="5"/>
  <c r="S61" i="5"/>
  <c r="T61" i="5"/>
  <c r="U61" i="5"/>
  <c r="V61" i="5" s="1"/>
  <c r="L62" i="5"/>
  <c r="M62" i="5"/>
  <c r="N62" i="5"/>
  <c r="O62" i="5"/>
  <c r="P62" i="5"/>
  <c r="Q62" i="5"/>
  <c r="R62" i="5"/>
  <c r="S62" i="5"/>
  <c r="V62" i="5" s="1"/>
  <c r="T62" i="5"/>
  <c r="U62" i="5"/>
  <c r="L63" i="5"/>
  <c r="M63" i="5"/>
  <c r="N63" i="5"/>
  <c r="O63" i="5"/>
  <c r="P63" i="5"/>
  <c r="Q63" i="5"/>
  <c r="R63" i="5"/>
  <c r="S63" i="5"/>
  <c r="T63" i="5"/>
  <c r="U63" i="5"/>
  <c r="V63" i="5" s="1"/>
  <c r="L64" i="5"/>
  <c r="M64" i="5"/>
  <c r="N64" i="5"/>
  <c r="O64" i="5"/>
  <c r="P64" i="5"/>
  <c r="Q64" i="5"/>
  <c r="R64" i="5"/>
  <c r="S64" i="5"/>
  <c r="V64" i="5" s="1"/>
  <c r="T64" i="5"/>
  <c r="U64" i="5"/>
  <c r="L65" i="5"/>
  <c r="M65" i="5"/>
  <c r="N65" i="5"/>
  <c r="O65" i="5"/>
  <c r="P65" i="5"/>
  <c r="Q65" i="5"/>
  <c r="R65" i="5"/>
  <c r="S65" i="5"/>
  <c r="T65" i="5"/>
  <c r="V65" i="5" s="1"/>
  <c r="U65" i="5"/>
  <c r="L66" i="5"/>
  <c r="M66" i="5"/>
  <c r="N66" i="5"/>
  <c r="O66" i="5"/>
  <c r="P66" i="5"/>
  <c r="Q66" i="5"/>
  <c r="R66" i="5"/>
  <c r="S66" i="5"/>
  <c r="T66" i="5"/>
  <c r="U66" i="5"/>
  <c r="L67" i="5"/>
  <c r="M67" i="5"/>
  <c r="N67" i="5"/>
  <c r="O67" i="5"/>
  <c r="P67" i="5"/>
  <c r="Q67" i="5"/>
  <c r="R67" i="5"/>
  <c r="S67" i="5"/>
  <c r="V67" i="5" s="1"/>
  <c r="T67" i="5"/>
  <c r="U67" i="5"/>
  <c r="L68" i="5"/>
  <c r="M68" i="5"/>
  <c r="N68" i="5"/>
  <c r="O68" i="5"/>
  <c r="P68" i="5"/>
  <c r="Q68" i="5"/>
  <c r="R68" i="5"/>
  <c r="S68" i="5"/>
  <c r="V68" i="5" s="1"/>
  <c r="T68" i="5"/>
  <c r="U68" i="5"/>
  <c r="L69" i="5"/>
  <c r="M69" i="5"/>
  <c r="N69" i="5"/>
  <c r="O69" i="5"/>
  <c r="P69" i="5"/>
  <c r="Q69" i="5"/>
  <c r="R69" i="5"/>
  <c r="S69" i="5"/>
  <c r="V69" i="5" s="1"/>
  <c r="T69" i="5"/>
  <c r="U69" i="5"/>
  <c r="L70" i="5"/>
  <c r="M70" i="5"/>
  <c r="N70" i="5"/>
  <c r="O70" i="5"/>
  <c r="P70" i="5"/>
  <c r="Q70" i="5"/>
  <c r="R70" i="5"/>
  <c r="S70" i="5"/>
  <c r="V70" i="5" s="1"/>
  <c r="T70" i="5"/>
  <c r="U70" i="5"/>
  <c r="L71" i="5"/>
  <c r="M71" i="5"/>
  <c r="N71" i="5"/>
  <c r="O71" i="5"/>
  <c r="P71" i="5"/>
  <c r="Q71" i="5"/>
  <c r="R71" i="5"/>
  <c r="S71" i="5"/>
  <c r="V71" i="5" s="1"/>
  <c r="T71" i="5"/>
  <c r="U71" i="5"/>
  <c r="L72" i="5"/>
  <c r="M72" i="5"/>
  <c r="N72" i="5"/>
  <c r="O72" i="5"/>
  <c r="P72" i="5"/>
  <c r="Q72" i="5"/>
  <c r="R72" i="5"/>
  <c r="S72" i="5"/>
  <c r="T72" i="5"/>
  <c r="U72" i="5"/>
  <c r="V72" i="5" s="1"/>
  <c r="L73" i="5"/>
  <c r="M73" i="5"/>
  <c r="N73" i="5"/>
  <c r="O73" i="5"/>
  <c r="P73" i="5"/>
  <c r="Q73" i="5"/>
  <c r="R73" i="5"/>
  <c r="S73" i="5"/>
  <c r="V73" i="5" s="1"/>
  <c r="T73" i="5"/>
  <c r="U73" i="5"/>
  <c r="L74" i="5"/>
  <c r="M74" i="5"/>
  <c r="N74" i="5"/>
  <c r="O74" i="5"/>
  <c r="P74" i="5"/>
  <c r="Q74" i="5"/>
  <c r="R74" i="5"/>
  <c r="S74" i="5"/>
  <c r="T74" i="5"/>
  <c r="U74" i="5"/>
  <c r="L75" i="5"/>
  <c r="M75" i="5"/>
  <c r="N75" i="5"/>
  <c r="O75" i="5"/>
  <c r="P75" i="5"/>
  <c r="Q75" i="5"/>
  <c r="R75" i="5"/>
  <c r="S75" i="5"/>
  <c r="V75" i="5" s="1"/>
  <c r="T75" i="5"/>
  <c r="U75" i="5"/>
  <c r="L76" i="5"/>
  <c r="M76" i="5"/>
  <c r="N76" i="5"/>
  <c r="O76" i="5"/>
  <c r="P76" i="5"/>
  <c r="Q76" i="5"/>
  <c r="R76" i="5"/>
  <c r="S76" i="5"/>
  <c r="V76" i="5" s="1"/>
  <c r="T76" i="5"/>
  <c r="U76" i="5"/>
  <c r="L77" i="5"/>
  <c r="M77" i="5"/>
  <c r="N77" i="5"/>
  <c r="O77" i="5"/>
  <c r="P77" i="5"/>
  <c r="Q77" i="5"/>
  <c r="R77" i="5"/>
  <c r="S77" i="5"/>
  <c r="V77" i="5" s="1"/>
  <c r="T77" i="5"/>
  <c r="U77" i="5"/>
  <c r="L78" i="5"/>
  <c r="M78" i="5"/>
  <c r="N78" i="5"/>
  <c r="O78" i="5"/>
  <c r="P78" i="5"/>
  <c r="Q78" i="5"/>
  <c r="R78" i="5"/>
  <c r="S78" i="5"/>
  <c r="V78" i="5" s="1"/>
  <c r="T78" i="5"/>
  <c r="U78" i="5"/>
  <c r="L79" i="5"/>
  <c r="M79" i="5"/>
  <c r="N79" i="5"/>
  <c r="O79" i="5"/>
  <c r="P79" i="5"/>
  <c r="Q79" i="5"/>
  <c r="R79" i="5"/>
  <c r="S79" i="5"/>
  <c r="V79" i="5" s="1"/>
  <c r="T79" i="5"/>
  <c r="U79" i="5"/>
  <c r="V18" i="5" l="1"/>
  <c r="V22" i="5"/>
  <c r="V41" i="5"/>
  <c r="V45" i="5"/>
  <c r="V12" i="5"/>
  <c r="V13" i="5"/>
  <c r="V17" i="5"/>
  <c r="V21" i="5"/>
  <c r="V56" i="5"/>
  <c r="V27" i="5"/>
  <c r="V28" i="5"/>
  <c r="V31" i="5"/>
  <c r="V59" i="5"/>
  <c r="V66" i="5"/>
  <c r="V74" i="5"/>
  <c r="B111" i="5" l="1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K26" i="5"/>
  <c r="G61" i="10"/>
  <c r="H61" i="10" l="1"/>
  <c r="G22" i="10"/>
  <c r="F35" i="10" l="1"/>
  <c r="H35" i="10"/>
  <c r="D35" i="10"/>
  <c r="G35" i="10"/>
  <c r="F11" i="10"/>
  <c r="H11" i="10"/>
  <c r="D11" i="10"/>
  <c r="E11" i="10"/>
  <c r="AK7" i="5" l="1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AO73" i="5"/>
  <c r="AP20" i="5"/>
  <c r="AP19" i="5"/>
  <c r="AO19" i="5"/>
  <c r="AO20" i="5"/>
  <c r="AI100" i="5"/>
  <c r="AJ100" i="5"/>
  <c r="AK100" i="5"/>
  <c r="AL100" i="5"/>
  <c r="AM100" i="5"/>
  <c r="AN100" i="5"/>
  <c r="AI101" i="5"/>
  <c r="AJ101" i="5"/>
  <c r="AK101" i="5"/>
  <c r="AL101" i="5"/>
  <c r="AM101" i="5"/>
  <c r="AN101" i="5"/>
  <c r="AI102" i="5"/>
  <c r="AJ102" i="5"/>
  <c r="AK102" i="5"/>
  <c r="AL102" i="5"/>
  <c r="AM102" i="5"/>
  <c r="AN102" i="5"/>
  <c r="AI103" i="5"/>
  <c r="AJ103" i="5"/>
  <c r="AK103" i="5"/>
  <c r="AL103" i="5"/>
  <c r="AM103" i="5"/>
  <c r="AN103" i="5"/>
  <c r="AI104" i="5"/>
  <c r="AJ104" i="5"/>
  <c r="AK104" i="5"/>
  <c r="AL104" i="5"/>
  <c r="AM104" i="5"/>
  <c r="AN104" i="5"/>
  <c r="AI105" i="5"/>
  <c r="AJ105" i="5"/>
  <c r="AK105" i="5"/>
  <c r="AL105" i="5"/>
  <c r="AM105" i="5"/>
  <c r="AN105" i="5"/>
  <c r="AI106" i="5"/>
  <c r="AJ106" i="5"/>
  <c r="AK106" i="5"/>
  <c r="AL106" i="5"/>
  <c r="AM106" i="5"/>
  <c r="AN106" i="5"/>
  <c r="AI107" i="5"/>
  <c r="AJ107" i="5"/>
  <c r="AK107" i="5"/>
  <c r="AL107" i="5"/>
  <c r="AM107" i="5"/>
  <c r="AN107" i="5"/>
  <c r="AI108" i="5"/>
  <c r="AJ108" i="5"/>
  <c r="AK108" i="5"/>
  <c r="AL108" i="5"/>
  <c r="AM108" i="5"/>
  <c r="AN108" i="5"/>
  <c r="AI109" i="5"/>
  <c r="AJ109" i="5"/>
  <c r="AK109" i="5"/>
  <c r="AL109" i="5"/>
  <c r="AM109" i="5"/>
  <c r="AN109" i="5"/>
  <c r="AI110" i="5"/>
  <c r="AJ110" i="5"/>
  <c r="AK110" i="5"/>
  <c r="AL110" i="5"/>
  <c r="AM110" i="5"/>
  <c r="AN110" i="5"/>
  <c r="AI34" i="5"/>
  <c r="AJ34" i="5"/>
  <c r="AK34" i="5"/>
  <c r="AL34" i="5"/>
  <c r="AM34" i="5"/>
  <c r="AN34" i="5"/>
  <c r="AI35" i="5"/>
  <c r="AJ35" i="5"/>
  <c r="AK35" i="5"/>
  <c r="AL35" i="5"/>
  <c r="AM35" i="5"/>
  <c r="AN35" i="5"/>
  <c r="AI36" i="5"/>
  <c r="AJ36" i="5"/>
  <c r="AK36" i="5"/>
  <c r="AL36" i="5"/>
  <c r="AN36" i="5"/>
  <c r="AI37" i="5"/>
  <c r="AJ37" i="5"/>
  <c r="AK37" i="5"/>
  <c r="AL37" i="5"/>
  <c r="AM37" i="5"/>
  <c r="AN37" i="5"/>
  <c r="AI38" i="5"/>
  <c r="AJ38" i="5"/>
  <c r="AK38" i="5"/>
  <c r="AL38" i="5"/>
  <c r="AM38" i="5"/>
  <c r="AN38" i="5"/>
  <c r="AI39" i="5"/>
  <c r="AJ39" i="5"/>
  <c r="AK39" i="5"/>
  <c r="AL39" i="5"/>
  <c r="AM39" i="5"/>
  <c r="AN39" i="5"/>
  <c r="AI40" i="5"/>
  <c r="AJ40" i="5"/>
  <c r="AK40" i="5"/>
  <c r="AL40" i="5"/>
  <c r="AM40" i="5"/>
  <c r="AN40" i="5"/>
  <c r="AI41" i="5"/>
  <c r="AJ41" i="5"/>
  <c r="AK41" i="5"/>
  <c r="AL41" i="5"/>
  <c r="AM41" i="5"/>
  <c r="AN41" i="5"/>
  <c r="AI42" i="5"/>
  <c r="AJ42" i="5"/>
  <c r="AK42" i="5"/>
  <c r="AL42" i="5"/>
  <c r="AM42" i="5"/>
  <c r="AN42" i="5"/>
  <c r="AI43" i="5"/>
  <c r="AJ43" i="5"/>
  <c r="AK43" i="5"/>
  <c r="AL43" i="5"/>
  <c r="AM43" i="5"/>
  <c r="AN43" i="5"/>
  <c r="AI44" i="5"/>
  <c r="AJ44" i="5"/>
  <c r="AK44" i="5"/>
  <c r="AL44" i="5"/>
  <c r="AM44" i="5"/>
  <c r="AN44" i="5"/>
  <c r="AI45" i="5"/>
  <c r="AJ45" i="5"/>
  <c r="AK45" i="5"/>
  <c r="AL45" i="5"/>
  <c r="AM45" i="5"/>
  <c r="AN45" i="5"/>
  <c r="AI46" i="5"/>
  <c r="AJ46" i="5"/>
  <c r="AK46" i="5"/>
  <c r="AL46" i="5"/>
  <c r="AM46" i="5"/>
  <c r="AN46" i="5"/>
  <c r="AI47" i="5"/>
  <c r="AJ47" i="5"/>
  <c r="AK47" i="5"/>
  <c r="AL47" i="5"/>
  <c r="AM47" i="5"/>
  <c r="AN47" i="5"/>
  <c r="AI48" i="5"/>
  <c r="AJ48" i="5"/>
  <c r="AK48" i="5"/>
  <c r="AL48" i="5"/>
  <c r="AM48" i="5"/>
  <c r="AN48" i="5"/>
  <c r="AI49" i="5"/>
  <c r="AJ49" i="5"/>
  <c r="AK49" i="5"/>
  <c r="AL49" i="5"/>
  <c r="AM49" i="5"/>
  <c r="AN49" i="5"/>
  <c r="AI50" i="5"/>
  <c r="AJ50" i="5"/>
  <c r="AK50" i="5"/>
  <c r="AL50" i="5"/>
  <c r="AM50" i="5"/>
  <c r="AN50" i="5"/>
  <c r="AI51" i="5"/>
  <c r="AJ51" i="5"/>
  <c r="AK51" i="5"/>
  <c r="AL51" i="5"/>
  <c r="AM51" i="5"/>
  <c r="AN51" i="5"/>
  <c r="AI52" i="5"/>
  <c r="AJ52" i="5"/>
  <c r="AK52" i="5"/>
  <c r="AL52" i="5"/>
  <c r="AM52" i="5"/>
  <c r="AN52" i="5"/>
  <c r="AI53" i="5"/>
  <c r="AJ53" i="5"/>
  <c r="AK53" i="5"/>
  <c r="AL53" i="5"/>
  <c r="AM53" i="5"/>
  <c r="AN53" i="5"/>
  <c r="AI54" i="5"/>
  <c r="AJ54" i="5"/>
  <c r="AK54" i="5"/>
  <c r="AL54" i="5"/>
  <c r="AM54" i="5"/>
  <c r="AN54" i="5"/>
  <c r="AI55" i="5"/>
  <c r="AJ55" i="5"/>
  <c r="AK55" i="5"/>
  <c r="AL55" i="5"/>
  <c r="AM55" i="5"/>
  <c r="AN55" i="5"/>
  <c r="AI56" i="5"/>
  <c r="AJ56" i="5"/>
  <c r="AK56" i="5"/>
  <c r="AL56" i="5"/>
  <c r="AM56" i="5"/>
  <c r="AN56" i="5"/>
  <c r="AI57" i="5"/>
  <c r="AJ57" i="5"/>
  <c r="AK57" i="5"/>
  <c r="AL57" i="5"/>
  <c r="AM57" i="5"/>
  <c r="AN57" i="5"/>
  <c r="AI58" i="5"/>
  <c r="AJ58" i="5"/>
  <c r="AK58" i="5"/>
  <c r="AL58" i="5"/>
  <c r="AM58" i="5"/>
  <c r="AN58" i="5"/>
  <c r="AI59" i="5"/>
  <c r="AJ59" i="5"/>
  <c r="AK59" i="5"/>
  <c r="AL59" i="5"/>
  <c r="AM59" i="5"/>
  <c r="AN59" i="5"/>
  <c r="AI60" i="5"/>
  <c r="AJ60" i="5"/>
  <c r="AK60" i="5"/>
  <c r="AL60" i="5"/>
  <c r="AM60" i="5"/>
  <c r="AN60" i="5"/>
  <c r="AI61" i="5"/>
  <c r="AJ61" i="5"/>
  <c r="AK61" i="5"/>
  <c r="AL61" i="5"/>
  <c r="AM61" i="5"/>
  <c r="AN61" i="5"/>
  <c r="AI62" i="5"/>
  <c r="AJ62" i="5"/>
  <c r="AK62" i="5"/>
  <c r="AL62" i="5"/>
  <c r="AM62" i="5"/>
  <c r="AN62" i="5"/>
  <c r="AI63" i="5"/>
  <c r="AJ63" i="5"/>
  <c r="AK63" i="5"/>
  <c r="AL63" i="5"/>
  <c r="AM63" i="5"/>
  <c r="AN63" i="5"/>
  <c r="AI64" i="5"/>
  <c r="AJ64" i="5"/>
  <c r="AK64" i="5"/>
  <c r="AL64" i="5"/>
  <c r="AM64" i="5"/>
  <c r="AN64" i="5"/>
  <c r="AI65" i="5"/>
  <c r="AJ65" i="5"/>
  <c r="AK65" i="5"/>
  <c r="AL65" i="5"/>
  <c r="AM65" i="5"/>
  <c r="AN65" i="5"/>
  <c r="AI66" i="5"/>
  <c r="AJ66" i="5"/>
  <c r="AK66" i="5"/>
  <c r="AL66" i="5"/>
  <c r="AM66" i="5"/>
  <c r="AN66" i="5"/>
  <c r="AI67" i="5"/>
  <c r="AJ67" i="5"/>
  <c r="AK67" i="5"/>
  <c r="AL67" i="5"/>
  <c r="AM67" i="5"/>
  <c r="AN67" i="5"/>
  <c r="AI68" i="5"/>
  <c r="AJ68" i="5"/>
  <c r="AK68" i="5"/>
  <c r="AL68" i="5"/>
  <c r="AM68" i="5"/>
  <c r="AN68" i="5"/>
  <c r="AI69" i="5"/>
  <c r="AJ69" i="5"/>
  <c r="AK69" i="5"/>
  <c r="AL69" i="5"/>
  <c r="AM69" i="5"/>
  <c r="AN69" i="5"/>
  <c r="AI70" i="5"/>
  <c r="AJ70" i="5"/>
  <c r="AK70" i="5"/>
  <c r="AL70" i="5"/>
  <c r="AM70" i="5"/>
  <c r="AN70" i="5"/>
  <c r="AI71" i="5"/>
  <c r="AJ71" i="5"/>
  <c r="AK71" i="5"/>
  <c r="AL71" i="5"/>
  <c r="AM71" i="5"/>
  <c r="AN71" i="5"/>
  <c r="AI72" i="5"/>
  <c r="AJ72" i="5"/>
  <c r="AK72" i="5"/>
  <c r="AL72" i="5"/>
  <c r="AM72" i="5"/>
  <c r="AN72" i="5"/>
  <c r="AI73" i="5"/>
  <c r="AJ73" i="5"/>
  <c r="AK73" i="5"/>
  <c r="AL73" i="5"/>
  <c r="AM73" i="5"/>
  <c r="AN73" i="5"/>
  <c r="AI74" i="5"/>
  <c r="AJ74" i="5"/>
  <c r="AK74" i="5"/>
  <c r="AL74" i="5"/>
  <c r="AM74" i="5"/>
  <c r="AN74" i="5"/>
  <c r="AI75" i="5"/>
  <c r="AJ75" i="5"/>
  <c r="AK75" i="5"/>
  <c r="AL75" i="5"/>
  <c r="AM75" i="5"/>
  <c r="AN75" i="5"/>
  <c r="AI76" i="5"/>
  <c r="AJ76" i="5"/>
  <c r="AK76" i="5"/>
  <c r="AL76" i="5"/>
  <c r="AM76" i="5"/>
  <c r="AN76" i="5"/>
  <c r="AI77" i="5"/>
  <c r="AJ77" i="5"/>
  <c r="AK77" i="5"/>
  <c r="AL77" i="5"/>
  <c r="AM77" i="5"/>
  <c r="AN77" i="5"/>
  <c r="AI78" i="5"/>
  <c r="AJ78" i="5"/>
  <c r="AK78" i="5"/>
  <c r="AL78" i="5"/>
  <c r="AM78" i="5"/>
  <c r="AN78" i="5"/>
  <c r="AI79" i="5"/>
  <c r="AJ79" i="5"/>
  <c r="AK79" i="5"/>
  <c r="AL79" i="5"/>
  <c r="AM79" i="5"/>
  <c r="AN79" i="5"/>
  <c r="AI80" i="5"/>
  <c r="AJ80" i="5"/>
  <c r="AK80" i="5"/>
  <c r="AL80" i="5"/>
  <c r="AM80" i="5"/>
  <c r="AN80" i="5"/>
  <c r="AI81" i="5"/>
  <c r="AJ81" i="5"/>
  <c r="AK81" i="5"/>
  <c r="AL81" i="5"/>
  <c r="AM81" i="5"/>
  <c r="AN81" i="5"/>
  <c r="AI82" i="5"/>
  <c r="AJ82" i="5"/>
  <c r="AK82" i="5"/>
  <c r="AL82" i="5"/>
  <c r="AM82" i="5"/>
  <c r="AN82" i="5"/>
  <c r="AI83" i="5"/>
  <c r="AJ83" i="5"/>
  <c r="AK83" i="5"/>
  <c r="AL83" i="5"/>
  <c r="AM83" i="5"/>
  <c r="AN83" i="5"/>
  <c r="AI84" i="5"/>
  <c r="AJ84" i="5"/>
  <c r="AK84" i="5"/>
  <c r="AL84" i="5"/>
  <c r="AM84" i="5"/>
  <c r="AN84" i="5"/>
  <c r="AI85" i="5"/>
  <c r="AJ85" i="5"/>
  <c r="AK85" i="5"/>
  <c r="AL85" i="5"/>
  <c r="AM85" i="5"/>
  <c r="AN85" i="5"/>
  <c r="AI86" i="5"/>
  <c r="AJ86" i="5"/>
  <c r="AK86" i="5"/>
  <c r="AL86" i="5"/>
  <c r="AM86" i="5"/>
  <c r="AN86" i="5"/>
  <c r="AI87" i="5"/>
  <c r="AJ87" i="5"/>
  <c r="AK87" i="5"/>
  <c r="AL87" i="5"/>
  <c r="AM87" i="5"/>
  <c r="AN87" i="5"/>
  <c r="AI88" i="5"/>
  <c r="AJ88" i="5"/>
  <c r="AK88" i="5"/>
  <c r="AL88" i="5"/>
  <c r="AM88" i="5"/>
  <c r="AN88" i="5"/>
  <c r="AI89" i="5"/>
  <c r="AJ89" i="5"/>
  <c r="AK89" i="5"/>
  <c r="AL89" i="5"/>
  <c r="AM89" i="5"/>
  <c r="AN89" i="5"/>
  <c r="AI90" i="5"/>
  <c r="AJ90" i="5"/>
  <c r="AK90" i="5"/>
  <c r="AL90" i="5"/>
  <c r="AM90" i="5"/>
  <c r="AN90" i="5"/>
  <c r="AI91" i="5"/>
  <c r="AJ91" i="5"/>
  <c r="AK91" i="5"/>
  <c r="AL91" i="5"/>
  <c r="AM91" i="5"/>
  <c r="AN91" i="5"/>
  <c r="AI92" i="5"/>
  <c r="AJ92" i="5"/>
  <c r="AK92" i="5"/>
  <c r="AL92" i="5"/>
  <c r="AM92" i="5"/>
  <c r="AN92" i="5"/>
  <c r="AI93" i="5"/>
  <c r="AJ93" i="5"/>
  <c r="AK93" i="5"/>
  <c r="AL93" i="5"/>
  <c r="AM93" i="5"/>
  <c r="AN93" i="5"/>
  <c r="AI94" i="5"/>
  <c r="AJ94" i="5"/>
  <c r="AK94" i="5"/>
  <c r="AL94" i="5"/>
  <c r="AM94" i="5"/>
  <c r="AN94" i="5"/>
  <c r="AI95" i="5"/>
  <c r="AJ95" i="5"/>
  <c r="AK95" i="5"/>
  <c r="AL95" i="5"/>
  <c r="AM95" i="5"/>
  <c r="AN95" i="5"/>
  <c r="AI96" i="5"/>
  <c r="AJ96" i="5"/>
  <c r="AK96" i="5"/>
  <c r="AL96" i="5"/>
  <c r="AM96" i="5"/>
  <c r="AN96" i="5"/>
  <c r="AI97" i="5"/>
  <c r="AJ97" i="5"/>
  <c r="AK97" i="5"/>
  <c r="AL97" i="5"/>
  <c r="AM97" i="5"/>
  <c r="AN97" i="5"/>
  <c r="AI98" i="5"/>
  <c r="AJ98" i="5"/>
  <c r="AK98" i="5"/>
  <c r="AL98" i="5"/>
  <c r="AM98" i="5"/>
  <c r="AN98" i="5"/>
  <c r="AI99" i="5"/>
  <c r="AJ99" i="5"/>
  <c r="AK99" i="5"/>
  <c r="AL99" i="5"/>
  <c r="AM99" i="5"/>
  <c r="AN99" i="5"/>
  <c r="AI8" i="5"/>
  <c r="AJ8" i="5"/>
  <c r="AK8" i="5"/>
  <c r="AL8" i="5"/>
  <c r="AM8" i="5"/>
  <c r="AN8" i="5"/>
  <c r="AI9" i="5"/>
  <c r="AJ9" i="5"/>
  <c r="AK9" i="5"/>
  <c r="AL9" i="5"/>
  <c r="AM9" i="5"/>
  <c r="AN9" i="5"/>
  <c r="AI10" i="5"/>
  <c r="AJ10" i="5"/>
  <c r="AK10" i="5"/>
  <c r="AL10" i="5"/>
  <c r="AM10" i="5"/>
  <c r="AN10" i="5"/>
  <c r="AI11" i="5"/>
  <c r="AJ11" i="5"/>
  <c r="AK11" i="5"/>
  <c r="AL11" i="5"/>
  <c r="AM11" i="5"/>
  <c r="AN11" i="5"/>
  <c r="AI12" i="5"/>
  <c r="AJ12" i="5"/>
  <c r="AK12" i="5"/>
  <c r="AL12" i="5"/>
  <c r="AM12" i="5"/>
  <c r="AN12" i="5"/>
  <c r="AI13" i="5"/>
  <c r="AJ13" i="5"/>
  <c r="AK13" i="5"/>
  <c r="AL13" i="5"/>
  <c r="AM13" i="5"/>
  <c r="AN13" i="5"/>
  <c r="AI14" i="5"/>
  <c r="AJ14" i="5"/>
  <c r="AK14" i="5"/>
  <c r="AL14" i="5"/>
  <c r="AM14" i="5"/>
  <c r="AN14" i="5"/>
  <c r="AI15" i="5"/>
  <c r="AJ15" i="5"/>
  <c r="AK15" i="5"/>
  <c r="AL15" i="5"/>
  <c r="AM15" i="5"/>
  <c r="AN15" i="5"/>
  <c r="AI16" i="5"/>
  <c r="AJ16" i="5"/>
  <c r="AK16" i="5"/>
  <c r="AL16" i="5"/>
  <c r="AM16" i="5"/>
  <c r="AN16" i="5"/>
  <c r="AI17" i="5"/>
  <c r="AJ17" i="5"/>
  <c r="AK17" i="5"/>
  <c r="AL17" i="5"/>
  <c r="AM17" i="5"/>
  <c r="AN17" i="5"/>
  <c r="AI18" i="5"/>
  <c r="AJ18" i="5"/>
  <c r="AK18" i="5"/>
  <c r="AL18" i="5"/>
  <c r="AM18" i="5"/>
  <c r="AN18" i="5"/>
  <c r="AI19" i="5"/>
  <c r="AJ19" i="5"/>
  <c r="AK19" i="5"/>
  <c r="AL19" i="5"/>
  <c r="AM19" i="5"/>
  <c r="AN19" i="5"/>
  <c r="AI20" i="5"/>
  <c r="AJ20" i="5"/>
  <c r="AK20" i="5"/>
  <c r="AL20" i="5"/>
  <c r="AM20" i="5"/>
  <c r="AN20" i="5"/>
  <c r="AI21" i="5"/>
  <c r="AJ21" i="5"/>
  <c r="AK21" i="5"/>
  <c r="AL21" i="5"/>
  <c r="AM21" i="5"/>
  <c r="AN21" i="5"/>
  <c r="AI22" i="5"/>
  <c r="AJ22" i="5"/>
  <c r="AK22" i="5"/>
  <c r="AL22" i="5"/>
  <c r="AM22" i="5"/>
  <c r="AN22" i="5"/>
  <c r="AI23" i="5"/>
  <c r="AJ23" i="5"/>
  <c r="AK23" i="5"/>
  <c r="AL23" i="5"/>
  <c r="AM23" i="5"/>
  <c r="AN23" i="5"/>
  <c r="AI24" i="5"/>
  <c r="AJ24" i="5"/>
  <c r="AK24" i="5"/>
  <c r="AL24" i="5"/>
  <c r="AM24" i="5"/>
  <c r="AN24" i="5"/>
  <c r="AI25" i="5"/>
  <c r="AJ25" i="5"/>
  <c r="AK25" i="5"/>
  <c r="AL25" i="5"/>
  <c r="AM25" i="5"/>
  <c r="AN25" i="5"/>
  <c r="AI26" i="5"/>
  <c r="AJ26" i="5"/>
  <c r="AK26" i="5"/>
  <c r="AL26" i="5"/>
  <c r="AM26" i="5"/>
  <c r="AN26" i="5"/>
  <c r="AI27" i="5"/>
  <c r="AJ27" i="5"/>
  <c r="AK27" i="5"/>
  <c r="AM27" i="5"/>
  <c r="AN27" i="5"/>
  <c r="AI28" i="5"/>
  <c r="AJ28" i="5"/>
  <c r="AK28" i="5"/>
  <c r="AL28" i="5"/>
  <c r="AM28" i="5"/>
  <c r="AN28" i="5"/>
  <c r="AI29" i="5"/>
  <c r="AJ29" i="5"/>
  <c r="AK29" i="5"/>
  <c r="AL29" i="5"/>
  <c r="AM29" i="5"/>
  <c r="AN29" i="5"/>
  <c r="AI30" i="5"/>
  <c r="AJ30" i="5"/>
  <c r="AK30" i="5"/>
  <c r="AL30" i="5"/>
  <c r="AM30" i="5"/>
  <c r="AN30" i="5"/>
  <c r="AI31" i="5"/>
  <c r="AJ31" i="5"/>
  <c r="AK31" i="5"/>
  <c r="AL31" i="5"/>
  <c r="AM31" i="5"/>
  <c r="AN31" i="5"/>
  <c r="AI32" i="5"/>
  <c r="AJ32" i="5"/>
  <c r="AL32" i="5"/>
  <c r="AN32" i="5"/>
  <c r="AI33" i="5"/>
  <c r="AJ33" i="5"/>
  <c r="AL33" i="5"/>
  <c r="AN33" i="5"/>
  <c r="AJ7" i="5"/>
  <c r="AL7" i="5"/>
  <c r="AN7" i="5"/>
  <c r="AI7" i="5"/>
  <c r="B104" i="5"/>
  <c r="S104" i="5"/>
  <c r="T104" i="5"/>
  <c r="U104" i="5"/>
  <c r="W104" i="5"/>
  <c r="B105" i="5"/>
  <c r="S105" i="5"/>
  <c r="T105" i="5"/>
  <c r="U105" i="5"/>
  <c r="W105" i="5"/>
  <c r="W65" i="5"/>
  <c r="E39" i="2"/>
  <c r="F39" i="2"/>
  <c r="AM7" i="5" l="1"/>
  <c r="AL27" i="5"/>
  <c r="AM36" i="5"/>
  <c r="V105" i="5"/>
  <c r="V104" i="5"/>
  <c r="B80" i="5" l="1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6" i="5"/>
  <c r="B107" i="5"/>
  <c r="B108" i="5"/>
  <c r="B109" i="5"/>
  <c r="B110" i="5"/>
  <c r="S90" i="5"/>
  <c r="T90" i="5"/>
  <c r="U90" i="5"/>
  <c r="S91" i="5"/>
  <c r="T91" i="5"/>
  <c r="U91" i="5"/>
  <c r="S92" i="5"/>
  <c r="T92" i="5"/>
  <c r="U92" i="5"/>
  <c r="S93" i="5"/>
  <c r="T93" i="5"/>
  <c r="U93" i="5"/>
  <c r="S94" i="5"/>
  <c r="T94" i="5"/>
  <c r="U94" i="5"/>
  <c r="S95" i="5"/>
  <c r="T95" i="5"/>
  <c r="U95" i="5"/>
  <c r="S96" i="5"/>
  <c r="T96" i="5"/>
  <c r="U96" i="5"/>
  <c r="S97" i="5"/>
  <c r="T97" i="5"/>
  <c r="U97" i="5"/>
  <c r="S98" i="5"/>
  <c r="T98" i="5"/>
  <c r="U98" i="5"/>
  <c r="S99" i="5"/>
  <c r="T99" i="5"/>
  <c r="U99" i="5"/>
  <c r="S100" i="5"/>
  <c r="T100" i="5"/>
  <c r="U100" i="5"/>
  <c r="S101" i="5"/>
  <c r="T101" i="5"/>
  <c r="U101" i="5"/>
  <c r="S102" i="5"/>
  <c r="T102" i="5"/>
  <c r="U102" i="5"/>
  <c r="S103" i="5"/>
  <c r="T103" i="5"/>
  <c r="U103" i="5"/>
  <c r="S106" i="5"/>
  <c r="T106" i="5"/>
  <c r="U106" i="5"/>
  <c r="S107" i="5"/>
  <c r="T107" i="5"/>
  <c r="U107" i="5"/>
  <c r="S108" i="5"/>
  <c r="T108" i="5"/>
  <c r="U108" i="5"/>
  <c r="S109" i="5"/>
  <c r="T109" i="5"/>
  <c r="U109" i="5"/>
  <c r="S110" i="5"/>
  <c r="T110" i="5"/>
  <c r="U110" i="5"/>
  <c r="S111" i="5"/>
  <c r="T111" i="5"/>
  <c r="U111" i="5"/>
  <c r="S112" i="5"/>
  <c r="T112" i="5"/>
  <c r="U112" i="5"/>
  <c r="S113" i="5"/>
  <c r="T113" i="5"/>
  <c r="U113" i="5"/>
  <c r="S114" i="5"/>
  <c r="T114" i="5"/>
  <c r="U114" i="5"/>
  <c r="S115" i="5"/>
  <c r="T115" i="5"/>
  <c r="U115" i="5"/>
  <c r="S116" i="5"/>
  <c r="T116" i="5"/>
  <c r="U116" i="5"/>
  <c r="S117" i="5"/>
  <c r="T117" i="5"/>
  <c r="U117" i="5"/>
  <c r="S118" i="5"/>
  <c r="T118" i="5"/>
  <c r="U118" i="5"/>
  <c r="S119" i="5"/>
  <c r="T119" i="5"/>
  <c r="U119" i="5"/>
  <c r="S120" i="5"/>
  <c r="T120" i="5"/>
  <c r="U120" i="5"/>
  <c r="S121" i="5"/>
  <c r="T121" i="5"/>
  <c r="U121" i="5"/>
  <c r="S122" i="5"/>
  <c r="T122" i="5"/>
  <c r="U122" i="5"/>
  <c r="S123" i="5"/>
  <c r="T123" i="5"/>
  <c r="U123" i="5"/>
  <c r="S124" i="5"/>
  <c r="T124" i="5"/>
  <c r="U124" i="5"/>
  <c r="S125" i="5"/>
  <c r="T125" i="5"/>
  <c r="U125" i="5"/>
  <c r="S126" i="5"/>
  <c r="T126" i="5"/>
  <c r="U126" i="5"/>
  <c r="S127" i="5"/>
  <c r="T127" i="5"/>
  <c r="U127" i="5"/>
  <c r="S128" i="5"/>
  <c r="T128" i="5"/>
  <c r="U128" i="5"/>
  <c r="S129" i="5"/>
  <c r="T129" i="5"/>
  <c r="U129" i="5"/>
  <c r="S130" i="5"/>
  <c r="T130" i="5"/>
  <c r="U130" i="5"/>
  <c r="S131" i="5"/>
  <c r="T131" i="5"/>
  <c r="U131" i="5"/>
  <c r="S132" i="5"/>
  <c r="T132" i="5"/>
  <c r="U132" i="5"/>
  <c r="S133" i="5"/>
  <c r="T133" i="5"/>
  <c r="U133" i="5"/>
  <c r="S134" i="5"/>
  <c r="T134" i="5"/>
  <c r="U134" i="5"/>
  <c r="S135" i="5"/>
  <c r="T135" i="5"/>
  <c r="U135" i="5"/>
  <c r="S136" i="5"/>
  <c r="T136" i="5"/>
  <c r="U136" i="5"/>
  <c r="S137" i="5"/>
  <c r="T137" i="5"/>
  <c r="U137" i="5"/>
  <c r="S138" i="5"/>
  <c r="T138" i="5"/>
  <c r="U138" i="5"/>
  <c r="S139" i="5"/>
  <c r="T139" i="5"/>
  <c r="U139" i="5"/>
  <c r="S140" i="5"/>
  <c r="T140" i="5"/>
  <c r="U140" i="5"/>
  <c r="S141" i="5"/>
  <c r="T141" i="5"/>
  <c r="U141" i="5"/>
  <c r="S142" i="5"/>
  <c r="T142" i="5"/>
  <c r="U142" i="5"/>
  <c r="S143" i="5"/>
  <c r="T143" i="5"/>
  <c r="U143" i="5"/>
  <c r="S144" i="5"/>
  <c r="T144" i="5"/>
  <c r="U144" i="5"/>
  <c r="S145" i="5"/>
  <c r="T145" i="5"/>
  <c r="U145" i="5"/>
  <c r="S146" i="5"/>
  <c r="T146" i="5"/>
  <c r="U146" i="5"/>
  <c r="S147" i="5"/>
  <c r="T147" i="5"/>
  <c r="U147" i="5"/>
  <c r="S148" i="5"/>
  <c r="T148" i="5"/>
  <c r="U148" i="5"/>
  <c r="S149" i="5"/>
  <c r="T149" i="5"/>
  <c r="U149" i="5"/>
  <c r="S150" i="5"/>
  <c r="T150" i="5"/>
  <c r="U150" i="5"/>
  <c r="S151" i="5"/>
  <c r="T151" i="5"/>
  <c r="U151" i="5"/>
  <c r="S152" i="5"/>
  <c r="T152" i="5"/>
  <c r="U152" i="5"/>
  <c r="S153" i="5"/>
  <c r="T153" i="5"/>
  <c r="U153" i="5"/>
  <c r="S154" i="5"/>
  <c r="T154" i="5"/>
  <c r="U154" i="5"/>
  <c r="S155" i="5"/>
  <c r="T155" i="5"/>
  <c r="U155" i="5"/>
  <c r="S156" i="5"/>
  <c r="T156" i="5"/>
  <c r="U156" i="5"/>
  <c r="S157" i="5"/>
  <c r="T157" i="5"/>
  <c r="U157" i="5"/>
  <c r="S158" i="5"/>
  <c r="T158" i="5"/>
  <c r="U158" i="5"/>
  <c r="S159" i="5"/>
  <c r="T159" i="5"/>
  <c r="U159" i="5"/>
  <c r="S160" i="5"/>
  <c r="T160" i="5"/>
  <c r="U160" i="5"/>
  <c r="S161" i="5"/>
  <c r="T161" i="5"/>
  <c r="U161" i="5"/>
  <c r="S162" i="5"/>
  <c r="T162" i="5"/>
  <c r="U162" i="5"/>
  <c r="S163" i="5"/>
  <c r="T163" i="5"/>
  <c r="U163" i="5"/>
  <c r="S164" i="5"/>
  <c r="T164" i="5"/>
  <c r="U164" i="5"/>
  <c r="S165" i="5"/>
  <c r="T165" i="5"/>
  <c r="U165" i="5"/>
  <c r="S166" i="5"/>
  <c r="T166" i="5"/>
  <c r="U166" i="5"/>
  <c r="S167" i="5"/>
  <c r="T167" i="5"/>
  <c r="U167" i="5"/>
  <c r="S168" i="5"/>
  <c r="T168" i="5"/>
  <c r="U168" i="5"/>
  <c r="S169" i="5"/>
  <c r="T169" i="5"/>
  <c r="U169" i="5"/>
  <c r="S170" i="5"/>
  <c r="T170" i="5"/>
  <c r="U170" i="5"/>
  <c r="S171" i="5"/>
  <c r="T171" i="5"/>
  <c r="U171" i="5"/>
  <c r="S172" i="5"/>
  <c r="T172" i="5"/>
  <c r="U172" i="5"/>
  <c r="S173" i="5"/>
  <c r="T173" i="5"/>
  <c r="U173" i="5"/>
  <c r="S174" i="5"/>
  <c r="T174" i="5"/>
  <c r="U174" i="5"/>
  <c r="S175" i="5"/>
  <c r="T175" i="5"/>
  <c r="U175" i="5"/>
  <c r="S176" i="5"/>
  <c r="T176" i="5"/>
  <c r="U176" i="5"/>
  <c r="S177" i="5"/>
  <c r="T177" i="5"/>
  <c r="U177" i="5"/>
  <c r="S178" i="5"/>
  <c r="T178" i="5"/>
  <c r="U178" i="5"/>
  <c r="S179" i="5"/>
  <c r="T179" i="5"/>
  <c r="U179" i="5"/>
  <c r="S180" i="5"/>
  <c r="T180" i="5"/>
  <c r="U180" i="5"/>
  <c r="S181" i="5"/>
  <c r="T181" i="5"/>
  <c r="U181" i="5"/>
  <c r="S182" i="5"/>
  <c r="T182" i="5"/>
  <c r="U182" i="5"/>
  <c r="S183" i="5"/>
  <c r="T183" i="5"/>
  <c r="U183" i="5"/>
  <c r="S184" i="5"/>
  <c r="T184" i="5"/>
  <c r="U184" i="5"/>
  <c r="S185" i="5"/>
  <c r="T185" i="5"/>
  <c r="U185" i="5"/>
  <c r="S186" i="5"/>
  <c r="T186" i="5"/>
  <c r="U186" i="5"/>
  <c r="S187" i="5"/>
  <c r="T187" i="5"/>
  <c r="U187" i="5"/>
  <c r="S188" i="5"/>
  <c r="T188" i="5"/>
  <c r="U188" i="5"/>
  <c r="S189" i="5"/>
  <c r="T189" i="5"/>
  <c r="U189" i="5"/>
  <c r="S190" i="5"/>
  <c r="T190" i="5"/>
  <c r="U190" i="5"/>
  <c r="S191" i="5"/>
  <c r="T191" i="5"/>
  <c r="U191" i="5"/>
  <c r="S192" i="5"/>
  <c r="T192" i="5"/>
  <c r="U192" i="5"/>
  <c r="S193" i="5"/>
  <c r="T193" i="5"/>
  <c r="U193" i="5"/>
  <c r="S194" i="5"/>
  <c r="T194" i="5"/>
  <c r="U194" i="5"/>
  <c r="S195" i="5"/>
  <c r="T195" i="5"/>
  <c r="U195" i="5"/>
  <c r="S196" i="5"/>
  <c r="T196" i="5"/>
  <c r="U196" i="5"/>
  <c r="S197" i="5"/>
  <c r="T197" i="5"/>
  <c r="U197" i="5"/>
  <c r="S198" i="5"/>
  <c r="T198" i="5"/>
  <c r="U198" i="5"/>
  <c r="S199" i="5"/>
  <c r="T199" i="5"/>
  <c r="U199" i="5"/>
  <c r="S200" i="5"/>
  <c r="T200" i="5"/>
  <c r="U200" i="5"/>
  <c r="S201" i="5"/>
  <c r="T201" i="5"/>
  <c r="U201" i="5"/>
  <c r="S202" i="5"/>
  <c r="T202" i="5"/>
  <c r="U202" i="5"/>
  <c r="S203" i="5"/>
  <c r="T203" i="5"/>
  <c r="U203" i="5"/>
  <c r="S204" i="5"/>
  <c r="T204" i="5"/>
  <c r="U204" i="5"/>
  <c r="S205" i="5"/>
  <c r="T205" i="5"/>
  <c r="U205" i="5"/>
  <c r="S206" i="5"/>
  <c r="T206" i="5"/>
  <c r="U206" i="5"/>
  <c r="S207" i="5"/>
  <c r="T207" i="5"/>
  <c r="U207" i="5"/>
  <c r="S208" i="5"/>
  <c r="T208" i="5"/>
  <c r="U208" i="5"/>
  <c r="S209" i="5"/>
  <c r="T209" i="5"/>
  <c r="U209" i="5"/>
  <c r="S210" i="5"/>
  <c r="T210" i="5"/>
  <c r="U210" i="5"/>
  <c r="S211" i="5"/>
  <c r="T211" i="5"/>
  <c r="U211" i="5"/>
  <c r="S212" i="5"/>
  <c r="T212" i="5"/>
  <c r="U212" i="5"/>
  <c r="S213" i="5"/>
  <c r="T213" i="5"/>
  <c r="U213" i="5"/>
  <c r="S214" i="5"/>
  <c r="T214" i="5"/>
  <c r="U214" i="5"/>
  <c r="S215" i="5"/>
  <c r="T215" i="5"/>
  <c r="U215" i="5"/>
  <c r="S216" i="5"/>
  <c r="T216" i="5"/>
  <c r="U216" i="5"/>
  <c r="S217" i="5"/>
  <c r="T217" i="5"/>
  <c r="U217" i="5"/>
  <c r="S218" i="5"/>
  <c r="T218" i="5"/>
  <c r="U218" i="5"/>
  <c r="S219" i="5"/>
  <c r="T219" i="5"/>
  <c r="U219" i="5"/>
  <c r="S220" i="5"/>
  <c r="T220" i="5"/>
  <c r="U220" i="5"/>
  <c r="S221" i="5"/>
  <c r="T221" i="5"/>
  <c r="U221" i="5"/>
  <c r="S222" i="5"/>
  <c r="T222" i="5"/>
  <c r="U222" i="5"/>
  <c r="S223" i="5"/>
  <c r="T223" i="5"/>
  <c r="U223" i="5"/>
  <c r="S224" i="5"/>
  <c r="T224" i="5"/>
  <c r="U224" i="5"/>
  <c r="S225" i="5"/>
  <c r="T225" i="5"/>
  <c r="U225" i="5"/>
  <c r="S226" i="5"/>
  <c r="T226" i="5"/>
  <c r="U226" i="5"/>
  <c r="S227" i="5"/>
  <c r="T227" i="5"/>
  <c r="U227" i="5"/>
  <c r="S228" i="5"/>
  <c r="T228" i="5"/>
  <c r="U228" i="5"/>
  <c r="S229" i="5"/>
  <c r="T229" i="5"/>
  <c r="U229" i="5"/>
  <c r="S230" i="5"/>
  <c r="T230" i="5"/>
  <c r="U230" i="5"/>
  <c r="S231" i="5"/>
  <c r="T231" i="5"/>
  <c r="U231" i="5"/>
  <c r="S232" i="5"/>
  <c r="T232" i="5"/>
  <c r="U232" i="5"/>
  <c r="S233" i="5"/>
  <c r="T233" i="5"/>
  <c r="U233" i="5"/>
  <c r="S234" i="5"/>
  <c r="T234" i="5"/>
  <c r="U234" i="5"/>
  <c r="S235" i="5"/>
  <c r="T235" i="5"/>
  <c r="U235" i="5"/>
  <c r="S236" i="5"/>
  <c r="T236" i="5"/>
  <c r="U236" i="5"/>
  <c r="S237" i="5"/>
  <c r="T237" i="5"/>
  <c r="U237" i="5"/>
  <c r="S238" i="5"/>
  <c r="T238" i="5"/>
  <c r="U238" i="5"/>
  <c r="S239" i="5"/>
  <c r="T239" i="5"/>
  <c r="U239" i="5"/>
  <c r="S240" i="5"/>
  <c r="T240" i="5"/>
  <c r="U240" i="5"/>
  <c r="S241" i="5"/>
  <c r="T241" i="5"/>
  <c r="U241" i="5"/>
  <c r="S242" i="5"/>
  <c r="T242" i="5"/>
  <c r="U242" i="5"/>
  <c r="S243" i="5"/>
  <c r="T243" i="5"/>
  <c r="U243" i="5"/>
  <c r="S244" i="5"/>
  <c r="T244" i="5"/>
  <c r="U244" i="5"/>
  <c r="S245" i="5"/>
  <c r="T245" i="5"/>
  <c r="U245" i="5"/>
  <c r="S246" i="5"/>
  <c r="T246" i="5"/>
  <c r="U246" i="5"/>
  <c r="S247" i="5"/>
  <c r="T247" i="5"/>
  <c r="U247" i="5"/>
  <c r="S248" i="5"/>
  <c r="T248" i="5"/>
  <c r="U248" i="5"/>
  <c r="S249" i="5"/>
  <c r="T249" i="5"/>
  <c r="U249" i="5"/>
  <c r="S250" i="5"/>
  <c r="T250" i="5"/>
  <c r="U250" i="5"/>
  <c r="S251" i="5"/>
  <c r="T251" i="5"/>
  <c r="U251" i="5"/>
  <c r="S252" i="5"/>
  <c r="T252" i="5"/>
  <c r="U252" i="5"/>
  <c r="S253" i="5"/>
  <c r="T253" i="5"/>
  <c r="U253" i="5"/>
  <c r="S254" i="5"/>
  <c r="T254" i="5"/>
  <c r="U254" i="5"/>
  <c r="S255" i="5"/>
  <c r="T255" i="5"/>
  <c r="U255" i="5"/>
  <c r="S256" i="5"/>
  <c r="T256" i="5"/>
  <c r="U256" i="5"/>
  <c r="S257" i="5"/>
  <c r="T257" i="5"/>
  <c r="U257" i="5"/>
  <c r="S258" i="5"/>
  <c r="T258" i="5"/>
  <c r="U258" i="5"/>
  <c r="S259" i="5"/>
  <c r="T259" i="5"/>
  <c r="U259" i="5"/>
  <c r="S260" i="5"/>
  <c r="T260" i="5"/>
  <c r="U260" i="5"/>
  <c r="S261" i="5"/>
  <c r="T261" i="5"/>
  <c r="U261" i="5"/>
  <c r="S262" i="5"/>
  <c r="T262" i="5"/>
  <c r="U262" i="5"/>
  <c r="S263" i="5"/>
  <c r="T263" i="5"/>
  <c r="U263" i="5"/>
  <c r="S264" i="5"/>
  <c r="T264" i="5"/>
  <c r="U264" i="5"/>
  <c r="S265" i="5"/>
  <c r="T265" i="5"/>
  <c r="U265" i="5"/>
  <c r="S266" i="5"/>
  <c r="T266" i="5"/>
  <c r="U266" i="5"/>
  <c r="S267" i="5"/>
  <c r="T267" i="5"/>
  <c r="U267" i="5"/>
  <c r="S268" i="5"/>
  <c r="T268" i="5"/>
  <c r="U268" i="5"/>
  <c r="S269" i="5"/>
  <c r="T269" i="5"/>
  <c r="U269" i="5"/>
  <c r="S270" i="5"/>
  <c r="T270" i="5"/>
  <c r="U270" i="5"/>
  <c r="S271" i="5"/>
  <c r="T271" i="5"/>
  <c r="U271" i="5"/>
  <c r="S272" i="5"/>
  <c r="T272" i="5"/>
  <c r="U272" i="5"/>
  <c r="S273" i="5"/>
  <c r="T273" i="5"/>
  <c r="U273" i="5"/>
  <c r="S274" i="5"/>
  <c r="T274" i="5"/>
  <c r="U274" i="5"/>
  <c r="S275" i="5"/>
  <c r="T275" i="5"/>
  <c r="U275" i="5"/>
  <c r="S276" i="5"/>
  <c r="T276" i="5"/>
  <c r="U276" i="5"/>
  <c r="S277" i="5"/>
  <c r="T277" i="5"/>
  <c r="U277" i="5"/>
  <c r="S278" i="5"/>
  <c r="T278" i="5"/>
  <c r="U278" i="5"/>
  <c r="S279" i="5"/>
  <c r="T279" i="5"/>
  <c r="U279" i="5"/>
  <c r="S280" i="5"/>
  <c r="T280" i="5"/>
  <c r="U280" i="5"/>
  <c r="S281" i="5"/>
  <c r="T281" i="5"/>
  <c r="U281" i="5"/>
  <c r="S282" i="5"/>
  <c r="T282" i="5"/>
  <c r="U282" i="5"/>
  <c r="S283" i="5"/>
  <c r="T283" i="5"/>
  <c r="U283" i="5"/>
  <c r="S284" i="5"/>
  <c r="T284" i="5"/>
  <c r="U284" i="5"/>
  <c r="S285" i="5"/>
  <c r="T285" i="5"/>
  <c r="U285" i="5"/>
  <c r="S286" i="5"/>
  <c r="T286" i="5"/>
  <c r="U286" i="5"/>
  <c r="S287" i="5"/>
  <c r="T287" i="5"/>
  <c r="U287" i="5"/>
  <c r="S288" i="5"/>
  <c r="T288" i="5"/>
  <c r="U288" i="5"/>
  <c r="S289" i="5"/>
  <c r="T289" i="5"/>
  <c r="U289" i="5"/>
  <c r="S290" i="5"/>
  <c r="T290" i="5"/>
  <c r="U290" i="5"/>
  <c r="S291" i="5"/>
  <c r="T291" i="5"/>
  <c r="U291" i="5"/>
  <c r="S292" i="5"/>
  <c r="T292" i="5"/>
  <c r="U292" i="5"/>
  <c r="S293" i="5"/>
  <c r="T293" i="5"/>
  <c r="U293" i="5"/>
  <c r="S294" i="5"/>
  <c r="T294" i="5"/>
  <c r="U294" i="5"/>
  <c r="S295" i="5"/>
  <c r="T295" i="5"/>
  <c r="U295" i="5"/>
  <c r="S296" i="5"/>
  <c r="T296" i="5"/>
  <c r="U296" i="5"/>
  <c r="S297" i="5"/>
  <c r="T297" i="5"/>
  <c r="U297" i="5"/>
  <c r="S298" i="5"/>
  <c r="T298" i="5"/>
  <c r="U298" i="5"/>
  <c r="S299" i="5"/>
  <c r="T299" i="5"/>
  <c r="U299" i="5"/>
  <c r="S300" i="5"/>
  <c r="T300" i="5"/>
  <c r="U300" i="5"/>
  <c r="S301" i="5"/>
  <c r="T301" i="5"/>
  <c r="U301" i="5"/>
  <c r="S302" i="5"/>
  <c r="T302" i="5"/>
  <c r="U302" i="5"/>
  <c r="S303" i="5"/>
  <c r="T303" i="5"/>
  <c r="U303" i="5"/>
  <c r="S304" i="5"/>
  <c r="T304" i="5"/>
  <c r="U304" i="5"/>
  <c r="S305" i="5"/>
  <c r="T305" i="5"/>
  <c r="U305" i="5"/>
  <c r="S306" i="5"/>
  <c r="T306" i="5"/>
  <c r="U306" i="5"/>
  <c r="S307" i="5"/>
  <c r="T307" i="5"/>
  <c r="U307" i="5"/>
  <c r="S308" i="5"/>
  <c r="T308" i="5"/>
  <c r="U308" i="5"/>
  <c r="S309" i="5"/>
  <c r="T309" i="5"/>
  <c r="U309" i="5"/>
  <c r="S310" i="5"/>
  <c r="T310" i="5"/>
  <c r="U310" i="5"/>
  <c r="S311" i="5"/>
  <c r="T311" i="5"/>
  <c r="U311" i="5"/>
  <c r="S312" i="5"/>
  <c r="T312" i="5"/>
  <c r="U312" i="5"/>
  <c r="S313" i="5"/>
  <c r="T313" i="5"/>
  <c r="U313" i="5"/>
  <c r="S314" i="5"/>
  <c r="T314" i="5"/>
  <c r="U314" i="5"/>
  <c r="S315" i="5"/>
  <c r="T315" i="5"/>
  <c r="U315" i="5"/>
  <c r="S316" i="5"/>
  <c r="T316" i="5"/>
  <c r="U316" i="5"/>
  <c r="S317" i="5"/>
  <c r="T317" i="5"/>
  <c r="U317" i="5"/>
  <c r="S318" i="5"/>
  <c r="T318" i="5"/>
  <c r="U318" i="5"/>
  <c r="S319" i="5"/>
  <c r="T319" i="5"/>
  <c r="U319" i="5"/>
  <c r="S320" i="5"/>
  <c r="T320" i="5"/>
  <c r="U320" i="5"/>
  <c r="S321" i="5"/>
  <c r="T321" i="5"/>
  <c r="U321" i="5"/>
  <c r="S322" i="5"/>
  <c r="T322" i="5"/>
  <c r="U322" i="5"/>
  <c r="S323" i="5"/>
  <c r="T323" i="5"/>
  <c r="U323" i="5"/>
  <c r="S324" i="5"/>
  <c r="T324" i="5"/>
  <c r="U324" i="5"/>
  <c r="S325" i="5"/>
  <c r="T325" i="5"/>
  <c r="U325" i="5"/>
  <c r="S326" i="5"/>
  <c r="T326" i="5"/>
  <c r="U326" i="5"/>
  <c r="S327" i="5"/>
  <c r="T327" i="5"/>
  <c r="U327" i="5"/>
  <c r="S328" i="5"/>
  <c r="T328" i="5"/>
  <c r="U328" i="5"/>
  <c r="S329" i="5"/>
  <c r="T329" i="5"/>
  <c r="U329" i="5"/>
  <c r="S330" i="5"/>
  <c r="T330" i="5"/>
  <c r="U330" i="5"/>
  <c r="S331" i="5"/>
  <c r="T331" i="5"/>
  <c r="U331" i="5"/>
  <c r="S332" i="5"/>
  <c r="T332" i="5"/>
  <c r="U332" i="5"/>
  <c r="S333" i="5"/>
  <c r="T333" i="5"/>
  <c r="U333" i="5"/>
  <c r="S334" i="5"/>
  <c r="T334" i="5"/>
  <c r="U334" i="5"/>
  <c r="S335" i="5"/>
  <c r="T335" i="5"/>
  <c r="U335" i="5"/>
  <c r="S336" i="5"/>
  <c r="T336" i="5"/>
  <c r="U336" i="5"/>
  <c r="S337" i="5"/>
  <c r="T337" i="5"/>
  <c r="U337" i="5"/>
  <c r="S338" i="5"/>
  <c r="T338" i="5"/>
  <c r="U338" i="5"/>
  <c r="S339" i="5"/>
  <c r="T339" i="5"/>
  <c r="U339" i="5"/>
  <c r="S340" i="5"/>
  <c r="T340" i="5"/>
  <c r="U340" i="5"/>
  <c r="S341" i="5"/>
  <c r="T341" i="5"/>
  <c r="U341" i="5"/>
  <c r="S342" i="5"/>
  <c r="T342" i="5"/>
  <c r="U342" i="5"/>
  <c r="S343" i="5"/>
  <c r="T343" i="5"/>
  <c r="U343" i="5"/>
  <c r="S344" i="5"/>
  <c r="T344" i="5"/>
  <c r="U344" i="5"/>
  <c r="S345" i="5"/>
  <c r="T345" i="5"/>
  <c r="U345" i="5"/>
  <c r="S346" i="5"/>
  <c r="T346" i="5"/>
  <c r="U346" i="5"/>
  <c r="S347" i="5"/>
  <c r="T347" i="5"/>
  <c r="U347" i="5"/>
  <c r="S348" i="5"/>
  <c r="T348" i="5"/>
  <c r="U348" i="5"/>
  <c r="S349" i="5"/>
  <c r="T349" i="5"/>
  <c r="U349" i="5"/>
  <c r="S350" i="5"/>
  <c r="T350" i="5"/>
  <c r="U350" i="5"/>
  <c r="S351" i="5"/>
  <c r="T351" i="5"/>
  <c r="U351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E32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7" i="5"/>
  <c r="AE7" i="5"/>
  <c r="Z7" i="5"/>
  <c r="AA7" i="5"/>
  <c r="AB7" i="5"/>
  <c r="AC7" i="5"/>
  <c r="Z8" i="5"/>
  <c r="AA8" i="5"/>
  <c r="AB8" i="5"/>
  <c r="AC8" i="5"/>
  <c r="Z9" i="5"/>
  <c r="AA9" i="5"/>
  <c r="AB9" i="5"/>
  <c r="AC9" i="5"/>
  <c r="Z10" i="5"/>
  <c r="AA10" i="5"/>
  <c r="AB10" i="5"/>
  <c r="AC10" i="5"/>
  <c r="Z11" i="5"/>
  <c r="AA11" i="5"/>
  <c r="AB11" i="5"/>
  <c r="AC11" i="5"/>
  <c r="Z12" i="5"/>
  <c r="AA12" i="5"/>
  <c r="AB12" i="5"/>
  <c r="AC12" i="5"/>
  <c r="Z13" i="5"/>
  <c r="AA13" i="5"/>
  <c r="AB13" i="5"/>
  <c r="AC13" i="5"/>
  <c r="Z14" i="5"/>
  <c r="AA14" i="5"/>
  <c r="AB14" i="5"/>
  <c r="AC14" i="5"/>
  <c r="Z15" i="5"/>
  <c r="AA15" i="5"/>
  <c r="AB15" i="5"/>
  <c r="AC15" i="5"/>
  <c r="Z16" i="5"/>
  <c r="AA16" i="5"/>
  <c r="AB16" i="5"/>
  <c r="AC16" i="5"/>
  <c r="Z17" i="5"/>
  <c r="AA17" i="5"/>
  <c r="AB17" i="5"/>
  <c r="AC17" i="5"/>
  <c r="Z18" i="5"/>
  <c r="AA18" i="5"/>
  <c r="AB18" i="5"/>
  <c r="AC18" i="5"/>
  <c r="Z19" i="5"/>
  <c r="AA19" i="5"/>
  <c r="AB19" i="5"/>
  <c r="AC19" i="5"/>
  <c r="Z20" i="5"/>
  <c r="AA20" i="5"/>
  <c r="AB20" i="5"/>
  <c r="AC20" i="5"/>
  <c r="Z21" i="5"/>
  <c r="AA21" i="5"/>
  <c r="AB21" i="5"/>
  <c r="AC21" i="5"/>
  <c r="Z22" i="5"/>
  <c r="AA22" i="5"/>
  <c r="AB22" i="5"/>
  <c r="AC22" i="5"/>
  <c r="Z24" i="5"/>
  <c r="AA24" i="5"/>
  <c r="AB24" i="5"/>
  <c r="AC24" i="5"/>
  <c r="Z25" i="5"/>
  <c r="AA25" i="5"/>
  <c r="AB25" i="5"/>
  <c r="AC25" i="5"/>
  <c r="Z26" i="5"/>
  <c r="AA26" i="5"/>
  <c r="AB26" i="5"/>
  <c r="AC26" i="5"/>
  <c r="Z27" i="5"/>
  <c r="AA27" i="5"/>
  <c r="AB27" i="5"/>
  <c r="AC27" i="5"/>
  <c r="Z28" i="5"/>
  <c r="AA28" i="5"/>
  <c r="AB28" i="5"/>
  <c r="AC28" i="5"/>
  <c r="Z29" i="5"/>
  <c r="AA29" i="5"/>
  <c r="AB29" i="5"/>
  <c r="AC29" i="5"/>
  <c r="Z30" i="5"/>
  <c r="AA30" i="5"/>
  <c r="AB30" i="5"/>
  <c r="AC30" i="5"/>
  <c r="Z31" i="5"/>
  <c r="AA31" i="5"/>
  <c r="AB31" i="5"/>
  <c r="AC31" i="5"/>
  <c r="Z32" i="5"/>
  <c r="AA32" i="5"/>
  <c r="AC32" i="5"/>
  <c r="Z33" i="5"/>
  <c r="AA33" i="5"/>
  <c r="AC33" i="5"/>
  <c r="Z34" i="5"/>
  <c r="AA34" i="5"/>
  <c r="AB34" i="5"/>
  <c r="AC34" i="5"/>
  <c r="Z35" i="5"/>
  <c r="AA35" i="5"/>
  <c r="AB35" i="5"/>
  <c r="AC35" i="5"/>
  <c r="Z36" i="5"/>
  <c r="AA36" i="5"/>
  <c r="AB36" i="5"/>
  <c r="AC36" i="5"/>
  <c r="Z37" i="5"/>
  <c r="AA37" i="5"/>
  <c r="AB37" i="5"/>
  <c r="AC37" i="5"/>
  <c r="Z38" i="5"/>
  <c r="AA38" i="5"/>
  <c r="AB38" i="5"/>
  <c r="AC38" i="5"/>
  <c r="Z39" i="5"/>
  <c r="AA39" i="5"/>
  <c r="AB39" i="5"/>
  <c r="AC39" i="5"/>
  <c r="Z40" i="5"/>
  <c r="AA40" i="5"/>
  <c r="AB40" i="5"/>
  <c r="AC40" i="5"/>
  <c r="Z41" i="5"/>
  <c r="AA41" i="5"/>
  <c r="AB41" i="5"/>
  <c r="AC41" i="5"/>
  <c r="Z42" i="5"/>
  <c r="AA42" i="5"/>
  <c r="AB42" i="5"/>
  <c r="AC42" i="5"/>
  <c r="Z43" i="5"/>
  <c r="AA43" i="5"/>
  <c r="AB43" i="5"/>
  <c r="AC43" i="5"/>
  <c r="Z44" i="5"/>
  <c r="AA44" i="5"/>
  <c r="AB44" i="5"/>
  <c r="AC44" i="5"/>
  <c r="Z45" i="5"/>
  <c r="AA45" i="5"/>
  <c r="AB45" i="5"/>
  <c r="AC45" i="5"/>
  <c r="Z46" i="5"/>
  <c r="AA46" i="5"/>
  <c r="AB46" i="5"/>
  <c r="AC46" i="5"/>
  <c r="Z47" i="5"/>
  <c r="AA47" i="5"/>
  <c r="AB47" i="5"/>
  <c r="AC47" i="5"/>
  <c r="Z48" i="5"/>
  <c r="AA48" i="5"/>
  <c r="AB48" i="5"/>
  <c r="AC48" i="5"/>
  <c r="Z49" i="5"/>
  <c r="AA49" i="5"/>
  <c r="AB49" i="5"/>
  <c r="AC49" i="5"/>
  <c r="Z50" i="5"/>
  <c r="AA50" i="5"/>
  <c r="AB50" i="5"/>
  <c r="AC50" i="5"/>
  <c r="Z51" i="5"/>
  <c r="AA51" i="5"/>
  <c r="AB51" i="5"/>
  <c r="AC51" i="5"/>
  <c r="Z52" i="5"/>
  <c r="AA52" i="5"/>
  <c r="AB52" i="5"/>
  <c r="AC52" i="5"/>
  <c r="Z53" i="5"/>
  <c r="AA53" i="5"/>
  <c r="AB53" i="5"/>
  <c r="AC53" i="5"/>
  <c r="Z54" i="5"/>
  <c r="AA54" i="5"/>
  <c r="AB54" i="5"/>
  <c r="AC54" i="5"/>
  <c r="Z55" i="5"/>
  <c r="AA55" i="5"/>
  <c r="AB55" i="5"/>
  <c r="AC55" i="5"/>
  <c r="Z56" i="5"/>
  <c r="AA56" i="5"/>
  <c r="AB56" i="5"/>
  <c r="AC56" i="5"/>
  <c r="Z57" i="5"/>
  <c r="AA57" i="5"/>
  <c r="AB57" i="5"/>
  <c r="AC57" i="5"/>
  <c r="Z58" i="5"/>
  <c r="AA58" i="5"/>
  <c r="AB58" i="5"/>
  <c r="AC58" i="5"/>
  <c r="Z59" i="5"/>
  <c r="AA59" i="5"/>
  <c r="AB59" i="5"/>
  <c r="AC59" i="5"/>
  <c r="Z60" i="5"/>
  <c r="AA60" i="5"/>
  <c r="AB60" i="5"/>
  <c r="AC60" i="5"/>
  <c r="Z61" i="5"/>
  <c r="AA61" i="5"/>
  <c r="AB61" i="5"/>
  <c r="AC61" i="5"/>
  <c r="Z62" i="5"/>
  <c r="AA62" i="5"/>
  <c r="AB62" i="5"/>
  <c r="AC62" i="5"/>
  <c r="Z63" i="5"/>
  <c r="AA63" i="5"/>
  <c r="AB63" i="5"/>
  <c r="AC63" i="5"/>
  <c r="Z64" i="5"/>
  <c r="AA64" i="5"/>
  <c r="AB64" i="5"/>
  <c r="AC64" i="5"/>
  <c r="Z65" i="5"/>
  <c r="AA65" i="5"/>
  <c r="AB65" i="5"/>
  <c r="AC65" i="5"/>
  <c r="Z66" i="5"/>
  <c r="AA66" i="5"/>
  <c r="AB66" i="5"/>
  <c r="AC66" i="5"/>
  <c r="V339" i="5" l="1"/>
  <c r="V323" i="5"/>
  <c r="V307" i="5"/>
  <c r="V291" i="5"/>
  <c r="V275" i="5"/>
  <c r="V259" i="5"/>
  <c r="V243" i="5"/>
  <c r="V227" i="5"/>
  <c r="V211" i="5"/>
  <c r="V195" i="5"/>
  <c r="V179" i="5"/>
  <c r="V163" i="5"/>
  <c r="V348" i="5"/>
  <c r="V332" i="5"/>
  <c r="V316" i="5"/>
  <c r="V300" i="5"/>
  <c r="V284" i="5"/>
  <c r="V268" i="5"/>
  <c r="V252" i="5"/>
  <c r="V236" i="5"/>
  <c r="V220" i="5"/>
  <c r="V204" i="5"/>
  <c r="V188" i="5"/>
  <c r="V172" i="5"/>
  <c r="V147" i="5"/>
  <c r="V337" i="5"/>
  <c r="V321" i="5"/>
  <c r="V305" i="5"/>
  <c r="V289" i="5"/>
  <c r="V273" i="5"/>
  <c r="V257" i="5"/>
  <c r="V241" i="5"/>
  <c r="V225" i="5"/>
  <c r="V209" i="5"/>
  <c r="V193" i="5"/>
  <c r="V177" i="5"/>
  <c r="V161" i="5"/>
  <c r="V341" i="5"/>
  <c r="V325" i="5"/>
  <c r="V309" i="5"/>
  <c r="V293" i="5"/>
  <c r="V277" i="5"/>
  <c r="V261" i="5"/>
  <c r="V245" i="5"/>
  <c r="V229" i="5"/>
  <c r="V213" i="5"/>
  <c r="V197" i="5"/>
  <c r="V181" i="5"/>
  <c r="V165" i="5"/>
  <c r="V149" i="5"/>
  <c r="V133" i="5"/>
  <c r="V117" i="5"/>
  <c r="V313" i="5"/>
  <c r="V131" i="5"/>
  <c r="V115" i="5"/>
  <c r="V156" i="5"/>
  <c r="V349" i="5"/>
  <c r="V344" i="5"/>
  <c r="V333" i="5"/>
  <c r="V328" i="5"/>
  <c r="V317" i="5"/>
  <c r="V312" i="5"/>
  <c r="V301" i="5"/>
  <c r="V296" i="5"/>
  <c r="V285" i="5"/>
  <c r="V280" i="5"/>
  <c r="V269" i="5"/>
  <c r="V264" i="5"/>
  <c r="V253" i="5"/>
  <c r="V248" i="5"/>
  <c r="V237" i="5"/>
  <c r="V232" i="5"/>
  <c r="V221" i="5"/>
  <c r="V216" i="5"/>
  <c r="V205" i="5"/>
  <c r="V200" i="5"/>
  <c r="V189" i="5"/>
  <c r="V184" i="5"/>
  <c r="V173" i="5"/>
  <c r="V168" i="5"/>
  <c r="V157" i="5"/>
  <c r="V141" i="5"/>
  <c r="V125" i="5"/>
  <c r="V338" i="5"/>
  <c r="V322" i="5"/>
  <c r="V306" i="5"/>
  <c r="V290" i="5"/>
  <c r="V274" i="5"/>
  <c r="V258" i="5"/>
  <c r="V242" i="5"/>
  <c r="V226" i="5"/>
  <c r="V210" i="5"/>
  <c r="V194" i="5"/>
  <c r="V178" i="5"/>
  <c r="V162" i="5"/>
  <c r="V146" i="5"/>
  <c r="V130" i="5"/>
  <c r="V343" i="5"/>
  <c r="V327" i="5"/>
  <c r="V311" i="5"/>
  <c r="V295" i="5"/>
  <c r="V279" i="5"/>
  <c r="V263" i="5"/>
  <c r="V247" i="5"/>
  <c r="V231" i="5"/>
  <c r="V215" i="5"/>
  <c r="V199" i="5"/>
  <c r="V183" i="5"/>
  <c r="V167" i="5"/>
  <c r="V145" i="5"/>
  <c r="V140" i="5"/>
  <c r="V129" i="5"/>
  <c r="V124" i="5"/>
  <c r="V113" i="5"/>
  <c r="V342" i="5"/>
  <c r="V326" i="5"/>
  <c r="V310" i="5"/>
  <c r="V294" i="5"/>
  <c r="V278" i="5"/>
  <c r="V262" i="5"/>
  <c r="V246" i="5"/>
  <c r="V230" i="5"/>
  <c r="V214" i="5"/>
  <c r="V198" i="5"/>
  <c r="V182" i="5"/>
  <c r="V166" i="5"/>
  <c r="V150" i="5"/>
  <c r="V134" i="5"/>
  <c r="V118" i="5"/>
  <c r="V347" i="5"/>
  <c r="V331" i="5"/>
  <c r="V315" i="5"/>
  <c r="V299" i="5"/>
  <c r="V283" i="5"/>
  <c r="V267" i="5"/>
  <c r="V251" i="5"/>
  <c r="V235" i="5"/>
  <c r="V219" i="5"/>
  <c r="V203" i="5"/>
  <c r="V187" i="5"/>
  <c r="V171" i="5"/>
  <c r="V155" i="5"/>
  <c r="V336" i="5"/>
  <c r="V320" i="5"/>
  <c r="V304" i="5"/>
  <c r="V288" i="5"/>
  <c r="V272" i="5"/>
  <c r="V256" i="5"/>
  <c r="V240" i="5"/>
  <c r="V224" i="5"/>
  <c r="V208" i="5"/>
  <c r="V192" i="5"/>
  <c r="V176" i="5"/>
  <c r="V160" i="5"/>
  <c r="V144" i="5"/>
  <c r="V128" i="5"/>
  <c r="V112" i="5"/>
  <c r="V346" i="5"/>
  <c r="V330" i="5"/>
  <c r="V314" i="5"/>
  <c r="V298" i="5"/>
  <c r="V282" i="5"/>
  <c r="V266" i="5"/>
  <c r="V250" i="5"/>
  <c r="V234" i="5"/>
  <c r="V218" i="5"/>
  <c r="V202" i="5"/>
  <c r="V186" i="5"/>
  <c r="V170" i="5"/>
  <c r="V154" i="5"/>
  <c r="V138" i="5"/>
  <c r="V122" i="5"/>
  <c r="V351" i="5"/>
  <c r="V335" i="5"/>
  <c r="V319" i="5"/>
  <c r="V303" i="5"/>
  <c r="V287" i="5"/>
  <c r="V271" i="5"/>
  <c r="V255" i="5"/>
  <c r="V239" i="5"/>
  <c r="V223" i="5"/>
  <c r="V207" i="5"/>
  <c r="V191" i="5"/>
  <c r="V175" i="5"/>
  <c r="V159" i="5"/>
  <c r="V100" i="5"/>
  <c r="V345" i="5"/>
  <c r="V340" i="5"/>
  <c r="V329" i="5"/>
  <c r="V324" i="5"/>
  <c r="V308" i="5"/>
  <c r="V297" i="5"/>
  <c r="V292" i="5"/>
  <c r="V281" i="5"/>
  <c r="V276" i="5"/>
  <c r="V265" i="5"/>
  <c r="V260" i="5"/>
  <c r="V249" i="5"/>
  <c r="V244" i="5"/>
  <c r="V233" i="5"/>
  <c r="V228" i="5"/>
  <c r="V217" i="5"/>
  <c r="V212" i="5"/>
  <c r="V201" i="5"/>
  <c r="V196" i="5"/>
  <c r="V185" i="5"/>
  <c r="V180" i="5"/>
  <c r="V169" i="5"/>
  <c r="V164" i="5"/>
  <c r="V153" i="5"/>
  <c r="V137" i="5"/>
  <c r="V121" i="5"/>
  <c r="V350" i="5"/>
  <c r="V334" i="5"/>
  <c r="V318" i="5"/>
  <c r="V302" i="5"/>
  <c r="V286" i="5"/>
  <c r="V270" i="5"/>
  <c r="V254" i="5"/>
  <c r="V238" i="5"/>
  <c r="V222" i="5"/>
  <c r="V206" i="5"/>
  <c r="V190" i="5"/>
  <c r="V174" i="5"/>
  <c r="V158" i="5"/>
  <c r="V114" i="5"/>
  <c r="V151" i="5"/>
  <c r="V135" i="5"/>
  <c r="V119" i="5"/>
  <c r="V139" i="5"/>
  <c r="V123" i="5"/>
  <c r="V120" i="5"/>
  <c r="V136" i="5"/>
  <c r="V143" i="5"/>
  <c r="V127" i="5"/>
  <c r="V111" i="5"/>
  <c r="V95" i="5"/>
  <c r="V148" i="5"/>
  <c r="V132" i="5"/>
  <c r="V116" i="5"/>
  <c r="V152" i="5"/>
  <c r="V142" i="5"/>
  <c r="V126" i="5"/>
  <c r="V92" i="5"/>
  <c r="V96" i="5"/>
  <c r="V101" i="5"/>
  <c r="V90" i="5"/>
  <c r="V110" i="5"/>
  <c r="V94" i="5"/>
  <c r="V99" i="5"/>
  <c r="V109" i="5"/>
  <c r="V93" i="5"/>
  <c r="V98" i="5"/>
  <c r="V103" i="5"/>
  <c r="V108" i="5"/>
  <c r="V97" i="5"/>
  <c r="V102" i="5"/>
  <c r="V107" i="5"/>
  <c r="V91" i="5"/>
  <c r="V106" i="5"/>
  <c r="W50" i="5"/>
  <c r="W51" i="5"/>
  <c r="W52" i="5"/>
  <c r="H313" i="19"/>
  <c r="H315" i="19"/>
  <c r="H317" i="19"/>
  <c r="H318" i="19"/>
  <c r="H319" i="19"/>
  <c r="H320" i="19"/>
  <c r="H322" i="19"/>
  <c r="H323" i="19"/>
  <c r="H326" i="19"/>
  <c r="H312" i="19"/>
  <c r="H968" i="19"/>
  <c r="H969" i="19"/>
  <c r="H970" i="19"/>
  <c r="H971" i="19"/>
  <c r="H972" i="19"/>
  <c r="H973" i="19"/>
  <c r="H974" i="19"/>
  <c r="H975" i="19"/>
  <c r="H976" i="19"/>
  <c r="H977" i="19"/>
  <c r="H978" i="19"/>
  <c r="H979" i="19"/>
  <c r="H980" i="19"/>
  <c r="H981" i="19"/>
  <c r="H982" i="19"/>
  <c r="H983" i="19"/>
  <c r="H984" i="19"/>
  <c r="H985" i="19"/>
  <c r="H986" i="19"/>
  <c r="H987" i="19"/>
  <c r="H988" i="19"/>
  <c r="H989" i="19"/>
  <c r="H990" i="19"/>
  <c r="H991" i="19"/>
  <c r="H992" i="19"/>
  <c r="H993" i="19"/>
  <c r="H994" i="19"/>
  <c r="H995" i="19"/>
  <c r="H996" i="19"/>
  <c r="H997" i="19"/>
  <c r="H998" i="19"/>
  <c r="H999" i="19"/>
  <c r="H1000" i="19"/>
  <c r="H1001" i="19"/>
  <c r="H1002" i="19"/>
  <c r="H1003" i="19"/>
  <c r="H1004" i="19"/>
  <c r="H1005" i="19"/>
  <c r="H1006" i="19"/>
  <c r="H1007" i="19"/>
  <c r="H1008" i="19"/>
  <c r="H1009" i="19"/>
  <c r="H1010" i="19"/>
  <c r="H1011" i="19"/>
  <c r="H1012" i="19"/>
  <c r="H1013" i="19"/>
  <c r="H1014" i="19"/>
  <c r="H1015" i="19"/>
  <c r="H1016" i="19"/>
  <c r="H1017" i="19"/>
  <c r="H1018" i="19"/>
  <c r="H1019" i="19"/>
  <c r="H1020" i="19"/>
  <c r="H1021" i="19"/>
  <c r="H1022" i="19"/>
  <c r="H1023" i="19"/>
  <c r="H1024" i="19"/>
  <c r="H1025" i="19"/>
  <c r="H1026" i="19"/>
  <c r="H1027" i="19"/>
  <c r="H1028" i="19"/>
  <c r="H1029" i="19"/>
  <c r="H1030" i="19"/>
  <c r="H1031" i="19"/>
  <c r="H1032" i="19"/>
  <c r="H1033" i="19"/>
  <c r="H1034" i="19"/>
  <c r="H1035" i="19"/>
  <c r="H1036" i="19"/>
  <c r="H1037" i="19"/>
  <c r="H1038" i="19"/>
  <c r="H1039" i="19"/>
  <c r="H1040" i="19"/>
  <c r="H1041" i="19"/>
  <c r="H1042" i="19"/>
  <c r="H1043" i="19"/>
  <c r="H1044" i="19"/>
  <c r="H1045" i="19"/>
  <c r="H1046" i="19"/>
  <c r="H1047" i="19"/>
  <c r="H1048" i="19"/>
  <c r="H1049" i="19"/>
  <c r="H1050" i="19"/>
  <c r="H1051" i="19"/>
  <c r="H1052" i="19"/>
  <c r="H1053" i="19"/>
  <c r="H1054" i="19"/>
  <c r="H1055" i="19"/>
  <c r="H1056" i="19"/>
  <c r="H1057" i="19"/>
  <c r="H1058" i="19"/>
  <c r="H1059" i="19"/>
  <c r="H1060" i="19"/>
  <c r="H1061" i="19"/>
  <c r="H1062" i="19"/>
  <c r="H1063" i="19"/>
  <c r="H1064" i="19"/>
  <c r="H1065" i="19"/>
  <c r="H1066" i="19"/>
  <c r="H1067" i="19"/>
  <c r="H1068" i="19"/>
  <c r="H1069" i="19"/>
  <c r="H1070" i="19"/>
  <c r="H1071" i="19"/>
  <c r="H1072" i="19"/>
  <c r="H1073" i="19"/>
  <c r="H1074" i="19"/>
  <c r="H1075" i="19"/>
  <c r="H1076" i="19"/>
  <c r="H1077" i="19"/>
  <c r="H1078" i="19"/>
  <c r="H1079" i="19"/>
  <c r="H1080" i="19"/>
  <c r="H1081" i="19"/>
  <c r="H1082" i="19"/>
  <c r="H1083" i="19"/>
  <c r="H1084" i="19"/>
  <c r="H1085" i="19"/>
  <c r="H1086" i="19"/>
  <c r="H1087" i="19"/>
  <c r="H1088" i="19"/>
  <c r="H1089" i="19"/>
  <c r="H967" i="19"/>
  <c r="H842" i="19"/>
  <c r="H843" i="19"/>
  <c r="H844" i="19"/>
  <c r="H845" i="19"/>
  <c r="H846" i="19"/>
  <c r="H847" i="19"/>
  <c r="H848" i="19"/>
  <c r="H849" i="19"/>
  <c r="H850" i="19"/>
  <c r="H851" i="19"/>
  <c r="H852" i="19"/>
  <c r="H853" i="19"/>
  <c r="H854" i="19"/>
  <c r="H855" i="19"/>
  <c r="H856" i="19"/>
  <c r="H857" i="19"/>
  <c r="H858" i="19"/>
  <c r="H859" i="19"/>
  <c r="H860" i="19"/>
  <c r="H861" i="19"/>
  <c r="H862" i="19"/>
  <c r="H863" i="19"/>
  <c r="H864" i="19"/>
  <c r="H865" i="19"/>
  <c r="H866" i="19"/>
  <c r="H867" i="19"/>
  <c r="H868" i="19"/>
  <c r="H869" i="19"/>
  <c r="H870" i="19"/>
  <c r="H871" i="19"/>
  <c r="H872" i="19"/>
  <c r="H873" i="19"/>
  <c r="H874" i="19"/>
  <c r="H875" i="19"/>
  <c r="H876" i="19"/>
  <c r="H877" i="19"/>
  <c r="H878" i="19"/>
  <c r="H879" i="19"/>
  <c r="H880" i="19"/>
  <c r="H881" i="19"/>
  <c r="H882" i="19"/>
  <c r="H883" i="19"/>
  <c r="H884" i="19"/>
  <c r="H885" i="19"/>
  <c r="H886" i="19"/>
  <c r="H887" i="19"/>
  <c r="H888" i="19"/>
  <c r="H889" i="19"/>
  <c r="H890" i="19"/>
  <c r="H891" i="19"/>
  <c r="H892" i="19"/>
  <c r="H893" i="19"/>
  <c r="H894" i="19"/>
  <c r="H895" i="19"/>
  <c r="H896" i="19"/>
  <c r="H897" i="19"/>
  <c r="H898" i="19"/>
  <c r="H899" i="19"/>
  <c r="H900" i="19"/>
  <c r="H901" i="19"/>
  <c r="H902" i="19"/>
  <c r="H903" i="19"/>
  <c r="H904" i="19"/>
  <c r="H905" i="19"/>
  <c r="H906" i="19"/>
  <c r="H907" i="19"/>
  <c r="H908" i="19"/>
  <c r="H909" i="19"/>
  <c r="H910" i="19"/>
  <c r="H911" i="19"/>
  <c r="H912" i="19"/>
  <c r="H913" i="19"/>
  <c r="H914" i="19"/>
  <c r="H915" i="19"/>
  <c r="H916" i="19"/>
  <c r="H917" i="19"/>
  <c r="H918" i="19"/>
  <c r="H919" i="19"/>
  <c r="H920" i="19"/>
  <c r="H921" i="19"/>
  <c r="H922" i="19"/>
  <c r="H923" i="19"/>
  <c r="H924" i="19"/>
  <c r="H925" i="19"/>
  <c r="H926" i="19"/>
  <c r="H927" i="19"/>
  <c r="H928" i="19"/>
  <c r="H929" i="19"/>
  <c r="H930" i="19"/>
  <c r="H931" i="19"/>
  <c r="H932" i="19"/>
  <c r="H933" i="19"/>
  <c r="H934" i="19"/>
  <c r="H935" i="19"/>
  <c r="H936" i="19"/>
  <c r="H937" i="19"/>
  <c r="H938" i="19"/>
  <c r="H939" i="19"/>
  <c r="H940" i="19"/>
  <c r="H941" i="19"/>
  <c r="H942" i="19"/>
  <c r="H943" i="19"/>
  <c r="H944" i="19"/>
  <c r="H945" i="19"/>
  <c r="H946" i="19"/>
  <c r="H947" i="19"/>
  <c r="H948" i="19"/>
  <c r="H949" i="19"/>
  <c r="H950" i="19"/>
  <c r="H951" i="19"/>
  <c r="H952" i="19"/>
  <c r="H953" i="19"/>
  <c r="H954" i="19"/>
  <c r="H955" i="19"/>
  <c r="H956" i="19"/>
  <c r="H957" i="19"/>
  <c r="H958" i="19"/>
  <c r="H959" i="19"/>
  <c r="H960" i="19"/>
  <c r="H961" i="19"/>
  <c r="H962" i="19"/>
  <c r="H963" i="19"/>
  <c r="H841" i="19"/>
  <c r="H714" i="19"/>
  <c r="H715" i="19"/>
  <c r="H716" i="19"/>
  <c r="H717" i="19"/>
  <c r="H718" i="19"/>
  <c r="H719" i="19"/>
  <c r="H720" i="19"/>
  <c r="H721" i="19"/>
  <c r="H722" i="19"/>
  <c r="H723" i="19"/>
  <c r="H724" i="19"/>
  <c r="H725" i="19"/>
  <c r="H726" i="19"/>
  <c r="H727" i="19"/>
  <c r="H728" i="19"/>
  <c r="H729" i="19"/>
  <c r="H730" i="19"/>
  <c r="H731" i="19"/>
  <c r="H732" i="19"/>
  <c r="H733" i="19"/>
  <c r="H734" i="19"/>
  <c r="H735" i="19"/>
  <c r="H736" i="19"/>
  <c r="H737" i="19"/>
  <c r="H738" i="19"/>
  <c r="H739" i="19"/>
  <c r="H740" i="19"/>
  <c r="H741" i="19"/>
  <c r="H742" i="19"/>
  <c r="H743" i="19"/>
  <c r="H744" i="19"/>
  <c r="H745" i="19"/>
  <c r="H746" i="19"/>
  <c r="H747" i="19"/>
  <c r="H748" i="19"/>
  <c r="H749" i="19"/>
  <c r="H750" i="19"/>
  <c r="H751" i="19"/>
  <c r="H752" i="19"/>
  <c r="H753" i="19"/>
  <c r="H754" i="19"/>
  <c r="H755" i="19"/>
  <c r="H756" i="19"/>
  <c r="H757" i="19"/>
  <c r="H758" i="19"/>
  <c r="H759" i="19"/>
  <c r="H760" i="19"/>
  <c r="H761" i="19"/>
  <c r="H762" i="19"/>
  <c r="H763" i="19"/>
  <c r="H764" i="19"/>
  <c r="H765" i="19"/>
  <c r="H766" i="19"/>
  <c r="H767" i="19"/>
  <c r="H768" i="19"/>
  <c r="H769" i="19"/>
  <c r="H770" i="19"/>
  <c r="H771" i="19"/>
  <c r="H772" i="19"/>
  <c r="H773" i="19"/>
  <c r="H774" i="19"/>
  <c r="H775" i="19"/>
  <c r="H776" i="19"/>
  <c r="H777" i="19"/>
  <c r="H778" i="19"/>
  <c r="H779" i="19"/>
  <c r="H780" i="19"/>
  <c r="H781" i="19"/>
  <c r="H782" i="19"/>
  <c r="H783" i="19"/>
  <c r="H784" i="19"/>
  <c r="H785" i="19"/>
  <c r="H786" i="19"/>
  <c r="H787" i="19"/>
  <c r="H788" i="19"/>
  <c r="H789" i="19"/>
  <c r="H790" i="19"/>
  <c r="H791" i="19"/>
  <c r="H792" i="19"/>
  <c r="H793" i="19"/>
  <c r="H794" i="19"/>
  <c r="H795" i="19"/>
  <c r="H796" i="19"/>
  <c r="H797" i="19"/>
  <c r="H798" i="19"/>
  <c r="H799" i="19"/>
  <c r="H800" i="19"/>
  <c r="H801" i="19"/>
  <c r="H802" i="19"/>
  <c r="H803" i="19"/>
  <c r="H804" i="19"/>
  <c r="H805" i="19"/>
  <c r="H806" i="19"/>
  <c r="H807" i="19"/>
  <c r="H808" i="19"/>
  <c r="H809" i="19"/>
  <c r="H810" i="19"/>
  <c r="H811" i="19"/>
  <c r="H812" i="19"/>
  <c r="H813" i="19"/>
  <c r="H814" i="19"/>
  <c r="H815" i="19"/>
  <c r="H816" i="19"/>
  <c r="H817" i="19"/>
  <c r="H818" i="19"/>
  <c r="H819" i="19"/>
  <c r="H820" i="19"/>
  <c r="H821" i="19"/>
  <c r="H822" i="19"/>
  <c r="H823" i="19"/>
  <c r="H824" i="19"/>
  <c r="H825" i="19"/>
  <c r="H826" i="19"/>
  <c r="H827" i="19"/>
  <c r="H828" i="19"/>
  <c r="H829" i="19"/>
  <c r="H830" i="19"/>
  <c r="H831" i="19"/>
  <c r="H832" i="19"/>
  <c r="H833" i="19"/>
  <c r="H834" i="19"/>
  <c r="H835" i="19"/>
  <c r="H713" i="19"/>
  <c r="H588" i="19"/>
  <c r="H589" i="19"/>
  <c r="H590" i="19"/>
  <c r="H591" i="19"/>
  <c r="H592" i="19"/>
  <c r="H593" i="19"/>
  <c r="H594" i="19"/>
  <c r="H595" i="19"/>
  <c r="H596" i="19"/>
  <c r="H597" i="19"/>
  <c r="H598" i="19"/>
  <c r="H599" i="19"/>
  <c r="H600" i="19"/>
  <c r="H601" i="19"/>
  <c r="H602" i="19"/>
  <c r="H603" i="19"/>
  <c r="H604" i="19"/>
  <c r="H605" i="19"/>
  <c r="H606" i="19"/>
  <c r="H607" i="19"/>
  <c r="H608" i="19"/>
  <c r="H609" i="19"/>
  <c r="H610" i="19"/>
  <c r="H611" i="19"/>
  <c r="H612" i="19"/>
  <c r="H613" i="19"/>
  <c r="H614" i="19"/>
  <c r="H615" i="19"/>
  <c r="H616" i="19"/>
  <c r="H617" i="19"/>
  <c r="H618" i="19"/>
  <c r="H619" i="19"/>
  <c r="H620" i="19"/>
  <c r="H621" i="19"/>
  <c r="H622" i="19"/>
  <c r="H623" i="19"/>
  <c r="H624" i="19"/>
  <c r="H625" i="19"/>
  <c r="H626" i="19"/>
  <c r="H627" i="19"/>
  <c r="H628" i="19"/>
  <c r="H629" i="19"/>
  <c r="H630" i="19"/>
  <c r="H631" i="19"/>
  <c r="H632" i="19"/>
  <c r="H633" i="19"/>
  <c r="H634" i="19"/>
  <c r="H635" i="19"/>
  <c r="H636" i="19"/>
  <c r="H637" i="19"/>
  <c r="H638" i="19"/>
  <c r="H639" i="19"/>
  <c r="H640" i="19"/>
  <c r="H641" i="19"/>
  <c r="H642" i="19"/>
  <c r="H643" i="19"/>
  <c r="H644" i="19"/>
  <c r="H645" i="19"/>
  <c r="H646" i="19"/>
  <c r="H647" i="19"/>
  <c r="H648" i="19"/>
  <c r="H649" i="19"/>
  <c r="H650" i="19"/>
  <c r="H651" i="19"/>
  <c r="H652" i="19"/>
  <c r="H653" i="19"/>
  <c r="H654" i="19"/>
  <c r="H655" i="19"/>
  <c r="H656" i="19"/>
  <c r="H657" i="19"/>
  <c r="H658" i="19"/>
  <c r="H659" i="19"/>
  <c r="H660" i="19"/>
  <c r="H661" i="19"/>
  <c r="H662" i="19"/>
  <c r="H663" i="19"/>
  <c r="H664" i="19"/>
  <c r="H665" i="19"/>
  <c r="H666" i="19"/>
  <c r="H667" i="19"/>
  <c r="H668" i="19"/>
  <c r="H669" i="19"/>
  <c r="H670" i="19"/>
  <c r="H671" i="19"/>
  <c r="H672" i="19"/>
  <c r="H673" i="19"/>
  <c r="H674" i="19"/>
  <c r="H675" i="19"/>
  <c r="H676" i="19"/>
  <c r="H677" i="19"/>
  <c r="H678" i="19"/>
  <c r="H679" i="19"/>
  <c r="H680" i="19"/>
  <c r="H681" i="19"/>
  <c r="H682" i="19"/>
  <c r="H683" i="19"/>
  <c r="H684" i="19"/>
  <c r="H685" i="19"/>
  <c r="H686" i="19"/>
  <c r="H687" i="19"/>
  <c r="H688" i="19"/>
  <c r="H689" i="19"/>
  <c r="H690" i="19"/>
  <c r="H691" i="19"/>
  <c r="H692" i="19"/>
  <c r="H693" i="19"/>
  <c r="H694" i="19"/>
  <c r="H695" i="19"/>
  <c r="H696" i="19"/>
  <c r="H697" i="19"/>
  <c r="H698" i="19"/>
  <c r="H699" i="19"/>
  <c r="H700" i="19"/>
  <c r="H701" i="19"/>
  <c r="H702" i="19"/>
  <c r="H703" i="19"/>
  <c r="H704" i="19"/>
  <c r="H705" i="19"/>
  <c r="H706" i="19"/>
  <c r="H707" i="19"/>
  <c r="H708" i="19"/>
  <c r="H709" i="19"/>
  <c r="H587" i="19"/>
  <c r="H460" i="19"/>
  <c r="H461" i="19"/>
  <c r="H462" i="19"/>
  <c r="H463" i="19"/>
  <c r="H464" i="19"/>
  <c r="H465" i="19"/>
  <c r="H466" i="19"/>
  <c r="H467" i="19"/>
  <c r="H468" i="19"/>
  <c r="H469" i="19"/>
  <c r="H470" i="19"/>
  <c r="H471" i="19"/>
  <c r="H472" i="19"/>
  <c r="H473" i="19"/>
  <c r="H474" i="19"/>
  <c r="H475" i="19"/>
  <c r="H476" i="19"/>
  <c r="H477" i="19"/>
  <c r="H478" i="19"/>
  <c r="H479" i="19"/>
  <c r="H480" i="19"/>
  <c r="H481" i="19"/>
  <c r="H482" i="19"/>
  <c r="H483" i="19"/>
  <c r="H484" i="19"/>
  <c r="H485" i="19"/>
  <c r="H486" i="19"/>
  <c r="H487" i="19"/>
  <c r="H488" i="19"/>
  <c r="H489" i="19"/>
  <c r="H490" i="19"/>
  <c r="H491" i="19"/>
  <c r="H492" i="19"/>
  <c r="H493" i="19"/>
  <c r="H494" i="19"/>
  <c r="H495" i="19"/>
  <c r="H496" i="19"/>
  <c r="H497" i="19"/>
  <c r="H498" i="19"/>
  <c r="H499" i="19"/>
  <c r="H500" i="19"/>
  <c r="H501" i="19"/>
  <c r="H502" i="19"/>
  <c r="H503" i="19"/>
  <c r="H504" i="19"/>
  <c r="H505" i="19"/>
  <c r="H506" i="19"/>
  <c r="H507" i="19"/>
  <c r="H508" i="19"/>
  <c r="H509" i="19"/>
  <c r="H510" i="19"/>
  <c r="H511" i="19"/>
  <c r="H512" i="19"/>
  <c r="H513" i="19"/>
  <c r="H514" i="19"/>
  <c r="H515" i="19"/>
  <c r="H516" i="19"/>
  <c r="H517" i="19"/>
  <c r="H518" i="19"/>
  <c r="H519" i="19"/>
  <c r="H520" i="19"/>
  <c r="H521" i="19"/>
  <c r="H522" i="19"/>
  <c r="H523" i="19"/>
  <c r="H524" i="19"/>
  <c r="H525" i="19"/>
  <c r="H526" i="19"/>
  <c r="H527" i="19"/>
  <c r="H528" i="19"/>
  <c r="H529" i="19"/>
  <c r="H530" i="19"/>
  <c r="H531" i="19"/>
  <c r="H532" i="19"/>
  <c r="H533" i="19"/>
  <c r="H534" i="19"/>
  <c r="H535" i="19"/>
  <c r="H536" i="19"/>
  <c r="H537" i="19"/>
  <c r="H538" i="19"/>
  <c r="H539" i="19"/>
  <c r="H540" i="19"/>
  <c r="H541" i="19"/>
  <c r="H542" i="19"/>
  <c r="H543" i="19"/>
  <c r="H544" i="19"/>
  <c r="H545" i="19"/>
  <c r="H546" i="19"/>
  <c r="H547" i="19"/>
  <c r="H548" i="19"/>
  <c r="H549" i="19"/>
  <c r="H550" i="19"/>
  <c r="H551" i="19"/>
  <c r="H552" i="19"/>
  <c r="H553" i="19"/>
  <c r="H554" i="19"/>
  <c r="H555" i="19"/>
  <c r="H556" i="19"/>
  <c r="H557" i="19"/>
  <c r="H558" i="19"/>
  <c r="H559" i="19"/>
  <c r="H560" i="19"/>
  <c r="H561" i="19"/>
  <c r="H562" i="19"/>
  <c r="H563" i="19"/>
  <c r="H564" i="19"/>
  <c r="H565" i="19"/>
  <c r="H566" i="19"/>
  <c r="H567" i="19"/>
  <c r="H568" i="19"/>
  <c r="H569" i="19"/>
  <c r="H570" i="19"/>
  <c r="H571" i="19"/>
  <c r="H572" i="19"/>
  <c r="H573" i="19"/>
  <c r="H574" i="19"/>
  <c r="H575" i="19"/>
  <c r="H576" i="19"/>
  <c r="H577" i="19"/>
  <c r="H578" i="19"/>
  <c r="H579" i="19"/>
  <c r="H580" i="19"/>
  <c r="H581" i="19"/>
  <c r="H459" i="19"/>
  <c r="H334" i="19"/>
  <c r="H335" i="19"/>
  <c r="H336" i="19"/>
  <c r="H337" i="19"/>
  <c r="H338" i="19"/>
  <c r="H339" i="19"/>
  <c r="H340" i="19"/>
  <c r="H341" i="19"/>
  <c r="H342" i="19"/>
  <c r="H343" i="19"/>
  <c r="H344" i="19"/>
  <c r="H345" i="19"/>
  <c r="H346" i="19"/>
  <c r="H347" i="19"/>
  <c r="H348" i="19"/>
  <c r="H349" i="19"/>
  <c r="H350" i="19"/>
  <c r="H351" i="19"/>
  <c r="H352" i="19"/>
  <c r="H353" i="19"/>
  <c r="H354" i="19"/>
  <c r="H355" i="19"/>
  <c r="H356" i="19"/>
  <c r="H357" i="19"/>
  <c r="H358" i="19"/>
  <c r="H359" i="19"/>
  <c r="H360" i="19"/>
  <c r="H361" i="19"/>
  <c r="H362" i="19"/>
  <c r="H363" i="19"/>
  <c r="H364" i="19"/>
  <c r="H365" i="19"/>
  <c r="H366" i="19"/>
  <c r="H367" i="19"/>
  <c r="H368" i="19"/>
  <c r="H369" i="19"/>
  <c r="H370" i="19"/>
  <c r="H371" i="19"/>
  <c r="H372" i="19"/>
  <c r="H373" i="19"/>
  <c r="H374" i="19"/>
  <c r="H375" i="19"/>
  <c r="H376" i="19"/>
  <c r="H377" i="19"/>
  <c r="H378" i="19"/>
  <c r="H379" i="19"/>
  <c r="H380" i="19"/>
  <c r="H381" i="19"/>
  <c r="H382" i="19"/>
  <c r="H383" i="19"/>
  <c r="H384" i="19"/>
  <c r="H385" i="19"/>
  <c r="H386" i="19"/>
  <c r="H387" i="19"/>
  <c r="H388" i="19"/>
  <c r="H389" i="19"/>
  <c r="H390" i="19"/>
  <c r="H391" i="19"/>
  <c r="H392" i="19"/>
  <c r="H393" i="19"/>
  <c r="H394" i="19"/>
  <c r="H395" i="19"/>
  <c r="H396" i="19"/>
  <c r="H397" i="19"/>
  <c r="H398" i="19"/>
  <c r="H399" i="19"/>
  <c r="H400" i="19"/>
  <c r="H401" i="19"/>
  <c r="H402" i="19"/>
  <c r="H403" i="19"/>
  <c r="H404" i="19"/>
  <c r="H405" i="19"/>
  <c r="H406" i="19"/>
  <c r="H407" i="19"/>
  <c r="H408" i="19"/>
  <c r="H409" i="19"/>
  <c r="H410" i="19"/>
  <c r="H411" i="19"/>
  <c r="H412" i="19"/>
  <c r="H413" i="19"/>
  <c r="H414" i="19"/>
  <c r="H415" i="19"/>
  <c r="H416" i="19"/>
  <c r="H417" i="19"/>
  <c r="H418" i="19"/>
  <c r="H419" i="19"/>
  <c r="H420" i="19"/>
  <c r="H421" i="19"/>
  <c r="H422" i="19"/>
  <c r="H423" i="19"/>
  <c r="H424" i="19"/>
  <c r="H425" i="19"/>
  <c r="H426" i="19"/>
  <c r="H427" i="19"/>
  <c r="H428" i="19"/>
  <c r="H429" i="19"/>
  <c r="H430" i="19"/>
  <c r="H431" i="19"/>
  <c r="H432" i="19"/>
  <c r="H433" i="19"/>
  <c r="H434" i="19"/>
  <c r="H435" i="19"/>
  <c r="H436" i="19"/>
  <c r="H437" i="19"/>
  <c r="H438" i="19"/>
  <c r="H439" i="19"/>
  <c r="H440" i="19"/>
  <c r="H441" i="19"/>
  <c r="H442" i="19"/>
  <c r="H443" i="19"/>
  <c r="H444" i="19"/>
  <c r="H445" i="19"/>
  <c r="H446" i="19"/>
  <c r="H447" i="19"/>
  <c r="H448" i="19"/>
  <c r="H449" i="19"/>
  <c r="H450" i="19"/>
  <c r="H451" i="19"/>
  <c r="H452" i="19"/>
  <c r="H453" i="19"/>
  <c r="H454" i="19"/>
  <c r="H455" i="19"/>
  <c r="H333" i="19"/>
  <c r="C1096" i="19"/>
  <c r="I1096" i="19" s="1"/>
  <c r="D1096" i="19"/>
  <c r="G1096" i="19" s="1"/>
  <c r="A1096" i="19" s="1"/>
  <c r="E1096" i="19"/>
  <c r="G1097" i="19"/>
  <c r="G1098" i="19"/>
  <c r="G1099" i="19"/>
  <c r="G1100" i="19"/>
  <c r="G1101" i="19"/>
  <c r="G1102" i="19"/>
  <c r="G1103" i="19"/>
  <c r="I1097" i="19"/>
  <c r="I1098" i="19"/>
  <c r="I1099" i="19"/>
  <c r="I1100" i="19"/>
  <c r="I1101" i="19"/>
  <c r="I1102" i="19"/>
  <c r="I1103" i="19"/>
  <c r="C953" i="19"/>
  <c r="D953" i="19"/>
  <c r="G953" i="19" s="1"/>
  <c r="E953" i="19"/>
  <c r="C954" i="19"/>
  <c r="D954" i="19"/>
  <c r="G954" i="19" s="1"/>
  <c r="E954" i="19"/>
  <c r="C955" i="19"/>
  <c r="D955" i="19"/>
  <c r="G955" i="19" s="1"/>
  <c r="E955" i="19"/>
  <c r="C956" i="19"/>
  <c r="D956" i="19"/>
  <c r="G956" i="19" s="1"/>
  <c r="E956" i="19"/>
  <c r="C957" i="19"/>
  <c r="D957" i="19"/>
  <c r="G957" i="19" s="1"/>
  <c r="E957" i="19"/>
  <c r="C958" i="19"/>
  <c r="D958" i="19"/>
  <c r="G958" i="19" s="1"/>
  <c r="E958" i="19"/>
  <c r="C959" i="19"/>
  <c r="D959" i="19"/>
  <c r="G959" i="19" s="1"/>
  <c r="E959" i="19"/>
  <c r="C960" i="19"/>
  <c r="D960" i="19"/>
  <c r="G960" i="19" s="1"/>
  <c r="E960" i="19"/>
  <c r="C961" i="19"/>
  <c r="D961" i="19"/>
  <c r="G961" i="19" s="1"/>
  <c r="E961" i="19"/>
  <c r="C962" i="19"/>
  <c r="D962" i="19"/>
  <c r="G962" i="19" s="1"/>
  <c r="E962" i="19"/>
  <c r="C963" i="19"/>
  <c r="D963" i="19"/>
  <c r="G963" i="19" s="1"/>
  <c r="E963" i="19"/>
  <c r="C964" i="19"/>
  <c r="D964" i="19"/>
  <c r="G964" i="19" s="1"/>
  <c r="E964" i="19"/>
  <c r="C965" i="19"/>
  <c r="I965" i="19" s="1"/>
  <c r="D965" i="19"/>
  <c r="G965" i="19" s="1"/>
  <c r="E965" i="19"/>
  <c r="C966" i="19"/>
  <c r="I966" i="19" s="1"/>
  <c r="D966" i="19"/>
  <c r="G966" i="19" s="1"/>
  <c r="E966" i="19"/>
  <c r="C967" i="19"/>
  <c r="D967" i="19"/>
  <c r="G967" i="19" s="1"/>
  <c r="E967" i="19"/>
  <c r="C968" i="19"/>
  <c r="D968" i="19"/>
  <c r="G968" i="19" s="1"/>
  <c r="E968" i="19"/>
  <c r="C969" i="19"/>
  <c r="D969" i="19"/>
  <c r="G969" i="19" s="1"/>
  <c r="E969" i="19"/>
  <c r="C970" i="19"/>
  <c r="D970" i="19"/>
  <c r="G970" i="19" s="1"/>
  <c r="E970" i="19"/>
  <c r="C971" i="19"/>
  <c r="D971" i="19"/>
  <c r="G971" i="19" s="1"/>
  <c r="E971" i="19"/>
  <c r="C972" i="19"/>
  <c r="D972" i="19"/>
  <c r="G972" i="19" s="1"/>
  <c r="E972" i="19"/>
  <c r="C973" i="19"/>
  <c r="D973" i="19"/>
  <c r="G973" i="19" s="1"/>
  <c r="E973" i="19"/>
  <c r="C974" i="19"/>
  <c r="D974" i="19"/>
  <c r="G974" i="19" s="1"/>
  <c r="E974" i="19"/>
  <c r="C975" i="19"/>
  <c r="D975" i="19"/>
  <c r="G975" i="19" s="1"/>
  <c r="E975" i="19"/>
  <c r="C976" i="19"/>
  <c r="D976" i="19"/>
  <c r="G976" i="19" s="1"/>
  <c r="E976" i="19"/>
  <c r="C977" i="19"/>
  <c r="D977" i="19"/>
  <c r="G977" i="19" s="1"/>
  <c r="E977" i="19"/>
  <c r="C978" i="19"/>
  <c r="D978" i="19"/>
  <c r="G978" i="19" s="1"/>
  <c r="E978" i="19"/>
  <c r="C979" i="19"/>
  <c r="D979" i="19"/>
  <c r="G979" i="19" s="1"/>
  <c r="E979" i="19"/>
  <c r="C980" i="19"/>
  <c r="D980" i="19"/>
  <c r="G980" i="19" s="1"/>
  <c r="E980" i="19"/>
  <c r="C981" i="19"/>
  <c r="D981" i="19"/>
  <c r="G981" i="19" s="1"/>
  <c r="E981" i="19"/>
  <c r="C982" i="19"/>
  <c r="D982" i="19"/>
  <c r="G982" i="19" s="1"/>
  <c r="E982" i="19"/>
  <c r="C983" i="19"/>
  <c r="D983" i="19"/>
  <c r="G983" i="19" s="1"/>
  <c r="E983" i="19"/>
  <c r="C984" i="19"/>
  <c r="D984" i="19"/>
  <c r="G984" i="19" s="1"/>
  <c r="E984" i="19"/>
  <c r="C985" i="19"/>
  <c r="D985" i="19"/>
  <c r="G985" i="19" s="1"/>
  <c r="E985" i="19"/>
  <c r="C986" i="19"/>
  <c r="D986" i="19"/>
  <c r="G986" i="19" s="1"/>
  <c r="E986" i="19"/>
  <c r="C987" i="19"/>
  <c r="D987" i="19"/>
  <c r="G987" i="19" s="1"/>
  <c r="E987" i="19"/>
  <c r="C988" i="19"/>
  <c r="D988" i="19"/>
  <c r="G988" i="19" s="1"/>
  <c r="E988" i="19"/>
  <c r="C989" i="19"/>
  <c r="I989" i="19" s="1"/>
  <c r="D989" i="19"/>
  <c r="G989" i="19" s="1"/>
  <c r="E989" i="19"/>
  <c r="C990" i="19"/>
  <c r="D990" i="19"/>
  <c r="G990" i="19" s="1"/>
  <c r="E990" i="19"/>
  <c r="C991" i="19"/>
  <c r="D991" i="19"/>
  <c r="G991" i="19" s="1"/>
  <c r="E991" i="19"/>
  <c r="C992" i="19"/>
  <c r="D992" i="19"/>
  <c r="G992" i="19" s="1"/>
  <c r="E992" i="19"/>
  <c r="C993" i="19"/>
  <c r="D993" i="19"/>
  <c r="G993" i="19" s="1"/>
  <c r="E993" i="19"/>
  <c r="C994" i="19"/>
  <c r="D994" i="19"/>
  <c r="G994" i="19" s="1"/>
  <c r="E994" i="19"/>
  <c r="C995" i="19"/>
  <c r="D995" i="19"/>
  <c r="G995" i="19" s="1"/>
  <c r="E995" i="19"/>
  <c r="C996" i="19"/>
  <c r="D996" i="19"/>
  <c r="G996" i="19" s="1"/>
  <c r="E996" i="19"/>
  <c r="C997" i="19"/>
  <c r="D997" i="19"/>
  <c r="G997" i="19" s="1"/>
  <c r="E997" i="19"/>
  <c r="C998" i="19"/>
  <c r="D998" i="19"/>
  <c r="G998" i="19" s="1"/>
  <c r="E998" i="19"/>
  <c r="C999" i="19"/>
  <c r="D999" i="19"/>
  <c r="G999" i="19" s="1"/>
  <c r="E999" i="19"/>
  <c r="C1000" i="19"/>
  <c r="D1000" i="19"/>
  <c r="G1000" i="19" s="1"/>
  <c r="E1000" i="19"/>
  <c r="C1001" i="19"/>
  <c r="D1001" i="19"/>
  <c r="G1001" i="19" s="1"/>
  <c r="E1001" i="19"/>
  <c r="C1002" i="19"/>
  <c r="D1002" i="19"/>
  <c r="G1002" i="19" s="1"/>
  <c r="E1002" i="19"/>
  <c r="C1003" i="19"/>
  <c r="D1003" i="19"/>
  <c r="G1003" i="19" s="1"/>
  <c r="E1003" i="19"/>
  <c r="C1004" i="19"/>
  <c r="D1004" i="19"/>
  <c r="G1004" i="19" s="1"/>
  <c r="E1004" i="19"/>
  <c r="C1005" i="19"/>
  <c r="D1005" i="19"/>
  <c r="G1005" i="19" s="1"/>
  <c r="E1005" i="19"/>
  <c r="C1006" i="19"/>
  <c r="D1006" i="19"/>
  <c r="G1006" i="19" s="1"/>
  <c r="E1006" i="19"/>
  <c r="C1007" i="19"/>
  <c r="D1007" i="19"/>
  <c r="G1007" i="19" s="1"/>
  <c r="E1007" i="19"/>
  <c r="C1008" i="19"/>
  <c r="D1008" i="19"/>
  <c r="G1008" i="19" s="1"/>
  <c r="E1008" i="19"/>
  <c r="C1009" i="19"/>
  <c r="D1009" i="19"/>
  <c r="G1009" i="19" s="1"/>
  <c r="E1009" i="19"/>
  <c r="C1010" i="19"/>
  <c r="D1010" i="19"/>
  <c r="G1010" i="19" s="1"/>
  <c r="E1010" i="19"/>
  <c r="C1011" i="19"/>
  <c r="D1011" i="19"/>
  <c r="G1011" i="19" s="1"/>
  <c r="E1011" i="19"/>
  <c r="C1012" i="19"/>
  <c r="D1012" i="19"/>
  <c r="G1012" i="19" s="1"/>
  <c r="E1012" i="19"/>
  <c r="C1013" i="19"/>
  <c r="D1013" i="19"/>
  <c r="G1013" i="19" s="1"/>
  <c r="E1013" i="19"/>
  <c r="C1014" i="19"/>
  <c r="D1014" i="19"/>
  <c r="G1014" i="19" s="1"/>
  <c r="E1014" i="19"/>
  <c r="C1015" i="19"/>
  <c r="D1015" i="19"/>
  <c r="G1015" i="19" s="1"/>
  <c r="E1015" i="19"/>
  <c r="C1016" i="19"/>
  <c r="D1016" i="19"/>
  <c r="G1016" i="19" s="1"/>
  <c r="E1016" i="19"/>
  <c r="C1017" i="19"/>
  <c r="D1017" i="19"/>
  <c r="G1017" i="19" s="1"/>
  <c r="E1017" i="19"/>
  <c r="C1018" i="19"/>
  <c r="D1018" i="19"/>
  <c r="G1018" i="19" s="1"/>
  <c r="E1018" i="19"/>
  <c r="C1019" i="19"/>
  <c r="D1019" i="19"/>
  <c r="G1019" i="19" s="1"/>
  <c r="E1019" i="19"/>
  <c r="C1020" i="19"/>
  <c r="D1020" i="19"/>
  <c r="G1020" i="19" s="1"/>
  <c r="E1020" i="19"/>
  <c r="C1021" i="19"/>
  <c r="D1021" i="19"/>
  <c r="G1021" i="19" s="1"/>
  <c r="E1021" i="19"/>
  <c r="C1022" i="19"/>
  <c r="D1022" i="19"/>
  <c r="G1022" i="19" s="1"/>
  <c r="E1022" i="19"/>
  <c r="C1023" i="19"/>
  <c r="D1023" i="19"/>
  <c r="G1023" i="19" s="1"/>
  <c r="E1023" i="19"/>
  <c r="C1024" i="19"/>
  <c r="D1024" i="19"/>
  <c r="G1024" i="19" s="1"/>
  <c r="E1024" i="19"/>
  <c r="C1025" i="19"/>
  <c r="D1025" i="19"/>
  <c r="G1025" i="19" s="1"/>
  <c r="E1025" i="19"/>
  <c r="C1026" i="19"/>
  <c r="D1026" i="19"/>
  <c r="G1026" i="19" s="1"/>
  <c r="E1026" i="19"/>
  <c r="C1027" i="19"/>
  <c r="D1027" i="19"/>
  <c r="G1027" i="19" s="1"/>
  <c r="E1027" i="19"/>
  <c r="C1028" i="19"/>
  <c r="D1028" i="19"/>
  <c r="G1028" i="19" s="1"/>
  <c r="E1028" i="19"/>
  <c r="C1029" i="19"/>
  <c r="D1029" i="19"/>
  <c r="G1029" i="19" s="1"/>
  <c r="E1029" i="19"/>
  <c r="C1030" i="19"/>
  <c r="D1030" i="19"/>
  <c r="G1030" i="19" s="1"/>
  <c r="E1030" i="19"/>
  <c r="C1031" i="19"/>
  <c r="D1031" i="19"/>
  <c r="G1031" i="19" s="1"/>
  <c r="E1031" i="19"/>
  <c r="C1032" i="19"/>
  <c r="D1032" i="19"/>
  <c r="G1032" i="19" s="1"/>
  <c r="E1032" i="19"/>
  <c r="C1033" i="19"/>
  <c r="D1033" i="19"/>
  <c r="G1033" i="19" s="1"/>
  <c r="E1033" i="19"/>
  <c r="C1034" i="19"/>
  <c r="D1034" i="19"/>
  <c r="G1034" i="19" s="1"/>
  <c r="E1034" i="19"/>
  <c r="C1035" i="19"/>
  <c r="D1035" i="19"/>
  <c r="G1035" i="19" s="1"/>
  <c r="E1035" i="19"/>
  <c r="C1036" i="19"/>
  <c r="D1036" i="19"/>
  <c r="G1036" i="19" s="1"/>
  <c r="E1036" i="19"/>
  <c r="C1037" i="19"/>
  <c r="D1037" i="19"/>
  <c r="G1037" i="19" s="1"/>
  <c r="E1037" i="19"/>
  <c r="C1038" i="19"/>
  <c r="D1038" i="19"/>
  <c r="G1038" i="19" s="1"/>
  <c r="E1038" i="19"/>
  <c r="C1039" i="19"/>
  <c r="D1039" i="19"/>
  <c r="G1039" i="19" s="1"/>
  <c r="E1039" i="19"/>
  <c r="C1040" i="19"/>
  <c r="D1040" i="19"/>
  <c r="G1040" i="19" s="1"/>
  <c r="E1040" i="19"/>
  <c r="C1041" i="19"/>
  <c r="D1041" i="19"/>
  <c r="G1041" i="19" s="1"/>
  <c r="E1041" i="19"/>
  <c r="C1042" i="19"/>
  <c r="D1042" i="19"/>
  <c r="G1042" i="19" s="1"/>
  <c r="E1042" i="19"/>
  <c r="C1043" i="19"/>
  <c r="D1043" i="19"/>
  <c r="G1043" i="19" s="1"/>
  <c r="E1043" i="19"/>
  <c r="C1044" i="19"/>
  <c r="D1044" i="19"/>
  <c r="G1044" i="19" s="1"/>
  <c r="E1044" i="19"/>
  <c r="C1045" i="19"/>
  <c r="D1045" i="19"/>
  <c r="G1045" i="19" s="1"/>
  <c r="E1045" i="19"/>
  <c r="C1046" i="19"/>
  <c r="D1046" i="19"/>
  <c r="G1046" i="19" s="1"/>
  <c r="E1046" i="19"/>
  <c r="C1047" i="19"/>
  <c r="D1047" i="19"/>
  <c r="G1047" i="19" s="1"/>
  <c r="E1047" i="19"/>
  <c r="C1048" i="19"/>
  <c r="D1048" i="19"/>
  <c r="G1048" i="19" s="1"/>
  <c r="E1048" i="19"/>
  <c r="C1049" i="19"/>
  <c r="D1049" i="19"/>
  <c r="G1049" i="19" s="1"/>
  <c r="E1049" i="19"/>
  <c r="C1050" i="19"/>
  <c r="D1050" i="19"/>
  <c r="G1050" i="19" s="1"/>
  <c r="E1050" i="19"/>
  <c r="C1051" i="19"/>
  <c r="D1051" i="19"/>
  <c r="G1051" i="19" s="1"/>
  <c r="E1051" i="19"/>
  <c r="C1052" i="19"/>
  <c r="D1052" i="19"/>
  <c r="G1052" i="19" s="1"/>
  <c r="E1052" i="19"/>
  <c r="C1053" i="19"/>
  <c r="D1053" i="19"/>
  <c r="G1053" i="19" s="1"/>
  <c r="E1053" i="19"/>
  <c r="C1054" i="19"/>
  <c r="D1054" i="19"/>
  <c r="G1054" i="19" s="1"/>
  <c r="E1054" i="19"/>
  <c r="C1055" i="19"/>
  <c r="D1055" i="19"/>
  <c r="G1055" i="19" s="1"/>
  <c r="E1055" i="19"/>
  <c r="C1056" i="19"/>
  <c r="D1056" i="19"/>
  <c r="G1056" i="19" s="1"/>
  <c r="E1056" i="19"/>
  <c r="C1057" i="19"/>
  <c r="D1057" i="19"/>
  <c r="G1057" i="19" s="1"/>
  <c r="E1057" i="19"/>
  <c r="C1058" i="19"/>
  <c r="D1058" i="19"/>
  <c r="G1058" i="19" s="1"/>
  <c r="E1058" i="19"/>
  <c r="C1059" i="19"/>
  <c r="D1059" i="19"/>
  <c r="G1059" i="19" s="1"/>
  <c r="E1059" i="19"/>
  <c r="C1060" i="19"/>
  <c r="D1060" i="19"/>
  <c r="G1060" i="19" s="1"/>
  <c r="E1060" i="19"/>
  <c r="C1061" i="19"/>
  <c r="D1061" i="19"/>
  <c r="G1061" i="19" s="1"/>
  <c r="E1061" i="19"/>
  <c r="C1062" i="19"/>
  <c r="D1062" i="19"/>
  <c r="G1062" i="19" s="1"/>
  <c r="E1062" i="19"/>
  <c r="C1063" i="19"/>
  <c r="D1063" i="19"/>
  <c r="G1063" i="19" s="1"/>
  <c r="E1063" i="19"/>
  <c r="C1064" i="19"/>
  <c r="D1064" i="19"/>
  <c r="G1064" i="19" s="1"/>
  <c r="E1064" i="19"/>
  <c r="C1065" i="19"/>
  <c r="D1065" i="19"/>
  <c r="G1065" i="19" s="1"/>
  <c r="E1065" i="19"/>
  <c r="C1066" i="19"/>
  <c r="D1066" i="19"/>
  <c r="G1066" i="19" s="1"/>
  <c r="E1066" i="19"/>
  <c r="C1067" i="19"/>
  <c r="D1067" i="19"/>
  <c r="G1067" i="19" s="1"/>
  <c r="E1067" i="19"/>
  <c r="C1068" i="19"/>
  <c r="D1068" i="19"/>
  <c r="G1068" i="19" s="1"/>
  <c r="E1068" i="19"/>
  <c r="C1069" i="19"/>
  <c r="D1069" i="19"/>
  <c r="G1069" i="19" s="1"/>
  <c r="E1069" i="19"/>
  <c r="C1070" i="19"/>
  <c r="D1070" i="19"/>
  <c r="G1070" i="19" s="1"/>
  <c r="E1070" i="19"/>
  <c r="C1071" i="19"/>
  <c r="D1071" i="19"/>
  <c r="G1071" i="19" s="1"/>
  <c r="E1071" i="19"/>
  <c r="C1072" i="19"/>
  <c r="D1072" i="19"/>
  <c r="G1072" i="19" s="1"/>
  <c r="E1072" i="19"/>
  <c r="C1073" i="19"/>
  <c r="D1073" i="19"/>
  <c r="G1073" i="19" s="1"/>
  <c r="E1073" i="19"/>
  <c r="C1074" i="19"/>
  <c r="D1074" i="19"/>
  <c r="G1074" i="19" s="1"/>
  <c r="E1074" i="19"/>
  <c r="C1075" i="19"/>
  <c r="D1075" i="19"/>
  <c r="G1075" i="19" s="1"/>
  <c r="E1075" i="19"/>
  <c r="C1076" i="19"/>
  <c r="D1076" i="19"/>
  <c r="G1076" i="19" s="1"/>
  <c r="E1076" i="19"/>
  <c r="C1077" i="19"/>
  <c r="D1077" i="19"/>
  <c r="G1077" i="19" s="1"/>
  <c r="E1077" i="19"/>
  <c r="C1078" i="19"/>
  <c r="D1078" i="19"/>
  <c r="G1078" i="19" s="1"/>
  <c r="E1078" i="19"/>
  <c r="C1079" i="19"/>
  <c r="D1079" i="19"/>
  <c r="G1079" i="19" s="1"/>
  <c r="E1079" i="19"/>
  <c r="C1080" i="19"/>
  <c r="D1080" i="19"/>
  <c r="G1080" i="19" s="1"/>
  <c r="E1080" i="19"/>
  <c r="C1081" i="19"/>
  <c r="D1081" i="19"/>
  <c r="G1081" i="19" s="1"/>
  <c r="E1081" i="19"/>
  <c r="C1082" i="19"/>
  <c r="D1082" i="19"/>
  <c r="G1082" i="19" s="1"/>
  <c r="E1082" i="19"/>
  <c r="C1083" i="19"/>
  <c r="D1083" i="19"/>
  <c r="G1083" i="19" s="1"/>
  <c r="E1083" i="19"/>
  <c r="C1084" i="19"/>
  <c r="D1084" i="19"/>
  <c r="G1084" i="19" s="1"/>
  <c r="E1084" i="19"/>
  <c r="C1085" i="19"/>
  <c r="D1085" i="19"/>
  <c r="G1085" i="19" s="1"/>
  <c r="E1085" i="19"/>
  <c r="C1086" i="19"/>
  <c r="D1086" i="19"/>
  <c r="G1086" i="19" s="1"/>
  <c r="E1086" i="19"/>
  <c r="C1087" i="19"/>
  <c r="D1087" i="19"/>
  <c r="G1087" i="19" s="1"/>
  <c r="E1087" i="19"/>
  <c r="C1088" i="19"/>
  <c r="D1088" i="19"/>
  <c r="G1088" i="19" s="1"/>
  <c r="E1088" i="19"/>
  <c r="C1089" i="19"/>
  <c r="D1089" i="19"/>
  <c r="G1089" i="19" s="1"/>
  <c r="E1089" i="19"/>
  <c r="C1090" i="19"/>
  <c r="D1090" i="19"/>
  <c r="G1090" i="19" s="1"/>
  <c r="E1090" i="19"/>
  <c r="C1091" i="19"/>
  <c r="I1091" i="19" s="1"/>
  <c r="D1091" i="19"/>
  <c r="G1091" i="19" s="1"/>
  <c r="E1091" i="19"/>
  <c r="C1092" i="19"/>
  <c r="I1092" i="19" s="1"/>
  <c r="D1092" i="19"/>
  <c r="G1092" i="19" s="1"/>
  <c r="E1092" i="19"/>
  <c r="C1093" i="19"/>
  <c r="I1093" i="19" s="1"/>
  <c r="D1093" i="19"/>
  <c r="G1093" i="19" s="1"/>
  <c r="E1093" i="19"/>
  <c r="C1094" i="19"/>
  <c r="I1094" i="19" s="1"/>
  <c r="D1094" i="19"/>
  <c r="G1094" i="19" s="1"/>
  <c r="E1094" i="19"/>
  <c r="C1095" i="19"/>
  <c r="I1095" i="19" s="1"/>
  <c r="D1095" i="19"/>
  <c r="G1095" i="19" s="1"/>
  <c r="E1095" i="19"/>
  <c r="G3" i="19"/>
  <c r="G4" i="19"/>
  <c r="A4" i="19" s="1"/>
  <c r="G5" i="19"/>
  <c r="A5" i="19" s="1"/>
  <c r="G6" i="19"/>
  <c r="A6" i="19" s="1"/>
  <c r="G7" i="19"/>
  <c r="A7" i="19" s="1"/>
  <c r="G8" i="19"/>
  <c r="A8" i="19" s="1"/>
  <c r="G9" i="19"/>
  <c r="A9" i="19" s="1"/>
  <c r="G10" i="19"/>
  <c r="A10" i="19" s="1"/>
  <c r="G11" i="19"/>
  <c r="A11" i="19" s="1"/>
  <c r="G12" i="19"/>
  <c r="A12" i="19" s="1"/>
  <c r="G13" i="19"/>
  <c r="A13" i="19" s="1"/>
  <c r="G14" i="19"/>
  <c r="A14" i="19" s="1"/>
  <c r="G15" i="19"/>
  <c r="A15" i="19" s="1"/>
  <c r="G16" i="19"/>
  <c r="A16" i="19" s="1"/>
  <c r="G17" i="19"/>
  <c r="A17" i="19" s="1"/>
  <c r="G18" i="19"/>
  <c r="A18" i="19" s="1"/>
  <c r="G19" i="19"/>
  <c r="A19" i="19" s="1"/>
  <c r="G20" i="19"/>
  <c r="A20" i="19" s="1"/>
  <c r="G21" i="19"/>
  <c r="A21" i="19" s="1"/>
  <c r="G22" i="19"/>
  <c r="A22" i="19" s="1"/>
  <c r="H23" i="19"/>
  <c r="G267" i="19"/>
  <c r="A267" i="19" s="1"/>
  <c r="E952" i="19"/>
  <c r="D952" i="19"/>
  <c r="G952" i="19" s="1"/>
  <c r="C952" i="19"/>
  <c r="E951" i="19"/>
  <c r="D951" i="19"/>
  <c r="G951" i="19" s="1"/>
  <c r="C951" i="19"/>
  <c r="E950" i="19"/>
  <c r="D950" i="19"/>
  <c r="G950" i="19" s="1"/>
  <c r="C950" i="19"/>
  <c r="E949" i="19"/>
  <c r="D949" i="19"/>
  <c r="G949" i="19" s="1"/>
  <c r="C949" i="19"/>
  <c r="E948" i="19"/>
  <c r="D948" i="19"/>
  <c r="G948" i="19" s="1"/>
  <c r="C948" i="19"/>
  <c r="E947" i="19"/>
  <c r="D947" i="19"/>
  <c r="G947" i="19" s="1"/>
  <c r="C947" i="19"/>
  <c r="E946" i="19"/>
  <c r="D946" i="19"/>
  <c r="G946" i="19" s="1"/>
  <c r="C946" i="19"/>
  <c r="E945" i="19"/>
  <c r="D945" i="19"/>
  <c r="G945" i="19" s="1"/>
  <c r="C945" i="19"/>
  <c r="E944" i="19"/>
  <c r="D944" i="19"/>
  <c r="G944" i="19" s="1"/>
  <c r="C944" i="19"/>
  <c r="E943" i="19"/>
  <c r="D943" i="19"/>
  <c r="G943" i="19" s="1"/>
  <c r="C943" i="19"/>
  <c r="E942" i="19"/>
  <c r="D942" i="19"/>
  <c r="G942" i="19" s="1"/>
  <c r="C942" i="19"/>
  <c r="E941" i="19"/>
  <c r="D941" i="19"/>
  <c r="G941" i="19" s="1"/>
  <c r="C941" i="19"/>
  <c r="E940" i="19"/>
  <c r="D940" i="19"/>
  <c r="G940" i="19" s="1"/>
  <c r="C940" i="19"/>
  <c r="E939" i="19"/>
  <c r="D939" i="19"/>
  <c r="G939" i="19" s="1"/>
  <c r="C939" i="19"/>
  <c r="E938" i="19"/>
  <c r="D938" i="19"/>
  <c r="G938" i="19" s="1"/>
  <c r="C938" i="19"/>
  <c r="I938" i="19" s="1"/>
  <c r="E937" i="19"/>
  <c r="D937" i="19"/>
  <c r="G937" i="19" s="1"/>
  <c r="C937" i="19"/>
  <c r="E936" i="19"/>
  <c r="D936" i="19"/>
  <c r="G936" i="19" s="1"/>
  <c r="C936" i="19"/>
  <c r="E935" i="19"/>
  <c r="D935" i="19"/>
  <c r="G935" i="19" s="1"/>
  <c r="C935" i="19"/>
  <c r="E934" i="19"/>
  <c r="D934" i="19"/>
  <c r="G934" i="19" s="1"/>
  <c r="C934" i="19"/>
  <c r="E933" i="19"/>
  <c r="D933" i="19"/>
  <c r="G933" i="19" s="1"/>
  <c r="C933" i="19"/>
  <c r="E932" i="19"/>
  <c r="D932" i="19"/>
  <c r="G932" i="19" s="1"/>
  <c r="C932" i="19"/>
  <c r="E931" i="19"/>
  <c r="D931" i="19"/>
  <c r="G931" i="19" s="1"/>
  <c r="C931" i="19"/>
  <c r="I931" i="19" s="1"/>
  <c r="E930" i="19"/>
  <c r="D930" i="19"/>
  <c r="G930" i="19" s="1"/>
  <c r="C930" i="19"/>
  <c r="E929" i="19"/>
  <c r="D929" i="19"/>
  <c r="G929" i="19" s="1"/>
  <c r="C929" i="19"/>
  <c r="E928" i="19"/>
  <c r="D928" i="19"/>
  <c r="G928" i="19" s="1"/>
  <c r="C928" i="19"/>
  <c r="E927" i="19"/>
  <c r="D927" i="19"/>
  <c r="G927" i="19" s="1"/>
  <c r="C927" i="19"/>
  <c r="E926" i="19"/>
  <c r="D926" i="19"/>
  <c r="G926" i="19" s="1"/>
  <c r="C926" i="19"/>
  <c r="E925" i="19"/>
  <c r="D925" i="19"/>
  <c r="G925" i="19" s="1"/>
  <c r="C925" i="19"/>
  <c r="E924" i="19"/>
  <c r="D924" i="19"/>
  <c r="G924" i="19" s="1"/>
  <c r="C924" i="19"/>
  <c r="E923" i="19"/>
  <c r="D923" i="19"/>
  <c r="G923" i="19" s="1"/>
  <c r="C923" i="19"/>
  <c r="E922" i="19"/>
  <c r="D922" i="19"/>
  <c r="G922" i="19" s="1"/>
  <c r="C922" i="19"/>
  <c r="I922" i="19" s="1"/>
  <c r="E921" i="19"/>
  <c r="D921" i="19"/>
  <c r="G921" i="19" s="1"/>
  <c r="C921" i="19"/>
  <c r="E920" i="19"/>
  <c r="D920" i="19"/>
  <c r="G920" i="19" s="1"/>
  <c r="C920" i="19"/>
  <c r="E919" i="19"/>
  <c r="D919" i="19"/>
  <c r="G919" i="19" s="1"/>
  <c r="C919" i="19"/>
  <c r="E918" i="19"/>
  <c r="D918" i="19"/>
  <c r="G918" i="19" s="1"/>
  <c r="C918" i="19"/>
  <c r="E917" i="19"/>
  <c r="D917" i="19"/>
  <c r="G917" i="19" s="1"/>
  <c r="C917" i="19"/>
  <c r="E916" i="19"/>
  <c r="D916" i="19"/>
  <c r="G916" i="19" s="1"/>
  <c r="C916" i="19"/>
  <c r="E915" i="19"/>
  <c r="D915" i="19"/>
  <c r="G915" i="19" s="1"/>
  <c r="C915" i="19"/>
  <c r="I915" i="19" s="1"/>
  <c r="E914" i="19"/>
  <c r="D914" i="19"/>
  <c r="G914" i="19" s="1"/>
  <c r="C914" i="19"/>
  <c r="E913" i="19"/>
  <c r="D913" i="19"/>
  <c r="C913" i="19"/>
  <c r="E912" i="19"/>
  <c r="D912" i="19"/>
  <c r="G912" i="19" s="1"/>
  <c r="C912" i="19"/>
  <c r="E911" i="19"/>
  <c r="D911" i="19"/>
  <c r="G911" i="19" s="1"/>
  <c r="C911" i="19"/>
  <c r="E910" i="19"/>
  <c r="D910" i="19"/>
  <c r="C910" i="19"/>
  <c r="E909" i="19"/>
  <c r="D909" i="19"/>
  <c r="G909" i="19" s="1"/>
  <c r="C909" i="19"/>
  <c r="E908" i="19"/>
  <c r="D908" i="19"/>
  <c r="G908" i="19" s="1"/>
  <c r="C908" i="19"/>
  <c r="E907" i="19"/>
  <c r="D907" i="19"/>
  <c r="G907" i="19" s="1"/>
  <c r="C907" i="19"/>
  <c r="E906" i="19"/>
  <c r="D906" i="19"/>
  <c r="G906" i="19" s="1"/>
  <c r="C906" i="19"/>
  <c r="I906" i="19" s="1"/>
  <c r="E905" i="19"/>
  <c r="D905" i="19"/>
  <c r="G905" i="19" s="1"/>
  <c r="C905" i="19"/>
  <c r="E904" i="19"/>
  <c r="D904" i="19"/>
  <c r="G904" i="19" s="1"/>
  <c r="C904" i="19"/>
  <c r="E903" i="19"/>
  <c r="D903" i="19"/>
  <c r="G903" i="19" s="1"/>
  <c r="C903" i="19"/>
  <c r="E902" i="19"/>
  <c r="D902" i="19"/>
  <c r="G902" i="19" s="1"/>
  <c r="C902" i="19"/>
  <c r="E901" i="19"/>
  <c r="D901" i="19"/>
  <c r="G901" i="19" s="1"/>
  <c r="C901" i="19"/>
  <c r="E900" i="19"/>
  <c r="D900" i="19"/>
  <c r="G900" i="19" s="1"/>
  <c r="C900" i="19"/>
  <c r="E899" i="19"/>
  <c r="D899" i="19"/>
  <c r="G899" i="19" s="1"/>
  <c r="C899" i="19"/>
  <c r="I899" i="19" s="1"/>
  <c r="E898" i="19"/>
  <c r="D898" i="19"/>
  <c r="G898" i="19" s="1"/>
  <c r="C898" i="19"/>
  <c r="E897" i="19"/>
  <c r="D897" i="19"/>
  <c r="G897" i="19" s="1"/>
  <c r="C897" i="19"/>
  <c r="E896" i="19"/>
  <c r="D896" i="19"/>
  <c r="G896" i="19" s="1"/>
  <c r="C896" i="19"/>
  <c r="E895" i="19"/>
  <c r="D895" i="19"/>
  <c r="G895" i="19" s="1"/>
  <c r="C895" i="19"/>
  <c r="E894" i="19"/>
  <c r="D894" i="19"/>
  <c r="C894" i="19"/>
  <c r="E893" i="19"/>
  <c r="D893" i="19"/>
  <c r="G893" i="19" s="1"/>
  <c r="C893" i="19"/>
  <c r="E892" i="19"/>
  <c r="D892" i="19"/>
  <c r="G892" i="19" s="1"/>
  <c r="C892" i="19"/>
  <c r="E891" i="19"/>
  <c r="D891" i="19"/>
  <c r="C891" i="19"/>
  <c r="E890" i="19"/>
  <c r="D890" i="19"/>
  <c r="G890" i="19" s="1"/>
  <c r="C890" i="19"/>
  <c r="I890" i="19" s="1"/>
  <c r="E889" i="19"/>
  <c r="D889" i="19"/>
  <c r="G889" i="19" s="1"/>
  <c r="C889" i="19"/>
  <c r="E888" i="19"/>
  <c r="D888" i="19"/>
  <c r="G888" i="19" s="1"/>
  <c r="C888" i="19"/>
  <c r="E887" i="19"/>
  <c r="D887" i="19"/>
  <c r="G887" i="19" s="1"/>
  <c r="C887" i="19"/>
  <c r="E886" i="19"/>
  <c r="D886" i="19"/>
  <c r="G886" i="19" s="1"/>
  <c r="C886" i="19"/>
  <c r="E885" i="19"/>
  <c r="D885" i="19"/>
  <c r="G885" i="19" s="1"/>
  <c r="C885" i="19"/>
  <c r="E884" i="19"/>
  <c r="D884" i="19"/>
  <c r="G884" i="19" s="1"/>
  <c r="C884" i="19"/>
  <c r="E883" i="19"/>
  <c r="D883" i="19"/>
  <c r="G883" i="19" s="1"/>
  <c r="C883" i="19"/>
  <c r="I883" i="19" s="1"/>
  <c r="E882" i="19"/>
  <c r="D882" i="19"/>
  <c r="G882" i="19" s="1"/>
  <c r="C882" i="19"/>
  <c r="E881" i="19"/>
  <c r="D881" i="19"/>
  <c r="G881" i="19" s="1"/>
  <c r="C881" i="19"/>
  <c r="E880" i="19"/>
  <c r="D880" i="19"/>
  <c r="G880" i="19" s="1"/>
  <c r="C880" i="19"/>
  <c r="E879" i="19"/>
  <c r="D879" i="19"/>
  <c r="G879" i="19" s="1"/>
  <c r="C879" i="19"/>
  <c r="E878" i="19"/>
  <c r="D878" i="19"/>
  <c r="C878" i="19"/>
  <c r="E877" i="19"/>
  <c r="D877" i="19"/>
  <c r="G877" i="19" s="1"/>
  <c r="C877" i="19"/>
  <c r="E876" i="19"/>
  <c r="D876" i="19"/>
  <c r="G876" i="19" s="1"/>
  <c r="C876" i="19"/>
  <c r="E875" i="19"/>
  <c r="D875" i="19"/>
  <c r="G875" i="19" s="1"/>
  <c r="C875" i="19"/>
  <c r="E874" i="19"/>
  <c r="D874" i="19"/>
  <c r="G874" i="19" s="1"/>
  <c r="C874" i="19"/>
  <c r="I874" i="19" s="1"/>
  <c r="E873" i="19"/>
  <c r="D873" i="19"/>
  <c r="G873" i="19" s="1"/>
  <c r="C873" i="19"/>
  <c r="E872" i="19"/>
  <c r="D872" i="19"/>
  <c r="G872" i="19" s="1"/>
  <c r="C872" i="19"/>
  <c r="E871" i="19"/>
  <c r="D871" i="19"/>
  <c r="G871" i="19" s="1"/>
  <c r="C871" i="19"/>
  <c r="E870" i="19"/>
  <c r="D870" i="19"/>
  <c r="G870" i="19" s="1"/>
  <c r="C870" i="19"/>
  <c r="E869" i="19"/>
  <c r="D869" i="19"/>
  <c r="G869" i="19" s="1"/>
  <c r="C869" i="19"/>
  <c r="E868" i="19"/>
  <c r="D868" i="19"/>
  <c r="C868" i="19"/>
  <c r="E867" i="19"/>
  <c r="D867" i="19"/>
  <c r="G867" i="19" s="1"/>
  <c r="C867" i="19"/>
  <c r="E866" i="19"/>
  <c r="D866" i="19"/>
  <c r="G866" i="19" s="1"/>
  <c r="C866" i="19"/>
  <c r="E865" i="19"/>
  <c r="D865" i="19"/>
  <c r="C865" i="19"/>
  <c r="E864" i="19"/>
  <c r="D864" i="19"/>
  <c r="G864" i="19" s="1"/>
  <c r="C864" i="19"/>
  <c r="E863" i="19"/>
  <c r="D863" i="19"/>
  <c r="G863" i="19" s="1"/>
  <c r="C863" i="19"/>
  <c r="I863" i="19" s="1"/>
  <c r="E862" i="19"/>
  <c r="D862" i="19"/>
  <c r="G862" i="19" s="1"/>
  <c r="C862" i="19"/>
  <c r="E861" i="19"/>
  <c r="D861" i="19"/>
  <c r="G861" i="19" s="1"/>
  <c r="C861" i="19"/>
  <c r="E860" i="19"/>
  <c r="D860" i="19"/>
  <c r="C860" i="19"/>
  <c r="E859" i="19"/>
  <c r="D859" i="19"/>
  <c r="C859" i="19"/>
  <c r="E858" i="19"/>
  <c r="D858" i="19"/>
  <c r="G858" i="19" s="1"/>
  <c r="C858" i="19"/>
  <c r="I858" i="19" s="1"/>
  <c r="E857" i="19"/>
  <c r="D857" i="19"/>
  <c r="G857" i="19" s="1"/>
  <c r="C857" i="19"/>
  <c r="E856" i="19"/>
  <c r="D856" i="19"/>
  <c r="G856" i="19" s="1"/>
  <c r="C856" i="19"/>
  <c r="E855" i="19"/>
  <c r="D855" i="19"/>
  <c r="G855" i="19" s="1"/>
  <c r="C855" i="19"/>
  <c r="E854" i="19"/>
  <c r="D854" i="19"/>
  <c r="G854" i="19" s="1"/>
  <c r="C854" i="19"/>
  <c r="I854" i="19" s="1"/>
  <c r="E853" i="19"/>
  <c r="D853" i="19"/>
  <c r="G853" i="19" s="1"/>
  <c r="C853" i="19"/>
  <c r="E852" i="19"/>
  <c r="D852" i="19"/>
  <c r="C852" i="19"/>
  <c r="E851" i="19"/>
  <c r="D851" i="19"/>
  <c r="G851" i="19" s="1"/>
  <c r="C851" i="19"/>
  <c r="E850" i="19"/>
  <c r="D850" i="19"/>
  <c r="G850" i="19" s="1"/>
  <c r="C850" i="19"/>
  <c r="E849" i="19"/>
  <c r="D849" i="19"/>
  <c r="C849" i="19"/>
  <c r="E848" i="19"/>
  <c r="D848" i="19"/>
  <c r="G848" i="19" s="1"/>
  <c r="C848" i="19"/>
  <c r="E847" i="19"/>
  <c r="D847" i="19"/>
  <c r="G847" i="19" s="1"/>
  <c r="C847" i="19"/>
  <c r="I847" i="19" s="1"/>
  <c r="E846" i="19"/>
  <c r="D846" i="19"/>
  <c r="G846" i="19" s="1"/>
  <c r="C846" i="19"/>
  <c r="E845" i="19"/>
  <c r="D845" i="19"/>
  <c r="G845" i="19" s="1"/>
  <c r="C845" i="19"/>
  <c r="E844" i="19"/>
  <c r="D844" i="19"/>
  <c r="G844" i="19" s="1"/>
  <c r="C844" i="19"/>
  <c r="E843" i="19"/>
  <c r="D843" i="19"/>
  <c r="G843" i="19" s="1"/>
  <c r="C843" i="19"/>
  <c r="E842" i="19"/>
  <c r="D842" i="19"/>
  <c r="G842" i="19" s="1"/>
  <c r="C842" i="19"/>
  <c r="I842" i="19" s="1"/>
  <c r="E841" i="19"/>
  <c r="D841" i="19"/>
  <c r="G841" i="19" s="1"/>
  <c r="C841" i="19"/>
  <c r="E840" i="19"/>
  <c r="D840" i="19"/>
  <c r="G840" i="19" s="1"/>
  <c r="C840" i="19"/>
  <c r="E839" i="19"/>
  <c r="D839" i="19"/>
  <c r="C839" i="19"/>
  <c r="I839" i="19" s="1"/>
  <c r="E838" i="19"/>
  <c r="D838" i="19"/>
  <c r="G838" i="19" s="1"/>
  <c r="C838" i="19"/>
  <c r="I838" i="19" s="1"/>
  <c r="E837" i="19"/>
  <c r="D837" i="19"/>
  <c r="G837" i="19" s="1"/>
  <c r="C837" i="19"/>
  <c r="I837" i="19" s="1"/>
  <c r="E836" i="19"/>
  <c r="D836" i="19"/>
  <c r="G836" i="19" s="1"/>
  <c r="C836" i="19"/>
  <c r="E835" i="19"/>
  <c r="D835" i="19"/>
  <c r="G835" i="19" s="1"/>
  <c r="C835" i="19"/>
  <c r="E834" i="19"/>
  <c r="D834" i="19"/>
  <c r="G834" i="19" s="1"/>
  <c r="C834" i="19"/>
  <c r="E833" i="19"/>
  <c r="D833" i="19"/>
  <c r="G833" i="19" s="1"/>
  <c r="C833" i="19"/>
  <c r="E832" i="19"/>
  <c r="D832" i="19"/>
  <c r="G832" i="19" s="1"/>
  <c r="C832" i="19"/>
  <c r="E831" i="19"/>
  <c r="D831" i="19"/>
  <c r="G831" i="19" s="1"/>
  <c r="C831" i="19"/>
  <c r="I831" i="19" s="1"/>
  <c r="E830" i="19"/>
  <c r="D830" i="19"/>
  <c r="G830" i="19" s="1"/>
  <c r="C830" i="19"/>
  <c r="E829" i="19"/>
  <c r="D829" i="19"/>
  <c r="G829" i="19" s="1"/>
  <c r="C829" i="19"/>
  <c r="E828" i="19"/>
  <c r="D828" i="19"/>
  <c r="G828" i="19" s="1"/>
  <c r="C828" i="19"/>
  <c r="E827" i="19"/>
  <c r="D827" i="19"/>
  <c r="G827" i="19" s="1"/>
  <c r="C827" i="19"/>
  <c r="E826" i="19"/>
  <c r="D826" i="19"/>
  <c r="G826" i="19" s="1"/>
  <c r="C826" i="19"/>
  <c r="I826" i="19" s="1"/>
  <c r="E825" i="19"/>
  <c r="D825" i="19"/>
  <c r="G825" i="19" s="1"/>
  <c r="C825" i="19"/>
  <c r="E824" i="19"/>
  <c r="D824" i="19"/>
  <c r="G824" i="19" s="1"/>
  <c r="C824" i="19"/>
  <c r="E823" i="19"/>
  <c r="D823" i="19"/>
  <c r="C823" i="19"/>
  <c r="E822" i="19"/>
  <c r="D822" i="19"/>
  <c r="G822" i="19" s="1"/>
  <c r="C822" i="19"/>
  <c r="E821" i="19"/>
  <c r="D821" i="19"/>
  <c r="G821" i="19" s="1"/>
  <c r="C821" i="19"/>
  <c r="E820" i="19"/>
  <c r="D820" i="19"/>
  <c r="G820" i="19" s="1"/>
  <c r="C820" i="19"/>
  <c r="E819" i="19"/>
  <c r="D819" i="19"/>
  <c r="G819" i="19" s="1"/>
  <c r="C819" i="19"/>
  <c r="E818" i="19"/>
  <c r="D818" i="19"/>
  <c r="G818" i="19" s="1"/>
  <c r="C818" i="19"/>
  <c r="E817" i="19"/>
  <c r="D817" i="19"/>
  <c r="G817" i="19" s="1"/>
  <c r="C817" i="19"/>
  <c r="E816" i="19"/>
  <c r="D816" i="19"/>
  <c r="C816" i="19"/>
  <c r="E815" i="19"/>
  <c r="D815" i="19"/>
  <c r="G815" i="19" s="1"/>
  <c r="C815" i="19"/>
  <c r="I815" i="19" s="1"/>
  <c r="E814" i="19"/>
  <c r="D814" i="19"/>
  <c r="G814" i="19" s="1"/>
  <c r="C814" i="19"/>
  <c r="E813" i="19"/>
  <c r="D813" i="19"/>
  <c r="G813" i="19" s="1"/>
  <c r="C813" i="19"/>
  <c r="E812" i="19"/>
  <c r="D812" i="19"/>
  <c r="G812" i="19" s="1"/>
  <c r="C812" i="19"/>
  <c r="E811" i="19"/>
  <c r="D811" i="19"/>
  <c r="G811" i="19" s="1"/>
  <c r="C811" i="19"/>
  <c r="E810" i="19"/>
  <c r="D810" i="19"/>
  <c r="G810" i="19" s="1"/>
  <c r="C810" i="19"/>
  <c r="E809" i="19"/>
  <c r="D809" i="19"/>
  <c r="G809" i="19" s="1"/>
  <c r="C809" i="19"/>
  <c r="E808" i="19"/>
  <c r="D808" i="19"/>
  <c r="G808" i="19" s="1"/>
  <c r="C808" i="19"/>
  <c r="E807" i="19"/>
  <c r="D807" i="19"/>
  <c r="G807" i="19" s="1"/>
  <c r="C807" i="19"/>
  <c r="E806" i="19"/>
  <c r="D806" i="19"/>
  <c r="C806" i="19"/>
  <c r="E805" i="19"/>
  <c r="D805" i="19"/>
  <c r="G805" i="19" s="1"/>
  <c r="C805" i="19"/>
  <c r="E804" i="19"/>
  <c r="D804" i="19"/>
  <c r="G804" i="19" s="1"/>
  <c r="C804" i="19"/>
  <c r="E803" i="19"/>
  <c r="D803" i="19"/>
  <c r="G803" i="19" s="1"/>
  <c r="C803" i="19"/>
  <c r="E802" i="19"/>
  <c r="D802" i="19"/>
  <c r="G802" i="19" s="1"/>
  <c r="C802" i="19"/>
  <c r="E801" i="19"/>
  <c r="D801" i="19"/>
  <c r="G801" i="19" s="1"/>
  <c r="C801" i="19"/>
  <c r="E800" i="19"/>
  <c r="D800" i="19"/>
  <c r="C800" i="19"/>
  <c r="E799" i="19"/>
  <c r="D799" i="19"/>
  <c r="C799" i="19"/>
  <c r="I799" i="19" s="1"/>
  <c r="E798" i="19"/>
  <c r="D798" i="19"/>
  <c r="G798" i="19" s="1"/>
  <c r="C798" i="19"/>
  <c r="E797" i="19"/>
  <c r="D797" i="19"/>
  <c r="G797" i="19" s="1"/>
  <c r="C797" i="19"/>
  <c r="E796" i="19"/>
  <c r="D796" i="19"/>
  <c r="G796" i="19" s="1"/>
  <c r="C796" i="19"/>
  <c r="E795" i="19"/>
  <c r="D795" i="19"/>
  <c r="G795" i="19" s="1"/>
  <c r="C795" i="19"/>
  <c r="E794" i="19"/>
  <c r="D794" i="19"/>
  <c r="G794" i="19" s="1"/>
  <c r="C794" i="19"/>
  <c r="E793" i="19"/>
  <c r="D793" i="19"/>
  <c r="G793" i="19" s="1"/>
  <c r="C793" i="19"/>
  <c r="E792" i="19"/>
  <c r="D792" i="19"/>
  <c r="G792" i="19" s="1"/>
  <c r="C792" i="19"/>
  <c r="E791" i="19"/>
  <c r="D791" i="19"/>
  <c r="G791" i="19" s="1"/>
  <c r="C791" i="19"/>
  <c r="E790" i="19"/>
  <c r="D790" i="19"/>
  <c r="C790" i="19"/>
  <c r="I790" i="19" s="1"/>
  <c r="E789" i="19"/>
  <c r="D789" i="19"/>
  <c r="G789" i="19" s="1"/>
  <c r="C789" i="19"/>
  <c r="E788" i="19"/>
  <c r="D788" i="19"/>
  <c r="G788" i="19" s="1"/>
  <c r="C788" i="19"/>
  <c r="E787" i="19"/>
  <c r="D787" i="19"/>
  <c r="G787" i="19" s="1"/>
  <c r="C787" i="19"/>
  <c r="E786" i="19"/>
  <c r="D786" i="19"/>
  <c r="G786" i="19" s="1"/>
  <c r="C786" i="19"/>
  <c r="E785" i="19"/>
  <c r="D785" i="19"/>
  <c r="G785" i="19" s="1"/>
  <c r="C785" i="19"/>
  <c r="E784" i="19"/>
  <c r="D784" i="19"/>
  <c r="G784" i="19" s="1"/>
  <c r="C784" i="19"/>
  <c r="E783" i="19"/>
  <c r="D783" i="19"/>
  <c r="G783" i="19" s="1"/>
  <c r="C783" i="19"/>
  <c r="E782" i="19"/>
  <c r="D782" i="19"/>
  <c r="G782" i="19" s="1"/>
  <c r="C782" i="19"/>
  <c r="E781" i="19"/>
  <c r="D781" i="19"/>
  <c r="G781" i="19" s="1"/>
  <c r="C781" i="19"/>
  <c r="E780" i="19"/>
  <c r="D780" i="19"/>
  <c r="G780" i="19" s="1"/>
  <c r="C780" i="19"/>
  <c r="E779" i="19"/>
  <c r="D779" i="19"/>
  <c r="G779" i="19" s="1"/>
  <c r="C779" i="19"/>
  <c r="E778" i="19"/>
  <c r="D778" i="19"/>
  <c r="G778" i="19" s="1"/>
  <c r="C778" i="19"/>
  <c r="I778" i="19" s="1"/>
  <c r="E777" i="19"/>
  <c r="D777" i="19"/>
  <c r="G777" i="19" s="1"/>
  <c r="C777" i="19"/>
  <c r="E776" i="19"/>
  <c r="D776" i="19"/>
  <c r="G776" i="19" s="1"/>
  <c r="C776" i="19"/>
  <c r="E775" i="19"/>
  <c r="D775" i="19"/>
  <c r="G775" i="19" s="1"/>
  <c r="C775" i="19"/>
  <c r="E774" i="19"/>
  <c r="D774" i="19"/>
  <c r="G774" i="19" s="1"/>
  <c r="C774" i="19"/>
  <c r="I774" i="19" s="1"/>
  <c r="E773" i="19"/>
  <c r="D773" i="19"/>
  <c r="G773" i="19" s="1"/>
  <c r="C773" i="19"/>
  <c r="E772" i="19"/>
  <c r="D772" i="19"/>
  <c r="G772" i="19" s="1"/>
  <c r="C772" i="19"/>
  <c r="E771" i="19"/>
  <c r="D771" i="19"/>
  <c r="G771" i="19" s="1"/>
  <c r="C771" i="19"/>
  <c r="E770" i="19"/>
  <c r="D770" i="19"/>
  <c r="G770" i="19" s="1"/>
  <c r="C770" i="19"/>
  <c r="E769" i="19"/>
  <c r="D769" i="19"/>
  <c r="G769" i="19" s="1"/>
  <c r="C769" i="19"/>
  <c r="E768" i="19"/>
  <c r="D768" i="19"/>
  <c r="C768" i="19"/>
  <c r="E767" i="19"/>
  <c r="D767" i="19"/>
  <c r="G767" i="19" s="1"/>
  <c r="C767" i="19"/>
  <c r="E766" i="19"/>
  <c r="D766" i="19"/>
  <c r="G766" i="19" s="1"/>
  <c r="C766" i="19"/>
  <c r="E765" i="19"/>
  <c r="D765" i="19"/>
  <c r="G765" i="19" s="1"/>
  <c r="C765" i="19"/>
  <c r="E764" i="19"/>
  <c r="D764" i="19"/>
  <c r="G764" i="19" s="1"/>
  <c r="C764" i="19"/>
  <c r="E763" i="19"/>
  <c r="D763" i="19"/>
  <c r="G763" i="19" s="1"/>
  <c r="C763" i="19"/>
  <c r="E762" i="19"/>
  <c r="D762" i="19"/>
  <c r="G762" i="19" s="1"/>
  <c r="C762" i="19"/>
  <c r="E761" i="19"/>
  <c r="D761" i="19"/>
  <c r="G761" i="19" s="1"/>
  <c r="C761" i="19"/>
  <c r="E760" i="19"/>
  <c r="D760" i="19"/>
  <c r="G760" i="19" s="1"/>
  <c r="C760" i="19"/>
  <c r="E759" i="19"/>
  <c r="D759" i="19"/>
  <c r="G759" i="19" s="1"/>
  <c r="C759" i="19"/>
  <c r="E758" i="19"/>
  <c r="D758" i="19"/>
  <c r="C758" i="19"/>
  <c r="I758" i="19" s="1"/>
  <c r="E757" i="19"/>
  <c r="D757" i="19"/>
  <c r="G757" i="19" s="1"/>
  <c r="C757" i="19"/>
  <c r="E756" i="19"/>
  <c r="D756" i="19"/>
  <c r="G756" i="19" s="1"/>
  <c r="C756" i="19"/>
  <c r="E755" i="19"/>
  <c r="D755" i="19"/>
  <c r="G755" i="19" s="1"/>
  <c r="C755" i="19"/>
  <c r="E754" i="19"/>
  <c r="D754" i="19"/>
  <c r="G754" i="19" s="1"/>
  <c r="C754" i="19"/>
  <c r="E753" i="19"/>
  <c r="D753" i="19"/>
  <c r="G753" i="19" s="1"/>
  <c r="C753" i="19"/>
  <c r="E752" i="19"/>
  <c r="D752" i="19"/>
  <c r="C752" i="19"/>
  <c r="E751" i="19"/>
  <c r="D751" i="19"/>
  <c r="G751" i="19" s="1"/>
  <c r="C751" i="19"/>
  <c r="E750" i="19"/>
  <c r="D750" i="19"/>
  <c r="G750" i="19" s="1"/>
  <c r="C750" i="19"/>
  <c r="E749" i="19"/>
  <c r="D749" i="19"/>
  <c r="G749" i="19" s="1"/>
  <c r="C749" i="19"/>
  <c r="E748" i="19"/>
  <c r="D748" i="19"/>
  <c r="G748" i="19" s="1"/>
  <c r="C748" i="19"/>
  <c r="E747" i="19"/>
  <c r="D747" i="19"/>
  <c r="G747" i="19" s="1"/>
  <c r="C747" i="19"/>
  <c r="E746" i="19"/>
  <c r="D746" i="19"/>
  <c r="G746" i="19" s="1"/>
  <c r="C746" i="19"/>
  <c r="E745" i="19"/>
  <c r="D745" i="19"/>
  <c r="G745" i="19" s="1"/>
  <c r="C745" i="19"/>
  <c r="E744" i="19"/>
  <c r="D744" i="19"/>
  <c r="G744" i="19" s="1"/>
  <c r="C744" i="19"/>
  <c r="E743" i="19"/>
  <c r="D743" i="19"/>
  <c r="G743" i="19" s="1"/>
  <c r="C743" i="19"/>
  <c r="E742" i="19"/>
  <c r="D742" i="19"/>
  <c r="C742" i="19"/>
  <c r="I742" i="19" s="1"/>
  <c r="E741" i="19"/>
  <c r="D741" i="19"/>
  <c r="G741" i="19" s="1"/>
  <c r="C741" i="19"/>
  <c r="E740" i="19"/>
  <c r="D740" i="19"/>
  <c r="G740" i="19" s="1"/>
  <c r="C740" i="19"/>
  <c r="E739" i="19"/>
  <c r="D739" i="19"/>
  <c r="G739" i="19" s="1"/>
  <c r="C739" i="19"/>
  <c r="E738" i="19"/>
  <c r="D738" i="19"/>
  <c r="G738" i="19" s="1"/>
  <c r="C738" i="19"/>
  <c r="E737" i="19"/>
  <c r="D737" i="19"/>
  <c r="G737" i="19" s="1"/>
  <c r="C737" i="19"/>
  <c r="E736" i="19"/>
  <c r="D736" i="19"/>
  <c r="C736" i="19"/>
  <c r="E735" i="19"/>
  <c r="D735" i="19"/>
  <c r="G735" i="19" s="1"/>
  <c r="C735" i="19"/>
  <c r="E734" i="19"/>
  <c r="D734" i="19"/>
  <c r="G734" i="19" s="1"/>
  <c r="C734" i="19"/>
  <c r="E733" i="19"/>
  <c r="D733" i="19"/>
  <c r="G733" i="19" s="1"/>
  <c r="C733" i="19"/>
  <c r="E732" i="19"/>
  <c r="D732" i="19"/>
  <c r="G732" i="19" s="1"/>
  <c r="C732" i="19"/>
  <c r="E731" i="19"/>
  <c r="D731" i="19"/>
  <c r="G731" i="19" s="1"/>
  <c r="C731" i="19"/>
  <c r="E730" i="19"/>
  <c r="D730" i="19"/>
  <c r="G730" i="19" s="1"/>
  <c r="C730" i="19"/>
  <c r="E729" i="19"/>
  <c r="D729" i="19"/>
  <c r="G729" i="19" s="1"/>
  <c r="C729" i="19"/>
  <c r="E728" i="19"/>
  <c r="D728" i="19"/>
  <c r="G728" i="19" s="1"/>
  <c r="C728" i="19"/>
  <c r="E727" i="19"/>
  <c r="D727" i="19"/>
  <c r="G727" i="19" s="1"/>
  <c r="C727" i="19"/>
  <c r="E726" i="19"/>
  <c r="D726" i="19"/>
  <c r="C726" i="19"/>
  <c r="I726" i="19" s="1"/>
  <c r="E725" i="19"/>
  <c r="D725" i="19"/>
  <c r="G725" i="19" s="1"/>
  <c r="C725" i="19"/>
  <c r="E724" i="19"/>
  <c r="D724" i="19"/>
  <c r="G724" i="19" s="1"/>
  <c r="C724" i="19"/>
  <c r="E723" i="19"/>
  <c r="D723" i="19"/>
  <c r="G723" i="19" s="1"/>
  <c r="C723" i="19"/>
  <c r="E722" i="19"/>
  <c r="D722" i="19"/>
  <c r="G722" i="19" s="1"/>
  <c r="C722" i="19"/>
  <c r="E721" i="19"/>
  <c r="D721" i="19"/>
  <c r="G721" i="19" s="1"/>
  <c r="C721" i="19"/>
  <c r="E720" i="19"/>
  <c r="D720" i="19"/>
  <c r="C720" i="19"/>
  <c r="E719" i="19"/>
  <c r="D719" i="19"/>
  <c r="G719" i="19" s="1"/>
  <c r="C719" i="19"/>
  <c r="E718" i="19"/>
  <c r="D718" i="19"/>
  <c r="G718" i="19" s="1"/>
  <c r="C718" i="19"/>
  <c r="E717" i="19"/>
  <c r="D717" i="19"/>
  <c r="G717" i="19" s="1"/>
  <c r="C717" i="19"/>
  <c r="E716" i="19"/>
  <c r="D716" i="19"/>
  <c r="G716" i="19" s="1"/>
  <c r="C716" i="19"/>
  <c r="E715" i="19"/>
  <c r="D715" i="19"/>
  <c r="G715" i="19" s="1"/>
  <c r="C715" i="19"/>
  <c r="E714" i="19"/>
  <c r="D714" i="19"/>
  <c r="G714" i="19" s="1"/>
  <c r="C714" i="19"/>
  <c r="E713" i="19"/>
  <c r="D713" i="19"/>
  <c r="G713" i="19" s="1"/>
  <c r="C713" i="19"/>
  <c r="E712" i="19"/>
  <c r="D712" i="19"/>
  <c r="G712" i="19" s="1"/>
  <c r="C712" i="19"/>
  <c r="I712" i="19" s="1"/>
  <c r="E711" i="19"/>
  <c r="D711" i="19"/>
  <c r="G711" i="19" s="1"/>
  <c r="C711" i="19"/>
  <c r="I711" i="19" s="1"/>
  <c r="E710" i="19"/>
  <c r="D710" i="19"/>
  <c r="G710" i="19" s="1"/>
  <c r="C710" i="19"/>
  <c r="I710" i="19" s="1"/>
  <c r="E709" i="19"/>
  <c r="D709" i="19"/>
  <c r="G709" i="19" s="1"/>
  <c r="C709" i="19"/>
  <c r="E708" i="19"/>
  <c r="D708" i="19"/>
  <c r="G708" i="19" s="1"/>
  <c r="C708" i="19"/>
  <c r="E707" i="19"/>
  <c r="D707" i="19"/>
  <c r="G707" i="19" s="1"/>
  <c r="C707" i="19"/>
  <c r="E706" i="19"/>
  <c r="D706" i="19"/>
  <c r="G706" i="19" s="1"/>
  <c r="C706" i="19"/>
  <c r="E705" i="19"/>
  <c r="D705" i="19"/>
  <c r="G705" i="19" s="1"/>
  <c r="C705" i="19"/>
  <c r="E704" i="19"/>
  <c r="D704" i="19"/>
  <c r="C704" i="19"/>
  <c r="E703" i="19"/>
  <c r="D703" i="19"/>
  <c r="G703" i="19" s="1"/>
  <c r="C703" i="19"/>
  <c r="E702" i="19"/>
  <c r="D702" i="19"/>
  <c r="G702" i="19" s="1"/>
  <c r="C702" i="19"/>
  <c r="E701" i="19"/>
  <c r="D701" i="19"/>
  <c r="G701" i="19" s="1"/>
  <c r="C701" i="19"/>
  <c r="E700" i="19"/>
  <c r="D700" i="19"/>
  <c r="G700" i="19" s="1"/>
  <c r="C700" i="19"/>
  <c r="E699" i="19"/>
  <c r="D699" i="19"/>
  <c r="G699" i="19" s="1"/>
  <c r="C699" i="19"/>
  <c r="E698" i="19"/>
  <c r="D698" i="19"/>
  <c r="G698" i="19" s="1"/>
  <c r="C698" i="19"/>
  <c r="E697" i="19"/>
  <c r="D697" i="19"/>
  <c r="G697" i="19" s="1"/>
  <c r="C697" i="19"/>
  <c r="E696" i="19"/>
  <c r="D696" i="19"/>
  <c r="G696" i="19" s="1"/>
  <c r="C696" i="19"/>
  <c r="E695" i="19"/>
  <c r="D695" i="19"/>
  <c r="G695" i="19" s="1"/>
  <c r="C695" i="19"/>
  <c r="E694" i="19"/>
  <c r="D694" i="19"/>
  <c r="G694" i="19" s="1"/>
  <c r="C694" i="19"/>
  <c r="I694" i="19" s="1"/>
  <c r="E693" i="19"/>
  <c r="D693" i="19"/>
  <c r="G693" i="19" s="1"/>
  <c r="C693" i="19"/>
  <c r="E692" i="19"/>
  <c r="D692" i="19"/>
  <c r="C692" i="19"/>
  <c r="E691" i="19"/>
  <c r="D691" i="19"/>
  <c r="G691" i="19" s="1"/>
  <c r="C691" i="19"/>
  <c r="E690" i="19"/>
  <c r="D690" i="19"/>
  <c r="G690" i="19" s="1"/>
  <c r="C690" i="19"/>
  <c r="E689" i="19"/>
  <c r="D689" i="19"/>
  <c r="G689" i="19" s="1"/>
  <c r="C689" i="19"/>
  <c r="E688" i="19"/>
  <c r="D688" i="19"/>
  <c r="G688" i="19" s="1"/>
  <c r="C688" i="19"/>
  <c r="E687" i="19"/>
  <c r="D687" i="19"/>
  <c r="G687" i="19" s="1"/>
  <c r="C687" i="19"/>
  <c r="E686" i="19"/>
  <c r="D686" i="19"/>
  <c r="G686" i="19" s="1"/>
  <c r="C686" i="19"/>
  <c r="E685" i="19"/>
  <c r="D685" i="19"/>
  <c r="G685" i="19" s="1"/>
  <c r="C685" i="19"/>
  <c r="E684" i="19"/>
  <c r="D684" i="19"/>
  <c r="G684" i="19" s="1"/>
  <c r="C684" i="19"/>
  <c r="E683" i="19"/>
  <c r="D683" i="19"/>
  <c r="G683" i="19" s="1"/>
  <c r="C683" i="19"/>
  <c r="E682" i="19"/>
  <c r="D682" i="19"/>
  <c r="C682" i="19"/>
  <c r="E681" i="19"/>
  <c r="D681" i="19"/>
  <c r="G681" i="19" s="1"/>
  <c r="C681" i="19"/>
  <c r="E680" i="19"/>
  <c r="D680" i="19"/>
  <c r="G680" i="19" s="1"/>
  <c r="C680" i="19"/>
  <c r="E679" i="19"/>
  <c r="D679" i="19"/>
  <c r="G679" i="19" s="1"/>
  <c r="C679" i="19"/>
  <c r="E678" i="19"/>
  <c r="D678" i="19"/>
  <c r="G678" i="19" s="1"/>
  <c r="C678" i="19"/>
  <c r="I678" i="19" s="1"/>
  <c r="E677" i="19"/>
  <c r="D677" i="19"/>
  <c r="G677" i="19" s="1"/>
  <c r="C677" i="19"/>
  <c r="E676" i="19"/>
  <c r="D676" i="19"/>
  <c r="C676" i="19"/>
  <c r="E675" i="19"/>
  <c r="D675" i="19"/>
  <c r="G675" i="19" s="1"/>
  <c r="C675" i="19"/>
  <c r="E674" i="19"/>
  <c r="D674" i="19"/>
  <c r="G674" i="19" s="1"/>
  <c r="C674" i="19"/>
  <c r="E673" i="19"/>
  <c r="D673" i="19"/>
  <c r="G673" i="19" s="1"/>
  <c r="C673" i="19"/>
  <c r="E672" i="19"/>
  <c r="D672" i="19"/>
  <c r="G672" i="19" s="1"/>
  <c r="C672" i="19"/>
  <c r="E671" i="19"/>
  <c r="D671" i="19"/>
  <c r="G671" i="19" s="1"/>
  <c r="C671" i="19"/>
  <c r="I671" i="19" s="1"/>
  <c r="E670" i="19"/>
  <c r="D670" i="19"/>
  <c r="G670" i="19" s="1"/>
  <c r="C670" i="19"/>
  <c r="E669" i="19"/>
  <c r="D669" i="19"/>
  <c r="G669" i="19" s="1"/>
  <c r="C669" i="19"/>
  <c r="E668" i="19"/>
  <c r="D668" i="19"/>
  <c r="G668" i="19" s="1"/>
  <c r="C668" i="19"/>
  <c r="E667" i="19"/>
  <c r="D667" i="19"/>
  <c r="G667" i="19" s="1"/>
  <c r="C667" i="19"/>
  <c r="E666" i="19"/>
  <c r="D666" i="19"/>
  <c r="G666" i="19" s="1"/>
  <c r="C666" i="19"/>
  <c r="E665" i="19"/>
  <c r="D665" i="19"/>
  <c r="G665" i="19" s="1"/>
  <c r="C665" i="19"/>
  <c r="E664" i="19"/>
  <c r="D664" i="19"/>
  <c r="G664" i="19" s="1"/>
  <c r="C664" i="19"/>
  <c r="E663" i="19"/>
  <c r="D663" i="19"/>
  <c r="G663" i="19" s="1"/>
  <c r="C663" i="19"/>
  <c r="E662" i="19"/>
  <c r="D662" i="19"/>
  <c r="G662" i="19" s="1"/>
  <c r="C662" i="19"/>
  <c r="E661" i="19"/>
  <c r="D661" i="19"/>
  <c r="G661" i="19" s="1"/>
  <c r="C661" i="19"/>
  <c r="E660" i="19"/>
  <c r="D660" i="19"/>
  <c r="C660" i="19"/>
  <c r="E659" i="19"/>
  <c r="D659" i="19"/>
  <c r="G659" i="19" s="1"/>
  <c r="C659" i="19"/>
  <c r="E658" i="19"/>
  <c r="D658" i="19"/>
  <c r="C658" i="19"/>
  <c r="E657" i="19"/>
  <c r="D657" i="19"/>
  <c r="G657" i="19" s="1"/>
  <c r="C657" i="19"/>
  <c r="E656" i="19"/>
  <c r="D656" i="19"/>
  <c r="G656" i="19" s="1"/>
  <c r="C656" i="19"/>
  <c r="E655" i="19"/>
  <c r="D655" i="19"/>
  <c r="G655" i="19" s="1"/>
  <c r="C655" i="19"/>
  <c r="I655" i="19" s="1"/>
  <c r="E654" i="19"/>
  <c r="D654" i="19"/>
  <c r="G654" i="19" s="1"/>
  <c r="C654" i="19"/>
  <c r="E653" i="19"/>
  <c r="D653" i="19"/>
  <c r="G653" i="19" s="1"/>
  <c r="C653" i="19"/>
  <c r="E652" i="19"/>
  <c r="D652" i="19"/>
  <c r="G652" i="19" s="1"/>
  <c r="C652" i="19"/>
  <c r="E651" i="19"/>
  <c r="D651" i="19"/>
  <c r="G651" i="19" s="1"/>
  <c r="C651" i="19"/>
  <c r="E650" i="19"/>
  <c r="D650" i="19"/>
  <c r="C650" i="19"/>
  <c r="E649" i="19"/>
  <c r="D649" i="19"/>
  <c r="G649" i="19" s="1"/>
  <c r="C649" i="19"/>
  <c r="E648" i="19"/>
  <c r="D648" i="19"/>
  <c r="G648" i="19" s="1"/>
  <c r="C648" i="19"/>
  <c r="E647" i="19"/>
  <c r="D647" i="19"/>
  <c r="G647" i="19" s="1"/>
  <c r="C647" i="19"/>
  <c r="E646" i="19"/>
  <c r="D646" i="19"/>
  <c r="G646" i="19" s="1"/>
  <c r="C646" i="19"/>
  <c r="E645" i="19"/>
  <c r="D645" i="19"/>
  <c r="G645" i="19" s="1"/>
  <c r="C645" i="19"/>
  <c r="E644" i="19"/>
  <c r="D644" i="19"/>
  <c r="G644" i="19" s="1"/>
  <c r="C644" i="19"/>
  <c r="E643" i="19"/>
  <c r="D643" i="19"/>
  <c r="C643" i="19"/>
  <c r="E642" i="19"/>
  <c r="D642" i="19"/>
  <c r="G642" i="19" s="1"/>
  <c r="C642" i="19"/>
  <c r="E641" i="19"/>
  <c r="D641" i="19"/>
  <c r="G641" i="19" s="1"/>
  <c r="C641" i="19"/>
  <c r="E640" i="19"/>
  <c r="D640" i="19"/>
  <c r="G640" i="19" s="1"/>
  <c r="C640" i="19"/>
  <c r="E639" i="19"/>
  <c r="D639" i="19"/>
  <c r="G639" i="19" s="1"/>
  <c r="C639" i="19"/>
  <c r="I639" i="19" s="1"/>
  <c r="E638" i="19"/>
  <c r="D638" i="19"/>
  <c r="C638" i="19"/>
  <c r="E637" i="19"/>
  <c r="D637" i="19"/>
  <c r="G637" i="19" s="1"/>
  <c r="C637" i="19"/>
  <c r="E636" i="19"/>
  <c r="D636" i="19"/>
  <c r="G636" i="19" s="1"/>
  <c r="C636" i="19"/>
  <c r="E635" i="19"/>
  <c r="D635" i="19"/>
  <c r="G635" i="19" s="1"/>
  <c r="C635" i="19"/>
  <c r="E634" i="19"/>
  <c r="D634" i="19"/>
  <c r="G634" i="19" s="1"/>
  <c r="C634" i="19"/>
  <c r="I634" i="19" s="1"/>
  <c r="E633" i="19"/>
  <c r="D633" i="19"/>
  <c r="G633" i="19" s="1"/>
  <c r="C633" i="19"/>
  <c r="E632" i="19"/>
  <c r="D632" i="19"/>
  <c r="G632" i="19" s="1"/>
  <c r="C632" i="19"/>
  <c r="E631" i="19"/>
  <c r="D631" i="19"/>
  <c r="G631" i="19" s="1"/>
  <c r="C631" i="19"/>
  <c r="E630" i="19"/>
  <c r="D630" i="19"/>
  <c r="G630" i="19" s="1"/>
  <c r="C630" i="19"/>
  <c r="E629" i="19"/>
  <c r="D629" i="19"/>
  <c r="G629" i="19" s="1"/>
  <c r="C629" i="19"/>
  <c r="E628" i="19"/>
  <c r="D628" i="19"/>
  <c r="G628" i="19" s="1"/>
  <c r="C628" i="19"/>
  <c r="E627" i="19"/>
  <c r="D627" i="19"/>
  <c r="G627" i="19" s="1"/>
  <c r="C627" i="19"/>
  <c r="E626" i="19"/>
  <c r="D626" i="19"/>
  <c r="G626" i="19" s="1"/>
  <c r="C626" i="19"/>
  <c r="E625" i="19"/>
  <c r="D625" i="19"/>
  <c r="G625" i="19" s="1"/>
  <c r="C625" i="19"/>
  <c r="E624" i="19"/>
  <c r="D624" i="19"/>
  <c r="G624" i="19" s="1"/>
  <c r="C624" i="19"/>
  <c r="E623" i="19"/>
  <c r="D623" i="19"/>
  <c r="G623" i="19" s="1"/>
  <c r="C623" i="19"/>
  <c r="I623" i="19" s="1"/>
  <c r="E622" i="19"/>
  <c r="D622" i="19"/>
  <c r="G622" i="19" s="1"/>
  <c r="C622" i="19"/>
  <c r="E621" i="19"/>
  <c r="D621" i="19"/>
  <c r="G621" i="19" s="1"/>
  <c r="C621" i="19"/>
  <c r="E620" i="19"/>
  <c r="D620" i="19"/>
  <c r="G620" i="19" s="1"/>
  <c r="C620" i="19"/>
  <c r="E619" i="19"/>
  <c r="D619" i="19"/>
  <c r="G619" i="19" s="1"/>
  <c r="C619" i="19"/>
  <c r="E618" i="19"/>
  <c r="D618" i="19"/>
  <c r="C618" i="19"/>
  <c r="E617" i="19"/>
  <c r="D617" i="19"/>
  <c r="G617" i="19" s="1"/>
  <c r="C617" i="19"/>
  <c r="E616" i="19"/>
  <c r="D616" i="19"/>
  <c r="G616" i="19" s="1"/>
  <c r="C616" i="19"/>
  <c r="E615" i="19"/>
  <c r="D615" i="19"/>
  <c r="G615" i="19" s="1"/>
  <c r="C615" i="19"/>
  <c r="E614" i="19"/>
  <c r="D614" i="19"/>
  <c r="G614" i="19" s="1"/>
  <c r="C614" i="19"/>
  <c r="E613" i="19"/>
  <c r="D613" i="19"/>
  <c r="G613" i="19" s="1"/>
  <c r="C613" i="19"/>
  <c r="E612" i="19"/>
  <c r="D612" i="19"/>
  <c r="G612" i="19" s="1"/>
  <c r="C612" i="19"/>
  <c r="E611" i="19"/>
  <c r="D611" i="19"/>
  <c r="G611" i="19" s="1"/>
  <c r="C611" i="19"/>
  <c r="E610" i="19"/>
  <c r="D610" i="19"/>
  <c r="G610" i="19" s="1"/>
  <c r="C610" i="19"/>
  <c r="E609" i="19"/>
  <c r="D609" i="19"/>
  <c r="G609" i="19" s="1"/>
  <c r="C609" i="19"/>
  <c r="E608" i="19"/>
  <c r="D608" i="19"/>
  <c r="G608" i="19" s="1"/>
  <c r="C608" i="19"/>
  <c r="E607" i="19"/>
  <c r="D607" i="19"/>
  <c r="G607" i="19" s="1"/>
  <c r="C607" i="19"/>
  <c r="I607" i="19" s="1"/>
  <c r="E606" i="19"/>
  <c r="D606" i="19"/>
  <c r="G606" i="19" s="1"/>
  <c r="C606" i="19"/>
  <c r="E605" i="19"/>
  <c r="D605" i="19"/>
  <c r="G605" i="19" s="1"/>
  <c r="C605" i="19"/>
  <c r="E604" i="19"/>
  <c r="D604" i="19"/>
  <c r="G604" i="19" s="1"/>
  <c r="C604" i="19"/>
  <c r="E603" i="19"/>
  <c r="D603" i="19"/>
  <c r="G603" i="19" s="1"/>
  <c r="C603" i="19"/>
  <c r="E602" i="19"/>
  <c r="D602" i="19"/>
  <c r="C602" i="19"/>
  <c r="I602" i="19" s="1"/>
  <c r="E601" i="19"/>
  <c r="D601" i="19"/>
  <c r="G601" i="19" s="1"/>
  <c r="C601" i="19"/>
  <c r="E600" i="19"/>
  <c r="D600" i="19"/>
  <c r="G600" i="19" s="1"/>
  <c r="C600" i="19"/>
  <c r="E599" i="19"/>
  <c r="D599" i="19"/>
  <c r="G599" i="19" s="1"/>
  <c r="C599" i="19"/>
  <c r="E598" i="19"/>
  <c r="D598" i="19"/>
  <c r="G598" i="19" s="1"/>
  <c r="C598" i="19"/>
  <c r="E597" i="19"/>
  <c r="D597" i="19"/>
  <c r="G597" i="19" s="1"/>
  <c r="C597" i="19"/>
  <c r="E596" i="19"/>
  <c r="D596" i="19"/>
  <c r="G596" i="19" s="1"/>
  <c r="C596" i="19"/>
  <c r="E595" i="19"/>
  <c r="D595" i="19"/>
  <c r="G595" i="19" s="1"/>
  <c r="C595" i="19"/>
  <c r="E594" i="19"/>
  <c r="D594" i="19"/>
  <c r="G594" i="19" s="1"/>
  <c r="C594" i="19"/>
  <c r="E593" i="19"/>
  <c r="D593" i="19"/>
  <c r="G593" i="19" s="1"/>
  <c r="C593" i="19"/>
  <c r="E592" i="19"/>
  <c r="D592" i="19"/>
  <c r="G592" i="19" s="1"/>
  <c r="C592" i="19"/>
  <c r="E591" i="19"/>
  <c r="D591" i="19"/>
  <c r="G591" i="19" s="1"/>
  <c r="C591" i="19"/>
  <c r="I591" i="19" s="1"/>
  <c r="E590" i="19"/>
  <c r="D590" i="19"/>
  <c r="G590" i="19" s="1"/>
  <c r="C590" i="19"/>
  <c r="E589" i="19"/>
  <c r="D589" i="19"/>
  <c r="G589" i="19" s="1"/>
  <c r="C589" i="19"/>
  <c r="E588" i="19"/>
  <c r="D588" i="19"/>
  <c r="C588" i="19"/>
  <c r="E587" i="19"/>
  <c r="D587" i="19"/>
  <c r="G587" i="19" s="1"/>
  <c r="C587" i="19"/>
  <c r="E586" i="19"/>
  <c r="D586" i="19"/>
  <c r="G586" i="19" s="1"/>
  <c r="C586" i="19"/>
  <c r="I586" i="19" s="1"/>
  <c r="E585" i="19"/>
  <c r="D585" i="19"/>
  <c r="G585" i="19" s="1"/>
  <c r="C585" i="19"/>
  <c r="I585" i="19" s="1"/>
  <c r="E584" i="19"/>
  <c r="D584" i="19"/>
  <c r="G584" i="19" s="1"/>
  <c r="C584" i="19"/>
  <c r="I584" i="19" s="1"/>
  <c r="E583" i="19"/>
  <c r="D583" i="19"/>
  <c r="G583" i="19" s="1"/>
  <c r="C583" i="19"/>
  <c r="I583" i="19" s="1"/>
  <c r="E582" i="19"/>
  <c r="D582" i="19"/>
  <c r="G582" i="19" s="1"/>
  <c r="C582" i="19"/>
  <c r="I582" i="19" s="1"/>
  <c r="E581" i="19"/>
  <c r="D581" i="19"/>
  <c r="G581" i="19" s="1"/>
  <c r="C581" i="19"/>
  <c r="E580" i="19"/>
  <c r="D580" i="19"/>
  <c r="G580" i="19" s="1"/>
  <c r="C580" i="19"/>
  <c r="E579" i="19"/>
  <c r="D579" i="19"/>
  <c r="G579" i="19" s="1"/>
  <c r="C579" i="19"/>
  <c r="E578" i="19"/>
  <c r="D578" i="19"/>
  <c r="G578" i="19" s="1"/>
  <c r="C578" i="19"/>
  <c r="E577" i="19"/>
  <c r="D577" i="19"/>
  <c r="G577" i="19" s="1"/>
  <c r="C577" i="19"/>
  <c r="E576" i="19"/>
  <c r="D576" i="19"/>
  <c r="G576" i="19" s="1"/>
  <c r="C576" i="19"/>
  <c r="E575" i="19"/>
  <c r="D575" i="19"/>
  <c r="G575" i="19" s="1"/>
  <c r="C575" i="19"/>
  <c r="I575" i="19" s="1"/>
  <c r="E574" i="19"/>
  <c r="D574" i="19"/>
  <c r="G574" i="19" s="1"/>
  <c r="C574" i="19"/>
  <c r="E573" i="19"/>
  <c r="D573" i="19"/>
  <c r="G573" i="19" s="1"/>
  <c r="C573" i="19"/>
  <c r="E572" i="19"/>
  <c r="D572" i="19"/>
  <c r="G572" i="19" s="1"/>
  <c r="C572" i="19"/>
  <c r="E571" i="19"/>
  <c r="D571" i="19"/>
  <c r="G571" i="19" s="1"/>
  <c r="C571" i="19"/>
  <c r="E570" i="19"/>
  <c r="D570" i="19"/>
  <c r="G570" i="19" s="1"/>
  <c r="C570" i="19"/>
  <c r="I570" i="19" s="1"/>
  <c r="E569" i="19"/>
  <c r="D569" i="19"/>
  <c r="C569" i="19"/>
  <c r="E568" i="19"/>
  <c r="D568" i="19"/>
  <c r="G568" i="19" s="1"/>
  <c r="C568" i="19"/>
  <c r="E567" i="19"/>
  <c r="D567" i="19"/>
  <c r="G567" i="19" s="1"/>
  <c r="C567" i="19"/>
  <c r="E566" i="19"/>
  <c r="D566" i="19"/>
  <c r="G566" i="19" s="1"/>
  <c r="C566" i="19"/>
  <c r="E565" i="19"/>
  <c r="D565" i="19"/>
  <c r="G565" i="19" s="1"/>
  <c r="C565" i="19"/>
  <c r="E564" i="19"/>
  <c r="D564" i="19"/>
  <c r="G564" i="19" s="1"/>
  <c r="C564" i="19"/>
  <c r="E563" i="19"/>
  <c r="D563" i="19"/>
  <c r="G563" i="19" s="1"/>
  <c r="C563" i="19"/>
  <c r="E562" i="19"/>
  <c r="D562" i="19"/>
  <c r="C562" i="19"/>
  <c r="E561" i="19"/>
  <c r="D561" i="19"/>
  <c r="G561" i="19" s="1"/>
  <c r="C561" i="19"/>
  <c r="E560" i="19"/>
  <c r="D560" i="19"/>
  <c r="G560" i="19" s="1"/>
  <c r="C560" i="19"/>
  <c r="E559" i="19"/>
  <c r="D559" i="19"/>
  <c r="G559" i="19" s="1"/>
  <c r="C559" i="19"/>
  <c r="I559" i="19" s="1"/>
  <c r="E558" i="19"/>
  <c r="D558" i="19"/>
  <c r="G558" i="19" s="1"/>
  <c r="C558" i="19"/>
  <c r="E557" i="19"/>
  <c r="D557" i="19"/>
  <c r="G557" i="19" s="1"/>
  <c r="C557" i="19"/>
  <c r="E556" i="19"/>
  <c r="D556" i="19"/>
  <c r="G556" i="19" s="1"/>
  <c r="C556" i="19"/>
  <c r="E555" i="19"/>
  <c r="D555" i="19"/>
  <c r="G555" i="19" s="1"/>
  <c r="C555" i="19"/>
  <c r="E554" i="19"/>
  <c r="D554" i="19"/>
  <c r="G554" i="19" s="1"/>
  <c r="C554" i="19"/>
  <c r="I554" i="19" s="1"/>
  <c r="E553" i="19"/>
  <c r="D553" i="19"/>
  <c r="G553" i="19" s="1"/>
  <c r="C553" i="19"/>
  <c r="E552" i="19"/>
  <c r="D552" i="19"/>
  <c r="G552" i="19" s="1"/>
  <c r="C552" i="19"/>
  <c r="E551" i="19"/>
  <c r="D551" i="19"/>
  <c r="G551" i="19" s="1"/>
  <c r="C551" i="19"/>
  <c r="E550" i="19"/>
  <c r="D550" i="19"/>
  <c r="G550" i="19" s="1"/>
  <c r="C550" i="19"/>
  <c r="E549" i="19"/>
  <c r="D549" i="19"/>
  <c r="G549" i="19" s="1"/>
  <c r="C549" i="19"/>
  <c r="E548" i="19"/>
  <c r="D548" i="19"/>
  <c r="G548" i="19" s="1"/>
  <c r="C548" i="19"/>
  <c r="E547" i="19"/>
  <c r="D547" i="19"/>
  <c r="G547" i="19" s="1"/>
  <c r="C547" i="19"/>
  <c r="E546" i="19"/>
  <c r="D546" i="19"/>
  <c r="G546" i="19" s="1"/>
  <c r="C546" i="19"/>
  <c r="E545" i="19"/>
  <c r="D545" i="19"/>
  <c r="G545" i="19" s="1"/>
  <c r="C545" i="19"/>
  <c r="E544" i="19"/>
  <c r="D544" i="19"/>
  <c r="G544" i="19" s="1"/>
  <c r="C544" i="19"/>
  <c r="E543" i="19"/>
  <c r="D543" i="19"/>
  <c r="C543" i="19"/>
  <c r="E542" i="19"/>
  <c r="D542" i="19"/>
  <c r="G542" i="19" s="1"/>
  <c r="C542" i="19"/>
  <c r="E541" i="19"/>
  <c r="D541" i="19"/>
  <c r="G541" i="19" s="1"/>
  <c r="C541" i="19"/>
  <c r="E540" i="19"/>
  <c r="D540" i="19"/>
  <c r="G540" i="19" s="1"/>
  <c r="C540" i="19"/>
  <c r="E539" i="19"/>
  <c r="D539" i="19"/>
  <c r="G539" i="19" s="1"/>
  <c r="C539" i="19"/>
  <c r="E538" i="19"/>
  <c r="D538" i="19"/>
  <c r="C538" i="19"/>
  <c r="I538" i="19" s="1"/>
  <c r="E537" i="19"/>
  <c r="D537" i="19"/>
  <c r="G537" i="19" s="1"/>
  <c r="C537" i="19"/>
  <c r="E536" i="19"/>
  <c r="D536" i="19"/>
  <c r="G536" i="19" s="1"/>
  <c r="C536" i="19"/>
  <c r="E535" i="19"/>
  <c r="D535" i="19"/>
  <c r="G535" i="19" s="1"/>
  <c r="C535" i="19"/>
  <c r="E534" i="19"/>
  <c r="D534" i="19"/>
  <c r="G534" i="19" s="1"/>
  <c r="C534" i="19"/>
  <c r="E533" i="19"/>
  <c r="D533" i="19"/>
  <c r="G533" i="19" s="1"/>
  <c r="C533" i="19"/>
  <c r="E532" i="19"/>
  <c r="D532" i="19"/>
  <c r="G532" i="19" s="1"/>
  <c r="C532" i="19"/>
  <c r="E531" i="19"/>
  <c r="D531" i="19"/>
  <c r="G531" i="19" s="1"/>
  <c r="C531" i="19"/>
  <c r="E530" i="19"/>
  <c r="D530" i="19"/>
  <c r="G530" i="19" s="1"/>
  <c r="C530" i="19"/>
  <c r="E529" i="19"/>
  <c r="D529" i="19"/>
  <c r="G529" i="19" s="1"/>
  <c r="C529" i="19"/>
  <c r="E528" i="19"/>
  <c r="D528" i="19"/>
  <c r="G528" i="19" s="1"/>
  <c r="C528" i="19"/>
  <c r="E527" i="19"/>
  <c r="D527" i="19"/>
  <c r="G527" i="19" s="1"/>
  <c r="C527" i="19"/>
  <c r="E526" i="19"/>
  <c r="D526" i="19"/>
  <c r="G526" i="19" s="1"/>
  <c r="C526" i="19"/>
  <c r="E525" i="19"/>
  <c r="D525" i="19"/>
  <c r="C525" i="19"/>
  <c r="E524" i="19"/>
  <c r="D524" i="19"/>
  <c r="G524" i="19" s="1"/>
  <c r="C524" i="19"/>
  <c r="E523" i="19"/>
  <c r="D523" i="19"/>
  <c r="G523" i="19" s="1"/>
  <c r="C523" i="19"/>
  <c r="E522" i="19"/>
  <c r="D522" i="19"/>
  <c r="G522" i="19" s="1"/>
  <c r="C522" i="19"/>
  <c r="I522" i="19" s="1"/>
  <c r="E521" i="19"/>
  <c r="D521" i="19"/>
  <c r="C521" i="19"/>
  <c r="E520" i="19"/>
  <c r="D520" i="19"/>
  <c r="G520" i="19" s="1"/>
  <c r="C520" i="19"/>
  <c r="E519" i="19"/>
  <c r="D519" i="19"/>
  <c r="G519" i="19" s="1"/>
  <c r="C519" i="19"/>
  <c r="E518" i="19"/>
  <c r="D518" i="19"/>
  <c r="G518" i="19" s="1"/>
  <c r="C518" i="19"/>
  <c r="E517" i="19"/>
  <c r="D517" i="19"/>
  <c r="G517" i="19" s="1"/>
  <c r="C517" i="19"/>
  <c r="E516" i="19"/>
  <c r="D516" i="19"/>
  <c r="C516" i="19"/>
  <c r="E515" i="19"/>
  <c r="D515" i="19"/>
  <c r="G515" i="19" s="1"/>
  <c r="C515" i="19"/>
  <c r="E514" i="19"/>
  <c r="D514" i="19"/>
  <c r="G514" i="19" s="1"/>
  <c r="C514" i="19"/>
  <c r="E513" i="19"/>
  <c r="D513" i="19"/>
  <c r="G513" i="19" s="1"/>
  <c r="C513" i="19"/>
  <c r="E512" i="19"/>
  <c r="D512" i="19"/>
  <c r="G512" i="19" s="1"/>
  <c r="C512" i="19"/>
  <c r="E511" i="19"/>
  <c r="D511" i="19"/>
  <c r="G511" i="19" s="1"/>
  <c r="C511" i="19"/>
  <c r="I511" i="19" s="1"/>
  <c r="E510" i="19"/>
  <c r="D510" i="19"/>
  <c r="G510" i="19" s="1"/>
  <c r="C510" i="19"/>
  <c r="E509" i="19"/>
  <c r="D509" i="19"/>
  <c r="C509" i="19"/>
  <c r="E508" i="19"/>
  <c r="D508" i="19"/>
  <c r="C508" i="19"/>
  <c r="E507" i="19"/>
  <c r="D507" i="19"/>
  <c r="G507" i="19" s="1"/>
  <c r="C507" i="19"/>
  <c r="E506" i="19"/>
  <c r="D506" i="19"/>
  <c r="G506" i="19" s="1"/>
  <c r="C506" i="19"/>
  <c r="E505" i="19"/>
  <c r="D505" i="19"/>
  <c r="G505" i="19" s="1"/>
  <c r="C505" i="19"/>
  <c r="E504" i="19"/>
  <c r="D504" i="19"/>
  <c r="G504" i="19" s="1"/>
  <c r="C504" i="19"/>
  <c r="E503" i="19"/>
  <c r="D503" i="19"/>
  <c r="C503" i="19"/>
  <c r="E502" i="19"/>
  <c r="D502" i="19"/>
  <c r="C502" i="19"/>
  <c r="E501" i="19"/>
  <c r="D501" i="19"/>
  <c r="G501" i="19" s="1"/>
  <c r="C501" i="19"/>
  <c r="E500" i="19"/>
  <c r="D500" i="19"/>
  <c r="C500" i="19"/>
  <c r="E499" i="19"/>
  <c r="D499" i="19"/>
  <c r="G499" i="19" s="1"/>
  <c r="C499" i="19"/>
  <c r="E498" i="19"/>
  <c r="D498" i="19"/>
  <c r="G498" i="19" s="1"/>
  <c r="C498" i="19"/>
  <c r="E497" i="19"/>
  <c r="D497" i="19"/>
  <c r="G497" i="19" s="1"/>
  <c r="C497" i="19"/>
  <c r="E496" i="19"/>
  <c r="D496" i="19"/>
  <c r="G496" i="19" s="1"/>
  <c r="C496" i="19"/>
  <c r="E495" i="19"/>
  <c r="D495" i="19"/>
  <c r="G495" i="19" s="1"/>
  <c r="C495" i="19"/>
  <c r="E494" i="19"/>
  <c r="D494" i="19"/>
  <c r="G494" i="19" s="1"/>
  <c r="C494" i="19"/>
  <c r="E493" i="19"/>
  <c r="D493" i="19"/>
  <c r="C493" i="19"/>
  <c r="E492" i="19"/>
  <c r="D492" i="19"/>
  <c r="C492" i="19"/>
  <c r="E491" i="19"/>
  <c r="D491" i="19"/>
  <c r="G491" i="19" s="1"/>
  <c r="C491" i="19"/>
  <c r="E490" i="19"/>
  <c r="D490" i="19"/>
  <c r="G490" i="19" s="1"/>
  <c r="C490" i="19"/>
  <c r="E489" i="19"/>
  <c r="D489" i="19"/>
  <c r="G489" i="19" s="1"/>
  <c r="C489" i="19"/>
  <c r="E488" i="19"/>
  <c r="D488" i="19"/>
  <c r="G488" i="19" s="1"/>
  <c r="C488" i="19"/>
  <c r="E487" i="19"/>
  <c r="D487" i="19"/>
  <c r="C487" i="19"/>
  <c r="E486" i="19"/>
  <c r="D486" i="19"/>
  <c r="C486" i="19"/>
  <c r="I486" i="19" s="1"/>
  <c r="E485" i="19"/>
  <c r="D485" i="19"/>
  <c r="G485" i="19" s="1"/>
  <c r="C485" i="19"/>
  <c r="E484" i="19"/>
  <c r="D484" i="19"/>
  <c r="C484" i="19"/>
  <c r="E483" i="19"/>
  <c r="D483" i="19"/>
  <c r="G483" i="19" s="1"/>
  <c r="C483" i="19"/>
  <c r="E482" i="19"/>
  <c r="D482" i="19"/>
  <c r="G482" i="19" s="1"/>
  <c r="C482" i="19"/>
  <c r="E481" i="19"/>
  <c r="D481" i="19"/>
  <c r="G481" i="19" s="1"/>
  <c r="C481" i="19"/>
  <c r="E480" i="19"/>
  <c r="D480" i="19"/>
  <c r="G480" i="19" s="1"/>
  <c r="C480" i="19"/>
  <c r="E479" i="19"/>
  <c r="D479" i="19"/>
  <c r="G479" i="19" s="1"/>
  <c r="C479" i="19"/>
  <c r="E478" i="19"/>
  <c r="D478" i="19"/>
  <c r="G478" i="19" s="1"/>
  <c r="C478" i="19"/>
  <c r="E477" i="19"/>
  <c r="D477" i="19"/>
  <c r="C477" i="19"/>
  <c r="E476" i="19"/>
  <c r="D476" i="19"/>
  <c r="C476" i="19"/>
  <c r="E475" i="19"/>
  <c r="D475" i="19"/>
  <c r="G475" i="19" s="1"/>
  <c r="C475" i="19"/>
  <c r="E474" i="19"/>
  <c r="D474" i="19"/>
  <c r="G474" i="19" s="1"/>
  <c r="C474" i="19"/>
  <c r="E473" i="19"/>
  <c r="D473" i="19"/>
  <c r="G473" i="19" s="1"/>
  <c r="C473" i="19"/>
  <c r="E472" i="19"/>
  <c r="D472" i="19"/>
  <c r="G472" i="19" s="1"/>
  <c r="C472" i="19"/>
  <c r="E471" i="19"/>
  <c r="D471" i="19"/>
  <c r="C471" i="19"/>
  <c r="E470" i="19"/>
  <c r="D470" i="19"/>
  <c r="C470" i="19"/>
  <c r="E469" i="19"/>
  <c r="D469" i="19"/>
  <c r="G469" i="19" s="1"/>
  <c r="C469" i="19"/>
  <c r="E468" i="19"/>
  <c r="D468" i="19"/>
  <c r="C468" i="19"/>
  <c r="E467" i="19"/>
  <c r="D467" i="19"/>
  <c r="G467" i="19" s="1"/>
  <c r="C467" i="19"/>
  <c r="E466" i="19"/>
  <c r="D466" i="19"/>
  <c r="G466" i="19" s="1"/>
  <c r="C466" i="19"/>
  <c r="E465" i="19"/>
  <c r="D465" i="19"/>
  <c r="G465" i="19" s="1"/>
  <c r="C465" i="19"/>
  <c r="E464" i="19"/>
  <c r="D464" i="19"/>
  <c r="G464" i="19" s="1"/>
  <c r="C464" i="19"/>
  <c r="E463" i="19"/>
  <c r="D463" i="19"/>
  <c r="G463" i="19" s="1"/>
  <c r="C463" i="19"/>
  <c r="E462" i="19"/>
  <c r="D462" i="19"/>
  <c r="G462" i="19" s="1"/>
  <c r="C462" i="19"/>
  <c r="E461" i="19"/>
  <c r="D461" i="19"/>
  <c r="C461" i="19"/>
  <c r="E460" i="19"/>
  <c r="D460" i="19"/>
  <c r="C460" i="19"/>
  <c r="E459" i="19"/>
  <c r="D459" i="19"/>
  <c r="G459" i="19" s="1"/>
  <c r="C459" i="19"/>
  <c r="E458" i="19"/>
  <c r="D458" i="19"/>
  <c r="G458" i="19" s="1"/>
  <c r="C458" i="19"/>
  <c r="E457" i="19"/>
  <c r="D457" i="19"/>
  <c r="G457" i="19" s="1"/>
  <c r="C457" i="19"/>
  <c r="I457" i="19" s="1"/>
  <c r="E456" i="19"/>
  <c r="D456" i="19"/>
  <c r="G456" i="19" s="1"/>
  <c r="C456" i="19"/>
  <c r="E455" i="19"/>
  <c r="D455" i="19"/>
  <c r="C455" i="19"/>
  <c r="E454" i="19"/>
  <c r="D454" i="19"/>
  <c r="C454" i="19"/>
  <c r="E453" i="19"/>
  <c r="D453" i="19"/>
  <c r="G453" i="19" s="1"/>
  <c r="C453" i="19"/>
  <c r="E452" i="19"/>
  <c r="D452" i="19"/>
  <c r="C452" i="19"/>
  <c r="E451" i="19"/>
  <c r="D451" i="19"/>
  <c r="G451" i="19" s="1"/>
  <c r="C451" i="19"/>
  <c r="E450" i="19"/>
  <c r="D450" i="19"/>
  <c r="G450" i="19" s="1"/>
  <c r="C450" i="19"/>
  <c r="E449" i="19"/>
  <c r="D449" i="19"/>
  <c r="G449" i="19" s="1"/>
  <c r="C449" i="19"/>
  <c r="E448" i="19"/>
  <c r="D448" i="19"/>
  <c r="G448" i="19" s="1"/>
  <c r="C448" i="19"/>
  <c r="E447" i="19"/>
  <c r="D447" i="19"/>
  <c r="G447" i="19" s="1"/>
  <c r="C447" i="19"/>
  <c r="E446" i="19"/>
  <c r="D446" i="19"/>
  <c r="G446" i="19" s="1"/>
  <c r="C446" i="19"/>
  <c r="E445" i="19"/>
  <c r="D445" i="19"/>
  <c r="C445" i="19"/>
  <c r="E444" i="19"/>
  <c r="D444" i="19"/>
  <c r="C444" i="19"/>
  <c r="E443" i="19"/>
  <c r="D443" i="19"/>
  <c r="G443" i="19" s="1"/>
  <c r="C443" i="19"/>
  <c r="E442" i="19"/>
  <c r="D442" i="19"/>
  <c r="G442" i="19" s="1"/>
  <c r="C442" i="19"/>
  <c r="E441" i="19"/>
  <c r="D441" i="19"/>
  <c r="G441" i="19" s="1"/>
  <c r="C441" i="19"/>
  <c r="E440" i="19"/>
  <c r="D440" i="19"/>
  <c r="C440" i="19"/>
  <c r="E439" i="19"/>
  <c r="D439" i="19"/>
  <c r="C439" i="19"/>
  <c r="E438" i="19"/>
  <c r="D438" i="19"/>
  <c r="G438" i="19" s="1"/>
  <c r="C438" i="19"/>
  <c r="E437" i="19"/>
  <c r="D437" i="19"/>
  <c r="G437" i="19" s="1"/>
  <c r="C437" i="19"/>
  <c r="E436" i="19"/>
  <c r="D436" i="19"/>
  <c r="G436" i="19" s="1"/>
  <c r="C436" i="19"/>
  <c r="E435" i="19"/>
  <c r="D435" i="19"/>
  <c r="G435" i="19" s="1"/>
  <c r="C435" i="19"/>
  <c r="E434" i="19"/>
  <c r="D434" i="19"/>
  <c r="G434" i="19" s="1"/>
  <c r="C434" i="19"/>
  <c r="E433" i="19"/>
  <c r="D433" i="19"/>
  <c r="C433" i="19"/>
  <c r="E432" i="19"/>
  <c r="D432" i="19"/>
  <c r="C432" i="19"/>
  <c r="E431" i="19"/>
  <c r="D431" i="19"/>
  <c r="G431" i="19" s="1"/>
  <c r="C431" i="19"/>
  <c r="I431" i="19" s="1"/>
  <c r="E430" i="19"/>
  <c r="D430" i="19"/>
  <c r="G430" i="19" s="1"/>
  <c r="C430" i="19"/>
  <c r="E429" i="19"/>
  <c r="D429" i="19"/>
  <c r="G429" i="19" s="1"/>
  <c r="C429" i="19"/>
  <c r="E428" i="19"/>
  <c r="D428" i="19"/>
  <c r="C428" i="19"/>
  <c r="E427" i="19"/>
  <c r="D427" i="19"/>
  <c r="G427" i="19" s="1"/>
  <c r="C427" i="19"/>
  <c r="E426" i="19"/>
  <c r="D426" i="19"/>
  <c r="G426" i="19" s="1"/>
  <c r="C426" i="19"/>
  <c r="E425" i="19"/>
  <c r="D425" i="19"/>
  <c r="G425" i="19" s="1"/>
  <c r="C425" i="19"/>
  <c r="E424" i="19"/>
  <c r="D424" i="19"/>
  <c r="G424" i="19" s="1"/>
  <c r="C424" i="19"/>
  <c r="E423" i="19"/>
  <c r="D423" i="19"/>
  <c r="G423" i="19" s="1"/>
  <c r="C423" i="19"/>
  <c r="E422" i="19"/>
  <c r="D422" i="19"/>
  <c r="G422" i="19" s="1"/>
  <c r="C422" i="19"/>
  <c r="I422" i="19" s="1"/>
  <c r="E421" i="19"/>
  <c r="D421" i="19"/>
  <c r="G421" i="19" s="1"/>
  <c r="C421" i="19"/>
  <c r="E420" i="19"/>
  <c r="D420" i="19"/>
  <c r="G420" i="19" s="1"/>
  <c r="C420" i="19"/>
  <c r="E419" i="19"/>
  <c r="D419" i="19"/>
  <c r="G419" i="19" s="1"/>
  <c r="C419" i="19"/>
  <c r="E418" i="19"/>
  <c r="D418" i="19"/>
  <c r="G418" i="19" s="1"/>
  <c r="C418" i="19"/>
  <c r="E417" i="19"/>
  <c r="D417" i="19"/>
  <c r="G417" i="19" s="1"/>
  <c r="C417" i="19"/>
  <c r="E416" i="19"/>
  <c r="D416" i="19"/>
  <c r="C416" i="19"/>
  <c r="E415" i="19"/>
  <c r="D415" i="19"/>
  <c r="G415" i="19" s="1"/>
  <c r="C415" i="19"/>
  <c r="I415" i="19" s="1"/>
  <c r="E414" i="19"/>
  <c r="D414" i="19"/>
  <c r="G414" i="19" s="1"/>
  <c r="C414" i="19"/>
  <c r="I414" i="19" s="1"/>
  <c r="E413" i="19"/>
  <c r="D413" i="19"/>
  <c r="C413" i="19"/>
  <c r="E412" i="19"/>
  <c r="D412" i="19"/>
  <c r="C412" i="19"/>
  <c r="E411" i="19"/>
  <c r="D411" i="19"/>
  <c r="G411" i="19" s="1"/>
  <c r="C411" i="19"/>
  <c r="E410" i="19"/>
  <c r="D410" i="19"/>
  <c r="G410" i="19" s="1"/>
  <c r="C410" i="19"/>
  <c r="E409" i="19"/>
  <c r="D409" i="19"/>
  <c r="G409" i="19" s="1"/>
  <c r="C409" i="19"/>
  <c r="E408" i="19"/>
  <c r="D408" i="19"/>
  <c r="G408" i="19" s="1"/>
  <c r="C408" i="19"/>
  <c r="E407" i="19"/>
  <c r="D407" i="19"/>
  <c r="G407" i="19" s="1"/>
  <c r="C407" i="19"/>
  <c r="E406" i="19"/>
  <c r="D406" i="19"/>
  <c r="G406" i="19" s="1"/>
  <c r="C406" i="19"/>
  <c r="I406" i="19" s="1"/>
  <c r="E405" i="19"/>
  <c r="D405" i="19"/>
  <c r="C405" i="19"/>
  <c r="E404" i="19"/>
  <c r="D404" i="19"/>
  <c r="G404" i="19" s="1"/>
  <c r="C404" i="19"/>
  <c r="E403" i="19"/>
  <c r="D403" i="19"/>
  <c r="G403" i="19" s="1"/>
  <c r="C403" i="19"/>
  <c r="E402" i="19"/>
  <c r="D402" i="19"/>
  <c r="G402" i="19" s="1"/>
  <c r="C402" i="19"/>
  <c r="E401" i="19"/>
  <c r="D401" i="19"/>
  <c r="G401" i="19" s="1"/>
  <c r="C401" i="19"/>
  <c r="E400" i="19"/>
  <c r="D400" i="19"/>
  <c r="G400" i="19" s="1"/>
  <c r="C400" i="19"/>
  <c r="E399" i="19"/>
  <c r="D399" i="19"/>
  <c r="G399" i="19" s="1"/>
  <c r="C399" i="19"/>
  <c r="E398" i="19"/>
  <c r="D398" i="19"/>
  <c r="G398" i="19" s="1"/>
  <c r="C398" i="19"/>
  <c r="I398" i="19" s="1"/>
  <c r="E397" i="19"/>
  <c r="D397" i="19"/>
  <c r="G397" i="19" s="1"/>
  <c r="C397" i="19"/>
  <c r="E396" i="19"/>
  <c r="D396" i="19"/>
  <c r="C396" i="19"/>
  <c r="E395" i="19"/>
  <c r="D395" i="19"/>
  <c r="C395" i="19"/>
  <c r="E394" i="19"/>
  <c r="D394" i="19"/>
  <c r="G394" i="19" s="1"/>
  <c r="C394" i="19"/>
  <c r="E393" i="19"/>
  <c r="D393" i="19"/>
  <c r="G393" i="19" s="1"/>
  <c r="C393" i="19"/>
  <c r="E392" i="19"/>
  <c r="D392" i="19"/>
  <c r="C392" i="19"/>
  <c r="E391" i="19"/>
  <c r="D391" i="19"/>
  <c r="G391" i="19" s="1"/>
  <c r="C391" i="19"/>
  <c r="E390" i="19"/>
  <c r="D390" i="19"/>
  <c r="G390" i="19" s="1"/>
  <c r="C390" i="19"/>
  <c r="E389" i="19"/>
  <c r="D389" i="19"/>
  <c r="G389" i="19" s="1"/>
  <c r="C389" i="19"/>
  <c r="E388" i="19"/>
  <c r="D388" i="19"/>
  <c r="G388" i="19" s="1"/>
  <c r="C388" i="19"/>
  <c r="E387" i="19"/>
  <c r="D387" i="19"/>
  <c r="G387" i="19" s="1"/>
  <c r="C387" i="19"/>
  <c r="E386" i="19"/>
  <c r="D386" i="19"/>
  <c r="G386" i="19" s="1"/>
  <c r="C386" i="19"/>
  <c r="E385" i="19"/>
  <c r="D385" i="19"/>
  <c r="G385" i="19" s="1"/>
  <c r="C385" i="19"/>
  <c r="E384" i="19"/>
  <c r="D384" i="19"/>
  <c r="G384" i="19" s="1"/>
  <c r="C384" i="19"/>
  <c r="E383" i="19"/>
  <c r="D383" i="19"/>
  <c r="G383" i="19" s="1"/>
  <c r="C383" i="19"/>
  <c r="E382" i="19"/>
  <c r="D382" i="19"/>
  <c r="G382" i="19" s="1"/>
  <c r="C382" i="19"/>
  <c r="E381" i="19"/>
  <c r="D381" i="19"/>
  <c r="C381" i="19"/>
  <c r="E380" i="19"/>
  <c r="D380" i="19"/>
  <c r="C380" i="19"/>
  <c r="E379" i="19"/>
  <c r="D379" i="19"/>
  <c r="G379" i="19" s="1"/>
  <c r="C379" i="19"/>
  <c r="E378" i="19"/>
  <c r="D378" i="19"/>
  <c r="C378" i="19"/>
  <c r="E377" i="19"/>
  <c r="D377" i="19"/>
  <c r="G377" i="19" s="1"/>
  <c r="C377" i="19"/>
  <c r="E376" i="19"/>
  <c r="D376" i="19"/>
  <c r="C376" i="19"/>
  <c r="E375" i="19"/>
  <c r="D375" i="19"/>
  <c r="C375" i="19"/>
  <c r="E374" i="19"/>
  <c r="D374" i="19"/>
  <c r="G374" i="19" s="1"/>
  <c r="C374" i="19"/>
  <c r="E373" i="19"/>
  <c r="D373" i="19"/>
  <c r="G373" i="19" s="1"/>
  <c r="C373" i="19"/>
  <c r="E372" i="19"/>
  <c r="D372" i="19"/>
  <c r="G372" i="19" s="1"/>
  <c r="C372" i="19"/>
  <c r="E371" i="19"/>
  <c r="D371" i="19"/>
  <c r="G371" i="19" s="1"/>
  <c r="C371" i="19"/>
  <c r="E370" i="19"/>
  <c r="D370" i="19"/>
  <c r="G370" i="19" s="1"/>
  <c r="C370" i="19"/>
  <c r="E369" i="19"/>
  <c r="D369" i="19"/>
  <c r="G369" i="19" s="1"/>
  <c r="C369" i="19"/>
  <c r="E368" i="19"/>
  <c r="D368" i="19"/>
  <c r="G368" i="19" s="1"/>
  <c r="C368" i="19"/>
  <c r="E367" i="19"/>
  <c r="D367" i="19"/>
  <c r="G367" i="19" s="1"/>
  <c r="C367" i="19"/>
  <c r="E366" i="19"/>
  <c r="D366" i="19"/>
  <c r="G366" i="19" s="1"/>
  <c r="C366" i="19"/>
  <c r="E365" i="19"/>
  <c r="D365" i="19"/>
  <c r="G365" i="19" s="1"/>
  <c r="C365" i="19"/>
  <c r="E364" i="19"/>
  <c r="D364" i="19"/>
  <c r="C364" i="19"/>
  <c r="E363" i="19"/>
  <c r="D363" i="19"/>
  <c r="C363" i="19"/>
  <c r="E362" i="19"/>
  <c r="D362" i="19"/>
  <c r="G362" i="19" s="1"/>
  <c r="C362" i="19"/>
  <c r="E361" i="19"/>
  <c r="D361" i="19"/>
  <c r="G361" i="19" s="1"/>
  <c r="C361" i="19"/>
  <c r="E360" i="19"/>
  <c r="D360" i="19"/>
  <c r="G360" i="19" s="1"/>
  <c r="C360" i="19"/>
  <c r="E359" i="19"/>
  <c r="D359" i="19"/>
  <c r="G359" i="19" s="1"/>
  <c r="C359" i="19"/>
  <c r="E358" i="19"/>
  <c r="D358" i="19"/>
  <c r="G358" i="19" s="1"/>
  <c r="C358" i="19"/>
  <c r="E357" i="19"/>
  <c r="D357" i="19"/>
  <c r="G357" i="19" s="1"/>
  <c r="C357" i="19"/>
  <c r="E356" i="19"/>
  <c r="D356" i="19"/>
  <c r="G356" i="19" s="1"/>
  <c r="C356" i="19"/>
  <c r="E355" i="19"/>
  <c r="D355" i="19"/>
  <c r="G355" i="19" s="1"/>
  <c r="C355" i="19"/>
  <c r="E354" i="19"/>
  <c r="D354" i="19"/>
  <c r="G354" i="19" s="1"/>
  <c r="C354" i="19"/>
  <c r="E353" i="19"/>
  <c r="D353" i="19"/>
  <c r="G353" i="19" s="1"/>
  <c r="C353" i="19"/>
  <c r="E352" i="19"/>
  <c r="D352" i="19"/>
  <c r="C352" i="19"/>
  <c r="E351" i="19"/>
  <c r="D351" i="19"/>
  <c r="G351" i="19" s="1"/>
  <c r="C351" i="19"/>
  <c r="I351" i="19" s="1"/>
  <c r="E350" i="19"/>
  <c r="D350" i="19"/>
  <c r="G350" i="19" s="1"/>
  <c r="C350" i="19"/>
  <c r="E349" i="19"/>
  <c r="D349" i="19"/>
  <c r="G349" i="19" s="1"/>
  <c r="C349" i="19"/>
  <c r="E348" i="19"/>
  <c r="D348" i="19"/>
  <c r="C348" i="19"/>
  <c r="E347" i="19"/>
  <c r="D347" i="19"/>
  <c r="G347" i="19" s="1"/>
  <c r="C347" i="19"/>
  <c r="E346" i="19"/>
  <c r="D346" i="19"/>
  <c r="G346" i="19" s="1"/>
  <c r="C346" i="19"/>
  <c r="I346" i="19" s="1"/>
  <c r="E345" i="19"/>
  <c r="D345" i="19"/>
  <c r="G345" i="19" s="1"/>
  <c r="C345" i="19"/>
  <c r="E344" i="19"/>
  <c r="D344" i="19"/>
  <c r="G344" i="19" s="1"/>
  <c r="C344" i="19"/>
  <c r="E343" i="19"/>
  <c r="D343" i="19"/>
  <c r="G343" i="19" s="1"/>
  <c r="C343" i="19"/>
  <c r="E342" i="19"/>
  <c r="D342" i="19"/>
  <c r="G342" i="19" s="1"/>
  <c r="C342" i="19"/>
  <c r="E341" i="19"/>
  <c r="D341" i="19"/>
  <c r="G341" i="19" s="1"/>
  <c r="C341" i="19"/>
  <c r="E340" i="19"/>
  <c r="D340" i="19"/>
  <c r="G340" i="19" s="1"/>
  <c r="C340" i="19"/>
  <c r="E339" i="19"/>
  <c r="D339" i="19"/>
  <c r="G339" i="19" s="1"/>
  <c r="C339" i="19"/>
  <c r="E338" i="19"/>
  <c r="D338" i="19"/>
  <c r="G338" i="19" s="1"/>
  <c r="C338" i="19"/>
  <c r="E337" i="19"/>
  <c r="D337" i="19"/>
  <c r="G337" i="19" s="1"/>
  <c r="C337" i="19"/>
  <c r="E336" i="19"/>
  <c r="D336" i="19"/>
  <c r="G336" i="19" s="1"/>
  <c r="C336" i="19"/>
  <c r="E335" i="19"/>
  <c r="D335" i="19"/>
  <c r="G335" i="19" s="1"/>
  <c r="C335" i="19"/>
  <c r="I335" i="19" s="1"/>
  <c r="E334" i="19"/>
  <c r="D334" i="19"/>
  <c r="G334" i="19" s="1"/>
  <c r="C334" i="19"/>
  <c r="E333" i="19"/>
  <c r="D333" i="19"/>
  <c r="C333" i="19"/>
  <c r="E332" i="19"/>
  <c r="D332" i="19"/>
  <c r="G332" i="19" s="1"/>
  <c r="C332" i="19"/>
  <c r="E331" i="19"/>
  <c r="D331" i="19"/>
  <c r="C331" i="19"/>
  <c r="I331" i="19" s="1"/>
  <c r="E330" i="19"/>
  <c r="D330" i="19"/>
  <c r="C330" i="19"/>
  <c r="I330" i="19" s="1"/>
  <c r="E329" i="19"/>
  <c r="D329" i="19"/>
  <c r="G329" i="19" s="1"/>
  <c r="C329" i="19"/>
  <c r="I329" i="19" s="1"/>
  <c r="E328" i="19"/>
  <c r="D328" i="19"/>
  <c r="G328" i="19" s="1"/>
  <c r="C328" i="19"/>
  <c r="I328" i="19" s="1"/>
  <c r="E327" i="19"/>
  <c r="D327" i="19"/>
  <c r="G327" i="19" s="1"/>
  <c r="C327" i="19"/>
  <c r="E326" i="19"/>
  <c r="D326" i="19"/>
  <c r="G326" i="19" s="1"/>
  <c r="C326" i="19"/>
  <c r="I326" i="19" s="1"/>
  <c r="E325" i="19"/>
  <c r="D325" i="19"/>
  <c r="G325" i="19" s="1"/>
  <c r="C325" i="19"/>
  <c r="E324" i="19"/>
  <c r="D324" i="19"/>
  <c r="C324" i="19"/>
  <c r="E323" i="19"/>
  <c r="D323" i="19"/>
  <c r="G323" i="19" s="1"/>
  <c r="C323" i="19"/>
  <c r="E322" i="19"/>
  <c r="D322" i="19"/>
  <c r="G322" i="19" s="1"/>
  <c r="C322" i="19"/>
  <c r="E321" i="19"/>
  <c r="D321" i="19"/>
  <c r="G321" i="19" s="1"/>
  <c r="C321" i="19"/>
  <c r="E320" i="19"/>
  <c r="D320" i="19"/>
  <c r="G320" i="19" s="1"/>
  <c r="C320" i="19"/>
  <c r="E319" i="19"/>
  <c r="D319" i="19"/>
  <c r="C319" i="19"/>
  <c r="E318" i="19"/>
  <c r="D318" i="19"/>
  <c r="G318" i="19" s="1"/>
  <c r="C318" i="19"/>
  <c r="E317" i="19"/>
  <c r="D317" i="19"/>
  <c r="C317" i="19"/>
  <c r="E316" i="19"/>
  <c r="D316" i="19"/>
  <c r="G316" i="19" s="1"/>
  <c r="C316" i="19"/>
  <c r="E315" i="19"/>
  <c r="D315" i="19"/>
  <c r="G315" i="19" s="1"/>
  <c r="C315" i="19"/>
  <c r="E314" i="19"/>
  <c r="D314" i="19"/>
  <c r="G314" i="19" s="1"/>
  <c r="C314" i="19"/>
  <c r="I314" i="19" s="1"/>
  <c r="E313" i="19"/>
  <c r="D313" i="19"/>
  <c r="G313" i="19" s="1"/>
  <c r="C313" i="19"/>
  <c r="E312" i="19"/>
  <c r="D312" i="19"/>
  <c r="G312" i="19" s="1"/>
  <c r="C312" i="19"/>
  <c r="E311" i="19"/>
  <c r="D311" i="19"/>
  <c r="G311" i="19" s="1"/>
  <c r="C311" i="19"/>
  <c r="E310" i="19"/>
  <c r="D310" i="19"/>
  <c r="G310" i="19" s="1"/>
  <c r="C310" i="19"/>
  <c r="I310" i="19" s="1"/>
  <c r="E309" i="19"/>
  <c r="D309" i="19"/>
  <c r="G309" i="19" s="1"/>
  <c r="C309" i="19"/>
  <c r="E308" i="19"/>
  <c r="D308" i="19"/>
  <c r="C308" i="19"/>
  <c r="E307" i="19"/>
  <c r="D307" i="19"/>
  <c r="G307" i="19" s="1"/>
  <c r="C307" i="19"/>
  <c r="E306" i="19"/>
  <c r="D306" i="19"/>
  <c r="G306" i="19" s="1"/>
  <c r="C306" i="19"/>
  <c r="E305" i="19"/>
  <c r="D305" i="19"/>
  <c r="G305" i="19" s="1"/>
  <c r="C305" i="19"/>
  <c r="E304" i="19"/>
  <c r="D304" i="19"/>
  <c r="G304" i="19" s="1"/>
  <c r="C304" i="19"/>
  <c r="E303" i="19"/>
  <c r="D303" i="19"/>
  <c r="G303" i="19" s="1"/>
  <c r="C303" i="19"/>
  <c r="E302" i="19"/>
  <c r="D302" i="19"/>
  <c r="G302" i="19" s="1"/>
  <c r="C302" i="19"/>
  <c r="I302" i="19" s="1"/>
  <c r="E301" i="19"/>
  <c r="D301" i="19"/>
  <c r="G301" i="19" s="1"/>
  <c r="C301" i="19"/>
  <c r="E300" i="19"/>
  <c r="D300" i="19"/>
  <c r="C300" i="19"/>
  <c r="E299" i="19"/>
  <c r="D299" i="19"/>
  <c r="C299" i="19"/>
  <c r="E298" i="19"/>
  <c r="D298" i="19"/>
  <c r="G298" i="19" s="1"/>
  <c r="C298" i="19"/>
  <c r="E297" i="19"/>
  <c r="D297" i="19"/>
  <c r="C297" i="19"/>
  <c r="E296" i="19"/>
  <c r="D296" i="19"/>
  <c r="G296" i="19" s="1"/>
  <c r="C296" i="19"/>
  <c r="E295" i="19"/>
  <c r="D295" i="19"/>
  <c r="C295" i="19"/>
  <c r="E294" i="19"/>
  <c r="D294" i="19"/>
  <c r="G294" i="19" s="1"/>
  <c r="C294" i="19"/>
  <c r="E293" i="19"/>
  <c r="D293" i="19"/>
  <c r="G293" i="19" s="1"/>
  <c r="C293" i="19"/>
  <c r="E292" i="19"/>
  <c r="D292" i="19"/>
  <c r="G292" i="19" s="1"/>
  <c r="C292" i="19"/>
  <c r="I292" i="19" s="1"/>
  <c r="E291" i="19"/>
  <c r="D291" i="19"/>
  <c r="G291" i="19" s="1"/>
  <c r="C291" i="19"/>
  <c r="I291" i="19" s="1"/>
  <c r="E290" i="19"/>
  <c r="D290" i="19"/>
  <c r="G290" i="19" s="1"/>
  <c r="C290" i="19"/>
  <c r="I290" i="19" s="1"/>
  <c r="E289" i="19"/>
  <c r="D289" i="19"/>
  <c r="G289" i="19" s="1"/>
  <c r="C289" i="19"/>
  <c r="I289" i="19" s="1"/>
  <c r="E288" i="19"/>
  <c r="D288" i="19"/>
  <c r="G288" i="19" s="1"/>
  <c r="C288" i="19"/>
  <c r="I288" i="19" s="1"/>
  <c r="E287" i="19"/>
  <c r="D287" i="19"/>
  <c r="C287" i="19"/>
  <c r="I287" i="19" s="1"/>
  <c r="E286" i="19"/>
  <c r="D286" i="19"/>
  <c r="G286" i="19" s="1"/>
  <c r="C286" i="19"/>
  <c r="I286" i="19" s="1"/>
  <c r="E285" i="19"/>
  <c r="D285" i="19"/>
  <c r="G285" i="19" s="1"/>
  <c r="C285" i="19"/>
  <c r="I285" i="19" s="1"/>
  <c r="E284" i="19"/>
  <c r="D284" i="19"/>
  <c r="C284" i="19"/>
  <c r="I284" i="19" s="1"/>
  <c r="E283" i="19"/>
  <c r="D283" i="19"/>
  <c r="C283" i="19"/>
  <c r="I283" i="19" s="1"/>
  <c r="E282" i="19"/>
  <c r="D282" i="19"/>
  <c r="C282" i="19"/>
  <c r="I282" i="19" s="1"/>
  <c r="E281" i="19"/>
  <c r="D281" i="19"/>
  <c r="G281" i="19" s="1"/>
  <c r="C281" i="19"/>
  <c r="I281" i="19" s="1"/>
  <c r="E280" i="19"/>
  <c r="D280" i="19"/>
  <c r="G280" i="19" s="1"/>
  <c r="C280" i="19"/>
  <c r="I280" i="19" s="1"/>
  <c r="E279" i="19"/>
  <c r="D279" i="19"/>
  <c r="C279" i="19"/>
  <c r="I279" i="19" s="1"/>
  <c r="E278" i="19"/>
  <c r="D278" i="19"/>
  <c r="G278" i="19" s="1"/>
  <c r="C278" i="19"/>
  <c r="I278" i="19" s="1"/>
  <c r="E277" i="19"/>
  <c r="D277" i="19"/>
  <c r="G277" i="19" s="1"/>
  <c r="C277" i="19"/>
  <c r="I277" i="19" s="1"/>
  <c r="E276" i="19"/>
  <c r="D276" i="19"/>
  <c r="G276" i="19" s="1"/>
  <c r="C276" i="19"/>
  <c r="I276" i="19" s="1"/>
  <c r="E275" i="19"/>
  <c r="D275" i="19"/>
  <c r="G275" i="19" s="1"/>
  <c r="C275" i="19"/>
  <c r="I275" i="19" s="1"/>
  <c r="E274" i="19"/>
  <c r="D274" i="19"/>
  <c r="C274" i="19"/>
  <c r="I274" i="19" s="1"/>
  <c r="E273" i="19"/>
  <c r="D273" i="19"/>
  <c r="G273" i="19" s="1"/>
  <c r="C273" i="19"/>
  <c r="I273" i="19" s="1"/>
  <c r="E272" i="19"/>
  <c r="D272" i="19"/>
  <c r="G272" i="19" s="1"/>
  <c r="C272" i="19"/>
  <c r="I272" i="19" s="1"/>
  <c r="E271" i="19"/>
  <c r="D271" i="19"/>
  <c r="G271" i="19" s="1"/>
  <c r="C271" i="19"/>
  <c r="I271" i="19" s="1"/>
  <c r="E270" i="19"/>
  <c r="D270" i="19"/>
  <c r="G270" i="19" s="1"/>
  <c r="C270" i="19"/>
  <c r="E269" i="19"/>
  <c r="D269" i="19"/>
  <c r="C269" i="19"/>
  <c r="E268" i="19"/>
  <c r="D268" i="19"/>
  <c r="C268" i="19"/>
  <c r="I268" i="19" s="1"/>
  <c r="E267" i="19"/>
  <c r="D267" i="19"/>
  <c r="C267" i="19"/>
  <c r="E266" i="19"/>
  <c r="D266" i="19"/>
  <c r="C266" i="19"/>
  <c r="I266" i="19" s="1"/>
  <c r="E265" i="19"/>
  <c r="D265" i="19"/>
  <c r="C265" i="19"/>
  <c r="I265" i="19" s="1"/>
  <c r="E264" i="19"/>
  <c r="D264" i="19"/>
  <c r="G264" i="19" s="1"/>
  <c r="C264" i="19"/>
  <c r="E263" i="19"/>
  <c r="D263" i="19"/>
  <c r="G263" i="19" s="1"/>
  <c r="C263" i="19"/>
  <c r="E262" i="19"/>
  <c r="D262" i="19"/>
  <c r="G262" i="19" s="1"/>
  <c r="C262" i="19"/>
  <c r="E261" i="19"/>
  <c r="D261" i="19"/>
  <c r="G261" i="19" s="1"/>
  <c r="C261" i="19"/>
  <c r="E260" i="19"/>
  <c r="D260" i="19"/>
  <c r="G260" i="19" s="1"/>
  <c r="C260" i="19"/>
  <c r="E259" i="19"/>
  <c r="D259" i="19"/>
  <c r="C259" i="19"/>
  <c r="E258" i="19"/>
  <c r="D258" i="19"/>
  <c r="G258" i="19" s="1"/>
  <c r="C258" i="19"/>
  <c r="E257" i="19"/>
  <c r="D257" i="19"/>
  <c r="G257" i="19" s="1"/>
  <c r="C257" i="19"/>
  <c r="E256" i="19"/>
  <c r="D256" i="19"/>
  <c r="G256" i="19" s="1"/>
  <c r="C256" i="19"/>
  <c r="E255" i="19"/>
  <c r="D255" i="19"/>
  <c r="G255" i="19" s="1"/>
  <c r="C255" i="19"/>
  <c r="I255" i="19" s="1"/>
  <c r="E254" i="19"/>
  <c r="D254" i="19"/>
  <c r="G254" i="19" s="1"/>
  <c r="C254" i="19"/>
  <c r="I254" i="19" s="1"/>
  <c r="E253" i="19"/>
  <c r="D253" i="19"/>
  <c r="G253" i="19" s="1"/>
  <c r="C253" i="19"/>
  <c r="E252" i="19"/>
  <c r="D252" i="19"/>
  <c r="G252" i="19" s="1"/>
  <c r="C252" i="19"/>
  <c r="E251" i="19"/>
  <c r="D251" i="19"/>
  <c r="G251" i="19" s="1"/>
  <c r="C251" i="19"/>
  <c r="E250" i="19"/>
  <c r="D250" i="19"/>
  <c r="G250" i="19" s="1"/>
  <c r="C250" i="19"/>
  <c r="E249" i="19"/>
  <c r="D249" i="19"/>
  <c r="G249" i="19" s="1"/>
  <c r="C249" i="19"/>
  <c r="E248" i="19"/>
  <c r="D248" i="19"/>
  <c r="G248" i="19" s="1"/>
  <c r="C248" i="19"/>
  <c r="E247" i="19"/>
  <c r="D247" i="19"/>
  <c r="G247" i="19" s="1"/>
  <c r="C247" i="19"/>
  <c r="E246" i="19"/>
  <c r="D246" i="19"/>
  <c r="G246" i="19" s="1"/>
  <c r="C246" i="19"/>
  <c r="E245" i="19"/>
  <c r="D245" i="19"/>
  <c r="C245" i="19"/>
  <c r="E244" i="19"/>
  <c r="D244" i="19"/>
  <c r="G244" i="19" s="1"/>
  <c r="C244" i="19"/>
  <c r="E243" i="19"/>
  <c r="D243" i="19"/>
  <c r="G243" i="19" s="1"/>
  <c r="C243" i="19"/>
  <c r="E242" i="19"/>
  <c r="D242" i="19"/>
  <c r="G242" i="19" s="1"/>
  <c r="C242" i="19"/>
  <c r="E241" i="19"/>
  <c r="D241" i="19"/>
  <c r="G241" i="19" s="1"/>
  <c r="C241" i="19"/>
  <c r="E240" i="19"/>
  <c r="D240" i="19"/>
  <c r="G240" i="19" s="1"/>
  <c r="C240" i="19"/>
  <c r="E239" i="19"/>
  <c r="D239" i="19"/>
  <c r="G239" i="19" s="1"/>
  <c r="C239" i="19"/>
  <c r="E238" i="19"/>
  <c r="D238" i="19"/>
  <c r="G238" i="19" s="1"/>
  <c r="C238" i="19"/>
  <c r="I238" i="19" s="1"/>
  <c r="E237" i="19"/>
  <c r="D237" i="19"/>
  <c r="G237" i="19" s="1"/>
  <c r="C237" i="19"/>
  <c r="E236" i="19"/>
  <c r="D236" i="19"/>
  <c r="G236" i="19" s="1"/>
  <c r="C236" i="19"/>
  <c r="E235" i="19"/>
  <c r="D235" i="19"/>
  <c r="G235" i="19" s="1"/>
  <c r="C235" i="19"/>
  <c r="E234" i="19"/>
  <c r="D234" i="19"/>
  <c r="G234" i="19" s="1"/>
  <c r="C234" i="19"/>
  <c r="E233" i="19"/>
  <c r="D233" i="19"/>
  <c r="G233" i="19" s="1"/>
  <c r="C233" i="19"/>
  <c r="E232" i="19"/>
  <c r="D232" i="19"/>
  <c r="G232" i="19" s="1"/>
  <c r="C232" i="19"/>
  <c r="E231" i="19"/>
  <c r="D231" i="19"/>
  <c r="G231" i="19" s="1"/>
  <c r="C231" i="19"/>
  <c r="E230" i="19"/>
  <c r="D230" i="19"/>
  <c r="G230" i="19" s="1"/>
  <c r="C230" i="19"/>
  <c r="E229" i="19"/>
  <c r="D229" i="19"/>
  <c r="G229" i="19" s="1"/>
  <c r="C229" i="19"/>
  <c r="E228" i="19"/>
  <c r="D228" i="19"/>
  <c r="G228" i="19" s="1"/>
  <c r="C228" i="19"/>
  <c r="E227" i="19"/>
  <c r="D227" i="19"/>
  <c r="G227" i="19" s="1"/>
  <c r="C227" i="19"/>
  <c r="E226" i="19"/>
  <c r="D226" i="19"/>
  <c r="G226" i="19" s="1"/>
  <c r="C226" i="19"/>
  <c r="E225" i="19"/>
  <c r="D225" i="19"/>
  <c r="G225" i="19" s="1"/>
  <c r="C225" i="19"/>
  <c r="E224" i="19"/>
  <c r="D224" i="19"/>
  <c r="C224" i="19"/>
  <c r="E223" i="19"/>
  <c r="D223" i="19"/>
  <c r="G223" i="19" s="1"/>
  <c r="C223" i="19"/>
  <c r="I223" i="19" s="1"/>
  <c r="E222" i="19"/>
  <c r="D222" i="19"/>
  <c r="G222" i="19" s="1"/>
  <c r="C222" i="19"/>
  <c r="I222" i="19" s="1"/>
  <c r="E221" i="19"/>
  <c r="D221" i="19"/>
  <c r="G221" i="19" s="1"/>
  <c r="C221" i="19"/>
  <c r="E220" i="19"/>
  <c r="D220" i="19"/>
  <c r="G220" i="19" s="1"/>
  <c r="C220" i="19"/>
  <c r="E219" i="19"/>
  <c r="D219" i="19"/>
  <c r="G219" i="19" s="1"/>
  <c r="C219" i="19"/>
  <c r="E218" i="19"/>
  <c r="D218" i="19"/>
  <c r="C218" i="19"/>
  <c r="E217" i="19"/>
  <c r="D217" i="19"/>
  <c r="G217" i="19" s="1"/>
  <c r="C217" i="19"/>
  <c r="E216" i="19"/>
  <c r="D216" i="19"/>
  <c r="G216" i="19" s="1"/>
  <c r="C216" i="19"/>
  <c r="I216" i="19" s="1"/>
  <c r="E215" i="19"/>
  <c r="D215" i="19"/>
  <c r="G215" i="19" s="1"/>
  <c r="C215" i="19"/>
  <c r="I215" i="19" s="1"/>
  <c r="E214" i="19"/>
  <c r="D214" i="19"/>
  <c r="G214" i="19" s="1"/>
  <c r="C214" i="19"/>
  <c r="E213" i="19"/>
  <c r="D213" i="19"/>
  <c r="G213" i="19" s="1"/>
  <c r="C213" i="19"/>
  <c r="E212" i="19"/>
  <c r="D212" i="19"/>
  <c r="G212" i="19" s="1"/>
  <c r="C212" i="19"/>
  <c r="E211" i="19"/>
  <c r="D211" i="19"/>
  <c r="G211" i="19" s="1"/>
  <c r="C211" i="19"/>
  <c r="E210" i="19"/>
  <c r="D210" i="19"/>
  <c r="G210" i="19" s="1"/>
  <c r="C210" i="19"/>
  <c r="E209" i="19"/>
  <c r="D209" i="19"/>
  <c r="G209" i="19" s="1"/>
  <c r="C209" i="19"/>
  <c r="E208" i="19"/>
  <c r="D208" i="19"/>
  <c r="G208" i="19" s="1"/>
  <c r="C208" i="19"/>
  <c r="E207" i="19"/>
  <c r="D207" i="19"/>
  <c r="G207" i="19" s="1"/>
  <c r="C207" i="19"/>
  <c r="I207" i="19" s="1"/>
  <c r="E206" i="19"/>
  <c r="D206" i="19"/>
  <c r="G206" i="19" s="1"/>
  <c r="C206" i="19"/>
  <c r="E205" i="19"/>
  <c r="D205" i="19"/>
  <c r="G205" i="19" s="1"/>
  <c r="C205" i="19"/>
  <c r="E204" i="19"/>
  <c r="D204" i="19"/>
  <c r="G204" i="19" s="1"/>
  <c r="C204" i="19"/>
  <c r="E203" i="19"/>
  <c r="D203" i="19"/>
  <c r="G203" i="19" s="1"/>
  <c r="C203" i="19"/>
  <c r="E202" i="19"/>
  <c r="D202" i="19"/>
  <c r="G202" i="19" s="1"/>
  <c r="C202" i="19"/>
  <c r="E201" i="19"/>
  <c r="D201" i="19"/>
  <c r="G201" i="19" s="1"/>
  <c r="C201" i="19"/>
  <c r="E200" i="19"/>
  <c r="D200" i="19"/>
  <c r="G200" i="19" s="1"/>
  <c r="C200" i="19"/>
  <c r="E199" i="19"/>
  <c r="D199" i="19"/>
  <c r="G199" i="19" s="1"/>
  <c r="C199" i="19"/>
  <c r="E198" i="19"/>
  <c r="D198" i="19"/>
  <c r="G198" i="19" s="1"/>
  <c r="C198" i="19"/>
  <c r="E197" i="19"/>
  <c r="D197" i="19"/>
  <c r="G197" i="19" s="1"/>
  <c r="C197" i="19"/>
  <c r="E196" i="19"/>
  <c r="D196" i="19"/>
  <c r="G196" i="19" s="1"/>
  <c r="C196" i="19"/>
  <c r="E195" i="19"/>
  <c r="D195" i="19"/>
  <c r="G195" i="19" s="1"/>
  <c r="C195" i="19"/>
  <c r="E194" i="19"/>
  <c r="D194" i="19"/>
  <c r="G194" i="19" s="1"/>
  <c r="C194" i="19"/>
  <c r="E193" i="19"/>
  <c r="D193" i="19"/>
  <c r="G193" i="19" s="1"/>
  <c r="C193" i="19"/>
  <c r="E192" i="19"/>
  <c r="D192" i="19"/>
  <c r="G192" i="19" s="1"/>
  <c r="C192" i="19"/>
  <c r="E191" i="19"/>
  <c r="D191" i="19"/>
  <c r="G191" i="19" s="1"/>
  <c r="C191" i="19"/>
  <c r="I191" i="19" s="1"/>
  <c r="E190" i="19"/>
  <c r="D190" i="19"/>
  <c r="G190" i="19" s="1"/>
  <c r="C190" i="19"/>
  <c r="E189" i="19"/>
  <c r="D189" i="19"/>
  <c r="G189" i="19" s="1"/>
  <c r="C189" i="19"/>
  <c r="E188" i="19"/>
  <c r="D188" i="19"/>
  <c r="G188" i="19" s="1"/>
  <c r="C188" i="19"/>
  <c r="E187" i="19"/>
  <c r="D187" i="19"/>
  <c r="G187" i="19" s="1"/>
  <c r="C187" i="19"/>
  <c r="E186" i="19"/>
  <c r="D186" i="19"/>
  <c r="G186" i="19" s="1"/>
  <c r="C186" i="19"/>
  <c r="E185" i="19"/>
  <c r="D185" i="19"/>
  <c r="G185" i="19" s="1"/>
  <c r="C185" i="19"/>
  <c r="E184" i="19"/>
  <c r="D184" i="19"/>
  <c r="G184" i="19" s="1"/>
  <c r="C184" i="19"/>
  <c r="E183" i="19"/>
  <c r="D183" i="19"/>
  <c r="G183" i="19" s="1"/>
  <c r="C183" i="19"/>
  <c r="E182" i="19"/>
  <c r="D182" i="19"/>
  <c r="G182" i="19" s="1"/>
  <c r="C182" i="19"/>
  <c r="E181" i="19"/>
  <c r="D181" i="19"/>
  <c r="G181" i="19" s="1"/>
  <c r="C181" i="19"/>
  <c r="E180" i="19"/>
  <c r="D180" i="19"/>
  <c r="G180" i="19" s="1"/>
  <c r="C180" i="19"/>
  <c r="E179" i="19"/>
  <c r="D179" i="19"/>
  <c r="G179" i="19" s="1"/>
  <c r="C179" i="19"/>
  <c r="E178" i="19"/>
  <c r="D178" i="19"/>
  <c r="G178" i="19" s="1"/>
  <c r="C178" i="19"/>
  <c r="E177" i="19"/>
  <c r="D177" i="19"/>
  <c r="G177" i="19" s="1"/>
  <c r="C177" i="19"/>
  <c r="E176" i="19"/>
  <c r="D176" i="19"/>
  <c r="G176" i="19" s="1"/>
  <c r="C176" i="19"/>
  <c r="E175" i="19"/>
  <c r="D175" i="19"/>
  <c r="G175" i="19" s="1"/>
  <c r="C175" i="19"/>
  <c r="I175" i="19" s="1"/>
  <c r="E174" i="19"/>
  <c r="D174" i="19"/>
  <c r="G174" i="19" s="1"/>
  <c r="C174" i="19"/>
  <c r="E173" i="19"/>
  <c r="D173" i="19"/>
  <c r="G173" i="19" s="1"/>
  <c r="C173" i="19"/>
  <c r="E172" i="19"/>
  <c r="D172" i="19"/>
  <c r="G172" i="19" s="1"/>
  <c r="C172" i="19"/>
  <c r="E171" i="19"/>
  <c r="D171" i="19"/>
  <c r="G171" i="19" s="1"/>
  <c r="C171" i="19"/>
  <c r="E170" i="19"/>
  <c r="D170" i="19"/>
  <c r="G170" i="19" s="1"/>
  <c r="C170" i="19"/>
  <c r="E169" i="19"/>
  <c r="D169" i="19"/>
  <c r="G169" i="19" s="1"/>
  <c r="C169" i="19"/>
  <c r="E168" i="19"/>
  <c r="D168" i="19"/>
  <c r="G168" i="19" s="1"/>
  <c r="C168" i="19"/>
  <c r="E167" i="19"/>
  <c r="D167" i="19"/>
  <c r="G167" i="19" s="1"/>
  <c r="C167" i="19"/>
  <c r="I167" i="19" s="1"/>
  <c r="E166" i="19"/>
  <c r="D166" i="19"/>
  <c r="G166" i="19" s="1"/>
  <c r="C166" i="19"/>
  <c r="I166" i="19" s="1"/>
  <c r="E165" i="19"/>
  <c r="D165" i="19"/>
  <c r="G165" i="19" s="1"/>
  <c r="C165" i="19"/>
  <c r="I165" i="19" s="1"/>
  <c r="E164" i="19"/>
  <c r="D164" i="19"/>
  <c r="G164" i="19" s="1"/>
  <c r="C164" i="19"/>
  <c r="I164" i="19" s="1"/>
  <c r="E163" i="19"/>
  <c r="D163" i="19"/>
  <c r="G163" i="19" s="1"/>
  <c r="C163" i="19"/>
  <c r="I163" i="19" s="1"/>
  <c r="E162" i="19"/>
  <c r="D162" i="19"/>
  <c r="G162" i="19" s="1"/>
  <c r="C162" i="19"/>
  <c r="I162" i="19" s="1"/>
  <c r="E161" i="19"/>
  <c r="D161" i="19"/>
  <c r="G161" i="19" s="1"/>
  <c r="C161" i="19"/>
  <c r="I161" i="19" s="1"/>
  <c r="E160" i="19"/>
  <c r="D160" i="19"/>
  <c r="G160" i="19" s="1"/>
  <c r="C160" i="19"/>
  <c r="I160" i="19" s="1"/>
  <c r="E159" i="19"/>
  <c r="D159" i="19"/>
  <c r="G159" i="19" s="1"/>
  <c r="C159" i="19"/>
  <c r="I159" i="19" s="1"/>
  <c r="E158" i="19"/>
  <c r="D158" i="19"/>
  <c r="G158" i="19" s="1"/>
  <c r="C158" i="19"/>
  <c r="I158" i="19" s="1"/>
  <c r="E157" i="19"/>
  <c r="D157" i="19"/>
  <c r="G157" i="19" s="1"/>
  <c r="C157" i="19"/>
  <c r="I157" i="19" s="1"/>
  <c r="E156" i="19"/>
  <c r="D156" i="19"/>
  <c r="G156" i="19" s="1"/>
  <c r="C156" i="19"/>
  <c r="I156" i="19" s="1"/>
  <c r="E155" i="19"/>
  <c r="D155" i="19"/>
  <c r="G155" i="19" s="1"/>
  <c r="C155" i="19"/>
  <c r="I155" i="19" s="1"/>
  <c r="E154" i="19"/>
  <c r="D154" i="19"/>
  <c r="G154" i="19" s="1"/>
  <c r="C154" i="19"/>
  <c r="I154" i="19" s="1"/>
  <c r="E153" i="19"/>
  <c r="D153" i="19"/>
  <c r="G153" i="19" s="1"/>
  <c r="C153" i="19"/>
  <c r="I153" i="19" s="1"/>
  <c r="E152" i="19"/>
  <c r="D152" i="19"/>
  <c r="G152" i="19" s="1"/>
  <c r="C152" i="19"/>
  <c r="I152" i="19" s="1"/>
  <c r="E151" i="19"/>
  <c r="D151" i="19"/>
  <c r="G151" i="19" s="1"/>
  <c r="C151" i="19"/>
  <c r="I151" i="19" s="1"/>
  <c r="E150" i="19"/>
  <c r="D150" i="19"/>
  <c r="G150" i="19" s="1"/>
  <c r="C150" i="19"/>
  <c r="I150" i="19" s="1"/>
  <c r="E149" i="19"/>
  <c r="D149" i="19"/>
  <c r="G149" i="19" s="1"/>
  <c r="A149" i="19" s="1"/>
  <c r="C149" i="19"/>
  <c r="I149" i="19" s="1"/>
  <c r="E148" i="19"/>
  <c r="D148" i="19"/>
  <c r="G148" i="19" s="1"/>
  <c r="C148" i="19"/>
  <c r="I148" i="19" s="1"/>
  <c r="E147" i="19"/>
  <c r="D147" i="19"/>
  <c r="G147" i="19" s="1"/>
  <c r="C147" i="19"/>
  <c r="I147" i="19" s="1"/>
  <c r="E146" i="19"/>
  <c r="D146" i="19"/>
  <c r="G146" i="19" s="1"/>
  <c r="C146" i="19"/>
  <c r="I146" i="19" s="1"/>
  <c r="E145" i="19"/>
  <c r="D145" i="19"/>
  <c r="G145" i="19" s="1"/>
  <c r="C145" i="19"/>
  <c r="I145" i="19" s="1"/>
  <c r="E144" i="19"/>
  <c r="D144" i="19"/>
  <c r="G144" i="19" s="1"/>
  <c r="C144" i="19"/>
  <c r="I144" i="19" s="1"/>
  <c r="E143" i="19"/>
  <c r="D143" i="19"/>
  <c r="G143" i="19" s="1"/>
  <c r="C143" i="19"/>
  <c r="I143" i="19" s="1"/>
  <c r="E142" i="19"/>
  <c r="D142" i="19"/>
  <c r="G142" i="19" s="1"/>
  <c r="C142" i="19"/>
  <c r="I142" i="19" s="1"/>
  <c r="E141" i="19"/>
  <c r="D141" i="19"/>
  <c r="G141" i="19" s="1"/>
  <c r="C141" i="19"/>
  <c r="I141" i="19" s="1"/>
  <c r="E140" i="19"/>
  <c r="D140" i="19"/>
  <c r="G140" i="19" s="1"/>
  <c r="C140" i="19"/>
  <c r="I140" i="19" s="1"/>
  <c r="E139" i="19"/>
  <c r="D139" i="19"/>
  <c r="G139" i="19" s="1"/>
  <c r="C139" i="19"/>
  <c r="I139" i="19" s="1"/>
  <c r="E138" i="19"/>
  <c r="D138" i="19"/>
  <c r="G138" i="19" s="1"/>
  <c r="C138" i="19"/>
  <c r="I138" i="19" s="1"/>
  <c r="E137" i="19"/>
  <c r="D137" i="19"/>
  <c r="G137" i="19" s="1"/>
  <c r="C137" i="19"/>
  <c r="I137" i="19" s="1"/>
  <c r="E136" i="19"/>
  <c r="D136" i="19"/>
  <c r="G136" i="19" s="1"/>
  <c r="C136" i="19"/>
  <c r="I136" i="19" s="1"/>
  <c r="E135" i="19"/>
  <c r="D135" i="19"/>
  <c r="G135" i="19" s="1"/>
  <c r="C135" i="19"/>
  <c r="I135" i="19" s="1"/>
  <c r="E134" i="19"/>
  <c r="D134" i="19"/>
  <c r="G134" i="19" s="1"/>
  <c r="C134" i="19"/>
  <c r="I134" i="19" s="1"/>
  <c r="E133" i="19"/>
  <c r="D133" i="19"/>
  <c r="G133" i="19" s="1"/>
  <c r="A133" i="19" s="1"/>
  <c r="C133" i="19"/>
  <c r="I133" i="19" s="1"/>
  <c r="E132" i="19"/>
  <c r="D132" i="19"/>
  <c r="G132" i="19" s="1"/>
  <c r="C132" i="19"/>
  <c r="I132" i="19" s="1"/>
  <c r="E131" i="19"/>
  <c r="D131" i="19"/>
  <c r="G131" i="19" s="1"/>
  <c r="C131" i="19"/>
  <c r="I131" i="19" s="1"/>
  <c r="E130" i="19"/>
  <c r="D130" i="19"/>
  <c r="G130" i="19" s="1"/>
  <c r="C130" i="19"/>
  <c r="I130" i="19" s="1"/>
  <c r="E129" i="19"/>
  <c r="D129" i="19"/>
  <c r="G129" i="19" s="1"/>
  <c r="C129" i="19"/>
  <c r="I129" i="19" s="1"/>
  <c r="E128" i="19"/>
  <c r="D128" i="19"/>
  <c r="G128" i="19" s="1"/>
  <c r="C128" i="19"/>
  <c r="I128" i="19" s="1"/>
  <c r="E127" i="19"/>
  <c r="D127" i="19"/>
  <c r="G127" i="19" s="1"/>
  <c r="C127" i="19"/>
  <c r="I127" i="19" s="1"/>
  <c r="E126" i="19"/>
  <c r="D126" i="19"/>
  <c r="G126" i="19" s="1"/>
  <c r="C126" i="19"/>
  <c r="I126" i="19" s="1"/>
  <c r="E125" i="19"/>
  <c r="D125" i="19"/>
  <c r="G125" i="19" s="1"/>
  <c r="C125" i="19"/>
  <c r="I125" i="19" s="1"/>
  <c r="E124" i="19"/>
  <c r="D124" i="19"/>
  <c r="G124" i="19" s="1"/>
  <c r="C124" i="19"/>
  <c r="I124" i="19" s="1"/>
  <c r="E123" i="19"/>
  <c r="D123" i="19"/>
  <c r="G123" i="19" s="1"/>
  <c r="C123" i="19"/>
  <c r="I123" i="19" s="1"/>
  <c r="E122" i="19"/>
  <c r="D122" i="19"/>
  <c r="G122" i="19" s="1"/>
  <c r="C122" i="19"/>
  <c r="I122" i="19" s="1"/>
  <c r="E121" i="19"/>
  <c r="D121" i="19"/>
  <c r="G121" i="19" s="1"/>
  <c r="C121" i="19"/>
  <c r="I121" i="19" s="1"/>
  <c r="E120" i="19"/>
  <c r="D120" i="19"/>
  <c r="G120" i="19" s="1"/>
  <c r="C120" i="19"/>
  <c r="I120" i="19" s="1"/>
  <c r="E119" i="19"/>
  <c r="D119" i="19"/>
  <c r="G119" i="19" s="1"/>
  <c r="C119" i="19"/>
  <c r="I119" i="19" s="1"/>
  <c r="E118" i="19"/>
  <c r="D118" i="19"/>
  <c r="G118" i="19" s="1"/>
  <c r="C118" i="19"/>
  <c r="I118" i="19" s="1"/>
  <c r="E117" i="19"/>
  <c r="D117" i="19"/>
  <c r="G117" i="19" s="1"/>
  <c r="A117" i="19" s="1"/>
  <c r="C117" i="19"/>
  <c r="I117" i="19" s="1"/>
  <c r="E116" i="19"/>
  <c r="D116" i="19"/>
  <c r="G116" i="19" s="1"/>
  <c r="C116" i="19"/>
  <c r="I116" i="19" s="1"/>
  <c r="E115" i="19"/>
  <c r="D115" i="19"/>
  <c r="G115" i="19" s="1"/>
  <c r="C115" i="19"/>
  <c r="I115" i="19" s="1"/>
  <c r="E114" i="19"/>
  <c r="D114" i="19"/>
  <c r="G114" i="19" s="1"/>
  <c r="C114" i="19"/>
  <c r="I114" i="19" s="1"/>
  <c r="E113" i="19"/>
  <c r="D113" i="19"/>
  <c r="G113" i="19" s="1"/>
  <c r="C113" i="19"/>
  <c r="I113" i="19" s="1"/>
  <c r="E112" i="19"/>
  <c r="D112" i="19"/>
  <c r="G112" i="19" s="1"/>
  <c r="C112" i="19"/>
  <c r="I112" i="19" s="1"/>
  <c r="E111" i="19"/>
  <c r="D111" i="19"/>
  <c r="G111" i="19" s="1"/>
  <c r="C111" i="19"/>
  <c r="I111" i="19" s="1"/>
  <c r="E110" i="19"/>
  <c r="D110" i="19"/>
  <c r="G110" i="19" s="1"/>
  <c r="C110" i="19"/>
  <c r="I110" i="19" s="1"/>
  <c r="E109" i="19"/>
  <c r="D109" i="19"/>
  <c r="G109" i="19" s="1"/>
  <c r="C109" i="19"/>
  <c r="I109" i="19" s="1"/>
  <c r="E108" i="19"/>
  <c r="D108" i="19"/>
  <c r="G108" i="19" s="1"/>
  <c r="C108" i="19"/>
  <c r="E107" i="19"/>
  <c r="D107" i="19"/>
  <c r="G107" i="19" s="1"/>
  <c r="C107" i="19"/>
  <c r="I107" i="19" s="1"/>
  <c r="E106" i="19"/>
  <c r="D106" i="19"/>
  <c r="G106" i="19" s="1"/>
  <c r="C106" i="19"/>
  <c r="I106" i="19" s="1"/>
  <c r="E105" i="19"/>
  <c r="D105" i="19"/>
  <c r="G105" i="19" s="1"/>
  <c r="C105" i="19"/>
  <c r="I105" i="19" s="1"/>
  <c r="E104" i="19"/>
  <c r="D104" i="19"/>
  <c r="G104" i="19" s="1"/>
  <c r="C104" i="19"/>
  <c r="I104" i="19" s="1"/>
  <c r="E103" i="19"/>
  <c r="D103" i="19"/>
  <c r="G103" i="19" s="1"/>
  <c r="C103" i="19"/>
  <c r="I103" i="19" s="1"/>
  <c r="E102" i="19"/>
  <c r="D102" i="19"/>
  <c r="G102" i="19" s="1"/>
  <c r="C102" i="19"/>
  <c r="I102" i="19" s="1"/>
  <c r="E101" i="19"/>
  <c r="D101" i="19"/>
  <c r="G101" i="19" s="1"/>
  <c r="A101" i="19" s="1"/>
  <c r="C101" i="19"/>
  <c r="I101" i="19" s="1"/>
  <c r="E100" i="19"/>
  <c r="D100" i="19"/>
  <c r="G100" i="19" s="1"/>
  <c r="C100" i="19"/>
  <c r="I100" i="19" s="1"/>
  <c r="E99" i="19"/>
  <c r="D99" i="19"/>
  <c r="G99" i="19" s="1"/>
  <c r="C99" i="19"/>
  <c r="I99" i="19" s="1"/>
  <c r="E98" i="19"/>
  <c r="D98" i="19"/>
  <c r="G98" i="19" s="1"/>
  <c r="C98" i="19"/>
  <c r="I98" i="19" s="1"/>
  <c r="E97" i="19"/>
  <c r="D97" i="19"/>
  <c r="G97" i="19" s="1"/>
  <c r="C97" i="19"/>
  <c r="I97" i="19" s="1"/>
  <c r="E96" i="19"/>
  <c r="D96" i="19"/>
  <c r="G96" i="19" s="1"/>
  <c r="C96" i="19"/>
  <c r="I96" i="19" s="1"/>
  <c r="E95" i="19"/>
  <c r="D95" i="19"/>
  <c r="G95" i="19" s="1"/>
  <c r="C95" i="19"/>
  <c r="I95" i="19" s="1"/>
  <c r="E94" i="19"/>
  <c r="D94" i="19"/>
  <c r="G94" i="19" s="1"/>
  <c r="C94" i="19"/>
  <c r="I94" i="19" s="1"/>
  <c r="E93" i="19"/>
  <c r="D93" i="19"/>
  <c r="G93" i="19" s="1"/>
  <c r="C93" i="19"/>
  <c r="I93" i="19" s="1"/>
  <c r="E92" i="19"/>
  <c r="D92" i="19"/>
  <c r="G92" i="19" s="1"/>
  <c r="C92" i="19"/>
  <c r="I92" i="19" s="1"/>
  <c r="E91" i="19"/>
  <c r="D91" i="19"/>
  <c r="G91" i="19" s="1"/>
  <c r="C91" i="19"/>
  <c r="I91" i="19" s="1"/>
  <c r="E90" i="19"/>
  <c r="D90" i="19"/>
  <c r="G90" i="19" s="1"/>
  <c r="C90" i="19"/>
  <c r="I90" i="19" s="1"/>
  <c r="E89" i="19"/>
  <c r="D89" i="19"/>
  <c r="G89" i="19" s="1"/>
  <c r="C89" i="19"/>
  <c r="I89" i="19" s="1"/>
  <c r="E88" i="19"/>
  <c r="D88" i="19"/>
  <c r="G88" i="19" s="1"/>
  <c r="C88" i="19"/>
  <c r="I88" i="19" s="1"/>
  <c r="E87" i="19"/>
  <c r="D87" i="19"/>
  <c r="G87" i="19" s="1"/>
  <c r="C87" i="19"/>
  <c r="I87" i="19" s="1"/>
  <c r="E86" i="19"/>
  <c r="D86" i="19"/>
  <c r="G86" i="19" s="1"/>
  <c r="C86" i="19"/>
  <c r="I86" i="19" s="1"/>
  <c r="E85" i="19"/>
  <c r="D85" i="19"/>
  <c r="G85" i="19" s="1"/>
  <c r="A85" i="19" s="1"/>
  <c r="C85" i="19"/>
  <c r="I85" i="19" s="1"/>
  <c r="E84" i="19"/>
  <c r="D84" i="19"/>
  <c r="G84" i="19" s="1"/>
  <c r="C84" i="19"/>
  <c r="I84" i="19" s="1"/>
  <c r="E83" i="19"/>
  <c r="D83" i="19"/>
  <c r="G83" i="19" s="1"/>
  <c r="C83" i="19"/>
  <c r="I83" i="19" s="1"/>
  <c r="E82" i="19"/>
  <c r="D82" i="19"/>
  <c r="G82" i="19" s="1"/>
  <c r="C82" i="19"/>
  <c r="I82" i="19" s="1"/>
  <c r="E81" i="19"/>
  <c r="D81" i="19"/>
  <c r="G81" i="19" s="1"/>
  <c r="C81" i="19"/>
  <c r="I81" i="19" s="1"/>
  <c r="E80" i="19"/>
  <c r="D80" i="19"/>
  <c r="G80" i="19" s="1"/>
  <c r="C80" i="19"/>
  <c r="I80" i="19" s="1"/>
  <c r="E79" i="19"/>
  <c r="D79" i="19"/>
  <c r="G79" i="19" s="1"/>
  <c r="C79" i="19"/>
  <c r="I79" i="19" s="1"/>
  <c r="E78" i="19"/>
  <c r="D78" i="19"/>
  <c r="G78" i="19" s="1"/>
  <c r="C78" i="19"/>
  <c r="I78" i="19" s="1"/>
  <c r="E77" i="19"/>
  <c r="D77" i="19"/>
  <c r="G77" i="19" s="1"/>
  <c r="C77" i="19"/>
  <c r="I77" i="19" s="1"/>
  <c r="E76" i="19"/>
  <c r="D76" i="19"/>
  <c r="G76" i="19" s="1"/>
  <c r="C76" i="19"/>
  <c r="I76" i="19" s="1"/>
  <c r="E75" i="19"/>
  <c r="D75" i="19"/>
  <c r="G75" i="19" s="1"/>
  <c r="C75" i="19"/>
  <c r="I75" i="19" s="1"/>
  <c r="E74" i="19"/>
  <c r="D74" i="19"/>
  <c r="G74" i="19" s="1"/>
  <c r="C74" i="19"/>
  <c r="I74" i="19" s="1"/>
  <c r="E73" i="19"/>
  <c r="D73" i="19"/>
  <c r="G73" i="19" s="1"/>
  <c r="C73" i="19"/>
  <c r="I73" i="19" s="1"/>
  <c r="E72" i="19"/>
  <c r="D72" i="19"/>
  <c r="G72" i="19" s="1"/>
  <c r="C72" i="19"/>
  <c r="I72" i="19" s="1"/>
  <c r="E71" i="19"/>
  <c r="D71" i="19"/>
  <c r="G71" i="19" s="1"/>
  <c r="C71" i="19"/>
  <c r="I71" i="19" s="1"/>
  <c r="E70" i="19"/>
  <c r="D70" i="19"/>
  <c r="G70" i="19" s="1"/>
  <c r="C70" i="19"/>
  <c r="I70" i="19" s="1"/>
  <c r="E69" i="19"/>
  <c r="D69" i="19"/>
  <c r="G69" i="19" s="1"/>
  <c r="A69" i="19" s="1"/>
  <c r="C69" i="19"/>
  <c r="I69" i="19" s="1"/>
  <c r="E68" i="19"/>
  <c r="D68" i="19"/>
  <c r="G68" i="19" s="1"/>
  <c r="C68" i="19"/>
  <c r="I68" i="19" s="1"/>
  <c r="E67" i="19"/>
  <c r="D67" i="19"/>
  <c r="G67" i="19" s="1"/>
  <c r="C67" i="19"/>
  <c r="I67" i="19" s="1"/>
  <c r="E66" i="19"/>
  <c r="D66" i="19"/>
  <c r="G66" i="19" s="1"/>
  <c r="C66" i="19"/>
  <c r="E65" i="19"/>
  <c r="D65" i="19"/>
  <c r="G65" i="19" s="1"/>
  <c r="C65" i="19"/>
  <c r="I65" i="19" s="1"/>
  <c r="E64" i="19"/>
  <c r="D64" i="19"/>
  <c r="G64" i="19" s="1"/>
  <c r="C64" i="19"/>
  <c r="I64" i="19" s="1"/>
  <c r="E63" i="19"/>
  <c r="D63" i="19"/>
  <c r="G63" i="19" s="1"/>
  <c r="C63" i="19"/>
  <c r="I63" i="19" s="1"/>
  <c r="E62" i="19"/>
  <c r="D62" i="19"/>
  <c r="G62" i="19" s="1"/>
  <c r="C62" i="19"/>
  <c r="I62" i="19" s="1"/>
  <c r="E61" i="19"/>
  <c r="D61" i="19"/>
  <c r="G61" i="19" s="1"/>
  <c r="C61" i="19"/>
  <c r="I61" i="19" s="1"/>
  <c r="E60" i="19"/>
  <c r="D60" i="19"/>
  <c r="G60" i="19" s="1"/>
  <c r="C60" i="19"/>
  <c r="I60" i="19" s="1"/>
  <c r="E59" i="19"/>
  <c r="D59" i="19"/>
  <c r="G59" i="19" s="1"/>
  <c r="C59" i="19"/>
  <c r="I59" i="19" s="1"/>
  <c r="E58" i="19"/>
  <c r="D58" i="19"/>
  <c r="G58" i="19" s="1"/>
  <c r="C58" i="19"/>
  <c r="I58" i="19" s="1"/>
  <c r="E57" i="19"/>
  <c r="D57" i="19"/>
  <c r="G57" i="19" s="1"/>
  <c r="C57" i="19"/>
  <c r="I57" i="19" s="1"/>
  <c r="E56" i="19"/>
  <c r="D56" i="19"/>
  <c r="G56" i="19" s="1"/>
  <c r="C56" i="19"/>
  <c r="I56" i="19" s="1"/>
  <c r="E55" i="19"/>
  <c r="D55" i="19"/>
  <c r="G55" i="19" s="1"/>
  <c r="C55" i="19"/>
  <c r="E54" i="19"/>
  <c r="D54" i="19"/>
  <c r="C54" i="19"/>
  <c r="I54" i="19" s="1"/>
  <c r="E53" i="19"/>
  <c r="D53" i="19"/>
  <c r="G53" i="19" s="1"/>
  <c r="C53" i="19"/>
  <c r="I53" i="19" s="1"/>
  <c r="E52" i="19"/>
  <c r="D52" i="19"/>
  <c r="G52" i="19" s="1"/>
  <c r="C52" i="19"/>
  <c r="E51" i="19"/>
  <c r="D51" i="19"/>
  <c r="G51" i="19" s="1"/>
  <c r="C51" i="19"/>
  <c r="I51" i="19" s="1"/>
  <c r="E50" i="19"/>
  <c r="D50" i="19"/>
  <c r="G50" i="19" s="1"/>
  <c r="C50" i="19"/>
  <c r="I50" i="19" s="1"/>
  <c r="E49" i="19"/>
  <c r="D49" i="19"/>
  <c r="C49" i="19"/>
  <c r="I49" i="19" s="1"/>
  <c r="E48" i="19"/>
  <c r="D48" i="19"/>
  <c r="C48" i="19"/>
  <c r="I48" i="19" s="1"/>
  <c r="E47" i="19"/>
  <c r="D47" i="19"/>
  <c r="G47" i="19" s="1"/>
  <c r="C47" i="19"/>
  <c r="E46" i="19"/>
  <c r="D46" i="19"/>
  <c r="G46" i="19" s="1"/>
  <c r="C46" i="19"/>
  <c r="E45" i="19"/>
  <c r="D45" i="19"/>
  <c r="G45" i="19" s="1"/>
  <c r="C45" i="19"/>
  <c r="E44" i="19"/>
  <c r="D44" i="19"/>
  <c r="G44" i="19" s="1"/>
  <c r="C44" i="19"/>
  <c r="I44" i="19" s="1"/>
  <c r="E43" i="19"/>
  <c r="D43" i="19"/>
  <c r="C43" i="19"/>
  <c r="I43" i="19" s="1"/>
  <c r="E42" i="19"/>
  <c r="D42" i="19"/>
  <c r="G42" i="19" s="1"/>
  <c r="C42" i="19"/>
  <c r="E41" i="19"/>
  <c r="D41" i="19"/>
  <c r="G41" i="19" s="1"/>
  <c r="C41" i="19"/>
  <c r="I41" i="19" s="1"/>
  <c r="E40" i="19"/>
  <c r="D40" i="19"/>
  <c r="G40" i="19" s="1"/>
  <c r="C40" i="19"/>
  <c r="E39" i="19"/>
  <c r="D39" i="19"/>
  <c r="G39" i="19" s="1"/>
  <c r="C39" i="19"/>
  <c r="I39" i="19" s="1"/>
  <c r="E38" i="19"/>
  <c r="D38" i="19"/>
  <c r="G38" i="19" s="1"/>
  <c r="C38" i="19"/>
  <c r="I38" i="19" s="1"/>
  <c r="E37" i="19"/>
  <c r="D37" i="19"/>
  <c r="G37" i="19" s="1"/>
  <c r="A37" i="19" s="1"/>
  <c r="C37" i="19"/>
  <c r="I37" i="19" s="1"/>
  <c r="E36" i="19"/>
  <c r="D36" i="19"/>
  <c r="G36" i="19" s="1"/>
  <c r="C36" i="19"/>
  <c r="I36" i="19" s="1"/>
  <c r="E35" i="19"/>
  <c r="D35" i="19"/>
  <c r="G35" i="19" s="1"/>
  <c r="C35" i="19"/>
  <c r="I35" i="19" s="1"/>
  <c r="E34" i="19"/>
  <c r="D34" i="19"/>
  <c r="G34" i="19" s="1"/>
  <c r="C34" i="19"/>
  <c r="I34" i="19" s="1"/>
  <c r="E33" i="19"/>
  <c r="D33" i="19"/>
  <c r="C33" i="19"/>
  <c r="I33" i="19" s="1"/>
  <c r="E32" i="19"/>
  <c r="D32" i="19"/>
  <c r="G32" i="19" s="1"/>
  <c r="C32" i="19"/>
  <c r="I32" i="19" s="1"/>
  <c r="E31" i="19"/>
  <c r="D31" i="19"/>
  <c r="G31" i="19" s="1"/>
  <c r="C31" i="19"/>
  <c r="E30" i="19"/>
  <c r="D30" i="19"/>
  <c r="G30" i="19" s="1"/>
  <c r="C30" i="19"/>
  <c r="E29" i="19"/>
  <c r="D29" i="19"/>
  <c r="G29" i="19" s="1"/>
  <c r="C29" i="19"/>
  <c r="E28" i="19"/>
  <c r="D28" i="19"/>
  <c r="G28" i="19" s="1"/>
  <c r="C28" i="19"/>
  <c r="I28" i="19" s="1"/>
  <c r="E27" i="19"/>
  <c r="D27" i="19"/>
  <c r="G27" i="19" s="1"/>
  <c r="C27" i="19"/>
  <c r="E26" i="19"/>
  <c r="D26" i="19"/>
  <c r="G26" i="19" s="1"/>
  <c r="C26" i="19"/>
  <c r="I26" i="19" s="1"/>
  <c r="E25" i="19"/>
  <c r="D25" i="19"/>
  <c r="G25" i="19" s="1"/>
  <c r="C25" i="19"/>
  <c r="E24" i="19"/>
  <c r="D24" i="19"/>
  <c r="G24" i="19" s="1"/>
  <c r="C24" i="19"/>
  <c r="E23" i="19"/>
  <c r="D23" i="19"/>
  <c r="G23" i="19" s="1"/>
  <c r="C23" i="19"/>
  <c r="A3" i="19"/>
  <c r="J245" i="12"/>
  <c r="J236" i="12"/>
  <c r="I30" i="19" l="1"/>
  <c r="I46" i="19"/>
  <c r="A53" i="19"/>
  <c r="A165" i="19"/>
  <c r="A271" i="19"/>
  <c r="A815" i="19"/>
  <c r="A79" i="19"/>
  <c r="A95" i="19"/>
  <c r="A127" i="19"/>
  <c r="A143" i="19"/>
  <c r="A159" i="19"/>
  <c r="I405" i="19"/>
  <c r="I693" i="19"/>
  <c r="I709" i="19"/>
  <c r="I725" i="19"/>
  <c r="I741" i="19"/>
  <c r="A741" i="19" s="1"/>
  <c r="I757" i="19"/>
  <c r="I853" i="19"/>
  <c r="I869" i="19"/>
  <c r="A869" i="19" s="1"/>
  <c r="I885" i="19"/>
  <c r="A885" i="19" s="1"/>
  <c r="I901" i="19"/>
  <c r="I917" i="19"/>
  <c r="I933" i="19"/>
  <c r="I949" i="19"/>
  <c r="I1083" i="19"/>
  <c r="I1079" i="19"/>
  <c r="I1067" i="19"/>
  <c r="A1067" i="19" s="1"/>
  <c r="I1063" i="19"/>
  <c r="A1063" i="19" s="1"/>
  <c r="I1051" i="19"/>
  <c r="I1047" i="19"/>
  <c r="I1035" i="19"/>
  <c r="A1035" i="19" s="1"/>
  <c r="I1031" i="19"/>
  <c r="A1031" i="19" s="1"/>
  <c r="I1019" i="19"/>
  <c r="I1015" i="19"/>
  <c r="I1003" i="19"/>
  <c r="A1003" i="19" s="1"/>
  <c r="I999" i="19"/>
  <c r="A999" i="19" s="1"/>
  <c r="I995" i="19"/>
  <c r="I987" i="19"/>
  <c r="I971" i="19"/>
  <c r="A971" i="19" s="1"/>
  <c r="I955" i="19"/>
  <c r="A955" i="19" s="1"/>
  <c r="A111" i="19"/>
  <c r="I800" i="19"/>
  <c r="I816" i="19"/>
  <c r="I832" i="19"/>
  <c r="A832" i="19" s="1"/>
  <c r="I848" i="19"/>
  <c r="I864" i="19"/>
  <c r="I880" i="19"/>
  <c r="A880" i="19" s="1"/>
  <c r="I896" i="19"/>
  <c r="A896" i="19" s="1"/>
  <c r="I912" i="19"/>
  <c r="I928" i="19"/>
  <c r="I1076" i="19"/>
  <c r="A1076" i="19" s="1"/>
  <c r="I1060" i="19"/>
  <c r="A1060" i="19" s="1"/>
  <c r="I1044" i="19"/>
  <c r="I1028" i="19"/>
  <c r="I1012" i="19"/>
  <c r="A1012" i="19" s="1"/>
  <c r="I996" i="19"/>
  <c r="A996" i="19" s="1"/>
  <c r="I980" i="19"/>
  <c r="I964" i="19"/>
  <c r="A831" i="19"/>
  <c r="A847" i="19"/>
  <c r="A863" i="19"/>
  <c r="A335" i="19"/>
  <c r="A351" i="19"/>
  <c r="A415" i="19"/>
  <c r="A431" i="19"/>
  <c r="A901" i="19"/>
  <c r="A917" i="19"/>
  <c r="A591" i="19"/>
  <c r="A607" i="19"/>
  <c r="A623" i="19"/>
  <c r="A639" i="19"/>
  <c r="A655" i="19"/>
  <c r="A671" i="19"/>
  <c r="A511" i="19"/>
  <c r="A559" i="19"/>
  <c r="A575" i="19"/>
  <c r="I1049" i="19"/>
  <c r="A1049" i="19" s="1"/>
  <c r="I1033" i="19"/>
  <c r="A1033" i="19" s="1"/>
  <c r="I1017" i="19"/>
  <c r="I1001" i="19"/>
  <c r="I985" i="19"/>
  <c r="I969" i="19"/>
  <c r="A969" i="19" s="1"/>
  <c r="I953" i="19"/>
  <c r="A953" i="19" s="1"/>
  <c r="I1059" i="19"/>
  <c r="A985" i="19"/>
  <c r="A102" i="19"/>
  <c r="A118" i="19"/>
  <c r="I1085" i="19"/>
  <c r="A1085" i="19" s="1"/>
  <c r="I1069" i="19"/>
  <c r="A1069" i="19" s="1"/>
  <c r="I1074" i="19"/>
  <c r="A1074" i="19" s="1"/>
  <c r="I978" i="19"/>
  <c r="I55" i="19"/>
  <c r="I183" i="19"/>
  <c r="I199" i="19"/>
  <c r="I231" i="19"/>
  <c r="I263" i="19"/>
  <c r="I327" i="19"/>
  <c r="I375" i="19"/>
  <c r="I391" i="19"/>
  <c r="I423" i="19"/>
  <c r="I487" i="19"/>
  <c r="I535" i="19"/>
  <c r="A535" i="19" s="1"/>
  <c r="I567" i="19"/>
  <c r="I599" i="19"/>
  <c r="I615" i="19"/>
  <c r="A615" i="19" s="1"/>
  <c r="I647" i="19"/>
  <c r="I679" i="19"/>
  <c r="I695" i="19"/>
  <c r="I727" i="19"/>
  <c r="I743" i="19"/>
  <c r="I759" i="19"/>
  <c r="I855" i="19"/>
  <c r="I871" i="19"/>
  <c r="A871" i="19" s="1"/>
  <c r="I887" i="19"/>
  <c r="A887" i="19" s="1"/>
  <c r="I903" i="19"/>
  <c r="I919" i="19"/>
  <c r="I935" i="19"/>
  <c r="A935" i="19" s="1"/>
  <c r="I951" i="19"/>
  <c r="A951" i="19" s="1"/>
  <c r="I983" i="19"/>
  <c r="I967" i="19"/>
  <c r="A967" i="19" s="1"/>
  <c r="I1084" i="19"/>
  <c r="I1068" i="19"/>
  <c r="A1068" i="19" s="1"/>
  <c r="I1052" i="19"/>
  <c r="I1036" i="19"/>
  <c r="A1036" i="19" s="1"/>
  <c r="I1020" i="19"/>
  <c r="A1020" i="19" s="1"/>
  <c r="I1004" i="19"/>
  <c r="A1004" i="19" s="1"/>
  <c r="I988" i="19"/>
  <c r="I972" i="19"/>
  <c r="A972" i="19" s="1"/>
  <c r="I956" i="19"/>
  <c r="A956" i="19" s="1"/>
  <c r="A1017" i="19"/>
  <c r="A61" i="19"/>
  <c r="A77" i="19"/>
  <c r="A93" i="19"/>
  <c r="A109" i="19"/>
  <c r="A125" i="19"/>
  <c r="A141" i="19"/>
  <c r="A157" i="19"/>
  <c r="A285" i="19"/>
  <c r="A1001" i="19"/>
  <c r="A36" i="19"/>
  <c r="A116" i="19"/>
  <c r="A276" i="19"/>
  <c r="A51" i="19"/>
  <c r="A83" i="19"/>
  <c r="A99" i="19"/>
  <c r="A131" i="19"/>
  <c r="A163" i="19"/>
  <c r="A275" i="19"/>
  <c r="A291" i="19"/>
  <c r="A883" i="19"/>
  <c r="A899" i="19"/>
  <c r="A915" i="19"/>
  <c r="A931" i="19"/>
  <c r="A67" i="19"/>
  <c r="A115" i="19"/>
  <c r="A147" i="19"/>
  <c r="I297" i="19"/>
  <c r="I313" i="19"/>
  <c r="A313" i="19" s="1"/>
  <c r="I377" i="19"/>
  <c r="I473" i="19"/>
  <c r="I489" i="19"/>
  <c r="A489" i="19" s="1"/>
  <c r="I697" i="19"/>
  <c r="A697" i="19" s="1"/>
  <c r="I713" i="19"/>
  <c r="A713" i="19" s="1"/>
  <c r="I729" i="19"/>
  <c r="A729" i="19" s="1"/>
  <c r="I745" i="19"/>
  <c r="I761" i="19"/>
  <c r="A761" i="19" s="1"/>
  <c r="I777" i="19"/>
  <c r="I793" i="19"/>
  <c r="I809" i="19"/>
  <c r="I1077" i="19"/>
  <c r="A1077" i="19" s="1"/>
  <c r="I1061" i="19"/>
  <c r="I1045" i="19"/>
  <c r="I1029" i="19"/>
  <c r="A1029" i="19" s="1"/>
  <c r="I1013" i="19"/>
  <c r="A1013" i="19" s="1"/>
  <c r="I997" i="19"/>
  <c r="I981" i="19"/>
  <c r="I180" i="19"/>
  <c r="I196" i="19"/>
  <c r="I228" i="19"/>
  <c r="I372" i="19"/>
  <c r="A372" i="19" s="1"/>
  <c r="I468" i="19"/>
  <c r="I660" i="19"/>
  <c r="I676" i="19"/>
  <c r="I692" i="19"/>
  <c r="I708" i="19"/>
  <c r="A708" i="19" s="1"/>
  <c r="I724" i="19"/>
  <c r="A724" i="19" s="1"/>
  <c r="I756" i="19"/>
  <c r="I772" i="19"/>
  <c r="A772" i="19" s="1"/>
  <c r="I788" i="19"/>
  <c r="A788" i="19" s="1"/>
  <c r="I820" i="19"/>
  <c r="A820" i="19" s="1"/>
  <c r="I836" i="19"/>
  <c r="I852" i="19"/>
  <c r="I868" i="19"/>
  <c r="I1082" i="19"/>
  <c r="A1082" i="19" s="1"/>
  <c r="I1066" i="19"/>
  <c r="A1066" i="19" s="1"/>
  <c r="I1050" i="19"/>
  <c r="A1050" i="19" s="1"/>
  <c r="I1034" i="19"/>
  <c r="I1018" i="19"/>
  <c r="A1018" i="19" s="1"/>
  <c r="I1002" i="19"/>
  <c r="I986" i="19"/>
  <c r="A986" i="19" s="1"/>
  <c r="I970" i="19"/>
  <c r="I954" i="19"/>
  <c r="I879" i="19"/>
  <c r="I895" i="19"/>
  <c r="I911" i="19"/>
  <c r="A911" i="19" s="1"/>
  <c r="I921" i="19"/>
  <c r="A921" i="19" s="1"/>
  <c r="I927" i="19"/>
  <c r="A927" i="19" s="1"/>
  <c r="I937" i="19"/>
  <c r="A937" i="19" s="1"/>
  <c r="I943" i="19"/>
  <c r="I1087" i="19"/>
  <c r="A1087" i="19" s="1"/>
  <c r="I1071" i="19"/>
  <c r="A1071" i="19" s="1"/>
  <c r="I1055" i="19"/>
  <c r="A1055" i="19" s="1"/>
  <c r="I1039" i="19"/>
  <c r="A1039" i="19" s="1"/>
  <c r="I1023" i="19"/>
  <c r="A1023" i="19" s="1"/>
  <c r="I1007" i="19"/>
  <c r="A1007" i="19" s="1"/>
  <c r="I991" i="19"/>
  <c r="A991" i="19" s="1"/>
  <c r="I975" i="19"/>
  <c r="A975" i="19" s="1"/>
  <c r="I959" i="19"/>
  <c r="A959" i="19" s="1"/>
  <c r="A879" i="19"/>
  <c r="A895" i="19"/>
  <c r="A943" i="19"/>
  <c r="I309" i="19"/>
  <c r="I469" i="19"/>
  <c r="A469" i="19" s="1"/>
  <c r="I501" i="19"/>
  <c r="I1086" i="19"/>
  <c r="A1086" i="19" s="1"/>
  <c r="I1070" i="19"/>
  <c r="A1070" i="19" s="1"/>
  <c r="I1054" i="19"/>
  <c r="A1054" i="19" s="1"/>
  <c r="I1038" i="19"/>
  <c r="A1038" i="19" s="1"/>
  <c r="I1022" i="19"/>
  <c r="A1022" i="19" s="1"/>
  <c r="I1006" i="19"/>
  <c r="A1006" i="19" s="1"/>
  <c r="I990" i="19"/>
  <c r="A990" i="19" s="1"/>
  <c r="I974" i="19"/>
  <c r="A974" i="19" s="1"/>
  <c r="I958" i="19"/>
  <c r="A958" i="19" s="1"/>
  <c r="I219" i="19"/>
  <c r="I251" i="19"/>
  <c r="I347" i="19"/>
  <c r="A347" i="19" s="1"/>
  <c r="I363" i="19"/>
  <c r="I379" i="19"/>
  <c r="A379" i="19" s="1"/>
  <c r="I427" i="19"/>
  <c r="A427" i="19" s="1"/>
  <c r="I443" i="19"/>
  <c r="I459" i="19"/>
  <c r="A459" i="19" s="1"/>
  <c r="I491" i="19"/>
  <c r="A491" i="19" s="1"/>
  <c r="I523" i="19"/>
  <c r="A523" i="19" s="1"/>
  <c r="I539" i="19"/>
  <c r="A539" i="19" s="1"/>
  <c r="I555" i="19"/>
  <c r="A555" i="19" s="1"/>
  <c r="I571" i="19"/>
  <c r="A571" i="19" s="1"/>
  <c r="I587" i="19"/>
  <c r="A587" i="19" s="1"/>
  <c r="I603" i="19"/>
  <c r="A603" i="19" s="1"/>
  <c r="I619" i="19"/>
  <c r="A619" i="19" s="1"/>
  <c r="I635" i="19"/>
  <c r="A635" i="19" s="1"/>
  <c r="I779" i="19"/>
  <c r="I795" i="19"/>
  <c r="A795" i="19" s="1"/>
  <c r="I811" i="19"/>
  <c r="A811" i="19" s="1"/>
  <c r="I827" i="19"/>
  <c r="A827" i="19" s="1"/>
  <c r="I1075" i="19"/>
  <c r="I1043" i="19"/>
  <c r="I1027" i="19"/>
  <c r="A1027" i="19" s="1"/>
  <c r="I1011" i="19"/>
  <c r="I979" i="19"/>
  <c r="I963" i="19"/>
  <c r="A963" i="19" s="1"/>
  <c r="A443" i="19"/>
  <c r="A779" i="19"/>
  <c r="I870" i="19"/>
  <c r="A870" i="19" s="1"/>
  <c r="I950" i="19"/>
  <c r="I1080" i="19"/>
  <c r="I1064" i="19"/>
  <c r="A1064" i="19" s="1"/>
  <c r="I1048" i="19"/>
  <c r="A1048" i="19" s="1"/>
  <c r="I1032" i="19"/>
  <c r="I1016" i="19"/>
  <c r="I1000" i="19"/>
  <c r="A1000" i="19" s="1"/>
  <c r="I984" i="19"/>
  <c r="A984" i="19" s="1"/>
  <c r="I968" i="19"/>
  <c r="A968" i="19" s="1"/>
  <c r="I1053" i="19"/>
  <c r="A1053" i="19" s="1"/>
  <c r="I1037" i="19"/>
  <c r="A1037" i="19" s="1"/>
  <c r="I1021" i="19"/>
  <c r="A1021" i="19" s="1"/>
  <c r="I1005" i="19"/>
  <c r="I973" i="19"/>
  <c r="A973" i="19" s="1"/>
  <c r="I957" i="19"/>
  <c r="A957" i="19" s="1"/>
  <c r="A35" i="19"/>
  <c r="I172" i="19"/>
  <c r="I188" i="19"/>
  <c r="I204" i="19"/>
  <c r="I236" i="19"/>
  <c r="A273" i="19"/>
  <c r="A289" i="19"/>
  <c r="I300" i="19"/>
  <c r="I364" i="19"/>
  <c r="I380" i="19"/>
  <c r="I396" i="19"/>
  <c r="I412" i="19"/>
  <c r="I428" i="19"/>
  <c r="I572" i="19"/>
  <c r="I588" i="19"/>
  <c r="I620" i="19"/>
  <c r="A620" i="19" s="1"/>
  <c r="I636" i="19"/>
  <c r="A636" i="19" s="1"/>
  <c r="I652" i="19"/>
  <c r="I668" i="19"/>
  <c r="A668" i="19" s="1"/>
  <c r="I780" i="19"/>
  <c r="I796" i="19"/>
  <c r="A796" i="19" s="1"/>
  <c r="I1090" i="19"/>
  <c r="I1058" i="19"/>
  <c r="A1058" i="19" s="1"/>
  <c r="I1042" i="19"/>
  <c r="A1042" i="19" s="1"/>
  <c r="I1026" i="19"/>
  <c r="A1026" i="19" s="1"/>
  <c r="I1010" i="19"/>
  <c r="I994" i="19"/>
  <c r="A994" i="19" s="1"/>
  <c r="I962" i="19"/>
  <c r="A962" i="19" s="1"/>
  <c r="A1052" i="19"/>
  <c r="A50" i="19"/>
  <c r="A290" i="19"/>
  <c r="I1089" i="19"/>
  <c r="A1089" i="19" s="1"/>
  <c r="I1073" i="19"/>
  <c r="I1057" i="19"/>
  <c r="A1057" i="19" s="1"/>
  <c r="I1041" i="19"/>
  <c r="A1041" i="19" s="1"/>
  <c r="I1025" i="19"/>
  <c r="A1025" i="19" s="1"/>
  <c r="I1009" i="19"/>
  <c r="A1009" i="19" s="1"/>
  <c r="I993" i="19"/>
  <c r="A993" i="19" s="1"/>
  <c r="I977" i="19"/>
  <c r="A977" i="19" s="1"/>
  <c r="I961" i="19"/>
  <c r="A961" i="19" s="1"/>
  <c r="I296" i="19"/>
  <c r="I312" i="19"/>
  <c r="I344" i="19"/>
  <c r="A344" i="19" s="1"/>
  <c r="I360" i="19"/>
  <c r="I456" i="19"/>
  <c r="I616" i="19"/>
  <c r="A616" i="19" s="1"/>
  <c r="I626" i="19"/>
  <c r="A626" i="19" s="1"/>
  <c r="I632" i="19"/>
  <c r="A632" i="19" s="1"/>
  <c r="I648" i="19"/>
  <c r="A648" i="19" s="1"/>
  <c r="I664" i="19"/>
  <c r="A664" i="19" s="1"/>
  <c r="I680" i="19"/>
  <c r="A680" i="19" s="1"/>
  <c r="I696" i="19"/>
  <c r="A696" i="19" s="1"/>
  <c r="I728" i="19"/>
  <c r="A728" i="19" s="1"/>
  <c r="I744" i="19"/>
  <c r="A744" i="19" s="1"/>
  <c r="I856" i="19"/>
  <c r="A856" i="19" s="1"/>
  <c r="I872" i="19"/>
  <c r="A872" i="19" s="1"/>
  <c r="I888" i="19"/>
  <c r="A888" i="19" s="1"/>
  <c r="I904" i="19"/>
  <c r="I920" i="19"/>
  <c r="I936" i="19"/>
  <c r="I952" i="19"/>
  <c r="A952" i="19" s="1"/>
  <c r="A1083" i="19"/>
  <c r="I1078" i="19"/>
  <c r="A1078" i="19" s="1"/>
  <c r="I1062" i="19"/>
  <c r="A1051" i="19"/>
  <c r="I1046" i="19"/>
  <c r="A1046" i="19" s="1"/>
  <c r="I1030" i="19"/>
  <c r="A1019" i="19"/>
  <c r="I1014" i="19"/>
  <c r="A1014" i="19" s="1"/>
  <c r="I998" i="19"/>
  <c r="A998" i="19" s="1"/>
  <c r="A987" i="19"/>
  <c r="I982" i="19"/>
  <c r="A982" i="19" s="1"/>
  <c r="A1092" i="19"/>
  <c r="A1044" i="19"/>
  <c r="A1028" i="19"/>
  <c r="A980" i="19"/>
  <c r="A970" i="19"/>
  <c r="A933" i="19"/>
  <c r="A949" i="19"/>
  <c r="A1091" i="19"/>
  <c r="A1059" i="19"/>
  <c r="A1043" i="19"/>
  <c r="A995" i="19"/>
  <c r="A979" i="19"/>
  <c r="A32" i="19"/>
  <c r="A64" i="19"/>
  <c r="A80" i="19"/>
  <c r="A96" i="19"/>
  <c r="A112" i="19"/>
  <c r="A128" i="19"/>
  <c r="A144" i="19"/>
  <c r="A160" i="19"/>
  <c r="A272" i="19"/>
  <c r="A288" i="19"/>
  <c r="A912" i="19"/>
  <c r="A928" i="19"/>
  <c r="A1005" i="19"/>
  <c r="A989" i="19"/>
  <c r="A38" i="19"/>
  <c r="A70" i="19"/>
  <c r="A86" i="19"/>
  <c r="A134" i="19"/>
  <c r="A150" i="19"/>
  <c r="A166" i="19"/>
  <c r="A1010" i="19"/>
  <c r="A978" i="19"/>
  <c r="A28" i="19"/>
  <c r="A44" i="19"/>
  <c r="A60" i="19"/>
  <c r="A76" i="19"/>
  <c r="A92" i="19"/>
  <c r="A124" i="19"/>
  <c r="A140" i="19"/>
  <c r="A156" i="19"/>
  <c r="A572" i="19"/>
  <c r="A652" i="19"/>
  <c r="A780" i="19"/>
  <c r="A903" i="19"/>
  <c r="A919" i="19"/>
  <c r="A34" i="19"/>
  <c r="A1073" i="19"/>
  <c r="A158" i="19"/>
  <c r="A286" i="19"/>
  <c r="A398" i="19"/>
  <c r="A414" i="19"/>
  <c r="A954" i="19"/>
  <c r="A41" i="19"/>
  <c r="A329" i="19"/>
  <c r="A585" i="19"/>
  <c r="A745" i="19"/>
  <c r="A777" i="19"/>
  <c r="A793" i="19"/>
  <c r="A809" i="19"/>
  <c r="A110" i="19"/>
  <c r="A68" i="19"/>
  <c r="A84" i="19"/>
  <c r="A100" i="19"/>
  <c r="A132" i="19"/>
  <c r="A148" i="19"/>
  <c r="A164" i="19"/>
  <c r="A292" i="19"/>
  <c r="A756" i="19"/>
  <c r="A57" i="19"/>
  <c r="A137" i="19"/>
  <c r="A377" i="19"/>
  <c r="A62" i="19"/>
  <c r="A281" i="19"/>
  <c r="A78" i="19"/>
  <c r="A105" i="19"/>
  <c r="A457" i="19"/>
  <c r="A73" i="19"/>
  <c r="A121" i="19"/>
  <c r="A126" i="19"/>
  <c r="A153" i="19"/>
  <c r="A473" i="19"/>
  <c r="A94" i="19"/>
  <c r="A142" i="19"/>
  <c r="A89" i="19"/>
  <c r="I510" i="19"/>
  <c r="A510" i="19" s="1"/>
  <c r="I526" i="19"/>
  <c r="A526" i="19" s="1"/>
  <c r="I542" i="19"/>
  <c r="A542" i="19" s="1"/>
  <c r="I590" i="19"/>
  <c r="A590" i="19" s="1"/>
  <c r="I606" i="19"/>
  <c r="A606" i="19" s="1"/>
  <c r="I622" i="19"/>
  <c r="A622" i="19" s="1"/>
  <c r="I638" i="19"/>
  <c r="I702" i="19"/>
  <c r="A702" i="19" s="1"/>
  <c r="I718" i="19"/>
  <c r="A718" i="19" s="1"/>
  <c r="I734" i="19"/>
  <c r="A734" i="19" s="1"/>
  <c r="I766" i="19"/>
  <c r="A766" i="19" s="1"/>
  <c r="I782" i="19"/>
  <c r="A782" i="19" s="1"/>
  <c r="I798" i="19"/>
  <c r="A798" i="19" s="1"/>
  <c r="I814" i="19"/>
  <c r="A814" i="19" s="1"/>
  <c r="I830" i="19"/>
  <c r="A830" i="19" s="1"/>
  <c r="A1093" i="19"/>
  <c r="I1088" i="19"/>
  <c r="A1088" i="19" s="1"/>
  <c r="I1072" i="19"/>
  <c r="A1072" i="19" s="1"/>
  <c r="A1061" i="19"/>
  <c r="I1056" i="19"/>
  <c r="A1056" i="19" s="1"/>
  <c r="A1045" i="19"/>
  <c r="I1040" i="19"/>
  <c r="A1040" i="19" s="1"/>
  <c r="I1024" i="19"/>
  <c r="A1024" i="19" s="1"/>
  <c r="I1008" i="19"/>
  <c r="A997" i="19"/>
  <c r="I992" i="19"/>
  <c r="A992" i="19" s="1"/>
  <c r="A981" i="19"/>
  <c r="I976" i="19"/>
  <c r="A976" i="19" s="1"/>
  <c r="A965" i="19"/>
  <c r="I960" i="19"/>
  <c r="A960" i="19" s="1"/>
  <c r="A56" i="19"/>
  <c r="A72" i="19"/>
  <c r="A88" i="19"/>
  <c r="A104" i="19"/>
  <c r="A120" i="19"/>
  <c r="A136" i="19"/>
  <c r="A152" i="19"/>
  <c r="A216" i="19"/>
  <c r="I243" i="19"/>
  <c r="A280" i="19"/>
  <c r="I307" i="19"/>
  <c r="A312" i="19"/>
  <c r="A328" i="19"/>
  <c r="I355" i="19"/>
  <c r="A355" i="19" s="1"/>
  <c r="A360" i="19"/>
  <c r="I403" i="19"/>
  <c r="A403" i="19" s="1"/>
  <c r="I419" i="19"/>
  <c r="A419" i="19" s="1"/>
  <c r="I515" i="19"/>
  <c r="A515" i="19" s="1"/>
  <c r="A584" i="19"/>
  <c r="I595" i="19"/>
  <c r="A595" i="19" s="1"/>
  <c r="I611" i="19"/>
  <c r="A611" i="19" s="1"/>
  <c r="I627" i="19"/>
  <c r="A627" i="19" s="1"/>
  <c r="I643" i="19"/>
  <c r="I659" i="19"/>
  <c r="A659" i="19" s="1"/>
  <c r="I675" i="19"/>
  <c r="A675" i="19" s="1"/>
  <c r="A712" i="19"/>
  <c r="I803" i="19"/>
  <c r="A803" i="19" s="1"/>
  <c r="I819" i="19"/>
  <c r="A819" i="19" s="1"/>
  <c r="I835" i="19"/>
  <c r="A835" i="19" s="1"/>
  <c r="I851" i="19"/>
  <c r="A851" i="19" s="1"/>
  <c r="A904" i="19"/>
  <c r="A920" i="19"/>
  <c r="A936" i="19"/>
  <c r="A1008" i="19"/>
  <c r="A26" i="19"/>
  <c r="A58" i="19"/>
  <c r="A74" i="19"/>
  <c r="A90" i="19"/>
  <c r="A106" i="19"/>
  <c r="A122" i="19"/>
  <c r="A138" i="19"/>
  <c r="A154" i="19"/>
  <c r="A346" i="19"/>
  <c r="A522" i="19"/>
  <c r="A554" i="19"/>
  <c r="A570" i="19"/>
  <c r="A586" i="19"/>
  <c r="A634" i="19"/>
  <c r="A778" i="19"/>
  <c r="A826" i="19"/>
  <c r="A842" i="19"/>
  <c r="A858" i="19"/>
  <c r="A874" i="19"/>
  <c r="A890" i="19"/>
  <c r="A906" i="19"/>
  <c r="A922" i="19"/>
  <c r="A938" i="19"/>
  <c r="I1081" i="19"/>
  <c r="A1081" i="19" s="1"/>
  <c r="I1065" i="19"/>
  <c r="A1065" i="19" s="1"/>
  <c r="A1034" i="19"/>
  <c r="I224" i="19"/>
  <c r="A277" i="19"/>
  <c r="I384" i="19"/>
  <c r="A384" i="19" s="1"/>
  <c r="I400" i="19"/>
  <c r="A400" i="19" s="1"/>
  <c r="I432" i="19"/>
  <c r="I448" i="19"/>
  <c r="A448" i="19" s="1"/>
  <c r="I464" i="19"/>
  <c r="A464" i="19" s="1"/>
  <c r="A501" i="19"/>
  <c r="I656" i="19"/>
  <c r="A656" i="19" s="1"/>
  <c r="A693" i="19"/>
  <c r="A709" i="19"/>
  <c r="A725" i="19"/>
  <c r="A757" i="19"/>
  <c r="A837" i="19"/>
  <c r="A853" i="19"/>
  <c r="A1075" i="19"/>
  <c r="A1011" i="19"/>
  <c r="A950" i="19"/>
  <c r="A848" i="19"/>
  <c r="A864" i="19"/>
  <c r="A1080" i="19"/>
  <c r="A1032" i="19"/>
  <c r="A1016" i="19"/>
  <c r="A59" i="19"/>
  <c r="A75" i="19"/>
  <c r="A91" i="19"/>
  <c r="A107" i="19"/>
  <c r="A123" i="19"/>
  <c r="A139" i="19"/>
  <c r="A155" i="19"/>
  <c r="A278" i="19"/>
  <c r="A310" i="19"/>
  <c r="A326" i="19"/>
  <c r="I401" i="19"/>
  <c r="A401" i="19" s="1"/>
  <c r="A406" i="19"/>
  <c r="A422" i="19"/>
  <c r="I657" i="19"/>
  <c r="A657" i="19" s="1"/>
  <c r="I673" i="19"/>
  <c r="A673" i="19" s="1"/>
  <c r="A678" i="19"/>
  <c r="I689" i="19"/>
  <c r="A689" i="19" s="1"/>
  <c r="A694" i="19"/>
  <c r="I705" i="19"/>
  <c r="A705" i="19" s="1"/>
  <c r="I721" i="19"/>
  <c r="A721" i="19" s="1"/>
  <c r="I737" i="19"/>
  <c r="A737" i="19" s="1"/>
  <c r="I753" i="19"/>
  <c r="A753" i="19" s="1"/>
  <c r="A774" i="19"/>
  <c r="I817" i="19"/>
  <c r="A817" i="19" s="1"/>
  <c r="I833" i="19"/>
  <c r="A833" i="19" s="1"/>
  <c r="A838" i="19"/>
  <c r="A854" i="19"/>
  <c r="A65" i="19"/>
  <c r="A81" i="19"/>
  <c r="A97" i="19"/>
  <c r="A113" i="19"/>
  <c r="A129" i="19"/>
  <c r="A145" i="19"/>
  <c r="A161" i="19"/>
  <c r="A1095" i="19"/>
  <c r="A1079" i="19"/>
  <c r="A1047" i="19"/>
  <c r="A1015" i="19"/>
  <c r="A983" i="19"/>
  <c r="A1084" i="19"/>
  <c r="A1002" i="19"/>
  <c r="A63" i="19"/>
  <c r="A39" i="19"/>
  <c r="I66" i="19"/>
  <c r="A66" i="19" s="1"/>
  <c r="A71" i="19"/>
  <c r="A87" i="19"/>
  <c r="A103" i="19"/>
  <c r="A119" i="19"/>
  <c r="A135" i="19"/>
  <c r="A151" i="19"/>
  <c r="A167" i="19"/>
  <c r="I178" i="19"/>
  <c r="I194" i="19"/>
  <c r="A215" i="19"/>
  <c r="I226" i="19"/>
  <c r="I258" i="19"/>
  <c r="I322" i="19"/>
  <c r="A322" i="19" s="1"/>
  <c r="I338" i="19"/>
  <c r="A338" i="19" s="1"/>
  <c r="I370" i="19"/>
  <c r="A370" i="19" s="1"/>
  <c r="A391" i="19"/>
  <c r="I402" i="19"/>
  <c r="A402" i="19" s="1"/>
  <c r="A423" i="19"/>
  <c r="I466" i="19"/>
  <c r="A466" i="19" s="1"/>
  <c r="I482" i="19"/>
  <c r="A482" i="19" s="1"/>
  <c r="I498" i="19"/>
  <c r="A498" i="19" s="1"/>
  <c r="A567" i="19"/>
  <c r="I578" i="19"/>
  <c r="A578" i="19" s="1"/>
  <c r="A583" i="19"/>
  <c r="A599" i="19"/>
  <c r="I610" i="19"/>
  <c r="A610" i="19" s="1"/>
  <c r="I642" i="19"/>
  <c r="A642" i="19" s="1"/>
  <c r="A647" i="19"/>
  <c r="I658" i="19"/>
  <c r="I674" i="19"/>
  <c r="A674" i="19" s="1"/>
  <c r="A679" i="19"/>
  <c r="I690" i="19"/>
  <c r="A690" i="19" s="1"/>
  <c r="A695" i="19"/>
  <c r="A711" i="19"/>
  <c r="A727" i="19"/>
  <c r="A743" i="19"/>
  <c r="A759" i="19"/>
  <c r="I802" i="19"/>
  <c r="A802" i="19" s="1"/>
  <c r="I818" i="19"/>
  <c r="A818" i="19" s="1"/>
  <c r="I834" i="19"/>
  <c r="A834" i="19" s="1"/>
  <c r="A855" i="19"/>
  <c r="A988" i="19"/>
  <c r="I45" i="19"/>
  <c r="A82" i="19"/>
  <c r="A98" i="19"/>
  <c r="A114" i="19"/>
  <c r="A130" i="19"/>
  <c r="A146" i="19"/>
  <c r="A162" i="19"/>
  <c r="I317" i="19"/>
  <c r="I349" i="19"/>
  <c r="A349" i="19" s="1"/>
  <c r="I365" i="19"/>
  <c r="A365" i="19" s="1"/>
  <c r="I461" i="19"/>
  <c r="I477" i="19"/>
  <c r="I525" i="19"/>
  <c r="I605" i="19"/>
  <c r="A605" i="19" s="1"/>
  <c r="I621" i="19"/>
  <c r="A621" i="19" s="1"/>
  <c r="I637" i="19"/>
  <c r="A637" i="19" s="1"/>
  <c r="I685" i="19"/>
  <c r="A685" i="19" s="1"/>
  <c r="I701" i="19"/>
  <c r="A701" i="19" s="1"/>
  <c r="I717" i="19"/>
  <c r="A717" i="19" s="1"/>
  <c r="I733" i="19"/>
  <c r="A733" i="19" s="1"/>
  <c r="I749" i="19"/>
  <c r="A749" i="19" s="1"/>
  <c r="I781" i="19"/>
  <c r="A781" i="19" s="1"/>
  <c r="I797" i="19"/>
  <c r="A797" i="19" s="1"/>
  <c r="A1094" i="19"/>
  <c r="A1062" i="19"/>
  <c r="A1030" i="19"/>
  <c r="A966" i="19"/>
  <c r="I884" i="19"/>
  <c r="A884" i="19" s="1"/>
  <c r="I900" i="19"/>
  <c r="A900" i="19" s="1"/>
  <c r="I916" i="19"/>
  <c r="A916" i="19" s="1"/>
  <c r="I932" i="19"/>
  <c r="A932" i="19" s="1"/>
  <c r="I942" i="19"/>
  <c r="A942" i="19" s="1"/>
  <c r="I948" i="19"/>
  <c r="A948" i="19" s="1"/>
  <c r="I944" i="19"/>
  <c r="A944" i="19" s="1"/>
  <c r="I886" i="19"/>
  <c r="A886" i="19" s="1"/>
  <c r="I902" i="19"/>
  <c r="A902" i="19" s="1"/>
  <c r="I918" i="19"/>
  <c r="A918" i="19" s="1"/>
  <c r="I934" i="19"/>
  <c r="A934" i="19" s="1"/>
  <c r="I945" i="19"/>
  <c r="A945" i="19" s="1"/>
  <c r="I908" i="19"/>
  <c r="A908" i="19" s="1"/>
  <c r="I25" i="19"/>
  <c r="I169" i="19"/>
  <c r="I185" i="19"/>
  <c r="I201" i="19"/>
  <c r="I217" i="19"/>
  <c r="I233" i="19"/>
  <c r="I438" i="19"/>
  <c r="A438" i="19" s="1"/>
  <c r="I454" i="19"/>
  <c r="I496" i="19"/>
  <c r="A496" i="19" s="1"/>
  <c r="I533" i="19"/>
  <c r="A533" i="19" s="1"/>
  <c r="I549" i="19"/>
  <c r="A549" i="19" s="1"/>
  <c r="I565" i="19"/>
  <c r="A565" i="19" s="1"/>
  <c r="I581" i="19"/>
  <c r="A581" i="19" s="1"/>
  <c r="I597" i="19"/>
  <c r="A597" i="19" s="1"/>
  <c r="I629" i="19"/>
  <c r="A629" i="19" s="1"/>
  <c r="I645" i="19"/>
  <c r="A645" i="19" s="1"/>
  <c r="I650" i="19"/>
  <c r="I666" i="19"/>
  <c r="A666" i="19" s="1"/>
  <c r="I687" i="19"/>
  <c r="A687" i="19" s="1"/>
  <c r="I703" i="19"/>
  <c r="A703" i="19" s="1"/>
  <c r="I719" i="19"/>
  <c r="A719" i="19" s="1"/>
  <c r="I751" i="19"/>
  <c r="A751" i="19" s="1"/>
  <c r="I825" i="19"/>
  <c r="A825" i="19" s="1"/>
  <c r="I841" i="19"/>
  <c r="A841" i="19" s="1"/>
  <c r="I846" i="19"/>
  <c r="A846" i="19" s="1"/>
  <c r="I862" i="19"/>
  <c r="A862" i="19" s="1"/>
  <c r="I878" i="19"/>
  <c r="I894" i="19"/>
  <c r="I910" i="19"/>
  <c r="I926" i="19"/>
  <c r="A926" i="19" s="1"/>
  <c r="I528" i="19"/>
  <c r="A528" i="19" s="1"/>
  <c r="I544" i="19"/>
  <c r="A544" i="19" s="1"/>
  <c r="I560" i="19"/>
  <c r="A560" i="19" s="1"/>
  <c r="I576" i="19"/>
  <c r="A576" i="19" s="1"/>
  <c r="I592" i="19"/>
  <c r="A592" i="19" s="1"/>
  <c r="I608" i="19"/>
  <c r="A608" i="19" s="1"/>
  <c r="I624" i="19"/>
  <c r="A624" i="19" s="1"/>
  <c r="I640" i="19"/>
  <c r="A640" i="19" s="1"/>
  <c r="I661" i="19"/>
  <c r="A661" i="19" s="1"/>
  <c r="I677" i="19"/>
  <c r="A677" i="19" s="1"/>
  <c r="I682" i="19"/>
  <c r="I698" i="19"/>
  <c r="A698" i="19" s="1"/>
  <c r="I714" i="19"/>
  <c r="A714" i="19" s="1"/>
  <c r="I730" i="19"/>
  <c r="A730" i="19" s="1"/>
  <c r="I740" i="19"/>
  <c r="A740" i="19" s="1"/>
  <c r="I746" i="19"/>
  <c r="A746" i="19" s="1"/>
  <c r="I762" i="19"/>
  <c r="A762" i="19" s="1"/>
  <c r="I767" i="19"/>
  <c r="A767" i="19" s="1"/>
  <c r="I783" i="19"/>
  <c r="A783" i="19" s="1"/>
  <c r="I804" i="19"/>
  <c r="A804" i="19" s="1"/>
  <c r="I873" i="19"/>
  <c r="A873" i="19" s="1"/>
  <c r="I889" i="19"/>
  <c r="A889" i="19" s="1"/>
  <c r="I905" i="19"/>
  <c r="A905" i="19" s="1"/>
  <c r="I947" i="19"/>
  <c r="A947" i="19" s="1"/>
  <c r="I218" i="19"/>
  <c r="I345" i="19"/>
  <c r="A345" i="19" s="1"/>
  <c r="I350" i="19"/>
  <c r="A350" i="19" s="1"/>
  <c r="I387" i="19"/>
  <c r="A387" i="19" s="1"/>
  <c r="I413" i="19"/>
  <c r="I476" i="19"/>
  <c r="I518" i="19"/>
  <c r="A518" i="19" s="1"/>
  <c r="I534" i="19"/>
  <c r="A534" i="19" s="1"/>
  <c r="I550" i="19"/>
  <c r="A550" i="19" s="1"/>
  <c r="I598" i="19"/>
  <c r="A598" i="19" s="1"/>
  <c r="I614" i="19"/>
  <c r="A614" i="19" s="1"/>
  <c r="I630" i="19"/>
  <c r="A630" i="19" s="1"/>
  <c r="I646" i="19"/>
  <c r="A646" i="19" s="1"/>
  <c r="I651" i="19"/>
  <c r="A651" i="19" s="1"/>
  <c r="I667" i="19"/>
  <c r="A667" i="19" s="1"/>
  <c r="I688" i="19"/>
  <c r="A688" i="19" s="1"/>
  <c r="I704" i="19"/>
  <c r="I720" i="19"/>
  <c r="I736" i="19"/>
  <c r="I752" i="19"/>
  <c r="I773" i="19"/>
  <c r="A773" i="19" s="1"/>
  <c r="I789" i="19"/>
  <c r="A789" i="19" s="1"/>
  <c r="I810" i="19"/>
  <c r="A810" i="19" s="1"/>
  <c r="I181" i="19"/>
  <c r="I197" i="19"/>
  <c r="I229" i="19"/>
  <c r="I261" i="19"/>
  <c r="I319" i="19"/>
  <c r="I324" i="19"/>
  <c r="I340" i="19"/>
  <c r="A340" i="19" s="1"/>
  <c r="I361" i="19"/>
  <c r="A361" i="19" s="1"/>
  <c r="I366" i="19"/>
  <c r="A366" i="19" s="1"/>
  <c r="I382" i="19"/>
  <c r="A382" i="19" s="1"/>
  <c r="I408" i="19"/>
  <c r="A408" i="19" s="1"/>
  <c r="I429" i="19"/>
  <c r="A429" i="19" s="1"/>
  <c r="I434" i="19"/>
  <c r="A434" i="19" s="1"/>
  <c r="I471" i="19"/>
  <c r="I513" i="19"/>
  <c r="A513" i="19" s="1"/>
  <c r="I545" i="19"/>
  <c r="A545" i="19" s="1"/>
  <c r="I577" i="19"/>
  <c r="A577" i="19" s="1"/>
  <c r="I593" i="19"/>
  <c r="A593" i="19" s="1"/>
  <c r="I625" i="19"/>
  <c r="A625" i="19" s="1"/>
  <c r="I641" i="19"/>
  <c r="A641" i="19" s="1"/>
  <c r="I662" i="19"/>
  <c r="A662" i="19" s="1"/>
  <c r="I683" i="19"/>
  <c r="A683" i="19" s="1"/>
  <c r="I699" i="19"/>
  <c r="A699" i="19" s="1"/>
  <c r="I715" i="19"/>
  <c r="A715" i="19" s="1"/>
  <c r="I731" i="19"/>
  <c r="A731" i="19" s="1"/>
  <c r="I747" i="19"/>
  <c r="A747" i="19" s="1"/>
  <c r="I763" i="19"/>
  <c r="A763" i="19" s="1"/>
  <c r="I768" i="19"/>
  <c r="I784" i="19"/>
  <c r="A784" i="19" s="1"/>
  <c r="I805" i="19"/>
  <c r="A805" i="19" s="1"/>
  <c r="I821" i="19"/>
  <c r="A821" i="19" s="1"/>
  <c r="I182" i="19"/>
  <c r="I198" i="19"/>
  <c r="I214" i="19"/>
  <c r="I230" i="19"/>
  <c r="I246" i="19"/>
  <c r="I304" i="19"/>
  <c r="I320" i="19"/>
  <c r="A320" i="19" s="1"/>
  <c r="I367" i="19"/>
  <c r="A367" i="19" s="1"/>
  <c r="I409" i="19"/>
  <c r="A409" i="19" s="1"/>
  <c r="I435" i="19"/>
  <c r="A435" i="19" s="1"/>
  <c r="I451" i="19"/>
  <c r="A451" i="19" s="1"/>
  <c r="I493" i="19"/>
  <c r="I562" i="19"/>
  <c r="I594" i="19"/>
  <c r="A594" i="19" s="1"/>
  <c r="I663" i="19"/>
  <c r="A663" i="19" s="1"/>
  <c r="I684" i="19"/>
  <c r="A684" i="19" s="1"/>
  <c r="I700" i="19"/>
  <c r="A700" i="19" s="1"/>
  <c r="I716" i="19"/>
  <c r="A716" i="19" s="1"/>
  <c r="I732" i="19"/>
  <c r="A732" i="19" s="1"/>
  <c r="I748" i="19"/>
  <c r="A748" i="19" s="1"/>
  <c r="I764" i="19"/>
  <c r="A764" i="19" s="1"/>
  <c r="I769" i="19"/>
  <c r="A769" i="19" s="1"/>
  <c r="I785" i="19"/>
  <c r="A785" i="19" s="1"/>
  <c r="I806" i="19"/>
  <c r="I822" i="19"/>
  <c r="A822" i="19" s="1"/>
  <c r="I843" i="19"/>
  <c r="A843" i="19" s="1"/>
  <c r="I859" i="19"/>
  <c r="I875" i="19"/>
  <c r="A875" i="19" s="1"/>
  <c r="I891" i="19"/>
  <c r="I907" i="19"/>
  <c r="A907" i="19" s="1"/>
  <c r="I923" i="19"/>
  <c r="A923" i="19" s="1"/>
  <c r="I939" i="19"/>
  <c r="A939" i="19" s="1"/>
  <c r="I177" i="19"/>
  <c r="I193" i="19"/>
  <c r="I209" i="19"/>
  <c r="I225" i="19"/>
  <c r="I241" i="19"/>
  <c r="I299" i="19"/>
  <c r="I362" i="19"/>
  <c r="A362" i="19" s="1"/>
  <c r="I378" i="19"/>
  <c r="I399" i="19"/>
  <c r="A399" i="19" s="1"/>
  <c r="I404" i="19"/>
  <c r="A404" i="19" s="1"/>
  <c r="I420" i="19"/>
  <c r="A420" i="19" s="1"/>
  <c r="I446" i="19"/>
  <c r="A446" i="19" s="1"/>
  <c r="I462" i="19"/>
  <c r="A462" i="19" s="1"/>
  <c r="I488" i="19"/>
  <c r="A488" i="19" s="1"/>
  <c r="I557" i="19"/>
  <c r="A557" i="19" s="1"/>
  <c r="I23" i="19"/>
  <c r="A23" i="19" s="1"/>
  <c r="I294" i="19"/>
  <c r="I352" i="19"/>
  <c r="I373" i="19"/>
  <c r="A373" i="19" s="1"/>
  <c r="I389" i="19"/>
  <c r="A389" i="19" s="1"/>
  <c r="I394" i="19"/>
  <c r="A394" i="19" s="1"/>
  <c r="I441" i="19"/>
  <c r="A441" i="19" s="1"/>
  <c r="I478" i="19"/>
  <c r="A478" i="19" s="1"/>
  <c r="I483" i="19"/>
  <c r="A483" i="19" s="1"/>
  <c r="I520" i="19"/>
  <c r="A520" i="19" s="1"/>
  <c r="I536" i="19"/>
  <c r="A536" i="19" s="1"/>
  <c r="I552" i="19"/>
  <c r="A552" i="19" s="1"/>
  <c r="I568" i="19"/>
  <c r="A568" i="19" s="1"/>
  <c r="I600" i="19"/>
  <c r="A600" i="19" s="1"/>
  <c r="I653" i="19"/>
  <c r="A653" i="19" s="1"/>
  <c r="I669" i="19"/>
  <c r="A669" i="19" s="1"/>
  <c r="I706" i="19"/>
  <c r="A706" i="19" s="1"/>
  <c r="I722" i="19"/>
  <c r="A722" i="19" s="1"/>
  <c r="I738" i="19"/>
  <c r="A738" i="19" s="1"/>
  <c r="I754" i="19"/>
  <c r="A754" i="19" s="1"/>
  <c r="I775" i="19"/>
  <c r="A775" i="19" s="1"/>
  <c r="I791" i="19"/>
  <c r="A791" i="19" s="1"/>
  <c r="I812" i="19"/>
  <c r="A812" i="19" s="1"/>
  <c r="I828" i="19"/>
  <c r="A828" i="19" s="1"/>
  <c r="I849" i="19"/>
  <c r="I865" i="19"/>
  <c r="I881" i="19"/>
  <c r="A881" i="19" s="1"/>
  <c r="I897" i="19"/>
  <c r="A897" i="19" s="1"/>
  <c r="I913" i="19"/>
  <c r="I765" i="19"/>
  <c r="A765" i="19" s="1"/>
  <c r="I770" i="19"/>
  <c r="A770" i="19" s="1"/>
  <c r="I786" i="19"/>
  <c r="A786" i="19" s="1"/>
  <c r="I807" i="19"/>
  <c r="A807" i="19" s="1"/>
  <c r="I844" i="19"/>
  <c r="A844" i="19" s="1"/>
  <c r="I860" i="19"/>
  <c r="I876" i="19"/>
  <c r="A876" i="19" s="1"/>
  <c r="I892" i="19"/>
  <c r="A892" i="19" s="1"/>
  <c r="I940" i="19"/>
  <c r="A940" i="19" s="1"/>
  <c r="I40" i="19"/>
  <c r="I221" i="19"/>
  <c r="I253" i="19"/>
  <c r="I295" i="19"/>
  <c r="I311" i="19"/>
  <c r="A311" i="19" s="1"/>
  <c r="I332" i="19"/>
  <c r="A332" i="19" s="1"/>
  <c r="I374" i="19"/>
  <c r="A374" i="19" s="1"/>
  <c r="I395" i="19"/>
  <c r="I416" i="19"/>
  <c r="I421" i="19"/>
  <c r="A421" i="19" s="1"/>
  <c r="I458" i="19"/>
  <c r="A458" i="19" s="1"/>
  <c r="I463" i="19"/>
  <c r="A463" i="19" s="1"/>
  <c r="I479" i="19"/>
  <c r="A479" i="19" s="1"/>
  <c r="I484" i="19"/>
  <c r="I500" i="19"/>
  <c r="I521" i="19"/>
  <c r="I569" i="19"/>
  <c r="I601" i="19"/>
  <c r="A601" i="19" s="1"/>
  <c r="I617" i="19"/>
  <c r="A617" i="19" s="1"/>
  <c r="I633" i="19"/>
  <c r="A633" i="19" s="1"/>
  <c r="I654" i="19"/>
  <c r="A654" i="19" s="1"/>
  <c r="I670" i="19"/>
  <c r="A670" i="19" s="1"/>
  <c r="I691" i="19"/>
  <c r="A691" i="19" s="1"/>
  <c r="I707" i="19"/>
  <c r="A707" i="19" s="1"/>
  <c r="I723" i="19"/>
  <c r="A723" i="19" s="1"/>
  <c r="I739" i="19"/>
  <c r="A739" i="19" s="1"/>
  <c r="I776" i="19"/>
  <c r="A776" i="19" s="1"/>
  <c r="I792" i="19"/>
  <c r="A792" i="19" s="1"/>
  <c r="I813" i="19"/>
  <c r="A813" i="19" s="1"/>
  <c r="I829" i="19"/>
  <c r="A829" i="19" s="1"/>
  <c r="I850" i="19"/>
  <c r="A850" i="19" s="1"/>
  <c r="I866" i="19"/>
  <c r="A866" i="19" s="1"/>
  <c r="I882" i="19"/>
  <c r="A882" i="19" s="1"/>
  <c r="I898" i="19"/>
  <c r="A898" i="19" s="1"/>
  <c r="I914" i="19"/>
  <c r="A914" i="19" s="1"/>
  <c r="I930" i="19"/>
  <c r="A930" i="19" s="1"/>
  <c r="I946" i="19"/>
  <c r="A946" i="19" s="1"/>
  <c r="I168" i="19"/>
  <c r="I184" i="19"/>
  <c r="I200" i="19"/>
  <c r="I232" i="19"/>
  <c r="I248" i="19"/>
  <c r="I269" i="19"/>
  <c r="I348" i="19"/>
  <c r="I369" i="19"/>
  <c r="A369" i="19" s="1"/>
  <c r="I385" i="19"/>
  <c r="A385" i="19" s="1"/>
  <c r="I411" i="19"/>
  <c r="A411" i="19" s="1"/>
  <c r="I453" i="19"/>
  <c r="A453" i="19" s="1"/>
  <c r="I474" i="19"/>
  <c r="A474" i="19" s="1"/>
  <c r="I516" i="19"/>
  <c r="I532" i="19"/>
  <c r="A532" i="19" s="1"/>
  <c r="I564" i="19"/>
  <c r="A564" i="19" s="1"/>
  <c r="I580" i="19"/>
  <c r="A580" i="19" s="1"/>
  <c r="I596" i="19"/>
  <c r="A596" i="19" s="1"/>
  <c r="I612" i="19"/>
  <c r="A612" i="19" s="1"/>
  <c r="I628" i="19"/>
  <c r="A628" i="19" s="1"/>
  <c r="I644" i="19"/>
  <c r="A644" i="19" s="1"/>
  <c r="I649" i="19"/>
  <c r="A649" i="19" s="1"/>
  <c r="I665" i="19"/>
  <c r="A665" i="19" s="1"/>
  <c r="I686" i="19"/>
  <c r="A686" i="19" s="1"/>
  <c r="I750" i="19"/>
  <c r="A750" i="19" s="1"/>
  <c r="I771" i="19"/>
  <c r="A771" i="19" s="1"/>
  <c r="I787" i="19"/>
  <c r="A787" i="19" s="1"/>
  <c r="I808" i="19"/>
  <c r="A808" i="19" s="1"/>
  <c r="I824" i="19"/>
  <c r="A824" i="19" s="1"/>
  <c r="I840" i="19"/>
  <c r="A840" i="19" s="1"/>
  <c r="I845" i="19"/>
  <c r="A845" i="19" s="1"/>
  <c r="I861" i="19"/>
  <c r="A861" i="19" s="1"/>
  <c r="I877" i="19"/>
  <c r="A877" i="19" s="1"/>
  <c r="I893" i="19"/>
  <c r="A893" i="19" s="1"/>
  <c r="I909" i="19"/>
  <c r="A909" i="19" s="1"/>
  <c r="I925" i="19"/>
  <c r="A925" i="19" s="1"/>
  <c r="I941" i="19"/>
  <c r="A941" i="19" s="1"/>
  <c r="G868" i="19"/>
  <c r="A868" i="19" s="1"/>
  <c r="G54" i="19"/>
  <c r="A54" i="19" s="1"/>
  <c r="G218" i="19"/>
  <c r="G364" i="19"/>
  <c r="A364" i="19" s="1"/>
  <c r="G413" i="19"/>
  <c r="G432" i="19"/>
  <c r="A432" i="19" s="1"/>
  <c r="G493" i="19"/>
  <c r="G569" i="19"/>
  <c r="A569" i="19" s="1"/>
  <c r="G268" i="19"/>
  <c r="A268" i="19" s="1"/>
  <c r="G284" i="19"/>
  <c r="A284" i="19" s="1"/>
  <c r="I433" i="19"/>
  <c r="G49" i="19"/>
  <c r="A49" i="19" s="1"/>
  <c r="I108" i="19"/>
  <c r="A108" i="19" s="1"/>
  <c r="G224" i="19"/>
  <c r="I264" i="19"/>
  <c r="A264" i="19" s="1"/>
  <c r="G279" i="19"/>
  <c r="A279" i="19" s="1"/>
  <c r="I325" i="19"/>
  <c r="G330" i="19"/>
  <c r="A330" i="19" s="1"/>
  <c r="G428" i="19"/>
  <c r="G433" i="19"/>
  <c r="I449" i="19"/>
  <c r="A449" i="19" s="1"/>
  <c r="G643" i="19"/>
  <c r="A643" i="19" s="1"/>
  <c r="G503" i="19"/>
  <c r="G468" i="19"/>
  <c r="I31" i="19"/>
  <c r="I173" i="19"/>
  <c r="I189" i="19"/>
  <c r="I205" i="19"/>
  <c r="I210" i="19"/>
  <c r="I234" i="19"/>
  <c r="I239" i="19"/>
  <c r="I244" i="19"/>
  <c r="I249" i="19"/>
  <c r="I259" i="19"/>
  <c r="G269" i="19"/>
  <c r="G274" i="19"/>
  <c r="A274" i="19" s="1"/>
  <c r="G295" i="19"/>
  <c r="G300" i="19"/>
  <c r="I305" i="19"/>
  <c r="I315" i="19"/>
  <c r="A315" i="19" s="1"/>
  <c r="I336" i="19"/>
  <c r="A336" i="19" s="1"/>
  <c r="I341" i="19"/>
  <c r="A341" i="19" s="1"/>
  <c r="I356" i="19"/>
  <c r="A356" i="19" s="1"/>
  <c r="G375" i="19"/>
  <c r="G380" i="19"/>
  <c r="A380" i="19" s="1"/>
  <c r="I390" i="19"/>
  <c r="A390" i="19" s="1"/>
  <c r="I424" i="19"/>
  <c r="A424" i="19" s="1"/>
  <c r="I439" i="19"/>
  <c r="I444" i="19"/>
  <c r="G454" i="19"/>
  <c r="G484" i="19"/>
  <c r="I505" i="19"/>
  <c r="A505" i="19" s="1"/>
  <c r="I540" i="19"/>
  <c r="A540" i="19" s="1"/>
  <c r="G799" i="19"/>
  <c r="A799" i="19" s="1"/>
  <c r="G324" i="19"/>
  <c r="G259" i="19"/>
  <c r="I410" i="19"/>
  <c r="A410" i="19" s="1"/>
  <c r="G439" i="19"/>
  <c r="G444" i="19"/>
  <c r="G638" i="19"/>
  <c r="I195" i="19"/>
  <c r="I220" i="19"/>
  <c r="G331" i="19"/>
  <c r="A331" i="19" s="1"/>
  <c r="I371" i="19"/>
  <c r="A371" i="19" s="1"/>
  <c r="I376" i="19"/>
  <c r="I381" i="19"/>
  <c r="I386" i="19"/>
  <c r="A386" i="19" s="1"/>
  <c r="G395" i="19"/>
  <c r="G405" i="19"/>
  <c r="I450" i="19"/>
  <c r="A450" i="19" s="1"/>
  <c r="I455" i="19"/>
  <c r="I460" i="19"/>
  <c r="I465" i="19"/>
  <c r="A465" i="19" s="1"/>
  <c r="I470" i="19"/>
  <c r="I475" i="19"/>
  <c r="A475" i="19" s="1"/>
  <c r="I480" i="19"/>
  <c r="A480" i="19" s="1"/>
  <c r="I485" i="19"/>
  <c r="A485" i="19" s="1"/>
  <c r="I490" i="19"/>
  <c r="A490" i="19" s="1"/>
  <c r="I495" i="19"/>
  <c r="A495" i="19" s="1"/>
  <c r="G500" i="19"/>
  <c r="G525" i="19"/>
  <c r="A525" i="19" s="1"/>
  <c r="I530" i="19"/>
  <c r="A530" i="19" s="1"/>
  <c r="I566" i="19"/>
  <c r="A566" i="19" s="1"/>
  <c r="I618" i="19"/>
  <c r="I760" i="19"/>
  <c r="A760" i="19" s="1"/>
  <c r="I823" i="19"/>
  <c r="I929" i="19"/>
  <c r="A929" i="19" s="1"/>
  <c r="G283" i="19"/>
  <c r="A283" i="19" s="1"/>
  <c r="G852" i="19"/>
  <c r="A852" i="19" s="1"/>
  <c r="I179" i="19"/>
  <c r="I270" i="19"/>
  <c r="A270" i="19" s="1"/>
  <c r="I174" i="19"/>
  <c r="I190" i="19"/>
  <c r="I206" i="19"/>
  <c r="I211" i="19"/>
  <c r="I235" i="19"/>
  <c r="I240" i="19"/>
  <c r="I245" i="19"/>
  <c r="I250" i="19"/>
  <c r="I260" i="19"/>
  <c r="G265" i="19"/>
  <c r="A265" i="19" s="1"/>
  <c r="I301" i="19"/>
  <c r="I306" i="19"/>
  <c r="I316" i="19"/>
  <c r="I321" i="19"/>
  <c r="I337" i="19"/>
  <c r="A337" i="19" s="1"/>
  <c r="I342" i="19"/>
  <c r="A342" i="19" s="1"/>
  <c r="I357" i="19"/>
  <c r="A357" i="19" s="1"/>
  <c r="G376" i="19"/>
  <c r="G381" i="19"/>
  <c r="I425" i="19"/>
  <c r="A425" i="19" s="1"/>
  <c r="I440" i="19"/>
  <c r="I445" i="19"/>
  <c r="G455" i="19"/>
  <c r="G460" i="19"/>
  <c r="G470" i="19"/>
  <c r="I506" i="19"/>
  <c r="A506" i="19" s="1"/>
  <c r="I613" i="19"/>
  <c r="A613" i="19" s="1"/>
  <c r="G618" i="19"/>
  <c r="I681" i="19"/>
  <c r="A681" i="19" s="1"/>
  <c r="I755" i="19"/>
  <c r="A755" i="19" s="1"/>
  <c r="G913" i="19"/>
  <c r="I924" i="19"/>
  <c r="A924" i="19" s="1"/>
  <c r="I42" i="19"/>
  <c r="A42" i="19" s="1"/>
  <c r="G245" i="19"/>
  <c r="G440" i="19"/>
  <c r="G445" i="19"/>
  <c r="I24" i="19"/>
  <c r="I27" i="19"/>
  <c r="A27" i="19" s="1"/>
  <c r="G352" i="19"/>
  <c r="G396" i="19"/>
  <c r="G416" i="19"/>
  <c r="I430" i="19"/>
  <c r="A430" i="19" s="1"/>
  <c r="I481" i="19"/>
  <c r="A481" i="19" s="1"/>
  <c r="G266" i="19"/>
  <c r="A266" i="19" s="1"/>
  <c r="G297" i="19"/>
  <c r="G461" i="19"/>
  <c r="G471" i="19"/>
  <c r="A471" i="19" s="1"/>
  <c r="G476" i="19"/>
  <c r="G486" i="19"/>
  <c r="A486" i="19" s="1"/>
  <c r="I507" i="19"/>
  <c r="A507" i="19" s="1"/>
  <c r="G562" i="19"/>
  <c r="G319" i="19"/>
  <c r="A319" i="19" s="1"/>
  <c r="G33" i="19"/>
  <c r="A33" i="19" s="1"/>
  <c r="I170" i="19"/>
  <c r="I186" i="19"/>
  <c r="I202" i="19"/>
  <c r="I212" i="19"/>
  <c r="I227" i="19"/>
  <c r="I256" i="19"/>
  <c r="G287" i="19"/>
  <c r="A287" i="19" s="1"/>
  <c r="G317" i="19"/>
  <c r="A317" i="19" s="1"/>
  <c r="I333" i="19"/>
  <c r="I343" i="19"/>
  <c r="A343" i="19" s="1"/>
  <c r="I353" i="19"/>
  <c r="A353" i="19" s="1"/>
  <c r="I358" i="19"/>
  <c r="A358" i="19" s="1"/>
  <c r="I368" i="19"/>
  <c r="A368" i="19" s="1"/>
  <c r="I392" i="19"/>
  <c r="I397" i="19"/>
  <c r="A397" i="19" s="1"/>
  <c r="I407" i="19"/>
  <c r="A407" i="19" s="1"/>
  <c r="I417" i="19"/>
  <c r="A417" i="19" s="1"/>
  <c r="I426" i="19"/>
  <c r="A426" i="19" s="1"/>
  <c r="I436" i="19"/>
  <c r="A436" i="19" s="1"/>
  <c r="I502" i="19"/>
  <c r="I517" i="19"/>
  <c r="A517" i="19" s="1"/>
  <c r="I537" i="19"/>
  <c r="A537" i="19" s="1"/>
  <c r="I547" i="19"/>
  <c r="A547" i="19" s="1"/>
  <c r="I573" i="19"/>
  <c r="A573" i="19" s="1"/>
  <c r="G588" i="19"/>
  <c r="I604" i="19"/>
  <c r="A604" i="19" s="1"/>
  <c r="I609" i="19"/>
  <c r="A609" i="19" s="1"/>
  <c r="I672" i="19"/>
  <c r="A672" i="19" s="1"/>
  <c r="I735" i="19"/>
  <c r="A735" i="19" s="1"/>
  <c r="I867" i="19"/>
  <c r="A867" i="19" s="1"/>
  <c r="G736" i="19"/>
  <c r="A736" i="19" s="1"/>
  <c r="G299" i="19"/>
  <c r="I47" i="19"/>
  <c r="I52" i="19"/>
  <c r="G43" i="19"/>
  <c r="A43" i="19" s="1"/>
  <c r="G48" i="19"/>
  <c r="A48" i="19" s="1"/>
  <c r="G282" i="19"/>
  <c r="A282" i="19" s="1"/>
  <c r="G333" i="19"/>
  <c r="G392" i="19"/>
  <c r="G502" i="19"/>
  <c r="I176" i="19"/>
  <c r="I208" i="19"/>
  <c r="I247" i="19"/>
  <c r="I298" i="19"/>
  <c r="I323" i="19"/>
  <c r="A323" i="19" s="1"/>
  <c r="G378" i="19"/>
  <c r="A378" i="19" s="1"/>
  <c r="I388" i="19"/>
  <c r="A388" i="19" s="1"/>
  <c r="I442" i="19"/>
  <c r="A442" i="19" s="1"/>
  <c r="I452" i="19"/>
  <c r="I472" i="19"/>
  <c r="A472" i="19" s="1"/>
  <c r="G477" i="19"/>
  <c r="G487" i="19"/>
  <c r="A487" i="19" s="1"/>
  <c r="G492" i="19"/>
  <c r="I857" i="19"/>
  <c r="A857" i="19" s="1"/>
  <c r="I192" i="19"/>
  <c r="I237" i="19"/>
  <c r="I242" i="19"/>
  <c r="I252" i="19"/>
  <c r="I262" i="19"/>
  <c r="I293" i="19"/>
  <c r="A293" i="19" s="1"/>
  <c r="I303" i="19"/>
  <c r="I308" i="19"/>
  <c r="I318" i="19"/>
  <c r="A318" i="19" s="1"/>
  <c r="I339" i="19"/>
  <c r="A339" i="19" s="1"/>
  <c r="G348" i="19"/>
  <c r="G363" i="19"/>
  <c r="A363" i="19" s="1"/>
  <c r="I383" i="19"/>
  <c r="A383" i="19" s="1"/>
  <c r="G412" i="19"/>
  <c r="I447" i="19"/>
  <c r="A447" i="19" s="1"/>
  <c r="I467" i="19"/>
  <c r="A467" i="19" s="1"/>
  <c r="I508" i="19"/>
  <c r="I589" i="19"/>
  <c r="A589" i="19" s="1"/>
  <c r="I29" i="19"/>
  <c r="I171" i="19"/>
  <c r="I187" i="19"/>
  <c r="I203" i="19"/>
  <c r="I213" i="19"/>
  <c r="I257" i="19"/>
  <c r="G308" i="19"/>
  <c r="I334" i="19"/>
  <c r="A334" i="19" s="1"/>
  <c r="I354" i="19"/>
  <c r="A354" i="19" s="1"/>
  <c r="I359" i="19"/>
  <c r="A359" i="19" s="1"/>
  <c r="I393" i="19"/>
  <c r="A393" i="19" s="1"/>
  <c r="I418" i="19"/>
  <c r="A418" i="19" s="1"/>
  <c r="I437" i="19"/>
  <c r="A437" i="19" s="1"/>
  <c r="G452" i="19"/>
  <c r="I503" i="19"/>
  <c r="G508" i="19"/>
  <c r="I574" i="19"/>
  <c r="A574" i="19" s="1"/>
  <c r="I579" i="19"/>
  <c r="A579" i="19" s="1"/>
  <c r="I631" i="19"/>
  <c r="A631" i="19" s="1"/>
  <c r="I794" i="19"/>
  <c r="A794" i="19" s="1"/>
  <c r="G658" i="19"/>
  <c r="A658" i="19" s="1"/>
  <c r="G516" i="19"/>
  <c r="A516" i="19" s="1"/>
  <c r="I531" i="19"/>
  <c r="A531" i="19" s="1"/>
  <c r="I541" i="19"/>
  <c r="A541" i="19" s="1"/>
  <c r="G910" i="19"/>
  <c r="A910" i="19" s="1"/>
  <c r="G894" i="19"/>
  <c r="A894" i="19" s="1"/>
  <c r="G878" i="19"/>
  <c r="I492" i="19"/>
  <c r="I497" i="19"/>
  <c r="A497" i="19" s="1"/>
  <c r="I512" i="19"/>
  <c r="A512" i="19" s="1"/>
  <c r="G521" i="19"/>
  <c r="A521" i="19" s="1"/>
  <c r="I546" i="19"/>
  <c r="A546" i="19" s="1"/>
  <c r="I556" i="19"/>
  <c r="A556" i="19" s="1"/>
  <c r="I561" i="19"/>
  <c r="A561" i="19" s="1"/>
  <c r="I527" i="19"/>
  <c r="A527" i="19" s="1"/>
  <c r="I551" i="19"/>
  <c r="A551" i="19" s="1"/>
  <c r="I801" i="19"/>
  <c r="A801" i="19" s="1"/>
  <c r="G823" i="19"/>
  <c r="A823" i="19" s="1"/>
  <c r="G839" i="19"/>
  <c r="A839" i="19" s="1"/>
  <c r="G860" i="19"/>
  <c r="G806" i="19"/>
  <c r="G790" i="19"/>
  <c r="A790" i="19" s="1"/>
  <c r="G758" i="19"/>
  <c r="A758" i="19" s="1"/>
  <c r="G742" i="19"/>
  <c r="A742" i="19" s="1"/>
  <c r="G726" i="19"/>
  <c r="A726" i="19" s="1"/>
  <c r="G682" i="19"/>
  <c r="G650" i="19"/>
  <c r="A650" i="19" s="1"/>
  <c r="G602" i="19"/>
  <c r="A602" i="19" s="1"/>
  <c r="I494" i="19"/>
  <c r="A494" i="19" s="1"/>
  <c r="I509" i="19"/>
  <c r="G538" i="19"/>
  <c r="A538" i="19" s="1"/>
  <c r="I543" i="19"/>
  <c r="I548" i="19"/>
  <c r="A548" i="19" s="1"/>
  <c r="I563" i="19"/>
  <c r="A563" i="19" s="1"/>
  <c r="G865" i="19"/>
  <c r="G849" i="19"/>
  <c r="I499" i="19"/>
  <c r="A499" i="19" s="1"/>
  <c r="I504" i="19"/>
  <c r="A504" i="19" s="1"/>
  <c r="G509" i="19"/>
  <c r="I514" i="19"/>
  <c r="A514" i="19" s="1"/>
  <c r="G543" i="19"/>
  <c r="I553" i="19"/>
  <c r="A553" i="19" s="1"/>
  <c r="I558" i="19"/>
  <c r="A558" i="19" s="1"/>
  <c r="G816" i="19"/>
  <c r="A816" i="19" s="1"/>
  <c r="G800" i="19"/>
  <c r="A800" i="19" s="1"/>
  <c r="G768" i="19"/>
  <c r="G752" i="19"/>
  <c r="G720" i="19"/>
  <c r="G704" i="19"/>
  <c r="A704" i="19" s="1"/>
  <c r="G692" i="19"/>
  <c r="A692" i="19" s="1"/>
  <c r="G676" i="19"/>
  <c r="A676" i="19" s="1"/>
  <c r="G660" i="19"/>
  <c r="I519" i="19"/>
  <c r="A519" i="19" s="1"/>
  <c r="I524" i="19"/>
  <c r="A524" i="19" s="1"/>
  <c r="I529" i="19"/>
  <c r="A529" i="19" s="1"/>
  <c r="G891" i="19"/>
  <c r="G859" i="19"/>
  <c r="A859" i="19" s="1"/>
  <c r="A461" i="19" l="1"/>
  <c r="A660" i="19"/>
  <c r="A849" i="19"/>
  <c r="A500" i="19"/>
  <c r="A375" i="19"/>
  <c r="A468" i="19"/>
  <c r="A806" i="19"/>
  <c r="A405" i="19"/>
  <c r="A878" i="19"/>
  <c r="A444" i="19"/>
  <c r="A484" i="19"/>
  <c r="A440" i="19"/>
  <c r="A588" i="19"/>
  <c r="A416" i="19"/>
  <c r="A752" i="19"/>
  <c r="A428" i="19"/>
  <c r="A768" i="19"/>
  <c r="A508" i="19"/>
  <c r="A682" i="19"/>
  <c r="A395" i="19"/>
  <c r="A412" i="19"/>
  <c r="A396" i="19"/>
  <c r="A891" i="19"/>
  <c r="A348" i="19"/>
  <c r="A562" i="19"/>
  <c r="A470" i="19"/>
  <c r="A433" i="19"/>
  <c r="A509" i="19"/>
  <c r="A460" i="19"/>
  <c r="A455" i="19"/>
  <c r="A454" i="19"/>
  <c r="A865" i="19"/>
  <c r="A445" i="19"/>
  <c r="A477" i="19"/>
  <c r="A860" i="19"/>
  <c r="A376" i="19"/>
  <c r="A638" i="19"/>
  <c r="A352" i="19"/>
  <c r="A476" i="19"/>
  <c r="A381" i="19"/>
  <c r="A913" i="19"/>
  <c r="A439" i="19"/>
  <c r="A720" i="19"/>
  <c r="A392" i="19"/>
  <c r="A618" i="19"/>
  <c r="A503" i="19"/>
  <c r="A493" i="19"/>
  <c r="A333" i="19"/>
  <c r="A502" i="19"/>
  <c r="A452" i="19"/>
  <c r="A543" i="19"/>
  <c r="A492" i="19"/>
  <c r="A413" i="19"/>
  <c r="J177" i="12"/>
  <c r="L80" i="5"/>
  <c r="M80" i="5"/>
  <c r="N80" i="5"/>
  <c r="O80" i="5"/>
  <c r="P80" i="5"/>
  <c r="Q80" i="5"/>
  <c r="R80" i="5"/>
  <c r="S80" i="5"/>
  <c r="T80" i="5"/>
  <c r="U80" i="5"/>
  <c r="L81" i="5"/>
  <c r="M81" i="5"/>
  <c r="N81" i="5"/>
  <c r="O81" i="5"/>
  <c r="P81" i="5"/>
  <c r="Q81" i="5"/>
  <c r="R81" i="5"/>
  <c r="S81" i="5"/>
  <c r="T81" i="5"/>
  <c r="U81" i="5"/>
  <c r="L82" i="5"/>
  <c r="M82" i="5"/>
  <c r="N82" i="5"/>
  <c r="O82" i="5"/>
  <c r="P82" i="5"/>
  <c r="Q82" i="5"/>
  <c r="R82" i="5"/>
  <c r="S82" i="5"/>
  <c r="T82" i="5"/>
  <c r="U82" i="5"/>
  <c r="L83" i="5"/>
  <c r="M83" i="5"/>
  <c r="N83" i="5"/>
  <c r="O83" i="5"/>
  <c r="P83" i="5"/>
  <c r="Q83" i="5"/>
  <c r="R83" i="5"/>
  <c r="S83" i="5"/>
  <c r="T83" i="5"/>
  <c r="U83" i="5"/>
  <c r="L84" i="5"/>
  <c r="M84" i="5"/>
  <c r="N84" i="5"/>
  <c r="O84" i="5"/>
  <c r="P84" i="5"/>
  <c r="Q84" i="5"/>
  <c r="R84" i="5"/>
  <c r="S84" i="5"/>
  <c r="T84" i="5"/>
  <c r="U84" i="5"/>
  <c r="L85" i="5"/>
  <c r="M85" i="5"/>
  <c r="N85" i="5"/>
  <c r="O85" i="5"/>
  <c r="P85" i="5"/>
  <c r="Q85" i="5"/>
  <c r="R85" i="5"/>
  <c r="S85" i="5"/>
  <c r="T85" i="5"/>
  <c r="U85" i="5"/>
  <c r="L86" i="5"/>
  <c r="M86" i="5"/>
  <c r="N86" i="5"/>
  <c r="O86" i="5"/>
  <c r="P86" i="5"/>
  <c r="Q86" i="5"/>
  <c r="R86" i="5"/>
  <c r="S86" i="5"/>
  <c r="T86" i="5"/>
  <c r="U86" i="5"/>
  <c r="L87" i="5"/>
  <c r="M87" i="5"/>
  <c r="N87" i="5"/>
  <c r="O87" i="5"/>
  <c r="P87" i="5"/>
  <c r="Q87" i="5"/>
  <c r="R87" i="5"/>
  <c r="S87" i="5"/>
  <c r="T87" i="5"/>
  <c r="U87" i="5"/>
  <c r="L88" i="5"/>
  <c r="M88" i="5"/>
  <c r="N88" i="5"/>
  <c r="O88" i="5"/>
  <c r="P88" i="5"/>
  <c r="Q88" i="5"/>
  <c r="R88" i="5"/>
  <c r="S88" i="5"/>
  <c r="T88" i="5"/>
  <c r="U88" i="5"/>
  <c r="L89" i="5"/>
  <c r="M89" i="5"/>
  <c r="N89" i="5"/>
  <c r="O89" i="5"/>
  <c r="P89" i="5"/>
  <c r="Q89" i="5"/>
  <c r="R89" i="5"/>
  <c r="S89" i="5"/>
  <c r="T89" i="5"/>
  <c r="U89" i="5"/>
  <c r="K74" i="12"/>
  <c r="J74" i="12"/>
  <c r="K130" i="12"/>
  <c r="J130" i="12"/>
  <c r="J229" i="12"/>
  <c r="E19" i="9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4" i="5"/>
  <c r="W25" i="5"/>
  <c r="W26" i="5"/>
  <c r="W53" i="5"/>
  <c r="W54" i="5"/>
  <c r="W55" i="5"/>
  <c r="W56" i="5"/>
  <c r="W57" i="5"/>
  <c r="W58" i="5"/>
  <c r="W59" i="5"/>
  <c r="W60" i="5"/>
  <c r="W61" i="5"/>
  <c r="W62" i="5"/>
  <c r="W63" i="5"/>
  <c r="W64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W86" i="5"/>
  <c r="W87" i="5"/>
  <c r="W88" i="5"/>
  <c r="W89" i="5"/>
  <c r="W90" i="5"/>
  <c r="W91" i="5"/>
  <c r="W92" i="5"/>
  <c r="W93" i="5"/>
  <c r="W94" i="5"/>
  <c r="W95" i="5"/>
  <c r="W96" i="5"/>
  <c r="W97" i="5"/>
  <c r="W98" i="5"/>
  <c r="W99" i="5"/>
  <c r="W100" i="5"/>
  <c r="W101" i="5"/>
  <c r="W102" i="5"/>
  <c r="W103" i="5"/>
  <c r="W106" i="5"/>
  <c r="W107" i="5"/>
  <c r="W108" i="5"/>
  <c r="W109" i="5"/>
  <c r="W110" i="5"/>
  <c r="W111" i="5"/>
  <c r="W112" i="5"/>
  <c r="W113" i="5"/>
  <c r="W114" i="5"/>
  <c r="W115" i="5"/>
  <c r="W116" i="5"/>
  <c r="W117" i="5"/>
  <c r="W118" i="5"/>
  <c r="W119" i="5"/>
  <c r="W120" i="5"/>
  <c r="W121" i="5"/>
  <c r="W122" i="5"/>
  <c r="W123" i="5"/>
  <c r="W124" i="5"/>
  <c r="W125" i="5"/>
  <c r="W126" i="5"/>
  <c r="W127" i="5"/>
  <c r="W128" i="5"/>
  <c r="W129" i="5"/>
  <c r="W130" i="5"/>
  <c r="W131" i="5"/>
  <c r="W132" i="5"/>
  <c r="W133" i="5"/>
  <c r="W134" i="5"/>
  <c r="W135" i="5"/>
  <c r="W136" i="5"/>
  <c r="W137" i="5"/>
  <c r="W138" i="5"/>
  <c r="W139" i="5"/>
  <c r="W140" i="5"/>
  <c r="W141" i="5"/>
  <c r="W142" i="5"/>
  <c r="W143" i="5"/>
  <c r="W144" i="5"/>
  <c r="W145" i="5"/>
  <c r="W146" i="5"/>
  <c r="W147" i="5"/>
  <c r="W148" i="5"/>
  <c r="W149" i="5"/>
  <c r="W150" i="5"/>
  <c r="W151" i="5"/>
  <c r="W152" i="5"/>
  <c r="W153" i="5"/>
  <c r="W154" i="5"/>
  <c r="W155" i="5"/>
  <c r="W156" i="5"/>
  <c r="W157" i="5"/>
  <c r="W158" i="5"/>
  <c r="W159" i="5"/>
  <c r="W160" i="5"/>
  <c r="W161" i="5"/>
  <c r="W162" i="5"/>
  <c r="W163" i="5"/>
  <c r="W164" i="5"/>
  <c r="W165" i="5"/>
  <c r="W166" i="5"/>
  <c r="W167" i="5"/>
  <c r="W168" i="5"/>
  <c r="W169" i="5"/>
  <c r="W170" i="5"/>
  <c r="W171" i="5"/>
  <c r="W172" i="5"/>
  <c r="W173" i="5"/>
  <c r="W174" i="5"/>
  <c r="W175" i="5"/>
  <c r="W176" i="5"/>
  <c r="W177" i="5"/>
  <c r="W178" i="5"/>
  <c r="W179" i="5"/>
  <c r="W180" i="5"/>
  <c r="W181" i="5"/>
  <c r="W182" i="5"/>
  <c r="W183" i="5"/>
  <c r="W184" i="5"/>
  <c r="W185" i="5"/>
  <c r="W186" i="5"/>
  <c r="W187" i="5"/>
  <c r="W188" i="5"/>
  <c r="W189" i="5"/>
  <c r="W190" i="5"/>
  <c r="W191" i="5"/>
  <c r="W192" i="5"/>
  <c r="W193" i="5"/>
  <c r="W194" i="5"/>
  <c r="W195" i="5"/>
  <c r="W196" i="5"/>
  <c r="W197" i="5"/>
  <c r="W198" i="5"/>
  <c r="W199" i="5"/>
  <c r="W200" i="5"/>
  <c r="W201" i="5"/>
  <c r="W202" i="5"/>
  <c r="W203" i="5"/>
  <c r="W204" i="5"/>
  <c r="W205" i="5"/>
  <c r="W206" i="5"/>
  <c r="W207" i="5"/>
  <c r="W208" i="5"/>
  <c r="W209" i="5"/>
  <c r="W210" i="5"/>
  <c r="W211" i="5"/>
  <c r="W212" i="5"/>
  <c r="W213" i="5"/>
  <c r="W214" i="5"/>
  <c r="W215" i="5"/>
  <c r="W216" i="5"/>
  <c r="W217" i="5"/>
  <c r="W218" i="5"/>
  <c r="W219" i="5"/>
  <c r="W220" i="5"/>
  <c r="W221" i="5"/>
  <c r="W222" i="5"/>
  <c r="W223" i="5"/>
  <c r="W224" i="5"/>
  <c r="W225" i="5"/>
  <c r="W226" i="5"/>
  <c r="W227" i="5"/>
  <c r="W228" i="5"/>
  <c r="W229" i="5"/>
  <c r="W230" i="5"/>
  <c r="W231" i="5"/>
  <c r="W232" i="5"/>
  <c r="W233" i="5"/>
  <c r="W234" i="5"/>
  <c r="W235" i="5"/>
  <c r="W236" i="5"/>
  <c r="W237" i="5"/>
  <c r="W238" i="5"/>
  <c r="W239" i="5"/>
  <c r="W240" i="5"/>
  <c r="W241" i="5"/>
  <c r="W242" i="5"/>
  <c r="W243" i="5"/>
  <c r="W244" i="5"/>
  <c r="W245" i="5"/>
  <c r="W246" i="5"/>
  <c r="W247" i="5"/>
  <c r="W248" i="5"/>
  <c r="W249" i="5"/>
  <c r="W250" i="5"/>
  <c r="W251" i="5"/>
  <c r="W252" i="5"/>
  <c r="W253" i="5"/>
  <c r="W254" i="5"/>
  <c r="W255" i="5"/>
  <c r="W256" i="5"/>
  <c r="W257" i="5"/>
  <c r="W258" i="5"/>
  <c r="W259" i="5"/>
  <c r="W260" i="5"/>
  <c r="W261" i="5"/>
  <c r="W262" i="5"/>
  <c r="W263" i="5"/>
  <c r="W264" i="5"/>
  <c r="W265" i="5"/>
  <c r="W266" i="5"/>
  <c r="W267" i="5"/>
  <c r="W268" i="5"/>
  <c r="W269" i="5"/>
  <c r="W270" i="5"/>
  <c r="W271" i="5"/>
  <c r="W272" i="5"/>
  <c r="W273" i="5"/>
  <c r="W274" i="5"/>
  <c r="W275" i="5"/>
  <c r="W276" i="5"/>
  <c r="W277" i="5"/>
  <c r="W278" i="5"/>
  <c r="W279" i="5"/>
  <c r="W280" i="5"/>
  <c r="W281" i="5"/>
  <c r="W282" i="5"/>
  <c r="W283" i="5"/>
  <c r="W284" i="5"/>
  <c r="W285" i="5"/>
  <c r="W286" i="5"/>
  <c r="W287" i="5"/>
  <c r="W288" i="5"/>
  <c r="W289" i="5"/>
  <c r="W290" i="5"/>
  <c r="W291" i="5"/>
  <c r="W292" i="5"/>
  <c r="W293" i="5"/>
  <c r="W294" i="5"/>
  <c r="W295" i="5"/>
  <c r="W296" i="5"/>
  <c r="W297" i="5"/>
  <c r="W298" i="5"/>
  <c r="W299" i="5"/>
  <c r="W300" i="5"/>
  <c r="W301" i="5"/>
  <c r="W302" i="5"/>
  <c r="W303" i="5"/>
  <c r="W304" i="5"/>
  <c r="W305" i="5"/>
  <c r="W306" i="5"/>
  <c r="W307" i="5"/>
  <c r="W308" i="5"/>
  <c r="W309" i="5"/>
  <c r="W310" i="5"/>
  <c r="W311" i="5"/>
  <c r="W312" i="5"/>
  <c r="W313" i="5"/>
  <c r="W314" i="5"/>
  <c r="W315" i="5"/>
  <c r="W316" i="5"/>
  <c r="W317" i="5"/>
  <c r="W318" i="5"/>
  <c r="W319" i="5"/>
  <c r="W320" i="5"/>
  <c r="W321" i="5"/>
  <c r="W322" i="5"/>
  <c r="W323" i="5"/>
  <c r="W324" i="5"/>
  <c r="W325" i="5"/>
  <c r="W326" i="5"/>
  <c r="W327" i="5"/>
  <c r="W328" i="5"/>
  <c r="W329" i="5"/>
  <c r="W330" i="5"/>
  <c r="W331" i="5"/>
  <c r="W332" i="5"/>
  <c r="W333" i="5"/>
  <c r="W334" i="5"/>
  <c r="W335" i="5"/>
  <c r="W336" i="5"/>
  <c r="W337" i="5"/>
  <c r="W338" i="5"/>
  <c r="W339" i="5"/>
  <c r="W340" i="5"/>
  <c r="W341" i="5"/>
  <c r="W342" i="5"/>
  <c r="W343" i="5"/>
  <c r="W344" i="5"/>
  <c r="W345" i="5"/>
  <c r="W346" i="5"/>
  <c r="W347" i="5"/>
  <c r="W348" i="5"/>
  <c r="W349" i="5"/>
  <c r="W350" i="5"/>
  <c r="W351" i="5"/>
  <c r="W7" i="5"/>
  <c r="J69" i="16"/>
  <c r="J488" i="16" s="1"/>
  <c r="K488" i="16" s="1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I108" i="16"/>
  <c r="I109" i="16"/>
  <c r="I110" i="16"/>
  <c r="I111" i="16"/>
  <c r="I112" i="16"/>
  <c r="I113" i="16"/>
  <c r="I114" i="16"/>
  <c r="I115" i="16"/>
  <c r="I116" i="16"/>
  <c r="I117" i="16"/>
  <c r="I118" i="16"/>
  <c r="I119" i="16"/>
  <c r="I120" i="16"/>
  <c r="I121" i="16"/>
  <c r="I122" i="16"/>
  <c r="I123" i="16"/>
  <c r="I124" i="16"/>
  <c r="I125" i="16"/>
  <c r="I126" i="16"/>
  <c r="I127" i="16"/>
  <c r="I128" i="16"/>
  <c r="I129" i="16"/>
  <c r="I130" i="16"/>
  <c r="I131" i="16"/>
  <c r="I132" i="16"/>
  <c r="I133" i="16"/>
  <c r="I134" i="16"/>
  <c r="I135" i="16"/>
  <c r="I136" i="16"/>
  <c r="I137" i="16"/>
  <c r="I138" i="16"/>
  <c r="I139" i="16"/>
  <c r="I140" i="16"/>
  <c r="I141" i="16"/>
  <c r="I142" i="16"/>
  <c r="I143" i="16"/>
  <c r="I144" i="16"/>
  <c r="I145" i="16"/>
  <c r="I146" i="16"/>
  <c r="I147" i="16"/>
  <c r="I148" i="16"/>
  <c r="I149" i="16"/>
  <c r="I150" i="16"/>
  <c r="I151" i="16"/>
  <c r="I152" i="16"/>
  <c r="I153" i="16"/>
  <c r="I154" i="16"/>
  <c r="I155" i="16"/>
  <c r="I156" i="16"/>
  <c r="I157" i="16"/>
  <c r="I158" i="16"/>
  <c r="I159" i="16"/>
  <c r="I160" i="16"/>
  <c r="I161" i="16"/>
  <c r="I162" i="16"/>
  <c r="I163" i="16"/>
  <c r="I164" i="16"/>
  <c r="I165" i="16"/>
  <c r="I166" i="16"/>
  <c r="I167" i="16"/>
  <c r="I168" i="16"/>
  <c r="I169" i="16"/>
  <c r="I170" i="16"/>
  <c r="I171" i="16"/>
  <c r="I172" i="16"/>
  <c r="I173" i="16"/>
  <c r="I174" i="16"/>
  <c r="I175" i="16"/>
  <c r="I176" i="16"/>
  <c r="I177" i="16"/>
  <c r="I178" i="16"/>
  <c r="I179" i="16"/>
  <c r="I180" i="16"/>
  <c r="I181" i="16"/>
  <c r="I182" i="16"/>
  <c r="I183" i="16"/>
  <c r="I184" i="16"/>
  <c r="I185" i="16"/>
  <c r="I186" i="16"/>
  <c r="I187" i="16"/>
  <c r="I188" i="16"/>
  <c r="I189" i="16"/>
  <c r="I190" i="16"/>
  <c r="I191" i="16"/>
  <c r="I192" i="16"/>
  <c r="I193" i="16"/>
  <c r="I194" i="16"/>
  <c r="I195" i="16"/>
  <c r="I196" i="16"/>
  <c r="I197" i="16"/>
  <c r="I198" i="16"/>
  <c r="I199" i="16"/>
  <c r="I200" i="16"/>
  <c r="I201" i="16"/>
  <c r="I202" i="16"/>
  <c r="I203" i="16"/>
  <c r="I204" i="16"/>
  <c r="I205" i="16"/>
  <c r="I206" i="16"/>
  <c r="I207" i="16"/>
  <c r="I208" i="16"/>
  <c r="I209" i="16"/>
  <c r="I210" i="16"/>
  <c r="I211" i="16"/>
  <c r="I212" i="16"/>
  <c r="I213" i="16"/>
  <c r="I214" i="16"/>
  <c r="I215" i="16"/>
  <c r="I216" i="16"/>
  <c r="I217" i="16"/>
  <c r="I218" i="16"/>
  <c r="I219" i="16"/>
  <c r="I220" i="16"/>
  <c r="I221" i="16"/>
  <c r="I222" i="16"/>
  <c r="I223" i="16"/>
  <c r="I224" i="16"/>
  <c r="I225" i="16"/>
  <c r="I226" i="16"/>
  <c r="I227" i="16"/>
  <c r="I228" i="16"/>
  <c r="I229" i="16"/>
  <c r="I230" i="16"/>
  <c r="I231" i="16"/>
  <c r="I232" i="16"/>
  <c r="I233" i="16"/>
  <c r="I234" i="16"/>
  <c r="I235" i="16"/>
  <c r="I236" i="16"/>
  <c r="I237" i="16"/>
  <c r="I238" i="16"/>
  <c r="I239" i="16"/>
  <c r="I240" i="16"/>
  <c r="I241" i="16"/>
  <c r="I242" i="16"/>
  <c r="I243" i="16"/>
  <c r="I244" i="16"/>
  <c r="I245" i="16"/>
  <c r="I246" i="16"/>
  <c r="I247" i="16"/>
  <c r="I248" i="16"/>
  <c r="I249" i="16"/>
  <c r="I250" i="16"/>
  <c r="I251" i="16"/>
  <c r="I252" i="16"/>
  <c r="I253" i="16"/>
  <c r="I254" i="16"/>
  <c r="I255" i="16"/>
  <c r="I256" i="16"/>
  <c r="I257" i="16"/>
  <c r="I258" i="16"/>
  <c r="I259" i="16"/>
  <c r="I260" i="16"/>
  <c r="I261" i="16"/>
  <c r="I262" i="16"/>
  <c r="I263" i="16"/>
  <c r="I264" i="16"/>
  <c r="I265" i="16"/>
  <c r="I266" i="16"/>
  <c r="I267" i="16"/>
  <c r="I268" i="16"/>
  <c r="I269" i="16"/>
  <c r="I270" i="16"/>
  <c r="I271" i="16"/>
  <c r="I272" i="16"/>
  <c r="I273" i="16"/>
  <c r="I274" i="16"/>
  <c r="I275" i="16"/>
  <c r="I276" i="16"/>
  <c r="I277" i="16"/>
  <c r="I278" i="16"/>
  <c r="I279" i="16"/>
  <c r="I280" i="16"/>
  <c r="I281" i="16"/>
  <c r="I282" i="16"/>
  <c r="I283" i="16"/>
  <c r="I284" i="16"/>
  <c r="I285" i="16"/>
  <c r="I286" i="16"/>
  <c r="I287" i="16"/>
  <c r="I288" i="16"/>
  <c r="I289" i="16"/>
  <c r="I290" i="16"/>
  <c r="I291" i="16"/>
  <c r="I292" i="16"/>
  <c r="I293" i="16"/>
  <c r="I294" i="16"/>
  <c r="I295" i="16"/>
  <c r="I296" i="16"/>
  <c r="I297" i="16"/>
  <c r="I298" i="16"/>
  <c r="I299" i="16"/>
  <c r="I300" i="16"/>
  <c r="I301" i="16"/>
  <c r="I302" i="16"/>
  <c r="I303" i="16"/>
  <c r="I304" i="16"/>
  <c r="I305" i="16"/>
  <c r="I306" i="16"/>
  <c r="I307" i="16"/>
  <c r="I308" i="16"/>
  <c r="I309" i="16"/>
  <c r="I310" i="16"/>
  <c r="I311" i="16"/>
  <c r="I312" i="16"/>
  <c r="I313" i="16"/>
  <c r="I314" i="16"/>
  <c r="I315" i="16"/>
  <c r="I316" i="16"/>
  <c r="I317" i="16"/>
  <c r="I318" i="16"/>
  <c r="I319" i="16"/>
  <c r="I320" i="16"/>
  <c r="I321" i="16"/>
  <c r="I322" i="16"/>
  <c r="I323" i="16"/>
  <c r="I324" i="16"/>
  <c r="I325" i="16"/>
  <c r="I326" i="16"/>
  <c r="I327" i="16"/>
  <c r="I328" i="16"/>
  <c r="I329" i="16"/>
  <c r="I330" i="16"/>
  <c r="I331" i="16"/>
  <c r="I332" i="16"/>
  <c r="I333" i="16"/>
  <c r="I334" i="16"/>
  <c r="I335" i="16"/>
  <c r="I336" i="16"/>
  <c r="I337" i="16"/>
  <c r="I338" i="16"/>
  <c r="I339" i="16"/>
  <c r="I340" i="16"/>
  <c r="I341" i="16"/>
  <c r="I342" i="16"/>
  <c r="I343" i="16"/>
  <c r="I344" i="16"/>
  <c r="I345" i="16"/>
  <c r="I346" i="16"/>
  <c r="I347" i="16"/>
  <c r="I348" i="16"/>
  <c r="I349" i="16"/>
  <c r="I350" i="16"/>
  <c r="I351" i="16"/>
  <c r="I352" i="16"/>
  <c r="I353" i="16"/>
  <c r="I354" i="16"/>
  <c r="I355" i="16"/>
  <c r="I356" i="16"/>
  <c r="I357" i="16"/>
  <c r="I358" i="16"/>
  <c r="I359" i="16"/>
  <c r="I360" i="16"/>
  <c r="I361" i="16"/>
  <c r="I362" i="16"/>
  <c r="I363" i="16"/>
  <c r="I364" i="16"/>
  <c r="I365" i="16"/>
  <c r="I366" i="16"/>
  <c r="I367" i="16"/>
  <c r="I368" i="16"/>
  <c r="I369" i="16"/>
  <c r="I370" i="16"/>
  <c r="I371" i="16"/>
  <c r="I372" i="16"/>
  <c r="I373" i="16"/>
  <c r="I374" i="16"/>
  <c r="I375" i="16"/>
  <c r="I376" i="16"/>
  <c r="I377" i="16"/>
  <c r="I378" i="16"/>
  <c r="I379" i="16"/>
  <c r="I380" i="16"/>
  <c r="I381" i="16"/>
  <c r="I382" i="16"/>
  <c r="I383" i="16"/>
  <c r="I384" i="16"/>
  <c r="I385" i="16"/>
  <c r="I386" i="16"/>
  <c r="I387" i="16"/>
  <c r="I388" i="16"/>
  <c r="I389" i="16"/>
  <c r="I390" i="16"/>
  <c r="I391" i="16"/>
  <c r="I392" i="16"/>
  <c r="I393" i="16"/>
  <c r="I394" i="16"/>
  <c r="I395" i="16"/>
  <c r="I396" i="16"/>
  <c r="I397" i="16"/>
  <c r="I398" i="16"/>
  <c r="I399" i="16"/>
  <c r="I400" i="16"/>
  <c r="I401" i="16"/>
  <c r="I402" i="16"/>
  <c r="I403" i="16"/>
  <c r="I404" i="16"/>
  <c r="I405" i="16"/>
  <c r="I406" i="16"/>
  <c r="I407" i="16"/>
  <c r="I408" i="16"/>
  <c r="I409" i="16"/>
  <c r="I410" i="16"/>
  <c r="I411" i="16"/>
  <c r="I412" i="16"/>
  <c r="I413" i="16"/>
  <c r="I414" i="16"/>
  <c r="I415" i="16"/>
  <c r="I416" i="16"/>
  <c r="I417" i="16"/>
  <c r="I418" i="16"/>
  <c r="I419" i="16"/>
  <c r="I420" i="16"/>
  <c r="I421" i="16"/>
  <c r="I422" i="16"/>
  <c r="I423" i="16"/>
  <c r="I424" i="16"/>
  <c r="I425" i="16"/>
  <c r="I426" i="16"/>
  <c r="I427" i="16"/>
  <c r="I428" i="16"/>
  <c r="I429" i="16"/>
  <c r="I430" i="16"/>
  <c r="I431" i="16"/>
  <c r="I432" i="16"/>
  <c r="I433" i="16"/>
  <c r="I434" i="16"/>
  <c r="I435" i="16"/>
  <c r="I436" i="16"/>
  <c r="I437" i="16"/>
  <c r="I438" i="16"/>
  <c r="I439" i="16"/>
  <c r="I440" i="16"/>
  <c r="I441" i="16"/>
  <c r="I442" i="16"/>
  <c r="I443" i="16"/>
  <c r="I444" i="16"/>
  <c r="I445" i="16"/>
  <c r="I446" i="16"/>
  <c r="I447" i="16"/>
  <c r="I448" i="16"/>
  <c r="I449" i="16"/>
  <c r="I450" i="16"/>
  <c r="I451" i="16"/>
  <c r="I452" i="16"/>
  <c r="I453" i="16"/>
  <c r="I454" i="16"/>
  <c r="I455" i="16"/>
  <c r="I456" i="16"/>
  <c r="I457" i="16"/>
  <c r="I458" i="16"/>
  <c r="I459" i="16"/>
  <c r="I460" i="16"/>
  <c r="I461" i="16"/>
  <c r="I462" i="16"/>
  <c r="I463" i="16"/>
  <c r="I464" i="16"/>
  <c r="I465" i="16"/>
  <c r="I466" i="16"/>
  <c r="I467" i="16"/>
  <c r="I468" i="16"/>
  <c r="I469" i="16"/>
  <c r="I470" i="16"/>
  <c r="I471" i="16"/>
  <c r="I472" i="16"/>
  <c r="I473" i="16"/>
  <c r="I474" i="16"/>
  <c r="I475" i="16"/>
  <c r="I476" i="16"/>
  <c r="I477" i="16"/>
  <c r="I478" i="16"/>
  <c r="I479" i="16"/>
  <c r="I480" i="16"/>
  <c r="I481" i="16"/>
  <c r="I482" i="16"/>
  <c r="I483" i="16"/>
  <c r="I484" i="16"/>
  <c r="I485" i="16"/>
  <c r="I486" i="16"/>
  <c r="I487" i="16"/>
  <c r="I488" i="16"/>
  <c r="I489" i="16"/>
  <c r="I490" i="16"/>
  <c r="I491" i="16"/>
  <c r="I492" i="16"/>
  <c r="I493" i="16"/>
  <c r="I494" i="16"/>
  <c r="I495" i="16"/>
  <c r="I496" i="16"/>
  <c r="I497" i="16"/>
  <c r="I498" i="16"/>
  <c r="I499" i="16"/>
  <c r="I500" i="16"/>
  <c r="I501" i="16"/>
  <c r="I502" i="16"/>
  <c r="I503" i="16"/>
  <c r="I504" i="16"/>
  <c r="I505" i="16"/>
  <c r="I506" i="16"/>
  <c r="I507" i="16"/>
  <c r="I508" i="16"/>
  <c r="I509" i="16"/>
  <c r="I510" i="16"/>
  <c r="I511" i="16"/>
  <c r="I512" i="16"/>
  <c r="I513" i="16"/>
  <c r="I514" i="16"/>
  <c r="I515" i="16"/>
  <c r="I516" i="16"/>
  <c r="I517" i="16"/>
  <c r="I518" i="16"/>
  <c r="I519" i="16"/>
  <c r="I520" i="16"/>
  <c r="I521" i="16"/>
  <c r="I522" i="16"/>
  <c r="I523" i="16"/>
  <c r="I524" i="16"/>
  <c r="I525" i="16"/>
  <c r="I526" i="16"/>
  <c r="I527" i="16"/>
  <c r="I528" i="16"/>
  <c r="I529" i="16"/>
  <c r="I530" i="16"/>
  <c r="I531" i="16"/>
  <c r="I532" i="16"/>
  <c r="I533" i="16"/>
  <c r="I534" i="16"/>
  <c r="I535" i="16"/>
  <c r="I536" i="16"/>
  <c r="I537" i="16"/>
  <c r="I538" i="16"/>
  <c r="I539" i="16"/>
  <c r="I540" i="16"/>
  <c r="I541" i="16"/>
  <c r="I542" i="16"/>
  <c r="I543" i="16"/>
  <c r="I544" i="16"/>
  <c r="I545" i="16"/>
  <c r="I546" i="16"/>
  <c r="I547" i="16"/>
  <c r="I548" i="16"/>
  <c r="I549" i="16"/>
  <c r="I550" i="16"/>
  <c r="I551" i="16"/>
  <c r="I552" i="16"/>
  <c r="I553" i="16"/>
  <c r="I554" i="16"/>
  <c r="I555" i="16"/>
  <c r="I556" i="16"/>
  <c r="I557" i="16"/>
  <c r="I558" i="16"/>
  <c r="I559" i="16"/>
  <c r="I560" i="16"/>
  <c r="I561" i="16"/>
  <c r="I562" i="16"/>
  <c r="I563" i="16"/>
  <c r="I564" i="16"/>
  <c r="I565" i="16"/>
  <c r="I566" i="16"/>
  <c r="I567" i="16"/>
  <c r="I568" i="16"/>
  <c r="I569" i="16"/>
  <c r="I570" i="16"/>
  <c r="I571" i="16"/>
  <c r="I572" i="16"/>
  <c r="I573" i="16"/>
  <c r="I574" i="16"/>
  <c r="I575" i="16"/>
  <c r="I576" i="16"/>
  <c r="I577" i="16"/>
  <c r="I578" i="16"/>
  <c r="I579" i="16"/>
  <c r="I580" i="16"/>
  <c r="I581" i="16"/>
  <c r="I582" i="16"/>
  <c r="I583" i="16"/>
  <c r="I584" i="16"/>
  <c r="I585" i="16"/>
  <c r="I586" i="16"/>
  <c r="I587" i="16"/>
  <c r="I588" i="16"/>
  <c r="I589" i="16"/>
  <c r="I590" i="16"/>
  <c r="I591" i="16"/>
  <c r="I592" i="16"/>
  <c r="I593" i="16"/>
  <c r="I594" i="16"/>
  <c r="I595" i="16"/>
  <c r="I596" i="16"/>
  <c r="I597" i="16"/>
  <c r="I598" i="16"/>
  <c r="I599" i="16"/>
  <c r="I600" i="16"/>
  <c r="I601" i="16"/>
  <c r="I602" i="16"/>
  <c r="I603" i="16"/>
  <c r="I604" i="16"/>
  <c r="I605" i="16"/>
  <c r="I606" i="16"/>
  <c r="I607" i="16"/>
  <c r="I608" i="16"/>
  <c r="I609" i="16"/>
  <c r="I610" i="16"/>
  <c r="I611" i="16"/>
  <c r="I612" i="16"/>
  <c r="I613" i="16"/>
  <c r="I614" i="16"/>
  <c r="I615" i="16"/>
  <c r="I616" i="16"/>
  <c r="I617" i="16"/>
  <c r="I618" i="16"/>
  <c r="I619" i="16"/>
  <c r="I620" i="16"/>
  <c r="I621" i="16"/>
  <c r="I622" i="16"/>
  <c r="I623" i="16"/>
  <c r="I624" i="16"/>
  <c r="I625" i="16"/>
  <c r="I626" i="16"/>
  <c r="I627" i="16"/>
  <c r="I628" i="16"/>
  <c r="I629" i="16"/>
  <c r="I630" i="16"/>
  <c r="I631" i="16"/>
  <c r="I632" i="16"/>
  <c r="I633" i="16"/>
  <c r="I634" i="16"/>
  <c r="I635" i="16"/>
  <c r="I636" i="16"/>
  <c r="I637" i="16"/>
  <c r="I638" i="16"/>
  <c r="I639" i="16"/>
  <c r="I640" i="16"/>
  <c r="I641" i="16"/>
  <c r="I642" i="16"/>
  <c r="I643" i="16"/>
  <c r="I644" i="16"/>
  <c r="I645" i="16"/>
  <c r="I646" i="16"/>
  <c r="I647" i="16"/>
  <c r="I648" i="16"/>
  <c r="I649" i="16"/>
  <c r="I650" i="16"/>
  <c r="I651" i="16"/>
  <c r="I652" i="16"/>
  <c r="I653" i="16"/>
  <c r="I654" i="16"/>
  <c r="I655" i="16"/>
  <c r="I656" i="16"/>
  <c r="I657" i="16"/>
  <c r="I658" i="16"/>
  <c r="I659" i="16"/>
  <c r="I660" i="16"/>
  <c r="I661" i="16"/>
  <c r="I662" i="16"/>
  <c r="I663" i="16"/>
  <c r="I664" i="16"/>
  <c r="I665" i="16"/>
  <c r="I666" i="16"/>
  <c r="I667" i="16"/>
  <c r="I668" i="16"/>
  <c r="I669" i="16"/>
  <c r="I670" i="16"/>
  <c r="I671" i="16"/>
  <c r="I672" i="16"/>
  <c r="I673" i="16"/>
  <c r="I674" i="16"/>
  <c r="I675" i="16"/>
  <c r="I676" i="16"/>
  <c r="I677" i="16"/>
  <c r="I678" i="16"/>
  <c r="I679" i="16"/>
  <c r="I680" i="16"/>
  <c r="I681" i="16"/>
  <c r="I682" i="16"/>
  <c r="I683" i="16"/>
  <c r="I684" i="16"/>
  <c r="I685" i="16"/>
  <c r="I686" i="16"/>
  <c r="I687" i="16"/>
  <c r="I688" i="16"/>
  <c r="I689" i="16"/>
  <c r="I690" i="16"/>
  <c r="I691" i="16"/>
  <c r="I692" i="16"/>
  <c r="I693" i="16"/>
  <c r="I694" i="16"/>
  <c r="I695" i="16"/>
  <c r="I696" i="16"/>
  <c r="I697" i="16"/>
  <c r="I698" i="16"/>
  <c r="I699" i="16"/>
  <c r="I700" i="16"/>
  <c r="I701" i="16"/>
  <c r="I702" i="16"/>
  <c r="I703" i="16"/>
  <c r="I704" i="16"/>
  <c r="I705" i="16"/>
  <c r="I706" i="16"/>
  <c r="I707" i="16"/>
  <c r="I708" i="16"/>
  <c r="I709" i="16"/>
  <c r="I710" i="16"/>
  <c r="I711" i="16"/>
  <c r="I712" i="16"/>
  <c r="I713" i="16"/>
  <c r="I714" i="16"/>
  <c r="I715" i="16"/>
  <c r="I716" i="16"/>
  <c r="I717" i="16"/>
  <c r="I718" i="16"/>
  <c r="I719" i="16"/>
  <c r="I720" i="16"/>
  <c r="I721" i="16"/>
  <c r="I722" i="16"/>
  <c r="I723" i="16"/>
  <c r="I724" i="16"/>
  <c r="I725" i="16"/>
  <c r="I726" i="16"/>
  <c r="I727" i="16"/>
  <c r="I728" i="16"/>
  <c r="I729" i="16"/>
  <c r="I730" i="16"/>
  <c r="I731" i="16"/>
  <c r="I732" i="16"/>
  <c r="I733" i="16"/>
  <c r="I734" i="16"/>
  <c r="I735" i="16"/>
  <c r="I736" i="16"/>
  <c r="I737" i="16"/>
  <c r="I738" i="16"/>
  <c r="I739" i="16"/>
  <c r="I740" i="16"/>
  <c r="I741" i="16"/>
  <c r="I742" i="16"/>
  <c r="I743" i="16"/>
  <c r="I744" i="16"/>
  <c r="I745" i="16"/>
  <c r="I746" i="16"/>
  <c r="I747" i="16"/>
  <c r="I748" i="16"/>
  <c r="I749" i="16"/>
  <c r="I750" i="16"/>
  <c r="I751" i="16"/>
  <c r="I752" i="16"/>
  <c r="I753" i="16"/>
  <c r="I754" i="16"/>
  <c r="I755" i="16"/>
  <c r="I756" i="16"/>
  <c r="I757" i="16"/>
  <c r="I758" i="16"/>
  <c r="I759" i="16"/>
  <c r="I760" i="16"/>
  <c r="I761" i="16"/>
  <c r="I762" i="16"/>
  <c r="I763" i="16"/>
  <c r="I764" i="16"/>
  <c r="I765" i="16"/>
  <c r="I766" i="16"/>
  <c r="I767" i="16"/>
  <c r="I768" i="16"/>
  <c r="I769" i="16"/>
  <c r="I770" i="16"/>
  <c r="I771" i="16"/>
  <c r="I772" i="16"/>
  <c r="I773" i="16"/>
  <c r="I774" i="16"/>
  <c r="I775" i="16"/>
  <c r="I776" i="16"/>
  <c r="I777" i="16"/>
  <c r="I778" i="16"/>
  <c r="I779" i="16"/>
  <c r="I780" i="16"/>
  <c r="I781" i="16"/>
  <c r="I782" i="16"/>
  <c r="I783" i="16"/>
  <c r="I784" i="16"/>
  <c r="I785" i="16"/>
  <c r="I786" i="16"/>
  <c r="I787" i="16"/>
  <c r="I788" i="16"/>
  <c r="I789" i="16"/>
  <c r="I790" i="16"/>
  <c r="I791" i="16"/>
  <c r="I792" i="16"/>
  <c r="I793" i="16"/>
  <c r="I794" i="16"/>
  <c r="I795" i="16"/>
  <c r="I796" i="16"/>
  <c r="I797" i="16"/>
  <c r="I798" i="16"/>
  <c r="I799" i="16"/>
  <c r="I800" i="16"/>
  <c r="I801" i="16"/>
  <c r="I802" i="16"/>
  <c r="I803" i="16"/>
  <c r="I804" i="16"/>
  <c r="I805" i="16"/>
  <c r="I806" i="16"/>
  <c r="I807" i="16"/>
  <c r="I808" i="16"/>
  <c r="I809" i="16"/>
  <c r="I810" i="16"/>
  <c r="I811" i="16"/>
  <c r="I812" i="16"/>
  <c r="I813" i="16"/>
  <c r="I814" i="16"/>
  <c r="I815" i="16"/>
  <c r="I816" i="16"/>
  <c r="I817" i="16"/>
  <c r="I818" i="16"/>
  <c r="I819" i="16"/>
  <c r="I820" i="16"/>
  <c r="I821" i="16"/>
  <c r="I822" i="16"/>
  <c r="I823" i="16"/>
  <c r="I824" i="16"/>
  <c r="I825" i="16"/>
  <c r="I826" i="16"/>
  <c r="I827" i="16"/>
  <c r="I828" i="16"/>
  <c r="I829" i="16"/>
  <c r="I830" i="16"/>
  <c r="I831" i="16"/>
  <c r="I832" i="16"/>
  <c r="I833" i="16"/>
  <c r="I834" i="16"/>
  <c r="I835" i="16"/>
  <c r="I836" i="16"/>
  <c r="I837" i="16"/>
  <c r="I838" i="16"/>
  <c r="I839" i="16"/>
  <c r="I840" i="16"/>
  <c r="I841" i="16"/>
  <c r="I842" i="16"/>
  <c r="I843" i="16"/>
  <c r="I844" i="16"/>
  <c r="I845" i="16"/>
  <c r="I846" i="16"/>
  <c r="I70" i="16"/>
  <c r="E846" i="16"/>
  <c r="F846" i="16" s="1"/>
  <c r="G845" i="16"/>
  <c r="E845" i="16"/>
  <c r="F845" i="16" s="1"/>
  <c r="G844" i="16"/>
  <c r="E844" i="16"/>
  <c r="F844" i="16" s="1"/>
  <c r="G843" i="16"/>
  <c r="E843" i="16"/>
  <c r="F843" i="16" s="1"/>
  <c r="G842" i="16"/>
  <c r="E842" i="16"/>
  <c r="F842" i="16" s="1"/>
  <c r="G841" i="16"/>
  <c r="E841" i="16"/>
  <c r="F841" i="16" s="1"/>
  <c r="G840" i="16"/>
  <c r="E840" i="16"/>
  <c r="F840" i="16" s="1"/>
  <c r="G839" i="16"/>
  <c r="E839" i="16"/>
  <c r="F839" i="16" s="1"/>
  <c r="G838" i="16"/>
  <c r="E838" i="16"/>
  <c r="F838" i="16" s="1"/>
  <c r="E837" i="16"/>
  <c r="F837" i="16" s="1"/>
  <c r="E836" i="16"/>
  <c r="F836" i="16" s="1"/>
  <c r="G835" i="16"/>
  <c r="E835" i="16"/>
  <c r="F835" i="16" s="1"/>
  <c r="G834" i="16"/>
  <c r="E834" i="16"/>
  <c r="F834" i="16" s="1"/>
  <c r="E833" i="16"/>
  <c r="F833" i="16" s="1"/>
  <c r="G832" i="16"/>
  <c r="E832" i="16"/>
  <c r="F832" i="16" s="1"/>
  <c r="G831" i="16"/>
  <c r="E831" i="16"/>
  <c r="F831" i="16" s="1"/>
  <c r="G830" i="16"/>
  <c r="E830" i="16"/>
  <c r="F830" i="16" s="1"/>
  <c r="E829" i="16"/>
  <c r="F829" i="16" s="1"/>
  <c r="E828" i="16"/>
  <c r="F828" i="16" s="1"/>
  <c r="G827" i="16"/>
  <c r="E827" i="16"/>
  <c r="F827" i="16" s="1"/>
  <c r="G826" i="16"/>
  <c r="E826" i="16"/>
  <c r="F826" i="16" s="1"/>
  <c r="E825" i="16"/>
  <c r="F825" i="16" s="1"/>
  <c r="E824" i="16"/>
  <c r="F824" i="16" s="1"/>
  <c r="G823" i="16"/>
  <c r="E823" i="16"/>
  <c r="F823" i="16" s="1"/>
  <c r="G822" i="16"/>
  <c r="E822" i="16"/>
  <c r="F822" i="16" s="1"/>
  <c r="G821" i="16"/>
  <c r="E821" i="16"/>
  <c r="F821" i="16" s="1"/>
  <c r="G820" i="16"/>
  <c r="E820" i="16"/>
  <c r="F820" i="16" s="1"/>
  <c r="G819" i="16"/>
  <c r="E819" i="16"/>
  <c r="F819" i="16" s="1"/>
  <c r="G818" i="16"/>
  <c r="F818" i="16"/>
  <c r="E818" i="16"/>
  <c r="E817" i="16"/>
  <c r="F817" i="16" s="1"/>
  <c r="E816" i="16"/>
  <c r="F816" i="16" s="1"/>
  <c r="E815" i="16"/>
  <c r="F815" i="16" s="1"/>
  <c r="G814" i="16"/>
  <c r="E814" i="16"/>
  <c r="F814" i="16" s="1"/>
  <c r="G813" i="16"/>
  <c r="F813" i="16"/>
  <c r="E813" i="16"/>
  <c r="G812" i="16"/>
  <c r="E812" i="16"/>
  <c r="F812" i="16" s="1"/>
  <c r="G811" i="16"/>
  <c r="E811" i="16"/>
  <c r="F811" i="16" s="1"/>
  <c r="G810" i="16"/>
  <c r="E810" i="16"/>
  <c r="F810" i="16" s="1"/>
  <c r="G809" i="16"/>
  <c r="E809" i="16"/>
  <c r="F809" i="16" s="1"/>
  <c r="G808" i="16"/>
  <c r="E808" i="16"/>
  <c r="F808" i="16" s="1"/>
  <c r="E807" i="16"/>
  <c r="H806" i="16" s="1"/>
  <c r="E806" i="16"/>
  <c r="F806" i="16" s="1"/>
  <c r="E805" i="16"/>
  <c r="F805" i="16" s="1"/>
  <c r="G804" i="16"/>
  <c r="E804" i="16"/>
  <c r="F804" i="16" s="1"/>
  <c r="G803" i="16"/>
  <c r="E803" i="16"/>
  <c r="F803" i="16" s="1"/>
  <c r="G802" i="16"/>
  <c r="E802" i="16"/>
  <c r="F802" i="16" s="1"/>
  <c r="E801" i="16"/>
  <c r="F801" i="16" s="1"/>
  <c r="G800" i="16"/>
  <c r="E800" i="16"/>
  <c r="F800" i="16" s="1"/>
  <c r="G799" i="16"/>
  <c r="E799" i="16"/>
  <c r="F799" i="16" s="1"/>
  <c r="E798" i="16"/>
  <c r="H797" i="16" s="1"/>
  <c r="E797" i="16"/>
  <c r="F797" i="16" s="1"/>
  <c r="G796" i="16"/>
  <c r="E796" i="16"/>
  <c r="F796" i="16" s="1"/>
  <c r="G795" i="16"/>
  <c r="E795" i="16"/>
  <c r="F795" i="16" s="1"/>
  <c r="G794" i="16"/>
  <c r="E794" i="16"/>
  <c r="F794" i="16" s="1"/>
  <c r="G793" i="16"/>
  <c r="E793" i="16"/>
  <c r="F793" i="16" s="1"/>
  <c r="G792" i="16"/>
  <c r="E792" i="16"/>
  <c r="F792" i="16" s="1"/>
  <c r="G791" i="16"/>
  <c r="E791" i="16"/>
  <c r="F791" i="16" s="1"/>
  <c r="G790" i="16"/>
  <c r="E790" i="16"/>
  <c r="F790" i="16" s="1"/>
  <c r="G789" i="16"/>
  <c r="E789" i="16"/>
  <c r="F789" i="16" s="1"/>
  <c r="G788" i="16"/>
  <c r="E788" i="16"/>
  <c r="F788" i="16" s="1"/>
  <c r="E787" i="16"/>
  <c r="F787" i="16" s="1"/>
  <c r="G786" i="16"/>
  <c r="E786" i="16"/>
  <c r="F786" i="16" s="1"/>
  <c r="E785" i="16"/>
  <c r="F785" i="16" s="1"/>
  <c r="G784" i="16"/>
  <c r="E784" i="16"/>
  <c r="F784" i="16" s="1"/>
  <c r="G783" i="16"/>
  <c r="E783" i="16"/>
  <c r="F783" i="16" s="1"/>
  <c r="G782" i="16"/>
  <c r="E782" i="16"/>
  <c r="F782" i="16" s="1"/>
  <c r="G781" i="16"/>
  <c r="E781" i="16"/>
  <c r="F781" i="16" s="1"/>
  <c r="G780" i="16"/>
  <c r="E780" i="16"/>
  <c r="F780" i="16" s="1"/>
  <c r="G779" i="16"/>
  <c r="E779" i="16"/>
  <c r="F779" i="16" s="1"/>
  <c r="G778" i="16"/>
  <c r="E778" i="16"/>
  <c r="F778" i="16" s="1"/>
  <c r="G777" i="16"/>
  <c r="E777" i="16"/>
  <c r="F777" i="16" s="1"/>
  <c r="G776" i="16"/>
  <c r="E776" i="16"/>
  <c r="F776" i="16" s="1"/>
  <c r="G775" i="16"/>
  <c r="E775" i="16"/>
  <c r="F775" i="16" s="1"/>
  <c r="G774" i="16"/>
  <c r="E774" i="16"/>
  <c r="F774" i="16" s="1"/>
  <c r="G773" i="16"/>
  <c r="E773" i="16"/>
  <c r="F773" i="16" s="1"/>
  <c r="E772" i="16"/>
  <c r="F772" i="16" s="1"/>
  <c r="E771" i="16"/>
  <c r="F771" i="16" s="1"/>
  <c r="G770" i="16"/>
  <c r="E770" i="16"/>
  <c r="F770" i="16" s="1"/>
  <c r="G769" i="16"/>
  <c r="F769" i="16"/>
  <c r="E769" i="16"/>
  <c r="G768" i="16"/>
  <c r="E768" i="16"/>
  <c r="F768" i="16" s="1"/>
  <c r="G767" i="16"/>
  <c r="E767" i="16"/>
  <c r="F767" i="16" s="1"/>
  <c r="G766" i="16"/>
  <c r="E766" i="16"/>
  <c r="F766" i="16" s="1"/>
  <c r="G765" i="16"/>
  <c r="E765" i="16"/>
  <c r="F765" i="16" s="1"/>
  <c r="G764" i="16"/>
  <c r="E764" i="16"/>
  <c r="F764" i="16" s="1"/>
  <c r="G763" i="16"/>
  <c r="E763" i="16"/>
  <c r="F763" i="16" s="1"/>
  <c r="E762" i="16"/>
  <c r="F762" i="16" s="1"/>
  <c r="E761" i="16"/>
  <c r="F761" i="16" s="1"/>
  <c r="G760" i="16"/>
  <c r="E760" i="16"/>
  <c r="F760" i="16" s="1"/>
  <c r="G759" i="16"/>
  <c r="E759" i="16"/>
  <c r="F759" i="16" s="1"/>
  <c r="G758" i="16"/>
  <c r="E758" i="16"/>
  <c r="F758" i="16" s="1"/>
  <c r="G757" i="16"/>
  <c r="E757" i="16"/>
  <c r="F757" i="16" s="1"/>
  <c r="E756" i="16"/>
  <c r="F756" i="16" s="1"/>
  <c r="G755" i="16"/>
  <c r="E755" i="16"/>
  <c r="F755" i="16" s="1"/>
  <c r="G754" i="16"/>
  <c r="E754" i="16"/>
  <c r="F754" i="16" s="1"/>
  <c r="E753" i="16"/>
  <c r="E752" i="16"/>
  <c r="F752" i="16" s="1"/>
  <c r="E751" i="16"/>
  <c r="F751" i="16" s="1"/>
  <c r="G750" i="16"/>
  <c r="E750" i="16"/>
  <c r="F750" i="16" s="1"/>
  <c r="G749" i="16"/>
  <c r="E749" i="16"/>
  <c r="F749" i="16" s="1"/>
  <c r="G748" i="16"/>
  <c r="E748" i="16"/>
  <c r="F748" i="16" s="1"/>
  <c r="G747" i="16"/>
  <c r="E747" i="16"/>
  <c r="F747" i="16" s="1"/>
  <c r="G746" i="16"/>
  <c r="E746" i="16"/>
  <c r="F746" i="16" s="1"/>
  <c r="G745" i="16"/>
  <c r="E745" i="16"/>
  <c r="F745" i="16" s="1"/>
  <c r="G744" i="16"/>
  <c r="E744" i="16"/>
  <c r="F744" i="16" s="1"/>
  <c r="G743" i="16"/>
  <c r="E743" i="16"/>
  <c r="F743" i="16" s="1"/>
  <c r="E742" i="16"/>
  <c r="F742" i="16" s="1"/>
  <c r="E741" i="16"/>
  <c r="F741" i="16" s="1"/>
  <c r="E740" i="16"/>
  <c r="F740" i="16" s="1"/>
  <c r="G739" i="16"/>
  <c r="E739" i="16"/>
  <c r="F739" i="16" s="1"/>
  <c r="G738" i="16"/>
  <c r="E738" i="16"/>
  <c r="F738" i="16" s="1"/>
  <c r="G737" i="16"/>
  <c r="E737" i="16"/>
  <c r="F737" i="16" s="1"/>
  <c r="G736" i="16"/>
  <c r="E736" i="16"/>
  <c r="F736" i="16" s="1"/>
  <c r="G735" i="16"/>
  <c r="E735" i="16"/>
  <c r="F735" i="16" s="1"/>
  <c r="G734" i="16"/>
  <c r="E734" i="16"/>
  <c r="F734" i="16" s="1"/>
  <c r="G733" i="16"/>
  <c r="E733" i="16"/>
  <c r="F733" i="16" s="1"/>
  <c r="E732" i="16"/>
  <c r="F732" i="16" s="1"/>
  <c r="G731" i="16"/>
  <c r="E731" i="16"/>
  <c r="F731" i="16" s="1"/>
  <c r="E730" i="16"/>
  <c r="F730" i="16" s="1"/>
  <c r="E729" i="16"/>
  <c r="F729" i="16" s="1"/>
  <c r="E728" i="16"/>
  <c r="F728" i="16" s="1"/>
  <c r="E727" i="16"/>
  <c r="F727" i="16" s="1"/>
  <c r="G726" i="16"/>
  <c r="E726" i="16"/>
  <c r="F726" i="16" s="1"/>
  <c r="G725" i="16"/>
  <c r="E725" i="16"/>
  <c r="F725" i="16" s="1"/>
  <c r="G724" i="16"/>
  <c r="E724" i="16"/>
  <c r="F724" i="16" s="1"/>
  <c r="G723" i="16"/>
  <c r="F723" i="16"/>
  <c r="E723" i="16"/>
  <c r="G722" i="16"/>
  <c r="E722" i="16"/>
  <c r="F722" i="16" s="1"/>
  <c r="G721" i="16"/>
  <c r="E721" i="16"/>
  <c r="F721" i="16" s="1"/>
  <c r="G720" i="16"/>
  <c r="E720" i="16"/>
  <c r="F720" i="16" s="1"/>
  <c r="G719" i="16"/>
  <c r="E719" i="16"/>
  <c r="F719" i="16" s="1"/>
  <c r="G718" i="16"/>
  <c r="E718" i="16"/>
  <c r="F718" i="16" s="1"/>
  <c r="E717" i="16"/>
  <c r="F717" i="16" s="1"/>
  <c r="F716" i="16"/>
  <c r="E716" i="16"/>
  <c r="H715" i="16" s="1"/>
  <c r="E715" i="16"/>
  <c r="F715" i="16" s="1"/>
  <c r="E714" i="16"/>
  <c r="F714" i="16" s="1"/>
  <c r="G713" i="16"/>
  <c r="E713" i="16"/>
  <c r="F713" i="16" s="1"/>
  <c r="G712" i="16"/>
  <c r="E712" i="16"/>
  <c r="F712" i="16" s="1"/>
  <c r="G711" i="16"/>
  <c r="E711" i="16"/>
  <c r="F711" i="16" s="1"/>
  <c r="G710" i="16"/>
  <c r="E710" i="16"/>
  <c r="F710" i="16" s="1"/>
  <c r="G709" i="16"/>
  <c r="E709" i="16"/>
  <c r="F709" i="16" s="1"/>
  <c r="G708" i="16"/>
  <c r="E708" i="16"/>
  <c r="F708" i="16" s="1"/>
  <c r="G707" i="16"/>
  <c r="E707" i="16"/>
  <c r="F707" i="16" s="1"/>
  <c r="G706" i="16"/>
  <c r="E706" i="16"/>
  <c r="F706" i="16" s="1"/>
  <c r="G705" i="16"/>
  <c r="E705" i="16"/>
  <c r="F705" i="16" s="1"/>
  <c r="G704" i="16"/>
  <c r="E704" i="16"/>
  <c r="F704" i="16" s="1"/>
  <c r="G703" i="16"/>
  <c r="E703" i="16"/>
  <c r="F703" i="16" s="1"/>
  <c r="G702" i="16"/>
  <c r="E702" i="16"/>
  <c r="F702" i="16" s="1"/>
  <c r="G701" i="16"/>
  <c r="E701" i="16"/>
  <c r="F701" i="16" s="1"/>
  <c r="E700" i="16"/>
  <c r="F700" i="16" s="1"/>
  <c r="E699" i="16"/>
  <c r="F699" i="16" s="1"/>
  <c r="G698" i="16"/>
  <c r="E698" i="16"/>
  <c r="F698" i="16" s="1"/>
  <c r="G697" i="16"/>
  <c r="E697" i="16"/>
  <c r="F697" i="16" s="1"/>
  <c r="G696" i="16"/>
  <c r="E696" i="16"/>
  <c r="F696" i="16" s="1"/>
  <c r="G695" i="16"/>
  <c r="E695" i="16"/>
  <c r="F695" i="16" s="1"/>
  <c r="G694" i="16"/>
  <c r="E694" i="16"/>
  <c r="F694" i="16" s="1"/>
  <c r="G693" i="16"/>
  <c r="E693" i="16"/>
  <c r="F693" i="16" s="1"/>
  <c r="E692" i="16"/>
  <c r="F692" i="16" s="1"/>
  <c r="E691" i="16"/>
  <c r="H690" i="16" s="1"/>
  <c r="E690" i="16"/>
  <c r="F690" i="16" s="1"/>
  <c r="G689" i="16"/>
  <c r="E689" i="16"/>
  <c r="F689" i="16" s="1"/>
  <c r="G688" i="16"/>
  <c r="E688" i="16"/>
  <c r="F688" i="16" s="1"/>
  <c r="G687" i="16"/>
  <c r="E687" i="16"/>
  <c r="F687" i="16" s="1"/>
  <c r="E686" i="16"/>
  <c r="F686" i="16" s="1"/>
  <c r="G685" i="16"/>
  <c r="E685" i="16"/>
  <c r="F685" i="16" s="1"/>
  <c r="G684" i="16"/>
  <c r="E684" i="16"/>
  <c r="F684" i="16" s="1"/>
  <c r="G683" i="16"/>
  <c r="E683" i="16"/>
  <c r="F683" i="16" s="1"/>
  <c r="G682" i="16"/>
  <c r="E682" i="16"/>
  <c r="F682" i="16" s="1"/>
  <c r="G681" i="16"/>
  <c r="E681" i="16"/>
  <c r="F681" i="16" s="1"/>
  <c r="E680" i="16"/>
  <c r="F680" i="16" s="1"/>
  <c r="E679" i="16"/>
  <c r="F679" i="16" s="1"/>
  <c r="G678" i="16"/>
  <c r="E678" i="16"/>
  <c r="F678" i="16" s="1"/>
  <c r="G677" i="16"/>
  <c r="E677" i="16"/>
  <c r="F677" i="16" s="1"/>
  <c r="G676" i="16"/>
  <c r="E676" i="16"/>
  <c r="F676" i="16" s="1"/>
  <c r="G675" i="16"/>
  <c r="E675" i="16"/>
  <c r="F675" i="16" s="1"/>
  <c r="G674" i="16"/>
  <c r="E674" i="16"/>
  <c r="F674" i="16" s="1"/>
  <c r="G673" i="16"/>
  <c r="F673" i="16"/>
  <c r="E673" i="16"/>
  <c r="G672" i="16"/>
  <c r="E672" i="16"/>
  <c r="F672" i="16" s="1"/>
  <c r="G671" i="16"/>
  <c r="E671" i="16"/>
  <c r="F671" i="16" s="1"/>
  <c r="G670" i="16"/>
  <c r="E670" i="16"/>
  <c r="F670" i="16" s="1"/>
  <c r="E669" i="16"/>
  <c r="F669" i="16" s="1"/>
  <c r="E668" i="16"/>
  <c r="H667" i="16" s="1"/>
  <c r="E667" i="16"/>
  <c r="F667" i="16" s="1"/>
  <c r="G666" i="16"/>
  <c r="E666" i="16"/>
  <c r="F666" i="16" s="1"/>
  <c r="G665" i="16"/>
  <c r="E665" i="16"/>
  <c r="F665" i="16" s="1"/>
  <c r="G664" i="16"/>
  <c r="E664" i="16"/>
  <c r="F664" i="16" s="1"/>
  <c r="G663" i="16"/>
  <c r="E663" i="16"/>
  <c r="F663" i="16" s="1"/>
  <c r="E662" i="16"/>
  <c r="F662" i="16" s="1"/>
  <c r="E661" i="16"/>
  <c r="F661" i="16" s="1"/>
  <c r="E660" i="16"/>
  <c r="F660" i="16" s="1"/>
  <c r="E659" i="16"/>
  <c r="F659" i="16" s="1"/>
  <c r="E658" i="16"/>
  <c r="F658" i="16" s="1"/>
  <c r="E657" i="16"/>
  <c r="F657" i="16" s="1"/>
  <c r="G656" i="16"/>
  <c r="E656" i="16"/>
  <c r="F656" i="16" s="1"/>
  <c r="G655" i="16"/>
  <c r="E655" i="16"/>
  <c r="F655" i="16" s="1"/>
  <c r="G654" i="16"/>
  <c r="E654" i="16"/>
  <c r="F654" i="16" s="1"/>
  <c r="G653" i="16"/>
  <c r="E653" i="16"/>
  <c r="F653" i="16" s="1"/>
  <c r="G652" i="16"/>
  <c r="F652" i="16"/>
  <c r="E652" i="16"/>
  <c r="G651" i="16"/>
  <c r="E651" i="16"/>
  <c r="F651" i="16" s="1"/>
  <c r="G650" i="16"/>
  <c r="F650" i="16"/>
  <c r="E650" i="16"/>
  <c r="G649" i="16"/>
  <c r="E649" i="16"/>
  <c r="F649" i="16" s="1"/>
  <c r="E648" i="16"/>
  <c r="F648" i="16" s="1"/>
  <c r="E647" i="16"/>
  <c r="F647" i="16" s="1"/>
  <c r="G646" i="16"/>
  <c r="E646" i="16"/>
  <c r="F646" i="16" s="1"/>
  <c r="G645" i="16"/>
  <c r="E645" i="16"/>
  <c r="F645" i="16" s="1"/>
  <c r="G644" i="16"/>
  <c r="E644" i="16"/>
  <c r="F644" i="16" s="1"/>
  <c r="E643" i="16"/>
  <c r="F643" i="16" s="1"/>
  <c r="G642" i="16"/>
  <c r="E642" i="16"/>
  <c r="F642" i="16" s="1"/>
  <c r="E641" i="16"/>
  <c r="F641" i="16" s="1"/>
  <c r="G640" i="16"/>
  <c r="E640" i="16"/>
  <c r="F640" i="16" s="1"/>
  <c r="G639" i="16"/>
  <c r="E639" i="16"/>
  <c r="F639" i="16" s="1"/>
  <c r="G638" i="16"/>
  <c r="E638" i="16"/>
  <c r="F638" i="16" s="1"/>
  <c r="E637" i="16"/>
  <c r="F637" i="16" s="1"/>
  <c r="G636" i="16"/>
  <c r="E636" i="16"/>
  <c r="H635" i="16" s="1"/>
  <c r="E635" i="16"/>
  <c r="F635" i="16" s="1"/>
  <c r="G634" i="16"/>
  <c r="E634" i="16"/>
  <c r="F634" i="16" s="1"/>
  <c r="G633" i="16"/>
  <c r="E633" i="16"/>
  <c r="F633" i="16" s="1"/>
  <c r="G632" i="16"/>
  <c r="E632" i="16"/>
  <c r="F632" i="16" s="1"/>
  <c r="G631" i="16"/>
  <c r="E631" i="16"/>
  <c r="F631" i="16" s="1"/>
  <c r="G630" i="16"/>
  <c r="E630" i="16"/>
  <c r="F630" i="16" s="1"/>
  <c r="G629" i="16"/>
  <c r="E629" i="16"/>
  <c r="F629" i="16" s="1"/>
  <c r="E628" i="16"/>
  <c r="F628" i="16" s="1"/>
  <c r="E627" i="16"/>
  <c r="F627" i="16" s="1"/>
  <c r="G626" i="16"/>
  <c r="E626" i="16"/>
  <c r="F626" i="16" s="1"/>
  <c r="G625" i="16"/>
  <c r="E625" i="16"/>
  <c r="F625" i="16" s="1"/>
  <c r="G624" i="16"/>
  <c r="E624" i="16"/>
  <c r="F624" i="16" s="1"/>
  <c r="G623" i="16"/>
  <c r="F623" i="16"/>
  <c r="E623" i="16"/>
  <c r="G622" i="16"/>
  <c r="F622" i="16"/>
  <c r="E622" i="16"/>
  <c r="G621" i="16"/>
  <c r="E621" i="16"/>
  <c r="F621" i="16" s="1"/>
  <c r="G620" i="16"/>
  <c r="E620" i="16"/>
  <c r="F620" i="16" s="1"/>
  <c r="G619" i="16"/>
  <c r="E619" i="16"/>
  <c r="F619" i="16" s="1"/>
  <c r="G618" i="16"/>
  <c r="E618" i="16"/>
  <c r="F618" i="16" s="1"/>
  <c r="G617" i="16"/>
  <c r="E617" i="16"/>
  <c r="F617" i="16" s="1"/>
  <c r="E616" i="16"/>
  <c r="F616" i="16" s="1"/>
  <c r="E615" i="16"/>
  <c r="H614" i="16" s="1"/>
  <c r="E614" i="16"/>
  <c r="F614" i="16" s="1"/>
  <c r="G613" i="16"/>
  <c r="E613" i="16"/>
  <c r="F613" i="16" s="1"/>
  <c r="G612" i="16"/>
  <c r="E612" i="16"/>
  <c r="F612" i="16" s="1"/>
  <c r="G611" i="16"/>
  <c r="E611" i="16"/>
  <c r="F611" i="16" s="1"/>
  <c r="G610" i="16"/>
  <c r="E610" i="16"/>
  <c r="F610" i="16" s="1"/>
  <c r="G609" i="16"/>
  <c r="E609" i="16"/>
  <c r="F609" i="16" s="1"/>
  <c r="G608" i="16"/>
  <c r="E608" i="16"/>
  <c r="F608" i="16" s="1"/>
  <c r="G607" i="16"/>
  <c r="E607" i="16"/>
  <c r="F607" i="16" s="1"/>
  <c r="G606" i="16"/>
  <c r="E606" i="16"/>
  <c r="F606" i="16" s="1"/>
  <c r="G605" i="16"/>
  <c r="E605" i="16"/>
  <c r="F605" i="16" s="1"/>
  <c r="G604" i="16"/>
  <c r="E604" i="16"/>
  <c r="F604" i="16" s="1"/>
  <c r="G603" i="16"/>
  <c r="E603" i="16"/>
  <c r="F603" i="16" s="1"/>
  <c r="G602" i="16"/>
  <c r="E602" i="16"/>
  <c r="F602" i="16" s="1"/>
  <c r="G601" i="16"/>
  <c r="F601" i="16"/>
  <c r="E601" i="16"/>
  <c r="G600" i="16"/>
  <c r="E600" i="16"/>
  <c r="F600" i="16" s="1"/>
  <c r="G599" i="16"/>
  <c r="E599" i="16"/>
  <c r="F599" i="16" s="1"/>
  <c r="G598" i="16"/>
  <c r="E598" i="16"/>
  <c r="F598" i="16" s="1"/>
  <c r="G597" i="16"/>
  <c r="E597" i="16"/>
  <c r="F597" i="16" s="1"/>
  <c r="G596" i="16"/>
  <c r="E596" i="16"/>
  <c r="F596" i="16" s="1"/>
  <c r="G595" i="16"/>
  <c r="E595" i="16"/>
  <c r="F595" i="16" s="1"/>
  <c r="G594" i="16"/>
  <c r="E594" i="16"/>
  <c r="F594" i="16" s="1"/>
  <c r="G593" i="16"/>
  <c r="E593" i="16"/>
  <c r="F593" i="16" s="1"/>
  <c r="G592" i="16"/>
  <c r="E592" i="16"/>
  <c r="F592" i="16" s="1"/>
  <c r="G591" i="16"/>
  <c r="E591" i="16"/>
  <c r="F591" i="16" s="1"/>
  <c r="G590" i="16"/>
  <c r="E590" i="16"/>
  <c r="F590" i="16" s="1"/>
  <c r="E589" i="16"/>
  <c r="F589" i="16" s="1"/>
  <c r="G588" i="16"/>
  <c r="E588" i="16"/>
  <c r="F588" i="16" s="1"/>
  <c r="G587" i="16"/>
  <c r="E587" i="16"/>
  <c r="F587" i="16" s="1"/>
  <c r="E586" i="16"/>
  <c r="F586" i="16" s="1"/>
  <c r="G585" i="16"/>
  <c r="E585" i="16"/>
  <c r="F585" i="16" s="1"/>
  <c r="G584" i="16"/>
  <c r="E584" i="16"/>
  <c r="F584" i="16" s="1"/>
  <c r="G583" i="16"/>
  <c r="E583" i="16"/>
  <c r="F583" i="16" s="1"/>
  <c r="G582" i="16"/>
  <c r="E582" i="16"/>
  <c r="F582" i="16" s="1"/>
  <c r="G581" i="16"/>
  <c r="E581" i="16"/>
  <c r="F581" i="16" s="1"/>
  <c r="G580" i="16"/>
  <c r="E580" i="16"/>
  <c r="F580" i="16" s="1"/>
  <c r="G579" i="16"/>
  <c r="E579" i="16"/>
  <c r="F579" i="16" s="1"/>
  <c r="G578" i="16"/>
  <c r="E578" i="16"/>
  <c r="F578" i="16" s="1"/>
  <c r="G577" i="16"/>
  <c r="E577" i="16"/>
  <c r="F577" i="16" s="1"/>
  <c r="G576" i="16"/>
  <c r="E576" i="16"/>
  <c r="F576" i="16" s="1"/>
  <c r="G575" i="16"/>
  <c r="E575" i="16"/>
  <c r="F575" i="16" s="1"/>
  <c r="G574" i="16"/>
  <c r="F574" i="16"/>
  <c r="E574" i="16"/>
  <c r="G573" i="16"/>
  <c r="E573" i="16"/>
  <c r="F573" i="16" s="1"/>
  <c r="G572" i="16"/>
  <c r="E572" i="16"/>
  <c r="F572" i="16" s="1"/>
  <c r="G571" i="16"/>
  <c r="E571" i="16"/>
  <c r="F571" i="16" s="1"/>
  <c r="E570" i="16"/>
  <c r="F570" i="16" s="1"/>
  <c r="G569" i="16"/>
  <c r="E569" i="16"/>
  <c r="F569" i="16" s="1"/>
  <c r="G568" i="16"/>
  <c r="E568" i="16"/>
  <c r="F568" i="16" s="1"/>
  <c r="G567" i="16"/>
  <c r="E567" i="16"/>
  <c r="F567" i="16" s="1"/>
  <c r="E566" i="16"/>
  <c r="F566" i="16" s="1"/>
  <c r="E565" i="16"/>
  <c r="F565" i="16" s="1"/>
  <c r="G564" i="16"/>
  <c r="E564" i="16"/>
  <c r="F564" i="16" s="1"/>
  <c r="G563" i="16"/>
  <c r="E563" i="16"/>
  <c r="F563" i="16" s="1"/>
  <c r="G562" i="16"/>
  <c r="E562" i="16"/>
  <c r="F562" i="16" s="1"/>
  <c r="G561" i="16"/>
  <c r="E561" i="16"/>
  <c r="F561" i="16" s="1"/>
  <c r="G560" i="16"/>
  <c r="E560" i="16"/>
  <c r="F560" i="16" s="1"/>
  <c r="E559" i="16"/>
  <c r="F559" i="16" s="1"/>
  <c r="G558" i="16"/>
  <c r="E558" i="16"/>
  <c r="F558" i="16" s="1"/>
  <c r="G557" i="16"/>
  <c r="E557" i="16"/>
  <c r="F557" i="16" s="1"/>
  <c r="G556" i="16"/>
  <c r="E556" i="16"/>
  <c r="F556" i="16" s="1"/>
  <c r="G555" i="16"/>
  <c r="E555" i="16"/>
  <c r="F555" i="16" s="1"/>
  <c r="G554" i="16"/>
  <c r="E554" i="16"/>
  <c r="F554" i="16" s="1"/>
  <c r="E553" i="16"/>
  <c r="F553" i="16" s="1"/>
  <c r="G552" i="16"/>
  <c r="E552" i="16"/>
  <c r="F552" i="16" s="1"/>
  <c r="G551" i="16"/>
  <c r="E551" i="16"/>
  <c r="F551" i="16" s="1"/>
  <c r="G550" i="16"/>
  <c r="E550" i="16"/>
  <c r="F550" i="16" s="1"/>
  <c r="G549" i="16"/>
  <c r="E549" i="16"/>
  <c r="F549" i="16" s="1"/>
  <c r="E548" i="16"/>
  <c r="E547" i="16"/>
  <c r="F547" i="16" s="1"/>
  <c r="G546" i="16"/>
  <c r="E546" i="16"/>
  <c r="F546" i="16" s="1"/>
  <c r="G545" i="16"/>
  <c r="E545" i="16"/>
  <c r="F545" i="16" s="1"/>
  <c r="G544" i="16"/>
  <c r="E544" i="16"/>
  <c r="F544" i="16" s="1"/>
  <c r="G543" i="16"/>
  <c r="E543" i="16"/>
  <c r="F543" i="16" s="1"/>
  <c r="G542" i="16"/>
  <c r="E542" i="16"/>
  <c r="F542" i="16" s="1"/>
  <c r="G541" i="16"/>
  <c r="E541" i="16"/>
  <c r="F541" i="16" s="1"/>
  <c r="G540" i="16"/>
  <c r="E540" i="16"/>
  <c r="F540" i="16" s="1"/>
  <c r="G539" i="16"/>
  <c r="E539" i="16"/>
  <c r="F539" i="16" s="1"/>
  <c r="G538" i="16"/>
  <c r="E538" i="16"/>
  <c r="F538" i="16" s="1"/>
  <c r="E537" i="16"/>
  <c r="E536" i="16"/>
  <c r="F536" i="16" s="1"/>
  <c r="G535" i="16"/>
  <c r="E535" i="16"/>
  <c r="F535" i="16" s="1"/>
  <c r="G534" i="16"/>
  <c r="E534" i="16"/>
  <c r="F534" i="16" s="1"/>
  <c r="G533" i="16"/>
  <c r="E533" i="16"/>
  <c r="F533" i="16" s="1"/>
  <c r="G532" i="16"/>
  <c r="E532" i="16"/>
  <c r="F532" i="16" s="1"/>
  <c r="E531" i="16"/>
  <c r="F531" i="16" s="1"/>
  <c r="G530" i="16"/>
  <c r="E530" i="16"/>
  <c r="F530" i="16" s="1"/>
  <c r="E529" i="16"/>
  <c r="F529" i="16" s="1"/>
  <c r="G528" i="16"/>
  <c r="E528" i="16"/>
  <c r="F528" i="16" s="1"/>
  <c r="E527" i="16"/>
  <c r="H526" i="16" s="1"/>
  <c r="E526" i="16"/>
  <c r="F526" i="16" s="1"/>
  <c r="G525" i="16"/>
  <c r="E525" i="16"/>
  <c r="F525" i="16" s="1"/>
  <c r="G524" i="16"/>
  <c r="E524" i="16"/>
  <c r="F524" i="16" s="1"/>
  <c r="G523" i="16"/>
  <c r="E523" i="16"/>
  <c r="F523" i="16" s="1"/>
  <c r="G522" i="16"/>
  <c r="E522" i="16"/>
  <c r="F522" i="16" s="1"/>
  <c r="G521" i="16"/>
  <c r="E521" i="16"/>
  <c r="F521" i="16" s="1"/>
  <c r="G520" i="16"/>
  <c r="E520" i="16"/>
  <c r="F520" i="16" s="1"/>
  <c r="E519" i="16"/>
  <c r="F519" i="16" s="1"/>
  <c r="G518" i="16"/>
  <c r="E518" i="16"/>
  <c r="F518" i="16" s="1"/>
  <c r="E517" i="16"/>
  <c r="F517" i="16" s="1"/>
  <c r="E516" i="16"/>
  <c r="F516" i="16" s="1"/>
  <c r="G515" i="16"/>
  <c r="E515" i="16"/>
  <c r="F515" i="16" s="1"/>
  <c r="G514" i="16"/>
  <c r="E514" i="16"/>
  <c r="F514" i="16" s="1"/>
  <c r="E513" i="16"/>
  <c r="F513" i="16" s="1"/>
  <c r="G512" i="16"/>
  <c r="E512" i="16"/>
  <c r="F512" i="16" s="1"/>
  <c r="G511" i="16"/>
  <c r="E511" i="16"/>
  <c r="F511" i="16" s="1"/>
  <c r="G510" i="16"/>
  <c r="E510" i="16"/>
  <c r="F510" i="16" s="1"/>
  <c r="G509" i="16"/>
  <c r="E509" i="16"/>
  <c r="F509" i="16" s="1"/>
  <c r="G508" i="16"/>
  <c r="E508" i="16"/>
  <c r="F508" i="16" s="1"/>
  <c r="G507" i="16"/>
  <c r="E507" i="16"/>
  <c r="F507" i="16" s="1"/>
  <c r="G506" i="16"/>
  <c r="E506" i="16"/>
  <c r="F506" i="16" s="1"/>
  <c r="E505" i="16"/>
  <c r="H504" i="16" s="1"/>
  <c r="E504" i="16"/>
  <c r="F504" i="16" s="1"/>
  <c r="G503" i="16"/>
  <c r="E503" i="16"/>
  <c r="F503" i="16" s="1"/>
  <c r="G502" i="16"/>
  <c r="E502" i="16"/>
  <c r="F502" i="16" s="1"/>
  <c r="G501" i="16"/>
  <c r="E501" i="16"/>
  <c r="F501" i="16" s="1"/>
  <c r="G500" i="16"/>
  <c r="E500" i="16"/>
  <c r="F500" i="16" s="1"/>
  <c r="G499" i="16"/>
  <c r="E499" i="16"/>
  <c r="F499" i="16" s="1"/>
  <c r="G498" i="16"/>
  <c r="E498" i="16"/>
  <c r="F498" i="16" s="1"/>
  <c r="G497" i="16"/>
  <c r="E497" i="16"/>
  <c r="F497" i="16" s="1"/>
  <c r="G496" i="16"/>
  <c r="E496" i="16"/>
  <c r="F496" i="16" s="1"/>
  <c r="G495" i="16"/>
  <c r="E495" i="16"/>
  <c r="F495" i="16" s="1"/>
  <c r="G494" i="16"/>
  <c r="E494" i="16"/>
  <c r="F494" i="16" s="1"/>
  <c r="G493" i="16"/>
  <c r="E493" i="16"/>
  <c r="F493" i="16" s="1"/>
  <c r="G492" i="16"/>
  <c r="E492" i="16"/>
  <c r="F492" i="16" s="1"/>
  <c r="G491" i="16"/>
  <c r="E491" i="16"/>
  <c r="F491" i="16" s="1"/>
  <c r="E490" i="16"/>
  <c r="F490" i="16" s="1"/>
  <c r="E489" i="16"/>
  <c r="F489" i="16" s="1"/>
  <c r="G488" i="16"/>
  <c r="E488" i="16"/>
  <c r="F488" i="16" s="1"/>
  <c r="G487" i="16"/>
  <c r="E487" i="16"/>
  <c r="F487" i="16" s="1"/>
  <c r="G486" i="16"/>
  <c r="E486" i="16"/>
  <c r="F486" i="16" s="1"/>
  <c r="G485" i="16"/>
  <c r="E485" i="16"/>
  <c r="F485" i="16" s="1"/>
  <c r="G484" i="16"/>
  <c r="F484" i="16"/>
  <c r="E484" i="16"/>
  <c r="G483" i="16"/>
  <c r="E483" i="16"/>
  <c r="F483" i="16" s="1"/>
  <c r="G482" i="16"/>
  <c r="E482" i="16"/>
  <c r="F482" i="16" s="1"/>
  <c r="G481" i="16"/>
  <c r="E481" i="16"/>
  <c r="F481" i="16" s="1"/>
  <c r="G480" i="16"/>
  <c r="E480" i="16"/>
  <c r="F480" i="16" s="1"/>
  <c r="G479" i="16"/>
  <c r="E479" i="16"/>
  <c r="F479" i="16" s="1"/>
  <c r="G478" i="16"/>
  <c r="E478" i="16"/>
  <c r="F478" i="16" s="1"/>
  <c r="G477" i="16"/>
  <c r="E477" i="16"/>
  <c r="F477" i="16" s="1"/>
  <c r="G476" i="16"/>
  <c r="F476" i="16"/>
  <c r="E476" i="16"/>
  <c r="G475" i="16"/>
  <c r="E475" i="16"/>
  <c r="F475" i="16" s="1"/>
  <c r="G474" i="16"/>
  <c r="E474" i="16"/>
  <c r="F474" i="16" s="1"/>
  <c r="E473" i="16"/>
  <c r="F473" i="16" s="1"/>
  <c r="G472" i="16"/>
  <c r="E472" i="16"/>
  <c r="F472" i="16" s="1"/>
  <c r="E471" i="16"/>
  <c r="E470" i="16"/>
  <c r="F470" i="16" s="1"/>
  <c r="G469" i="16"/>
  <c r="E469" i="16"/>
  <c r="F469" i="16" s="1"/>
  <c r="G468" i="16"/>
  <c r="E468" i="16"/>
  <c r="F468" i="16" s="1"/>
  <c r="G467" i="16"/>
  <c r="E467" i="16"/>
  <c r="F467" i="16" s="1"/>
  <c r="G466" i="16"/>
  <c r="E466" i="16"/>
  <c r="F466" i="16" s="1"/>
  <c r="G465" i="16"/>
  <c r="E465" i="16"/>
  <c r="F465" i="16" s="1"/>
  <c r="G464" i="16"/>
  <c r="E464" i="16"/>
  <c r="F464" i="16" s="1"/>
  <c r="G463" i="16"/>
  <c r="E463" i="16"/>
  <c r="F463" i="16" s="1"/>
  <c r="G462" i="16"/>
  <c r="E462" i="16"/>
  <c r="H461" i="16" s="1"/>
  <c r="E461" i="16"/>
  <c r="F461" i="16" s="1"/>
  <c r="G460" i="16"/>
  <c r="E460" i="16"/>
  <c r="F460" i="16" s="1"/>
  <c r="G459" i="16"/>
  <c r="E459" i="16"/>
  <c r="F459" i="16" s="1"/>
  <c r="G458" i="16"/>
  <c r="E458" i="16"/>
  <c r="F458" i="16" s="1"/>
  <c r="E457" i="16"/>
  <c r="F457" i="16" s="1"/>
  <c r="G456" i="16"/>
  <c r="E456" i="16"/>
  <c r="F456" i="16" s="1"/>
  <c r="E455" i="16"/>
  <c r="F455" i="16" s="1"/>
  <c r="G454" i="16"/>
  <c r="E454" i="16"/>
  <c r="F454" i="16" s="1"/>
  <c r="G453" i="16"/>
  <c r="E453" i="16"/>
  <c r="F453" i="16" s="1"/>
  <c r="E452" i="16"/>
  <c r="H451" i="16" s="1"/>
  <c r="E451" i="16"/>
  <c r="F451" i="16" s="1"/>
  <c r="G450" i="16"/>
  <c r="E450" i="16"/>
  <c r="F450" i="16" s="1"/>
  <c r="G449" i="16"/>
  <c r="E449" i="16"/>
  <c r="F449" i="16" s="1"/>
  <c r="G448" i="16"/>
  <c r="E448" i="16"/>
  <c r="F448" i="16" s="1"/>
  <c r="G447" i="16"/>
  <c r="F447" i="16"/>
  <c r="E447" i="16"/>
  <c r="G446" i="16"/>
  <c r="E446" i="16"/>
  <c r="F446" i="16" s="1"/>
  <c r="G445" i="16"/>
  <c r="E445" i="16"/>
  <c r="F445" i="16" s="1"/>
  <c r="G444" i="16"/>
  <c r="E444" i="16"/>
  <c r="F444" i="16" s="1"/>
  <c r="G443" i="16"/>
  <c r="E443" i="16"/>
  <c r="F443" i="16" s="1"/>
  <c r="E442" i="16"/>
  <c r="F442" i="16" s="1"/>
  <c r="E441" i="16"/>
  <c r="H440" i="16" s="1"/>
  <c r="E440" i="16"/>
  <c r="F440" i="16" s="1"/>
  <c r="E439" i="16"/>
  <c r="F439" i="16" s="1"/>
  <c r="G438" i="16"/>
  <c r="E438" i="16"/>
  <c r="F438" i="16" s="1"/>
  <c r="G437" i="16"/>
  <c r="E437" i="16"/>
  <c r="F437" i="16" s="1"/>
  <c r="G436" i="16"/>
  <c r="E436" i="16"/>
  <c r="F436" i="16" s="1"/>
  <c r="G435" i="16"/>
  <c r="E435" i="16"/>
  <c r="F435" i="16" s="1"/>
  <c r="G434" i="16"/>
  <c r="E434" i="16"/>
  <c r="F434" i="16" s="1"/>
  <c r="G433" i="16"/>
  <c r="E433" i="16"/>
  <c r="F433" i="16" s="1"/>
  <c r="E432" i="16"/>
  <c r="H431" i="16" s="1"/>
  <c r="E431" i="16"/>
  <c r="F431" i="16" s="1"/>
  <c r="G430" i="16"/>
  <c r="E430" i="16"/>
  <c r="F430" i="16" s="1"/>
  <c r="G429" i="16"/>
  <c r="E429" i="16"/>
  <c r="F429" i="16" s="1"/>
  <c r="E428" i="16"/>
  <c r="F428" i="16" s="1"/>
  <c r="G427" i="16"/>
  <c r="E427" i="16"/>
  <c r="F427" i="16" s="1"/>
  <c r="G426" i="16"/>
  <c r="E426" i="16"/>
  <c r="F426" i="16" s="1"/>
  <c r="G425" i="16"/>
  <c r="E425" i="16"/>
  <c r="F425" i="16" s="1"/>
  <c r="G424" i="16"/>
  <c r="E424" i="16"/>
  <c r="F424" i="16" s="1"/>
  <c r="G423" i="16"/>
  <c r="E423" i="16"/>
  <c r="F423" i="16" s="1"/>
  <c r="G422" i="16"/>
  <c r="E422" i="16"/>
  <c r="F422" i="16" s="1"/>
  <c r="G421" i="16"/>
  <c r="E421" i="16"/>
  <c r="F421" i="16" s="1"/>
  <c r="G420" i="16"/>
  <c r="E420" i="16"/>
  <c r="F420" i="16" s="1"/>
  <c r="E419" i="16"/>
  <c r="F419" i="16" s="1"/>
  <c r="E418" i="16"/>
  <c r="H417" i="16" s="1"/>
  <c r="E417" i="16"/>
  <c r="F417" i="16" s="1"/>
  <c r="E416" i="16"/>
  <c r="F416" i="16" s="1"/>
  <c r="G415" i="16"/>
  <c r="E415" i="16"/>
  <c r="F415" i="16" s="1"/>
  <c r="G414" i="16"/>
  <c r="E414" i="16"/>
  <c r="F414" i="16" s="1"/>
  <c r="G413" i="16"/>
  <c r="E413" i="16"/>
  <c r="F413" i="16" s="1"/>
  <c r="G412" i="16"/>
  <c r="E412" i="16"/>
  <c r="F412" i="16" s="1"/>
  <c r="G411" i="16"/>
  <c r="E411" i="16"/>
  <c r="F411" i="16" s="1"/>
  <c r="G410" i="16"/>
  <c r="E410" i="16"/>
  <c r="F410" i="16" s="1"/>
  <c r="G409" i="16"/>
  <c r="E409" i="16"/>
  <c r="F409" i="16" s="1"/>
  <c r="G408" i="16"/>
  <c r="E408" i="16"/>
  <c r="F408" i="16" s="1"/>
  <c r="G407" i="16"/>
  <c r="E407" i="16"/>
  <c r="F407" i="16" s="1"/>
  <c r="G406" i="16"/>
  <c r="E406" i="16"/>
  <c r="F406" i="16" s="1"/>
  <c r="G405" i="16"/>
  <c r="E405" i="16"/>
  <c r="F405" i="16" s="1"/>
  <c r="G404" i="16"/>
  <c r="E404" i="16"/>
  <c r="F404" i="16" s="1"/>
  <c r="E403" i="16"/>
  <c r="F403" i="16" s="1"/>
  <c r="G402" i="16"/>
  <c r="E402" i="16"/>
  <c r="F402" i="16" s="1"/>
  <c r="G401" i="16"/>
  <c r="E401" i="16"/>
  <c r="F401" i="16" s="1"/>
  <c r="G400" i="16"/>
  <c r="E400" i="16"/>
  <c r="F400" i="16" s="1"/>
  <c r="G399" i="16"/>
  <c r="E399" i="16"/>
  <c r="F399" i="16" s="1"/>
  <c r="G398" i="16"/>
  <c r="E398" i="16"/>
  <c r="F398" i="16" s="1"/>
  <c r="E397" i="16"/>
  <c r="F397" i="16" s="1"/>
  <c r="E396" i="16"/>
  <c r="F396" i="16" s="1"/>
  <c r="E395" i="16"/>
  <c r="F395" i="16" s="1"/>
  <c r="G394" i="16"/>
  <c r="E394" i="16"/>
  <c r="F394" i="16" s="1"/>
  <c r="G393" i="16"/>
  <c r="E393" i="16"/>
  <c r="F393" i="16" s="1"/>
  <c r="G392" i="16"/>
  <c r="E392" i="16"/>
  <c r="F392" i="16" s="1"/>
  <c r="G391" i="16"/>
  <c r="E391" i="16"/>
  <c r="F391" i="16" s="1"/>
  <c r="G390" i="16"/>
  <c r="E390" i="16"/>
  <c r="F390" i="16" s="1"/>
  <c r="G389" i="16"/>
  <c r="E389" i="16"/>
  <c r="F389" i="16" s="1"/>
  <c r="G388" i="16"/>
  <c r="E388" i="16"/>
  <c r="F388" i="16" s="1"/>
  <c r="G387" i="16"/>
  <c r="E387" i="16"/>
  <c r="F387" i="16" s="1"/>
  <c r="G386" i="16"/>
  <c r="F386" i="16"/>
  <c r="E386" i="16"/>
  <c r="G385" i="16"/>
  <c r="E385" i="16"/>
  <c r="F385" i="16" s="1"/>
  <c r="G384" i="16"/>
  <c r="E384" i="16"/>
  <c r="F384" i="16" s="1"/>
  <c r="G383" i="16"/>
  <c r="E383" i="16"/>
  <c r="F383" i="16" s="1"/>
  <c r="G382" i="16"/>
  <c r="E382" i="16"/>
  <c r="F382" i="16" s="1"/>
  <c r="G381" i="16"/>
  <c r="E381" i="16"/>
  <c r="F381" i="16" s="1"/>
  <c r="G380" i="16"/>
  <c r="E380" i="16"/>
  <c r="F380" i="16" s="1"/>
  <c r="G379" i="16"/>
  <c r="E379" i="16"/>
  <c r="F379" i="16" s="1"/>
  <c r="G378" i="16"/>
  <c r="E378" i="16"/>
  <c r="F378" i="16" s="1"/>
  <c r="G377" i="16"/>
  <c r="E377" i="16"/>
  <c r="F377" i="16" s="1"/>
  <c r="G376" i="16"/>
  <c r="E376" i="16"/>
  <c r="F376" i="16" s="1"/>
  <c r="G375" i="16"/>
  <c r="E375" i="16"/>
  <c r="F375" i="16" s="1"/>
  <c r="G374" i="16"/>
  <c r="E374" i="16"/>
  <c r="F374" i="16" s="1"/>
  <c r="G373" i="16"/>
  <c r="E373" i="16"/>
  <c r="F373" i="16" s="1"/>
  <c r="G372" i="16"/>
  <c r="E372" i="16"/>
  <c r="F372" i="16" s="1"/>
  <c r="G371" i="16"/>
  <c r="E371" i="16"/>
  <c r="F371" i="16" s="1"/>
  <c r="E370" i="16"/>
  <c r="F370" i="16" s="1"/>
  <c r="E369" i="16"/>
  <c r="F369" i="16" s="1"/>
  <c r="E368" i="16"/>
  <c r="F368" i="16" s="1"/>
  <c r="F367" i="16"/>
  <c r="E367" i="16"/>
  <c r="G366" i="16"/>
  <c r="E366" i="16"/>
  <c r="F366" i="16" s="1"/>
  <c r="G365" i="16"/>
  <c r="E365" i="16"/>
  <c r="F365" i="16" s="1"/>
  <c r="G364" i="16"/>
  <c r="E364" i="16"/>
  <c r="F364" i="16" s="1"/>
  <c r="G363" i="16"/>
  <c r="E363" i="16"/>
  <c r="F363" i="16" s="1"/>
  <c r="G362" i="16"/>
  <c r="E362" i="16"/>
  <c r="F362" i="16" s="1"/>
  <c r="G361" i="16"/>
  <c r="E361" i="16"/>
  <c r="F361" i="16" s="1"/>
  <c r="G360" i="16"/>
  <c r="E360" i="16"/>
  <c r="F360" i="16" s="1"/>
  <c r="G359" i="16"/>
  <c r="E359" i="16"/>
  <c r="F359" i="16" s="1"/>
  <c r="G358" i="16"/>
  <c r="E358" i="16"/>
  <c r="F358" i="16" s="1"/>
  <c r="G357" i="16"/>
  <c r="E357" i="16"/>
  <c r="F357" i="16" s="1"/>
  <c r="E356" i="16"/>
  <c r="H355" i="16" s="1"/>
  <c r="E355" i="16"/>
  <c r="F355" i="16" s="1"/>
  <c r="G354" i="16"/>
  <c r="E354" i="16"/>
  <c r="F354" i="16" s="1"/>
  <c r="G353" i="16"/>
  <c r="E353" i="16"/>
  <c r="F353" i="16" s="1"/>
  <c r="G352" i="16"/>
  <c r="E352" i="16"/>
  <c r="F352" i="16" s="1"/>
  <c r="G351" i="16"/>
  <c r="F351" i="16"/>
  <c r="E351" i="16"/>
  <c r="G350" i="16"/>
  <c r="E350" i="16"/>
  <c r="F350" i="16" s="1"/>
  <c r="G349" i="16"/>
  <c r="E349" i="16"/>
  <c r="F349" i="16" s="1"/>
  <c r="G348" i="16"/>
  <c r="F348" i="16"/>
  <c r="E348" i="16"/>
  <c r="G347" i="16"/>
  <c r="E347" i="16"/>
  <c r="F347" i="16" s="1"/>
  <c r="G346" i="16"/>
  <c r="E346" i="16"/>
  <c r="F346" i="16" s="1"/>
  <c r="G345" i="16"/>
  <c r="E345" i="16"/>
  <c r="F345" i="16" s="1"/>
  <c r="G344" i="16"/>
  <c r="E344" i="16"/>
  <c r="F344" i="16" s="1"/>
  <c r="E343" i="16"/>
  <c r="F343" i="16" s="1"/>
  <c r="E342" i="16"/>
  <c r="F342" i="16" s="1"/>
  <c r="G341" i="16"/>
  <c r="E341" i="16"/>
  <c r="F341" i="16" s="1"/>
  <c r="G340" i="16"/>
  <c r="E340" i="16"/>
  <c r="F340" i="16" s="1"/>
  <c r="G339" i="16"/>
  <c r="E339" i="16"/>
  <c r="F339" i="16" s="1"/>
  <c r="G338" i="16"/>
  <c r="E338" i="16"/>
  <c r="F338" i="16" s="1"/>
  <c r="G337" i="16"/>
  <c r="E337" i="16"/>
  <c r="F337" i="16" s="1"/>
  <c r="G336" i="16"/>
  <c r="E336" i="16"/>
  <c r="F336" i="16" s="1"/>
  <c r="E335" i="16"/>
  <c r="F335" i="16" s="1"/>
  <c r="G334" i="16"/>
  <c r="E334" i="16"/>
  <c r="H333" i="16" s="1"/>
  <c r="E333" i="16"/>
  <c r="F333" i="16" s="1"/>
  <c r="G332" i="16"/>
  <c r="E332" i="16"/>
  <c r="F332" i="16" s="1"/>
  <c r="G331" i="16"/>
  <c r="E331" i="16"/>
  <c r="F331" i="16" s="1"/>
  <c r="G330" i="16"/>
  <c r="F330" i="16"/>
  <c r="E330" i="16"/>
  <c r="G329" i="16"/>
  <c r="E329" i="16"/>
  <c r="F329" i="16" s="1"/>
  <c r="G328" i="16"/>
  <c r="E328" i="16"/>
  <c r="F328" i="16" s="1"/>
  <c r="G327" i="16"/>
  <c r="E327" i="16"/>
  <c r="F327" i="16" s="1"/>
  <c r="G326" i="16"/>
  <c r="E326" i="16"/>
  <c r="F326" i="16" s="1"/>
  <c r="G325" i="16"/>
  <c r="E325" i="16"/>
  <c r="F325" i="16" s="1"/>
  <c r="E324" i="16"/>
  <c r="F324" i="16" s="1"/>
  <c r="E323" i="16"/>
  <c r="H322" i="16" s="1"/>
  <c r="E322" i="16"/>
  <c r="F322" i="16" s="1"/>
  <c r="G321" i="16"/>
  <c r="E321" i="16"/>
  <c r="F321" i="16" s="1"/>
  <c r="E320" i="16"/>
  <c r="F320" i="16" s="1"/>
  <c r="G319" i="16"/>
  <c r="E319" i="16"/>
  <c r="F319" i="16" s="1"/>
  <c r="G318" i="16"/>
  <c r="E318" i="16"/>
  <c r="F318" i="16" s="1"/>
  <c r="G317" i="16"/>
  <c r="E317" i="16"/>
  <c r="F317" i="16" s="1"/>
  <c r="G316" i="16"/>
  <c r="E316" i="16"/>
  <c r="F316" i="16" s="1"/>
  <c r="G315" i="16"/>
  <c r="E315" i="16"/>
  <c r="F315" i="16" s="1"/>
  <c r="G314" i="16"/>
  <c r="E314" i="16"/>
  <c r="F314" i="16" s="1"/>
  <c r="G313" i="16"/>
  <c r="E313" i="16"/>
  <c r="F313" i="16" s="1"/>
  <c r="E312" i="16"/>
  <c r="F312" i="16" s="1"/>
  <c r="G311" i="16"/>
  <c r="E311" i="16"/>
  <c r="F311" i="16" s="1"/>
  <c r="E310" i="16"/>
  <c r="F310" i="16" s="1"/>
  <c r="E309" i="16"/>
  <c r="F309" i="16" s="1"/>
  <c r="E308" i="16"/>
  <c r="H307" i="16" s="1"/>
  <c r="E307" i="16"/>
  <c r="F307" i="16" s="1"/>
  <c r="G306" i="16"/>
  <c r="E306" i="16"/>
  <c r="F306" i="16" s="1"/>
  <c r="E305" i="16"/>
  <c r="F305" i="16" s="1"/>
  <c r="G304" i="16"/>
  <c r="E304" i="16"/>
  <c r="F304" i="16" s="1"/>
  <c r="G303" i="16"/>
  <c r="E303" i="16"/>
  <c r="F303" i="16" s="1"/>
  <c r="G302" i="16"/>
  <c r="E302" i="16"/>
  <c r="F302" i="16" s="1"/>
  <c r="G301" i="16"/>
  <c r="E301" i="16"/>
  <c r="F301" i="16" s="1"/>
  <c r="G300" i="16"/>
  <c r="E300" i="16"/>
  <c r="F300" i="16" s="1"/>
  <c r="E299" i="16"/>
  <c r="H298" i="16" s="1"/>
  <c r="E298" i="16"/>
  <c r="F298" i="16" s="1"/>
  <c r="G297" i="16"/>
  <c r="E297" i="16"/>
  <c r="F297" i="16" s="1"/>
  <c r="G296" i="16"/>
  <c r="E296" i="16"/>
  <c r="F296" i="16" s="1"/>
  <c r="G295" i="16"/>
  <c r="E295" i="16"/>
  <c r="F295" i="16" s="1"/>
  <c r="G294" i="16"/>
  <c r="E294" i="16"/>
  <c r="F294" i="16" s="1"/>
  <c r="G293" i="16"/>
  <c r="E293" i="16"/>
  <c r="F293" i="16" s="1"/>
  <c r="G292" i="16"/>
  <c r="E292" i="16"/>
  <c r="F292" i="16" s="1"/>
  <c r="G291" i="16"/>
  <c r="E291" i="16"/>
  <c r="F291" i="16" s="1"/>
  <c r="G290" i="16"/>
  <c r="E290" i="16"/>
  <c r="F290" i="16" s="1"/>
  <c r="G289" i="16"/>
  <c r="E289" i="16"/>
  <c r="F289" i="16" s="1"/>
  <c r="E288" i="16"/>
  <c r="H287" i="16" s="1"/>
  <c r="E287" i="16"/>
  <c r="F287" i="16" s="1"/>
  <c r="G286" i="16"/>
  <c r="E286" i="16"/>
  <c r="F286" i="16" s="1"/>
  <c r="G285" i="16"/>
  <c r="E285" i="16"/>
  <c r="F285" i="16" s="1"/>
  <c r="G284" i="16"/>
  <c r="E284" i="16"/>
  <c r="F284" i="16" s="1"/>
  <c r="G283" i="16"/>
  <c r="F283" i="16"/>
  <c r="E283" i="16"/>
  <c r="G282" i="16"/>
  <c r="F282" i="16"/>
  <c r="E282" i="16"/>
  <c r="G281" i="16"/>
  <c r="E281" i="16"/>
  <c r="F281" i="16" s="1"/>
  <c r="G280" i="16"/>
  <c r="F280" i="16"/>
  <c r="E280" i="16"/>
  <c r="E279" i="16"/>
  <c r="F279" i="16" s="1"/>
  <c r="F278" i="16"/>
  <c r="E278" i="16"/>
  <c r="H277" i="16" s="1"/>
  <c r="E277" i="16"/>
  <c r="F277" i="16" s="1"/>
  <c r="G276" i="16"/>
  <c r="E276" i="16"/>
  <c r="F276" i="16" s="1"/>
  <c r="G275" i="16"/>
  <c r="E275" i="16"/>
  <c r="F275" i="16" s="1"/>
  <c r="G274" i="16"/>
  <c r="E274" i="16"/>
  <c r="F274" i="16" s="1"/>
  <c r="G273" i="16"/>
  <c r="E273" i="16"/>
  <c r="F273" i="16" s="1"/>
  <c r="G272" i="16"/>
  <c r="E272" i="16"/>
  <c r="F272" i="16" s="1"/>
  <c r="G271" i="16"/>
  <c r="E271" i="16"/>
  <c r="F271" i="16" s="1"/>
  <c r="G270" i="16"/>
  <c r="E270" i="16"/>
  <c r="F270" i="16" s="1"/>
  <c r="G269" i="16"/>
  <c r="E269" i="16"/>
  <c r="F269" i="16" s="1"/>
  <c r="G268" i="16"/>
  <c r="E268" i="16"/>
  <c r="F268" i="16" s="1"/>
  <c r="G267" i="16"/>
  <c r="E267" i="16"/>
  <c r="F267" i="16" s="1"/>
  <c r="G266" i="16"/>
  <c r="E266" i="16"/>
  <c r="F266" i="16" s="1"/>
  <c r="E265" i="16"/>
  <c r="F265" i="16" s="1"/>
  <c r="E264" i="16"/>
  <c r="F264" i="16" s="1"/>
  <c r="E263" i="16"/>
  <c r="F263" i="16" s="1"/>
  <c r="E262" i="16"/>
  <c r="F262" i="16" s="1"/>
  <c r="G261" i="16"/>
  <c r="E261" i="16"/>
  <c r="F261" i="16" s="1"/>
  <c r="G260" i="16"/>
  <c r="E260" i="16"/>
  <c r="F260" i="16" s="1"/>
  <c r="G259" i="16"/>
  <c r="E259" i="16"/>
  <c r="F259" i="16" s="1"/>
  <c r="G258" i="16"/>
  <c r="E258" i="16"/>
  <c r="F258" i="16" s="1"/>
  <c r="G257" i="16"/>
  <c r="E257" i="16"/>
  <c r="F257" i="16" s="1"/>
  <c r="G256" i="16"/>
  <c r="E256" i="16"/>
  <c r="F256" i="16" s="1"/>
  <c r="E255" i="16"/>
  <c r="F255" i="16" s="1"/>
  <c r="E254" i="16"/>
  <c r="H253" i="16" s="1"/>
  <c r="E253" i="16"/>
  <c r="F253" i="16" s="1"/>
  <c r="G252" i="16"/>
  <c r="E252" i="16"/>
  <c r="F252" i="16" s="1"/>
  <c r="G251" i="16"/>
  <c r="E251" i="16"/>
  <c r="F251" i="16" s="1"/>
  <c r="G250" i="16"/>
  <c r="E250" i="16"/>
  <c r="F250" i="16" s="1"/>
  <c r="G249" i="16"/>
  <c r="E249" i="16"/>
  <c r="F249" i="16" s="1"/>
  <c r="G248" i="16"/>
  <c r="E248" i="16"/>
  <c r="F248" i="16" s="1"/>
  <c r="G247" i="16"/>
  <c r="E247" i="16"/>
  <c r="F247" i="16" s="1"/>
  <c r="G246" i="16"/>
  <c r="E246" i="16"/>
  <c r="F246" i="16" s="1"/>
  <c r="E245" i="16"/>
  <c r="F245" i="16" s="1"/>
  <c r="E244" i="16"/>
  <c r="H243" i="16" s="1"/>
  <c r="E243" i="16"/>
  <c r="F243" i="16" s="1"/>
  <c r="G242" i="16"/>
  <c r="E242" i="16"/>
  <c r="F242" i="16" s="1"/>
  <c r="G241" i="16"/>
  <c r="E241" i="16"/>
  <c r="F241" i="16" s="1"/>
  <c r="G240" i="16"/>
  <c r="E240" i="16"/>
  <c r="F240" i="16" s="1"/>
  <c r="G239" i="16"/>
  <c r="E239" i="16"/>
  <c r="F239" i="16" s="1"/>
  <c r="G238" i="16"/>
  <c r="E238" i="16"/>
  <c r="F238" i="16" s="1"/>
  <c r="G237" i="16"/>
  <c r="E237" i="16"/>
  <c r="F237" i="16" s="1"/>
  <c r="E236" i="16"/>
  <c r="H235" i="16" s="1"/>
  <c r="E235" i="16"/>
  <c r="F235" i="16" s="1"/>
  <c r="G234" i="16"/>
  <c r="E234" i="16"/>
  <c r="F234" i="16" s="1"/>
  <c r="G233" i="16"/>
  <c r="E233" i="16"/>
  <c r="F233" i="16" s="1"/>
  <c r="G232" i="16"/>
  <c r="E232" i="16"/>
  <c r="F232" i="16" s="1"/>
  <c r="G231" i="16"/>
  <c r="E231" i="16"/>
  <c r="F231" i="16" s="1"/>
  <c r="G230" i="16"/>
  <c r="E230" i="16"/>
  <c r="F230" i="16" s="1"/>
  <c r="G229" i="16"/>
  <c r="E229" i="16"/>
  <c r="F229" i="16" s="1"/>
  <c r="G228" i="16"/>
  <c r="E228" i="16"/>
  <c r="F228" i="16" s="1"/>
  <c r="G227" i="16"/>
  <c r="E227" i="16"/>
  <c r="F227" i="16" s="1"/>
  <c r="G226" i="16"/>
  <c r="E226" i="16"/>
  <c r="F226" i="16" s="1"/>
  <c r="G225" i="16"/>
  <c r="E225" i="16"/>
  <c r="F225" i="16" s="1"/>
  <c r="E224" i="16"/>
  <c r="F224" i="16" s="1"/>
  <c r="E223" i="16"/>
  <c r="F223" i="16" s="1"/>
  <c r="G222" i="16"/>
  <c r="E222" i="16"/>
  <c r="F222" i="16" s="1"/>
  <c r="G221" i="16"/>
  <c r="E221" i="16"/>
  <c r="F221" i="16" s="1"/>
  <c r="G220" i="16"/>
  <c r="E220" i="16"/>
  <c r="F220" i="16" s="1"/>
  <c r="G219" i="16"/>
  <c r="E219" i="16"/>
  <c r="F219" i="16" s="1"/>
  <c r="G218" i="16"/>
  <c r="E218" i="16"/>
  <c r="F218" i="16" s="1"/>
  <c r="G217" i="16"/>
  <c r="E217" i="16"/>
  <c r="F217" i="16" s="1"/>
  <c r="G216" i="16"/>
  <c r="E216" i="16"/>
  <c r="F216" i="16" s="1"/>
  <c r="E215" i="16"/>
  <c r="H214" i="16" s="1"/>
  <c r="E214" i="16"/>
  <c r="F214" i="16" s="1"/>
  <c r="G213" i="16"/>
  <c r="E213" i="16"/>
  <c r="F213" i="16" s="1"/>
  <c r="G212" i="16"/>
  <c r="E212" i="16"/>
  <c r="F212" i="16" s="1"/>
  <c r="G211" i="16"/>
  <c r="E211" i="16"/>
  <c r="F211" i="16" s="1"/>
  <c r="G210" i="16"/>
  <c r="E210" i="16"/>
  <c r="F210" i="16" s="1"/>
  <c r="G209" i="16"/>
  <c r="E209" i="16"/>
  <c r="F209" i="16" s="1"/>
  <c r="G208" i="16"/>
  <c r="E208" i="16"/>
  <c r="F208" i="16" s="1"/>
  <c r="G207" i="16"/>
  <c r="E207" i="16"/>
  <c r="F207" i="16" s="1"/>
  <c r="G206" i="16"/>
  <c r="E206" i="16"/>
  <c r="F206" i="16" s="1"/>
  <c r="E205" i="16"/>
  <c r="F205" i="16" s="1"/>
  <c r="E204" i="16"/>
  <c r="F204" i="16" s="1"/>
  <c r="G203" i="16"/>
  <c r="E203" i="16"/>
  <c r="F203" i="16" s="1"/>
  <c r="G202" i="16"/>
  <c r="E202" i="16"/>
  <c r="F202" i="16" s="1"/>
  <c r="G201" i="16"/>
  <c r="E201" i="16"/>
  <c r="F201" i="16" s="1"/>
  <c r="G200" i="16"/>
  <c r="E200" i="16"/>
  <c r="F200" i="16" s="1"/>
  <c r="G199" i="16"/>
  <c r="E199" i="16"/>
  <c r="F199" i="16" s="1"/>
  <c r="G198" i="16"/>
  <c r="E198" i="16"/>
  <c r="F198" i="16" s="1"/>
  <c r="G197" i="16"/>
  <c r="E197" i="16"/>
  <c r="F197" i="16" s="1"/>
  <c r="G196" i="16"/>
  <c r="E196" i="16"/>
  <c r="F196" i="16" s="1"/>
  <c r="G195" i="16"/>
  <c r="E195" i="16"/>
  <c r="F195" i="16" s="1"/>
  <c r="G194" i="16"/>
  <c r="E194" i="16"/>
  <c r="F194" i="16" s="1"/>
  <c r="G193" i="16"/>
  <c r="E193" i="16"/>
  <c r="F193" i="16" s="1"/>
  <c r="G192" i="16"/>
  <c r="E192" i="16"/>
  <c r="F192" i="16" s="1"/>
  <c r="E191" i="16"/>
  <c r="F191" i="16" s="1"/>
  <c r="E190" i="16"/>
  <c r="F190" i="16" s="1"/>
  <c r="G189" i="16"/>
  <c r="E189" i="16"/>
  <c r="F189" i="16" s="1"/>
  <c r="G188" i="16"/>
  <c r="E188" i="16"/>
  <c r="F188" i="16" s="1"/>
  <c r="G187" i="16"/>
  <c r="E187" i="16"/>
  <c r="F187" i="16" s="1"/>
  <c r="G186" i="16"/>
  <c r="E186" i="16"/>
  <c r="F186" i="16" s="1"/>
  <c r="G185" i="16"/>
  <c r="E185" i="16"/>
  <c r="F185" i="16" s="1"/>
  <c r="G184" i="16"/>
  <c r="E184" i="16"/>
  <c r="F184" i="16" s="1"/>
  <c r="G183" i="16"/>
  <c r="E183" i="16"/>
  <c r="F183" i="16" s="1"/>
  <c r="G182" i="16"/>
  <c r="E182" i="16"/>
  <c r="F182" i="16" s="1"/>
  <c r="G181" i="16"/>
  <c r="E181" i="16"/>
  <c r="F181" i="16" s="1"/>
  <c r="G180" i="16"/>
  <c r="E180" i="16"/>
  <c r="F180" i="16" s="1"/>
  <c r="E179" i="16"/>
  <c r="F179" i="16" s="1"/>
  <c r="E178" i="16"/>
  <c r="F178" i="16" s="1"/>
  <c r="G177" i="16"/>
  <c r="E177" i="16"/>
  <c r="F177" i="16" s="1"/>
  <c r="G176" i="16"/>
  <c r="E176" i="16"/>
  <c r="F176" i="16" s="1"/>
  <c r="G175" i="16"/>
  <c r="E175" i="16"/>
  <c r="F175" i="16" s="1"/>
  <c r="G174" i="16"/>
  <c r="E174" i="16"/>
  <c r="F174" i="16" s="1"/>
  <c r="G173" i="16"/>
  <c r="E173" i="16"/>
  <c r="F173" i="16" s="1"/>
  <c r="G172" i="16"/>
  <c r="E172" i="16"/>
  <c r="F172" i="16" s="1"/>
  <c r="E171" i="16"/>
  <c r="F171" i="16" s="1"/>
  <c r="E170" i="16"/>
  <c r="H169" i="16" s="1"/>
  <c r="E169" i="16"/>
  <c r="F169" i="16" s="1"/>
  <c r="G168" i="16"/>
  <c r="E168" i="16"/>
  <c r="F168" i="16" s="1"/>
  <c r="G167" i="16"/>
  <c r="E167" i="16"/>
  <c r="F167" i="16" s="1"/>
  <c r="G166" i="16"/>
  <c r="E166" i="16"/>
  <c r="F166" i="16" s="1"/>
  <c r="G165" i="16"/>
  <c r="E165" i="16"/>
  <c r="F165" i="16" s="1"/>
  <c r="G164" i="16"/>
  <c r="E164" i="16"/>
  <c r="F164" i="16" s="1"/>
  <c r="G163" i="16"/>
  <c r="E163" i="16"/>
  <c r="F163" i="16" s="1"/>
  <c r="G162" i="16"/>
  <c r="E162" i="16"/>
  <c r="F162" i="16" s="1"/>
  <c r="E161" i="16"/>
  <c r="F161" i="16" s="1"/>
  <c r="E160" i="16"/>
  <c r="F160" i="16" s="1"/>
  <c r="G159" i="16"/>
  <c r="E159" i="16"/>
  <c r="F159" i="16" s="1"/>
  <c r="G158" i="16"/>
  <c r="E158" i="16"/>
  <c r="F158" i="16" s="1"/>
  <c r="G157" i="16"/>
  <c r="E157" i="16"/>
  <c r="F157" i="16" s="1"/>
  <c r="G156" i="16"/>
  <c r="E156" i="16"/>
  <c r="F156" i="16" s="1"/>
  <c r="G155" i="16"/>
  <c r="E155" i="16"/>
  <c r="F155" i="16" s="1"/>
  <c r="G154" i="16"/>
  <c r="E154" i="16"/>
  <c r="F154" i="16" s="1"/>
  <c r="G153" i="16"/>
  <c r="E153" i="16"/>
  <c r="F153" i="16" s="1"/>
  <c r="G152" i="16"/>
  <c r="E152" i="16"/>
  <c r="F152" i="16" s="1"/>
  <c r="G151" i="16"/>
  <c r="E151" i="16"/>
  <c r="F151" i="16" s="1"/>
  <c r="E150" i="16"/>
  <c r="F150" i="16" s="1"/>
  <c r="E149" i="16"/>
  <c r="F149" i="16" s="1"/>
  <c r="G148" i="16"/>
  <c r="E148" i="16"/>
  <c r="F148" i="16" s="1"/>
  <c r="G147" i="16"/>
  <c r="E147" i="16"/>
  <c r="F147" i="16" s="1"/>
  <c r="G146" i="16"/>
  <c r="E146" i="16"/>
  <c r="F146" i="16" s="1"/>
  <c r="G145" i="16"/>
  <c r="E145" i="16"/>
  <c r="F145" i="16" s="1"/>
  <c r="G144" i="16"/>
  <c r="E144" i="16"/>
  <c r="F144" i="16" s="1"/>
  <c r="E143" i="16"/>
  <c r="F143" i="16" s="1"/>
  <c r="E142" i="16"/>
  <c r="H141" i="16" s="1"/>
  <c r="G141" i="16"/>
  <c r="E141" i="16"/>
  <c r="F141" i="16" s="1"/>
  <c r="G140" i="16"/>
  <c r="E140" i="16"/>
  <c r="F140" i="16" s="1"/>
  <c r="G139" i="16"/>
  <c r="E139" i="16"/>
  <c r="F139" i="16" s="1"/>
  <c r="G138" i="16"/>
  <c r="E138" i="16"/>
  <c r="F138" i="16" s="1"/>
  <c r="G137" i="16"/>
  <c r="E137" i="16"/>
  <c r="H136" i="16" s="1"/>
  <c r="G136" i="16"/>
  <c r="E136" i="16"/>
  <c r="H135" i="16" s="1"/>
  <c r="G135" i="16"/>
  <c r="E135" i="16"/>
  <c r="H134" i="16" s="1"/>
  <c r="G134" i="16"/>
  <c r="E134" i="16"/>
  <c r="H133" i="16" s="1"/>
  <c r="G133" i="16"/>
  <c r="E133" i="16"/>
  <c r="F133" i="16" s="1"/>
  <c r="E132" i="16"/>
  <c r="F132" i="16" s="1"/>
  <c r="E131" i="16"/>
  <c r="F131" i="16" s="1"/>
  <c r="G130" i="16"/>
  <c r="E130" i="16"/>
  <c r="F130" i="16" s="1"/>
  <c r="G129" i="16"/>
  <c r="E129" i="16"/>
  <c r="F129" i="16" s="1"/>
  <c r="G128" i="16"/>
  <c r="E128" i="16"/>
  <c r="F128" i="16" s="1"/>
  <c r="G127" i="16"/>
  <c r="E127" i="16"/>
  <c r="F127" i="16" s="1"/>
  <c r="G126" i="16"/>
  <c r="E126" i="16"/>
  <c r="F126" i="16" s="1"/>
  <c r="G125" i="16"/>
  <c r="E125" i="16"/>
  <c r="F125" i="16" s="1"/>
  <c r="G124" i="16"/>
  <c r="F124" i="16"/>
  <c r="E124" i="16"/>
  <c r="G123" i="16"/>
  <c r="E123" i="16"/>
  <c r="F123" i="16" s="1"/>
  <c r="G122" i="16"/>
  <c r="E122" i="16"/>
  <c r="F122" i="16" s="1"/>
  <c r="G121" i="16"/>
  <c r="E121" i="16"/>
  <c r="F121" i="16" s="1"/>
  <c r="E120" i="16"/>
  <c r="F120" i="16" s="1"/>
  <c r="E119" i="16"/>
  <c r="F119" i="16" s="1"/>
  <c r="E118" i="16"/>
  <c r="F118" i="16" s="1"/>
  <c r="G117" i="16"/>
  <c r="E117" i="16"/>
  <c r="F117" i="16" s="1"/>
  <c r="G116" i="16"/>
  <c r="E116" i="16"/>
  <c r="F116" i="16" s="1"/>
  <c r="G115" i="16"/>
  <c r="E115" i="16"/>
  <c r="F115" i="16" s="1"/>
  <c r="G114" i="16"/>
  <c r="E114" i="16"/>
  <c r="F114" i="16" s="1"/>
  <c r="G113" i="16"/>
  <c r="E113" i="16"/>
  <c r="F113" i="16" s="1"/>
  <c r="G112" i="16"/>
  <c r="E112" i="16"/>
  <c r="F112" i="16" s="1"/>
  <c r="G111" i="16"/>
  <c r="E111" i="16"/>
  <c r="F111" i="16" s="1"/>
  <c r="G110" i="16"/>
  <c r="E110" i="16"/>
  <c r="F110" i="16" s="1"/>
  <c r="G109" i="16"/>
  <c r="E109" i="16"/>
  <c r="F109" i="16" s="1"/>
  <c r="G108" i="16"/>
  <c r="E108" i="16"/>
  <c r="F108" i="16" s="1"/>
  <c r="G107" i="16"/>
  <c r="E107" i="16"/>
  <c r="F107" i="16" s="1"/>
  <c r="G106" i="16"/>
  <c r="E106" i="16"/>
  <c r="F106" i="16" s="1"/>
  <c r="G105" i="16"/>
  <c r="E105" i="16"/>
  <c r="F105" i="16" s="1"/>
  <c r="G104" i="16"/>
  <c r="E104" i="16"/>
  <c r="F104" i="16" s="1"/>
  <c r="G103" i="16"/>
  <c r="E103" i="16"/>
  <c r="F103" i="16" s="1"/>
  <c r="E102" i="16"/>
  <c r="F102" i="16" s="1"/>
  <c r="G101" i="16"/>
  <c r="E101" i="16"/>
  <c r="F101" i="16" s="1"/>
  <c r="G100" i="16"/>
  <c r="E100" i="16"/>
  <c r="F100" i="16" s="1"/>
  <c r="G99" i="16"/>
  <c r="E99" i="16"/>
  <c r="F99" i="16" s="1"/>
  <c r="G98" i="16"/>
  <c r="E98" i="16"/>
  <c r="F98" i="16" s="1"/>
  <c r="G97" i="16"/>
  <c r="E97" i="16"/>
  <c r="F97" i="16" s="1"/>
  <c r="G96" i="16"/>
  <c r="E96" i="16"/>
  <c r="F96" i="16" s="1"/>
  <c r="G95" i="16"/>
  <c r="E95" i="16"/>
  <c r="F95" i="16" s="1"/>
  <c r="G94" i="16"/>
  <c r="E94" i="16"/>
  <c r="F94" i="16" s="1"/>
  <c r="G93" i="16"/>
  <c r="E93" i="16"/>
  <c r="F93" i="16" s="1"/>
  <c r="G92" i="16"/>
  <c r="E92" i="16"/>
  <c r="F92" i="16" s="1"/>
  <c r="G91" i="16"/>
  <c r="E91" i="16"/>
  <c r="F91" i="16" s="1"/>
  <c r="G90" i="16"/>
  <c r="E90" i="16"/>
  <c r="F90" i="16" s="1"/>
  <c r="G89" i="16"/>
  <c r="E89" i="16"/>
  <c r="F89" i="16" s="1"/>
  <c r="G88" i="16"/>
  <c r="E88" i="16"/>
  <c r="F88" i="16" s="1"/>
  <c r="E87" i="16"/>
  <c r="F87" i="16" s="1"/>
  <c r="G86" i="16"/>
  <c r="E86" i="16"/>
  <c r="F86" i="16" s="1"/>
  <c r="G85" i="16"/>
  <c r="E85" i="16"/>
  <c r="F85" i="16" s="1"/>
  <c r="G84" i="16"/>
  <c r="E84" i="16"/>
  <c r="F84" i="16" s="1"/>
  <c r="G83" i="16"/>
  <c r="E83" i="16"/>
  <c r="F83" i="16" s="1"/>
  <c r="G82" i="16"/>
  <c r="E82" i="16"/>
  <c r="F82" i="16" s="1"/>
  <c r="G81" i="16"/>
  <c r="E81" i="16"/>
  <c r="F81" i="16" s="1"/>
  <c r="G80" i="16"/>
  <c r="E80" i="16"/>
  <c r="F80" i="16" s="1"/>
  <c r="G79" i="16"/>
  <c r="E79" i="16"/>
  <c r="F79" i="16" s="1"/>
  <c r="G78" i="16"/>
  <c r="E78" i="16"/>
  <c r="F78" i="16" s="1"/>
  <c r="G77" i="16"/>
  <c r="E77" i="16"/>
  <c r="F77" i="16" s="1"/>
  <c r="G76" i="16"/>
  <c r="E76" i="16"/>
  <c r="F76" i="16" s="1"/>
  <c r="G75" i="16"/>
  <c r="E75" i="16"/>
  <c r="F75" i="16" s="1"/>
  <c r="G74" i="16"/>
  <c r="E74" i="16"/>
  <c r="F74" i="16" s="1"/>
  <c r="G73" i="16"/>
  <c r="E73" i="16"/>
  <c r="F73" i="16" s="1"/>
  <c r="G72" i="16"/>
  <c r="E72" i="16"/>
  <c r="F72" i="16" s="1"/>
  <c r="G71" i="16"/>
  <c r="E71" i="16"/>
  <c r="F71" i="16" s="1"/>
  <c r="E70" i="16"/>
  <c r="F70" i="16" s="1"/>
  <c r="N1" i="16"/>
  <c r="N2" i="16" s="1"/>
  <c r="F137" i="16" l="1"/>
  <c r="H565" i="16"/>
  <c r="H761" i="16"/>
  <c r="F142" i="16"/>
  <c r="F356" i="16"/>
  <c r="F462" i="16"/>
  <c r="F505" i="16"/>
  <c r="F798" i="16"/>
  <c r="H142" i="16"/>
  <c r="H740" i="16"/>
  <c r="H395" i="16"/>
  <c r="H516" i="16"/>
  <c r="F452" i="16"/>
  <c r="H131" i="16"/>
  <c r="H263" i="16"/>
  <c r="H489" i="16"/>
  <c r="F170" i="16"/>
  <c r="F288" i="16"/>
  <c r="H816" i="16"/>
  <c r="F615" i="16"/>
  <c r="F134" i="16"/>
  <c r="F441" i="16"/>
  <c r="F299" i="16"/>
  <c r="H657" i="16"/>
  <c r="F691" i="16"/>
  <c r="F807" i="16"/>
  <c r="F334" i="16"/>
  <c r="V85" i="5"/>
  <c r="F135" i="16"/>
  <c r="H190" i="16"/>
  <c r="F236" i="16"/>
  <c r="F668" i="16"/>
  <c r="H204" i="16"/>
  <c r="H140" i="16"/>
  <c r="F432" i="16"/>
  <c r="H139" i="16"/>
  <c r="H138" i="16"/>
  <c r="F527" i="16"/>
  <c r="F136" i="16"/>
  <c r="H137" i="16"/>
  <c r="F636" i="16"/>
  <c r="H132" i="16"/>
  <c r="V87" i="5"/>
  <c r="F215" i="16"/>
  <c r="V80" i="5"/>
  <c r="V83" i="5"/>
  <c r="V88" i="5"/>
  <c r="V81" i="5"/>
  <c r="V84" i="5"/>
  <c r="V86" i="5"/>
  <c r="V89" i="5"/>
  <c r="V82" i="5"/>
  <c r="J112" i="16"/>
  <c r="K112" i="16" s="1"/>
  <c r="J104" i="16"/>
  <c r="K104" i="16" s="1"/>
  <c r="J408" i="16"/>
  <c r="K408" i="16" s="1"/>
  <c r="J378" i="16"/>
  <c r="K378" i="16" s="1"/>
  <c r="J314" i="16"/>
  <c r="K314" i="16" s="1"/>
  <c r="J271" i="16"/>
  <c r="K271" i="16" s="1"/>
  <c r="J270" i="16"/>
  <c r="K270" i="16" s="1"/>
  <c r="J103" i="16"/>
  <c r="K103" i="16" s="1"/>
  <c r="J367" i="16"/>
  <c r="K367" i="16" s="1"/>
  <c r="J226" i="16"/>
  <c r="K226" i="16" s="1"/>
  <c r="J450" i="16"/>
  <c r="K450" i="16" s="1"/>
  <c r="J356" i="16"/>
  <c r="K356" i="16" s="1"/>
  <c r="J224" i="16"/>
  <c r="K224" i="16" s="1"/>
  <c r="J89" i="16"/>
  <c r="K89" i="16" s="1"/>
  <c r="J443" i="16"/>
  <c r="K443" i="16" s="1"/>
  <c r="J327" i="16"/>
  <c r="K327" i="16" s="1"/>
  <c r="J159" i="16"/>
  <c r="K159" i="16" s="1"/>
  <c r="J73" i="16"/>
  <c r="K73" i="16" s="1"/>
  <c r="J442" i="16"/>
  <c r="K442" i="16" s="1"/>
  <c r="J323" i="16"/>
  <c r="K323" i="16" s="1"/>
  <c r="J154" i="16"/>
  <c r="K154" i="16" s="1"/>
  <c r="J130" i="16"/>
  <c r="K130" i="16" s="1"/>
  <c r="J421" i="16"/>
  <c r="K421" i="16" s="1"/>
  <c r="J769" i="16"/>
  <c r="K769" i="16" s="1"/>
  <c r="J128" i="16"/>
  <c r="K128" i="16" s="1"/>
  <c r="J410" i="16"/>
  <c r="K410" i="16" s="1"/>
  <c r="J284" i="16"/>
  <c r="K284" i="16" s="1"/>
  <c r="J767" i="16"/>
  <c r="K767" i="16" s="1"/>
  <c r="J88" i="16"/>
  <c r="K88" i="16" s="1"/>
  <c r="J127" i="16"/>
  <c r="K127" i="16" s="1"/>
  <c r="J98" i="16"/>
  <c r="K98" i="16" s="1"/>
  <c r="J435" i="16"/>
  <c r="K435" i="16" s="1"/>
  <c r="J399" i="16"/>
  <c r="K399" i="16" s="1"/>
  <c r="J355" i="16"/>
  <c r="K355" i="16" s="1"/>
  <c r="J312" i="16"/>
  <c r="K312" i="16" s="1"/>
  <c r="J263" i="16"/>
  <c r="K263" i="16" s="1"/>
  <c r="J211" i="16"/>
  <c r="K211" i="16" s="1"/>
  <c r="J138" i="16"/>
  <c r="K138" i="16" s="1"/>
  <c r="J735" i="16"/>
  <c r="K735" i="16" s="1"/>
  <c r="J83" i="16"/>
  <c r="K83" i="16" s="1"/>
  <c r="J120" i="16"/>
  <c r="K120" i="16" s="1"/>
  <c r="J96" i="16"/>
  <c r="K96" i="16" s="1"/>
  <c r="J434" i="16"/>
  <c r="K434" i="16" s="1"/>
  <c r="J398" i="16"/>
  <c r="K398" i="16" s="1"/>
  <c r="J348" i="16"/>
  <c r="K348" i="16" s="1"/>
  <c r="J302" i="16"/>
  <c r="K302" i="16" s="1"/>
  <c r="J259" i="16"/>
  <c r="K259" i="16" s="1"/>
  <c r="J203" i="16"/>
  <c r="K203" i="16" s="1"/>
  <c r="J475" i="16"/>
  <c r="K475" i="16" s="1"/>
  <c r="J726" i="16"/>
  <c r="K726" i="16" s="1"/>
  <c r="J81" i="16"/>
  <c r="K81" i="16" s="1"/>
  <c r="J119" i="16"/>
  <c r="K119" i="16" s="1"/>
  <c r="J95" i="16"/>
  <c r="K95" i="16" s="1"/>
  <c r="J429" i="16"/>
  <c r="K429" i="16" s="1"/>
  <c r="J387" i="16"/>
  <c r="K387" i="16" s="1"/>
  <c r="J344" i="16"/>
  <c r="K344" i="16" s="1"/>
  <c r="J295" i="16"/>
  <c r="K295" i="16" s="1"/>
  <c r="J252" i="16"/>
  <c r="K252" i="16" s="1"/>
  <c r="J200" i="16"/>
  <c r="K200" i="16" s="1"/>
  <c r="J838" i="16"/>
  <c r="K838" i="16" s="1"/>
  <c r="J679" i="16"/>
  <c r="K679" i="16" s="1"/>
  <c r="J80" i="16"/>
  <c r="K80" i="16" s="1"/>
  <c r="J114" i="16"/>
  <c r="K114" i="16" s="1"/>
  <c r="J451" i="16"/>
  <c r="K451" i="16" s="1"/>
  <c r="J426" i="16"/>
  <c r="K426" i="16" s="1"/>
  <c r="J380" i="16"/>
  <c r="K380" i="16" s="1"/>
  <c r="J338" i="16"/>
  <c r="K338" i="16" s="1"/>
  <c r="J292" i="16"/>
  <c r="K292" i="16" s="1"/>
  <c r="J242" i="16"/>
  <c r="K242" i="16" s="1"/>
  <c r="J191" i="16"/>
  <c r="K191" i="16" s="1"/>
  <c r="J822" i="16"/>
  <c r="K822" i="16" s="1"/>
  <c r="J665" i="16"/>
  <c r="K665" i="16" s="1"/>
  <c r="J239" i="16"/>
  <c r="K239" i="16" s="1"/>
  <c r="J186" i="16"/>
  <c r="K186" i="16" s="1"/>
  <c r="J815" i="16"/>
  <c r="K815" i="16" s="1"/>
  <c r="J622" i="16"/>
  <c r="K622" i="16" s="1"/>
  <c r="J72" i="16"/>
  <c r="K72" i="16" s="1"/>
  <c r="J111" i="16"/>
  <c r="K111" i="16" s="1"/>
  <c r="J445" i="16"/>
  <c r="K445" i="16" s="1"/>
  <c r="J412" i="16"/>
  <c r="K412" i="16" s="1"/>
  <c r="J370" i="16"/>
  <c r="K370" i="16" s="1"/>
  <c r="J324" i="16"/>
  <c r="K324" i="16" s="1"/>
  <c r="J282" i="16"/>
  <c r="K282" i="16" s="1"/>
  <c r="J238" i="16"/>
  <c r="K238" i="16" s="1"/>
  <c r="J168" i="16"/>
  <c r="K168" i="16" s="1"/>
  <c r="J806" i="16"/>
  <c r="K806" i="16" s="1"/>
  <c r="J614" i="16"/>
  <c r="K614" i="16" s="1"/>
  <c r="J82" i="16"/>
  <c r="K82" i="16" s="1"/>
  <c r="J129" i="16"/>
  <c r="K129" i="16" s="1"/>
  <c r="J113" i="16"/>
  <c r="K113" i="16" s="1"/>
  <c r="J97" i="16"/>
  <c r="K97" i="16" s="1"/>
  <c r="J444" i="16"/>
  <c r="K444" i="16" s="1"/>
  <c r="J427" i="16"/>
  <c r="K427" i="16" s="1"/>
  <c r="J402" i="16"/>
  <c r="K402" i="16" s="1"/>
  <c r="J376" i="16"/>
  <c r="K376" i="16" s="1"/>
  <c r="J346" i="16"/>
  <c r="K346" i="16" s="1"/>
  <c r="J316" i="16"/>
  <c r="K316" i="16" s="1"/>
  <c r="J291" i="16"/>
  <c r="K291" i="16" s="1"/>
  <c r="J260" i="16"/>
  <c r="K260" i="16" s="1"/>
  <c r="J230" i="16"/>
  <c r="K230" i="16" s="1"/>
  <c r="J199" i="16"/>
  <c r="K199" i="16" s="1"/>
  <c r="J152" i="16"/>
  <c r="K152" i="16" s="1"/>
  <c r="J817" i="16"/>
  <c r="K817" i="16" s="1"/>
  <c r="J737" i="16"/>
  <c r="K737" i="16" s="1"/>
  <c r="J638" i="16"/>
  <c r="K638" i="16" s="1"/>
  <c r="J91" i="16"/>
  <c r="K91" i="16" s="1"/>
  <c r="J75" i="16"/>
  <c r="K75" i="16" s="1"/>
  <c r="J122" i="16"/>
  <c r="K122" i="16" s="1"/>
  <c r="J106" i="16"/>
  <c r="K106" i="16" s="1"/>
  <c r="J453" i="16"/>
  <c r="K453" i="16" s="1"/>
  <c r="J437" i="16"/>
  <c r="K437" i="16" s="1"/>
  <c r="J419" i="16"/>
  <c r="K419" i="16" s="1"/>
  <c r="J391" i="16"/>
  <c r="K391" i="16" s="1"/>
  <c r="J366" i="16"/>
  <c r="K366" i="16" s="1"/>
  <c r="J335" i="16"/>
  <c r="K335" i="16" s="1"/>
  <c r="J306" i="16"/>
  <c r="K306" i="16" s="1"/>
  <c r="J280" i="16"/>
  <c r="K280" i="16" s="1"/>
  <c r="J250" i="16"/>
  <c r="K250" i="16" s="1"/>
  <c r="J216" i="16"/>
  <c r="K216" i="16" s="1"/>
  <c r="J184" i="16"/>
  <c r="K184" i="16" s="1"/>
  <c r="J473" i="16"/>
  <c r="K473" i="16" s="1"/>
  <c r="J799" i="16"/>
  <c r="K799" i="16" s="1"/>
  <c r="J721" i="16"/>
  <c r="K721" i="16" s="1"/>
  <c r="J607" i="16"/>
  <c r="K607" i="16" s="1"/>
  <c r="J90" i="16"/>
  <c r="K90" i="16" s="1"/>
  <c r="J74" i="16"/>
  <c r="K74" i="16" s="1"/>
  <c r="J121" i="16"/>
  <c r="K121" i="16" s="1"/>
  <c r="J105" i="16"/>
  <c r="K105" i="16" s="1"/>
  <c r="J452" i="16"/>
  <c r="K452" i="16" s="1"/>
  <c r="J436" i="16"/>
  <c r="K436" i="16" s="1"/>
  <c r="J418" i="16"/>
  <c r="K418" i="16" s="1"/>
  <c r="J388" i="16"/>
  <c r="K388" i="16" s="1"/>
  <c r="J359" i="16"/>
  <c r="K359" i="16" s="1"/>
  <c r="J334" i="16"/>
  <c r="K334" i="16" s="1"/>
  <c r="J303" i="16"/>
  <c r="K303" i="16" s="1"/>
  <c r="J274" i="16"/>
  <c r="K274" i="16" s="1"/>
  <c r="J248" i="16"/>
  <c r="K248" i="16" s="1"/>
  <c r="J214" i="16"/>
  <c r="K214" i="16" s="1"/>
  <c r="J175" i="16"/>
  <c r="K175" i="16" s="1"/>
  <c r="J464" i="16"/>
  <c r="K464" i="16" s="1"/>
  <c r="J783" i="16"/>
  <c r="K783" i="16" s="1"/>
  <c r="J687" i="16"/>
  <c r="K687" i="16" s="1"/>
  <c r="J518" i="16"/>
  <c r="K518" i="16" s="1"/>
  <c r="J459" i="16"/>
  <c r="K459" i="16" s="1"/>
  <c r="J774" i="16"/>
  <c r="K774" i="16" s="1"/>
  <c r="J681" i="16"/>
  <c r="K681" i="16" s="1"/>
  <c r="J511" i="16"/>
  <c r="K511" i="16" s="1"/>
  <c r="J143" i="16"/>
  <c r="K143" i="16" s="1"/>
  <c r="J457" i="16"/>
  <c r="K457" i="16" s="1"/>
  <c r="J801" i="16"/>
  <c r="K801" i="16" s="1"/>
  <c r="J758" i="16"/>
  <c r="K758" i="16" s="1"/>
  <c r="J719" i="16"/>
  <c r="K719" i="16" s="1"/>
  <c r="J662" i="16"/>
  <c r="K662" i="16" s="1"/>
  <c r="J582" i="16"/>
  <c r="K582" i="16" s="1"/>
  <c r="J753" i="16"/>
  <c r="K753" i="16" s="1"/>
  <c r="J710" i="16"/>
  <c r="K710" i="16" s="1"/>
  <c r="J657" i="16"/>
  <c r="K657" i="16" s="1"/>
  <c r="J575" i="16"/>
  <c r="K575" i="16" s="1"/>
  <c r="J136" i="16"/>
  <c r="K136" i="16" s="1"/>
  <c r="J833" i="16"/>
  <c r="K833" i="16" s="1"/>
  <c r="J790" i="16"/>
  <c r="K790" i="16" s="1"/>
  <c r="J751" i="16"/>
  <c r="K751" i="16" s="1"/>
  <c r="J703" i="16"/>
  <c r="K703" i="16" s="1"/>
  <c r="J646" i="16"/>
  <c r="K646" i="16" s="1"/>
  <c r="J550" i="16"/>
  <c r="K550" i="16" s="1"/>
  <c r="J170" i="16"/>
  <c r="K170" i="16" s="1"/>
  <c r="J480" i="16"/>
  <c r="K480" i="16" s="1"/>
  <c r="J831" i="16"/>
  <c r="K831" i="16" s="1"/>
  <c r="J785" i="16"/>
  <c r="K785" i="16" s="1"/>
  <c r="J742" i="16"/>
  <c r="K742" i="16" s="1"/>
  <c r="J702" i="16"/>
  <c r="K702" i="16" s="1"/>
  <c r="J639" i="16"/>
  <c r="K639" i="16" s="1"/>
  <c r="J543" i="16"/>
  <c r="K543" i="16" s="1"/>
  <c r="J87" i="16"/>
  <c r="K87" i="16" s="1"/>
  <c r="J79" i="16"/>
  <c r="K79" i="16" s="1"/>
  <c r="J71" i="16"/>
  <c r="K71" i="16" s="1"/>
  <c r="J126" i="16"/>
  <c r="K126" i="16" s="1"/>
  <c r="J118" i="16"/>
  <c r="K118" i="16" s="1"/>
  <c r="J110" i="16"/>
  <c r="K110" i="16" s="1"/>
  <c r="J102" i="16"/>
  <c r="K102" i="16" s="1"/>
  <c r="J94" i="16"/>
  <c r="K94" i="16" s="1"/>
  <c r="J449" i="16"/>
  <c r="K449" i="16" s="1"/>
  <c r="J441" i="16"/>
  <c r="K441" i="16" s="1"/>
  <c r="J433" i="16"/>
  <c r="K433" i="16" s="1"/>
  <c r="J425" i="16"/>
  <c r="K425" i="16" s="1"/>
  <c r="J417" i="16"/>
  <c r="K417" i="16" s="1"/>
  <c r="J407" i="16"/>
  <c r="K407" i="16" s="1"/>
  <c r="J396" i="16"/>
  <c r="K396" i="16" s="1"/>
  <c r="J386" i="16"/>
  <c r="K386" i="16" s="1"/>
  <c r="J375" i="16"/>
  <c r="K375" i="16" s="1"/>
  <c r="J364" i="16"/>
  <c r="K364" i="16" s="1"/>
  <c r="J354" i="16"/>
  <c r="K354" i="16" s="1"/>
  <c r="J343" i="16"/>
  <c r="K343" i="16" s="1"/>
  <c r="J332" i="16"/>
  <c r="K332" i="16" s="1"/>
  <c r="J322" i="16"/>
  <c r="K322" i="16" s="1"/>
  <c r="J311" i="16"/>
  <c r="K311" i="16" s="1"/>
  <c r="J300" i="16"/>
  <c r="K300" i="16" s="1"/>
  <c r="J290" i="16"/>
  <c r="K290" i="16" s="1"/>
  <c r="J279" i="16"/>
  <c r="K279" i="16" s="1"/>
  <c r="J268" i="16"/>
  <c r="K268" i="16" s="1"/>
  <c r="J258" i="16"/>
  <c r="K258" i="16" s="1"/>
  <c r="J247" i="16"/>
  <c r="K247" i="16" s="1"/>
  <c r="J235" i="16"/>
  <c r="K235" i="16" s="1"/>
  <c r="J223" i="16"/>
  <c r="K223" i="16" s="1"/>
  <c r="J210" i="16"/>
  <c r="K210" i="16" s="1"/>
  <c r="J198" i="16"/>
  <c r="K198" i="16" s="1"/>
  <c r="J183" i="16"/>
  <c r="K183" i="16" s="1"/>
  <c r="J167" i="16"/>
  <c r="K167" i="16" s="1"/>
  <c r="J151" i="16"/>
  <c r="K151" i="16" s="1"/>
  <c r="J135" i="16"/>
  <c r="K135" i="16" s="1"/>
  <c r="J472" i="16"/>
  <c r="K472" i="16" s="1"/>
  <c r="J846" i="16"/>
  <c r="K846" i="16" s="1"/>
  <c r="J830" i="16"/>
  <c r="K830" i="16" s="1"/>
  <c r="J814" i="16"/>
  <c r="K814" i="16" s="1"/>
  <c r="J798" i="16"/>
  <c r="K798" i="16" s="1"/>
  <c r="J782" i="16"/>
  <c r="K782" i="16" s="1"/>
  <c r="J766" i="16"/>
  <c r="K766" i="16" s="1"/>
  <c r="J750" i="16"/>
  <c r="K750" i="16" s="1"/>
  <c r="J734" i="16"/>
  <c r="K734" i="16" s="1"/>
  <c r="J718" i="16"/>
  <c r="K718" i="16" s="1"/>
  <c r="J697" i="16"/>
  <c r="K697" i="16" s="1"/>
  <c r="J678" i="16"/>
  <c r="K678" i="16" s="1"/>
  <c r="J655" i="16"/>
  <c r="K655" i="16" s="1"/>
  <c r="J633" i="16"/>
  <c r="K633" i="16" s="1"/>
  <c r="J606" i="16"/>
  <c r="K606" i="16" s="1"/>
  <c r="J574" i="16"/>
  <c r="K574" i="16" s="1"/>
  <c r="J542" i="16"/>
  <c r="K542" i="16" s="1"/>
  <c r="J510" i="16"/>
  <c r="K510" i="16" s="1"/>
  <c r="J70" i="16"/>
  <c r="K70" i="16" s="1"/>
  <c r="J86" i="16"/>
  <c r="K86" i="16" s="1"/>
  <c r="J78" i="16"/>
  <c r="K78" i="16" s="1"/>
  <c r="J133" i="16"/>
  <c r="K133" i="16" s="1"/>
  <c r="J125" i="16"/>
  <c r="K125" i="16" s="1"/>
  <c r="J117" i="16"/>
  <c r="K117" i="16" s="1"/>
  <c r="J109" i="16"/>
  <c r="K109" i="16" s="1"/>
  <c r="J101" i="16"/>
  <c r="K101" i="16" s="1"/>
  <c r="J456" i="16"/>
  <c r="K456" i="16" s="1"/>
  <c r="J448" i="16"/>
  <c r="K448" i="16" s="1"/>
  <c r="J440" i="16"/>
  <c r="K440" i="16" s="1"/>
  <c r="J432" i="16"/>
  <c r="K432" i="16" s="1"/>
  <c r="J424" i="16"/>
  <c r="K424" i="16" s="1"/>
  <c r="J416" i="16"/>
  <c r="K416" i="16" s="1"/>
  <c r="J406" i="16"/>
  <c r="K406" i="16" s="1"/>
  <c r="J395" i="16"/>
  <c r="K395" i="16" s="1"/>
  <c r="J384" i="16"/>
  <c r="K384" i="16" s="1"/>
  <c r="J374" i="16"/>
  <c r="K374" i="16" s="1"/>
  <c r="J363" i="16"/>
  <c r="K363" i="16" s="1"/>
  <c r="J352" i="16"/>
  <c r="K352" i="16" s="1"/>
  <c r="J342" i="16"/>
  <c r="K342" i="16" s="1"/>
  <c r="J331" i="16"/>
  <c r="K331" i="16" s="1"/>
  <c r="J320" i="16"/>
  <c r="K320" i="16" s="1"/>
  <c r="J310" i="16"/>
  <c r="K310" i="16" s="1"/>
  <c r="J299" i="16"/>
  <c r="K299" i="16" s="1"/>
  <c r="J288" i="16"/>
  <c r="K288" i="16" s="1"/>
  <c r="J278" i="16"/>
  <c r="K278" i="16" s="1"/>
  <c r="J267" i="16"/>
  <c r="K267" i="16" s="1"/>
  <c r="J256" i="16"/>
  <c r="K256" i="16" s="1"/>
  <c r="J246" i="16"/>
  <c r="K246" i="16" s="1"/>
  <c r="J234" i="16"/>
  <c r="K234" i="16" s="1"/>
  <c r="J222" i="16"/>
  <c r="K222" i="16" s="1"/>
  <c r="J208" i="16"/>
  <c r="K208" i="16" s="1"/>
  <c r="J195" i="16"/>
  <c r="K195" i="16" s="1"/>
  <c r="J182" i="16"/>
  <c r="K182" i="16" s="1"/>
  <c r="J166" i="16"/>
  <c r="K166" i="16" s="1"/>
  <c r="J150" i="16"/>
  <c r="K150" i="16" s="1"/>
  <c r="J134" i="16"/>
  <c r="K134" i="16" s="1"/>
  <c r="J471" i="16"/>
  <c r="K471" i="16" s="1"/>
  <c r="J845" i="16"/>
  <c r="K845" i="16" s="1"/>
  <c r="J829" i="16"/>
  <c r="K829" i="16" s="1"/>
  <c r="J813" i="16"/>
  <c r="K813" i="16" s="1"/>
  <c r="J797" i="16"/>
  <c r="K797" i="16" s="1"/>
  <c r="J781" i="16"/>
  <c r="K781" i="16" s="1"/>
  <c r="J765" i="16"/>
  <c r="K765" i="16" s="1"/>
  <c r="J749" i="16"/>
  <c r="K749" i="16" s="1"/>
  <c r="J733" i="16"/>
  <c r="K733" i="16" s="1"/>
  <c r="J717" i="16"/>
  <c r="K717" i="16" s="1"/>
  <c r="J695" i="16"/>
  <c r="K695" i="16" s="1"/>
  <c r="J673" i="16"/>
  <c r="K673" i="16" s="1"/>
  <c r="J654" i="16"/>
  <c r="K654" i="16" s="1"/>
  <c r="J631" i="16"/>
  <c r="K631" i="16" s="1"/>
  <c r="J599" i="16"/>
  <c r="K599" i="16" s="1"/>
  <c r="J567" i="16"/>
  <c r="K567" i="16" s="1"/>
  <c r="J535" i="16"/>
  <c r="K535" i="16" s="1"/>
  <c r="J503" i="16"/>
  <c r="K503" i="16" s="1"/>
  <c r="J93" i="16"/>
  <c r="K93" i="16" s="1"/>
  <c r="J85" i="16"/>
  <c r="K85" i="16" s="1"/>
  <c r="J77" i="16"/>
  <c r="K77" i="16" s="1"/>
  <c r="J132" i="16"/>
  <c r="K132" i="16" s="1"/>
  <c r="J124" i="16"/>
  <c r="K124" i="16" s="1"/>
  <c r="J116" i="16"/>
  <c r="K116" i="16" s="1"/>
  <c r="J108" i="16"/>
  <c r="K108" i="16" s="1"/>
  <c r="J100" i="16"/>
  <c r="K100" i="16" s="1"/>
  <c r="J455" i="16"/>
  <c r="K455" i="16" s="1"/>
  <c r="J447" i="16"/>
  <c r="K447" i="16" s="1"/>
  <c r="J439" i="16"/>
  <c r="K439" i="16" s="1"/>
  <c r="J431" i="16"/>
  <c r="K431" i="16" s="1"/>
  <c r="J423" i="16"/>
  <c r="K423" i="16" s="1"/>
  <c r="J415" i="16"/>
  <c r="K415" i="16" s="1"/>
  <c r="J404" i="16"/>
  <c r="K404" i="16" s="1"/>
  <c r="J394" i="16"/>
  <c r="K394" i="16" s="1"/>
  <c r="J383" i="16"/>
  <c r="K383" i="16" s="1"/>
  <c r="J372" i="16"/>
  <c r="K372" i="16" s="1"/>
  <c r="J362" i="16"/>
  <c r="K362" i="16" s="1"/>
  <c r="J351" i="16"/>
  <c r="K351" i="16" s="1"/>
  <c r="J340" i="16"/>
  <c r="K340" i="16" s="1"/>
  <c r="J330" i="16"/>
  <c r="K330" i="16" s="1"/>
  <c r="J319" i="16"/>
  <c r="K319" i="16" s="1"/>
  <c r="J308" i="16"/>
  <c r="K308" i="16" s="1"/>
  <c r="J298" i="16"/>
  <c r="K298" i="16" s="1"/>
  <c r="J287" i="16"/>
  <c r="K287" i="16" s="1"/>
  <c r="J276" i="16"/>
  <c r="K276" i="16" s="1"/>
  <c r="J266" i="16"/>
  <c r="K266" i="16" s="1"/>
  <c r="J255" i="16"/>
  <c r="K255" i="16" s="1"/>
  <c r="J244" i="16"/>
  <c r="K244" i="16" s="1"/>
  <c r="J232" i="16"/>
  <c r="K232" i="16" s="1"/>
  <c r="J219" i="16"/>
  <c r="K219" i="16" s="1"/>
  <c r="J207" i="16"/>
  <c r="K207" i="16" s="1"/>
  <c r="J194" i="16"/>
  <c r="K194" i="16" s="1"/>
  <c r="J178" i="16"/>
  <c r="K178" i="16" s="1"/>
  <c r="J162" i="16"/>
  <c r="K162" i="16" s="1"/>
  <c r="J146" i="16"/>
  <c r="K146" i="16" s="1"/>
  <c r="J483" i="16"/>
  <c r="K483" i="16" s="1"/>
  <c r="J467" i="16"/>
  <c r="K467" i="16" s="1"/>
  <c r="J841" i="16"/>
  <c r="K841" i="16" s="1"/>
  <c r="J825" i="16"/>
  <c r="K825" i="16" s="1"/>
  <c r="J809" i="16"/>
  <c r="K809" i="16" s="1"/>
  <c r="J793" i="16"/>
  <c r="K793" i="16" s="1"/>
  <c r="J777" i="16"/>
  <c r="K777" i="16" s="1"/>
  <c r="J761" i="16"/>
  <c r="K761" i="16" s="1"/>
  <c r="J745" i="16"/>
  <c r="K745" i="16" s="1"/>
  <c r="J729" i="16"/>
  <c r="K729" i="16" s="1"/>
  <c r="J713" i="16"/>
  <c r="K713" i="16" s="1"/>
  <c r="J694" i="16"/>
  <c r="K694" i="16" s="1"/>
  <c r="J671" i="16"/>
  <c r="K671" i="16" s="1"/>
  <c r="J649" i="16"/>
  <c r="K649" i="16" s="1"/>
  <c r="J630" i="16"/>
  <c r="K630" i="16" s="1"/>
  <c r="J598" i="16"/>
  <c r="K598" i="16" s="1"/>
  <c r="J566" i="16"/>
  <c r="K566" i="16" s="1"/>
  <c r="J534" i="16"/>
  <c r="K534" i="16" s="1"/>
  <c r="J502" i="16"/>
  <c r="K502" i="16" s="1"/>
  <c r="J92" i="16"/>
  <c r="K92" i="16" s="1"/>
  <c r="J84" i="16"/>
  <c r="K84" i="16" s="1"/>
  <c r="J76" i="16"/>
  <c r="K76" i="16" s="1"/>
  <c r="J131" i="16"/>
  <c r="K131" i="16" s="1"/>
  <c r="J123" i="16"/>
  <c r="K123" i="16" s="1"/>
  <c r="J115" i="16"/>
  <c r="K115" i="16" s="1"/>
  <c r="J107" i="16"/>
  <c r="K107" i="16" s="1"/>
  <c r="J99" i="16"/>
  <c r="K99" i="16" s="1"/>
  <c r="J454" i="16"/>
  <c r="K454" i="16" s="1"/>
  <c r="J446" i="16"/>
  <c r="K446" i="16" s="1"/>
  <c r="J438" i="16"/>
  <c r="K438" i="16" s="1"/>
  <c r="J430" i="16"/>
  <c r="K430" i="16" s="1"/>
  <c r="J422" i="16"/>
  <c r="K422" i="16" s="1"/>
  <c r="J414" i="16"/>
  <c r="K414" i="16" s="1"/>
  <c r="J403" i="16"/>
  <c r="K403" i="16" s="1"/>
  <c r="J392" i="16"/>
  <c r="K392" i="16" s="1"/>
  <c r="J382" i="16"/>
  <c r="K382" i="16" s="1"/>
  <c r="J371" i="16"/>
  <c r="K371" i="16" s="1"/>
  <c r="J360" i="16"/>
  <c r="K360" i="16" s="1"/>
  <c r="J350" i="16"/>
  <c r="K350" i="16" s="1"/>
  <c r="J339" i="16"/>
  <c r="K339" i="16" s="1"/>
  <c r="J328" i="16"/>
  <c r="K328" i="16" s="1"/>
  <c r="J318" i="16"/>
  <c r="K318" i="16" s="1"/>
  <c r="J307" i="16"/>
  <c r="K307" i="16" s="1"/>
  <c r="J296" i="16"/>
  <c r="K296" i="16" s="1"/>
  <c r="J286" i="16"/>
  <c r="K286" i="16" s="1"/>
  <c r="J275" i="16"/>
  <c r="K275" i="16" s="1"/>
  <c r="J264" i="16"/>
  <c r="K264" i="16" s="1"/>
  <c r="J254" i="16"/>
  <c r="K254" i="16" s="1"/>
  <c r="J243" i="16"/>
  <c r="K243" i="16" s="1"/>
  <c r="J231" i="16"/>
  <c r="K231" i="16" s="1"/>
  <c r="J218" i="16"/>
  <c r="K218" i="16" s="1"/>
  <c r="J206" i="16"/>
  <c r="K206" i="16" s="1"/>
  <c r="J192" i="16"/>
  <c r="K192" i="16" s="1"/>
  <c r="J176" i="16"/>
  <c r="K176" i="16" s="1"/>
  <c r="J160" i="16"/>
  <c r="K160" i="16" s="1"/>
  <c r="J144" i="16"/>
  <c r="K144" i="16" s="1"/>
  <c r="J481" i="16"/>
  <c r="K481" i="16" s="1"/>
  <c r="J465" i="16"/>
  <c r="K465" i="16" s="1"/>
  <c r="J839" i="16"/>
  <c r="K839" i="16" s="1"/>
  <c r="J823" i="16"/>
  <c r="K823" i="16" s="1"/>
  <c r="J807" i="16"/>
  <c r="K807" i="16" s="1"/>
  <c r="J791" i="16"/>
  <c r="K791" i="16" s="1"/>
  <c r="J775" i="16"/>
  <c r="K775" i="16" s="1"/>
  <c r="J759" i="16"/>
  <c r="K759" i="16" s="1"/>
  <c r="J743" i="16"/>
  <c r="K743" i="16" s="1"/>
  <c r="J727" i="16"/>
  <c r="K727" i="16" s="1"/>
  <c r="J711" i="16"/>
  <c r="K711" i="16" s="1"/>
  <c r="J689" i="16"/>
  <c r="K689" i="16" s="1"/>
  <c r="J670" i="16"/>
  <c r="K670" i="16" s="1"/>
  <c r="J647" i="16"/>
  <c r="K647" i="16" s="1"/>
  <c r="J623" i="16"/>
  <c r="K623" i="16" s="1"/>
  <c r="J591" i="16"/>
  <c r="K591" i="16" s="1"/>
  <c r="J559" i="16"/>
  <c r="K559" i="16" s="1"/>
  <c r="J527" i="16"/>
  <c r="K527" i="16" s="1"/>
  <c r="J495" i="16"/>
  <c r="K495" i="16" s="1"/>
  <c r="J590" i="16"/>
  <c r="K590" i="16" s="1"/>
  <c r="J558" i="16"/>
  <c r="K558" i="16" s="1"/>
  <c r="J526" i="16"/>
  <c r="K526" i="16" s="1"/>
  <c r="J494" i="16"/>
  <c r="K494" i="16" s="1"/>
  <c r="J428" i="16"/>
  <c r="K428" i="16" s="1"/>
  <c r="J420" i="16"/>
  <c r="K420" i="16" s="1"/>
  <c r="J411" i="16"/>
  <c r="K411" i="16" s="1"/>
  <c r="J400" i="16"/>
  <c r="K400" i="16" s="1"/>
  <c r="J390" i="16"/>
  <c r="K390" i="16" s="1"/>
  <c r="J379" i="16"/>
  <c r="K379" i="16" s="1"/>
  <c r="J368" i="16"/>
  <c r="K368" i="16" s="1"/>
  <c r="J358" i="16"/>
  <c r="K358" i="16" s="1"/>
  <c r="J347" i="16"/>
  <c r="K347" i="16" s="1"/>
  <c r="J336" i="16"/>
  <c r="K336" i="16" s="1"/>
  <c r="J326" i="16"/>
  <c r="K326" i="16" s="1"/>
  <c r="J315" i="16"/>
  <c r="K315" i="16" s="1"/>
  <c r="J304" i="16"/>
  <c r="K304" i="16" s="1"/>
  <c r="J294" i="16"/>
  <c r="K294" i="16" s="1"/>
  <c r="J283" i="16"/>
  <c r="K283" i="16" s="1"/>
  <c r="J272" i="16"/>
  <c r="K272" i="16" s="1"/>
  <c r="J262" i="16"/>
  <c r="K262" i="16" s="1"/>
  <c r="J251" i="16"/>
  <c r="K251" i="16" s="1"/>
  <c r="J240" i="16"/>
  <c r="K240" i="16" s="1"/>
  <c r="J227" i="16"/>
  <c r="K227" i="16" s="1"/>
  <c r="J215" i="16"/>
  <c r="K215" i="16" s="1"/>
  <c r="J202" i="16"/>
  <c r="K202" i="16" s="1"/>
  <c r="J190" i="16"/>
  <c r="K190" i="16" s="1"/>
  <c r="J174" i="16"/>
  <c r="K174" i="16" s="1"/>
  <c r="J158" i="16"/>
  <c r="K158" i="16" s="1"/>
  <c r="J142" i="16"/>
  <c r="K142" i="16" s="1"/>
  <c r="J479" i="16"/>
  <c r="K479" i="16" s="1"/>
  <c r="J463" i="16"/>
  <c r="K463" i="16" s="1"/>
  <c r="J837" i="16"/>
  <c r="K837" i="16" s="1"/>
  <c r="J821" i="16"/>
  <c r="K821" i="16" s="1"/>
  <c r="J805" i="16"/>
  <c r="K805" i="16" s="1"/>
  <c r="J789" i="16"/>
  <c r="K789" i="16" s="1"/>
  <c r="J773" i="16"/>
  <c r="K773" i="16" s="1"/>
  <c r="J757" i="16"/>
  <c r="K757" i="16" s="1"/>
  <c r="J741" i="16"/>
  <c r="K741" i="16" s="1"/>
  <c r="J725" i="16"/>
  <c r="K725" i="16" s="1"/>
  <c r="J705" i="16"/>
  <c r="K705" i="16" s="1"/>
  <c r="J686" i="16"/>
  <c r="K686" i="16" s="1"/>
  <c r="J663" i="16"/>
  <c r="K663" i="16" s="1"/>
  <c r="J641" i="16"/>
  <c r="K641" i="16" s="1"/>
  <c r="J615" i="16"/>
  <c r="K615" i="16" s="1"/>
  <c r="J583" i="16"/>
  <c r="K583" i="16" s="1"/>
  <c r="J551" i="16"/>
  <c r="K551" i="16" s="1"/>
  <c r="J519" i="16"/>
  <c r="K519" i="16" s="1"/>
  <c r="J487" i="16"/>
  <c r="K487" i="16" s="1"/>
  <c r="J709" i="16"/>
  <c r="K709" i="16" s="1"/>
  <c r="J701" i="16"/>
  <c r="K701" i="16" s="1"/>
  <c r="J693" i="16"/>
  <c r="K693" i="16" s="1"/>
  <c r="J685" i="16"/>
  <c r="K685" i="16" s="1"/>
  <c r="J677" i="16"/>
  <c r="K677" i="16" s="1"/>
  <c r="J669" i="16"/>
  <c r="K669" i="16" s="1"/>
  <c r="J661" i="16"/>
  <c r="K661" i="16" s="1"/>
  <c r="J653" i="16"/>
  <c r="K653" i="16" s="1"/>
  <c r="J645" i="16"/>
  <c r="K645" i="16" s="1"/>
  <c r="J637" i="16"/>
  <c r="K637" i="16" s="1"/>
  <c r="J629" i="16"/>
  <c r="K629" i="16" s="1"/>
  <c r="J621" i="16"/>
  <c r="K621" i="16" s="1"/>
  <c r="J613" i="16"/>
  <c r="K613" i="16" s="1"/>
  <c r="J605" i="16"/>
  <c r="K605" i="16" s="1"/>
  <c r="J597" i="16"/>
  <c r="K597" i="16" s="1"/>
  <c r="J589" i="16"/>
  <c r="K589" i="16" s="1"/>
  <c r="J581" i="16"/>
  <c r="K581" i="16" s="1"/>
  <c r="J573" i="16"/>
  <c r="K573" i="16" s="1"/>
  <c r="J565" i="16"/>
  <c r="K565" i="16" s="1"/>
  <c r="J557" i="16"/>
  <c r="K557" i="16" s="1"/>
  <c r="J549" i="16"/>
  <c r="K549" i="16" s="1"/>
  <c r="J541" i="16"/>
  <c r="K541" i="16" s="1"/>
  <c r="J533" i="16"/>
  <c r="K533" i="16" s="1"/>
  <c r="J525" i="16"/>
  <c r="K525" i="16" s="1"/>
  <c r="J517" i="16"/>
  <c r="K517" i="16" s="1"/>
  <c r="J509" i="16"/>
  <c r="K509" i="16" s="1"/>
  <c r="J501" i="16"/>
  <c r="K501" i="16" s="1"/>
  <c r="J493" i="16"/>
  <c r="K493" i="16" s="1"/>
  <c r="J413" i="16"/>
  <c r="K413" i="16" s="1"/>
  <c r="J405" i="16"/>
  <c r="K405" i="16" s="1"/>
  <c r="J397" i="16"/>
  <c r="K397" i="16" s="1"/>
  <c r="J389" i="16"/>
  <c r="K389" i="16" s="1"/>
  <c r="J381" i="16"/>
  <c r="K381" i="16" s="1"/>
  <c r="J373" i="16"/>
  <c r="K373" i="16" s="1"/>
  <c r="J365" i="16"/>
  <c r="K365" i="16" s="1"/>
  <c r="J357" i="16"/>
  <c r="K357" i="16" s="1"/>
  <c r="J349" i="16"/>
  <c r="K349" i="16" s="1"/>
  <c r="J341" i="16"/>
  <c r="K341" i="16" s="1"/>
  <c r="J333" i="16"/>
  <c r="K333" i="16" s="1"/>
  <c r="J325" i="16"/>
  <c r="K325" i="16" s="1"/>
  <c r="J317" i="16"/>
  <c r="K317" i="16" s="1"/>
  <c r="J309" i="16"/>
  <c r="K309" i="16" s="1"/>
  <c r="J301" i="16"/>
  <c r="K301" i="16" s="1"/>
  <c r="J293" i="16"/>
  <c r="K293" i="16" s="1"/>
  <c r="J285" i="16"/>
  <c r="K285" i="16" s="1"/>
  <c r="J277" i="16"/>
  <c r="K277" i="16" s="1"/>
  <c r="J269" i="16"/>
  <c r="K269" i="16" s="1"/>
  <c r="J261" i="16"/>
  <c r="K261" i="16" s="1"/>
  <c r="J253" i="16"/>
  <c r="K253" i="16" s="1"/>
  <c r="J245" i="16"/>
  <c r="K245" i="16" s="1"/>
  <c r="J237" i="16"/>
  <c r="K237" i="16" s="1"/>
  <c r="J229" i="16"/>
  <c r="K229" i="16" s="1"/>
  <c r="J221" i="16"/>
  <c r="K221" i="16" s="1"/>
  <c r="J213" i="16"/>
  <c r="K213" i="16" s="1"/>
  <c r="J205" i="16"/>
  <c r="K205" i="16" s="1"/>
  <c r="J197" i="16"/>
  <c r="K197" i="16" s="1"/>
  <c r="J189" i="16"/>
  <c r="K189" i="16" s="1"/>
  <c r="J181" i="16"/>
  <c r="K181" i="16" s="1"/>
  <c r="J173" i="16"/>
  <c r="K173" i="16" s="1"/>
  <c r="J165" i="16"/>
  <c r="K165" i="16" s="1"/>
  <c r="J157" i="16"/>
  <c r="K157" i="16" s="1"/>
  <c r="J149" i="16"/>
  <c r="K149" i="16" s="1"/>
  <c r="J141" i="16"/>
  <c r="K141" i="16" s="1"/>
  <c r="J486" i="16"/>
  <c r="K486" i="16" s="1"/>
  <c r="J478" i="16"/>
  <c r="K478" i="16" s="1"/>
  <c r="J470" i="16"/>
  <c r="K470" i="16" s="1"/>
  <c r="J462" i="16"/>
  <c r="K462" i="16" s="1"/>
  <c r="J844" i="16"/>
  <c r="K844" i="16" s="1"/>
  <c r="J836" i="16"/>
  <c r="K836" i="16" s="1"/>
  <c r="J828" i="16"/>
  <c r="K828" i="16" s="1"/>
  <c r="J820" i="16"/>
  <c r="K820" i="16" s="1"/>
  <c r="J812" i="16"/>
  <c r="K812" i="16" s="1"/>
  <c r="J804" i="16"/>
  <c r="K804" i="16" s="1"/>
  <c r="J796" i="16"/>
  <c r="K796" i="16" s="1"/>
  <c r="J788" i="16"/>
  <c r="K788" i="16" s="1"/>
  <c r="J780" i="16"/>
  <c r="K780" i="16" s="1"/>
  <c r="J772" i="16"/>
  <c r="K772" i="16" s="1"/>
  <c r="J764" i="16"/>
  <c r="K764" i="16" s="1"/>
  <c r="J756" i="16"/>
  <c r="K756" i="16" s="1"/>
  <c r="J748" i="16"/>
  <c r="K748" i="16" s="1"/>
  <c r="J740" i="16"/>
  <c r="K740" i="16" s="1"/>
  <c r="J732" i="16"/>
  <c r="K732" i="16" s="1"/>
  <c r="J724" i="16"/>
  <c r="K724" i="16" s="1"/>
  <c r="J716" i="16"/>
  <c r="K716" i="16" s="1"/>
  <c r="J708" i="16"/>
  <c r="K708" i="16" s="1"/>
  <c r="J700" i="16"/>
  <c r="K700" i="16" s="1"/>
  <c r="J692" i="16"/>
  <c r="K692" i="16" s="1"/>
  <c r="J684" i="16"/>
  <c r="K684" i="16" s="1"/>
  <c r="J676" i="16"/>
  <c r="K676" i="16" s="1"/>
  <c r="J668" i="16"/>
  <c r="K668" i="16" s="1"/>
  <c r="J660" i="16"/>
  <c r="K660" i="16" s="1"/>
  <c r="J652" i="16"/>
  <c r="K652" i="16" s="1"/>
  <c r="J644" i="16"/>
  <c r="K644" i="16" s="1"/>
  <c r="J636" i="16"/>
  <c r="K636" i="16" s="1"/>
  <c r="J628" i="16"/>
  <c r="K628" i="16" s="1"/>
  <c r="J620" i="16"/>
  <c r="K620" i="16" s="1"/>
  <c r="J612" i="16"/>
  <c r="K612" i="16" s="1"/>
  <c r="J604" i="16"/>
  <c r="K604" i="16" s="1"/>
  <c r="J596" i="16"/>
  <c r="K596" i="16" s="1"/>
  <c r="J588" i="16"/>
  <c r="K588" i="16" s="1"/>
  <c r="J580" i="16"/>
  <c r="K580" i="16" s="1"/>
  <c r="J572" i="16"/>
  <c r="K572" i="16" s="1"/>
  <c r="J564" i="16"/>
  <c r="K564" i="16" s="1"/>
  <c r="J556" i="16"/>
  <c r="K556" i="16" s="1"/>
  <c r="J548" i="16"/>
  <c r="K548" i="16" s="1"/>
  <c r="J540" i="16"/>
  <c r="K540" i="16" s="1"/>
  <c r="J532" i="16"/>
  <c r="K532" i="16" s="1"/>
  <c r="J524" i="16"/>
  <c r="K524" i="16" s="1"/>
  <c r="J516" i="16"/>
  <c r="K516" i="16" s="1"/>
  <c r="J508" i="16"/>
  <c r="K508" i="16" s="1"/>
  <c r="J500" i="16"/>
  <c r="K500" i="16" s="1"/>
  <c r="J492" i="16"/>
  <c r="K492" i="16" s="1"/>
  <c r="J236" i="16"/>
  <c r="K236" i="16" s="1"/>
  <c r="J228" i="16"/>
  <c r="K228" i="16" s="1"/>
  <c r="J220" i="16"/>
  <c r="K220" i="16" s="1"/>
  <c r="J212" i="16"/>
  <c r="K212" i="16" s="1"/>
  <c r="J204" i="16"/>
  <c r="K204" i="16" s="1"/>
  <c r="J196" i="16"/>
  <c r="K196" i="16" s="1"/>
  <c r="J188" i="16"/>
  <c r="K188" i="16" s="1"/>
  <c r="J180" i="16"/>
  <c r="K180" i="16" s="1"/>
  <c r="J172" i="16"/>
  <c r="K172" i="16" s="1"/>
  <c r="J164" i="16"/>
  <c r="K164" i="16" s="1"/>
  <c r="J156" i="16"/>
  <c r="K156" i="16" s="1"/>
  <c r="J148" i="16"/>
  <c r="K148" i="16" s="1"/>
  <c r="J140" i="16"/>
  <c r="K140" i="16" s="1"/>
  <c r="J485" i="16"/>
  <c r="K485" i="16" s="1"/>
  <c r="J477" i="16"/>
  <c r="K477" i="16" s="1"/>
  <c r="J469" i="16"/>
  <c r="K469" i="16" s="1"/>
  <c r="J461" i="16"/>
  <c r="K461" i="16" s="1"/>
  <c r="J843" i="16"/>
  <c r="K843" i="16" s="1"/>
  <c r="J835" i="16"/>
  <c r="K835" i="16" s="1"/>
  <c r="J827" i="16"/>
  <c r="K827" i="16" s="1"/>
  <c r="J819" i="16"/>
  <c r="K819" i="16" s="1"/>
  <c r="J811" i="16"/>
  <c r="K811" i="16" s="1"/>
  <c r="J803" i="16"/>
  <c r="K803" i="16" s="1"/>
  <c r="J795" i="16"/>
  <c r="K795" i="16" s="1"/>
  <c r="J787" i="16"/>
  <c r="K787" i="16" s="1"/>
  <c r="J779" i="16"/>
  <c r="K779" i="16" s="1"/>
  <c r="J771" i="16"/>
  <c r="K771" i="16" s="1"/>
  <c r="J763" i="16"/>
  <c r="K763" i="16" s="1"/>
  <c r="J755" i="16"/>
  <c r="K755" i="16" s="1"/>
  <c r="J747" i="16"/>
  <c r="K747" i="16" s="1"/>
  <c r="J739" i="16"/>
  <c r="K739" i="16" s="1"/>
  <c r="J731" i="16"/>
  <c r="K731" i="16" s="1"/>
  <c r="J723" i="16"/>
  <c r="K723" i="16" s="1"/>
  <c r="J715" i="16"/>
  <c r="K715" i="16" s="1"/>
  <c r="J707" i="16"/>
  <c r="K707" i="16" s="1"/>
  <c r="J699" i="16"/>
  <c r="K699" i="16" s="1"/>
  <c r="J691" i="16"/>
  <c r="K691" i="16" s="1"/>
  <c r="J683" i="16"/>
  <c r="K683" i="16" s="1"/>
  <c r="J675" i="16"/>
  <c r="K675" i="16" s="1"/>
  <c r="J667" i="16"/>
  <c r="K667" i="16" s="1"/>
  <c r="J659" i="16"/>
  <c r="K659" i="16" s="1"/>
  <c r="J651" i="16"/>
  <c r="K651" i="16" s="1"/>
  <c r="J643" i="16"/>
  <c r="K643" i="16" s="1"/>
  <c r="J635" i="16"/>
  <c r="K635" i="16" s="1"/>
  <c r="J627" i="16"/>
  <c r="K627" i="16" s="1"/>
  <c r="J619" i="16"/>
  <c r="K619" i="16" s="1"/>
  <c r="J611" i="16"/>
  <c r="K611" i="16" s="1"/>
  <c r="J603" i="16"/>
  <c r="K603" i="16" s="1"/>
  <c r="J595" i="16"/>
  <c r="K595" i="16" s="1"/>
  <c r="J587" i="16"/>
  <c r="K587" i="16" s="1"/>
  <c r="J579" i="16"/>
  <c r="K579" i="16" s="1"/>
  <c r="J571" i="16"/>
  <c r="K571" i="16" s="1"/>
  <c r="J563" i="16"/>
  <c r="K563" i="16" s="1"/>
  <c r="J555" i="16"/>
  <c r="K555" i="16" s="1"/>
  <c r="J547" i="16"/>
  <c r="K547" i="16" s="1"/>
  <c r="J539" i="16"/>
  <c r="K539" i="16" s="1"/>
  <c r="J531" i="16"/>
  <c r="K531" i="16" s="1"/>
  <c r="J523" i="16"/>
  <c r="K523" i="16" s="1"/>
  <c r="J515" i="16"/>
  <c r="K515" i="16" s="1"/>
  <c r="J507" i="16"/>
  <c r="K507" i="16" s="1"/>
  <c r="J499" i="16"/>
  <c r="K499" i="16" s="1"/>
  <c r="J491" i="16"/>
  <c r="K491" i="16" s="1"/>
  <c r="J187" i="16"/>
  <c r="K187" i="16" s="1"/>
  <c r="J179" i="16"/>
  <c r="K179" i="16" s="1"/>
  <c r="J171" i="16"/>
  <c r="K171" i="16" s="1"/>
  <c r="J163" i="16"/>
  <c r="K163" i="16" s="1"/>
  <c r="J155" i="16"/>
  <c r="K155" i="16" s="1"/>
  <c r="J147" i="16"/>
  <c r="K147" i="16" s="1"/>
  <c r="J139" i="16"/>
  <c r="K139" i="16" s="1"/>
  <c r="J484" i="16"/>
  <c r="K484" i="16" s="1"/>
  <c r="J476" i="16"/>
  <c r="K476" i="16" s="1"/>
  <c r="J468" i="16"/>
  <c r="K468" i="16" s="1"/>
  <c r="J460" i="16"/>
  <c r="K460" i="16" s="1"/>
  <c r="J842" i="16"/>
  <c r="K842" i="16" s="1"/>
  <c r="J834" i="16"/>
  <c r="K834" i="16" s="1"/>
  <c r="J826" i="16"/>
  <c r="K826" i="16" s="1"/>
  <c r="J818" i="16"/>
  <c r="K818" i="16" s="1"/>
  <c r="J810" i="16"/>
  <c r="K810" i="16" s="1"/>
  <c r="J802" i="16"/>
  <c r="K802" i="16" s="1"/>
  <c r="J794" i="16"/>
  <c r="K794" i="16" s="1"/>
  <c r="J786" i="16"/>
  <c r="K786" i="16" s="1"/>
  <c r="J778" i="16"/>
  <c r="K778" i="16" s="1"/>
  <c r="J770" i="16"/>
  <c r="K770" i="16" s="1"/>
  <c r="J762" i="16"/>
  <c r="K762" i="16" s="1"/>
  <c r="J754" i="16"/>
  <c r="K754" i="16" s="1"/>
  <c r="J746" i="16"/>
  <c r="K746" i="16" s="1"/>
  <c r="J738" i="16"/>
  <c r="K738" i="16" s="1"/>
  <c r="J730" i="16"/>
  <c r="K730" i="16" s="1"/>
  <c r="J722" i="16"/>
  <c r="K722" i="16" s="1"/>
  <c r="J714" i="16"/>
  <c r="K714" i="16" s="1"/>
  <c r="J706" i="16"/>
  <c r="K706" i="16" s="1"/>
  <c r="J698" i="16"/>
  <c r="K698" i="16" s="1"/>
  <c r="J690" i="16"/>
  <c r="K690" i="16" s="1"/>
  <c r="J682" i="16"/>
  <c r="K682" i="16" s="1"/>
  <c r="J674" i="16"/>
  <c r="K674" i="16" s="1"/>
  <c r="J666" i="16"/>
  <c r="K666" i="16" s="1"/>
  <c r="J658" i="16"/>
  <c r="K658" i="16" s="1"/>
  <c r="J650" i="16"/>
  <c r="K650" i="16" s="1"/>
  <c r="J642" i="16"/>
  <c r="K642" i="16" s="1"/>
  <c r="J634" i="16"/>
  <c r="K634" i="16" s="1"/>
  <c r="J626" i="16"/>
  <c r="K626" i="16" s="1"/>
  <c r="J618" i="16"/>
  <c r="K618" i="16" s="1"/>
  <c r="J610" i="16"/>
  <c r="K610" i="16" s="1"/>
  <c r="J602" i="16"/>
  <c r="K602" i="16" s="1"/>
  <c r="J594" i="16"/>
  <c r="K594" i="16" s="1"/>
  <c r="J586" i="16"/>
  <c r="K586" i="16" s="1"/>
  <c r="J578" i="16"/>
  <c r="K578" i="16" s="1"/>
  <c r="J570" i="16"/>
  <c r="K570" i="16" s="1"/>
  <c r="J562" i="16"/>
  <c r="K562" i="16" s="1"/>
  <c r="J554" i="16"/>
  <c r="K554" i="16" s="1"/>
  <c r="J546" i="16"/>
  <c r="K546" i="16" s="1"/>
  <c r="J538" i="16"/>
  <c r="K538" i="16" s="1"/>
  <c r="J530" i="16"/>
  <c r="K530" i="16" s="1"/>
  <c r="J522" i="16"/>
  <c r="K522" i="16" s="1"/>
  <c r="J514" i="16"/>
  <c r="K514" i="16" s="1"/>
  <c r="J506" i="16"/>
  <c r="K506" i="16" s="1"/>
  <c r="J498" i="16"/>
  <c r="K498" i="16" s="1"/>
  <c r="J490" i="16"/>
  <c r="K490" i="16" s="1"/>
  <c r="J625" i="16"/>
  <c r="K625" i="16" s="1"/>
  <c r="J617" i="16"/>
  <c r="K617" i="16" s="1"/>
  <c r="J609" i="16"/>
  <c r="K609" i="16" s="1"/>
  <c r="J601" i="16"/>
  <c r="K601" i="16" s="1"/>
  <c r="J593" i="16"/>
  <c r="K593" i="16" s="1"/>
  <c r="J585" i="16"/>
  <c r="K585" i="16" s="1"/>
  <c r="J577" i="16"/>
  <c r="K577" i="16" s="1"/>
  <c r="J569" i="16"/>
  <c r="K569" i="16" s="1"/>
  <c r="J561" i="16"/>
  <c r="K561" i="16" s="1"/>
  <c r="J553" i="16"/>
  <c r="K553" i="16" s="1"/>
  <c r="J545" i="16"/>
  <c r="K545" i="16" s="1"/>
  <c r="J537" i="16"/>
  <c r="K537" i="16" s="1"/>
  <c r="J529" i="16"/>
  <c r="K529" i="16" s="1"/>
  <c r="J521" i="16"/>
  <c r="K521" i="16" s="1"/>
  <c r="J513" i="16"/>
  <c r="K513" i="16" s="1"/>
  <c r="J505" i="16"/>
  <c r="K505" i="16" s="1"/>
  <c r="J497" i="16"/>
  <c r="K497" i="16" s="1"/>
  <c r="J489" i="16"/>
  <c r="K489" i="16" s="1"/>
  <c r="J409" i="16"/>
  <c r="K409" i="16" s="1"/>
  <c r="J401" i="16"/>
  <c r="K401" i="16" s="1"/>
  <c r="J393" i="16"/>
  <c r="K393" i="16" s="1"/>
  <c r="J385" i="16"/>
  <c r="K385" i="16" s="1"/>
  <c r="J377" i="16"/>
  <c r="K377" i="16" s="1"/>
  <c r="J369" i="16"/>
  <c r="K369" i="16" s="1"/>
  <c r="J361" i="16"/>
  <c r="K361" i="16" s="1"/>
  <c r="J353" i="16"/>
  <c r="K353" i="16" s="1"/>
  <c r="J345" i="16"/>
  <c r="K345" i="16" s="1"/>
  <c r="J337" i="16"/>
  <c r="K337" i="16" s="1"/>
  <c r="J329" i="16"/>
  <c r="K329" i="16" s="1"/>
  <c r="J321" i="16"/>
  <c r="K321" i="16" s="1"/>
  <c r="J313" i="16"/>
  <c r="K313" i="16" s="1"/>
  <c r="J305" i="16"/>
  <c r="K305" i="16" s="1"/>
  <c r="J297" i="16"/>
  <c r="K297" i="16" s="1"/>
  <c r="J289" i="16"/>
  <c r="K289" i="16" s="1"/>
  <c r="J281" i="16"/>
  <c r="K281" i="16" s="1"/>
  <c r="J273" i="16"/>
  <c r="K273" i="16" s="1"/>
  <c r="J265" i="16"/>
  <c r="K265" i="16" s="1"/>
  <c r="J257" i="16"/>
  <c r="K257" i="16" s="1"/>
  <c r="J249" i="16"/>
  <c r="K249" i="16" s="1"/>
  <c r="J241" i="16"/>
  <c r="K241" i="16" s="1"/>
  <c r="J233" i="16"/>
  <c r="K233" i="16" s="1"/>
  <c r="J225" i="16"/>
  <c r="K225" i="16" s="1"/>
  <c r="J217" i="16"/>
  <c r="K217" i="16" s="1"/>
  <c r="J209" i="16"/>
  <c r="K209" i="16" s="1"/>
  <c r="J201" i="16"/>
  <c r="K201" i="16" s="1"/>
  <c r="J193" i="16"/>
  <c r="K193" i="16" s="1"/>
  <c r="J185" i="16"/>
  <c r="K185" i="16" s="1"/>
  <c r="J177" i="16"/>
  <c r="K177" i="16" s="1"/>
  <c r="J169" i="16"/>
  <c r="K169" i="16" s="1"/>
  <c r="J161" i="16"/>
  <c r="K161" i="16" s="1"/>
  <c r="J153" i="16"/>
  <c r="K153" i="16" s="1"/>
  <c r="J145" i="16"/>
  <c r="K145" i="16" s="1"/>
  <c r="J137" i="16"/>
  <c r="K137" i="16" s="1"/>
  <c r="J482" i="16"/>
  <c r="K482" i="16" s="1"/>
  <c r="J474" i="16"/>
  <c r="K474" i="16" s="1"/>
  <c r="J466" i="16"/>
  <c r="K466" i="16" s="1"/>
  <c r="J458" i="16"/>
  <c r="K458" i="16" s="1"/>
  <c r="J840" i="16"/>
  <c r="K840" i="16" s="1"/>
  <c r="J832" i="16"/>
  <c r="K832" i="16" s="1"/>
  <c r="J824" i="16"/>
  <c r="K824" i="16" s="1"/>
  <c r="J816" i="16"/>
  <c r="K816" i="16" s="1"/>
  <c r="J808" i="16"/>
  <c r="K808" i="16" s="1"/>
  <c r="J800" i="16"/>
  <c r="K800" i="16" s="1"/>
  <c r="J792" i="16"/>
  <c r="K792" i="16" s="1"/>
  <c r="J784" i="16"/>
  <c r="K784" i="16" s="1"/>
  <c r="J776" i="16"/>
  <c r="K776" i="16" s="1"/>
  <c r="J768" i="16"/>
  <c r="K768" i="16" s="1"/>
  <c r="J760" i="16"/>
  <c r="K760" i="16" s="1"/>
  <c r="J752" i="16"/>
  <c r="K752" i="16" s="1"/>
  <c r="J744" i="16"/>
  <c r="K744" i="16" s="1"/>
  <c r="J736" i="16"/>
  <c r="K736" i="16" s="1"/>
  <c r="J728" i="16"/>
  <c r="K728" i="16" s="1"/>
  <c r="J720" i="16"/>
  <c r="K720" i="16" s="1"/>
  <c r="J712" i="16"/>
  <c r="K712" i="16" s="1"/>
  <c r="J704" i="16"/>
  <c r="K704" i="16" s="1"/>
  <c r="J696" i="16"/>
  <c r="K696" i="16" s="1"/>
  <c r="J688" i="16"/>
  <c r="K688" i="16" s="1"/>
  <c r="J680" i="16"/>
  <c r="K680" i="16" s="1"/>
  <c r="J672" i="16"/>
  <c r="K672" i="16" s="1"/>
  <c r="J664" i="16"/>
  <c r="K664" i="16" s="1"/>
  <c r="J656" i="16"/>
  <c r="K656" i="16" s="1"/>
  <c r="J648" i="16"/>
  <c r="K648" i="16" s="1"/>
  <c r="J640" i="16"/>
  <c r="K640" i="16" s="1"/>
  <c r="J632" i="16"/>
  <c r="K632" i="16" s="1"/>
  <c r="J624" i="16"/>
  <c r="K624" i="16" s="1"/>
  <c r="J616" i="16"/>
  <c r="K616" i="16" s="1"/>
  <c r="J608" i="16"/>
  <c r="K608" i="16" s="1"/>
  <c r="J600" i="16"/>
  <c r="K600" i="16" s="1"/>
  <c r="J592" i="16"/>
  <c r="K592" i="16" s="1"/>
  <c r="J584" i="16"/>
  <c r="K584" i="16" s="1"/>
  <c r="J576" i="16"/>
  <c r="K576" i="16" s="1"/>
  <c r="J568" i="16"/>
  <c r="K568" i="16" s="1"/>
  <c r="J560" i="16"/>
  <c r="K560" i="16" s="1"/>
  <c r="J552" i="16"/>
  <c r="K552" i="16" s="1"/>
  <c r="J544" i="16"/>
  <c r="K544" i="16" s="1"/>
  <c r="J536" i="16"/>
  <c r="K536" i="16" s="1"/>
  <c r="J528" i="16"/>
  <c r="K528" i="16" s="1"/>
  <c r="J520" i="16"/>
  <c r="K520" i="16" s="1"/>
  <c r="J512" i="16"/>
  <c r="K512" i="16" s="1"/>
  <c r="J504" i="16"/>
  <c r="K504" i="16" s="1"/>
  <c r="J496" i="16"/>
  <c r="K496" i="16" s="1"/>
  <c r="O3" i="16"/>
  <c r="O1" i="16"/>
  <c r="F418" i="16"/>
  <c r="H752" i="16"/>
  <c r="F753" i="16"/>
  <c r="H470" i="16"/>
  <c r="F471" i="16"/>
  <c r="H149" i="16"/>
  <c r="H160" i="16"/>
  <c r="F244" i="16"/>
  <c r="F254" i="16"/>
  <c r="F537" i="16"/>
  <c r="H536" i="16"/>
  <c r="H178" i="16"/>
  <c r="H223" i="16"/>
  <c r="F308" i="16"/>
  <c r="H342" i="16"/>
  <c r="H367" i="16"/>
  <c r="F548" i="16"/>
  <c r="H547" i="16"/>
  <c r="F323" i="16"/>
  <c r="H589" i="16"/>
  <c r="H627" i="16"/>
  <c r="H647" i="16"/>
  <c r="H679" i="16"/>
  <c r="H699" i="16"/>
  <c r="H836" i="16"/>
  <c r="H728" i="16"/>
  <c r="H771" i="16"/>
  <c r="H828" i="16"/>
  <c r="L835" i="16" l="1"/>
  <c r="M835" i="16" s="1" a="1"/>
  <c r="M835" i="16" s="1"/>
  <c r="L594" i="16"/>
  <c r="M594" i="16" s="1" a="1"/>
  <c r="M594" i="16" s="1"/>
  <c r="L760" i="16"/>
  <c r="M760" i="16" s="1" a="1"/>
  <c r="M760" i="16" s="1"/>
  <c r="L167" i="16"/>
  <c r="M167" i="16" s="1" a="1"/>
  <c r="M167" i="16" s="1"/>
  <c r="L427" i="16"/>
  <c r="M427" i="16" s="1" a="1"/>
  <c r="M427" i="16" s="1"/>
  <c r="L771" i="16"/>
  <c r="M771" i="16" s="1" a="1"/>
  <c r="M771" i="16" s="1"/>
  <c r="L831" i="16"/>
  <c r="M831" i="16" s="1" a="1"/>
  <c r="M831" i="16" s="1"/>
  <c r="L82" i="16"/>
  <c r="M82" i="16" s="1" a="1"/>
  <c r="M82" i="16" s="1"/>
  <c r="L576" i="16"/>
  <c r="M576" i="16" s="1" a="1"/>
  <c r="M576" i="16" s="1"/>
  <c r="L656" i="16"/>
  <c r="M656" i="16" s="1" a="1"/>
  <c r="M656" i="16" s="1"/>
  <c r="L249" i="16"/>
  <c r="M249" i="16" s="1" a="1"/>
  <c r="M249" i="16" s="1"/>
  <c r="L192" i="16"/>
  <c r="M192" i="16" s="1" a="1"/>
  <c r="M192" i="16" s="1"/>
  <c r="L670" i="16"/>
  <c r="M670" i="16" s="1" a="1"/>
  <c r="M670" i="16" s="1"/>
  <c r="L680" i="16"/>
  <c r="M680" i="16" s="1" a="1"/>
  <c r="M680" i="16" s="1"/>
  <c r="L669" i="16"/>
  <c r="M669" i="16" s="1" a="1"/>
  <c r="M669" i="16" s="1"/>
  <c r="L158" i="16"/>
  <c r="M158" i="16" s="1" a="1"/>
  <c r="M158" i="16" s="1"/>
  <c r="L359" i="16"/>
  <c r="M359" i="16" s="1" a="1"/>
  <c r="M359" i="16" s="1"/>
  <c r="L794" i="16"/>
  <c r="M794" i="16" s="1" a="1"/>
  <c r="M794" i="16" s="1"/>
  <c r="L584" i="16"/>
  <c r="M584" i="16" s="1" a="1"/>
  <c r="M584" i="16" s="1"/>
  <c r="L817" i="16"/>
  <c r="M817" i="16" s="1" a="1"/>
  <c r="M817" i="16" s="1"/>
  <c r="L93" i="16"/>
  <c r="M93" i="16" s="1" a="1"/>
  <c r="M93" i="16" s="1"/>
  <c r="L812" i="16"/>
  <c r="M812" i="16" s="1" a="1"/>
  <c r="M812" i="16" s="1"/>
  <c r="L753" i="16"/>
  <c r="M753" i="16" s="1" a="1"/>
  <c r="M753" i="16" s="1"/>
  <c r="L260" i="16"/>
  <c r="M260" i="16" s="1" a="1"/>
  <c r="M260" i="16" s="1"/>
  <c r="L741" i="16"/>
  <c r="M741" i="16" s="1" a="1"/>
  <c r="M741" i="16" s="1"/>
  <c r="L840" i="16"/>
  <c r="M840" i="16" s="1" a="1"/>
  <c r="M840" i="16" s="1"/>
  <c r="L757" i="16"/>
  <c r="M757" i="16" s="1" a="1"/>
  <c r="M757" i="16" s="1"/>
  <c r="L789" i="16"/>
  <c r="M789" i="16" s="1" a="1"/>
  <c r="M789" i="16" s="1"/>
  <c r="L829" i="16"/>
  <c r="M829" i="16" s="1" a="1"/>
  <c r="M829" i="16" s="1"/>
  <c r="L804" i="16"/>
  <c r="M804" i="16" s="1" a="1"/>
  <c r="M804" i="16" s="1"/>
  <c r="L709" i="16"/>
  <c r="M709" i="16" s="1" a="1"/>
  <c r="M709" i="16" s="1"/>
  <c r="L827" i="16"/>
  <c r="M827" i="16" s="1" a="1"/>
  <c r="M827" i="16" s="1"/>
  <c r="L763" i="16"/>
  <c r="M763" i="16" s="1" a="1"/>
  <c r="M763" i="16" s="1"/>
  <c r="L544" i="16"/>
  <c r="M544" i="16" s="1" a="1"/>
  <c r="M544" i="16" s="1"/>
  <c r="L786" i="16"/>
  <c r="M786" i="16" s="1" a="1"/>
  <c r="M786" i="16" s="1"/>
  <c r="L637" i="16"/>
  <c r="M637" i="16" s="1" a="1"/>
  <c r="M637" i="16" s="1"/>
  <c r="L809" i="16"/>
  <c r="M809" i="16" s="1" a="1"/>
  <c r="M809" i="16" s="1"/>
  <c r="L728" i="16"/>
  <c r="M728" i="16" s="1" a="1"/>
  <c r="M728" i="16" s="1"/>
  <c r="L832" i="16"/>
  <c r="M832" i="16" s="1" a="1"/>
  <c r="M832" i="16" s="1"/>
  <c r="L725" i="16"/>
  <c r="M725" i="16" s="1" a="1"/>
  <c r="M725" i="16" s="1"/>
  <c r="L823" i="16"/>
  <c r="M823" i="16" s="1" a="1"/>
  <c r="M823" i="16" s="1"/>
  <c r="L560" i="16"/>
  <c r="M560" i="16" s="1" a="1"/>
  <c r="M560" i="16" s="1"/>
  <c r="L606" i="16"/>
  <c r="M606" i="16" s="1" a="1"/>
  <c r="M606" i="16" s="1"/>
  <c r="L94" i="16"/>
  <c r="M94" i="16" s="1" a="1"/>
  <c r="M94" i="16" s="1"/>
  <c r="L708" i="16"/>
  <c r="M708" i="16" s="1" a="1"/>
  <c r="M708" i="16" s="1"/>
  <c r="L196" i="16"/>
  <c r="M196" i="16" s="1" a="1"/>
  <c r="M196" i="16" s="1"/>
  <c r="L363" i="16"/>
  <c r="M363" i="16" s="1" a="1"/>
  <c r="M363" i="16" s="1"/>
  <c r="L530" i="16"/>
  <c r="M530" i="16" s="1" a="1"/>
  <c r="M530" i="16" s="1"/>
  <c r="L697" i="16"/>
  <c r="M697" i="16" s="1" a="1"/>
  <c r="M697" i="16" s="1"/>
  <c r="L185" i="16"/>
  <c r="M185" i="16" s="1" a="1"/>
  <c r="M185" i="16" s="1"/>
  <c r="L128" i="16"/>
  <c r="M128" i="16" s="1" a="1"/>
  <c r="M128" i="16" s="1"/>
  <c r="L295" i="16"/>
  <c r="M295" i="16" s="1" a="1"/>
  <c r="M295" i="16" s="1"/>
  <c r="L796" i="16"/>
  <c r="M796" i="16" s="1" a="1"/>
  <c r="M796" i="16" s="1"/>
  <c r="L542" i="16"/>
  <c r="M542" i="16" s="1" a="1"/>
  <c r="M542" i="16" s="1"/>
  <c r="L648" i="16"/>
  <c r="M648" i="16" s="1" a="1"/>
  <c r="M648" i="16" s="1"/>
  <c r="L842" i="16"/>
  <c r="M842" i="16" s="1" a="1"/>
  <c r="M842" i="16" s="1"/>
  <c r="L824" i="16"/>
  <c r="M824" i="16" s="1" a="1"/>
  <c r="M824" i="16" s="1"/>
  <c r="L477" i="16"/>
  <c r="M477" i="16" s="1" a="1"/>
  <c r="M477" i="16" s="1"/>
  <c r="L633" i="16"/>
  <c r="M633" i="16" s="1" a="1"/>
  <c r="M633" i="16" s="1"/>
  <c r="L744" i="16"/>
  <c r="M744" i="16" s="1" a="1"/>
  <c r="M744" i="16" s="1"/>
  <c r="L845" i="16"/>
  <c r="M845" i="16" s="1" a="1"/>
  <c r="M845" i="16" s="1"/>
  <c r="L552" i="16"/>
  <c r="M552" i="16" s="1" a="1"/>
  <c r="M552" i="16" s="1"/>
  <c r="L788" i="16"/>
  <c r="M788" i="16" s="1" a="1"/>
  <c r="M788" i="16" s="1"/>
  <c r="L645" i="16"/>
  <c r="M645" i="16" s="1" a="1"/>
  <c r="M645" i="16" s="1"/>
  <c r="L811" i="16"/>
  <c r="M811" i="16" s="1" a="1"/>
  <c r="M811" i="16" s="1"/>
  <c r="L736" i="16"/>
  <c r="M736" i="16" s="1" a="1"/>
  <c r="M736" i="16" s="1"/>
  <c r="L834" i="16"/>
  <c r="M834" i="16" s="1" a="1"/>
  <c r="M834" i="16" s="1"/>
  <c r="L770" i="16"/>
  <c r="M770" i="16" s="1" a="1"/>
  <c r="M770" i="16" s="1"/>
  <c r="L573" i="16"/>
  <c r="M573" i="16" s="1" a="1"/>
  <c r="M573" i="16" s="1"/>
  <c r="L793" i="16"/>
  <c r="M793" i="16" s="1" a="1"/>
  <c r="M793" i="16" s="1"/>
  <c r="L664" i="16"/>
  <c r="M664" i="16" s="1" a="1"/>
  <c r="M664" i="16" s="1"/>
  <c r="L808" i="16"/>
  <c r="M808" i="16" s="1" a="1"/>
  <c r="M808" i="16" s="1"/>
  <c r="L661" i="16"/>
  <c r="M661" i="16" s="1" a="1"/>
  <c r="M661" i="16" s="1"/>
  <c r="L791" i="16"/>
  <c r="M791" i="16" s="1" a="1"/>
  <c r="M791" i="16" s="1"/>
  <c r="L822" i="16"/>
  <c r="M822" i="16" s="1" a="1"/>
  <c r="M822" i="16" s="1"/>
  <c r="L478" i="16"/>
  <c r="M478" i="16" s="1" a="1"/>
  <c r="M478" i="16" s="1"/>
  <c r="L413" i="16"/>
  <c r="M413" i="16" s="1" a="1"/>
  <c r="M413" i="16" s="1"/>
  <c r="L580" i="16"/>
  <c r="M580" i="16" s="1" a="1"/>
  <c r="M580" i="16" s="1"/>
  <c r="L747" i="16"/>
  <c r="M747" i="16" s="1" a="1"/>
  <c r="M747" i="16" s="1"/>
  <c r="L235" i="16"/>
  <c r="M235" i="16" s="1" a="1"/>
  <c r="M235" i="16" s="1"/>
  <c r="L402" i="16"/>
  <c r="M402" i="16" s="1" a="1"/>
  <c r="M402" i="16" s="1"/>
  <c r="L569" i="16"/>
  <c r="M569" i="16" s="1" a="1"/>
  <c r="M569" i="16" s="1"/>
  <c r="L512" i="16"/>
  <c r="M512" i="16" s="1" a="1"/>
  <c r="M512" i="16" s="1"/>
  <c r="L679" i="16"/>
  <c r="M679" i="16" s="1" a="1"/>
  <c r="M679" i="16" s="1"/>
  <c r="L111" i="16"/>
  <c r="M111" i="16" s="1" a="1"/>
  <c r="M111" i="16" s="1"/>
  <c r="L175" i="16"/>
  <c r="M175" i="16" s="1" a="1"/>
  <c r="M175" i="16" s="1"/>
  <c r="L239" i="16"/>
  <c r="M239" i="16" s="1" a="1"/>
  <c r="M239" i="16" s="1"/>
  <c r="L303" i="16"/>
  <c r="M303" i="16" s="1" a="1"/>
  <c r="M303" i="16" s="1"/>
  <c r="L367" i="16"/>
  <c r="M367" i="16" s="1" a="1"/>
  <c r="M367" i="16" s="1"/>
  <c r="L431" i="16"/>
  <c r="M431" i="16" s="1" a="1"/>
  <c r="M431" i="16" s="1"/>
  <c r="L495" i="16"/>
  <c r="M495" i="16" s="1" a="1"/>
  <c r="M495" i="16" s="1"/>
  <c r="L559" i="16"/>
  <c r="M559" i="16" s="1" a="1"/>
  <c r="M559" i="16" s="1"/>
  <c r="L623" i="16"/>
  <c r="M623" i="16" s="1" a="1"/>
  <c r="M623" i="16" s="1"/>
  <c r="L687" i="16"/>
  <c r="M687" i="16" s="1" a="1"/>
  <c r="M687" i="16" s="1"/>
  <c r="L72" i="16"/>
  <c r="M72" i="16" s="1" a="1"/>
  <c r="M72" i="16" s="1"/>
  <c r="L136" i="16"/>
  <c r="M136" i="16" s="1" a="1"/>
  <c r="M136" i="16" s="1"/>
  <c r="L200" i="16"/>
  <c r="M200" i="16" s="1" a="1"/>
  <c r="M200" i="16" s="1"/>
  <c r="L264" i="16"/>
  <c r="M264" i="16" s="1" a="1"/>
  <c r="M264" i="16" s="1"/>
  <c r="L328" i="16"/>
  <c r="M328" i="16" s="1" a="1"/>
  <c r="M328" i="16" s="1"/>
  <c r="L392" i="16"/>
  <c r="M392" i="16" s="1" a="1"/>
  <c r="M392" i="16" s="1"/>
  <c r="L456" i="16"/>
  <c r="M456" i="16" s="1" a="1"/>
  <c r="M456" i="16" s="1"/>
  <c r="L520" i="16"/>
  <c r="M520" i="16" s="1" a="1"/>
  <c r="M520" i="16" s="1"/>
  <c r="L129" i="16"/>
  <c r="M129" i="16" s="1" a="1"/>
  <c r="M129" i="16" s="1"/>
  <c r="L193" i="16"/>
  <c r="M193" i="16" s="1" a="1"/>
  <c r="M193" i="16" s="1"/>
  <c r="L257" i="16"/>
  <c r="M257" i="16" s="1" a="1"/>
  <c r="M257" i="16" s="1"/>
  <c r="L321" i="16"/>
  <c r="M321" i="16" s="1" a="1"/>
  <c r="M321" i="16" s="1"/>
  <c r="L385" i="16"/>
  <c r="M385" i="16" s="1" a="1"/>
  <c r="M385" i="16" s="1"/>
  <c r="L449" i="16"/>
  <c r="M449" i="16" s="1" a="1"/>
  <c r="M449" i="16" s="1"/>
  <c r="L513" i="16"/>
  <c r="M513" i="16" s="1" a="1"/>
  <c r="M513" i="16" s="1"/>
  <c r="L577" i="16"/>
  <c r="M577" i="16" s="1" a="1"/>
  <c r="M577" i="16" s="1"/>
  <c r="L641" i="16"/>
  <c r="M641" i="16" s="1" a="1"/>
  <c r="M641" i="16" s="1"/>
  <c r="L705" i="16"/>
  <c r="M705" i="16" s="1" a="1"/>
  <c r="M705" i="16" s="1"/>
  <c r="L90" i="16"/>
  <c r="M90" i="16" s="1" a="1"/>
  <c r="M90" i="16" s="1"/>
  <c r="L154" i="16"/>
  <c r="M154" i="16" s="1" a="1"/>
  <c r="M154" i="16" s="1"/>
  <c r="L218" i="16"/>
  <c r="M218" i="16" s="1" a="1"/>
  <c r="M218" i="16" s="1"/>
  <c r="L282" i="16"/>
  <c r="M282" i="16" s="1" a="1"/>
  <c r="M282" i="16" s="1"/>
  <c r="L346" i="16"/>
  <c r="M346" i="16" s="1" a="1"/>
  <c r="M346" i="16" s="1"/>
  <c r="L410" i="16"/>
  <c r="M410" i="16" s="1" a="1"/>
  <c r="M410" i="16" s="1"/>
  <c r="L474" i="16"/>
  <c r="M474" i="16" s="1" a="1"/>
  <c r="M474" i="16" s="1"/>
  <c r="L538" i="16"/>
  <c r="M538" i="16" s="1" a="1"/>
  <c r="M538" i="16" s="1"/>
  <c r="L602" i="16"/>
  <c r="M602" i="16" s="1" a="1"/>
  <c r="M602" i="16" s="1"/>
  <c r="L666" i="16"/>
  <c r="M666" i="16" s="1" a="1"/>
  <c r="M666" i="16" s="1"/>
  <c r="L730" i="16"/>
  <c r="M730" i="16" s="1" a="1"/>
  <c r="M730" i="16" s="1"/>
  <c r="L115" i="16"/>
  <c r="M115" i="16" s="1" a="1"/>
  <c r="M115" i="16" s="1"/>
  <c r="L179" i="16"/>
  <c r="M179" i="16" s="1" a="1"/>
  <c r="M179" i="16" s="1"/>
  <c r="L243" i="16"/>
  <c r="M243" i="16" s="1" a="1"/>
  <c r="M243" i="16" s="1"/>
  <c r="L307" i="16"/>
  <c r="M307" i="16" s="1" a="1"/>
  <c r="M307" i="16" s="1"/>
  <c r="L371" i="16"/>
  <c r="M371" i="16" s="1" a="1"/>
  <c r="M371" i="16" s="1"/>
  <c r="L435" i="16"/>
  <c r="M435" i="16" s="1" a="1"/>
  <c r="M435" i="16" s="1"/>
  <c r="L499" i="16"/>
  <c r="M499" i="16" s="1" a="1"/>
  <c r="M499" i="16" s="1"/>
  <c r="L563" i="16"/>
  <c r="M563" i="16" s="1" a="1"/>
  <c r="M563" i="16" s="1"/>
  <c r="L627" i="16"/>
  <c r="M627" i="16" s="1" a="1"/>
  <c r="M627" i="16" s="1"/>
  <c r="L691" i="16"/>
  <c r="M691" i="16" s="1" a="1"/>
  <c r="M691" i="16" s="1"/>
  <c r="L76" i="16"/>
  <c r="M76" i="16" s="1" a="1"/>
  <c r="M76" i="16" s="1"/>
  <c r="L140" i="16"/>
  <c r="M140" i="16" s="1" a="1"/>
  <c r="M140" i="16" s="1"/>
  <c r="L204" i="16"/>
  <c r="M204" i="16" s="1" a="1"/>
  <c r="M204" i="16" s="1"/>
  <c r="L268" i="16"/>
  <c r="M268" i="16" s="1" a="1"/>
  <c r="M268" i="16" s="1"/>
  <c r="L332" i="16"/>
  <c r="M332" i="16" s="1" a="1"/>
  <c r="M332" i="16" s="1"/>
  <c r="L396" i="16"/>
  <c r="M396" i="16" s="1" a="1"/>
  <c r="M396" i="16" s="1"/>
  <c r="L460" i="16"/>
  <c r="M460" i="16" s="1" a="1"/>
  <c r="M460" i="16" s="1"/>
  <c r="L524" i="16"/>
  <c r="M524" i="16" s="1" a="1"/>
  <c r="M524" i="16" s="1"/>
  <c r="L588" i="16"/>
  <c r="M588" i="16" s="1" a="1"/>
  <c r="M588" i="16" s="1"/>
  <c r="L652" i="16"/>
  <c r="M652" i="16" s="1" a="1"/>
  <c r="M652" i="16" s="1"/>
  <c r="L716" i="16"/>
  <c r="M716" i="16" s="1" a="1"/>
  <c r="M716" i="16" s="1"/>
  <c r="L101" i="16"/>
  <c r="M101" i="16" s="1" a="1"/>
  <c r="M101" i="16" s="1"/>
  <c r="L165" i="16"/>
  <c r="M165" i="16" s="1" a="1"/>
  <c r="M165" i="16" s="1"/>
  <c r="L229" i="16"/>
  <c r="M229" i="16" s="1" a="1"/>
  <c r="M229" i="16" s="1"/>
  <c r="L293" i="16"/>
  <c r="M293" i="16" s="1" a="1"/>
  <c r="M293" i="16" s="1"/>
  <c r="L357" i="16"/>
  <c r="M357" i="16" s="1" a="1"/>
  <c r="M357" i="16" s="1"/>
  <c r="L421" i="16"/>
  <c r="M421" i="16" s="1" a="1"/>
  <c r="M421" i="16" s="1"/>
  <c r="L485" i="16"/>
  <c r="M485" i="16" s="1" a="1"/>
  <c r="M485" i="16" s="1"/>
  <c r="L102" i="16"/>
  <c r="M102" i="16" s="1" a="1"/>
  <c r="M102" i="16" s="1"/>
  <c r="L166" i="16"/>
  <c r="M166" i="16" s="1" a="1"/>
  <c r="M166" i="16" s="1"/>
  <c r="L230" i="16"/>
  <c r="M230" i="16" s="1" a="1"/>
  <c r="M230" i="16" s="1"/>
  <c r="L294" i="16"/>
  <c r="M294" i="16" s="1" a="1"/>
  <c r="M294" i="16" s="1"/>
  <c r="L358" i="16"/>
  <c r="M358" i="16" s="1" a="1"/>
  <c r="M358" i="16" s="1"/>
  <c r="L422" i="16"/>
  <c r="M422" i="16" s="1" a="1"/>
  <c r="M422" i="16" s="1"/>
  <c r="L486" i="16"/>
  <c r="M486" i="16" s="1" a="1"/>
  <c r="M486" i="16" s="1"/>
  <c r="L550" i="16"/>
  <c r="M550" i="16" s="1" a="1"/>
  <c r="M550" i="16" s="1"/>
  <c r="L614" i="16"/>
  <c r="M614" i="16" s="1" a="1"/>
  <c r="M614" i="16" s="1"/>
  <c r="L678" i="16"/>
  <c r="M678" i="16" s="1" a="1"/>
  <c r="M678" i="16" s="1"/>
  <c r="L742" i="16"/>
  <c r="M742" i="16" s="1" a="1"/>
  <c r="M742" i="16" s="1"/>
  <c r="L717" i="16"/>
  <c r="M717" i="16" s="1" a="1"/>
  <c r="M717" i="16" s="1"/>
  <c r="L806" i="16"/>
  <c r="M806" i="16" s="1" a="1"/>
  <c r="M806" i="16" s="1"/>
  <c r="L592" i="16"/>
  <c r="M592" i="16" s="1" a="1"/>
  <c r="M592" i="16" s="1"/>
  <c r="L183" i="16"/>
  <c r="M183" i="16" s="1" a="1"/>
  <c r="M183" i="16" s="1"/>
  <c r="L247" i="16"/>
  <c r="M247" i="16" s="1" a="1"/>
  <c r="M247" i="16" s="1"/>
  <c r="L311" i="16"/>
  <c r="M311" i="16" s="1" a="1"/>
  <c r="M311" i="16" s="1"/>
  <c r="L375" i="16"/>
  <c r="M375" i="16" s="1" a="1"/>
  <c r="M375" i="16" s="1"/>
  <c r="L439" i="16"/>
  <c r="M439" i="16" s="1" a="1"/>
  <c r="M439" i="16" s="1"/>
  <c r="L503" i="16"/>
  <c r="M503" i="16" s="1" a="1"/>
  <c r="M503" i="16" s="1"/>
  <c r="L567" i="16"/>
  <c r="M567" i="16" s="1" a="1"/>
  <c r="M567" i="16" s="1"/>
  <c r="L631" i="16"/>
  <c r="M631" i="16" s="1" a="1"/>
  <c r="M631" i="16" s="1"/>
  <c r="L695" i="16"/>
  <c r="M695" i="16" s="1" a="1"/>
  <c r="M695" i="16" s="1"/>
  <c r="L80" i="16"/>
  <c r="M80" i="16" s="1" a="1"/>
  <c r="M80" i="16" s="1"/>
  <c r="L144" i="16"/>
  <c r="M144" i="16" s="1" a="1"/>
  <c r="M144" i="16" s="1"/>
  <c r="L208" i="16"/>
  <c r="M208" i="16" s="1" a="1"/>
  <c r="M208" i="16" s="1"/>
  <c r="L272" i="16"/>
  <c r="M272" i="16" s="1" a="1"/>
  <c r="M272" i="16" s="1"/>
  <c r="L336" i="16"/>
  <c r="M336" i="16" s="1" a="1"/>
  <c r="M336" i="16" s="1"/>
  <c r="L400" i="16"/>
  <c r="M400" i="16" s="1" a="1"/>
  <c r="M400" i="16" s="1"/>
  <c r="L464" i="16"/>
  <c r="M464" i="16" s="1" a="1"/>
  <c r="M464" i="16" s="1"/>
  <c r="L73" i="16"/>
  <c r="M73" i="16" s="1" a="1"/>
  <c r="M73" i="16" s="1"/>
  <c r="L137" i="16"/>
  <c r="M137" i="16" s="1" a="1"/>
  <c r="M137" i="16" s="1"/>
  <c r="L201" i="16"/>
  <c r="M201" i="16" s="1" a="1"/>
  <c r="M201" i="16" s="1"/>
  <c r="L265" i="16"/>
  <c r="M265" i="16" s="1" a="1"/>
  <c r="M265" i="16" s="1"/>
  <c r="L329" i="16"/>
  <c r="M329" i="16" s="1" a="1"/>
  <c r="M329" i="16" s="1"/>
  <c r="L393" i="16"/>
  <c r="M393" i="16" s="1" a="1"/>
  <c r="M393" i="16" s="1"/>
  <c r="L457" i="16"/>
  <c r="M457" i="16" s="1" a="1"/>
  <c r="M457" i="16" s="1"/>
  <c r="L521" i="16"/>
  <c r="M521" i="16" s="1" a="1"/>
  <c r="M521" i="16" s="1"/>
  <c r="L585" i="16"/>
  <c r="M585" i="16" s="1" a="1"/>
  <c r="M585" i="16" s="1"/>
  <c r="L649" i="16"/>
  <c r="M649" i="16" s="1" a="1"/>
  <c r="M649" i="16" s="1"/>
  <c r="L713" i="16"/>
  <c r="M713" i="16" s="1" a="1"/>
  <c r="M713" i="16" s="1"/>
  <c r="L98" i="16"/>
  <c r="M98" i="16" s="1" a="1"/>
  <c r="M98" i="16" s="1"/>
  <c r="L162" i="16"/>
  <c r="M162" i="16" s="1" a="1"/>
  <c r="M162" i="16" s="1"/>
  <c r="L226" i="16"/>
  <c r="M226" i="16" s="1" a="1"/>
  <c r="M226" i="16" s="1"/>
  <c r="L290" i="16"/>
  <c r="M290" i="16" s="1" a="1"/>
  <c r="M290" i="16" s="1"/>
  <c r="L354" i="16"/>
  <c r="M354" i="16" s="1" a="1"/>
  <c r="M354" i="16" s="1"/>
  <c r="L418" i="16"/>
  <c r="M418" i="16" s="1" a="1"/>
  <c r="M418" i="16" s="1"/>
  <c r="L482" i="16"/>
  <c r="M482" i="16" s="1" a="1"/>
  <c r="M482" i="16" s="1"/>
  <c r="L546" i="16"/>
  <c r="M546" i="16" s="1" a="1"/>
  <c r="M546" i="16" s="1"/>
  <c r="L610" i="16"/>
  <c r="M610" i="16" s="1" a="1"/>
  <c r="M610" i="16" s="1"/>
  <c r="L674" i="16"/>
  <c r="M674" i="16" s="1" a="1"/>
  <c r="M674" i="16" s="1"/>
  <c r="L738" i="16"/>
  <c r="M738" i="16" s="1" a="1"/>
  <c r="M738" i="16" s="1"/>
  <c r="L123" i="16"/>
  <c r="M123" i="16" s="1" a="1"/>
  <c r="M123" i="16" s="1"/>
  <c r="L187" i="16"/>
  <c r="M187" i="16" s="1" a="1"/>
  <c r="M187" i="16" s="1"/>
  <c r="L251" i="16"/>
  <c r="M251" i="16" s="1" a="1"/>
  <c r="M251" i="16" s="1"/>
  <c r="L315" i="16"/>
  <c r="M315" i="16" s="1" a="1"/>
  <c r="M315" i="16" s="1"/>
  <c r="L379" i="16"/>
  <c r="M379" i="16" s="1" a="1"/>
  <c r="M379" i="16" s="1"/>
  <c r="L443" i="16"/>
  <c r="M443" i="16" s="1" a="1"/>
  <c r="M443" i="16" s="1"/>
  <c r="L507" i="16"/>
  <c r="M507" i="16" s="1" a="1"/>
  <c r="M507" i="16" s="1"/>
  <c r="L571" i="16"/>
  <c r="M571" i="16" s="1" a="1"/>
  <c r="M571" i="16" s="1"/>
  <c r="L635" i="16"/>
  <c r="M635" i="16" s="1" a="1"/>
  <c r="M635" i="16" s="1"/>
  <c r="L699" i="16"/>
  <c r="M699" i="16" s="1" a="1"/>
  <c r="M699" i="16" s="1"/>
  <c r="L84" i="16"/>
  <c r="M84" i="16" s="1" a="1"/>
  <c r="M84" i="16" s="1"/>
  <c r="L148" i="16"/>
  <c r="M148" i="16" s="1" a="1"/>
  <c r="M148" i="16" s="1"/>
  <c r="L212" i="16"/>
  <c r="M212" i="16" s="1" a="1"/>
  <c r="M212" i="16" s="1"/>
  <c r="L276" i="16"/>
  <c r="M276" i="16" s="1" a="1"/>
  <c r="M276" i="16" s="1"/>
  <c r="L340" i="16"/>
  <c r="M340" i="16" s="1" a="1"/>
  <c r="M340" i="16" s="1"/>
  <c r="L404" i="16"/>
  <c r="M404" i="16" s="1" a="1"/>
  <c r="M404" i="16" s="1"/>
  <c r="L468" i="16"/>
  <c r="M468" i="16" s="1" a="1"/>
  <c r="M468" i="16" s="1"/>
  <c r="L532" i="16"/>
  <c r="M532" i="16" s="1" a="1"/>
  <c r="M532" i="16" s="1"/>
  <c r="L596" i="16"/>
  <c r="M596" i="16" s="1" a="1"/>
  <c r="M596" i="16" s="1"/>
  <c r="L660" i="16"/>
  <c r="M660" i="16" s="1" a="1"/>
  <c r="M660" i="16" s="1"/>
  <c r="L724" i="16"/>
  <c r="M724" i="16" s="1" a="1"/>
  <c r="M724" i="16" s="1"/>
  <c r="L109" i="16"/>
  <c r="M109" i="16" s="1" a="1"/>
  <c r="M109" i="16" s="1"/>
  <c r="L173" i="16"/>
  <c r="M173" i="16" s="1" a="1"/>
  <c r="M173" i="16" s="1"/>
  <c r="L237" i="16"/>
  <c r="M237" i="16" s="1" a="1"/>
  <c r="M237" i="16" s="1"/>
  <c r="L301" i="16"/>
  <c r="M301" i="16" s="1" a="1"/>
  <c r="M301" i="16" s="1"/>
  <c r="L365" i="16"/>
  <c r="M365" i="16" s="1" a="1"/>
  <c r="M365" i="16" s="1"/>
  <c r="L429" i="16"/>
  <c r="M429" i="16" s="1" a="1"/>
  <c r="M429" i="16" s="1"/>
  <c r="L493" i="16"/>
  <c r="M493" i="16" s="1" a="1"/>
  <c r="M493" i="16" s="1"/>
  <c r="L110" i="16"/>
  <c r="M110" i="16" s="1" a="1"/>
  <c r="M110" i="16" s="1"/>
  <c r="L174" i="16"/>
  <c r="M174" i="16" s="1" a="1"/>
  <c r="M174" i="16" s="1"/>
  <c r="L238" i="16"/>
  <c r="M238" i="16" s="1" a="1"/>
  <c r="M238" i="16" s="1"/>
  <c r="L302" i="16"/>
  <c r="M302" i="16" s="1" a="1"/>
  <c r="M302" i="16" s="1"/>
  <c r="L366" i="16"/>
  <c r="M366" i="16" s="1" a="1"/>
  <c r="M366" i="16" s="1"/>
  <c r="L430" i="16"/>
  <c r="M430" i="16" s="1" a="1"/>
  <c r="M430" i="16" s="1"/>
  <c r="L494" i="16"/>
  <c r="M494" i="16" s="1" a="1"/>
  <c r="M494" i="16" s="1"/>
  <c r="L558" i="16"/>
  <c r="M558" i="16" s="1" a="1"/>
  <c r="M558" i="16" s="1"/>
  <c r="L622" i="16"/>
  <c r="M622" i="16" s="1" a="1"/>
  <c r="M622" i="16" s="1"/>
  <c r="L686" i="16"/>
  <c r="M686" i="16" s="1" a="1"/>
  <c r="M686" i="16" s="1"/>
  <c r="L750" i="16"/>
  <c r="M750" i="16" s="1" a="1"/>
  <c r="M750" i="16" s="1"/>
  <c r="L749" i="16"/>
  <c r="M749" i="16" s="1" a="1"/>
  <c r="M749" i="16" s="1"/>
  <c r="L814" i="16"/>
  <c r="M814" i="16" s="1" a="1"/>
  <c r="M814" i="16" s="1"/>
  <c r="L624" i="16"/>
  <c r="M624" i="16" s="1" a="1"/>
  <c r="M624" i="16" s="1"/>
  <c r="L783" i="16"/>
  <c r="M783" i="16" s="1" a="1"/>
  <c r="M783" i="16" s="1"/>
  <c r="L70" i="16"/>
  <c r="M70" i="16" s="1" a="1"/>
  <c r="M70" i="16" s="1"/>
  <c r="L752" i="16"/>
  <c r="M752" i="16" s="1" a="1"/>
  <c r="M752" i="16" s="1"/>
  <c r="L816" i="16"/>
  <c r="M816" i="16" s="1" a="1"/>
  <c r="M816" i="16" s="1"/>
  <c r="L127" i="16"/>
  <c r="M127" i="16" s="1" a="1"/>
  <c r="M127" i="16" s="1"/>
  <c r="L191" i="16"/>
  <c r="M191" i="16" s="1" a="1"/>
  <c r="M191" i="16" s="1"/>
  <c r="L255" i="16"/>
  <c r="M255" i="16" s="1" a="1"/>
  <c r="M255" i="16" s="1"/>
  <c r="L319" i="16"/>
  <c r="M319" i="16" s="1" a="1"/>
  <c r="M319" i="16" s="1"/>
  <c r="L383" i="16"/>
  <c r="M383" i="16" s="1" a="1"/>
  <c r="M383" i="16" s="1"/>
  <c r="L447" i="16"/>
  <c r="M447" i="16" s="1" a="1"/>
  <c r="M447" i="16" s="1"/>
  <c r="L511" i="16"/>
  <c r="M511" i="16" s="1" a="1"/>
  <c r="M511" i="16" s="1"/>
  <c r="L575" i="16"/>
  <c r="M575" i="16" s="1" a="1"/>
  <c r="M575" i="16" s="1"/>
  <c r="L639" i="16"/>
  <c r="M639" i="16" s="1" a="1"/>
  <c r="M639" i="16" s="1"/>
  <c r="L703" i="16"/>
  <c r="M703" i="16" s="1" a="1"/>
  <c r="M703" i="16" s="1"/>
  <c r="L88" i="16"/>
  <c r="M88" i="16" s="1" a="1"/>
  <c r="M88" i="16" s="1"/>
  <c r="L152" i="16"/>
  <c r="M152" i="16" s="1" a="1"/>
  <c r="M152" i="16" s="1"/>
  <c r="L216" i="16"/>
  <c r="M216" i="16" s="1" a="1"/>
  <c r="M216" i="16" s="1"/>
  <c r="L280" i="16"/>
  <c r="M280" i="16" s="1" a="1"/>
  <c r="M280" i="16" s="1"/>
  <c r="L344" i="16"/>
  <c r="M344" i="16" s="1" a="1"/>
  <c r="M344" i="16" s="1"/>
  <c r="L408" i="16"/>
  <c r="M408" i="16" s="1" a="1"/>
  <c r="M408" i="16" s="1"/>
  <c r="L472" i="16"/>
  <c r="M472" i="16" s="1" a="1"/>
  <c r="M472" i="16" s="1"/>
  <c r="L81" i="16"/>
  <c r="M81" i="16" s="1" a="1"/>
  <c r="M81" i="16" s="1"/>
  <c r="L145" i="16"/>
  <c r="M145" i="16" s="1" a="1"/>
  <c r="M145" i="16" s="1"/>
  <c r="L209" i="16"/>
  <c r="M209" i="16" s="1" a="1"/>
  <c r="M209" i="16" s="1"/>
  <c r="L273" i="16"/>
  <c r="M273" i="16" s="1" a="1"/>
  <c r="M273" i="16" s="1"/>
  <c r="L337" i="16"/>
  <c r="M337" i="16" s="1" a="1"/>
  <c r="M337" i="16" s="1"/>
  <c r="L401" i="16"/>
  <c r="M401" i="16" s="1" a="1"/>
  <c r="M401" i="16" s="1"/>
  <c r="L465" i="16"/>
  <c r="M465" i="16" s="1" a="1"/>
  <c r="M465" i="16" s="1"/>
  <c r="L529" i="16"/>
  <c r="M529" i="16" s="1" a="1"/>
  <c r="M529" i="16" s="1"/>
  <c r="L593" i="16"/>
  <c r="M593" i="16" s="1" a="1"/>
  <c r="M593" i="16" s="1"/>
  <c r="L657" i="16"/>
  <c r="M657" i="16" s="1" a="1"/>
  <c r="M657" i="16" s="1"/>
  <c r="L721" i="16"/>
  <c r="M721" i="16" s="1" a="1"/>
  <c r="M721" i="16" s="1"/>
  <c r="L106" i="16"/>
  <c r="M106" i="16" s="1" a="1"/>
  <c r="M106" i="16" s="1"/>
  <c r="L170" i="16"/>
  <c r="M170" i="16" s="1" a="1"/>
  <c r="M170" i="16" s="1"/>
  <c r="L234" i="16"/>
  <c r="M234" i="16" s="1" a="1"/>
  <c r="M234" i="16" s="1"/>
  <c r="L298" i="16"/>
  <c r="M298" i="16" s="1" a="1"/>
  <c r="M298" i="16" s="1"/>
  <c r="L362" i="16"/>
  <c r="M362" i="16" s="1" a="1"/>
  <c r="M362" i="16" s="1"/>
  <c r="L426" i="16"/>
  <c r="M426" i="16" s="1" a="1"/>
  <c r="M426" i="16" s="1"/>
  <c r="L490" i="16"/>
  <c r="M490" i="16" s="1" a="1"/>
  <c r="M490" i="16" s="1"/>
  <c r="L554" i="16"/>
  <c r="M554" i="16" s="1" a="1"/>
  <c r="M554" i="16" s="1"/>
  <c r="L618" i="16"/>
  <c r="M618" i="16" s="1" a="1"/>
  <c r="M618" i="16" s="1"/>
  <c r="L682" i="16"/>
  <c r="M682" i="16" s="1" a="1"/>
  <c r="M682" i="16" s="1"/>
  <c r="L746" i="16"/>
  <c r="M746" i="16" s="1" a="1"/>
  <c r="M746" i="16" s="1"/>
  <c r="L131" i="16"/>
  <c r="M131" i="16" s="1" a="1"/>
  <c r="M131" i="16" s="1"/>
  <c r="L195" i="16"/>
  <c r="M195" i="16" s="1" a="1"/>
  <c r="M195" i="16" s="1"/>
  <c r="L259" i="16"/>
  <c r="M259" i="16" s="1" a="1"/>
  <c r="M259" i="16" s="1"/>
  <c r="L323" i="16"/>
  <c r="M323" i="16" s="1" a="1"/>
  <c r="M323" i="16" s="1"/>
  <c r="L387" i="16"/>
  <c r="M387" i="16" s="1" a="1"/>
  <c r="M387" i="16" s="1"/>
  <c r="L451" i="16"/>
  <c r="M451" i="16" s="1" a="1"/>
  <c r="M451" i="16" s="1"/>
  <c r="L515" i="16"/>
  <c r="M515" i="16" s="1" a="1"/>
  <c r="M515" i="16" s="1"/>
  <c r="L579" i="16"/>
  <c r="M579" i="16" s="1" a="1"/>
  <c r="M579" i="16" s="1"/>
  <c r="L643" i="16"/>
  <c r="M643" i="16" s="1" a="1"/>
  <c r="M643" i="16" s="1"/>
  <c r="L707" i="16"/>
  <c r="M707" i="16" s="1" a="1"/>
  <c r="M707" i="16" s="1"/>
  <c r="L92" i="16"/>
  <c r="M92" i="16" s="1" a="1"/>
  <c r="M92" i="16" s="1"/>
  <c r="L156" i="16"/>
  <c r="M156" i="16" s="1" a="1"/>
  <c r="M156" i="16" s="1"/>
  <c r="L220" i="16"/>
  <c r="M220" i="16" s="1" a="1"/>
  <c r="M220" i="16" s="1"/>
  <c r="L284" i="16"/>
  <c r="M284" i="16" s="1" a="1"/>
  <c r="M284" i="16" s="1"/>
  <c r="L348" i="16"/>
  <c r="M348" i="16" s="1" a="1"/>
  <c r="M348" i="16" s="1"/>
  <c r="L412" i="16"/>
  <c r="M412" i="16" s="1" a="1"/>
  <c r="M412" i="16" s="1"/>
  <c r="L476" i="16"/>
  <c r="M476" i="16" s="1" a="1"/>
  <c r="M476" i="16" s="1"/>
  <c r="L540" i="16"/>
  <c r="M540" i="16" s="1" a="1"/>
  <c r="M540" i="16" s="1"/>
  <c r="L604" i="16"/>
  <c r="M604" i="16" s="1" a="1"/>
  <c r="M604" i="16" s="1"/>
  <c r="L668" i="16"/>
  <c r="M668" i="16" s="1" a="1"/>
  <c r="M668" i="16" s="1"/>
  <c r="L732" i="16"/>
  <c r="M732" i="16" s="1" a="1"/>
  <c r="M732" i="16" s="1"/>
  <c r="L117" i="16"/>
  <c r="M117" i="16" s="1" a="1"/>
  <c r="M117" i="16" s="1"/>
  <c r="L181" i="16"/>
  <c r="M181" i="16" s="1" a="1"/>
  <c r="M181" i="16" s="1"/>
  <c r="L245" i="16"/>
  <c r="M245" i="16" s="1" a="1"/>
  <c r="M245" i="16" s="1"/>
  <c r="L309" i="16"/>
  <c r="M309" i="16" s="1" a="1"/>
  <c r="M309" i="16" s="1"/>
  <c r="L373" i="16"/>
  <c r="M373" i="16" s="1" a="1"/>
  <c r="M373" i="16" s="1"/>
  <c r="L437" i="16"/>
  <c r="M437" i="16" s="1" a="1"/>
  <c r="M437" i="16" s="1"/>
  <c r="L501" i="16"/>
  <c r="M501" i="16" s="1" a="1"/>
  <c r="M501" i="16" s="1"/>
  <c r="L118" i="16"/>
  <c r="M118" i="16" s="1" a="1"/>
  <c r="M118" i="16" s="1"/>
  <c r="L182" i="16"/>
  <c r="M182" i="16" s="1" a="1"/>
  <c r="M182" i="16" s="1"/>
  <c r="L246" i="16"/>
  <c r="M246" i="16" s="1" a="1"/>
  <c r="M246" i="16" s="1"/>
  <c r="L310" i="16"/>
  <c r="M310" i="16" s="1" a="1"/>
  <c r="M310" i="16" s="1"/>
  <c r="L374" i="16"/>
  <c r="M374" i="16" s="1" a="1"/>
  <c r="M374" i="16" s="1"/>
  <c r="L438" i="16"/>
  <c r="M438" i="16" s="1" a="1"/>
  <c r="M438" i="16" s="1"/>
  <c r="L502" i="16"/>
  <c r="M502" i="16" s="1" a="1"/>
  <c r="M502" i="16" s="1"/>
  <c r="L566" i="16"/>
  <c r="M566" i="16" s="1" a="1"/>
  <c r="M566" i="16" s="1"/>
  <c r="L630" i="16"/>
  <c r="M630" i="16" s="1" a="1"/>
  <c r="M630" i="16" s="1"/>
  <c r="L694" i="16"/>
  <c r="M694" i="16" s="1" a="1"/>
  <c r="M694" i="16" s="1"/>
  <c r="L525" i="16"/>
  <c r="M525" i="16" s="1" a="1"/>
  <c r="M525" i="16" s="1"/>
  <c r="L758" i="16"/>
  <c r="M758" i="16" s="1" a="1"/>
  <c r="M758" i="16" s="1"/>
  <c r="L71" i="16"/>
  <c r="M71" i="16" s="1" a="1"/>
  <c r="M71" i="16" s="1"/>
  <c r="L135" i="16"/>
  <c r="M135" i="16" s="1" a="1"/>
  <c r="M135" i="16" s="1"/>
  <c r="L199" i="16"/>
  <c r="M199" i="16" s="1" a="1"/>
  <c r="M199" i="16" s="1"/>
  <c r="L263" i="16"/>
  <c r="M263" i="16" s="1" a="1"/>
  <c r="M263" i="16" s="1"/>
  <c r="L327" i="16"/>
  <c r="M327" i="16" s="1" a="1"/>
  <c r="M327" i="16" s="1"/>
  <c r="L391" i="16"/>
  <c r="M391" i="16" s="1" a="1"/>
  <c r="M391" i="16" s="1"/>
  <c r="L455" i="16"/>
  <c r="M455" i="16" s="1" a="1"/>
  <c r="M455" i="16" s="1"/>
  <c r="L519" i="16"/>
  <c r="M519" i="16" s="1" a="1"/>
  <c r="M519" i="16" s="1"/>
  <c r="L583" i="16"/>
  <c r="M583" i="16" s="1" a="1"/>
  <c r="M583" i="16" s="1"/>
  <c r="L647" i="16"/>
  <c r="M647" i="16" s="1" a="1"/>
  <c r="M647" i="16" s="1"/>
  <c r="L711" i="16"/>
  <c r="M711" i="16" s="1" a="1"/>
  <c r="M711" i="16" s="1"/>
  <c r="L96" i="16"/>
  <c r="M96" i="16" s="1" a="1"/>
  <c r="M96" i="16" s="1"/>
  <c r="L160" i="16"/>
  <c r="M160" i="16" s="1" a="1"/>
  <c r="M160" i="16" s="1"/>
  <c r="L224" i="16"/>
  <c r="M224" i="16" s="1" a="1"/>
  <c r="M224" i="16" s="1"/>
  <c r="L288" i="16"/>
  <c r="M288" i="16" s="1" a="1"/>
  <c r="M288" i="16" s="1"/>
  <c r="L352" i="16"/>
  <c r="M352" i="16" s="1" a="1"/>
  <c r="M352" i="16" s="1"/>
  <c r="L416" i="16"/>
  <c r="M416" i="16" s="1" a="1"/>
  <c r="M416" i="16" s="1"/>
  <c r="L480" i="16"/>
  <c r="M480" i="16" s="1" a="1"/>
  <c r="M480" i="16" s="1"/>
  <c r="L89" i="16"/>
  <c r="M89" i="16" s="1" a="1"/>
  <c r="M89" i="16" s="1"/>
  <c r="L153" i="16"/>
  <c r="M153" i="16" s="1" a="1"/>
  <c r="M153" i="16" s="1"/>
  <c r="L217" i="16"/>
  <c r="M217" i="16" s="1" a="1"/>
  <c r="M217" i="16" s="1"/>
  <c r="L281" i="16"/>
  <c r="M281" i="16" s="1" a="1"/>
  <c r="M281" i="16" s="1"/>
  <c r="L345" i="16"/>
  <c r="M345" i="16" s="1" a="1"/>
  <c r="M345" i="16" s="1"/>
  <c r="L409" i="16"/>
  <c r="M409" i="16" s="1" a="1"/>
  <c r="M409" i="16" s="1"/>
  <c r="L473" i="16"/>
  <c r="M473" i="16" s="1" a="1"/>
  <c r="M473" i="16" s="1"/>
  <c r="L537" i="16"/>
  <c r="M537" i="16" s="1" a="1"/>
  <c r="M537" i="16" s="1"/>
  <c r="L601" i="16"/>
  <c r="M601" i="16" s="1" a="1"/>
  <c r="M601" i="16" s="1"/>
  <c r="L665" i="16"/>
  <c r="M665" i="16" s="1" a="1"/>
  <c r="M665" i="16" s="1"/>
  <c r="L729" i="16"/>
  <c r="M729" i="16" s="1" a="1"/>
  <c r="M729" i="16" s="1"/>
  <c r="L114" i="16"/>
  <c r="M114" i="16" s="1" a="1"/>
  <c r="M114" i="16" s="1"/>
  <c r="L178" i="16"/>
  <c r="M178" i="16" s="1" a="1"/>
  <c r="M178" i="16" s="1"/>
  <c r="L242" i="16"/>
  <c r="M242" i="16" s="1" a="1"/>
  <c r="M242" i="16" s="1"/>
  <c r="L306" i="16"/>
  <c r="M306" i="16" s="1" a="1"/>
  <c r="M306" i="16" s="1"/>
  <c r="L370" i="16"/>
  <c r="M370" i="16" s="1" a="1"/>
  <c r="M370" i="16" s="1"/>
  <c r="L434" i="16"/>
  <c r="M434" i="16" s="1" a="1"/>
  <c r="M434" i="16" s="1"/>
  <c r="L498" i="16"/>
  <c r="M498" i="16" s="1" a="1"/>
  <c r="M498" i="16" s="1"/>
  <c r="L562" i="16"/>
  <c r="M562" i="16" s="1" a="1"/>
  <c r="M562" i="16" s="1"/>
  <c r="L626" i="16"/>
  <c r="M626" i="16" s="1" a="1"/>
  <c r="M626" i="16" s="1"/>
  <c r="L690" i="16"/>
  <c r="M690" i="16" s="1" a="1"/>
  <c r="M690" i="16" s="1"/>
  <c r="L75" i="16"/>
  <c r="M75" i="16" s="1" a="1"/>
  <c r="M75" i="16" s="1"/>
  <c r="L139" i="16"/>
  <c r="M139" i="16" s="1" a="1"/>
  <c r="M139" i="16" s="1"/>
  <c r="L203" i="16"/>
  <c r="M203" i="16" s="1" a="1"/>
  <c r="M203" i="16" s="1"/>
  <c r="L267" i="16"/>
  <c r="M267" i="16" s="1" a="1"/>
  <c r="M267" i="16" s="1"/>
  <c r="L331" i="16"/>
  <c r="M331" i="16" s="1" a="1"/>
  <c r="M331" i="16" s="1"/>
  <c r="L395" i="16"/>
  <c r="M395" i="16" s="1" a="1"/>
  <c r="M395" i="16" s="1"/>
  <c r="L459" i="16"/>
  <c r="M459" i="16" s="1" a="1"/>
  <c r="M459" i="16" s="1"/>
  <c r="L523" i="16"/>
  <c r="M523" i="16" s="1" a="1"/>
  <c r="M523" i="16" s="1"/>
  <c r="L587" i="16"/>
  <c r="M587" i="16" s="1" a="1"/>
  <c r="M587" i="16" s="1"/>
  <c r="L651" i="16"/>
  <c r="M651" i="16" s="1" a="1"/>
  <c r="M651" i="16" s="1"/>
  <c r="L715" i="16"/>
  <c r="M715" i="16" s="1" a="1"/>
  <c r="M715" i="16" s="1"/>
  <c r="L100" i="16"/>
  <c r="M100" i="16" s="1" a="1"/>
  <c r="M100" i="16" s="1"/>
  <c r="L164" i="16"/>
  <c r="M164" i="16" s="1" a="1"/>
  <c r="M164" i="16" s="1"/>
  <c r="L228" i="16"/>
  <c r="M228" i="16" s="1" a="1"/>
  <c r="M228" i="16" s="1"/>
  <c r="L292" i="16"/>
  <c r="M292" i="16" s="1" a="1"/>
  <c r="M292" i="16" s="1"/>
  <c r="L356" i="16"/>
  <c r="M356" i="16" s="1" a="1"/>
  <c r="M356" i="16" s="1"/>
  <c r="L420" i="16"/>
  <c r="M420" i="16" s="1" a="1"/>
  <c r="M420" i="16" s="1"/>
  <c r="L484" i="16"/>
  <c r="M484" i="16" s="1" a="1"/>
  <c r="M484" i="16" s="1"/>
  <c r="L548" i="16"/>
  <c r="M548" i="16" s="1" a="1"/>
  <c r="M548" i="16" s="1"/>
  <c r="L612" i="16"/>
  <c r="M612" i="16" s="1" a="1"/>
  <c r="M612" i="16" s="1"/>
  <c r="L676" i="16"/>
  <c r="M676" i="16" s="1" a="1"/>
  <c r="M676" i="16" s="1"/>
  <c r="L740" i="16"/>
  <c r="M740" i="16" s="1" a="1"/>
  <c r="M740" i="16" s="1"/>
  <c r="L125" i="16"/>
  <c r="M125" i="16" s="1" a="1"/>
  <c r="M125" i="16" s="1"/>
  <c r="L189" i="16"/>
  <c r="M189" i="16" s="1" a="1"/>
  <c r="M189" i="16" s="1"/>
  <c r="L253" i="16"/>
  <c r="M253" i="16" s="1" a="1"/>
  <c r="M253" i="16" s="1"/>
  <c r="L317" i="16"/>
  <c r="M317" i="16" s="1" a="1"/>
  <c r="M317" i="16" s="1"/>
  <c r="L381" i="16"/>
  <c r="M381" i="16" s="1" a="1"/>
  <c r="M381" i="16" s="1"/>
  <c r="L445" i="16"/>
  <c r="M445" i="16" s="1" a="1"/>
  <c r="M445" i="16" s="1"/>
  <c r="L509" i="16"/>
  <c r="M509" i="16" s="1" a="1"/>
  <c r="M509" i="16" s="1"/>
  <c r="L126" i="16"/>
  <c r="M126" i="16" s="1" a="1"/>
  <c r="M126" i="16" s="1"/>
  <c r="L190" i="16"/>
  <c r="M190" i="16" s="1" a="1"/>
  <c r="M190" i="16" s="1"/>
  <c r="L254" i="16"/>
  <c r="M254" i="16" s="1" a="1"/>
  <c r="M254" i="16" s="1"/>
  <c r="L318" i="16"/>
  <c r="M318" i="16" s="1" a="1"/>
  <c r="M318" i="16" s="1"/>
  <c r="L382" i="16"/>
  <c r="M382" i="16" s="1" a="1"/>
  <c r="M382" i="16" s="1"/>
  <c r="L446" i="16"/>
  <c r="M446" i="16" s="1" a="1"/>
  <c r="M446" i="16" s="1"/>
  <c r="L510" i="16"/>
  <c r="M510" i="16" s="1" a="1"/>
  <c r="M510" i="16" s="1"/>
  <c r="L574" i="16"/>
  <c r="M574" i="16" s="1" a="1"/>
  <c r="M574" i="16" s="1"/>
  <c r="L638" i="16"/>
  <c r="M638" i="16" s="1" a="1"/>
  <c r="M638" i="16" s="1"/>
  <c r="L702" i="16"/>
  <c r="M702" i="16" s="1" a="1"/>
  <c r="M702" i="16" s="1"/>
  <c r="L557" i="16"/>
  <c r="M557" i="16" s="1" a="1"/>
  <c r="M557" i="16" s="1"/>
  <c r="L766" i="16"/>
  <c r="M766" i="16" s="1" a="1"/>
  <c r="M766" i="16" s="1"/>
  <c r="L830" i="16"/>
  <c r="M830" i="16" s="1" a="1"/>
  <c r="M830" i="16" s="1"/>
  <c r="L688" i="16"/>
  <c r="M688" i="16" s="1" a="1"/>
  <c r="M688" i="16" s="1"/>
  <c r="L799" i="16"/>
  <c r="M799" i="16" s="1" a="1"/>
  <c r="M799" i="16" s="1"/>
  <c r="L143" i="16"/>
  <c r="M143" i="16" s="1" a="1"/>
  <c r="M143" i="16" s="1"/>
  <c r="L207" i="16"/>
  <c r="M207" i="16" s="1" a="1"/>
  <c r="M207" i="16" s="1"/>
  <c r="L271" i="16"/>
  <c r="M271" i="16" s="1" a="1"/>
  <c r="M271" i="16" s="1"/>
  <c r="L335" i="16"/>
  <c r="M335" i="16" s="1" a="1"/>
  <c r="M335" i="16" s="1"/>
  <c r="L399" i="16"/>
  <c r="M399" i="16" s="1" a="1"/>
  <c r="M399" i="16" s="1"/>
  <c r="L463" i="16"/>
  <c r="M463" i="16" s="1" a="1"/>
  <c r="M463" i="16" s="1"/>
  <c r="L527" i="16"/>
  <c r="M527" i="16" s="1" a="1"/>
  <c r="M527" i="16" s="1"/>
  <c r="L591" i="16"/>
  <c r="M591" i="16" s="1" a="1"/>
  <c r="M591" i="16" s="1"/>
  <c r="L655" i="16"/>
  <c r="M655" i="16" s="1" a="1"/>
  <c r="M655" i="16" s="1"/>
  <c r="L719" i="16"/>
  <c r="M719" i="16" s="1" a="1"/>
  <c r="M719" i="16" s="1"/>
  <c r="L104" i="16"/>
  <c r="M104" i="16" s="1" a="1"/>
  <c r="M104" i="16" s="1"/>
  <c r="L168" i="16"/>
  <c r="M168" i="16" s="1" a="1"/>
  <c r="M168" i="16" s="1"/>
  <c r="L232" i="16"/>
  <c r="M232" i="16" s="1" a="1"/>
  <c r="M232" i="16" s="1"/>
  <c r="L296" i="16"/>
  <c r="M296" i="16" s="1" a="1"/>
  <c r="M296" i="16" s="1"/>
  <c r="L360" i="16"/>
  <c r="M360" i="16" s="1" a="1"/>
  <c r="M360" i="16" s="1"/>
  <c r="L424" i="16"/>
  <c r="M424" i="16" s="1" a="1"/>
  <c r="M424" i="16" s="1"/>
  <c r="L488" i="16"/>
  <c r="M488" i="16" s="1" a="1"/>
  <c r="M488" i="16" s="1"/>
  <c r="L97" i="16"/>
  <c r="M97" i="16" s="1" a="1"/>
  <c r="M97" i="16" s="1"/>
  <c r="L161" i="16"/>
  <c r="M161" i="16" s="1" a="1"/>
  <c r="M161" i="16" s="1"/>
  <c r="L225" i="16"/>
  <c r="M225" i="16" s="1" a="1"/>
  <c r="M225" i="16" s="1"/>
  <c r="L289" i="16"/>
  <c r="M289" i="16" s="1" a="1"/>
  <c r="M289" i="16" s="1"/>
  <c r="L353" i="16"/>
  <c r="M353" i="16" s="1" a="1"/>
  <c r="M353" i="16" s="1"/>
  <c r="L417" i="16"/>
  <c r="M417" i="16" s="1" a="1"/>
  <c r="M417" i="16" s="1"/>
  <c r="L481" i="16"/>
  <c r="M481" i="16" s="1" a="1"/>
  <c r="M481" i="16" s="1"/>
  <c r="L545" i="16"/>
  <c r="M545" i="16" s="1" a="1"/>
  <c r="M545" i="16" s="1"/>
  <c r="L609" i="16"/>
  <c r="M609" i="16" s="1" a="1"/>
  <c r="M609" i="16" s="1"/>
  <c r="L673" i="16"/>
  <c r="M673" i="16" s="1" a="1"/>
  <c r="M673" i="16" s="1"/>
  <c r="L737" i="16"/>
  <c r="M737" i="16" s="1" a="1"/>
  <c r="M737" i="16" s="1"/>
  <c r="L122" i="16"/>
  <c r="M122" i="16" s="1" a="1"/>
  <c r="M122" i="16" s="1"/>
  <c r="L186" i="16"/>
  <c r="M186" i="16" s="1" a="1"/>
  <c r="M186" i="16" s="1"/>
  <c r="L250" i="16"/>
  <c r="M250" i="16" s="1" a="1"/>
  <c r="M250" i="16" s="1"/>
  <c r="L314" i="16"/>
  <c r="M314" i="16" s="1" a="1"/>
  <c r="M314" i="16" s="1"/>
  <c r="L378" i="16"/>
  <c r="M378" i="16" s="1" a="1"/>
  <c r="M378" i="16" s="1"/>
  <c r="L442" i="16"/>
  <c r="M442" i="16" s="1" a="1"/>
  <c r="M442" i="16" s="1"/>
  <c r="L506" i="16"/>
  <c r="M506" i="16" s="1" a="1"/>
  <c r="M506" i="16" s="1"/>
  <c r="L570" i="16"/>
  <c r="M570" i="16" s="1" a="1"/>
  <c r="M570" i="16" s="1"/>
  <c r="L634" i="16"/>
  <c r="M634" i="16" s="1" a="1"/>
  <c r="M634" i="16" s="1"/>
  <c r="L698" i="16"/>
  <c r="M698" i="16" s="1" a="1"/>
  <c r="M698" i="16" s="1"/>
  <c r="L83" i="16"/>
  <c r="M83" i="16" s="1" a="1"/>
  <c r="M83" i="16" s="1"/>
  <c r="L147" i="16"/>
  <c r="M147" i="16" s="1" a="1"/>
  <c r="M147" i="16" s="1"/>
  <c r="L211" i="16"/>
  <c r="M211" i="16" s="1" a="1"/>
  <c r="M211" i="16" s="1"/>
  <c r="L275" i="16"/>
  <c r="M275" i="16" s="1" a="1"/>
  <c r="M275" i="16" s="1"/>
  <c r="L339" i="16"/>
  <c r="M339" i="16" s="1" a="1"/>
  <c r="M339" i="16" s="1"/>
  <c r="L403" i="16"/>
  <c r="M403" i="16" s="1" a="1"/>
  <c r="M403" i="16" s="1"/>
  <c r="L467" i="16"/>
  <c r="M467" i="16" s="1" a="1"/>
  <c r="M467" i="16" s="1"/>
  <c r="L531" i="16"/>
  <c r="M531" i="16" s="1" a="1"/>
  <c r="M531" i="16" s="1"/>
  <c r="L595" i="16"/>
  <c r="M595" i="16" s="1" a="1"/>
  <c r="M595" i="16" s="1"/>
  <c r="L659" i="16"/>
  <c r="M659" i="16" s="1" a="1"/>
  <c r="M659" i="16" s="1"/>
  <c r="L723" i="16"/>
  <c r="M723" i="16" s="1" a="1"/>
  <c r="M723" i="16" s="1"/>
  <c r="L108" i="16"/>
  <c r="M108" i="16" s="1" a="1"/>
  <c r="M108" i="16" s="1"/>
  <c r="L172" i="16"/>
  <c r="M172" i="16" s="1" a="1"/>
  <c r="M172" i="16" s="1"/>
  <c r="L236" i="16"/>
  <c r="M236" i="16" s="1" a="1"/>
  <c r="M236" i="16" s="1"/>
  <c r="L300" i="16"/>
  <c r="M300" i="16" s="1" a="1"/>
  <c r="M300" i="16" s="1"/>
  <c r="L364" i="16"/>
  <c r="M364" i="16" s="1" a="1"/>
  <c r="M364" i="16" s="1"/>
  <c r="L428" i="16"/>
  <c r="M428" i="16" s="1" a="1"/>
  <c r="M428" i="16" s="1"/>
  <c r="L492" i="16"/>
  <c r="M492" i="16" s="1" a="1"/>
  <c r="M492" i="16" s="1"/>
  <c r="L556" i="16"/>
  <c r="M556" i="16" s="1" a="1"/>
  <c r="M556" i="16" s="1"/>
  <c r="L620" i="16"/>
  <c r="M620" i="16" s="1" a="1"/>
  <c r="M620" i="16" s="1"/>
  <c r="L684" i="16"/>
  <c r="M684" i="16" s="1" a="1"/>
  <c r="M684" i="16" s="1"/>
  <c r="L748" i="16"/>
  <c r="M748" i="16" s="1" a="1"/>
  <c r="M748" i="16" s="1"/>
  <c r="L133" i="16"/>
  <c r="M133" i="16" s="1" a="1"/>
  <c r="M133" i="16" s="1"/>
  <c r="L197" i="16"/>
  <c r="M197" i="16" s="1" a="1"/>
  <c r="M197" i="16" s="1"/>
  <c r="L261" i="16"/>
  <c r="M261" i="16" s="1" a="1"/>
  <c r="M261" i="16" s="1"/>
  <c r="L325" i="16"/>
  <c r="M325" i="16" s="1" a="1"/>
  <c r="M325" i="16" s="1"/>
  <c r="L389" i="16"/>
  <c r="M389" i="16" s="1" a="1"/>
  <c r="M389" i="16" s="1"/>
  <c r="L453" i="16"/>
  <c r="M453" i="16" s="1" a="1"/>
  <c r="M453" i="16" s="1"/>
  <c r="L517" i="16"/>
  <c r="M517" i="16" s="1" a="1"/>
  <c r="M517" i="16" s="1"/>
  <c r="L134" i="16"/>
  <c r="M134" i="16" s="1" a="1"/>
  <c r="M134" i="16" s="1"/>
  <c r="L198" i="16"/>
  <c r="M198" i="16" s="1" a="1"/>
  <c r="M198" i="16" s="1"/>
  <c r="L262" i="16"/>
  <c r="M262" i="16" s="1" a="1"/>
  <c r="M262" i="16" s="1"/>
  <c r="L326" i="16"/>
  <c r="M326" i="16" s="1" a="1"/>
  <c r="M326" i="16" s="1"/>
  <c r="L390" i="16"/>
  <c r="M390" i="16" s="1" a="1"/>
  <c r="M390" i="16" s="1"/>
  <c r="L454" i="16"/>
  <c r="M454" i="16" s="1" a="1"/>
  <c r="M454" i="16" s="1"/>
  <c r="L518" i="16"/>
  <c r="M518" i="16" s="1" a="1"/>
  <c r="M518" i="16" s="1"/>
  <c r="L582" i="16"/>
  <c r="M582" i="16" s="1" a="1"/>
  <c r="M582" i="16" s="1"/>
  <c r="L646" i="16"/>
  <c r="M646" i="16" s="1" a="1"/>
  <c r="M646" i="16" s="1"/>
  <c r="L710" i="16"/>
  <c r="M710" i="16" s="1" a="1"/>
  <c r="M710" i="16" s="1"/>
  <c r="L589" i="16"/>
  <c r="M589" i="16" s="1" a="1"/>
  <c r="M589" i="16" s="1"/>
  <c r="L774" i="16"/>
  <c r="M774" i="16" s="1" a="1"/>
  <c r="M774" i="16" s="1"/>
  <c r="L838" i="16"/>
  <c r="M838" i="16" s="1" a="1"/>
  <c r="M838" i="16" s="1"/>
  <c r="L720" i="16"/>
  <c r="M720" i="16" s="1" a="1"/>
  <c r="M720" i="16" s="1"/>
  <c r="L807" i="16"/>
  <c r="M807" i="16" s="1" a="1"/>
  <c r="M807" i="16" s="1"/>
  <c r="L597" i="16"/>
  <c r="M597" i="16" s="1" a="1"/>
  <c r="M597" i="16" s="1"/>
  <c r="L776" i="16"/>
  <c r="M776" i="16" s="1" a="1"/>
  <c r="M776" i="16" s="1"/>
  <c r="L87" i="16"/>
  <c r="M87" i="16" s="1" a="1"/>
  <c r="M87" i="16" s="1"/>
  <c r="L151" i="16"/>
  <c r="M151" i="16" s="1" a="1"/>
  <c r="M151" i="16" s="1"/>
  <c r="L215" i="16"/>
  <c r="M215" i="16" s="1" a="1"/>
  <c r="M215" i="16" s="1"/>
  <c r="L279" i="16"/>
  <c r="M279" i="16" s="1" a="1"/>
  <c r="M279" i="16" s="1"/>
  <c r="L343" i="16"/>
  <c r="M343" i="16" s="1" a="1"/>
  <c r="M343" i="16" s="1"/>
  <c r="L407" i="16"/>
  <c r="M407" i="16" s="1" a="1"/>
  <c r="M407" i="16" s="1"/>
  <c r="L471" i="16"/>
  <c r="M471" i="16" s="1" a="1"/>
  <c r="M471" i="16" s="1"/>
  <c r="L535" i="16"/>
  <c r="M535" i="16" s="1" a="1"/>
  <c r="M535" i="16" s="1"/>
  <c r="L599" i="16"/>
  <c r="M599" i="16" s="1" a="1"/>
  <c r="M599" i="16" s="1"/>
  <c r="L663" i="16"/>
  <c r="M663" i="16" s="1" a="1"/>
  <c r="M663" i="16" s="1"/>
  <c r="L727" i="16"/>
  <c r="M727" i="16" s="1" a="1"/>
  <c r="M727" i="16" s="1"/>
  <c r="L112" i="16"/>
  <c r="M112" i="16" s="1" a="1"/>
  <c r="M112" i="16" s="1"/>
  <c r="L176" i="16"/>
  <c r="M176" i="16" s="1" a="1"/>
  <c r="M176" i="16" s="1"/>
  <c r="L240" i="16"/>
  <c r="M240" i="16" s="1" a="1"/>
  <c r="M240" i="16" s="1"/>
  <c r="L304" i="16"/>
  <c r="M304" i="16" s="1" a="1"/>
  <c r="M304" i="16" s="1"/>
  <c r="L368" i="16"/>
  <c r="M368" i="16" s="1" a="1"/>
  <c r="M368" i="16" s="1"/>
  <c r="L432" i="16"/>
  <c r="M432" i="16" s="1" a="1"/>
  <c r="M432" i="16" s="1"/>
  <c r="L496" i="16"/>
  <c r="M496" i="16" s="1" a="1"/>
  <c r="M496" i="16" s="1"/>
  <c r="L105" i="16"/>
  <c r="M105" i="16" s="1" a="1"/>
  <c r="M105" i="16" s="1"/>
  <c r="L169" i="16"/>
  <c r="M169" i="16" s="1" a="1"/>
  <c r="M169" i="16" s="1"/>
  <c r="L233" i="16"/>
  <c r="M233" i="16" s="1" a="1"/>
  <c r="M233" i="16" s="1"/>
  <c r="L297" i="16"/>
  <c r="M297" i="16" s="1" a="1"/>
  <c r="M297" i="16" s="1"/>
  <c r="L361" i="16"/>
  <c r="M361" i="16" s="1" a="1"/>
  <c r="M361" i="16" s="1"/>
  <c r="L425" i="16"/>
  <c r="M425" i="16" s="1" a="1"/>
  <c r="M425" i="16" s="1"/>
  <c r="L489" i="16"/>
  <c r="M489" i="16" s="1" a="1"/>
  <c r="M489" i="16" s="1"/>
  <c r="L553" i="16"/>
  <c r="M553" i="16" s="1" a="1"/>
  <c r="M553" i="16" s="1"/>
  <c r="L617" i="16"/>
  <c r="M617" i="16" s="1" a="1"/>
  <c r="M617" i="16" s="1"/>
  <c r="L681" i="16"/>
  <c r="M681" i="16" s="1" a="1"/>
  <c r="M681" i="16" s="1"/>
  <c r="L745" i="16"/>
  <c r="M745" i="16" s="1" a="1"/>
  <c r="M745" i="16" s="1"/>
  <c r="L130" i="16"/>
  <c r="M130" i="16" s="1" a="1"/>
  <c r="M130" i="16" s="1"/>
  <c r="L194" i="16"/>
  <c r="M194" i="16" s="1" a="1"/>
  <c r="M194" i="16" s="1"/>
  <c r="L258" i="16"/>
  <c r="M258" i="16" s="1" a="1"/>
  <c r="M258" i="16" s="1"/>
  <c r="L322" i="16"/>
  <c r="M322" i="16" s="1" a="1"/>
  <c r="M322" i="16" s="1"/>
  <c r="L386" i="16"/>
  <c r="M386" i="16" s="1" a="1"/>
  <c r="M386" i="16" s="1"/>
  <c r="L450" i="16"/>
  <c r="M450" i="16" s="1" a="1"/>
  <c r="M450" i="16" s="1"/>
  <c r="L514" i="16"/>
  <c r="M514" i="16" s="1" a="1"/>
  <c r="M514" i="16" s="1"/>
  <c r="L578" i="16"/>
  <c r="M578" i="16" s="1" a="1"/>
  <c r="M578" i="16" s="1"/>
  <c r="L642" i="16"/>
  <c r="M642" i="16" s="1" a="1"/>
  <c r="M642" i="16" s="1"/>
  <c r="L706" i="16"/>
  <c r="M706" i="16" s="1" a="1"/>
  <c r="M706" i="16" s="1"/>
  <c r="L91" i="16"/>
  <c r="M91" i="16" s="1" a="1"/>
  <c r="M91" i="16" s="1"/>
  <c r="L155" i="16"/>
  <c r="M155" i="16" s="1" a="1"/>
  <c r="M155" i="16" s="1"/>
  <c r="L219" i="16"/>
  <c r="M219" i="16" s="1" a="1"/>
  <c r="M219" i="16" s="1"/>
  <c r="L283" i="16"/>
  <c r="M283" i="16" s="1" a="1"/>
  <c r="M283" i="16" s="1"/>
  <c r="L347" i="16"/>
  <c r="M347" i="16" s="1" a="1"/>
  <c r="M347" i="16" s="1"/>
  <c r="L411" i="16"/>
  <c r="M411" i="16" s="1" a="1"/>
  <c r="M411" i="16" s="1"/>
  <c r="L475" i="16"/>
  <c r="M475" i="16" s="1" a="1"/>
  <c r="M475" i="16" s="1"/>
  <c r="L539" i="16"/>
  <c r="M539" i="16" s="1" a="1"/>
  <c r="M539" i="16" s="1"/>
  <c r="L603" i="16"/>
  <c r="M603" i="16" s="1" a="1"/>
  <c r="M603" i="16" s="1"/>
  <c r="L667" i="16"/>
  <c r="M667" i="16" s="1" a="1"/>
  <c r="M667" i="16" s="1"/>
  <c r="L731" i="16"/>
  <c r="M731" i="16" s="1" a="1"/>
  <c r="M731" i="16" s="1"/>
  <c r="L116" i="16"/>
  <c r="M116" i="16" s="1" a="1"/>
  <c r="M116" i="16" s="1"/>
  <c r="L180" i="16"/>
  <c r="M180" i="16" s="1" a="1"/>
  <c r="M180" i="16" s="1"/>
  <c r="L244" i="16"/>
  <c r="M244" i="16" s="1" a="1"/>
  <c r="M244" i="16" s="1"/>
  <c r="L308" i="16"/>
  <c r="M308" i="16" s="1" a="1"/>
  <c r="M308" i="16" s="1"/>
  <c r="L372" i="16"/>
  <c r="M372" i="16" s="1" a="1"/>
  <c r="M372" i="16" s="1"/>
  <c r="L436" i="16"/>
  <c r="M436" i="16" s="1" a="1"/>
  <c r="M436" i="16" s="1"/>
  <c r="L500" i="16"/>
  <c r="M500" i="16" s="1" a="1"/>
  <c r="M500" i="16" s="1"/>
  <c r="L564" i="16"/>
  <c r="M564" i="16" s="1" a="1"/>
  <c r="M564" i="16" s="1"/>
  <c r="L628" i="16"/>
  <c r="M628" i="16" s="1" a="1"/>
  <c r="M628" i="16" s="1"/>
  <c r="L692" i="16"/>
  <c r="M692" i="16" s="1" a="1"/>
  <c r="M692" i="16" s="1"/>
  <c r="L77" i="16"/>
  <c r="M77" i="16" s="1" a="1"/>
  <c r="M77" i="16" s="1"/>
  <c r="L141" i="16"/>
  <c r="M141" i="16" s="1" a="1"/>
  <c r="M141" i="16" s="1"/>
  <c r="L205" i="16"/>
  <c r="M205" i="16" s="1" a="1"/>
  <c r="M205" i="16" s="1"/>
  <c r="L269" i="16"/>
  <c r="M269" i="16" s="1" a="1"/>
  <c r="M269" i="16" s="1"/>
  <c r="L333" i="16"/>
  <c r="M333" i="16" s="1" a="1"/>
  <c r="M333" i="16" s="1"/>
  <c r="L397" i="16"/>
  <c r="M397" i="16" s="1" a="1"/>
  <c r="M397" i="16" s="1"/>
  <c r="L461" i="16"/>
  <c r="M461" i="16" s="1" a="1"/>
  <c r="M461" i="16" s="1"/>
  <c r="L78" i="16"/>
  <c r="M78" i="16" s="1" a="1"/>
  <c r="M78" i="16" s="1"/>
  <c r="L142" i="16"/>
  <c r="M142" i="16" s="1" a="1"/>
  <c r="M142" i="16" s="1"/>
  <c r="L206" i="16"/>
  <c r="M206" i="16" s="1" a="1"/>
  <c r="M206" i="16" s="1"/>
  <c r="L270" i="16"/>
  <c r="M270" i="16" s="1" a="1"/>
  <c r="M270" i="16" s="1"/>
  <c r="L334" i="16"/>
  <c r="M334" i="16" s="1" a="1"/>
  <c r="M334" i="16" s="1"/>
  <c r="L398" i="16"/>
  <c r="M398" i="16" s="1" a="1"/>
  <c r="M398" i="16" s="1"/>
  <c r="L462" i="16"/>
  <c r="M462" i="16" s="1" a="1"/>
  <c r="M462" i="16" s="1"/>
  <c r="L526" i="16"/>
  <c r="M526" i="16" s="1" a="1"/>
  <c r="M526" i="16" s="1"/>
  <c r="L590" i="16"/>
  <c r="M590" i="16" s="1" a="1"/>
  <c r="M590" i="16" s="1"/>
  <c r="L654" i="16"/>
  <c r="M654" i="16" s="1" a="1"/>
  <c r="M654" i="16" s="1"/>
  <c r="L718" i="16"/>
  <c r="M718" i="16" s="1" a="1"/>
  <c r="M718" i="16" s="1"/>
  <c r="L621" i="16"/>
  <c r="M621" i="16" s="1" a="1"/>
  <c r="M621" i="16" s="1"/>
  <c r="L782" i="16"/>
  <c r="M782" i="16" s="1" a="1"/>
  <c r="M782" i="16" s="1"/>
  <c r="L846" i="16"/>
  <c r="M846" i="16" s="1" a="1"/>
  <c r="M846" i="16" s="1"/>
  <c r="L95" i="16"/>
  <c r="M95" i="16" s="1" a="1"/>
  <c r="M95" i="16" s="1"/>
  <c r="L159" i="16"/>
  <c r="M159" i="16" s="1" a="1"/>
  <c r="M159" i="16" s="1"/>
  <c r="L223" i="16"/>
  <c r="M223" i="16" s="1" a="1"/>
  <c r="M223" i="16" s="1"/>
  <c r="L287" i="16"/>
  <c r="M287" i="16" s="1" a="1"/>
  <c r="M287" i="16" s="1"/>
  <c r="L351" i="16"/>
  <c r="M351" i="16" s="1" a="1"/>
  <c r="M351" i="16" s="1"/>
  <c r="L415" i="16"/>
  <c r="M415" i="16" s="1" a="1"/>
  <c r="M415" i="16" s="1"/>
  <c r="L479" i="16"/>
  <c r="M479" i="16" s="1" a="1"/>
  <c r="M479" i="16" s="1"/>
  <c r="L543" i="16"/>
  <c r="M543" i="16" s="1" a="1"/>
  <c r="M543" i="16" s="1"/>
  <c r="L607" i="16"/>
  <c r="M607" i="16" s="1" a="1"/>
  <c r="M607" i="16" s="1"/>
  <c r="L671" i="16"/>
  <c r="M671" i="16" s="1" a="1"/>
  <c r="M671" i="16" s="1"/>
  <c r="L735" i="16"/>
  <c r="M735" i="16" s="1" a="1"/>
  <c r="M735" i="16" s="1"/>
  <c r="L120" i="16"/>
  <c r="M120" i="16" s="1" a="1"/>
  <c r="M120" i="16" s="1"/>
  <c r="L184" i="16"/>
  <c r="M184" i="16" s="1" a="1"/>
  <c r="M184" i="16" s="1"/>
  <c r="L248" i="16"/>
  <c r="M248" i="16" s="1" a="1"/>
  <c r="M248" i="16" s="1"/>
  <c r="L312" i="16"/>
  <c r="M312" i="16" s="1" a="1"/>
  <c r="M312" i="16" s="1"/>
  <c r="L376" i="16"/>
  <c r="M376" i="16" s="1" a="1"/>
  <c r="M376" i="16" s="1"/>
  <c r="L440" i="16"/>
  <c r="M440" i="16" s="1" a="1"/>
  <c r="M440" i="16" s="1"/>
  <c r="L504" i="16"/>
  <c r="M504" i="16" s="1" a="1"/>
  <c r="M504" i="16" s="1"/>
  <c r="L113" i="16"/>
  <c r="M113" i="16" s="1" a="1"/>
  <c r="M113" i="16" s="1"/>
  <c r="L177" i="16"/>
  <c r="M177" i="16" s="1" a="1"/>
  <c r="M177" i="16" s="1"/>
  <c r="L241" i="16"/>
  <c r="M241" i="16" s="1" a="1"/>
  <c r="M241" i="16" s="1"/>
  <c r="L305" i="16"/>
  <c r="M305" i="16" s="1" a="1"/>
  <c r="M305" i="16" s="1"/>
  <c r="L369" i="16"/>
  <c r="M369" i="16" s="1" a="1"/>
  <c r="M369" i="16" s="1"/>
  <c r="L433" i="16"/>
  <c r="M433" i="16" s="1" a="1"/>
  <c r="M433" i="16" s="1"/>
  <c r="L497" i="16"/>
  <c r="M497" i="16" s="1" a="1"/>
  <c r="M497" i="16" s="1"/>
  <c r="L561" i="16"/>
  <c r="M561" i="16" s="1" a="1"/>
  <c r="M561" i="16" s="1"/>
  <c r="L625" i="16"/>
  <c r="M625" i="16" s="1" a="1"/>
  <c r="M625" i="16" s="1"/>
  <c r="L689" i="16"/>
  <c r="M689" i="16" s="1" a="1"/>
  <c r="M689" i="16" s="1"/>
  <c r="L74" i="16"/>
  <c r="M74" i="16" s="1" a="1"/>
  <c r="M74" i="16" s="1"/>
  <c r="L138" i="16"/>
  <c r="M138" i="16" s="1" a="1"/>
  <c r="M138" i="16" s="1"/>
  <c r="L202" i="16"/>
  <c r="M202" i="16" s="1" a="1"/>
  <c r="M202" i="16" s="1"/>
  <c r="L266" i="16"/>
  <c r="M266" i="16" s="1" a="1"/>
  <c r="M266" i="16" s="1"/>
  <c r="L330" i="16"/>
  <c r="M330" i="16" s="1" a="1"/>
  <c r="M330" i="16" s="1"/>
  <c r="L394" i="16"/>
  <c r="M394" i="16" s="1" a="1"/>
  <c r="M394" i="16" s="1"/>
  <c r="L458" i="16"/>
  <c r="M458" i="16" s="1" a="1"/>
  <c r="M458" i="16" s="1"/>
  <c r="L522" i="16"/>
  <c r="M522" i="16" s="1" a="1"/>
  <c r="M522" i="16" s="1"/>
  <c r="L586" i="16"/>
  <c r="M586" i="16" s="1" a="1"/>
  <c r="M586" i="16" s="1"/>
  <c r="L650" i="16"/>
  <c r="M650" i="16" s="1" a="1"/>
  <c r="M650" i="16" s="1"/>
  <c r="L714" i="16"/>
  <c r="M714" i="16" s="1" a="1"/>
  <c r="M714" i="16" s="1"/>
  <c r="L99" i="16"/>
  <c r="M99" i="16" s="1" a="1"/>
  <c r="M99" i="16" s="1"/>
  <c r="L163" i="16"/>
  <c r="M163" i="16" s="1" a="1"/>
  <c r="M163" i="16" s="1"/>
  <c r="L227" i="16"/>
  <c r="M227" i="16" s="1" a="1"/>
  <c r="M227" i="16" s="1"/>
  <c r="L291" i="16"/>
  <c r="M291" i="16" s="1" a="1"/>
  <c r="M291" i="16" s="1"/>
  <c r="L355" i="16"/>
  <c r="M355" i="16" s="1" a="1"/>
  <c r="M355" i="16" s="1"/>
  <c r="L419" i="16"/>
  <c r="M419" i="16" s="1" a="1"/>
  <c r="M419" i="16" s="1"/>
  <c r="L483" i="16"/>
  <c r="M483" i="16" s="1" a="1"/>
  <c r="M483" i="16" s="1"/>
  <c r="L547" i="16"/>
  <c r="M547" i="16" s="1" a="1"/>
  <c r="M547" i="16" s="1"/>
  <c r="L611" i="16"/>
  <c r="M611" i="16" s="1" a="1"/>
  <c r="M611" i="16" s="1"/>
  <c r="L675" i="16"/>
  <c r="M675" i="16" s="1" a="1"/>
  <c r="M675" i="16" s="1"/>
  <c r="L739" i="16"/>
  <c r="M739" i="16" s="1" a="1"/>
  <c r="M739" i="16" s="1"/>
  <c r="L124" i="16"/>
  <c r="M124" i="16" s="1" a="1"/>
  <c r="M124" i="16" s="1"/>
  <c r="L188" i="16"/>
  <c r="M188" i="16" s="1" a="1"/>
  <c r="M188" i="16" s="1"/>
  <c r="L252" i="16"/>
  <c r="M252" i="16" s="1" a="1"/>
  <c r="M252" i="16" s="1"/>
  <c r="L316" i="16"/>
  <c r="M316" i="16" s="1" a="1"/>
  <c r="M316" i="16" s="1"/>
  <c r="L380" i="16"/>
  <c r="M380" i="16" s="1" a="1"/>
  <c r="M380" i="16" s="1"/>
  <c r="L444" i="16"/>
  <c r="M444" i="16" s="1" a="1"/>
  <c r="M444" i="16" s="1"/>
  <c r="L508" i="16"/>
  <c r="M508" i="16" s="1" a="1"/>
  <c r="M508" i="16" s="1"/>
  <c r="L572" i="16"/>
  <c r="M572" i="16" s="1" a="1"/>
  <c r="M572" i="16" s="1"/>
  <c r="L636" i="16"/>
  <c r="M636" i="16" s="1" a="1"/>
  <c r="M636" i="16" s="1"/>
  <c r="L700" i="16"/>
  <c r="M700" i="16" s="1" a="1"/>
  <c r="M700" i="16" s="1"/>
  <c r="L85" i="16"/>
  <c r="M85" i="16" s="1" a="1"/>
  <c r="M85" i="16" s="1"/>
  <c r="L149" i="16"/>
  <c r="M149" i="16" s="1" a="1"/>
  <c r="M149" i="16" s="1"/>
  <c r="L213" i="16"/>
  <c r="M213" i="16" s="1" a="1"/>
  <c r="M213" i="16" s="1"/>
  <c r="L277" i="16"/>
  <c r="M277" i="16" s="1" a="1"/>
  <c r="M277" i="16" s="1"/>
  <c r="L341" i="16"/>
  <c r="M341" i="16" s="1" a="1"/>
  <c r="M341" i="16" s="1"/>
  <c r="L405" i="16"/>
  <c r="M405" i="16" s="1" a="1"/>
  <c r="M405" i="16" s="1"/>
  <c r="L469" i="16"/>
  <c r="M469" i="16" s="1" a="1"/>
  <c r="M469" i="16" s="1"/>
  <c r="L86" i="16"/>
  <c r="M86" i="16" s="1" a="1"/>
  <c r="M86" i="16" s="1"/>
  <c r="L150" i="16"/>
  <c r="M150" i="16" s="1" a="1"/>
  <c r="M150" i="16" s="1"/>
  <c r="L214" i="16"/>
  <c r="M214" i="16" s="1" a="1"/>
  <c r="M214" i="16" s="1"/>
  <c r="L278" i="16"/>
  <c r="M278" i="16" s="1" a="1"/>
  <c r="M278" i="16" s="1"/>
  <c r="L342" i="16"/>
  <c r="M342" i="16" s="1" a="1"/>
  <c r="M342" i="16" s="1"/>
  <c r="L406" i="16"/>
  <c r="M406" i="16" s="1" a="1"/>
  <c r="M406" i="16" s="1"/>
  <c r="L470" i="16"/>
  <c r="M470" i="16" s="1" a="1"/>
  <c r="M470" i="16" s="1"/>
  <c r="L534" i="16"/>
  <c r="M534" i="16" s="1" a="1"/>
  <c r="M534" i="16" s="1"/>
  <c r="L598" i="16"/>
  <c r="M598" i="16" s="1" a="1"/>
  <c r="M598" i="16" s="1"/>
  <c r="L662" i="16"/>
  <c r="M662" i="16" s="1" a="1"/>
  <c r="M662" i="16" s="1"/>
  <c r="L726" i="16"/>
  <c r="M726" i="16" s="1" a="1"/>
  <c r="M726" i="16" s="1"/>
  <c r="L653" i="16"/>
  <c r="M653" i="16" s="1" a="1"/>
  <c r="M653" i="16" s="1"/>
  <c r="L677" i="16"/>
  <c r="M677" i="16" s="1" a="1"/>
  <c r="M677" i="16" s="1"/>
  <c r="L778" i="16"/>
  <c r="M778" i="16" s="1" a="1"/>
  <c r="M778" i="16" s="1"/>
  <c r="L693" i="16"/>
  <c r="M693" i="16" s="1" a="1"/>
  <c r="M693" i="16" s="1"/>
  <c r="L644" i="16"/>
  <c r="M644" i="16" s="1" a="1"/>
  <c r="M644" i="16" s="1"/>
  <c r="L121" i="16"/>
  <c r="M121" i="16" s="1" a="1"/>
  <c r="M121" i="16" s="1"/>
  <c r="L781" i="16"/>
  <c r="M781" i="16" s="1" a="1"/>
  <c r="M781" i="16" s="1"/>
  <c r="L844" i="16"/>
  <c r="M844" i="16" s="1" a="1"/>
  <c r="M844" i="16" s="1"/>
  <c r="L780" i="16"/>
  <c r="M780" i="16" s="1" a="1"/>
  <c r="M780" i="16" s="1"/>
  <c r="L613" i="16"/>
  <c r="M613" i="16" s="1" a="1"/>
  <c r="M613" i="16" s="1"/>
  <c r="L803" i="16"/>
  <c r="M803" i="16" s="1" a="1"/>
  <c r="M803" i="16" s="1"/>
  <c r="L704" i="16"/>
  <c r="M704" i="16" s="1" a="1"/>
  <c r="M704" i="16" s="1"/>
  <c r="L826" i="16"/>
  <c r="M826" i="16" s="1" a="1"/>
  <c r="M826" i="16" s="1"/>
  <c r="L762" i="16"/>
  <c r="M762" i="16" s="1" a="1"/>
  <c r="M762" i="16" s="1"/>
  <c r="L541" i="16"/>
  <c r="M541" i="16" s="1" a="1"/>
  <c r="M541" i="16" s="1"/>
  <c r="L785" i="16"/>
  <c r="M785" i="16" s="1" a="1"/>
  <c r="M785" i="16" s="1"/>
  <c r="L632" i="16"/>
  <c r="M632" i="16" s="1" a="1"/>
  <c r="M632" i="16" s="1"/>
  <c r="L800" i="16"/>
  <c r="M800" i="16" s="1" a="1"/>
  <c r="M800" i="16" s="1"/>
  <c r="L629" i="16"/>
  <c r="M629" i="16" s="1" a="1"/>
  <c r="M629" i="16" s="1"/>
  <c r="L775" i="16"/>
  <c r="M775" i="16" s="1" a="1"/>
  <c r="M775" i="16" s="1"/>
  <c r="L798" i="16"/>
  <c r="M798" i="16" s="1" a="1"/>
  <c r="M798" i="16" s="1"/>
  <c r="L414" i="16"/>
  <c r="M414" i="16" s="1" a="1"/>
  <c r="M414" i="16" s="1"/>
  <c r="L349" i="16"/>
  <c r="M349" i="16" s="1" a="1"/>
  <c r="M349" i="16" s="1"/>
  <c r="L516" i="16"/>
  <c r="M516" i="16" s="1" a="1"/>
  <c r="M516" i="16" s="1"/>
  <c r="L683" i="16"/>
  <c r="M683" i="16" s="1" a="1"/>
  <c r="M683" i="16" s="1"/>
  <c r="L171" i="16"/>
  <c r="M171" i="16" s="1" a="1"/>
  <c r="M171" i="16" s="1"/>
  <c r="L338" i="16"/>
  <c r="M338" i="16" s="1" a="1"/>
  <c r="M338" i="16" s="1"/>
  <c r="L505" i="16"/>
  <c r="M505" i="16" s="1" a="1"/>
  <c r="M505" i="16" s="1"/>
  <c r="L448" i="16"/>
  <c r="M448" i="16" s="1" a="1"/>
  <c r="M448" i="16" s="1"/>
  <c r="L615" i="16"/>
  <c r="M615" i="16" s="1" a="1"/>
  <c r="M615" i="16" s="1"/>
  <c r="L103" i="16"/>
  <c r="M103" i="16" s="1" a="1"/>
  <c r="M103" i="16" s="1"/>
  <c r="L813" i="16"/>
  <c r="M813" i="16" s="1" a="1"/>
  <c r="M813" i="16" s="1"/>
  <c r="L755" i="16"/>
  <c r="M755" i="16" s="1" a="1"/>
  <c r="M755" i="16" s="1"/>
  <c r="L696" i="16"/>
  <c r="M696" i="16" s="1" a="1"/>
  <c r="M696" i="16" s="1"/>
  <c r="L528" i="16"/>
  <c r="M528" i="16" s="1" a="1"/>
  <c r="M528" i="16" s="1"/>
  <c r="L299" i="16"/>
  <c r="M299" i="16" s="1" a="1"/>
  <c r="M299" i="16" s="1"/>
  <c r="L231" i="16"/>
  <c r="M231" i="16" s="1" a="1"/>
  <c r="M231" i="16" s="1"/>
  <c r="L616" i="16"/>
  <c r="M616" i="16" s="1" a="1"/>
  <c r="M616" i="16" s="1"/>
  <c r="L836" i="16"/>
  <c r="M836" i="16" s="1" a="1"/>
  <c r="M836" i="16" s="1"/>
  <c r="L772" i="16"/>
  <c r="M772" i="16" s="1" a="1"/>
  <c r="M772" i="16" s="1"/>
  <c r="L581" i="16"/>
  <c r="M581" i="16" s="1" a="1"/>
  <c r="M581" i="16" s="1"/>
  <c r="L795" i="16"/>
  <c r="M795" i="16" s="1" a="1"/>
  <c r="M795" i="16" s="1"/>
  <c r="L672" i="16"/>
  <c r="M672" i="16" s="1" a="1"/>
  <c r="M672" i="16" s="1"/>
  <c r="L818" i="16"/>
  <c r="M818" i="16" s="1" a="1"/>
  <c r="M818" i="16" s="1"/>
  <c r="L754" i="16"/>
  <c r="M754" i="16" s="1" a="1"/>
  <c r="M754" i="16" s="1"/>
  <c r="L841" i="16"/>
  <c r="M841" i="16" s="1" a="1"/>
  <c r="M841" i="16" s="1"/>
  <c r="L777" i="16"/>
  <c r="M777" i="16" s="1" a="1"/>
  <c r="M777" i="16" s="1"/>
  <c r="L600" i="16"/>
  <c r="M600" i="16" s="1" a="1"/>
  <c r="M600" i="16" s="1"/>
  <c r="L792" i="16"/>
  <c r="M792" i="16" s="1" a="1"/>
  <c r="M792" i="16" s="1"/>
  <c r="L565" i="16"/>
  <c r="M565" i="16" s="1" a="1"/>
  <c r="M565" i="16" s="1"/>
  <c r="L767" i="16"/>
  <c r="M767" i="16" s="1" a="1"/>
  <c r="M767" i="16" s="1"/>
  <c r="L790" i="16"/>
  <c r="M790" i="16" s="1" a="1"/>
  <c r="M790" i="16" s="1"/>
  <c r="L350" i="16"/>
  <c r="M350" i="16" s="1" a="1"/>
  <c r="M350" i="16" s="1"/>
  <c r="L285" i="16"/>
  <c r="M285" i="16" s="1" a="1"/>
  <c r="M285" i="16" s="1"/>
  <c r="L452" i="16"/>
  <c r="M452" i="16" s="1" a="1"/>
  <c r="M452" i="16" s="1"/>
  <c r="L619" i="16"/>
  <c r="M619" i="16" s="1" a="1"/>
  <c r="M619" i="16" s="1"/>
  <c r="L107" i="16"/>
  <c r="M107" i="16" s="1" a="1"/>
  <c r="M107" i="16" s="1"/>
  <c r="L274" i="16"/>
  <c r="M274" i="16" s="1" a="1"/>
  <c r="M274" i="16" s="1"/>
  <c r="L441" i="16"/>
  <c r="M441" i="16" s="1" a="1"/>
  <c r="M441" i="16" s="1"/>
  <c r="L384" i="16"/>
  <c r="M384" i="16" s="1" a="1"/>
  <c r="M384" i="16" s="1"/>
  <c r="L551" i="16"/>
  <c r="M551" i="16" s="1" a="1"/>
  <c r="M551" i="16" s="1"/>
  <c r="L119" i="16"/>
  <c r="M119" i="16" s="1" a="1"/>
  <c r="M119" i="16" s="1"/>
  <c r="L819" i="16"/>
  <c r="M819" i="16" s="1" a="1"/>
  <c r="M819" i="16" s="1"/>
  <c r="L801" i="16"/>
  <c r="M801" i="16" s="1" a="1"/>
  <c r="M801" i="16" s="1"/>
  <c r="L815" i="16"/>
  <c r="M815" i="16" s="1" a="1"/>
  <c r="M815" i="16" s="1"/>
  <c r="L132" i="16"/>
  <c r="M132" i="16" s="1" a="1"/>
  <c r="M132" i="16" s="1"/>
  <c r="L743" i="16"/>
  <c r="M743" i="16" s="1" a="1"/>
  <c r="M743" i="16" s="1"/>
  <c r="L805" i="16"/>
  <c r="M805" i="16" s="1" a="1"/>
  <c r="M805" i="16" s="1"/>
  <c r="L837" i="16"/>
  <c r="M837" i="16" s="1" a="1"/>
  <c r="M837" i="16" s="1"/>
  <c r="L828" i="16"/>
  <c r="M828" i="16" s="1" a="1"/>
  <c r="M828" i="16" s="1"/>
  <c r="L764" i="16"/>
  <c r="M764" i="16" s="1" a="1"/>
  <c r="M764" i="16" s="1"/>
  <c r="L549" i="16"/>
  <c r="M549" i="16" s="1" a="1"/>
  <c r="M549" i="16" s="1"/>
  <c r="L787" i="16"/>
  <c r="M787" i="16" s="1" a="1"/>
  <c r="M787" i="16" s="1"/>
  <c r="L640" i="16"/>
  <c r="M640" i="16" s="1" a="1"/>
  <c r="M640" i="16" s="1"/>
  <c r="L810" i="16"/>
  <c r="M810" i="16" s="1" a="1"/>
  <c r="M810" i="16" s="1"/>
  <c r="L733" i="16"/>
  <c r="M733" i="16" s="1" a="1"/>
  <c r="M733" i="16" s="1"/>
  <c r="L833" i="16"/>
  <c r="M833" i="16" s="1" a="1"/>
  <c r="M833" i="16" s="1"/>
  <c r="L769" i="16"/>
  <c r="M769" i="16" s="1" a="1"/>
  <c r="M769" i="16" s="1"/>
  <c r="L568" i="16"/>
  <c r="M568" i="16" s="1" a="1"/>
  <c r="M568" i="16" s="1"/>
  <c r="L784" i="16"/>
  <c r="M784" i="16" s="1" a="1"/>
  <c r="M784" i="16" s="1"/>
  <c r="L533" i="16"/>
  <c r="M533" i="16" s="1" a="1"/>
  <c r="M533" i="16" s="1"/>
  <c r="L759" i="16"/>
  <c r="M759" i="16" s="1" a="1"/>
  <c r="M759" i="16" s="1"/>
  <c r="L685" i="16"/>
  <c r="M685" i="16" s="1" a="1"/>
  <c r="M685" i="16" s="1"/>
  <c r="L286" i="16"/>
  <c r="M286" i="16" s="1" a="1"/>
  <c r="M286" i="16" s="1"/>
  <c r="L221" i="16"/>
  <c r="M221" i="16" s="1" a="1"/>
  <c r="M221" i="16" s="1"/>
  <c r="L388" i="16"/>
  <c r="M388" i="16" s="1" a="1"/>
  <c r="M388" i="16" s="1"/>
  <c r="L555" i="16"/>
  <c r="M555" i="16" s="1" a="1"/>
  <c r="M555" i="16" s="1"/>
  <c r="L722" i="16"/>
  <c r="M722" i="16" s="1" a="1"/>
  <c r="M722" i="16" s="1"/>
  <c r="L210" i="16"/>
  <c r="M210" i="16" s="1" a="1"/>
  <c r="M210" i="16" s="1"/>
  <c r="L377" i="16"/>
  <c r="M377" i="16" s="1" a="1"/>
  <c r="M377" i="16" s="1"/>
  <c r="L320" i="16"/>
  <c r="M320" i="16" s="1" a="1"/>
  <c r="M320" i="16" s="1"/>
  <c r="L487" i="16"/>
  <c r="M487" i="16" s="1" a="1"/>
  <c r="M487" i="16" s="1"/>
  <c r="L765" i="16"/>
  <c r="M765" i="16" s="1" a="1"/>
  <c r="M765" i="16" s="1"/>
  <c r="L605" i="16"/>
  <c r="M605" i="16" s="1" a="1"/>
  <c r="M605" i="16" s="1"/>
  <c r="L466" i="16"/>
  <c r="M466" i="16" s="1" a="1"/>
  <c r="M466" i="16" s="1"/>
  <c r="L821" i="16"/>
  <c r="M821" i="16" s="1" a="1"/>
  <c r="M821" i="16" s="1"/>
  <c r="L712" i="16"/>
  <c r="M712" i="16" s="1" a="1"/>
  <c r="M712" i="16" s="1"/>
  <c r="L797" i="16"/>
  <c r="M797" i="16" s="1" a="1"/>
  <c r="M797" i="16" s="1"/>
  <c r="L773" i="16"/>
  <c r="M773" i="16" s="1" a="1"/>
  <c r="M773" i="16" s="1"/>
  <c r="L820" i="16"/>
  <c r="M820" i="16" s="1" a="1"/>
  <c r="M820" i="16" s="1"/>
  <c r="L756" i="16"/>
  <c r="M756" i="16" s="1" a="1"/>
  <c r="M756" i="16" s="1"/>
  <c r="L843" i="16"/>
  <c r="M843" i="16" s="1" a="1"/>
  <c r="M843" i="16" s="1"/>
  <c r="L779" i="16"/>
  <c r="M779" i="16" s="1" a="1"/>
  <c r="M779" i="16" s="1"/>
  <c r="L608" i="16"/>
  <c r="M608" i="16" s="1" a="1"/>
  <c r="M608" i="16" s="1"/>
  <c r="L802" i="16"/>
  <c r="M802" i="16" s="1" a="1"/>
  <c r="M802" i="16" s="1"/>
  <c r="L701" i="16"/>
  <c r="M701" i="16" s="1" a="1"/>
  <c r="M701" i="16" s="1"/>
  <c r="L825" i="16"/>
  <c r="M825" i="16" s="1" a="1"/>
  <c r="M825" i="16" s="1"/>
  <c r="L761" i="16"/>
  <c r="M761" i="16" s="1" a="1"/>
  <c r="M761" i="16" s="1"/>
  <c r="L536" i="16"/>
  <c r="M536" i="16" s="1" a="1"/>
  <c r="M536" i="16" s="1"/>
  <c r="L768" i="16"/>
  <c r="M768" i="16" s="1" a="1"/>
  <c r="M768" i="16" s="1"/>
  <c r="L839" i="16"/>
  <c r="M839" i="16" s="1" a="1"/>
  <c r="M839" i="16" s="1"/>
  <c r="L751" i="16"/>
  <c r="M751" i="16" s="1" a="1"/>
  <c r="M751" i="16" s="1"/>
  <c r="L734" i="16"/>
  <c r="M734" i="16" s="1" a="1"/>
  <c r="M734" i="16" s="1"/>
  <c r="L222" i="16"/>
  <c r="M222" i="16" s="1" a="1"/>
  <c r="M222" i="16" s="1"/>
  <c r="L157" i="16"/>
  <c r="M157" i="16" s="1" a="1"/>
  <c r="M157" i="16" s="1"/>
  <c r="L324" i="16"/>
  <c r="M324" i="16" s="1" a="1"/>
  <c r="M324" i="16" s="1"/>
  <c r="L491" i="16"/>
  <c r="M491" i="16" s="1" a="1"/>
  <c r="M491" i="16" s="1"/>
  <c r="L658" i="16"/>
  <c r="M658" i="16" s="1" a="1"/>
  <c r="M658" i="16" s="1"/>
  <c r="L146" i="16"/>
  <c r="M146" i="16" s="1" a="1"/>
  <c r="M146" i="16" s="1"/>
  <c r="L313" i="16"/>
  <c r="M313" i="16" s="1" a="1"/>
  <c r="M313" i="16" s="1"/>
  <c r="L256" i="16"/>
  <c r="M256" i="16" s="1" a="1"/>
  <c r="M256" i="16" s="1"/>
  <c r="L423" i="16"/>
  <c r="M423" i="16" s="1" a="1"/>
  <c r="M423" i="16" s="1"/>
  <c r="L79" i="16"/>
  <c r="M79" i="16" s="1" a="1"/>
  <c r="M79" i="16" s="1"/>
  <c r="T64" i="7"/>
  <c r="U64" i="7" s="1"/>
  <c r="AA3" i="7"/>
  <c r="AA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2" i="7"/>
  <c r="G42" i="4"/>
  <c r="G43" i="4"/>
  <c r="G44" i="4"/>
  <c r="G45" i="4"/>
  <c r="G46" i="4"/>
  <c r="G40" i="4"/>
  <c r="F41" i="4"/>
  <c r="G53" i="4"/>
  <c r="F53" i="4"/>
  <c r="G52" i="4"/>
  <c r="F52" i="4"/>
  <c r="G51" i="4"/>
  <c r="F51" i="4"/>
  <c r="G50" i="4"/>
  <c r="F50" i="4"/>
  <c r="G49" i="4"/>
  <c r="F49" i="4"/>
  <c r="G48" i="4"/>
  <c r="F48" i="4"/>
  <c r="G47" i="4"/>
  <c r="F47" i="4"/>
  <c r="F45" i="4"/>
  <c r="F43" i="4"/>
  <c r="F42" i="4"/>
  <c r="G39" i="4"/>
  <c r="F39" i="4"/>
  <c r="J6" i="15"/>
  <c r="J7" i="15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77" i="15"/>
  <c r="J78" i="15"/>
  <c r="J79" i="15"/>
  <c r="J80" i="15"/>
  <c r="J81" i="15"/>
  <c r="J82" i="15"/>
  <c r="J83" i="15"/>
  <c r="J84" i="15"/>
  <c r="J85" i="15"/>
  <c r="J86" i="15"/>
  <c r="J87" i="15"/>
  <c r="J88" i="15"/>
  <c r="J89" i="15"/>
  <c r="J90" i="15"/>
  <c r="J91" i="15"/>
  <c r="J92" i="15"/>
  <c r="J93" i="15"/>
  <c r="J94" i="15"/>
  <c r="J95" i="15"/>
  <c r="J96" i="15"/>
  <c r="J97" i="15"/>
  <c r="J98" i="15"/>
  <c r="J99" i="15"/>
  <c r="J100" i="15"/>
  <c r="J101" i="15"/>
  <c r="J102" i="15"/>
  <c r="J103" i="15"/>
  <c r="J104" i="15"/>
  <c r="J105" i="15"/>
  <c r="J106" i="15"/>
  <c r="J107" i="15"/>
  <c r="J108" i="15"/>
  <c r="J109" i="15"/>
  <c r="J110" i="15"/>
  <c r="J111" i="15"/>
  <c r="J112" i="15"/>
  <c r="J113" i="15"/>
  <c r="J114" i="15"/>
  <c r="J115" i="15"/>
  <c r="J116" i="15"/>
  <c r="J117" i="15"/>
  <c r="J118" i="15"/>
  <c r="J119" i="15"/>
  <c r="J120" i="15"/>
  <c r="J121" i="15"/>
  <c r="J122" i="15"/>
  <c r="J123" i="15"/>
  <c r="J124" i="15"/>
  <c r="J125" i="15"/>
  <c r="J126" i="15"/>
  <c r="J127" i="15"/>
  <c r="J128" i="15"/>
  <c r="J129" i="15"/>
  <c r="J130" i="15"/>
  <c r="J131" i="15"/>
  <c r="J132" i="15"/>
  <c r="J133" i="15"/>
  <c r="J134" i="15"/>
  <c r="J135" i="15"/>
  <c r="J136" i="15"/>
  <c r="J137" i="15"/>
  <c r="J138" i="15"/>
  <c r="J139" i="15"/>
  <c r="J140" i="15"/>
  <c r="J141" i="15"/>
  <c r="J142" i="15"/>
  <c r="J143" i="15"/>
  <c r="J144" i="15"/>
  <c r="J145" i="15"/>
  <c r="J146" i="15"/>
  <c r="J147" i="15"/>
  <c r="J148" i="15"/>
  <c r="J149" i="15"/>
  <c r="J150" i="15"/>
  <c r="J151" i="15"/>
  <c r="J152" i="15"/>
  <c r="J153" i="15"/>
  <c r="J154" i="15"/>
  <c r="J155" i="15"/>
  <c r="J156" i="15"/>
  <c r="J157" i="15"/>
  <c r="J158" i="15"/>
  <c r="J159" i="15"/>
  <c r="J160" i="15"/>
  <c r="J161" i="15"/>
  <c r="J162" i="15"/>
  <c r="J163" i="15"/>
  <c r="J164" i="15"/>
  <c r="J165" i="15"/>
  <c r="J166" i="15"/>
  <c r="J167" i="15"/>
  <c r="J168" i="15"/>
  <c r="J169" i="15"/>
  <c r="J170" i="15"/>
  <c r="J171" i="15"/>
  <c r="J172" i="15"/>
  <c r="J173" i="15"/>
  <c r="J174" i="15"/>
  <c r="J175" i="15"/>
  <c r="J176" i="15"/>
  <c r="J177" i="15"/>
  <c r="J178" i="15"/>
  <c r="J179" i="15"/>
  <c r="J180" i="15"/>
  <c r="J181" i="15"/>
  <c r="J182" i="15"/>
  <c r="J183" i="15"/>
  <c r="J184" i="15"/>
  <c r="J185" i="15"/>
  <c r="J186" i="15"/>
  <c r="J187" i="15"/>
  <c r="J188" i="15"/>
  <c r="J189" i="15"/>
  <c r="J190" i="15"/>
  <c r="J191" i="15"/>
  <c r="J192" i="15"/>
  <c r="J193" i="15"/>
  <c r="J194" i="15"/>
  <c r="J195" i="15"/>
  <c r="J196" i="15"/>
  <c r="J197" i="15"/>
  <c r="J198" i="15"/>
  <c r="J199" i="15"/>
  <c r="J5" i="15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23" i="14"/>
  <c r="H324" i="14"/>
  <c r="H325" i="14"/>
  <c r="H326" i="14"/>
  <c r="H327" i="14"/>
  <c r="H328" i="14"/>
  <c r="H329" i="14"/>
  <c r="H330" i="14"/>
  <c r="H331" i="14"/>
  <c r="H332" i="14"/>
  <c r="H333" i="14"/>
  <c r="H334" i="14"/>
  <c r="H335" i="14"/>
  <c r="H336" i="14"/>
  <c r="H337" i="14"/>
  <c r="H338" i="14"/>
  <c r="H339" i="14"/>
  <c r="H340" i="14"/>
  <c r="H341" i="14"/>
  <c r="H342" i="14"/>
  <c r="H343" i="14"/>
  <c r="H344" i="14"/>
  <c r="H345" i="14"/>
  <c r="H346" i="14"/>
  <c r="H347" i="14"/>
  <c r="H348" i="14"/>
  <c r="H349" i="14"/>
  <c r="H350" i="14"/>
  <c r="H351" i="14"/>
  <c r="H352" i="14"/>
  <c r="H353" i="14"/>
  <c r="H354" i="14"/>
  <c r="H355" i="14"/>
  <c r="H356" i="14"/>
  <c r="H357" i="14"/>
  <c r="H358" i="14"/>
  <c r="H359" i="14"/>
  <c r="H360" i="14"/>
  <c r="H361" i="14"/>
  <c r="H362" i="14"/>
  <c r="H363" i="14"/>
  <c r="H364" i="14"/>
  <c r="H365" i="14"/>
  <c r="H366" i="14"/>
  <c r="H367" i="14"/>
  <c r="H368" i="14"/>
  <c r="H369" i="14"/>
  <c r="H370" i="14"/>
  <c r="H371" i="14"/>
  <c r="H372" i="14"/>
  <c r="H373" i="14"/>
  <c r="H374" i="14"/>
  <c r="H375" i="14"/>
  <c r="H376" i="14"/>
  <c r="H377" i="14"/>
  <c r="H378" i="14"/>
  <c r="H379" i="14"/>
  <c r="H380" i="14"/>
  <c r="H381" i="14"/>
  <c r="H382" i="14"/>
  <c r="H383" i="14"/>
  <c r="H384" i="14"/>
  <c r="H385" i="14"/>
  <c r="H386" i="14"/>
  <c r="H387" i="14"/>
  <c r="H388" i="14"/>
  <c r="H389" i="14"/>
  <c r="H390" i="14"/>
  <c r="H391" i="14"/>
  <c r="H392" i="14"/>
  <c r="H393" i="14"/>
  <c r="H394" i="14"/>
  <c r="H395" i="14"/>
  <c r="H396" i="14"/>
  <c r="H397" i="14"/>
  <c r="H398" i="14"/>
  <c r="H399" i="14"/>
  <c r="H400" i="14"/>
  <c r="H401" i="14"/>
  <c r="H402" i="14"/>
  <c r="H403" i="14"/>
  <c r="H404" i="14"/>
  <c r="H405" i="14"/>
  <c r="H406" i="14"/>
  <c r="H407" i="14"/>
  <c r="H408" i="14"/>
  <c r="H409" i="14"/>
  <c r="H410" i="14"/>
  <c r="H411" i="14"/>
  <c r="H412" i="14"/>
  <c r="H413" i="14"/>
  <c r="H414" i="14"/>
  <c r="H415" i="14"/>
  <c r="H416" i="14"/>
  <c r="H417" i="14"/>
  <c r="H418" i="14"/>
  <c r="H419" i="14"/>
  <c r="H420" i="14"/>
  <c r="H421" i="14"/>
  <c r="H422" i="14"/>
  <c r="H423" i="14"/>
  <c r="H424" i="14"/>
  <c r="H425" i="14"/>
  <c r="H426" i="14"/>
  <c r="H427" i="14"/>
  <c r="H428" i="14"/>
  <c r="H429" i="14"/>
  <c r="H430" i="14"/>
  <c r="H431" i="14"/>
  <c r="H432" i="14"/>
  <c r="H433" i="14"/>
  <c r="H434" i="14"/>
  <c r="H435" i="14"/>
  <c r="H436" i="14"/>
  <c r="H437" i="14"/>
  <c r="H438" i="14"/>
  <c r="H439" i="14"/>
  <c r="H440" i="14"/>
  <c r="H441" i="14"/>
  <c r="H442" i="14"/>
  <c r="H443" i="14"/>
  <c r="H444" i="14"/>
  <c r="H445" i="14"/>
  <c r="H446" i="14"/>
  <c r="H447" i="14"/>
  <c r="H448" i="14"/>
  <c r="H449" i="14"/>
  <c r="H450" i="14"/>
  <c r="H451" i="14"/>
  <c r="H452" i="14"/>
  <c r="H453" i="14"/>
  <c r="H454" i="14"/>
  <c r="H455" i="14"/>
  <c r="H456" i="14"/>
  <c r="H457" i="14"/>
  <c r="H458" i="14"/>
  <c r="H459" i="14"/>
  <c r="H460" i="14"/>
  <c r="H461" i="14"/>
  <c r="H462" i="14"/>
  <c r="H463" i="14"/>
  <c r="H464" i="14"/>
  <c r="H465" i="14"/>
  <c r="H466" i="14"/>
  <c r="H467" i="14"/>
  <c r="H468" i="14"/>
  <c r="H469" i="14"/>
  <c r="H470" i="14"/>
  <c r="H471" i="14"/>
  <c r="H472" i="14"/>
  <c r="H473" i="14"/>
  <c r="H474" i="14"/>
  <c r="H475" i="14"/>
  <c r="H476" i="14"/>
  <c r="H477" i="14"/>
  <c r="H478" i="14"/>
  <c r="H479" i="14"/>
  <c r="H480" i="14"/>
  <c r="H481" i="14"/>
  <c r="H482" i="14"/>
  <c r="H483" i="14"/>
  <c r="H484" i="14"/>
  <c r="H485" i="14"/>
  <c r="H486" i="14"/>
  <c r="H487" i="14"/>
  <c r="H488" i="14"/>
  <c r="H489" i="14"/>
  <c r="H490" i="14"/>
  <c r="H491" i="14"/>
  <c r="H492" i="14"/>
  <c r="H493" i="14"/>
  <c r="H494" i="14"/>
  <c r="H495" i="14"/>
  <c r="H496" i="14"/>
  <c r="H497" i="14"/>
  <c r="H498" i="14"/>
  <c r="H499" i="14"/>
  <c r="H500" i="14"/>
  <c r="H501" i="14"/>
  <c r="H502" i="14"/>
  <c r="H503" i="14"/>
  <c r="H504" i="14"/>
  <c r="H505" i="14"/>
  <c r="H506" i="14"/>
  <c r="H507" i="14"/>
  <c r="H508" i="14"/>
  <c r="H509" i="14"/>
  <c r="H510" i="14"/>
  <c r="H511" i="14"/>
  <c r="H512" i="14"/>
  <c r="H513" i="14"/>
  <c r="H514" i="14"/>
  <c r="H515" i="14"/>
  <c r="H516" i="14"/>
  <c r="H517" i="14"/>
  <c r="H518" i="14"/>
  <c r="H519" i="14"/>
  <c r="H520" i="14"/>
  <c r="H521" i="14"/>
  <c r="H522" i="14"/>
  <c r="H523" i="14"/>
  <c r="H524" i="14"/>
  <c r="H525" i="14"/>
  <c r="H526" i="14"/>
  <c r="H527" i="14"/>
  <c r="H528" i="14"/>
  <c r="H529" i="14"/>
  <c r="H530" i="14"/>
  <c r="H531" i="14"/>
  <c r="H532" i="14"/>
  <c r="H533" i="14"/>
  <c r="H534" i="14"/>
  <c r="H535" i="14"/>
  <c r="H536" i="14"/>
  <c r="H537" i="14"/>
  <c r="H538" i="14"/>
  <c r="H539" i="14"/>
  <c r="H540" i="14"/>
  <c r="H541" i="14"/>
  <c r="H542" i="14"/>
  <c r="H543" i="14"/>
  <c r="H544" i="14"/>
  <c r="H545" i="14"/>
  <c r="H546" i="14"/>
  <c r="H547" i="14"/>
  <c r="H548" i="14"/>
  <c r="H549" i="14"/>
  <c r="H550" i="14"/>
  <c r="H551" i="14"/>
  <c r="H552" i="14"/>
  <c r="H553" i="14"/>
  <c r="H554" i="14"/>
  <c r="H555" i="14"/>
  <c r="H556" i="14"/>
  <c r="H557" i="14"/>
  <c r="H558" i="14"/>
  <c r="H559" i="14"/>
  <c r="H560" i="14"/>
  <c r="H561" i="14"/>
  <c r="H562" i="14"/>
  <c r="H563" i="14"/>
  <c r="H564" i="14"/>
  <c r="H565" i="14"/>
  <c r="H566" i="14"/>
  <c r="H567" i="14"/>
  <c r="H568" i="14"/>
  <c r="H569" i="14"/>
  <c r="H570" i="14"/>
  <c r="H571" i="14"/>
  <c r="H572" i="14"/>
  <c r="H573" i="14"/>
  <c r="H574" i="14"/>
  <c r="H575" i="14"/>
  <c r="H576" i="14"/>
  <c r="H577" i="14"/>
  <c r="H578" i="14"/>
  <c r="H579" i="14"/>
  <c r="H580" i="14"/>
  <c r="H581" i="14"/>
  <c r="H582" i="14"/>
  <c r="H583" i="14"/>
  <c r="H584" i="14"/>
  <c r="H585" i="14"/>
  <c r="H586" i="14"/>
  <c r="H587" i="14"/>
  <c r="H588" i="14"/>
  <c r="H589" i="14"/>
  <c r="H590" i="14"/>
  <c r="H591" i="14"/>
  <c r="H592" i="14"/>
  <c r="H593" i="14"/>
  <c r="H594" i="14"/>
  <c r="H595" i="14"/>
  <c r="H596" i="14"/>
  <c r="H597" i="14"/>
  <c r="H598" i="14"/>
  <c r="H599" i="14"/>
  <c r="H600" i="14"/>
  <c r="H601" i="14"/>
  <c r="H602" i="14"/>
  <c r="H603" i="14"/>
  <c r="H604" i="14"/>
  <c r="H605" i="14"/>
  <c r="H606" i="14"/>
  <c r="H607" i="14"/>
  <c r="H608" i="14"/>
  <c r="H609" i="14"/>
  <c r="H610" i="14"/>
  <c r="H611" i="14"/>
  <c r="F46" i="4" s="1"/>
  <c r="H612" i="14"/>
  <c r="H613" i="14"/>
  <c r="H614" i="14"/>
  <c r="H615" i="14"/>
  <c r="H616" i="14"/>
  <c r="H617" i="14"/>
  <c r="H618" i="14"/>
  <c r="H619" i="14"/>
  <c r="H620" i="14"/>
  <c r="H621" i="14"/>
  <c r="H622" i="14"/>
  <c r="H623" i="14"/>
  <c r="H624" i="14"/>
  <c r="H625" i="14"/>
  <c r="H626" i="14"/>
  <c r="H5" i="14"/>
  <c r="E91" i="9"/>
  <c r="E90" i="9"/>
  <c r="J278" i="12"/>
  <c r="J280" i="12" s="1"/>
  <c r="J274" i="12"/>
  <c r="J275" i="12" s="1"/>
  <c r="J267" i="12"/>
  <c r="J268" i="12" s="1"/>
  <c r="J256" i="12"/>
  <c r="J255" i="12"/>
  <c r="K252" i="12"/>
  <c r="J252" i="12"/>
  <c r="K242" i="12"/>
  <c r="J242" i="12"/>
  <c r="K233" i="12"/>
  <c r="J233" i="12"/>
  <c r="K226" i="12"/>
  <c r="J226" i="12"/>
  <c r="K220" i="12"/>
  <c r="J220" i="12"/>
  <c r="K215" i="12"/>
  <c r="J212" i="12"/>
  <c r="J213" i="12"/>
  <c r="J214" i="12"/>
  <c r="J211" i="12"/>
  <c r="J179" i="12"/>
  <c r="I179" i="12"/>
  <c r="H179" i="12"/>
  <c r="G179" i="12"/>
  <c r="F179" i="12"/>
  <c r="E179" i="12"/>
  <c r="J178" i="12"/>
  <c r="I178" i="12"/>
  <c r="H178" i="12"/>
  <c r="G178" i="12"/>
  <c r="F178" i="12"/>
  <c r="E178" i="12"/>
  <c r="I177" i="12"/>
  <c r="H177" i="12"/>
  <c r="G177" i="12"/>
  <c r="F177" i="12"/>
  <c r="E177" i="12"/>
  <c r="K170" i="12"/>
  <c r="K169" i="12"/>
  <c r="K168" i="12"/>
  <c r="J170" i="12"/>
  <c r="J169" i="12"/>
  <c r="J168" i="12"/>
  <c r="K163" i="12"/>
  <c r="J163" i="12"/>
  <c r="I163" i="12"/>
  <c r="H163" i="12"/>
  <c r="K161" i="12"/>
  <c r="J161" i="12"/>
  <c r="I161" i="12"/>
  <c r="H161" i="12"/>
  <c r="J155" i="12"/>
  <c r="J156" i="12"/>
  <c r="J154" i="12"/>
  <c r="J149" i="12"/>
  <c r="J150" i="12"/>
  <c r="J151" i="12"/>
  <c r="J152" i="12"/>
  <c r="J153" i="12"/>
  <c r="J148" i="12"/>
  <c r="J147" i="12"/>
  <c r="I155" i="12"/>
  <c r="I156" i="12"/>
  <c r="I154" i="12"/>
  <c r="I149" i="12"/>
  <c r="I150" i="12"/>
  <c r="I151" i="12"/>
  <c r="I152" i="12"/>
  <c r="I153" i="12"/>
  <c r="I148" i="12"/>
  <c r="I147" i="12"/>
  <c r="H155" i="12"/>
  <c r="H156" i="12"/>
  <c r="H154" i="12"/>
  <c r="H152" i="12"/>
  <c r="H153" i="12"/>
  <c r="H149" i="12"/>
  <c r="H150" i="12"/>
  <c r="H151" i="12"/>
  <c r="H148" i="12"/>
  <c r="H147" i="12"/>
  <c r="K142" i="12"/>
  <c r="J141" i="12"/>
  <c r="K141" i="12"/>
  <c r="K140" i="12"/>
  <c r="K138" i="12"/>
  <c r="K137" i="12"/>
  <c r="J142" i="12"/>
  <c r="J140" i="12"/>
  <c r="J138" i="12"/>
  <c r="J137" i="12"/>
  <c r="K135" i="12"/>
  <c r="J135" i="12"/>
  <c r="K134" i="12"/>
  <c r="J134" i="12"/>
  <c r="K129" i="12"/>
  <c r="J129" i="12"/>
  <c r="J123" i="12"/>
  <c r="K123" i="12"/>
  <c r="J124" i="12"/>
  <c r="K124" i="12"/>
  <c r="K122" i="12"/>
  <c r="J122" i="12"/>
  <c r="K62" i="12"/>
  <c r="J62" i="12"/>
  <c r="K61" i="12"/>
  <c r="J61" i="12"/>
  <c r="J105" i="12"/>
  <c r="I105" i="12"/>
  <c r="H105" i="12"/>
  <c r="I104" i="12"/>
  <c r="J104" i="12"/>
  <c r="H104" i="12"/>
  <c r="J101" i="12"/>
  <c r="I101" i="12"/>
  <c r="H101" i="12"/>
  <c r="J100" i="12"/>
  <c r="I100" i="12"/>
  <c r="H100" i="12"/>
  <c r="J97" i="12"/>
  <c r="I97" i="12"/>
  <c r="H97" i="12"/>
  <c r="J96" i="12"/>
  <c r="I96" i="12"/>
  <c r="H96" i="12"/>
  <c r="K90" i="12"/>
  <c r="K89" i="12"/>
  <c r="K88" i="12"/>
  <c r="K87" i="12"/>
  <c r="K86" i="12"/>
  <c r="K85" i="12"/>
  <c r="K84" i="12"/>
  <c r="J90" i="12"/>
  <c r="J89" i="12"/>
  <c r="J88" i="12"/>
  <c r="J87" i="12"/>
  <c r="J86" i="12"/>
  <c r="J85" i="12"/>
  <c r="J84" i="12"/>
  <c r="K75" i="12"/>
  <c r="J75" i="12"/>
  <c r="K73" i="12"/>
  <c r="K72" i="12"/>
  <c r="J73" i="12"/>
  <c r="J72" i="12"/>
  <c r="K68" i="12"/>
  <c r="J68" i="12"/>
  <c r="K66" i="12"/>
  <c r="J66" i="12"/>
  <c r="K59" i="12"/>
  <c r="K58" i="12"/>
  <c r="J59" i="12"/>
  <c r="J58" i="12"/>
  <c r="K57" i="12"/>
  <c r="J57" i="12"/>
  <c r="K53" i="12"/>
  <c r="J53" i="12"/>
  <c r="K47" i="12"/>
  <c r="J47" i="12"/>
  <c r="K46" i="12"/>
  <c r="J46" i="12"/>
  <c r="H3" i="12"/>
  <c r="K3" i="12"/>
  <c r="K275" i="12"/>
  <c r="K268" i="12"/>
  <c r="K257" i="12"/>
  <c r="K260" i="12" s="1"/>
  <c r="J257" i="12"/>
  <c r="F44" i="4" l="1"/>
  <c r="H44" i="4" s="1"/>
  <c r="F40" i="4"/>
  <c r="H40" i="4" s="1"/>
  <c r="G41" i="4"/>
  <c r="H41" i="4" s="1"/>
  <c r="K171" i="12"/>
  <c r="J215" i="12"/>
  <c r="H180" i="12"/>
  <c r="K148" i="12"/>
  <c r="K155" i="12"/>
  <c r="G180" i="12"/>
  <c r="H45" i="4"/>
  <c r="H46" i="4"/>
  <c r="H43" i="4"/>
  <c r="J260" i="12"/>
  <c r="K49" i="12"/>
  <c r="K152" i="12"/>
  <c r="K147" i="12"/>
  <c r="K156" i="12"/>
  <c r="K149" i="12"/>
  <c r="K153" i="12"/>
  <c r="K150" i="12"/>
  <c r="I180" i="12"/>
  <c r="K154" i="12"/>
  <c r="K177" i="12"/>
  <c r="J171" i="12"/>
  <c r="K151" i="12"/>
  <c r="K179" i="12"/>
  <c r="F180" i="12"/>
  <c r="J180" i="12"/>
  <c r="K178" i="12"/>
  <c r="E180" i="12"/>
  <c r="K125" i="12"/>
  <c r="J157" i="12"/>
  <c r="I157" i="12"/>
  <c r="H157" i="12"/>
  <c r="J106" i="12"/>
  <c r="K96" i="12"/>
  <c r="K60" i="12"/>
  <c r="J102" i="12"/>
  <c r="K105" i="12"/>
  <c r="I98" i="12"/>
  <c r="J98" i="12"/>
  <c r="J60" i="12"/>
  <c r="K97" i="12"/>
  <c r="J49" i="12"/>
  <c r="H106" i="12"/>
  <c r="K100" i="12"/>
  <c r="I106" i="12"/>
  <c r="I102" i="12"/>
  <c r="J125" i="12"/>
  <c r="K101" i="12"/>
  <c r="H102" i="12"/>
  <c r="K104" i="12"/>
  <c r="H98" i="12"/>
  <c r="E61" i="9"/>
  <c r="E60" i="9"/>
  <c r="E54" i="9"/>
  <c r="D2" i="13"/>
  <c r="B2" i="13"/>
  <c r="H2" i="4"/>
  <c r="H42" i="4" l="1"/>
  <c r="H39" i="4"/>
  <c r="K157" i="12"/>
  <c r="K98" i="12"/>
  <c r="K180" i="12"/>
  <c r="K106" i="12"/>
  <c r="K102" i="12"/>
  <c r="T65" i="7"/>
  <c r="U65" i="7" s="1"/>
  <c r="T66" i="7"/>
  <c r="U66" i="7" s="1"/>
  <c r="T67" i="7"/>
  <c r="U67" i="7" s="1"/>
  <c r="T68" i="7"/>
  <c r="U68" i="7" s="1"/>
  <c r="T69" i="7"/>
  <c r="U69" i="7" s="1"/>
  <c r="T70" i="7"/>
  <c r="U70" i="7" s="1"/>
  <c r="T71" i="7"/>
  <c r="U71" i="7" s="1"/>
  <c r="T72" i="7"/>
  <c r="U72" i="7" s="1"/>
  <c r="T73" i="7"/>
  <c r="U73" i="7" s="1"/>
  <c r="T74" i="7"/>
  <c r="U74" i="7" s="1"/>
  <c r="T75" i="7"/>
  <c r="U75" i="7" s="1"/>
  <c r="T76" i="7"/>
  <c r="U76" i="7" s="1"/>
  <c r="T77" i="7"/>
  <c r="U77" i="7" s="1"/>
  <c r="T78" i="7"/>
  <c r="U78" i="7" s="1"/>
  <c r="T79" i="7"/>
  <c r="U79" i="7" s="1"/>
  <c r="T80" i="7"/>
  <c r="U80" i="7" s="1"/>
  <c r="T81" i="7"/>
  <c r="U81" i="7" s="1"/>
  <c r="T82" i="7"/>
  <c r="U82" i="7" s="1"/>
  <c r="T83" i="7"/>
  <c r="U83" i="7" s="1"/>
  <c r="T84" i="7"/>
  <c r="U84" i="7" s="1"/>
  <c r="T85" i="7"/>
  <c r="U85" i="7" s="1"/>
  <c r="T86" i="7"/>
  <c r="U86" i="7" s="1"/>
  <c r="T87" i="7"/>
  <c r="U87" i="7" s="1"/>
  <c r="T88" i="7"/>
  <c r="U88" i="7" s="1"/>
  <c r="T89" i="7"/>
  <c r="U89" i="7" s="1"/>
  <c r="T90" i="7"/>
  <c r="U90" i="7" s="1"/>
  <c r="T91" i="7"/>
  <c r="U91" i="7" s="1"/>
  <c r="T92" i="7"/>
  <c r="U92" i="7" s="1"/>
  <c r="T93" i="7"/>
  <c r="U93" i="7" s="1"/>
  <c r="T94" i="7"/>
  <c r="U94" i="7" s="1"/>
  <c r="T95" i="7"/>
  <c r="U95" i="7" s="1"/>
  <c r="T96" i="7"/>
  <c r="U96" i="7" s="1"/>
  <c r="T97" i="7"/>
  <c r="U97" i="7" s="1"/>
  <c r="T98" i="7"/>
  <c r="U98" i="7" s="1"/>
  <c r="T99" i="7"/>
  <c r="U99" i="7" s="1"/>
  <c r="T100" i="7"/>
  <c r="U100" i="7" s="1"/>
  <c r="T101" i="7"/>
  <c r="U101" i="7" s="1"/>
  <c r="T102" i="7"/>
  <c r="U102" i="7" s="1"/>
  <c r="T103" i="7"/>
  <c r="U103" i="7" s="1"/>
  <c r="T104" i="7"/>
  <c r="U104" i="7" s="1"/>
  <c r="T105" i="7"/>
  <c r="U105" i="7" s="1"/>
  <c r="T106" i="7"/>
  <c r="U106" i="7" s="1"/>
  <c r="T107" i="7"/>
  <c r="U107" i="7" s="1"/>
  <c r="T108" i="7"/>
  <c r="U108" i="7" s="1"/>
  <c r="T109" i="7"/>
  <c r="U109" i="7" s="1"/>
  <c r="T110" i="7"/>
  <c r="U110" i="7" s="1"/>
  <c r="T111" i="7"/>
  <c r="U111" i="7" s="1"/>
  <c r="T112" i="7"/>
  <c r="U112" i="7" s="1"/>
  <c r="T113" i="7"/>
  <c r="U113" i="7" s="1"/>
  <c r="T114" i="7"/>
  <c r="U114" i="7" s="1"/>
  <c r="T115" i="7"/>
  <c r="U115" i="7" s="1"/>
  <c r="T116" i="7"/>
  <c r="U116" i="7" s="1"/>
  <c r="T117" i="7"/>
  <c r="U117" i="7" s="1"/>
  <c r="T118" i="7"/>
  <c r="U118" i="7" s="1"/>
  <c r="T119" i="7"/>
  <c r="U119" i="7" s="1"/>
  <c r="T120" i="7"/>
  <c r="U120" i="7" s="1"/>
  <c r="T121" i="7"/>
  <c r="U121" i="7" s="1"/>
  <c r="T122" i="7"/>
  <c r="U122" i="7" s="1"/>
  <c r="T123" i="7"/>
  <c r="U123" i="7" s="1"/>
  <c r="T124" i="7"/>
  <c r="U124" i="7" s="1"/>
  <c r="T125" i="7"/>
  <c r="U125" i="7" s="1"/>
  <c r="T126" i="7"/>
  <c r="U126" i="7" s="1"/>
  <c r="T127" i="7"/>
  <c r="U127" i="7" s="1"/>
  <c r="T128" i="7"/>
  <c r="U128" i="7" s="1"/>
  <c r="T129" i="7"/>
  <c r="U129" i="7" s="1"/>
  <c r="T130" i="7"/>
  <c r="U130" i="7" s="1"/>
  <c r="T131" i="7"/>
  <c r="U131" i="7" s="1"/>
  <c r="T132" i="7"/>
  <c r="U132" i="7" s="1"/>
  <c r="T133" i="7"/>
  <c r="U133" i="7" s="1"/>
  <c r="T134" i="7"/>
  <c r="U134" i="7" s="1"/>
  <c r="T135" i="7"/>
  <c r="U135" i="7" s="1"/>
  <c r="T136" i="7"/>
  <c r="U136" i="7" s="1"/>
  <c r="T137" i="7"/>
  <c r="U137" i="7" s="1"/>
  <c r="T138" i="7"/>
  <c r="U138" i="7" s="1"/>
  <c r="T139" i="7"/>
  <c r="U139" i="7" s="1"/>
  <c r="T140" i="7"/>
  <c r="U140" i="7" s="1"/>
  <c r="T141" i="7"/>
  <c r="U141" i="7" s="1"/>
  <c r="T142" i="7"/>
  <c r="U142" i="7" s="1"/>
  <c r="T143" i="7"/>
  <c r="U143" i="7" s="1"/>
  <c r="T144" i="7"/>
  <c r="U144" i="7" s="1"/>
  <c r="T145" i="7"/>
  <c r="U145" i="7" s="1"/>
  <c r="T146" i="7"/>
  <c r="U146" i="7" s="1"/>
  <c r="T147" i="7"/>
  <c r="U147" i="7" s="1"/>
  <c r="T148" i="7"/>
  <c r="U148" i="7" s="1"/>
  <c r="T149" i="7"/>
  <c r="U149" i="7" s="1"/>
  <c r="T150" i="7"/>
  <c r="U150" i="7" s="1"/>
  <c r="T151" i="7"/>
  <c r="U151" i="7" s="1"/>
  <c r="T152" i="7"/>
  <c r="U152" i="7" s="1"/>
  <c r="T153" i="7"/>
  <c r="U153" i="7" s="1"/>
  <c r="T154" i="7"/>
  <c r="U154" i="7" s="1"/>
  <c r="T155" i="7"/>
  <c r="U155" i="7" s="1"/>
  <c r="T156" i="7"/>
  <c r="U156" i="7" s="1"/>
  <c r="T157" i="7"/>
  <c r="U157" i="7" s="1"/>
  <c r="T158" i="7"/>
  <c r="U158" i="7" s="1"/>
  <c r="T159" i="7"/>
  <c r="U159" i="7" s="1"/>
  <c r="T160" i="7"/>
  <c r="U160" i="7" s="1"/>
  <c r="T161" i="7"/>
  <c r="U161" i="7" s="1"/>
  <c r="T162" i="7"/>
  <c r="U162" i="7" s="1"/>
  <c r="T163" i="7"/>
  <c r="U163" i="7" s="1"/>
  <c r="T164" i="7"/>
  <c r="U164" i="7" s="1"/>
  <c r="T165" i="7"/>
  <c r="U165" i="7" s="1"/>
  <c r="T166" i="7"/>
  <c r="U166" i="7" s="1"/>
  <c r="T167" i="7"/>
  <c r="U167" i="7" s="1"/>
  <c r="T168" i="7"/>
  <c r="U168" i="7" s="1"/>
  <c r="T169" i="7"/>
  <c r="U169" i="7" s="1"/>
  <c r="T170" i="7"/>
  <c r="U170" i="7" s="1"/>
  <c r="T171" i="7"/>
  <c r="U171" i="7" s="1"/>
  <c r="T172" i="7"/>
  <c r="U172" i="7" s="1"/>
  <c r="T173" i="7"/>
  <c r="U173" i="7" s="1"/>
  <c r="T174" i="7"/>
  <c r="U174" i="7" s="1"/>
  <c r="T175" i="7"/>
  <c r="U175" i="7" s="1"/>
  <c r="T176" i="7"/>
  <c r="U176" i="7" s="1"/>
  <c r="T177" i="7"/>
  <c r="U177" i="7" s="1"/>
  <c r="T178" i="7"/>
  <c r="U178" i="7" s="1"/>
  <c r="T179" i="7"/>
  <c r="U179" i="7" s="1"/>
  <c r="T180" i="7"/>
  <c r="U180" i="7" s="1"/>
  <c r="T181" i="7"/>
  <c r="U181" i="7" s="1"/>
  <c r="F25" i="2"/>
  <c r="F17" i="2"/>
  <c r="F10" i="2"/>
  <c r="F31" i="2"/>
  <c r="F51" i="2"/>
  <c r="F43" i="2"/>
  <c r="F35" i="2"/>
  <c r="F19" i="2"/>
  <c r="F36" i="2"/>
  <c r="F42" i="2"/>
  <c r="F28" i="2"/>
  <c r="F15" i="2"/>
  <c r="F44" i="2"/>
  <c r="F16" i="2"/>
  <c r="F26" i="2"/>
  <c r="F50" i="2"/>
  <c r="F40" i="2"/>
  <c r="F22" i="2"/>
  <c r="F14" i="2"/>
  <c r="F46" i="2"/>
  <c r="F41" i="2"/>
  <c r="F21" i="2"/>
  <c r="F27" i="2"/>
  <c r="F49" i="2"/>
  <c r="F38" i="2"/>
  <c r="F47" i="2"/>
  <c r="F9" i="2"/>
  <c r="F12" i="2"/>
  <c r="F32" i="2"/>
  <c r="F11" i="2"/>
  <c r="F37" i="2"/>
  <c r="F18" i="2"/>
  <c r="F7" i="2"/>
  <c r="F48" i="2"/>
  <c r="F24" i="2"/>
  <c r="F52" i="2"/>
  <c r="H245" i="19" l="1"/>
  <c r="H251" i="19"/>
  <c r="H252" i="19"/>
  <c r="H258" i="19"/>
  <c r="H224" i="19"/>
  <c r="H260" i="19"/>
  <c r="H221" i="19"/>
  <c r="H261" i="19"/>
  <c r="H237" i="19"/>
  <c r="H238" i="19"/>
  <c r="H222" i="19"/>
  <c r="H246" i="19"/>
  <c r="H254" i="19"/>
  <c r="H220" i="19"/>
  <c r="H248" i="19"/>
  <c r="H231" i="19"/>
  <c r="H242" i="19"/>
  <c r="H235" i="19"/>
  <c r="H241" i="19"/>
  <c r="H227" i="19"/>
  <c r="H249" i="19"/>
  <c r="H226" i="19"/>
  <c r="H250" i="19"/>
  <c r="H234" i="19"/>
  <c r="H253" i="19"/>
  <c r="H257" i="19"/>
  <c r="H256" i="19"/>
  <c r="H232" i="19"/>
  <c r="H225" i="19"/>
  <c r="H219" i="19"/>
  <c r="H247" i="19"/>
  <c r="H259" i="19"/>
  <c r="H228" i="19"/>
  <c r="H236" i="19"/>
  <c r="H262" i="19"/>
  <c r="H229" i="19"/>
  <c r="H217" i="19"/>
  <c r="H38" i="4"/>
  <c r="T3" i="7"/>
  <c r="U3" i="7" s="1"/>
  <c r="T4" i="7"/>
  <c r="U4" i="7" s="1"/>
  <c r="T5" i="7"/>
  <c r="U5" i="7" s="1"/>
  <c r="T6" i="7"/>
  <c r="U6" i="7" s="1"/>
  <c r="T7" i="7"/>
  <c r="U7" i="7" s="1"/>
  <c r="T8" i="7"/>
  <c r="U8" i="7" s="1"/>
  <c r="T9" i="7"/>
  <c r="U9" i="7" s="1"/>
  <c r="T10" i="7"/>
  <c r="U10" i="7" s="1"/>
  <c r="T11" i="7"/>
  <c r="U11" i="7" s="1"/>
  <c r="T12" i="7"/>
  <c r="U12" i="7" s="1"/>
  <c r="T13" i="7"/>
  <c r="U13" i="7" s="1"/>
  <c r="T14" i="7"/>
  <c r="U14" i="7" s="1"/>
  <c r="T15" i="7"/>
  <c r="U15" i="7" s="1"/>
  <c r="T16" i="7"/>
  <c r="U16" i="7" s="1"/>
  <c r="T17" i="7"/>
  <c r="U17" i="7" s="1"/>
  <c r="T18" i="7"/>
  <c r="U18" i="7" s="1"/>
  <c r="T19" i="7"/>
  <c r="U19" i="7" s="1"/>
  <c r="T20" i="7"/>
  <c r="U20" i="7" s="1"/>
  <c r="T21" i="7"/>
  <c r="U21" i="7" s="1"/>
  <c r="T22" i="7"/>
  <c r="U22" i="7" s="1"/>
  <c r="T23" i="7"/>
  <c r="U23" i="7" s="1"/>
  <c r="T24" i="7"/>
  <c r="U24" i="7" s="1"/>
  <c r="T25" i="7"/>
  <c r="U25" i="7" s="1"/>
  <c r="T26" i="7"/>
  <c r="U26" i="7" s="1"/>
  <c r="T27" i="7"/>
  <c r="U27" i="7" s="1"/>
  <c r="T28" i="7"/>
  <c r="U28" i="7" s="1"/>
  <c r="T29" i="7"/>
  <c r="U29" i="7" s="1"/>
  <c r="T30" i="7"/>
  <c r="U30" i="7" s="1"/>
  <c r="T31" i="7"/>
  <c r="U31" i="7" s="1"/>
  <c r="T32" i="7"/>
  <c r="U32" i="7" s="1"/>
  <c r="T33" i="7"/>
  <c r="U33" i="7" s="1"/>
  <c r="T34" i="7"/>
  <c r="U34" i="7" s="1"/>
  <c r="T35" i="7"/>
  <c r="U35" i="7" s="1"/>
  <c r="T36" i="7"/>
  <c r="U36" i="7" s="1"/>
  <c r="T37" i="7"/>
  <c r="U37" i="7" s="1"/>
  <c r="T38" i="7"/>
  <c r="U38" i="7" s="1"/>
  <c r="T39" i="7"/>
  <c r="U39" i="7" s="1"/>
  <c r="T40" i="7"/>
  <c r="U40" i="7" s="1"/>
  <c r="T41" i="7"/>
  <c r="U41" i="7" s="1"/>
  <c r="T42" i="7"/>
  <c r="U42" i="7" s="1"/>
  <c r="T43" i="7"/>
  <c r="U43" i="7" s="1"/>
  <c r="T44" i="7"/>
  <c r="U44" i="7" s="1"/>
  <c r="T45" i="7"/>
  <c r="U45" i="7" s="1"/>
  <c r="T46" i="7"/>
  <c r="U46" i="7" s="1"/>
  <c r="T47" i="7"/>
  <c r="U47" i="7" s="1"/>
  <c r="T48" i="7"/>
  <c r="U48" i="7" s="1"/>
  <c r="T49" i="7"/>
  <c r="U49" i="7" s="1"/>
  <c r="T50" i="7"/>
  <c r="U50" i="7" s="1"/>
  <c r="T51" i="7"/>
  <c r="U51" i="7" s="1"/>
  <c r="T52" i="7"/>
  <c r="U52" i="7" s="1"/>
  <c r="T53" i="7"/>
  <c r="U53" i="7" s="1"/>
  <c r="T54" i="7"/>
  <c r="U54" i="7" s="1"/>
  <c r="T55" i="7"/>
  <c r="U55" i="7" s="1"/>
  <c r="T56" i="7"/>
  <c r="U56" i="7" s="1"/>
  <c r="T57" i="7"/>
  <c r="U57" i="7" s="1"/>
  <c r="T58" i="7"/>
  <c r="U58" i="7" s="1"/>
  <c r="T59" i="7"/>
  <c r="U59" i="7" s="1"/>
  <c r="T60" i="7"/>
  <c r="U60" i="7" s="1"/>
  <c r="T61" i="7"/>
  <c r="U61" i="7" s="1"/>
  <c r="T62" i="7"/>
  <c r="U62" i="7" s="1"/>
  <c r="T63" i="7"/>
  <c r="U63" i="7" s="1"/>
  <c r="T2" i="7"/>
  <c r="U2" i="7" s="1"/>
  <c r="J7" i="9"/>
  <c r="E7" i="9"/>
  <c r="H21" i="3"/>
  <c r="H324" i="19" s="1"/>
  <c r="A324" i="19" s="1"/>
  <c r="H11" i="3"/>
  <c r="G1030" i="8"/>
  <c r="A1030" i="8" s="1"/>
  <c r="G267" i="8"/>
  <c r="A267" i="8" s="1"/>
  <c r="H13" i="3" l="1"/>
  <c r="H314" i="19"/>
  <c r="A314" i="19" s="1"/>
  <c r="V64" i="7"/>
  <c r="V66" i="7"/>
  <c r="V130" i="7"/>
  <c r="V30" i="7"/>
  <c r="V85" i="7"/>
  <c r="V149" i="7"/>
  <c r="V47" i="7"/>
  <c r="V26" i="7"/>
  <c r="V80" i="7"/>
  <c r="V144" i="7"/>
  <c r="V89" i="7"/>
  <c r="V99" i="7"/>
  <c r="V163" i="7"/>
  <c r="V113" i="7"/>
  <c r="V102" i="7"/>
  <c r="V166" i="7"/>
  <c r="V68" i="7"/>
  <c r="V132" i="7"/>
  <c r="V28" i="7"/>
  <c r="V8" i="7"/>
  <c r="V71" i="7"/>
  <c r="V135" i="7"/>
  <c r="V37" i="7"/>
  <c r="V73" i="7"/>
  <c r="V72" i="7"/>
  <c r="V155" i="7"/>
  <c r="V20" i="7"/>
  <c r="V74" i="7"/>
  <c r="V138" i="7"/>
  <c r="V38" i="7"/>
  <c r="V93" i="7"/>
  <c r="V157" i="7"/>
  <c r="V55" i="7"/>
  <c r="V50" i="7"/>
  <c r="V88" i="7"/>
  <c r="V168" i="7"/>
  <c r="V153" i="7"/>
  <c r="V107" i="7"/>
  <c r="V171" i="7"/>
  <c r="V137" i="7"/>
  <c r="V110" i="7"/>
  <c r="V174" i="7"/>
  <c r="V76" i="7"/>
  <c r="V140" i="7"/>
  <c r="V36" i="7"/>
  <c r="V54" i="7"/>
  <c r="V79" i="7"/>
  <c r="V143" i="7"/>
  <c r="V45" i="7"/>
  <c r="V97" i="7"/>
  <c r="V141" i="7"/>
  <c r="V51" i="7"/>
  <c r="V82" i="7"/>
  <c r="V146" i="7"/>
  <c r="V46" i="7"/>
  <c r="V101" i="7"/>
  <c r="V165" i="7"/>
  <c r="V63" i="7"/>
  <c r="V13" i="7"/>
  <c r="V96" i="7"/>
  <c r="V40" i="7"/>
  <c r="V177" i="7"/>
  <c r="V115" i="7"/>
  <c r="V179" i="7"/>
  <c r="V27" i="7"/>
  <c r="V118" i="7"/>
  <c r="V18" i="7"/>
  <c r="V84" i="7"/>
  <c r="V148" i="7"/>
  <c r="V44" i="7"/>
  <c r="V176" i="7"/>
  <c r="V87" i="7"/>
  <c r="V151" i="7"/>
  <c r="V61" i="7"/>
  <c r="V129" i="7"/>
  <c r="V57" i="7"/>
  <c r="V94" i="7"/>
  <c r="V29" i="7"/>
  <c r="V90" i="7"/>
  <c r="V154" i="7"/>
  <c r="V62" i="7"/>
  <c r="V109" i="7"/>
  <c r="V173" i="7"/>
  <c r="V10" i="7"/>
  <c r="V105" i="7"/>
  <c r="V104" i="7"/>
  <c r="V11" i="7"/>
  <c r="V59" i="7"/>
  <c r="V123" i="7"/>
  <c r="V17" i="7"/>
  <c r="V14" i="7"/>
  <c r="V126" i="7"/>
  <c r="V42" i="7"/>
  <c r="V92" i="7"/>
  <c r="V156" i="7"/>
  <c r="V52" i="7"/>
  <c r="V56" i="7"/>
  <c r="V95" i="7"/>
  <c r="V159" i="7"/>
  <c r="V2" i="7"/>
  <c r="Z1" i="7" s="1"/>
  <c r="C5" i="6" s="1"/>
  <c r="V35" i="7"/>
  <c r="V9" i="7"/>
  <c r="V39" i="7"/>
  <c r="V65" i="7"/>
  <c r="V124" i="7"/>
  <c r="V127" i="7"/>
  <c r="V98" i="7"/>
  <c r="V162" i="7"/>
  <c r="V160" i="7"/>
  <c r="V117" i="7"/>
  <c r="V181" i="7"/>
  <c r="V152" i="7"/>
  <c r="V19" i="7"/>
  <c r="V112" i="7"/>
  <c r="V12" i="7"/>
  <c r="V67" i="7"/>
  <c r="V131" i="7"/>
  <c r="V25" i="7"/>
  <c r="V70" i="7"/>
  <c r="V134" i="7"/>
  <c r="V5" i="7"/>
  <c r="V100" i="7"/>
  <c r="V164" i="7"/>
  <c r="V60" i="7"/>
  <c r="V81" i="7"/>
  <c r="V103" i="7"/>
  <c r="V167" i="7"/>
  <c r="V77" i="7"/>
  <c r="V49" i="7"/>
  <c r="V43" i="7"/>
  <c r="V106" i="7"/>
  <c r="V170" i="7"/>
  <c r="V16" i="7"/>
  <c r="V125" i="7"/>
  <c r="V23" i="7"/>
  <c r="V24" i="7"/>
  <c r="V6" i="7"/>
  <c r="V120" i="7"/>
  <c r="V34" i="7"/>
  <c r="V75" i="7"/>
  <c r="V139" i="7"/>
  <c r="V33" i="7"/>
  <c r="V78" i="7"/>
  <c r="V142" i="7"/>
  <c r="V121" i="7"/>
  <c r="V108" i="7"/>
  <c r="V172" i="7"/>
  <c r="V7" i="7"/>
  <c r="V145" i="7"/>
  <c r="V111" i="7"/>
  <c r="V175" i="7"/>
  <c r="V32" i="7"/>
  <c r="V22" i="7"/>
  <c r="V136" i="7"/>
  <c r="V158" i="7"/>
  <c r="V4" i="7"/>
  <c r="V114" i="7"/>
  <c r="V178" i="7"/>
  <c r="V69" i="7"/>
  <c r="V133" i="7"/>
  <c r="V31" i="7"/>
  <c r="V48" i="7"/>
  <c r="V128" i="7"/>
  <c r="V58" i="7"/>
  <c r="V83" i="7"/>
  <c r="V147" i="7"/>
  <c r="V41" i="7"/>
  <c r="V86" i="7"/>
  <c r="V150" i="7"/>
  <c r="V161" i="7"/>
  <c r="V116" i="7"/>
  <c r="V180" i="7"/>
  <c r="V15" i="7"/>
  <c r="V169" i="7"/>
  <c r="V119" i="7"/>
  <c r="V21" i="7"/>
  <c r="V3" i="7"/>
  <c r="V122" i="7"/>
  <c r="V91" i="7"/>
  <c r="V53" i="7"/>
  <c r="H23" i="8"/>
  <c r="G3" i="8"/>
  <c r="A3" i="8" s="1"/>
  <c r="G5" i="8"/>
  <c r="A5" i="8" s="1"/>
  <c r="G6" i="8"/>
  <c r="A6" i="8" s="1"/>
  <c r="G7" i="8"/>
  <c r="A7" i="8" s="1"/>
  <c r="G8" i="8"/>
  <c r="A8" i="8" s="1"/>
  <c r="G9" i="8"/>
  <c r="A9" i="8" s="1"/>
  <c r="G10" i="8"/>
  <c r="A10" i="8" s="1"/>
  <c r="G11" i="8"/>
  <c r="A11" i="8" s="1"/>
  <c r="G12" i="8"/>
  <c r="A12" i="8" s="1"/>
  <c r="G13" i="8"/>
  <c r="A13" i="8" s="1"/>
  <c r="G14" i="8"/>
  <c r="A14" i="8" s="1"/>
  <c r="G15" i="8"/>
  <c r="A15" i="8" s="1"/>
  <c r="G16" i="8"/>
  <c r="A16" i="8" s="1"/>
  <c r="G17" i="8"/>
  <c r="A17" i="8" s="1"/>
  <c r="G18" i="8"/>
  <c r="A18" i="8" s="1"/>
  <c r="G19" i="8"/>
  <c r="A19" i="8" s="1"/>
  <c r="G20" i="8"/>
  <c r="A20" i="8" s="1"/>
  <c r="G21" i="8"/>
  <c r="A21" i="8" s="1"/>
  <c r="G22" i="8"/>
  <c r="A22" i="8" s="1"/>
  <c r="G4" i="8"/>
  <c r="A4" i="8" s="1"/>
  <c r="C266" i="8"/>
  <c r="I266" i="8" s="1"/>
  <c r="D266" i="8"/>
  <c r="G266" i="8" s="1"/>
  <c r="E266" i="8"/>
  <c r="C267" i="8"/>
  <c r="D267" i="8"/>
  <c r="E267" i="8"/>
  <c r="C268" i="8"/>
  <c r="I268" i="8" s="1"/>
  <c r="D268" i="8"/>
  <c r="G268" i="8" s="1"/>
  <c r="E268" i="8"/>
  <c r="C269" i="8"/>
  <c r="I269" i="8" s="1"/>
  <c r="D269" i="8"/>
  <c r="G269" i="8" s="1"/>
  <c r="E269" i="8"/>
  <c r="C270" i="8"/>
  <c r="D270" i="8"/>
  <c r="G270" i="8" s="1"/>
  <c r="E270" i="8"/>
  <c r="C271" i="8"/>
  <c r="D271" i="8"/>
  <c r="G271" i="8" s="1"/>
  <c r="E271" i="8"/>
  <c r="C272" i="8"/>
  <c r="D272" i="8"/>
  <c r="G272" i="8" s="1"/>
  <c r="E272" i="8"/>
  <c r="C1029" i="8"/>
  <c r="I1029" i="8" s="1"/>
  <c r="D1029" i="8"/>
  <c r="G1029" i="8" s="1"/>
  <c r="E1029" i="8"/>
  <c r="C1030" i="8"/>
  <c r="D1030" i="8"/>
  <c r="E1030" i="8"/>
  <c r="C1031" i="8"/>
  <c r="I1031" i="8" s="1"/>
  <c r="D1031" i="8"/>
  <c r="G1031" i="8" s="1"/>
  <c r="E1031" i="8"/>
  <c r="C1032" i="8"/>
  <c r="I1032" i="8" s="1"/>
  <c r="D1032" i="8"/>
  <c r="G1032" i="8" s="1"/>
  <c r="E1032" i="8"/>
  <c r="I1033" i="8"/>
  <c r="I1034" i="8"/>
  <c r="C24" i="8"/>
  <c r="D24" i="8"/>
  <c r="G24" i="8" s="1"/>
  <c r="E24" i="8"/>
  <c r="C25" i="8"/>
  <c r="D25" i="8"/>
  <c r="G25" i="8" s="1"/>
  <c r="E25" i="8"/>
  <c r="C26" i="8"/>
  <c r="I26" i="8" s="1"/>
  <c r="D26" i="8"/>
  <c r="G26" i="8" s="1"/>
  <c r="E26" i="8"/>
  <c r="C27" i="8"/>
  <c r="I27" i="8" s="1"/>
  <c r="D27" i="8"/>
  <c r="G27" i="8" s="1"/>
  <c r="E27" i="8"/>
  <c r="C28" i="8"/>
  <c r="I28" i="8" s="1"/>
  <c r="D28" i="8"/>
  <c r="G28" i="8" s="1"/>
  <c r="A28" i="8" s="1"/>
  <c r="E28" i="8"/>
  <c r="C29" i="8"/>
  <c r="D29" i="8"/>
  <c r="G29" i="8" s="1"/>
  <c r="E29" i="8"/>
  <c r="C30" i="8"/>
  <c r="D30" i="8"/>
  <c r="G30" i="8" s="1"/>
  <c r="E30" i="8"/>
  <c r="C31" i="8"/>
  <c r="D31" i="8"/>
  <c r="G31" i="8" s="1"/>
  <c r="E31" i="8"/>
  <c r="C32" i="8"/>
  <c r="I32" i="8" s="1"/>
  <c r="D32" i="8"/>
  <c r="G32" i="8" s="1"/>
  <c r="E32" i="8"/>
  <c r="C33" i="8"/>
  <c r="I33" i="8" s="1"/>
  <c r="D33" i="8"/>
  <c r="G33" i="8" s="1"/>
  <c r="E33" i="8"/>
  <c r="C34" i="8"/>
  <c r="I34" i="8" s="1"/>
  <c r="D34" i="8"/>
  <c r="G34" i="8" s="1"/>
  <c r="E34" i="8"/>
  <c r="C35" i="8"/>
  <c r="I35" i="8" s="1"/>
  <c r="D35" i="8"/>
  <c r="G35" i="8" s="1"/>
  <c r="E35" i="8"/>
  <c r="C36" i="8"/>
  <c r="I36" i="8" s="1"/>
  <c r="D36" i="8"/>
  <c r="G36" i="8" s="1"/>
  <c r="E36" i="8"/>
  <c r="C37" i="8"/>
  <c r="D37" i="8"/>
  <c r="G37" i="8" s="1"/>
  <c r="E37" i="8"/>
  <c r="C38" i="8"/>
  <c r="I38" i="8" s="1"/>
  <c r="D38" i="8"/>
  <c r="G38" i="8" s="1"/>
  <c r="E38" i="8"/>
  <c r="C39" i="8"/>
  <c r="I39" i="8" s="1"/>
  <c r="D39" i="8"/>
  <c r="G39" i="8" s="1"/>
  <c r="E39" i="8"/>
  <c r="C40" i="8"/>
  <c r="I40" i="8" s="1"/>
  <c r="D40" i="8"/>
  <c r="G40" i="8" s="1"/>
  <c r="E40" i="8"/>
  <c r="C41" i="8"/>
  <c r="D41" i="8"/>
  <c r="G41" i="8" s="1"/>
  <c r="E41" i="8"/>
  <c r="C42" i="8"/>
  <c r="D42" i="8"/>
  <c r="G42" i="8" s="1"/>
  <c r="E42" i="8"/>
  <c r="C43" i="8"/>
  <c r="D43" i="8"/>
  <c r="G43" i="8" s="1"/>
  <c r="E43" i="8"/>
  <c r="C44" i="8"/>
  <c r="I44" i="8" s="1"/>
  <c r="D44" i="8"/>
  <c r="G44" i="8" s="1"/>
  <c r="E44" i="8"/>
  <c r="C45" i="8"/>
  <c r="I45" i="8" s="1"/>
  <c r="D45" i="8"/>
  <c r="G45" i="8" s="1"/>
  <c r="E45" i="8"/>
  <c r="C46" i="8"/>
  <c r="D46" i="8"/>
  <c r="G46" i="8" s="1"/>
  <c r="E46" i="8"/>
  <c r="C47" i="8"/>
  <c r="I47" i="8" s="1"/>
  <c r="D47" i="8"/>
  <c r="G47" i="8" s="1"/>
  <c r="E47" i="8"/>
  <c r="C48" i="8"/>
  <c r="D48" i="8"/>
  <c r="G48" i="8" s="1"/>
  <c r="E48" i="8"/>
  <c r="C49" i="8"/>
  <c r="I49" i="8" s="1"/>
  <c r="D49" i="8"/>
  <c r="G49" i="8" s="1"/>
  <c r="E49" i="8"/>
  <c r="C50" i="8"/>
  <c r="I50" i="8" s="1"/>
  <c r="D50" i="8"/>
  <c r="G50" i="8" s="1"/>
  <c r="E50" i="8"/>
  <c r="C51" i="8"/>
  <c r="I51" i="8" s="1"/>
  <c r="D51" i="8"/>
  <c r="G51" i="8" s="1"/>
  <c r="E51" i="8"/>
  <c r="C52" i="8"/>
  <c r="I52" i="8" s="1"/>
  <c r="D52" i="8"/>
  <c r="G52" i="8" s="1"/>
  <c r="E52" i="8"/>
  <c r="C53" i="8"/>
  <c r="I53" i="8" s="1"/>
  <c r="D53" i="8"/>
  <c r="G53" i="8" s="1"/>
  <c r="E53" i="8"/>
  <c r="C54" i="8"/>
  <c r="I54" i="8" s="1"/>
  <c r="D54" i="8"/>
  <c r="G54" i="8" s="1"/>
  <c r="E54" i="8"/>
  <c r="C55" i="8"/>
  <c r="I55" i="8" s="1"/>
  <c r="D55" i="8"/>
  <c r="G55" i="8" s="1"/>
  <c r="E55" i="8"/>
  <c r="C56" i="8"/>
  <c r="D56" i="8"/>
  <c r="G56" i="8" s="1"/>
  <c r="E56" i="8"/>
  <c r="C57" i="8"/>
  <c r="I57" i="8" s="1"/>
  <c r="D57" i="8"/>
  <c r="G57" i="8" s="1"/>
  <c r="E57" i="8"/>
  <c r="C58" i="8"/>
  <c r="I58" i="8" s="1"/>
  <c r="D58" i="8"/>
  <c r="G58" i="8" s="1"/>
  <c r="E58" i="8"/>
  <c r="C59" i="8"/>
  <c r="I59" i="8" s="1"/>
  <c r="D59" i="8"/>
  <c r="G59" i="8" s="1"/>
  <c r="E59" i="8"/>
  <c r="C60" i="8"/>
  <c r="I60" i="8" s="1"/>
  <c r="D60" i="8"/>
  <c r="G60" i="8" s="1"/>
  <c r="E60" i="8"/>
  <c r="C61" i="8"/>
  <c r="I61" i="8" s="1"/>
  <c r="D61" i="8"/>
  <c r="G61" i="8" s="1"/>
  <c r="E61" i="8"/>
  <c r="C62" i="8"/>
  <c r="I62" i="8" s="1"/>
  <c r="D62" i="8"/>
  <c r="G62" i="8" s="1"/>
  <c r="E62" i="8"/>
  <c r="C63" i="8"/>
  <c r="I63" i="8" s="1"/>
  <c r="D63" i="8"/>
  <c r="G63" i="8" s="1"/>
  <c r="E63" i="8"/>
  <c r="C64" i="8"/>
  <c r="I64" i="8" s="1"/>
  <c r="D64" i="8"/>
  <c r="G64" i="8" s="1"/>
  <c r="E64" i="8"/>
  <c r="C65" i="8"/>
  <c r="I65" i="8" s="1"/>
  <c r="D65" i="8"/>
  <c r="G65" i="8" s="1"/>
  <c r="E65" i="8"/>
  <c r="C66" i="8"/>
  <c r="I66" i="8" s="1"/>
  <c r="D66" i="8"/>
  <c r="G66" i="8" s="1"/>
  <c r="E66" i="8"/>
  <c r="C67" i="8"/>
  <c r="I67" i="8" s="1"/>
  <c r="D67" i="8"/>
  <c r="G67" i="8" s="1"/>
  <c r="E67" i="8"/>
  <c r="C68" i="8"/>
  <c r="I68" i="8" s="1"/>
  <c r="D68" i="8"/>
  <c r="G68" i="8" s="1"/>
  <c r="E68" i="8"/>
  <c r="C69" i="8"/>
  <c r="I69" i="8" s="1"/>
  <c r="D69" i="8"/>
  <c r="G69" i="8" s="1"/>
  <c r="E69" i="8"/>
  <c r="C70" i="8"/>
  <c r="I70" i="8" s="1"/>
  <c r="D70" i="8"/>
  <c r="G70" i="8" s="1"/>
  <c r="E70" i="8"/>
  <c r="C71" i="8"/>
  <c r="I71" i="8" s="1"/>
  <c r="D71" i="8"/>
  <c r="G71" i="8" s="1"/>
  <c r="E71" i="8"/>
  <c r="C72" i="8"/>
  <c r="I72" i="8" s="1"/>
  <c r="D72" i="8"/>
  <c r="G72" i="8" s="1"/>
  <c r="E72" i="8"/>
  <c r="C73" i="8"/>
  <c r="I73" i="8" s="1"/>
  <c r="D73" i="8"/>
  <c r="G73" i="8" s="1"/>
  <c r="E73" i="8"/>
  <c r="C74" i="8"/>
  <c r="I74" i="8" s="1"/>
  <c r="D74" i="8"/>
  <c r="G74" i="8" s="1"/>
  <c r="E74" i="8"/>
  <c r="C75" i="8"/>
  <c r="I75" i="8" s="1"/>
  <c r="D75" i="8"/>
  <c r="G75" i="8" s="1"/>
  <c r="E75" i="8"/>
  <c r="C76" i="8"/>
  <c r="I76" i="8" s="1"/>
  <c r="D76" i="8"/>
  <c r="G76" i="8" s="1"/>
  <c r="E76" i="8"/>
  <c r="C77" i="8"/>
  <c r="I77" i="8" s="1"/>
  <c r="D77" i="8"/>
  <c r="G77" i="8" s="1"/>
  <c r="E77" i="8"/>
  <c r="C78" i="8"/>
  <c r="I78" i="8" s="1"/>
  <c r="D78" i="8"/>
  <c r="G78" i="8" s="1"/>
  <c r="E78" i="8"/>
  <c r="C79" i="8"/>
  <c r="I79" i="8" s="1"/>
  <c r="D79" i="8"/>
  <c r="G79" i="8" s="1"/>
  <c r="E79" i="8"/>
  <c r="C80" i="8"/>
  <c r="I80" i="8" s="1"/>
  <c r="D80" i="8"/>
  <c r="G80" i="8" s="1"/>
  <c r="E80" i="8"/>
  <c r="C81" i="8"/>
  <c r="I81" i="8" s="1"/>
  <c r="D81" i="8"/>
  <c r="G81" i="8" s="1"/>
  <c r="E81" i="8"/>
  <c r="C82" i="8"/>
  <c r="I82" i="8" s="1"/>
  <c r="D82" i="8"/>
  <c r="G82" i="8" s="1"/>
  <c r="E82" i="8"/>
  <c r="C83" i="8"/>
  <c r="I83" i="8" s="1"/>
  <c r="D83" i="8"/>
  <c r="G83" i="8" s="1"/>
  <c r="E83" i="8"/>
  <c r="C84" i="8"/>
  <c r="I84" i="8" s="1"/>
  <c r="D84" i="8"/>
  <c r="G84" i="8" s="1"/>
  <c r="E84" i="8"/>
  <c r="C85" i="8"/>
  <c r="I85" i="8" s="1"/>
  <c r="D85" i="8"/>
  <c r="G85" i="8" s="1"/>
  <c r="E85" i="8"/>
  <c r="C86" i="8"/>
  <c r="I86" i="8" s="1"/>
  <c r="D86" i="8"/>
  <c r="G86" i="8" s="1"/>
  <c r="E86" i="8"/>
  <c r="C87" i="8"/>
  <c r="I87" i="8" s="1"/>
  <c r="D87" i="8"/>
  <c r="G87" i="8" s="1"/>
  <c r="E87" i="8"/>
  <c r="C88" i="8"/>
  <c r="I88" i="8" s="1"/>
  <c r="D88" i="8"/>
  <c r="G88" i="8" s="1"/>
  <c r="E88" i="8"/>
  <c r="C89" i="8"/>
  <c r="I89" i="8" s="1"/>
  <c r="D89" i="8"/>
  <c r="G89" i="8" s="1"/>
  <c r="E89" i="8"/>
  <c r="C90" i="8"/>
  <c r="I90" i="8" s="1"/>
  <c r="D90" i="8"/>
  <c r="G90" i="8" s="1"/>
  <c r="E90" i="8"/>
  <c r="C91" i="8"/>
  <c r="I91" i="8" s="1"/>
  <c r="D91" i="8"/>
  <c r="G91" i="8" s="1"/>
  <c r="E91" i="8"/>
  <c r="C92" i="8"/>
  <c r="I92" i="8" s="1"/>
  <c r="D92" i="8"/>
  <c r="G92" i="8" s="1"/>
  <c r="E92" i="8"/>
  <c r="C93" i="8"/>
  <c r="I93" i="8" s="1"/>
  <c r="D93" i="8"/>
  <c r="G93" i="8" s="1"/>
  <c r="E93" i="8"/>
  <c r="C94" i="8"/>
  <c r="I94" i="8" s="1"/>
  <c r="D94" i="8"/>
  <c r="G94" i="8" s="1"/>
  <c r="E94" i="8"/>
  <c r="C95" i="8"/>
  <c r="I95" i="8" s="1"/>
  <c r="D95" i="8"/>
  <c r="G95" i="8" s="1"/>
  <c r="E95" i="8"/>
  <c r="C96" i="8"/>
  <c r="I96" i="8" s="1"/>
  <c r="D96" i="8"/>
  <c r="G96" i="8" s="1"/>
  <c r="E96" i="8"/>
  <c r="C97" i="8"/>
  <c r="I97" i="8" s="1"/>
  <c r="D97" i="8"/>
  <c r="G97" i="8" s="1"/>
  <c r="E97" i="8"/>
  <c r="C98" i="8"/>
  <c r="I98" i="8" s="1"/>
  <c r="D98" i="8"/>
  <c r="G98" i="8" s="1"/>
  <c r="E98" i="8"/>
  <c r="C99" i="8"/>
  <c r="I99" i="8" s="1"/>
  <c r="D99" i="8"/>
  <c r="G99" i="8" s="1"/>
  <c r="E99" i="8"/>
  <c r="C100" i="8"/>
  <c r="I100" i="8" s="1"/>
  <c r="D100" i="8"/>
  <c r="G100" i="8" s="1"/>
  <c r="E100" i="8"/>
  <c r="C101" i="8"/>
  <c r="I101" i="8" s="1"/>
  <c r="D101" i="8"/>
  <c r="G101" i="8" s="1"/>
  <c r="E101" i="8"/>
  <c r="C102" i="8"/>
  <c r="I102" i="8" s="1"/>
  <c r="D102" i="8"/>
  <c r="G102" i="8" s="1"/>
  <c r="E102" i="8"/>
  <c r="C103" i="8"/>
  <c r="I103" i="8" s="1"/>
  <c r="D103" i="8"/>
  <c r="G103" i="8" s="1"/>
  <c r="E103" i="8"/>
  <c r="C104" i="8"/>
  <c r="I104" i="8" s="1"/>
  <c r="D104" i="8"/>
  <c r="G104" i="8" s="1"/>
  <c r="E104" i="8"/>
  <c r="C105" i="8"/>
  <c r="I105" i="8" s="1"/>
  <c r="D105" i="8"/>
  <c r="G105" i="8" s="1"/>
  <c r="E105" i="8"/>
  <c r="C106" i="8"/>
  <c r="I106" i="8" s="1"/>
  <c r="D106" i="8"/>
  <c r="G106" i="8" s="1"/>
  <c r="E106" i="8"/>
  <c r="C107" i="8"/>
  <c r="I107" i="8" s="1"/>
  <c r="D107" i="8"/>
  <c r="G107" i="8" s="1"/>
  <c r="E107" i="8"/>
  <c r="C108" i="8"/>
  <c r="I108" i="8" s="1"/>
  <c r="D108" i="8"/>
  <c r="G108" i="8" s="1"/>
  <c r="A108" i="8" s="1"/>
  <c r="E108" i="8"/>
  <c r="C109" i="8"/>
  <c r="D109" i="8"/>
  <c r="G109" i="8" s="1"/>
  <c r="E109" i="8"/>
  <c r="C110" i="8"/>
  <c r="D110" i="8"/>
  <c r="G110" i="8" s="1"/>
  <c r="E110" i="8"/>
  <c r="C111" i="8"/>
  <c r="D111" i="8"/>
  <c r="G111" i="8" s="1"/>
  <c r="E111" i="8"/>
  <c r="C112" i="8"/>
  <c r="D112" i="8"/>
  <c r="G112" i="8" s="1"/>
  <c r="E112" i="8"/>
  <c r="C113" i="8"/>
  <c r="D113" i="8"/>
  <c r="G113" i="8" s="1"/>
  <c r="E113" i="8"/>
  <c r="C114" i="8"/>
  <c r="D114" i="8"/>
  <c r="G114" i="8" s="1"/>
  <c r="E114" i="8"/>
  <c r="C115" i="8"/>
  <c r="D115" i="8"/>
  <c r="G115" i="8" s="1"/>
  <c r="E115" i="8"/>
  <c r="C116" i="8"/>
  <c r="D116" i="8"/>
  <c r="G116" i="8" s="1"/>
  <c r="E116" i="8"/>
  <c r="C117" i="8"/>
  <c r="D117" i="8"/>
  <c r="G117" i="8" s="1"/>
  <c r="E117" i="8"/>
  <c r="C118" i="8"/>
  <c r="D118" i="8"/>
  <c r="G118" i="8" s="1"/>
  <c r="E118" i="8"/>
  <c r="C119" i="8"/>
  <c r="D119" i="8"/>
  <c r="G119" i="8" s="1"/>
  <c r="E119" i="8"/>
  <c r="C120" i="8"/>
  <c r="D120" i="8"/>
  <c r="G120" i="8" s="1"/>
  <c r="E120" i="8"/>
  <c r="C121" i="8"/>
  <c r="D121" i="8"/>
  <c r="G121" i="8" s="1"/>
  <c r="E121" i="8"/>
  <c r="C122" i="8"/>
  <c r="D122" i="8"/>
  <c r="G122" i="8" s="1"/>
  <c r="E122" i="8"/>
  <c r="C123" i="8"/>
  <c r="D123" i="8"/>
  <c r="G123" i="8" s="1"/>
  <c r="E123" i="8"/>
  <c r="C124" i="8"/>
  <c r="D124" i="8"/>
  <c r="G124" i="8" s="1"/>
  <c r="E124" i="8"/>
  <c r="C125" i="8"/>
  <c r="D125" i="8"/>
  <c r="G125" i="8" s="1"/>
  <c r="E125" i="8"/>
  <c r="C126" i="8"/>
  <c r="D126" i="8"/>
  <c r="G126" i="8" s="1"/>
  <c r="E126" i="8"/>
  <c r="C127" i="8"/>
  <c r="D127" i="8"/>
  <c r="G127" i="8" s="1"/>
  <c r="E127" i="8"/>
  <c r="C128" i="8"/>
  <c r="D128" i="8"/>
  <c r="G128" i="8" s="1"/>
  <c r="E128" i="8"/>
  <c r="C129" i="8"/>
  <c r="D129" i="8"/>
  <c r="G129" i="8" s="1"/>
  <c r="E129" i="8"/>
  <c r="C130" i="8"/>
  <c r="D130" i="8"/>
  <c r="G130" i="8" s="1"/>
  <c r="E130" i="8"/>
  <c r="C131" i="8"/>
  <c r="D131" i="8"/>
  <c r="G131" i="8" s="1"/>
  <c r="E131" i="8"/>
  <c r="C132" i="8"/>
  <c r="D132" i="8"/>
  <c r="G132" i="8" s="1"/>
  <c r="E132" i="8"/>
  <c r="C133" i="8"/>
  <c r="D133" i="8"/>
  <c r="G133" i="8" s="1"/>
  <c r="E133" i="8"/>
  <c r="C134" i="8"/>
  <c r="D134" i="8"/>
  <c r="G134" i="8" s="1"/>
  <c r="E134" i="8"/>
  <c r="C135" i="8"/>
  <c r="D135" i="8"/>
  <c r="G135" i="8" s="1"/>
  <c r="E135" i="8"/>
  <c r="C136" i="8"/>
  <c r="D136" i="8"/>
  <c r="G136" i="8" s="1"/>
  <c r="E136" i="8"/>
  <c r="C137" i="8"/>
  <c r="D137" i="8"/>
  <c r="G137" i="8" s="1"/>
  <c r="E137" i="8"/>
  <c r="C138" i="8"/>
  <c r="D138" i="8"/>
  <c r="G138" i="8" s="1"/>
  <c r="E138" i="8"/>
  <c r="C139" i="8"/>
  <c r="D139" i="8"/>
  <c r="G139" i="8" s="1"/>
  <c r="E139" i="8"/>
  <c r="C140" i="8"/>
  <c r="D140" i="8"/>
  <c r="G140" i="8" s="1"/>
  <c r="E140" i="8"/>
  <c r="C141" i="8"/>
  <c r="D141" i="8"/>
  <c r="G141" i="8" s="1"/>
  <c r="E141" i="8"/>
  <c r="C142" i="8"/>
  <c r="D142" i="8"/>
  <c r="G142" i="8" s="1"/>
  <c r="E142" i="8"/>
  <c r="C143" i="8"/>
  <c r="D143" i="8"/>
  <c r="G143" i="8" s="1"/>
  <c r="E143" i="8"/>
  <c r="C144" i="8"/>
  <c r="D144" i="8"/>
  <c r="G144" i="8" s="1"/>
  <c r="E144" i="8"/>
  <c r="C145" i="8"/>
  <c r="D145" i="8"/>
  <c r="G145" i="8" s="1"/>
  <c r="E145" i="8"/>
  <c r="C146" i="8"/>
  <c r="D146" i="8"/>
  <c r="G146" i="8" s="1"/>
  <c r="E146" i="8"/>
  <c r="C147" i="8"/>
  <c r="D147" i="8"/>
  <c r="G147" i="8" s="1"/>
  <c r="E147" i="8"/>
  <c r="C148" i="8"/>
  <c r="D148" i="8"/>
  <c r="G148" i="8" s="1"/>
  <c r="E148" i="8"/>
  <c r="C149" i="8"/>
  <c r="D149" i="8"/>
  <c r="G149" i="8" s="1"/>
  <c r="E149" i="8"/>
  <c r="C150" i="8"/>
  <c r="D150" i="8"/>
  <c r="G150" i="8" s="1"/>
  <c r="E150" i="8"/>
  <c r="C151" i="8"/>
  <c r="D151" i="8"/>
  <c r="G151" i="8" s="1"/>
  <c r="E151" i="8"/>
  <c r="C152" i="8"/>
  <c r="D152" i="8"/>
  <c r="G152" i="8" s="1"/>
  <c r="E152" i="8"/>
  <c r="C153" i="8"/>
  <c r="D153" i="8"/>
  <c r="G153" i="8" s="1"/>
  <c r="E153" i="8"/>
  <c r="C154" i="8"/>
  <c r="D154" i="8"/>
  <c r="G154" i="8" s="1"/>
  <c r="E154" i="8"/>
  <c r="C155" i="8"/>
  <c r="D155" i="8"/>
  <c r="G155" i="8" s="1"/>
  <c r="E155" i="8"/>
  <c r="C156" i="8"/>
  <c r="I156" i="8" s="1"/>
  <c r="D156" i="8"/>
  <c r="G156" i="8" s="1"/>
  <c r="E156" i="8"/>
  <c r="C157" i="8"/>
  <c r="I157" i="8" s="1"/>
  <c r="D157" i="8"/>
  <c r="G157" i="8" s="1"/>
  <c r="E157" i="8"/>
  <c r="C158" i="8"/>
  <c r="D158" i="8"/>
  <c r="G158" i="8" s="1"/>
  <c r="E158" i="8"/>
  <c r="C159" i="8"/>
  <c r="D159" i="8"/>
  <c r="G159" i="8" s="1"/>
  <c r="E159" i="8"/>
  <c r="C160" i="8"/>
  <c r="D160" i="8"/>
  <c r="G160" i="8" s="1"/>
  <c r="E160" i="8"/>
  <c r="C161" i="8"/>
  <c r="D161" i="8"/>
  <c r="G161" i="8" s="1"/>
  <c r="E161" i="8"/>
  <c r="C162" i="8"/>
  <c r="D162" i="8"/>
  <c r="G162" i="8" s="1"/>
  <c r="E162" i="8"/>
  <c r="C163" i="8"/>
  <c r="D163" i="8"/>
  <c r="G163" i="8" s="1"/>
  <c r="E163" i="8"/>
  <c r="C164" i="8"/>
  <c r="D164" i="8"/>
  <c r="G164" i="8" s="1"/>
  <c r="E164" i="8"/>
  <c r="C165" i="8"/>
  <c r="D165" i="8"/>
  <c r="G165" i="8" s="1"/>
  <c r="E165" i="8"/>
  <c r="C166" i="8"/>
  <c r="D166" i="8"/>
  <c r="G166" i="8" s="1"/>
  <c r="E166" i="8"/>
  <c r="C167" i="8"/>
  <c r="D167" i="8"/>
  <c r="G167" i="8" s="1"/>
  <c r="E167" i="8"/>
  <c r="C168" i="8"/>
  <c r="D168" i="8"/>
  <c r="G168" i="8" s="1"/>
  <c r="E168" i="8"/>
  <c r="C169" i="8"/>
  <c r="D169" i="8"/>
  <c r="G169" i="8" s="1"/>
  <c r="E169" i="8"/>
  <c r="C170" i="8"/>
  <c r="D170" i="8"/>
  <c r="G170" i="8" s="1"/>
  <c r="E170" i="8"/>
  <c r="C171" i="8"/>
  <c r="D171" i="8"/>
  <c r="G171" i="8" s="1"/>
  <c r="E171" i="8"/>
  <c r="C172" i="8"/>
  <c r="D172" i="8"/>
  <c r="G172" i="8" s="1"/>
  <c r="E172" i="8"/>
  <c r="C173" i="8"/>
  <c r="D173" i="8"/>
  <c r="G173" i="8" s="1"/>
  <c r="E173" i="8"/>
  <c r="C174" i="8"/>
  <c r="D174" i="8"/>
  <c r="G174" i="8" s="1"/>
  <c r="E174" i="8"/>
  <c r="C175" i="8"/>
  <c r="D175" i="8"/>
  <c r="G175" i="8" s="1"/>
  <c r="E175" i="8"/>
  <c r="C176" i="8"/>
  <c r="D176" i="8"/>
  <c r="G176" i="8" s="1"/>
  <c r="E176" i="8"/>
  <c r="C177" i="8"/>
  <c r="D177" i="8"/>
  <c r="G177" i="8" s="1"/>
  <c r="E177" i="8"/>
  <c r="C178" i="8"/>
  <c r="D178" i="8"/>
  <c r="G178" i="8" s="1"/>
  <c r="E178" i="8"/>
  <c r="C179" i="8"/>
  <c r="D179" i="8"/>
  <c r="G179" i="8" s="1"/>
  <c r="E179" i="8"/>
  <c r="C180" i="8"/>
  <c r="D180" i="8"/>
  <c r="G180" i="8" s="1"/>
  <c r="E180" i="8"/>
  <c r="C181" i="8"/>
  <c r="D181" i="8"/>
  <c r="G181" i="8" s="1"/>
  <c r="E181" i="8"/>
  <c r="C182" i="8"/>
  <c r="D182" i="8"/>
  <c r="G182" i="8" s="1"/>
  <c r="E182" i="8"/>
  <c r="C183" i="8"/>
  <c r="D183" i="8"/>
  <c r="G183" i="8" s="1"/>
  <c r="E183" i="8"/>
  <c r="C184" i="8"/>
  <c r="D184" i="8"/>
  <c r="G184" i="8" s="1"/>
  <c r="E184" i="8"/>
  <c r="C185" i="8"/>
  <c r="D185" i="8"/>
  <c r="G185" i="8" s="1"/>
  <c r="E185" i="8"/>
  <c r="C186" i="8"/>
  <c r="D186" i="8"/>
  <c r="G186" i="8" s="1"/>
  <c r="E186" i="8"/>
  <c r="C187" i="8"/>
  <c r="D187" i="8"/>
  <c r="G187" i="8" s="1"/>
  <c r="E187" i="8"/>
  <c r="C188" i="8"/>
  <c r="D188" i="8"/>
  <c r="G188" i="8" s="1"/>
  <c r="E188" i="8"/>
  <c r="C189" i="8"/>
  <c r="D189" i="8"/>
  <c r="G189" i="8" s="1"/>
  <c r="E189" i="8"/>
  <c r="C190" i="8"/>
  <c r="D190" i="8"/>
  <c r="G190" i="8" s="1"/>
  <c r="E190" i="8"/>
  <c r="C191" i="8"/>
  <c r="D191" i="8"/>
  <c r="G191" i="8" s="1"/>
  <c r="E191" i="8"/>
  <c r="C192" i="8"/>
  <c r="D192" i="8"/>
  <c r="G192" i="8" s="1"/>
  <c r="E192" i="8"/>
  <c r="C193" i="8"/>
  <c r="D193" i="8"/>
  <c r="G193" i="8" s="1"/>
  <c r="E193" i="8"/>
  <c r="C194" i="8"/>
  <c r="D194" i="8"/>
  <c r="G194" i="8" s="1"/>
  <c r="E194" i="8"/>
  <c r="C195" i="8"/>
  <c r="D195" i="8"/>
  <c r="G195" i="8" s="1"/>
  <c r="E195" i="8"/>
  <c r="C196" i="8"/>
  <c r="D196" i="8"/>
  <c r="G196" i="8" s="1"/>
  <c r="E196" i="8"/>
  <c r="C197" i="8"/>
  <c r="D197" i="8"/>
  <c r="G197" i="8" s="1"/>
  <c r="E197" i="8"/>
  <c r="C198" i="8"/>
  <c r="D198" i="8"/>
  <c r="G198" i="8" s="1"/>
  <c r="E198" i="8"/>
  <c r="C199" i="8"/>
  <c r="D199" i="8"/>
  <c r="G199" i="8" s="1"/>
  <c r="E199" i="8"/>
  <c r="C200" i="8"/>
  <c r="D200" i="8"/>
  <c r="G200" i="8" s="1"/>
  <c r="E200" i="8"/>
  <c r="C201" i="8"/>
  <c r="D201" i="8"/>
  <c r="G201" i="8" s="1"/>
  <c r="E201" i="8"/>
  <c r="C202" i="8"/>
  <c r="D202" i="8"/>
  <c r="G202" i="8" s="1"/>
  <c r="E202" i="8"/>
  <c r="C203" i="8"/>
  <c r="D203" i="8"/>
  <c r="G203" i="8" s="1"/>
  <c r="E203" i="8"/>
  <c r="C204" i="8"/>
  <c r="D204" i="8"/>
  <c r="G204" i="8" s="1"/>
  <c r="E204" i="8"/>
  <c r="C205" i="8"/>
  <c r="I205" i="8" s="1"/>
  <c r="D205" i="8"/>
  <c r="G205" i="8" s="1"/>
  <c r="E205" i="8"/>
  <c r="C206" i="8"/>
  <c r="D206" i="8"/>
  <c r="G206" i="8" s="1"/>
  <c r="E206" i="8"/>
  <c r="C207" i="8"/>
  <c r="D207" i="8"/>
  <c r="G207" i="8" s="1"/>
  <c r="E207" i="8"/>
  <c r="C208" i="8"/>
  <c r="D208" i="8"/>
  <c r="G208" i="8" s="1"/>
  <c r="E208" i="8"/>
  <c r="C209" i="8"/>
  <c r="D209" i="8"/>
  <c r="G209" i="8" s="1"/>
  <c r="E209" i="8"/>
  <c r="C210" i="8"/>
  <c r="I210" i="8" s="1"/>
  <c r="D210" i="8"/>
  <c r="G210" i="8" s="1"/>
  <c r="E210" i="8"/>
  <c r="C211" i="8"/>
  <c r="I211" i="8" s="1"/>
  <c r="D211" i="8"/>
  <c r="G211" i="8" s="1"/>
  <c r="E211" i="8"/>
  <c r="C212" i="8"/>
  <c r="I212" i="8" s="1"/>
  <c r="D212" i="8"/>
  <c r="G212" i="8" s="1"/>
  <c r="E212" i="8"/>
  <c r="C213" i="8"/>
  <c r="I213" i="8" s="1"/>
  <c r="D213" i="8"/>
  <c r="G213" i="8" s="1"/>
  <c r="E213" i="8"/>
  <c r="C214" i="8"/>
  <c r="D214" i="8"/>
  <c r="G214" i="8" s="1"/>
  <c r="E214" i="8"/>
  <c r="C215" i="8"/>
  <c r="D215" i="8"/>
  <c r="G215" i="8" s="1"/>
  <c r="E215" i="8"/>
  <c r="C216" i="8"/>
  <c r="D216" i="8"/>
  <c r="G216" i="8" s="1"/>
  <c r="E216" i="8"/>
  <c r="C217" i="8"/>
  <c r="D217" i="8"/>
  <c r="G217" i="8" s="1"/>
  <c r="E217" i="8"/>
  <c r="C218" i="8"/>
  <c r="D218" i="8"/>
  <c r="G218" i="8" s="1"/>
  <c r="E218" i="8"/>
  <c r="C219" i="8"/>
  <c r="D219" i="8"/>
  <c r="G219" i="8" s="1"/>
  <c r="E219" i="8"/>
  <c r="C220" i="8"/>
  <c r="D220" i="8"/>
  <c r="G220" i="8" s="1"/>
  <c r="E220" i="8"/>
  <c r="C221" i="8"/>
  <c r="D221" i="8"/>
  <c r="G221" i="8" s="1"/>
  <c r="E221" i="8"/>
  <c r="C222" i="8"/>
  <c r="D222" i="8"/>
  <c r="G222" i="8" s="1"/>
  <c r="E222" i="8"/>
  <c r="C223" i="8"/>
  <c r="D223" i="8"/>
  <c r="G223" i="8" s="1"/>
  <c r="E223" i="8"/>
  <c r="C224" i="8"/>
  <c r="D224" i="8"/>
  <c r="G224" i="8" s="1"/>
  <c r="E224" i="8"/>
  <c r="C225" i="8"/>
  <c r="D225" i="8"/>
  <c r="G225" i="8" s="1"/>
  <c r="E225" i="8"/>
  <c r="C226" i="8"/>
  <c r="D226" i="8"/>
  <c r="G226" i="8" s="1"/>
  <c r="E226" i="8"/>
  <c r="C227" i="8"/>
  <c r="D227" i="8"/>
  <c r="G227" i="8" s="1"/>
  <c r="E227" i="8"/>
  <c r="C228" i="8"/>
  <c r="D228" i="8"/>
  <c r="G228" i="8" s="1"/>
  <c r="E228" i="8"/>
  <c r="C229" i="8"/>
  <c r="D229" i="8"/>
  <c r="G229" i="8" s="1"/>
  <c r="E229" i="8"/>
  <c r="C230" i="8"/>
  <c r="I230" i="8" s="1"/>
  <c r="D230" i="8"/>
  <c r="G230" i="8" s="1"/>
  <c r="E230" i="8"/>
  <c r="C231" i="8"/>
  <c r="I231" i="8" s="1"/>
  <c r="D231" i="8"/>
  <c r="G231" i="8" s="1"/>
  <c r="E231" i="8"/>
  <c r="C232" i="8"/>
  <c r="D232" i="8"/>
  <c r="G232" i="8" s="1"/>
  <c r="E232" i="8"/>
  <c r="C233" i="8"/>
  <c r="D233" i="8"/>
  <c r="G233" i="8" s="1"/>
  <c r="E233" i="8"/>
  <c r="C234" i="8"/>
  <c r="D234" i="8"/>
  <c r="G234" i="8" s="1"/>
  <c r="E234" i="8"/>
  <c r="C235" i="8"/>
  <c r="D235" i="8"/>
  <c r="G235" i="8" s="1"/>
  <c r="E235" i="8"/>
  <c r="C236" i="8"/>
  <c r="D236" i="8"/>
  <c r="G236" i="8" s="1"/>
  <c r="E236" i="8"/>
  <c r="C237" i="8"/>
  <c r="D237" i="8"/>
  <c r="G237" i="8" s="1"/>
  <c r="E237" i="8"/>
  <c r="C238" i="8"/>
  <c r="D238" i="8"/>
  <c r="G238" i="8" s="1"/>
  <c r="E238" i="8"/>
  <c r="C239" i="8"/>
  <c r="D239" i="8"/>
  <c r="G239" i="8" s="1"/>
  <c r="E239" i="8"/>
  <c r="C240" i="8"/>
  <c r="D240" i="8"/>
  <c r="G240" i="8" s="1"/>
  <c r="E240" i="8"/>
  <c r="C241" i="8"/>
  <c r="D241" i="8"/>
  <c r="G241" i="8" s="1"/>
  <c r="E241" i="8"/>
  <c r="C242" i="8"/>
  <c r="D242" i="8"/>
  <c r="G242" i="8" s="1"/>
  <c r="E242" i="8"/>
  <c r="C243" i="8"/>
  <c r="D243" i="8"/>
  <c r="G243" i="8" s="1"/>
  <c r="E243" i="8"/>
  <c r="C244" i="8"/>
  <c r="D244" i="8"/>
  <c r="G244" i="8" s="1"/>
  <c r="E244" i="8"/>
  <c r="C245" i="8"/>
  <c r="D245" i="8"/>
  <c r="G245" i="8" s="1"/>
  <c r="E245" i="8"/>
  <c r="C246" i="8"/>
  <c r="D246" i="8"/>
  <c r="G246" i="8" s="1"/>
  <c r="E246" i="8"/>
  <c r="C247" i="8"/>
  <c r="D247" i="8"/>
  <c r="G247" i="8" s="1"/>
  <c r="E247" i="8"/>
  <c r="C248" i="8"/>
  <c r="I248" i="8" s="1"/>
  <c r="D248" i="8"/>
  <c r="G248" i="8" s="1"/>
  <c r="E248" i="8"/>
  <c r="C249" i="8"/>
  <c r="I249" i="8" s="1"/>
  <c r="D249" i="8"/>
  <c r="G249" i="8" s="1"/>
  <c r="E249" i="8"/>
  <c r="C250" i="8"/>
  <c r="D250" i="8"/>
  <c r="G250" i="8" s="1"/>
  <c r="E250" i="8"/>
  <c r="C251" i="8"/>
  <c r="D251" i="8"/>
  <c r="G251" i="8" s="1"/>
  <c r="E251" i="8"/>
  <c r="C252" i="8"/>
  <c r="D252" i="8"/>
  <c r="G252" i="8" s="1"/>
  <c r="E252" i="8"/>
  <c r="C253" i="8"/>
  <c r="D253" i="8"/>
  <c r="G253" i="8" s="1"/>
  <c r="E253" i="8"/>
  <c r="C254" i="8"/>
  <c r="D254" i="8"/>
  <c r="G254" i="8" s="1"/>
  <c r="E254" i="8"/>
  <c r="C255" i="8"/>
  <c r="D255" i="8"/>
  <c r="G255" i="8" s="1"/>
  <c r="E255" i="8"/>
  <c r="C256" i="8"/>
  <c r="D256" i="8"/>
  <c r="G256" i="8" s="1"/>
  <c r="E256" i="8"/>
  <c r="C257" i="8"/>
  <c r="D257" i="8"/>
  <c r="G257" i="8" s="1"/>
  <c r="E257" i="8"/>
  <c r="C258" i="8"/>
  <c r="D258" i="8"/>
  <c r="G258" i="8" s="1"/>
  <c r="E258" i="8"/>
  <c r="C259" i="8"/>
  <c r="D259" i="8"/>
  <c r="G259" i="8" s="1"/>
  <c r="E259" i="8"/>
  <c r="C260" i="8"/>
  <c r="D260" i="8"/>
  <c r="G260" i="8" s="1"/>
  <c r="E260" i="8"/>
  <c r="C261" i="8"/>
  <c r="D261" i="8"/>
  <c r="G261" i="8" s="1"/>
  <c r="E261" i="8"/>
  <c r="C262" i="8"/>
  <c r="D262" i="8"/>
  <c r="G262" i="8" s="1"/>
  <c r="E262" i="8"/>
  <c r="C263" i="8"/>
  <c r="D263" i="8"/>
  <c r="G263" i="8" s="1"/>
  <c r="E263" i="8"/>
  <c r="C264" i="8"/>
  <c r="D264" i="8"/>
  <c r="G264" i="8" s="1"/>
  <c r="E264" i="8"/>
  <c r="C265" i="8"/>
  <c r="D265" i="8"/>
  <c r="G265" i="8" s="1"/>
  <c r="E265" i="8"/>
  <c r="C273" i="8"/>
  <c r="D273" i="8"/>
  <c r="G273" i="8" s="1"/>
  <c r="E273" i="8"/>
  <c r="C274" i="8"/>
  <c r="D274" i="8"/>
  <c r="G274" i="8" s="1"/>
  <c r="E274" i="8"/>
  <c r="C275" i="8"/>
  <c r="D275" i="8"/>
  <c r="G275" i="8" s="1"/>
  <c r="E275" i="8"/>
  <c r="C276" i="8"/>
  <c r="D276" i="8"/>
  <c r="G276" i="8" s="1"/>
  <c r="E276" i="8"/>
  <c r="C277" i="8"/>
  <c r="D277" i="8"/>
  <c r="G277" i="8" s="1"/>
  <c r="E277" i="8"/>
  <c r="C278" i="8"/>
  <c r="D278" i="8"/>
  <c r="G278" i="8" s="1"/>
  <c r="E278" i="8"/>
  <c r="C279" i="8"/>
  <c r="D279" i="8"/>
  <c r="G279" i="8" s="1"/>
  <c r="E279" i="8"/>
  <c r="C280" i="8"/>
  <c r="D280" i="8"/>
  <c r="G280" i="8" s="1"/>
  <c r="E280" i="8"/>
  <c r="C281" i="8"/>
  <c r="D281" i="8"/>
  <c r="G281" i="8" s="1"/>
  <c r="E281" i="8"/>
  <c r="C282" i="8"/>
  <c r="D282" i="8"/>
  <c r="G282" i="8" s="1"/>
  <c r="E282" i="8"/>
  <c r="C283" i="8"/>
  <c r="D283" i="8"/>
  <c r="G283" i="8" s="1"/>
  <c r="E283" i="8"/>
  <c r="C284" i="8"/>
  <c r="D284" i="8"/>
  <c r="G284" i="8" s="1"/>
  <c r="E284" i="8"/>
  <c r="C285" i="8"/>
  <c r="D285" i="8"/>
  <c r="G285" i="8" s="1"/>
  <c r="E285" i="8"/>
  <c r="C286" i="8"/>
  <c r="D286" i="8"/>
  <c r="G286" i="8" s="1"/>
  <c r="E286" i="8"/>
  <c r="C287" i="8"/>
  <c r="D287" i="8"/>
  <c r="G287" i="8" s="1"/>
  <c r="E287" i="8"/>
  <c r="C288" i="8"/>
  <c r="D288" i="8"/>
  <c r="G288" i="8" s="1"/>
  <c r="E288" i="8"/>
  <c r="C289" i="8"/>
  <c r="D289" i="8"/>
  <c r="G289" i="8" s="1"/>
  <c r="E289" i="8"/>
  <c r="C290" i="8"/>
  <c r="D290" i="8"/>
  <c r="G290" i="8" s="1"/>
  <c r="E290" i="8"/>
  <c r="C291" i="8"/>
  <c r="D291" i="8"/>
  <c r="G291" i="8" s="1"/>
  <c r="E291" i="8"/>
  <c r="C292" i="8"/>
  <c r="D292" i="8"/>
  <c r="G292" i="8" s="1"/>
  <c r="E292" i="8"/>
  <c r="C293" i="8"/>
  <c r="D293" i="8"/>
  <c r="G293" i="8" s="1"/>
  <c r="E293" i="8"/>
  <c r="C294" i="8"/>
  <c r="D294" i="8"/>
  <c r="G294" i="8" s="1"/>
  <c r="E294" i="8"/>
  <c r="C295" i="8"/>
  <c r="D295" i="8"/>
  <c r="G295" i="8" s="1"/>
  <c r="E295" i="8"/>
  <c r="C296" i="8"/>
  <c r="D296" i="8"/>
  <c r="G296" i="8" s="1"/>
  <c r="E296" i="8"/>
  <c r="C297" i="8"/>
  <c r="D297" i="8"/>
  <c r="G297" i="8" s="1"/>
  <c r="E297" i="8"/>
  <c r="C298" i="8"/>
  <c r="D298" i="8"/>
  <c r="G298" i="8" s="1"/>
  <c r="E298" i="8"/>
  <c r="C299" i="8"/>
  <c r="D299" i="8"/>
  <c r="G299" i="8" s="1"/>
  <c r="E299" i="8"/>
  <c r="C300" i="8"/>
  <c r="D300" i="8"/>
  <c r="G300" i="8" s="1"/>
  <c r="E300" i="8"/>
  <c r="C301" i="8"/>
  <c r="D301" i="8"/>
  <c r="G301" i="8" s="1"/>
  <c r="E301" i="8"/>
  <c r="C302" i="8"/>
  <c r="D302" i="8"/>
  <c r="G302" i="8" s="1"/>
  <c r="E302" i="8"/>
  <c r="C303" i="8"/>
  <c r="D303" i="8"/>
  <c r="G303" i="8" s="1"/>
  <c r="E303" i="8"/>
  <c r="C304" i="8"/>
  <c r="D304" i="8"/>
  <c r="G304" i="8" s="1"/>
  <c r="E304" i="8"/>
  <c r="C305" i="8"/>
  <c r="D305" i="8"/>
  <c r="G305" i="8" s="1"/>
  <c r="E305" i="8"/>
  <c r="C306" i="8"/>
  <c r="D306" i="8"/>
  <c r="G306" i="8" s="1"/>
  <c r="E306" i="8"/>
  <c r="C307" i="8"/>
  <c r="D307" i="8"/>
  <c r="G307" i="8" s="1"/>
  <c r="E307" i="8"/>
  <c r="C308" i="8"/>
  <c r="D308" i="8"/>
  <c r="G308" i="8" s="1"/>
  <c r="E308" i="8"/>
  <c r="C309" i="8"/>
  <c r="D309" i="8"/>
  <c r="G309" i="8" s="1"/>
  <c r="E309" i="8"/>
  <c r="C310" i="8"/>
  <c r="D310" i="8"/>
  <c r="G310" i="8" s="1"/>
  <c r="E310" i="8"/>
  <c r="C311" i="8"/>
  <c r="D311" i="8"/>
  <c r="G311" i="8" s="1"/>
  <c r="E311" i="8"/>
  <c r="C312" i="8"/>
  <c r="D312" i="8"/>
  <c r="G312" i="8" s="1"/>
  <c r="E312" i="8"/>
  <c r="C313" i="8"/>
  <c r="D313" i="8"/>
  <c r="G313" i="8" s="1"/>
  <c r="E313" i="8"/>
  <c r="C314" i="8"/>
  <c r="D314" i="8"/>
  <c r="G314" i="8" s="1"/>
  <c r="E314" i="8"/>
  <c r="C315" i="8"/>
  <c r="D315" i="8"/>
  <c r="G315" i="8" s="1"/>
  <c r="E315" i="8"/>
  <c r="C316" i="8"/>
  <c r="D316" i="8"/>
  <c r="G316" i="8" s="1"/>
  <c r="E316" i="8"/>
  <c r="C317" i="8"/>
  <c r="D317" i="8"/>
  <c r="G317" i="8" s="1"/>
  <c r="E317" i="8"/>
  <c r="C318" i="8"/>
  <c r="D318" i="8"/>
  <c r="G318" i="8" s="1"/>
  <c r="E318" i="8"/>
  <c r="C319" i="8"/>
  <c r="D319" i="8"/>
  <c r="G319" i="8" s="1"/>
  <c r="E319" i="8"/>
  <c r="C320" i="8"/>
  <c r="D320" i="8"/>
  <c r="G320" i="8" s="1"/>
  <c r="E320" i="8"/>
  <c r="C321" i="8"/>
  <c r="D321" i="8"/>
  <c r="G321" i="8" s="1"/>
  <c r="E321" i="8"/>
  <c r="C322" i="8"/>
  <c r="D322" i="8"/>
  <c r="G322" i="8" s="1"/>
  <c r="E322" i="8"/>
  <c r="C323" i="8"/>
  <c r="D323" i="8"/>
  <c r="G323" i="8" s="1"/>
  <c r="E323" i="8"/>
  <c r="C324" i="8"/>
  <c r="D324" i="8"/>
  <c r="G324" i="8" s="1"/>
  <c r="E324" i="8"/>
  <c r="C325" i="8"/>
  <c r="D325" i="8"/>
  <c r="G325" i="8" s="1"/>
  <c r="E325" i="8"/>
  <c r="C326" i="8"/>
  <c r="D326" i="8"/>
  <c r="G326" i="8" s="1"/>
  <c r="E326" i="8"/>
  <c r="C327" i="8"/>
  <c r="D327" i="8"/>
  <c r="G327" i="8" s="1"/>
  <c r="E327" i="8"/>
  <c r="C328" i="8"/>
  <c r="D328" i="8"/>
  <c r="G328" i="8" s="1"/>
  <c r="E328" i="8"/>
  <c r="C329" i="8"/>
  <c r="D329" i="8"/>
  <c r="G329" i="8" s="1"/>
  <c r="E329" i="8"/>
  <c r="C330" i="8"/>
  <c r="D330" i="8"/>
  <c r="G330" i="8" s="1"/>
  <c r="E330" i="8"/>
  <c r="C331" i="8"/>
  <c r="D331" i="8"/>
  <c r="G331" i="8" s="1"/>
  <c r="E331" i="8"/>
  <c r="C332" i="8"/>
  <c r="D332" i="8"/>
  <c r="G332" i="8" s="1"/>
  <c r="E332" i="8"/>
  <c r="C333" i="8"/>
  <c r="D333" i="8"/>
  <c r="G333" i="8" s="1"/>
  <c r="E333" i="8"/>
  <c r="C334" i="8"/>
  <c r="D334" i="8"/>
  <c r="G334" i="8" s="1"/>
  <c r="E334" i="8"/>
  <c r="C335" i="8"/>
  <c r="D335" i="8"/>
  <c r="G335" i="8" s="1"/>
  <c r="E335" i="8"/>
  <c r="C336" i="8"/>
  <c r="D336" i="8"/>
  <c r="G336" i="8" s="1"/>
  <c r="E336" i="8"/>
  <c r="C337" i="8"/>
  <c r="D337" i="8"/>
  <c r="G337" i="8" s="1"/>
  <c r="E337" i="8"/>
  <c r="C338" i="8"/>
  <c r="D338" i="8"/>
  <c r="G338" i="8" s="1"/>
  <c r="E338" i="8"/>
  <c r="C339" i="8"/>
  <c r="D339" i="8"/>
  <c r="G339" i="8" s="1"/>
  <c r="E339" i="8"/>
  <c r="C340" i="8"/>
  <c r="D340" i="8"/>
  <c r="G340" i="8" s="1"/>
  <c r="E340" i="8"/>
  <c r="C341" i="8"/>
  <c r="D341" i="8"/>
  <c r="G341" i="8" s="1"/>
  <c r="E341" i="8"/>
  <c r="C342" i="8"/>
  <c r="D342" i="8"/>
  <c r="G342" i="8" s="1"/>
  <c r="E342" i="8"/>
  <c r="C343" i="8"/>
  <c r="D343" i="8"/>
  <c r="G343" i="8" s="1"/>
  <c r="E343" i="8"/>
  <c r="C344" i="8"/>
  <c r="D344" i="8"/>
  <c r="G344" i="8" s="1"/>
  <c r="E344" i="8"/>
  <c r="C345" i="8"/>
  <c r="D345" i="8"/>
  <c r="G345" i="8" s="1"/>
  <c r="E345" i="8"/>
  <c r="C346" i="8"/>
  <c r="D346" i="8"/>
  <c r="G346" i="8" s="1"/>
  <c r="E346" i="8"/>
  <c r="C347" i="8"/>
  <c r="D347" i="8"/>
  <c r="G347" i="8" s="1"/>
  <c r="E347" i="8"/>
  <c r="C348" i="8"/>
  <c r="D348" i="8"/>
  <c r="G348" i="8" s="1"/>
  <c r="E348" i="8"/>
  <c r="C349" i="8"/>
  <c r="D349" i="8"/>
  <c r="G349" i="8" s="1"/>
  <c r="E349" i="8"/>
  <c r="C350" i="8"/>
  <c r="D350" i="8"/>
  <c r="G350" i="8" s="1"/>
  <c r="E350" i="8"/>
  <c r="C351" i="8"/>
  <c r="D351" i="8"/>
  <c r="G351" i="8" s="1"/>
  <c r="E351" i="8"/>
  <c r="C352" i="8"/>
  <c r="D352" i="8"/>
  <c r="G352" i="8" s="1"/>
  <c r="E352" i="8"/>
  <c r="C353" i="8"/>
  <c r="D353" i="8"/>
  <c r="G353" i="8" s="1"/>
  <c r="E353" i="8"/>
  <c r="C354" i="8"/>
  <c r="D354" i="8"/>
  <c r="G354" i="8" s="1"/>
  <c r="E354" i="8"/>
  <c r="C355" i="8"/>
  <c r="D355" i="8"/>
  <c r="G355" i="8" s="1"/>
  <c r="E355" i="8"/>
  <c r="C356" i="8"/>
  <c r="D356" i="8"/>
  <c r="G356" i="8" s="1"/>
  <c r="E356" i="8"/>
  <c r="C357" i="8"/>
  <c r="D357" i="8"/>
  <c r="G357" i="8" s="1"/>
  <c r="E357" i="8"/>
  <c r="C358" i="8"/>
  <c r="D358" i="8"/>
  <c r="G358" i="8" s="1"/>
  <c r="E358" i="8"/>
  <c r="C359" i="8"/>
  <c r="D359" i="8"/>
  <c r="G359" i="8" s="1"/>
  <c r="E359" i="8"/>
  <c r="C360" i="8"/>
  <c r="D360" i="8"/>
  <c r="G360" i="8" s="1"/>
  <c r="E360" i="8"/>
  <c r="C361" i="8"/>
  <c r="D361" i="8"/>
  <c r="G361" i="8" s="1"/>
  <c r="E361" i="8"/>
  <c r="C362" i="8"/>
  <c r="D362" i="8"/>
  <c r="G362" i="8" s="1"/>
  <c r="E362" i="8"/>
  <c r="C363" i="8"/>
  <c r="D363" i="8"/>
  <c r="G363" i="8" s="1"/>
  <c r="E363" i="8"/>
  <c r="C364" i="8"/>
  <c r="D364" i="8"/>
  <c r="G364" i="8" s="1"/>
  <c r="E364" i="8"/>
  <c r="C365" i="8"/>
  <c r="D365" i="8"/>
  <c r="G365" i="8" s="1"/>
  <c r="E365" i="8"/>
  <c r="C366" i="8"/>
  <c r="D366" i="8"/>
  <c r="G366" i="8" s="1"/>
  <c r="E366" i="8"/>
  <c r="C367" i="8"/>
  <c r="D367" i="8"/>
  <c r="G367" i="8" s="1"/>
  <c r="E367" i="8"/>
  <c r="C368" i="8"/>
  <c r="D368" i="8"/>
  <c r="G368" i="8" s="1"/>
  <c r="E368" i="8"/>
  <c r="C369" i="8"/>
  <c r="D369" i="8"/>
  <c r="G369" i="8" s="1"/>
  <c r="E369" i="8"/>
  <c r="C370" i="8"/>
  <c r="D370" i="8"/>
  <c r="G370" i="8" s="1"/>
  <c r="E370" i="8"/>
  <c r="C371" i="8"/>
  <c r="D371" i="8"/>
  <c r="G371" i="8" s="1"/>
  <c r="E371" i="8"/>
  <c r="C372" i="8"/>
  <c r="D372" i="8"/>
  <c r="G372" i="8" s="1"/>
  <c r="E372" i="8"/>
  <c r="C373" i="8"/>
  <c r="D373" i="8"/>
  <c r="G373" i="8" s="1"/>
  <c r="E373" i="8"/>
  <c r="C374" i="8"/>
  <c r="D374" i="8"/>
  <c r="G374" i="8" s="1"/>
  <c r="E374" i="8"/>
  <c r="C375" i="8"/>
  <c r="D375" i="8"/>
  <c r="G375" i="8" s="1"/>
  <c r="E375" i="8"/>
  <c r="C376" i="8"/>
  <c r="D376" i="8"/>
  <c r="G376" i="8" s="1"/>
  <c r="E376" i="8"/>
  <c r="C377" i="8"/>
  <c r="D377" i="8"/>
  <c r="G377" i="8" s="1"/>
  <c r="E377" i="8"/>
  <c r="C378" i="8"/>
  <c r="D378" i="8"/>
  <c r="G378" i="8" s="1"/>
  <c r="E378" i="8"/>
  <c r="C379" i="8"/>
  <c r="D379" i="8"/>
  <c r="G379" i="8" s="1"/>
  <c r="E379" i="8"/>
  <c r="C380" i="8"/>
  <c r="D380" i="8"/>
  <c r="G380" i="8" s="1"/>
  <c r="E380" i="8"/>
  <c r="C381" i="8"/>
  <c r="D381" i="8"/>
  <c r="G381" i="8" s="1"/>
  <c r="E381" i="8"/>
  <c r="C382" i="8"/>
  <c r="D382" i="8"/>
  <c r="G382" i="8" s="1"/>
  <c r="E382" i="8"/>
  <c r="C383" i="8"/>
  <c r="D383" i="8"/>
  <c r="G383" i="8" s="1"/>
  <c r="E383" i="8"/>
  <c r="C384" i="8"/>
  <c r="D384" i="8"/>
  <c r="G384" i="8" s="1"/>
  <c r="E384" i="8"/>
  <c r="C385" i="8"/>
  <c r="D385" i="8"/>
  <c r="G385" i="8" s="1"/>
  <c r="E385" i="8"/>
  <c r="C386" i="8"/>
  <c r="D386" i="8"/>
  <c r="G386" i="8" s="1"/>
  <c r="E386" i="8"/>
  <c r="C387" i="8"/>
  <c r="D387" i="8"/>
  <c r="G387" i="8" s="1"/>
  <c r="E387" i="8"/>
  <c r="C388" i="8"/>
  <c r="D388" i="8"/>
  <c r="G388" i="8" s="1"/>
  <c r="E388" i="8"/>
  <c r="C389" i="8"/>
  <c r="D389" i="8"/>
  <c r="G389" i="8" s="1"/>
  <c r="E389" i="8"/>
  <c r="C390" i="8"/>
  <c r="D390" i="8"/>
  <c r="G390" i="8" s="1"/>
  <c r="E390" i="8"/>
  <c r="C391" i="8"/>
  <c r="D391" i="8"/>
  <c r="G391" i="8" s="1"/>
  <c r="E391" i="8"/>
  <c r="C392" i="8"/>
  <c r="D392" i="8"/>
  <c r="G392" i="8" s="1"/>
  <c r="E392" i="8"/>
  <c r="C393" i="8"/>
  <c r="D393" i="8"/>
  <c r="G393" i="8" s="1"/>
  <c r="E393" i="8"/>
  <c r="C394" i="8"/>
  <c r="D394" i="8"/>
  <c r="G394" i="8" s="1"/>
  <c r="E394" i="8"/>
  <c r="C395" i="8"/>
  <c r="I395" i="8" s="1"/>
  <c r="D395" i="8"/>
  <c r="G395" i="8" s="1"/>
  <c r="E395" i="8"/>
  <c r="C396" i="8"/>
  <c r="D396" i="8"/>
  <c r="G396" i="8" s="1"/>
  <c r="E396" i="8"/>
  <c r="C397" i="8"/>
  <c r="D397" i="8"/>
  <c r="G397" i="8" s="1"/>
  <c r="E397" i="8"/>
  <c r="C398" i="8"/>
  <c r="D398" i="8"/>
  <c r="G398" i="8" s="1"/>
  <c r="E398" i="8"/>
  <c r="C399" i="8"/>
  <c r="D399" i="8"/>
  <c r="G399" i="8" s="1"/>
  <c r="E399" i="8"/>
  <c r="C400" i="8"/>
  <c r="D400" i="8"/>
  <c r="G400" i="8" s="1"/>
  <c r="E400" i="8"/>
  <c r="C401" i="8"/>
  <c r="D401" i="8"/>
  <c r="G401" i="8" s="1"/>
  <c r="E401" i="8"/>
  <c r="C402" i="8"/>
  <c r="D402" i="8"/>
  <c r="G402" i="8" s="1"/>
  <c r="E402" i="8"/>
  <c r="C403" i="8"/>
  <c r="D403" i="8"/>
  <c r="G403" i="8" s="1"/>
  <c r="E403" i="8"/>
  <c r="C404" i="8"/>
  <c r="D404" i="8"/>
  <c r="G404" i="8" s="1"/>
  <c r="E404" i="8"/>
  <c r="C405" i="8"/>
  <c r="D405" i="8"/>
  <c r="G405" i="8" s="1"/>
  <c r="E405" i="8"/>
  <c r="C406" i="8"/>
  <c r="D406" i="8"/>
  <c r="G406" i="8" s="1"/>
  <c r="E406" i="8"/>
  <c r="C407" i="8"/>
  <c r="D407" i="8"/>
  <c r="G407" i="8" s="1"/>
  <c r="E407" i="8"/>
  <c r="C408" i="8"/>
  <c r="D408" i="8"/>
  <c r="G408" i="8" s="1"/>
  <c r="E408" i="8"/>
  <c r="C409" i="8"/>
  <c r="D409" i="8"/>
  <c r="G409" i="8" s="1"/>
  <c r="E409" i="8"/>
  <c r="C410" i="8"/>
  <c r="D410" i="8"/>
  <c r="G410" i="8" s="1"/>
  <c r="E410" i="8"/>
  <c r="C411" i="8"/>
  <c r="D411" i="8"/>
  <c r="G411" i="8" s="1"/>
  <c r="E411" i="8"/>
  <c r="C412" i="8"/>
  <c r="D412" i="8"/>
  <c r="G412" i="8" s="1"/>
  <c r="E412" i="8"/>
  <c r="C413" i="8"/>
  <c r="D413" i="8"/>
  <c r="G413" i="8" s="1"/>
  <c r="E413" i="8"/>
  <c r="C414" i="8"/>
  <c r="D414" i="8"/>
  <c r="G414" i="8" s="1"/>
  <c r="E414" i="8"/>
  <c r="C415" i="8"/>
  <c r="D415" i="8"/>
  <c r="G415" i="8" s="1"/>
  <c r="E415" i="8"/>
  <c r="C416" i="8"/>
  <c r="D416" i="8"/>
  <c r="G416" i="8" s="1"/>
  <c r="E416" i="8"/>
  <c r="C417" i="8"/>
  <c r="D417" i="8"/>
  <c r="G417" i="8" s="1"/>
  <c r="E417" i="8"/>
  <c r="C418" i="8"/>
  <c r="D418" i="8"/>
  <c r="G418" i="8" s="1"/>
  <c r="E418" i="8"/>
  <c r="C419" i="8"/>
  <c r="D419" i="8"/>
  <c r="G419" i="8" s="1"/>
  <c r="E419" i="8"/>
  <c r="C420" i="8"/>
  <c r="D420" i="8"/>
  <c r="G420" i="8" s="1"/>
  <c r="E420" i="8"/>
  <c r="C421" i="8"/>
  <c r="D421" i="8"/>
  <c r="G421" i="8" s="1"/>
  <c r="E421" i="8"/>
  <c r="C422" i="8"/>
  <c r="D422" i="8"/>
  <c r="G422" i="8" s="1"/>
  <c r="E422" i="8"/>
  <c r="C423" i="8"/>
  <c r="D423" i="8"/>
  <c r="G423" i="8" s="1"/>
  <c r="E423" i="8"/>
  <c r="C424" i="8"/>
  <c r="D424" i="8"/>
  <c r="G424" i="8" s="1"/>
  <c r="E424" i="8"/>
  <c r="C425" i="8"/>
  <c r="D425" i="8"/>
  <c r="G425" i="8" s="1"/>
  <c r="E425" i="8"/>
  <c r="C426" i="8"/>
  <c r="D426" i="8"/>
  <c r="G426" i="8" s="1"/>
  <c r="E426" i="8"/>
  <c r="C427" i="8"/>
  <c r="D427" i="8"/>
  <c r="G427" i="8" s="1"/>
  <c r="E427" i="8"/>
  <c r="C428" i="8"/>
  <c r="D428" i="8"/>
  <c r="G428" i="8" s="1"/>
  <c r="E428" i="8"/>
  <c r="C429" i="8"/>
  <c r="D429" i="8"/>
  <c r="G429" i="8" s="1"/>
  <c r="E429" i="8"/>
  <c r="C430" i="8"/>
  <c r="D430" i="8"/>
  <c r="G430" i="8" s="1"/>
  <c r="E430" i="8"/>
  <c r="C431" i="8"/>
  <c r="D431" i="8"/>
  <c r="G431" i="8" s="1"/>
  <c r="E431" i="8"/>
  <c r="C432" i="8"/>
  <c r="D432" i="8"/>
  <c r="G432" i="8" s="1"/>
  <c r="E432" i="8"/>
  <c r="C433" i="8"/>
  <c r="D433" i="8"/>
  <c r="G433" i="8" s="1"/>
  <c r="E433" i="8"/>
  <c r="C434" i="8"/>
  <c r="D434" i="8"/>
  <c r="G434" i="8" s="1"/>
  <c r="E434" i="8"/>
  <c r="C435" i="8"/>
  <c r="D435" i="8"/>
  <c r="G435" i="8" s="1"/>
  <c r="E435" i="8"/>
  <c r="C436" i="8"/>
  <c r="D436" i="8"/>
  <c r="G436" i="8" s="1"/>
  <c r="E436" i="8"/>
  <c r="C437" i="8"/>
  <c r="D437" i="8"/>
  <c r="G437" i="8" s="1"/>
  <c r="E437" i="8"/>
  <c r="C438" i="8"/>
  <c r="D438" i="8"/>
  <c r="G438" i="8" s="1"/>
  <c r="E438" i="8"/>
  <c r="C439" i="8"/>
  <c r="D439" i="8"/>
  <c r="G439" i="8" s="1"/>
  <c r="E439" i="8"/>
  <c r="C440" i="8"/>
  <c r="D440" i="8"/>
  <c r="G440" i="8" s="1"/>
  <c r="E440" i="8"/>
  <c r="C441" i="8"/>
  <c r="D441" i="8"/>
  <c r="G441" i="8" s="1"/>
  <c r="E441" i="8"/>
  <c r="C442" i="8"/>
  <c r="D442" i="8"/>
  <c r="G442" i="8" s="1"/>
  <c r="E442" i="8"/>
  <c r="C443" i="8"/>
  <c r="D443" i="8"/>
  <c r="G443" i="8" s="1"/>
  <c r="E443" i="8"/>
  <c r="C444" i="8"/>
  <c r="D444" i="8"/>
  <c r="G444" i="8" s="1"/>
  <c r="E444" i="8"/>
  <c r="C445" i="8"/>
  <c r="D445" i="8"/>
  <c r="G445" i="8" s="1"/>
  <c r="E445" i="8"/>
  <c r="C446" i="8"/>
  <c r="D446" i="8"/>
  <c r="G446" i="8" s="1"/>
  <c r="E446" i="8"/>
  <c r="C447" i="8"/>
  <c r="D447" i="8"/>
  <c r="G447" i="8" s="1"/>
  <c r="E447" i="8"/>
  <c r="C448" i="8"/>
  <c r="D448" i="8"/>
  <c r="G448" i="8" s="1"/>
  <c r="E448" i="8"/>
  <c r="C449" i="8"/>
  <c r="D449" i="8"/>
  <c r="G449" i="8" s="1"/>
  <c r="E449" i="8"/>
  <c r="C450" i="8"/>
  <c r="D450" i="8"/>
  <c r="G450" i="8" s="1"/>
  <c r="E450" i="8"/>
  <c r="C451" i="8"/>
  <c r="D451" i="8"/>
  <c r="G451" i="8" s="1"/>
  <c r="E451" i="8"/>
  <c r="C452" i="8"/>
  <c r="D452" i="8"/>
  <c r="G452" i="8" s="1"/>
  <c r="E452" i="8"/>
  <c r="C453" i="8"/>
  <c r="D453" i="8"/>
  <c r="G453" i="8" s="1"/>
  <c r="E453" i="8"/>
  <c r="C454" i="8"/>
  <c r="D454" i="8"/>
  <c r="G454" i="8" s="1"/>
  <c r="E454" i="8"/>
  <c r="C455" i="8"/>
  <c r="D455" i="8"/>
  <c r="G455" i="8" s="1"/>
  <c r="E455" i="8"/>
  <c r="C456" i="8"/>
  <c r="D456" i="8"/>
  <c r="G456" i="8" s="1"/>
  <c r="E456" i="8"/>
  <c r="C457" i="8"/>
  <c r="D457" i="8"/>
  <c r="G457" i="8" s="1"/>
  <c r="E457" i="8"/>
  <c r="C458" i="8"/>
  <c r="D458" i="8"/>
  <c r="G458" i="8" s="1"/>
  <c r="E458" i="8"/>
  <c r="C459" i="8"/>
  <c r="D459" i="8"/>
  <c r="G459" i="8" s="1"/>
  <c r="E459" i="8"/>
  <c r="C460" i="8"/>
  <c r="D460" i="8"/>
  <c r="G460" i="8" s="1"/>
  <c r="E460" i="8"/>
  <c r="C461" i="8"/>
  <c r="D461" i="8"/>
  <c r="G461" i="8" s="1"/>
  <c r="E461" i="8"/>
  <c r="C462" i="8"/>
  <c r="D462" i="8"/>
  <c r="G462" i="8" s="1"/>
  <c r="E462" i="8"/>
  <c r="C463" i="8"/>
  <c r="D463" i="8"/>
  <c r="G463" i="8" s="1"/>
  <c r="E463" i="8"/>
  <c r="C464" i="8"/>
  <c r="D464" i="8"/>
  <c r="G464" i="8" s="1"/>
  <c r="E464" i="8"/>
  <c r="C465" i="8"/>
  <c r="D465" i="8"/>
  <c r="G465" i="8" s="1"/>
  <c r="E465" i="8"/>
  <c r="C466" i="8"/>
  <c r="D466" i="8"/>
  <c r="G466" i="8" s="1"/>
  <c r="E466" i="8"/>
  <c r="C467" i="8"/>
  <c r="D467" i="8"/>
  <c r="G467" i="8" s="1"/>
  <c r="E467" i="8"/>
  <c r="C468" i="8"/>
  <c r="D468" i="8"/>
  <c r="G468" i="8" s="1"/>
  <c r="E468" i="8"/>
  <c r="C469" i="8"/>
  <c r="D469" i="8"/>
  <c r="G469" i="8" s="1"/>
  <c r="E469" i="8"/>
  <c r="C470" i="8"/>
  <c r="D470" i="8"/>
  <c r="G470" i="8" s="1"/>
  <c r="E470" i="8"/>
  <c r="C471" i="8"/>
  <c r="D471" i="8"/>
  <c r="G471" i="8" s="1"/>
  <c r="E471" i="8"/>
  <c r="C472" i="8"/>
  <c r="D472" i="8"/>
  <c r="G472" i="8" s="1"/>
  <c r="E472" i="8"/>
  <c r="C473" i="8"/>
  <c r="D473" i="8"/>
  <c r="G473" i="8" s="1"/>
  <c r="E473" i="8"/>
  <c r="C474" i="8"/>
  <c r="D474" i="8"/>
  <c r="G474" i="8" s="1"/>
  <c r="E474" i="8"/>
  <c r="C475" i="8"/>
  <c r="D475" i="8"/>
  <c r="G475" i="8" s="1"/>
  <c r="E475" i="8"/>
  <c r="C476" i="8"/>
  <c r="D476" i="8"/>
  <c r="G476" i="8" s="1"/>
  <c r="E476" i="8"/>
  <c r="C477" i="8"/>
  <c r="D477" i="8"/>
  <c r="G477" i="8" s="1"/>
  <c r="E477" i="8"/>
  <c r="C478" i="8"/>
  <c r="D478" i="8"/>
  <c r="G478" i="8" s="1"/>
  <c r="E478" i="8"/>
  <c r="C479" i="8"/>
  <c r="D479" i="8"/>
  <c r="G479" i="8" s="1"/>
  <c r="E479" i="8"/>
  <c r="C480" i="8"/>
  <c r="D480" i="8"/>
  <c r="G480" i="8" s="1"/>
  <c r="E480" i="8"/>
  <c r="C481" i="8"/>
  <c r="D481" i="8"/>
  <c r="G481" i="8" s="1"/>
  <c r="E481" i="8"/>
  <c r="C482" i="8"/>
  <c r="D482" i="8"/>
  <c r="G482" i="8" s="1"/>
  <c r="E482" i="8"/>
  <c r="C483" i="8"/>
  <c r="D483" i="8"/>
  <c r="G483" i="8" s="1"/>
  <c r="E483" i="8"/>
  <c r="C484" i="8"/>
  <c r="D484" i="8"/>
  <c r="G484" i="8" s="1"/>
  <c r="E484" i="8"/>
  <c r="C485" i="8"/>
  <c r="D485" i="8"/>
  <c r="G485" i="8" s="1"/>
  <c r="E485" i="8"/>
  <c r="C486" i="8"/>
  <c r="D486" i="8"/>
  <c r="G486" i="8" s="1"/>
  <c r="E486" i="8"/>
  <c r="C487" i="8"/>
  <c r="D487" i="8"/>
  <c r="G487" i="8" s="1"/>
  <c r="E487" i="8"/>
  <c r="C488" i="8"/>
  <c r="D488" i="8"/>
  <c r="G488" i="8" s="1"/>
  <c r="E488" i="8"/>
  <c r="C489" i="8"/>
  <c r="D489" i="8"/>
  <c r="G489" i="8" s="1"/>
  <c r="E489" i="8"/>
  <c r="C490" i="8"/>
  <c r="D490" i="8"/>
  <c r="G490" i="8" s="1"/>
  <c r="E490" i="8"/>
  <c r="C491" i="8"/>
  <c r="D491" i="8"/>
  <c r="G491" i="8" s="1"/>
  <c r="E491" i="8"/>
  <c r="C492" i="8"/>
  <c r="D492" i="8"/>
  <c r="G492" i="8" s="1"/>
  <c r="E492" i="8"/>
  <c r="C493" i="8"/>
  <c r="D493" i="8"/>
  <c r="G493" i="8" s="1"/>
  <c r="E493" i="8"/>
  <c r="C494" i="8"/>
  <c r="D494" i="8"/>
  <c r="G494" i="8" s="1"/>
  <c r="E494" i="8"/>
  <c r="C495" i="8"/>
  <c r="D495" i="8"/>
  <c r="G495" i="8" s="1"/>
  <c r="E495" i="8"/>
  <c r="C496" i="8"/>
  <c r="D496" i="8"/>
  <c r="G496" i="8" s="1"/>
  <c r="E496" i="8"/>
  <c r="C497" i="8"/>
  <c r="D497" i="8"/>
  <c r="G497" i="8" s="1"/>
  <c r="E497" i="8"/>
  <c r="C498" i="8"/>
  <c r="D498" i="8"/>
  <c r="G498" i="8" s="1"/>
  <c r="E498" i="8"/>
  <c r="C499" i="8"/>
  <c r="D499" i="8"/>
  <c r="G499" i="8" s="1"/>
  <c r="E499" i="8"/>
  <c r="C500" i="8"/>
  <c r="D500" i="8"/>
  <c r="G500" i="8" s="1"/>
  <c r="E500" i="8"/>
  <c r="C501" i="8"/>
  <c r="D501" i="8"/>
  <c r="G501" i="8" s="1"/>
  <c r="E501" i="8"/>
  <c r="C502" i="8"/>
  <c r="D502" i="8"/>
  <c r="G502" i="8" s="1"/>
  <c r="E502" i="8"/>
  <c r="C503" i="8"/>
  <c r="D503" i="8"/>
  <c r="G503" i="8" s="1"/>
  <c r="E503" i="8"/>
  <c r="C504" i="8"/>
  <c r="D504" i="8"/>
  <c r="G504" i="8" s="1"/>
  <c r="E504" i="8"/>
  <c r="C505" i="8"/>
  <c r="D505" i="8"/>
  <c r="G505" i="8" s="1"/>
  <c r="E505" i="8"/>
  <c r="C506" i="8"/>
  <c r="D506" i="8"/>
  <c r="G506" i="8" s="1"/>
  <c r="E506" i="8"/>
  <c r="C507" i="8"/>
  <c r="D507" i="8"/>
  <c r="G507" i="8" s="1"/>
  <c r="E507" i="8"/>
  <c r="C508" i="8"/>
  <c r="D508" i="8"/>
  <c r="G508" i="8" s="1"/>
  <c r="E508" i="8"/>
  <c r="C509" i="8"/>
  <c r="D509" i="8"/>
  <c r="G509" i="8" s="1"/>
  <c r="E509" i="8"/>
  <c r="C510" i="8"/>
  <c r="D510" i="8"/>
  <c r="G510" i="8" s="1"/>
  <c r="E510" i="8"/>
  <c r="C511" i="8"/>
  <c r="D511" i="8"/>
  <c r="G511" i="8" s="1"/>
  <c r="E511" i="8"/>
  <c r="C512" i="8"/>
  <c r="D512" i="8"/>
  <c r="G512" i="8" s="1"/>
  <c r="E512" i="8"/>
  <c r="C513" i="8"/>
  <c r="D513" i="8"/>
  <c r="G513" i="8" s="1"/>
  <c r="E513" i="8"/>
  <c r="C514" i="8"/>
  <c r="D514" i="8"/>
  <c r="G514" i="8" s="1"/>
  <c r="E514" i="8"/>
  <c r="C515" i="8"/>
  <c r="D515" i="8"/>
  <c r="G515" i="8" s="1"/>
  <c r="E515" i="8"/>
  <c r="C516" i="8"/>
  <c r="D516" i="8"/>
  <c r="G516" i="8" s="1"/>
  <c r="E516" i="8"/>
  <c r="C517" i="8"/>
  <c r="D517" i="8"/>
  <c r="G517" i="8" s="1"/>
  <c r="E517" i="8"/>
  <c r="C518" i="8"/>
  <c r="D518" i="8"/>
  <c r="G518" i="8" s="1"/>
  <c r="E518" i="8"/>
  <c r="C519" i="8"/>
  <c r="D519" i="8"/>
  <c r="G519" i="8" s="1"/>
  <c r="E519" i="8"/>
  <c r="C520" i="8"/>
  <c r="D520" i="8"/>
  <c r="G520" i="8" s="1"/>
  <c r="E520" i="8"/>
  <c r="C521" i="8"/>
  <c r="I521" i="8" s="1"/>
  <c r="D521" i="8"/>
  <c r="G521" i="8" s="1"/>
  <c r="E521" i="8"/>
  <c r="C522" i="8"/>
  <c r="I522" i="8" s="1"/>
  <c r="D522" i="8"/>
  <c r="G522" i="8" s="1"/>
  <c r="E522" i="8"/>
  <c r="C523" i="8"/>
  <c r="I523" i="8" s="1"/>
  <c r="D523" i="8"/>
  <c r="G523" i="8" s="1"/>
  <c r="E523" i="8"/>
  <c r="C524" i="8"/>
  <c r="D524" i="8"/>
  <c r="G524" i="8" s="1"/>
  <c r="E524" i="8"/>
  <c r="C525" i="8"/>
  <c r="D525" i="8"/>
  <c r="G525" i="8" s="1"/>
  <c r="E525" i="8"/>
  <c r="C526" i="8"/>
  <c r="D526" i="8"/>
  <c r="G526" i="8" s="1"/>
  <c r="E526" i="8"/>
  <c r="C527" i="8"/>
  <c r="D527" i="8"/>
  <c r="G527" i="8" s="1"/>
  <c r="E527" i="8"/>
  <c r="C528" i="8"/>
  <c r="D528" i="8"/>
  <c r="G528" i="8" s="1"/>
  <c r="E528" i="8"/>
  <c r="C529" i="8"/>
  <c r="D529" i="8"/>
  <c r="G529" i="8" s="1"/>
  <c r="E529" i="8"/>
  <c r="C530" i="8"/>
  <c r="D530" i="8"/>
  <c r="G530" i="8" s="1"/>
  <c r="E530" i="8"/>
  <c r="C531" i="8"/>
  <c r="D531" i="8"/>
  <c r="G531" i="8" s="1"/>
  <c r="E531" i="8"/>
  <c r="C532" i="8"/>
  <c r="D532" i="8"/>
  <c r="G532" i="8" s="1"/>
  <c r="E532" i="8"/>
  <c r="C533" i="8"/>
  <c r="D533" i="8"/>
  <c r="G533" i="8" s="1"/>
  <c r="E533" i="8"/>
  <c r="C534" i="8"/>
  <c r="D534" i="8"/>
  <c r="G534" i="8" s="1"/>
  <c r="E534" i="8"/>
  <c r="C535" i="8"/>
  <c r="D535" i="8"/>
  <c r="G535" i="8" s="1"/>
  <c r="E535" i="8"/>
  <c r="C536" i="8"/>
  <c r="D536" i="8"/>
  <c r="G536" i="8" s="1"/>
  <c r="E536" i="8"/>
  <c r="C537" i="8"/>
  <c r="D537" i="8"/>
  <c r="G537" i="8" s="1"/>
  <c r="E537" i="8"/>
  <c r="C538" i="8"/>
  <c r="D538" i="8"/>
  <c r="G538" i="8" s="1"/>
  <c r="E538" i="8"/>
  <c r="C539" i="8"/>
  <c r="D539" i="8"/>
  <c r="G539" i="8" s="1"/>
  <c r="E539" i="8"/>
  <c r="C540" i="8"/>
  <c r="D540" i="8"/>
  <c r="G540" i="8" s="1"/>
  <c r="E540" i="8"/>
  <c r="C541" i="8"/>
  <c r="D541" i="8"/>
  <c r="G541" i="8" s="1"/>
  <c r="E541" i="8"/>
  <c r="C542" i="8"/>
  <c r="D542" i="8"/>
  <c r="G542" i="8" s="1"/>
  <c r="E542" i="8"/>
  <c r="C543" i="8"/>
  <c r="D543" i="8"/>
  <c r="G543" i="8" s="1"/>
  <c r="E543" i="8"/>
  <c r="C544" i="8"/>
  <c r="D544" i="8"/>
  <c r="G544" i="8" s="1"/>
  <c r="E544" i="8"/>
  <c r="C545" i="8"/>
  <c r="D545" i="8"/>
  <c r="G545" i="8" s="1"/>
  <c r="E545" i="8"/>
  <c r="C546" i="8"/>
  <c r="D546" i="8"/>
  <c r="G546" i="8" s="1"/>
  <c r="E546" i="8"/>
  <c r="C547" i="8"/>
  <c r="D547" i="8"/>
  <c r="G547" i="8" s="1"/>
  <c r="E547" i="8"/>
  <c r="C548" i="8"/>
  <c r="D548" i="8"/>
  <c r="G548" i="8" s="1"/>
  <c r="E548" i="8"/>
  <c r="C549" i="8"/>
  <c r="D549" i="8"/>
  <c r="G549" i="8" s="1"/>
  <c r="E549" i="8"/>
  <c r="C550" i="8"/>
  <c r="D550" i="8"/>
  <c r="G550" i="8" s="1"/>
  <c r="E550" i="8"/>
  <c r="C551" i="8"/>
  <c r="D551" i="8"/>
  <c r="G551" i="8" s="1"/>
  <c r="E551" i="8"/>
  <c r="C552" i="8"/>
  <c r="D552" i="8"/>
  <c r="G552" i="8" s="1"/>
  <c r="E552" i="8"/>
  <c r="C553" i="8"/>
  <c r="D553" i="8"/>
  <c r="G553" i="8" s="1"/>
  <c r="E553" i="8"/>
  <c r="C554" i="8"/>
  <c r="D554" i="8"/>
  <c r="G554" i="8" s="1"/>
  <c r="E554" i="8"/>
  <c r="C555" i="8"/>
  <c r="D555" i="8"/>
  <c r="G555" i="8" s="1"/>
  <c r="E555" i="8"/>
  <c r="C556" i="8"/>
  <c r="D556" i="8"/>
  <c r="G556" i="8" s="1"/>
  <c r="E556" i="8"/>
  <c r="C557" i="8"/>
  <c r="D557" i="8"/>
  <c r="G557" i="8" s="1"/>
  <c r="E557" i="8"/>
  <c r="C558" i="8"/>
  <c r="D558" i="8"/>
  <c r="G558" i="8" s="1"/>
  <c r="E558" i="8"/>
  <c r="C559" i="8"/>
  <c r="D559" i="8"/>
  <c r="G559" i="8" s="1"/>
  <c r="E559" i="8"/>
  <c r="C560" i="8"/>
  <c r="D560" i="8"/>
  <c r="G560" i="8" s="1"/>
  <c r="E560" i="8"/>
  <c r="C561" i="8"/>
  <c r="D561" i="8"/>
  <c r="G561" i="8" s="1"/>
  <c r="E561" i="8"/>
  <c r="C562" i="8"/>
  <c r="D562" i="8"/>
  <c r="G562" i="8" s="1"/>
  <c r="E562" i="8"/>
  <c r="C563" i="8"/>
  <c r="D563" i="8"/>
  <c r="G563" i="8" s="1"/>
  <c r="E563" i="8"/>
  <c r="C564" i="8"/>
  <c r="D564" i="8"/>
  <c r="G564" i="8" s="1"/>
  <c r="E564" i="8"/>
  <c r="C565" i="8"/>
  <c r="D565" i="8"/>
  <c r="G565" i="8" s="1"/>
  <c r="E565" i="8"/>
  <c r="C566" i="8"/>
  <c r="D566" i="8"/>
  <c r="G566" i="8" s="1"/>
  <c r="E566" i="8"/>
  <c r="C567" i="8"/>
  <c r="D567" i="8"/>
  <c r="G567" i="8" s="1"/>
  <c r="E567" i="8"/>
  <c r="C568" i="8"/>
  <c r="D568" i="8"/>
  <c r="G568" i="8" s="1"/>
  <c r="E568" i="8"/>
  <c r="C569" i="8"/>
  <c r="D569" i="8"/>
  <c r="G569" i="8" s="1"/>
  <c r="E569" i="8"/>
  <c r="C570" i="8"/>
  <c r="D570" i="8"/>
  <c r="G570" i="8" s="1"/>
  <c r="E570" i="8"/>
  <c r="C571" i="8"/>
  <c r="D571" i="8"/>
  <c r="G571" i="8" s="1"/>
  <c r="E571" i="8"/>
  <c r="C572" i="8"/>
  <c r="D572" i="8"/>
  <c r="G572" i="8" s="1"/>
  <c r="E572" i="8"/>
  <c r="C573" i="8"/>
  <c r="D573" i="8"/>
  <c r="G573" i="8" s="1"/>
  <c r="E573" i="8"/>
  <c r="C574" i="8"/>
  <c r="D574" i="8"/>
  <c r="G574" i="8" s="1"/>
  <c r="E574" i="8"/>
  <c r="C575" i="8"/>
  <c r="D575" i="8"/>
  <c r="G575" i="8" s="1"/>
  <c r="E575" i="8"/>
  <c r="C576" i="8"/>
  <c r="D576" i="8"/>
  <c r="G576" i="8" s="1"/>
  <c r="E576" i="8"/>
  <c r="C577" i="8"/>
  <c r="D577" i="8"/>
  <c r="G577" i="8" s="1"/>
  <c r="E577" i="8"/>
  <c r="C578" i="8"/>
  <c r="D578" i="8"/>
  <c r="G578" i="8" s="1"/>
  <c r="E578" i="8"/>
  <c r="C579" i="8"/>
  <c r="D579" i="8"/>
  <c r="G579" i="8" s="1"/>
  <c r="E579" i="8"/>
  <c r="C580" i="8"/>
  <c r="D580" i="8"/>
  <c r="G580" i="8" s="1"/>
  <c r="E580" i="8"/>
  <c r="C581" i="8"/>
  <c r="D581" i="8"/>
  <c r="G581" i="8" s="1"/>
  <c r="E581" i="8"/>
  <c r="C582" i="8"/>
  <c r="D582" i="8"/>
  <c r="G582" i="8" s="1"/>
  <c r="E582" i="8"/>
  <c r="C583" i="8"/>
  <c r="D583" i="8"/>
  <c r="G583" i="8" s="1"/>
  <c r="E583" i="8"/>
  <c r="C584" i="8"/>
  <c r="D584" i="8"/>
  <c r="G584" i="8" s="1"/>
  <c r="E584" i="8"/>
  <c r="C585" i="8"/>
  <c r="D585" i="8"/>
  <c r="G585" i="8" s="1"/>
  <c r="E585" i="8"/>
  <c r="C586" i="8"/>
  <c r="D586" i="8"/>
  <c r="G586" i="8" s="1"/>
  <c r="E586" i="8"/>
  <c r="C587" i="8"/>
  <c r="D587" i="8"/>
  <c r="G587" i="8" s="1"/>
  <c r="E587" i="8"/>
  <c r="C588" i="8"/>
  <c r="D588" i="8"/>
  <c r="G588" i="8" s="1"/>
  <c r="E588" i="8"/>
  <c r="C589" i="8"/>
  <c r="D589" i="8"/>
  <c r="G589" i="8" s="1"/>
  <c r="E589" i="8"/>
  <c r="C590" i="8"/>
  <c r="D590" i="8"/>
  <c r="G590" i="8" s="1"/>
  <c r="E590" i="8"/>
  <c r="C591" i="8"/>
  <c r="D591" i="8"/>
  <c r="G591" i="8" s="1"/>
  <c r="E591" i="8"/>
  <c r="C592" i="8"/>
  <c r="D592" i="8"/>
  <c r="G592" i="8" s="1"/>
  <c r="E592" i="8"/>
  <c r="C593" i="8"/>
  <c r="D593" i="8"/>
  <c r="G593" i="8" s="1"/>
  <c r="E593" i="8"/>
  <c r="C594" i="8"/>
  <c r="D594" i="8"/>
  <c r="G594" i="8" s="1"/>
  <c r="E594" i="8"/>
  <c r="C595" i="8"/>
  <c r="D595" i="8"/>
  <c r="G595" i="8" s="1"/>
  <c r="E595" i="8"/>
  <c r="C596" i="8"/>
  <c r="D596" i="8"/>
  <c r="G596" i="8" s="1"/>
  <c r="E596" i="8"/>
  <c r="C597" i="8"/>
  <c r="D597" i="8"/>
  <c r="G597" i="8" s="1"/>
  <c r="E597" i="8"/>
  <c r="C598" i="8"/>
  <c r="D598" i="8"/>
  <c r="G598" i="8" s="1"/>
  <c r="E598" i="8"/>
  <c r="C599" i="8"/>
  <c r="D599" i="8"/>
  <c r="G599" i="8" s="1"/>
  <c r="E599" i="8"/>
  <c r="C600" i="8"/>
  <c r="D600" i="8"/>
  <c r="G600" i="8" s="1"/>
  <c r="E600" i="8"/>
  <c r="C601" i="8"/>
  <c r="D601" i="8"/>
  <c r="G601" i="8" s="1"/>
  <c r="E601" i="8"/>
  <c r="C602" i="8"/>
  <c r="D602" i="8"/>
  <c r="G602" i="8" s="1"/>
  <c r="E602" i="8"/>
  <c r="C603" i="8"/>
  <c r="D603" i="8"/>
  <c r="G603" i="8" s="1"/>
  <c r="E603" i="8"/>
  <c r="C604" i="8"/>
  <c r="D604" i="8"/>
  <c r="G604" i="8" s="1"/>
  <c r="E604" i="8"/>
  <c r="C605" i="8"/>
  <c r="D605" i="8"/>
  <c r="G605" i="8" s="1"/>
  <c r="E605" i="8"/>
  <c r="C606" i="8"/>
  <c r="D606" i="8"/>
  <c r="G606" i="8" s="1"/>
  <c r="E606" i="8"/>
  <c r="C607" i="8"/>
  <c r="D607" i="8"/>
  <c r="G607" i="8" s="1"/>
  <c r="E607" i="8"/>
  <c r="C608" i="8"/>
  <c r="D608" i="8"/>
  <c r="G608" i="8" s="1"/>
  <c r="E608" i="8"/>
  <c r="C609" i="8"/>
  <c r="D609" i="8"/>
  <c r="G609" i="8" s="1"/>
  <c r="E609" i="8"/>
  <c r="C610" i="8"/>
  <c r="D610" i="8"/>
  <c r="G610" i="8" s="1"/>
  <c r="E610" i="8"/>
  <c r="C611" i="8"/>
  <c r="D611" i="8"/>
  <c r="G611" i="8" s="1"/>
  <c r="E611" i="8"/>
  <c r="C612" i="8"/>
  <c r="D612" i="8"/>
  <c r="G612" i="8" s="1"/>
  <c r="E612" i="8"/>
  <c r="C613" i="8"/>
  <c r="D613" i="8"/>
  <c r="G613" i="8" s="1"/>
  <c r="E613" i="8"/>
  <c r="C614" i="8"/>
  <c r="D614" i="8"/>
  <c r="G614" i="8" s="1"/>
  <c r="E614" i="8"/>
  <c r="C615" i="8"/>
  <c r="D615" i="8"/>
  <c r="G615" i="8" s="1"/>
  <c r="E615" i="8"/>
  <c r="C616" i="8"/>
  <c r="D616" i="8"/>
  <c r="G616" i="8" s="1"/>
  <c r="E616" i="8"/>
  <c r="C617" i="8"/>
  <c r="D617" i="8"/>
  <c r="G617" i="8" s="1"/>
  <c r="E617" i="8"/>
  <c r="C618" i="8"/>
  <c r="D618" i="8"/>
  <c r="G618" i="8" s="1"/>
  <c r="E618" i="8"/>
  <c r="C619" i="8"/>
  <c r="D619" i="8"/>
  <c r="G619" i="8" s="1"/>
  <c r="E619" i="8"/>
  <c r="C620" i="8"/>
  <c r="D620" i="8"/>
  <c r="G620" i="8" s="1"/>
  <c r="E620" i="8"/>
  <c r="C621" i="8"/>
  <c r="D621" i="8"/>
  <c r="G621" i="8" s="1"/>
  <c r="E621" i="8"/>
  <c r="C622" i="8"/>
  <c r="D622" i="8"/>
  <c r="G622" i="8" s="1"/>
  <c r="E622" i="8"/>
  <c r="C623" i="8"/>
  <c r="D623" i="8"/>
  <c r="G623" i="8" s="1"/>
  <c r="E623" i="8"/>
  <c r="C624" i="8"/>
  <c r="D624" i="8"/>
  <c r="G624" i="8" s="1"/>
  <c r="E624" i="8"/>
  <c r="C625" i="8"/>
  <c r="D625" i="8"/>
  <c r="G625" i="8" s="1"/>
  <c r="E625" i="8"/>
  <c r="C626" i="8"/>
  <c r="D626" i="8"/>
  <c r="G626" i="8" s="1"/>
  <c r="E626" i="8"/>
  <c r="C627" i="8"/>
  <c r="D627" i="8"/>
  <c r="G627" i="8" s="1"/>
  <c r="E627" i="8"/>
  <c r="C628" i="8"/>
  <c r="D628" i="8"/>
  <c r="G628" i="8" s="1"/>
  <c r="E628" i="8"/>
  <c r="C629" i="8"/>
  <c r="D629" i="8"/>
  <c r="G629" i="8" s="1"/>
  <c r="E629" i="8"/>
  <c r="C630" i="8"/>
  <c r="D630" i="8"/>
  <c r="G630" i="8" s="1"/>
  <c r="E630" i="8"/>
  <c r="C631" i="8"/>
  <c r="D631" i="8"/>
  <c r="G631" i="8" s="1"/>
  <c r="E631" i="8"/>
  <c r="C632" i="8"/>
  <c r="D632" i="8"/>
  <c r="G632" i="8" s="1"/>
  <c r="E632" i="8"/>
  <c r="C633" i="8"/>
  <c r="D633" i="8"/>
  <c r="G633" i="8" s="1"/>
  <c r="E633" i="8"/>
  <c r="C634" i="8"/>
  <c r="D634" i="8"/>
  <c r="G634" i="8" s="1"/>
  <c r="E634" i="8"/>
  <c r="C635" i="8"/>
  <c r="D635" i="8"/>
  <c r="G635" i="8" s="1"/>
  <c r="E635" i="8"/>
  <c r="C636" i="8"/>
  <c r="D636" i="8"/>
  <c r="G636" i="8" s="1"/>
  <c r="E636" i="8"/>
  <c r="C637" i="8"/>
  <c r="D637" i="8"/>
  <c r="G637" i="8" s="1"/>
  <c r="E637" i="8"/>
  <c r="C638" i="8"/>
  <c r="D638" i="8"/>
  <c r="G638" i="8" s="1"/>
  <c r="E638" i="8"/>
  <c r="C639" i="8"/>
  <c r="D639" i="8"/>
  <c r="G639" i="8" s="1"/>
  <c r="E639" i="8"/>
  <c r="C640" i="8"/>
  <c r="D640" i="8"/>
  <c r="G640" i="8" s="1"/>
  <c r="E640" i="8"/>
  <c r="C641" i="8"/>
  <c r="D641" i="8"/>
  <c r="G641" i="8" s="1"/>
  <c r="E641" i="8"/>
  <c r="C642" i="8"/>
  <c r="D642" i="8"/>
  <c r="G642" i="8" s="1"/>
  <c r="E642" i="8"/>
  <c r="C643" i="8"/>
  <c r="D643" i="8"/>
  <c r="G643" i="8" s="1"/>
  <c r="E643" i="8"/>
  <c r="C644" i="8"/>
  <c r="D644" i="8"/>
  <c r="G644" i="8" s="1"/>
  <c r="E644" i="8"/>
  <c r="C645" i="8"/>
  <c r="D645" i="8"/>
  <c r="G645" i="8" s="1"/>
  <c r="E645" i="8"/>
  <c r="C646" i="8"/>
  <c r="D646" i="8"/>
  <c r="G646" i="8" s="1"/>
  <c r="E646" i="8"/>
  <c r="C647" i="8"/>
  <c r="D647" i="8"/>
  <c r="G647" i="8" s="1"/>
  <c r="E647" i="8"/>
  <c r="C648" i="8"/>
  <c r="D648" i="8"/>
  <c r="G648" i="8" s="1"/>
  <c r="E648" i="8"/>
  <c r="C649" i="8"/>
  <c r="I649" i="8" s="1"/>
  <c r="D649" i="8"/>
  <c r="G649" i="8" s="1"/>
  <c r="E649" i="8"/>
  <c r="C650" i="8"/>
  <c r="D650" i="8"/>
  <c r="G650" i="8" s="1"/>
  <c r="E650" i="8"/>
  <c r="C651" i="8"/>
  <c r="D651" i="8"/>
  <c r="G651" i="8" s="1"/>
  <c r="E651" i="8"/>
  <c r="C652" i="8"/>
  <c r="D652" i="8"/>
  <c r="G652" i="8" s="1"/>
  <c r="E652" i="8"/>
  <c r="C653" i="8"/>
  <c r="D653" i="8"/>
  <c r="G653" i="8" s="1"/>
  <c r="E653" i="8"/>
  <c r="C654" i="8"/>
  <c r="D654" i="8"/>
  <c r="G654" i="8" s="1"/>
  <c r="E654" i="8"/>
  <c r="C655" i="8"/>
  <c r="D655" i="8"/>
  <c r="G655" i="8" s="1"/>
  <c r="E655" i="8"/>
  <c r="C656" i="8"/>
  <c r="D656" i="8"/>
  <c r="G656" i="8" s="1"/>
  <c r="E656" i="8"/>
  <c r="C657" i="8"/>
  <c r="D657" i="8"/>
  <c r="G657" i="8" s="1"/>
  <c r="E657" i="8"/>
  <c r="C658" i="8"/>
  <c r="D658" i="8"/>
  <c r="G658" i="8" s="1"/>
  <c r="E658" i="8"/>
  <c r="C659" i="8"/>
  <c r="D659" i="8"/>
  <c r="G659" i="8" s="1"/>
  <c r="E659" i="8"/>
  <c r="C660" i="8"/>
  <c r="D660" i="8"/>
  <c r="G660" i="8" s="1"/>
  <c r="E660" i="8"/>
  <c r="C661" i="8"/>
  <c r="D661" i="8"/>
  <c r="G661" i="8" s="1"/>
  <c r="E661" i="8"/>
  <c r="C662" i="8"/>
  <c r="D662" i="8"/>
  <c r="G662" i="8" s="1"/>
  <c r="E662" i="8"/>
  <c r="C663" i="8"/>
  <c r="D663" i="8"/>
  <c r="G663" i="8" s="1"/>
  <c r="E663" i="8"/>
  <c r="C664" i="8"/>
  <c r="D664" i="8"/>
  <c r="G664" i="8" s="1"/>
  <c r="E664" i="8"/>
  <c r="C665" i="8"/>
  <c r="D665" i="8"/>
  <c r="G665" i="8" s="1"/>
  <c r="E665" i="8"/>
  <c r="C666" i="8"/>
  <c r="D666" i="8"/>
  <c r="G666" i="8" s="1"/>
  <c r="E666" i="8"/>
  <c r="C667" i="8"/>
  <c r="D667" i="8"/>
  <c r="G667" i="8" s="1"/>
  <c r="E667" i="8"/>
  <c r="C668" i="8"/>
  <c r="D668" i="8"/>
  <c r="G668" i="8" s="1"/>
  <c r="E668" i="8"/>
  <c r="C669" i="8"/>
  <c r="D669" i="8"/>
  <c r="G669" i="8" s="1"/>
  <c r="E669" i="8"/>
  <c r="C670" i="8"/>
  <c r="D670" i="8"/>
  <c r="G670" i="8" s="1"/>
  <c r="E670" i="8"/>
  <c r="C671" i="8"/>
  <c r="D671" i="8"/>
  <c r="G671" i="8" s="1"/>
  <c r="E671" i="8"/>
  <c r="C672" i="8"/>
  <c r="D672" i="8"/>
  <c r="G672" i="8" s="1"/>
  <c r="E672" i="8"/>
  <c r="C673" i="8"/>
  <c r="D673" i="8"/>
  <c r="G673" i="8" s="1"/>
  <c r="E673" i="8"/>
  <c r="C674" i="8"/>
  <c r="D674" i="8"/>
  <c r="G674" i="8" s="1"/>
  <c r="E674" i="8"/>
  <c r="C675" i="8"/>
  <c r="D675" i="8"/>
  <c r="G675" i="8" s="1"/>
  <c r="E675" i="8"/>
  <c r="C676" i="8"/>
  <c r="D676" i="8"/>
  <c r="G676" i="8" s="1"/>
  <c r="E676" i="8"/>
  <c r="C677" i="8"/>
  <c r="D677" i="8"/>
  <c r="G677" i="8" s="1"/>
  <c r="E677" i="8"/>
  <c r="C678" i="8"/>
  <c r="D678" i="8"/>
  <c r="G678" i="8" s="1"/>
  <c r="E678" i="8"/>
  <c r="C679" i="8"/>
  <c r="D679" i="8"/>
  <c r="G679" i="8" s="1"/>
  <c r="E679" i="8"/>
  <c r="C680" i="8"/>
  <c r="D680" i="8"/>
  <c r="G680" i="8" s="1"/>
  <c r="E680" i="8"/>
  <c r="C681" i="8"/>
  <c r="D681" i="8"/>
  <c r="G681" i="8" s="1"/>
  <c r="E681" i="8"/>
  <c r="C682" i="8"/>
  <c r="D682" i="8"/>
  <c r="G682" i="8" s="1"/>
  <c r="E682" i="8"/>
  <c r="C683" i="8"/>
  <c r="D683" i="8"/>
  <c r="G683" i="8" s="1"/>
  <c r="E683" i="8"/>
  <c r="C684" i="8"/>
  <c r="D684" i="8"/>
  <c r="G684" i="8" s="1"/>
  <c r="E684" i="8"/>
  <c r="C685" i="8"/>
  <c r="D685" i="8"/>
  <c r="G685" i="8" s="1"/>
  <c r="E685" i="8"/>
  <c r="C686" i="8"/>
  <c r="D686" i="8"/>
  <c r="G686" i="8" s="1"/>
  <c r="E686" i="8"/>
  <c r="C687" i="8"/>
  <c r="D687" i="8"/>
  <c r="G687" i="8" s="1"/>
  <c r="E687" i="8"/>
  <c r="C688" i="8"/>
  <c r="D688" i="8"/>
  <c r="G688" i="8" s="1"/>
  <c r="E688" i="8"/>
  <c r="C689" i="8"/>
  <c r="D689" i="8"/>
  <c r="G689" i="8" s="1"/>
  <c r="E689" i="8"/>
  <c r="C690" i="8"/>
  <c r="D690" i="8"/>
  <c r="G690" i="8" s="1"/>
  <c r="E690" i="8"/>
  <c r="C691" i="8"/>
  <c r="D691" i="8"/>
  <c r="G691" i="8" s="1"/>
  <c r="E691" i="8"/>
  <c r="C692" i="8"/>
  <c r="D692" i="8"/>
  <c r="G692" i="8" s="1"/>
  <c r="E692" i="8"/>
  <c r="C693" i="8"/>
  <c r="D693" i="8"/>
  <c r="G693" i="8" s="1"/>
  <c r="E693" i="8"/>
  <c r="C694" i="8"/>
  <c r="D694" i="8"/>
  <c r="G694" i="8" s="1"/>
  <c r="E694" i="8"/>
  <c r="C695" i="8"/>
  <c r="D695" i="8"/>
  <c r="G695" i="8" s="1"/>
  <c r="E695" i="8"/>
  <c r="C696" i="8"/>
  <c r="D696" i="8"/>
  <c r="G696" i="8" s="1"/>
  <c r="E696" i="8"/>
  <c r="C697" i="8"/>
  <c r="D697" i="8"/>
  <c r="G697" i="8" s="1"/>
  <c r="E697" i="8"/>
  <c r="C698" i="8"/>
  <c r="D698" i="8"/>
  <c r="G698" i="8" s="1"/>
  <c r="E698" i="8"/>
  <c r="C699" i="8"/>
  <c r="D699" i="8"/>
  <c r="G699" i="8" s="1"/>
  <c r="E699" i="8"/>
  <c r="C700" i="8"/>
  <c r="D700" i="8"/>
  <c r="G700" i="8" s="1"/>
  <c r="E700" i="8"/>
  <c r="C701" i="8"/>
  <c r="D701" i="8"/>
  <c r="G701" i="8" s="1"/>
  <c r="E701" i="8"/>
  <c r="C702" i="8"/>
  <c r="D702" i="8"/>
  <c r="G702" i="8" s="1"/>
  <c r="E702" i="8"/>
  <c r="C703" i="8"/>
  <c r="D703" i="8"/>
  <c r="G703" i="8" s="1"/>
  <c r="E703" i="8"/>
  <c r="C704" i="8"/>
  <c r="D704" i="8"/>
  <c r="G704" i="8" s="1"/>
  <c r="E704" i="8"/>
  <c r="C705" i="8"/>
  <c r="D705" i="8"/>
  <c r="G705" i="8" s="1"/>
  <c r="E705" i="8"/>
  <c r="C706" i="8"/>
  <c r="D706" i="8"/>
  <c r="G706" i="8" s="1"/>
  <c r="E706" i="8"/>
  <c r="C707" i="8"/>
  <c r="D707" i="8"/>
  <c r="G707" i="8" s="1"/>
  <c r="E707" i="8"/>
  <c r="C708" i="8"/>
  <c r="D708" i="8"/>
  <c r="G708" i="8" s="1"/>
  <c r="E708" i="8"/>
  <c r="C709" i="8"/>
  <c r="D709" i="8"/>
  <c r="G709" i="8" s="1"/>
  <c r="E709" i="8"/>
  <c r="C710" i="8"/>
  <c r="D710" i="8"/>
  <c r="G710" i="8" s="1"/>
  <c r="E710" i="8"/>
  <c r="C711" i="8"/>
  <c r="D711" i="8"/>
  <c r="G711" i="8" s="1"/>
  <c r="E711" i="8"/>
  <c r="C712" i="8"/>
  <c r="D712" i="8"/>
  <c r="G712" i="8" s="1"/>
  <c r="E712" i="8"/>
  <c r="C713" i="8"/>
  <c r="D713" i="8"/>
  <c r="G713" i="8" s="1"/>
  <c r="E713" i="8"/>
  <c r="C714" i="8"/>
  <c r="D714" i="8"/>
  <c r="G714" i="8" s="1"/>
  <c r="E714" i="8"/>
  <c r="C715" i="8"/>
  <c r="D715" i="8"/>
  <c r="G715" i="8" s="1"/>
  <c r="E715" i="8"/>
  <c r="C716" i="8"/>
  <c r="D716" i="8"/>
  <c r="G716" i="8" s="1"/>
  <c r="E716" i="8"/>
  <c r="C717" i="8"/>
  <c r="D717" i="8"/>
  <c r="G717" i="8" s="1"/>
  <c r="E717" i="8"/>
  <c r="C718" i="8"/>
  <c r="D718" i="8"/>
  <c r="G718" i="8" s="1"/>
  <c r="E718" i="8"/>
  <c r="C719" i="8"/>
  <c r="D719" i="8"/>
  <c r="G719" i="8" s="1"/>
  <c r="E719" i="8"/>
  <c r="C720" i="8"/>
  <c r="D720" i="8"/>
  <c r="G720" i="8" s="1"/>
  <c r="E720" i="8"/>
  <c r="C721" i="8"/>
  <c r="D721" i="8"/>
  <c r="G721" i="8" s="1"/>
  <c r="E721" i="8"/>
  <c r="C722" i="8"/>
  <c r="D722" i="8"/>
  <c r="G722" i="8" s="1"/>
  <c r="E722" i="8"/>
  <c r="C723" i="8"/>
  <c r="D723" i="8"/>
  <c r="G723" i="8" s="1"/>
  <c r="E723" i="8"/>
  <c r="C724" i="8"/>
  <c r="D724" i="8"/>
  <c r="G724" i="8" s="1"/>
  <c r="E724" i="8"/>
  <c r="C725" i="8"/>
  <c r="D725" i="8"/>
  <c r="G725" i="8" s="1"/>
  <c r="E725" i="8"/>
  <c r="C726" i="8"/>
  <c r="D726" i="8"/>
  <c r="G726" i="8" s="1"/>
  <c r="E726" i="8"/>
  <c r="C727" i="8"/>
  <c r="D727" i="8"/>
  <c r="G727" i="8" s="1"/>
  <c r="E727" i="8"/>
  <c r="C728" i="8"/>
  <c r="D728" i="8"/>
  <c r="G728" i="8" s="1"/>
  <c r="E728" i="8"/>
  <c r="C729" i="8"/>
  <c r="D729" i="8"/>
  <c r="G729" i="8" s="1"/>
  <c r="E729" i="8"/>
  <c r="C730" i="8"/>
  <c r="D730" i="8"/>
  <c r="G730" i="8" s="1"/>
  <c r="E730" i="8"/>
  <c r="C731" i="8"/>
  <c r="D731" i="8"/>
  <c r="G731" i="8" s="1"/>
  <c r="E731" i="8"/>
  <c r="C732" i="8"/>
  <c r="D732" i="8"/>
  <c r="G732" i="8" s="1"/>
  <c r="E732" i="8"/>
  <c r="C733" i="8"/>
  <c r="D733" i="8"/>
  <c r="G733" i="8" s="1"/>
  <c r="E733" i="8"/>
  <c r="C734" i="8"/>
  <c r="D734" i="8"/>
  <c r="G734" i="8" s="1"/>
  <c r="E734" i="8"/>
  <c r="C735" i="8"/>
  <c r="D735" i="8"/>
  <c r="G735" i="8" s="1"/>
  <c r="E735" i="8"/>
  <c r="C736" i="8"/>
  <c r="D736" i="8"/>
  <c r="G736" i="8" s="1"/>
  <c r="E736" i="8"/>
  <c r="C737" i="8"/>
  <c r="D737" i="8"/>
  <c r="G737" i="8" s="1"/>
  <c r="E737" i="8"/>
  <c r="C738" i="8"/>
  <c r="D738" i="8"/>
  <c r="G738" i="8" s="1"/>
  <c r="E738" i="8"/>
  <c r="C739" i="8"/>
  <c r="D739" i="8"/>
  <c r="G739" i="8" s="1"/>
  <c r="E739" i="8"/>
  <c r="C740" i="8"/>
  <c r="D740" i="8"/>
  <c r="G740" i="8" s="1"/>
  <c r="E740" i="8"/>
  <c r="C741" i="8"/>
  <c r="D741" i="8"/>
  <c r="G741" i="8" s="1"/>
  <c r="E741" i="8"/>
  <c r="C742" i="8"/>
  <c r="D742" i="8"/>
  <c r="G742" i="8" s="1"/>
  <c r="E742" i="8"/>
  <c r="C743" i="8"/>
  <c r="D743" i="8"/>
  <c r="G743" i="8" s="1"/>
  <c r="E743" i="8"/>
  <c r="C744" i="8"/>
  <c r="D744" i="8"/>
  <c r="G744" i="8" s="1"/>
  <c r="E744" i="8"/>
  <c r="C745" i="8"/>
  <c r="D745" i="8"/>
  <c r="G745" i="8" s="1"/>
  <c r="E745" i="8"/>
  <c r="C746" i="8"/>
  <c r="D746" i="8"/>
  <c r="G746" i="8" s="1"/>
  <c r="E746" i="8"/>
  <c r="C747" i="8"/>
  <c r="D747" i="8"/>
  <c r="G747" i="8" s="1"/>
  <c r="E747" i="8"/>
  <c r="C748" i="8"/>
  <c r="D748" i="8"/>
  <c r="G748" i="8" s="1"/>
  <c r="E748" i="8"/>
  <c r="C749" i="8"/>
  <c r="D749" i="8"/>
  <c r="G749" i="8" s="1"/>
  <c r="E749" i="8"/>
  <c r="C750" i="8"/>
  <c r="D750" i="8"/>
  <c r="G750" i="8" s="1"/>
  <c r="E750" i="8"/>
  <c r="C751" i="8"/>
  <c r="D751" i="8"/>
  <c r="G751" i="8" s="1"/>
  <c r="E751" i="8"/>
  <c r="C752" i="8"/>
  <c r="D752" i="8"/>
  <c r="G752" i="8" s="1"/>
  <c r="E752" i="8"/>
  <c r="C753" i="8"/>
  <c r="D753" i="8"/>
  <c r="G753" i="8" s="1"/>
  <c r="E753" i="8"/>
  <c r="C754" i="8"/>
  <c r="D754" i="8"/>
  <c r="G754" i="8" s="1"/>
  <c r="E754" i="8"/>
  <c r="C755" i="8"/>
  <c r="D755" i="8"/>
  <c r="G755" i="8" s="1"/>
  <c r="E755" i="8"/>
  <c r="C756" i="8"/>
  <c r="D756" i="8"/>
  <c r="G756" i="8" s="1"/>
  <c r="E756" i="8"/>
  <c r="C757" i="8"/>
  <c r="D757" i="8"/>
  <c r="G757" i="8" s="1"/>
  <c r="E757" i="8"/>
  <c r="C758" i="8"/>
  <c r="D758" i="8"/>
  <c r="G758" i="8" s="1"/>
  <c r="E758" i="8"/>
  <c r="C759" i="8"/>
  <c r="D759" i="8"/>
  <c r="G759" i="8" s="1"/>
  <c r="E759" i="8"/>
  <c r="C760" i="8"/>
  <c r="D760" i="8"/>
  <c r="G760" i="8" s="1"/>
  <c r="E760" i="8"/>
  <c r="C761" i="8"/>
  <c r="D761" i="8"/>
  <c r="G761" i="8" s="1"/>
  <c r="E761" i="8"/>
  <c r="C762" i="8"/>
  <c r="D762" i="8"/>
  <c r="G762" i="8" s="1"/>
  <c r="E762" i="8"/>
  <c r="C763" i="8"/>
  <c r="D763" i="8"/>
  <c r="G763" i="8" s="1"/>
  <c r="E763" i="8"/>
  <c r="C764" i="8"/>
  <c r="D764" i="8"/>
  <c r="G764" i="8" s="1"/>
  <c r="E764" i="8"/>
  <c r="C765" i="8"/>
  <c r="D765" i="8"/>
  <c r="G765" i="8" s="1"/>
  <c r="E765" i="8"/>
  <c r="C766" i="8"/>
  <c r="D766" i="8"/>
  <c r="G766" i="8" s="1"/>
  <c r="E766" i="8"/>
  <c r="C767" i="8"/>
  <c r="D767" i="8"/>
  <c r="G767" i="8" s="1"/>
  <c r="E767" i="8"/>
  <c r="C768" i="8"/>
  <c r="D768" i="8"/>
  <c r="G768" i="8" s="1"/>
  <c r="E768" i="8"/>
  <c r="C769" i="8"/>
  <c r="D769" i="8"/>
  <c r="G769" i="8" s="1"/>
  <c r="E769" i="8"/>
  <c r="C770" i="8"/>
  <c r="D770" i="8"/>
  <c r="G770" i="8" s="1"/>
  <c r="E770" i="8"/>
  <c r="C771" i="8"/>
  <c r="D771" i="8"/>
  <c r="G771" i="8" s="1"/>
  <c r="E771" i="8"/>
  <c r="C772" i="8"/>
  <c r="D772" i="8"/>
  <c r="G772" i="8" s="1"/>
  <c r="E772" i="8"/>
  <c r="C773" i="8"/>
  <c r="D773" i="8"/>
  <c r="G773" i="8" s="1"/>
  <c r="E773" i="8"/>
  <c r="C774" i="8"/>
  <c r="D774" i="8"/>
  <c r="G774" i="8" s="1"/>
  <c r="E774" i="8"/>
  <c r="C775" i="8"/>
  <c r="I775" i="8" s="1"/>
  <c r="D775" i="8"/>
  <c r="G775" i="8" s="1"/>
  <c r="A775" i="8" s="1"/>
  <c r="E775" i="8"/>
  <c r="C776" i="8"/>
  <c r="I776" i="8" s="1"/>
  <c r="D776" i="8"/>
  <c r="G776" i="8" s="1"/>
  <c r="E776" i="8"/>
  <c r="C777" i="8"/>
  <c r="I777" i="8" s="1"/>
  <c r="D777" i="8"/>
  <c r="G777" i="8" s="1"/>
  <c r="E777" i="8"/>
  <c r="C778" i="8"/>
  <c r="D778" i="8"/>
  <c r="G778" i="8" s="1"/>
  <c r="E778" i="8"/>
  <c r="C779" i="8"/>
  <c r="D779" i="8"/>
  <c r="G779" i="8" s="1"/>
  <c r="E779" i="8"/>
  <c r="C780" i="8"/>
  <c r="D780" i="8"/>
  <c r="G780" i="8" s="1"/>
  <c r="E780" i="8"/>
  <c r="C781" i="8"/>
  <c r="D781" i="8"/>
  <c r="G781" i="8" s="1"/>
  <c r="E781" i="8"/>
  <c r="C782" i="8"/>
  <c r="D782" i="8"/>
  <c r="G782" i="8" s="1"/>
  <c r="E782" i="8"/>
  <c r="C783" i="8"/>
  <c r="D783" i="8"/>
  <c r="G783" i="8" s="1"/>
  <c r="E783" i="8"/>
  <c r="C784" i="8"/>
  <c r="D784" i="8"/>
  <c r="G784" i="8" s="1"/>
  <c r="E784" i="8"/>
  <c r="C785" i="8"/>
  <c r="D785" i="8"/>
  <c r="G785" i="8" s="1"/>
  <c r="E785" i="8"/>
  <c r="C786" i="8"/>
  <c r="D786" i="8"/>
  <c r="G786" i="8" s="1"/>
  <c r="E786" i="8"/>
  <c r="C787" i="8"/>
  <c r="D787" i="8"/>
  <c r="G787" i="8" s="1"/>
  <c r="E787" i="8"/>
  <c r="C788" i="8"/>
  <c r="D788" i="8"/>
  <c r="G788" i="8" s="1"/>
  <c r="E788" i="8"/>
  <c r="C789" i="8"/>
  <c r="D789" i="8"/>
  <c r="G789" i="8" s="1"/>
  <c r="E789" i="8"/>
  <c r="C790" i="8"/>
  <c r="D790" i="8"/>
  <c r="G790" i="8" s="1"/>
  <c r="E790" i="8"/>
  <c r="C791" i="8"/>
  <c r="D791" i="8"/>
  <c r="G791" i="8" s="1"/>
  <c r="E791" i="8"/>
  <c r="C792" i="8"/>
  <c r="D792" i="8"/>
  <c r="G792" i="8" s="1"/>
  <c r="E792" i="8"/>
  <c r="C793" i="8"/>
  <c r="D793" i="8"/>
  <c r="G793" i="8" s="1"/>
  <c r="E793" i="8"/>
  <c r="C794" i="8"/>
  <c r="D794" i="8"/>
  <c r="G794" i="8" s="1"/>
  <c r="E794" i="8"/>
  <c r="C795" i="8"/>
  <c r="D795" i="8"/>
  <c r="G795" i="8" s="1"/>
  <c r="E795" i="8"/>
  <c r="C796" i="8"/>
  <c r="D796" i="8"/>
  <c r="G796" i="8" s="1"/>
  <c r="E796" i="8"/>
  <c r="C797" i="8"/>
  <c r="D797" i="8"/>
  <c r="G797" i="8" s="1"/>
  <c r="E797" i="8"/>
  <c r="C798" i="8"/>
  <c r="D798" i="8"/>
  <c r="G798" i="8" s="1"/>
  <c r="E798" i="8"/>
  <c r="C799" i="8"/>
  <c r="D799" i="8"/>
  <c r="G799" i="8" s="1"/>
  <c r="E799" i="8"/>
  <c r="C800" i="8"/>
  <c r="D800" i="8"/>
  <c r="G800" i="8" s="1"/>
  <c r="E800" i="8"/>
  <c r="C801" i="8"/>
  <c r="D801" i="8"/>
  <c r="G801" i="8" s="1"/>
  <c r="E801" i="8"/>
  <c r="C802" i="8"/>
  <c r="D802" i="8"/>
  <c r="G802" i="8" s="1"/>
  <c r="E802" i="8"/>
  <c r="C803" i="8"/>
  <c r="D803" i="8"/>
  <c r="G803" i="8" s="1"/>
  <c r="E803" i="8"/>
  <c r="C804" i="8"/>
  <c r="D804" i="8"/>
  <c r="G804" i="8" s="1"/>
  <c r="E804" i="8"/>
  <c r="C805" i="8"/>
  <c r="D805" i="8"/>
  <c r="G805" i="8" s="1"/>
  <c r="E805" i="8"/>
  <c r="C806" i="8"/>
  <c r="D806" i="8"/>
  <c r="G806" i="8" s="1"/>
  <c r="E806" i="8"/>
  <c r="C807" i="8"/>
  <c r="D807" i="8"/>
  <c r="G807" i="8" s="1"/>
  <c r="E807" i="8"/>
  <c r="C808" i="8"/>
  <c r="D808" i="8"/>
  <c r="G808" i="8" s="1"/>
  <c r="E808" i="8"/>
  <c r="C809" i="8"/>
  <c r="D809" i="8"/>
  <c r="G809" i="8" s="1"/>
  <c r="E809" i="8"/>
  <c r="C810" i="8"/>
  <c r="D810" i="8"/>
  <c r="G810" i="8" s="1"/>
  <c r="E810" i="8"/>
  <c r="C811" i="8"/>
  <c r="D811" i="8"/>
  <c r="G811" i="8" s="1"/>
  <c r="E811" i="8"/>
  <c r="C812" i="8"/>
  <c r="D812" i="8"/>
  <c r="G812" i="8" s="1"/>
  <c r="E812" i="8"/>
  <c r="C813" i="8"/>
  <c r="D813" i="8"/>
  <c r="G813" i="8" s="1"/>
  <c r="E813" i="8"/>
  <c r="C814" i="8"/>
  <c r="D814" i="8"/>
  <c r="G814" i="8" s="1"/>
  <c r="E814" i="8"/>
  <c r="C815" i="8"/>
  <c r="D815" i="8"/>
  <c r="G815" i="8" s="1"/>
  <c r="E815" i="8"/>
  <c r="C816" i="8"/>
  <c r="D816" i="8"/>
  <c r="G816" i="8" s="1"/>
  <c r="E816" i="8"/>
  <c r="C817" i="8"/>
  <c r="D817" i="8"/>
  <c r="G817" i="8" s="1"/>
  <c r="E817" i="8"/>
  <c r="C818" i="8"/>
  <c r="D818" i="8"/>
  <c r="G818" i="8" s="1"/>
  <c r="E818" i="8"/>
  <c r="C819" i="8"/>
  <c r="D819" i="8"/>
  <c r="G819" i="8" s="1"/>
  <c r="E819" i="8"/>
  <c r="C820" i="8"/>
  <c r="D820" i="8"/>
  <c r="G820" i="8" s="1"/>
  <c r="E820" i="8"/>
  <c r="C821" i="8"/>
  <c r="D821" i="8"/>
  <c r="G821" i="8" s="1"/>
  <c r="E821" i="8"/>
  <c r="C822" i="8"/>
  <c r="D822" i="8"/>
  <c r="G822" i="8" s="1"/>
  <c r="E822" i="8"/>
  <c r="C823" i="8"/>
  <c r="D823" i="8"/>
  <c r="G823" i="8" s="1"/>
  <c r="E823" i="8"/>
  <c r="C824" i="8"/>
  <c r="D824" i="8"/>
  <c r="G824" i="8" s="1"/>
  <c r="E824" i="8"/>
  <c r="C825" i="8"/>
  <c r="D825" i="8"/>
  <c r="G825" i="8" s="1"/>
  <c r="E825" i="8"/>
  <c r="C826" i="8"/>
  <c r="D826" i="8"/>
  <c r="G826" i="8" s="1"/>
  <c r="E826" i="8"/>
  <c r="C827" i="8"/>
  <c r="D827" i="8"/>
  <c r="G827" i="8" s="1"/>
  <c r="E827" i="8"/>
  <c r="C828" i="8"/>
  <c r="D828" i="8"/>
  <c r="G828" i="8" s="1"/>
  <c r="E828" i="8"/>
  <c r="C829" i="8"/>
  <c r="D829" i="8"/>
  <c r="G829" i="8" s="1"/>
  <c r="E829" i="8"/>
  <c r="C830" i="8"/>
  <c r="D830" i="8"/>
  <c r="G830" i="8" s="1"/>
  <c r="E830" i="8"/>
  <c r="C831" i="8"/>
  <c r="D831" i="8"/>
  <c r="G831" i="8" s="1"/>
  <c r="E831" i="8"/>
  <c r="C832" i="8"/>
  <c r="D832" i="8"/>
  <c r="G832" i="8" s="1"/>
  <c r="E832" i="8"/>
  <c r="C833" i="8"/>
  <c r="D833" i="8"/>
  <c r="G833" i="8" s="1"/>
  <c r="E833" i="8"/>
  <c r="C834" i="8"/>
  <c r="D834" i="8"/>
  <c r="G834" i="8" s="1"/>
  <c r="E834" i="8"/>
  <c r="C835" i="8"/>
  <c r="D835" i="8"/>
  <c r="G835" i="8" s="1"/>
  <c r="E835" i="8"/>
  <c r="C836" i="8"/>
  <c r="D836" i="8"/>
  <c r="G836" i="8" s="1"/>
  <c r="E836" i="8"/>
  <c r="C837" i="8"/>
  <c r="D837" i="8"/>
  <c r="G837" i="8" s="1"/>
  <c r="E837" i="8"/>
  <c r="C838" i="8"/>
  <c r="D838" i="8"/>
  <c r="G838" i="8" s="1"/>
  <c r="E838" i="8"/>
  <c r="C839" i="8"/>
  <c r="D839" i="8"/>
  <c r="G839" i="8" s="1"/>
  <c r="E839" i="8"/>
  <c r="C840" i="8"/>
  <c r="D840" i="8"/>
  <c r="G840" i="8" s="1"/>
  <c r="E840" i="8"/>
  <c r="C841" i="8"/>
  <c r="D841" i="8"/>
  <c r="G841" i="8" s="1"/>
  <c r="E841" i="8"/>
  <c r="C842" i="8"/>
  <c r="D842" i="8"/>
  <c r="G842" i="8" s="1"/>
  <c r="E842" i="8"/>
  <c r="C843" i="8"/>
  <c r="D843" i="8"/>
  <c r="G843" i="8" s="1"/>
  <c r="E843" i="8"/>
  <c r="C844" i="8"/>
  <c r="D844" i="8"/>
  <c r="G844" i="8" s="1"/>
  <c r="E844" i="8"/>
  <c r="C845" i="8"/>
  <c r="D845" i="8"/>
  <c r="G845" i="8" s="1"/>
  <c r="E845" i="8"/>
  <c r="C846" i="8"/>
  <c r="D846" i="8"/>
  <c r="G846" i="8" s="1"/>
  <c r="E846" i="8"/>
  <c r="C847" i="8"/>
  <c r="D847" i="8"/>
  <c r="G847" i="8" s="1"/>
  <c r="E847" i="8"/>
  <c r="C848" i="8"/>
  <c r="D848" i="8"/>
  <c r="G848" i="8" s="1"/>
  <c r="E848" i="8"/>
  <c r="C849" i="8"/>
  <c r="D849" i="8"/>
  <c r="G849" i="8" s="1"/>
  <c r="E849" i="8"/>
  <c r="C850" i="8"/>
  <c r="D850" i="8"/>
  <c r="G850" i="8" s="1"/>
  <c r="E850" i="8"/>
  <c r="C851" i="8"/>
  <c r="D851" i="8"/>
  <c r="G851" i="8" s="1"/>
  <c r="E851" i="8"/>
  <c r="C852" i="8"/>
  <c r="D852" i="8"/>
  <c r="G852" i="8" s="1"/>
  <c r="E852" i="8"/>
  <c r="C853" i="8"/>
  <c r="D853" i="8"/>
  <c r="G853" i="8" s="1"/>
  <c r="E853" i="8"/>
  <c r="C854" i="8"/>
  <c r="D854" i="8"/>
  <c r="G854" i="8" s="1"/>
  <c r="E854" i="8"/>
  <c r="C855" i="8"/>
  <c r="D855" i="8"/>
  <c r="G855" i="8" s="1"/>
  <c r="E855" i="8"/>
  <c r="C856" i="8"/>
  <c r="D856" i="8"/>
  <c r="G856" i="8" s="1"/>
  <c r="E856" i="8"/>
  <c r="C857" i="8"/>
  <c r="D857" i="8"/>
  <c r="G857" i="8" s="1"/>
  <c r="E857" i="8"/>
  <c r="C858" i="8"/>
  <c r="D858" i="8"/>
  <c r="G858" i="8" s="1"/>
  <c r="E858" i="8"/>
  <c r="C859" i="8"/>
  <c r="D859" i="8"/>
  <c r="G859" i="8" s="1"/>
  <c r="E859" i="8"/>
  <c r="C860" i="8"/>
  <c r="D860" i="8"/>
  <c r="G860" i="8" s="1"/>
  <c r="E860" i="8"/>
  <c r="C861" i="8"/>
  <c r="D861" i="8"/>
  <c r="G861" i="8" s="1"/>
  <c r="E861" i="8"/>
  <c r="C862" i="8"/>
  <c r="D862" i="8"/>
  <c r="G862" i="8" s="1"/>
  <c r="E862" i="8"/>
  <c r="C863" i="8"/>
  <c r="D863" i="8"/>
  <c r="G863" i="8" s="1"/>
  <c r="E863" i="8"/>
  <c r="C864" i="8"/>
  <c r="D864" i="8"/>
  <c r="G864" i="8" s="1"/>
  <c r="E864" i="8"/>
  <c r="C865" i="8"/>
  <c r="D865" i="8"/>
  <c r="G865" i="8" s="1"/>
  <c r="E865" i="8"/>
  <c r="C866" i="8"/>
  <c r="D866" i="8"/>
  <c r="G866" i="8" s="1"/>
  <c r="E866" i="8"/>
  <c r="C867" i="8"/>
  <c r="D867" i="8"/>
  <c r="G867" i="8" s="1"/>
  <c r="E867" i="8"/>
  <c r="C868" i="8"/>
  <c r="D868" i="8"/>
  <c r="G868" i="8" s="1"/>
  <c r="E868" i="8"/>
  <c r="C869" i="8"/>
  <c r="D869" i="8"/>
  <c r="G869" i="8" s="1"/>
  <c r="E869" i="8"/>
  <c r="C870" i="8"/>
  <c r="D870" i="8"/>
  <c r="G870" i="8" s="1"/>
  <c r="E870" i="8"/>
  <c r="C871" i="8"/>
  <c r="D871" i="8"/>
  <c r="G871" i="8" s="1"/>
  <c r="E871" i="8"/>
  <c r="C872" i="8"/>
  <c r="D872" i="8"/>
  <c r="G872" i="8" s="1"/>
  <c r="E872" i="8"/>
  <c r="C873" i="8"/>
  <c r="D873" i="8"/>
  <c r="G873" i="8" s="1"/>
  <c r="E873" i="8"/>
  <c r="C874" i="8"/>
  <c r="D874" i="8"/>
  <c r="G874" i="8" s="1"/>
  <c r="E874" i="8"/>
  <c r="C875" i="8"/>
  <c r="D875" i="8"/>
  <c r="G875" i="8" s="1"/>
  <c r="E875" i="8"/>
  <c r="C876" i="8"/>
  <c r="D876" i="8"/>
  <c r="G876" i="8" s="1"/>
  <c r="E876" i="8"/>
  <c r="C877" i="8"/>
  <c r="D877" i="8"/>
  <c r="G877" i="8" s="1"/>
  <c r="E877" i="8"/>
  <c r="C878" i="8"/>
  <c r="D878" i="8"/>
  <c r="G878" i="8" s="1"/>
  <c r="E878" i="8"/>
  <c r="C879" i="8"/>
  <c r="D879" i="8"/>
  <c r="G879" i="8" s="1"/>
  <c r="E879" i="8"/>
  <c r="C880" i="8"/>
  <c r="D880" i="8"/>
  <c r="G880" i="8" s="1"/>
  <c r="E880" i="8"/>
  <c r="C881" i="8"/>
  <c r="D881" i="8"/>
  <c r="G881" i="8" s="1"/>
  <c r="E881" i="8"/>
  <c r="C882" i="8"/>
  <c r="D882" i="8"/>
  <c r="G882" i="8" s="1"/>
  <c r="E882" i="8"/>
  <c r="C883" i="8"/>
  <c r="D883" i="8"/>
  <c r="G883" i="8" s="1"/>
  <c r="E883" i="8"/>
  <c r="C884" i="8"/>
  <c r="D884" i="8"/>
  <c r="G884" i="8" s="1"/>
  <c r="E884" i="8"/>
  <c r="C885" i="8"/>
  <c r="D885" i="8"/>
  <c r="G885" i="8" s="1"/>
  <c r="E885" i="8"/>
  <c r="C886" i="8"/>
  <c r="D886" i="8"/>
  <c r="G886" i="8" s="1"/>
  <c r="E886" i="8"/>
  <c r="C887" i="8"/>
  <c r="D887" i="8"/>
  <c r="G887" i="8" s="1"/>
  <c r="E887" i="8"/>
  <c r="C888" i="8"/>
  <c r="D888" i="8"/>
  <c r="G888" i="8" s="1"/>
  <c r="E888" i="8"/>
  <c r="C889" i="8"/>
  <c r="D889" i="8"/>
  <c r="G889" i="8" s="1"/>
  <c r="E889" i="8"/>
  <c r="C890" i="8"/>
  <c r="D890" i="8"/>
  <c r="G890" i="8" s="1"/>
  <c r="E890" i="8"/>
  <c r="C891" i="8"/>
  <c r="D891" i="8"/>
  <c r="G891" i="8" s="1"/>
  <c r="E891" i="8"/>
  <c r="C892" i="8"/>
  <c r="D892" i="8"/>
  <c r="G892" i="8" s="1"/>
  <c r="E892" i="8"/>
  <c r="C893" i="8"/>
  <c r="D893" i="8"/>
  <c r="G893" i="8" s="1"/>
  <c r="E893" i="8"/>
  <c r="C894" i="8"/>
  <c r="D894" i="8"/>
  <c r="G894" i="8" s="1"/>
  <c r="E894" i="8"/>
  <c r="C895" i="8"/>
  <c r="D895" i="8"/>
  <c r="G895" i="8" s="1"/>
  <c r="E895" i="8"/>
  <c r="C896" i="8"/>
  <c r="D896" i="8"/>
  <c r="G896" i="8" s="1"/>
  <c r="E896" i="8"/>
  <c r="C897" i="8"/>
  <c r="D897" i="8"/>
  <c r="G897" i="8" s="1"/>
  <c r="E897" i="8"/>
  <c r="C898" i="8"/>
  <c r="D898" i="8"/>
  <c r="G898" i="8" s="1"/>
  <c r="E898" i="8"/>
  <c r="C899" i="8"/>
  <c r="D899" i="8"/>
  <c r="G899" i="8" s="1"/>
  <c r="E899" i="8"/>
  <c r="C900" i="8"/>
  <c r="D900" i="8"/>
  <c r="G900" i="8" s="1"/>
  <c r="E900" i="8"/>
  <c r="C901" i="8"/>
  <c r="D901" i="8"/>
  <c r="G901" i="8" s="1"/>
  <c r="E901" i="8"/>
  <c r="C902" i="8"/>
  <c r="I902" i="8" s="1"/>
  <c r="D902" i="8"/>
  <c r="G902" i="8" s="1"/>
  <c r="E902" i="8"/>
  <c r="C903" i="8"/>
  <c r="I903" i="8" s="1"/>
  <c r="D903" i="8"/>
  <c r="G903" i="8" s="1"/>
  <c r="A903" i="8" s="1"/>
  <c r="E903" i="8"/>
  <c r="C904" i="8"/>
  <c r="D904" i="8"/>
  <c r="G904" i="8" s="1"/>
  <c r="E904" i="8"/>
  <c r="C905" i="8"/>
  <c r="D905" i="8"/>
  <c r="G905" i="8" s="1"/>
  <c r="E905" i="8"/>
  <c r="C906" i="8"/>
  <c r="D906" i="8"/>
  <c r="G906" i="8" s="1"/>
  <c r="E906" i="8"/>
  <c r="C907" i="8"/>
  <c r="D907" i="8"/>
  <c r="G907" i="8" s="1"/>
  <c r="E907" i="8"/>
  <c r="C908" i="8"/>
  <c r="D908" i="8"/>
  <c r="G908" i="8" s="1"/>
  <c r="E908" i="8"/>
  <c r="C909" i="8"/>
  <c r="D909" i="8"/>
  <c r="G909" i="8" s="1"/>
  <c r="E909" i="8"/>
  <c r="C910" i="8"/>
  <c r="D910" i="8"/>
  <c r="G910" i="8" s="1"/>
  <c r="E910" i="8"/>
  <c r="C911" i="8"/>
  <c r="D911" i="8"/>
  <c r="G911" i="8" s="1"/>
  <c r="E911" i="8"/>
  <c r="C912" i="8"/>
  <c r="D912" i="8"/>
  <c r="G912" i="8" s="1"/>
  <c r="E912" i="8"/>
  <c r="C913" i="8"/>
  <c r="D913" i="8"/>
  <c r="G913" i="8" s="1"/>
  <c r="E913" i="8"/>
  <c r="C914" i="8"/>
  <c r="D914" i="8"/>
  <c r="G914" i="8" s="1"/>
  <c r="E914" i="8"/>
  <c r="C915" i="8"/>
  <c r="D915" i="8"/>
  <c r="G915" i="8" s="1"/>
  <c r="E915" i="8"/>
  <c r="C916" i="8"/>
  <c r="D916" i="8"/>
  <c r="G916" i="8" s="1"/>
  <c r="E916" i="8"/>
  <c r="C917" i="8"/>
  <c r="D917" i="8"/>
  <c r="G917" i="8" s="1"/>
  <c r="E917" i="8"/>
  <c r="C918" i="8"/>
  <c r="D918" i="8"/>
  <c r="G918" i="8" s="1"/>
  <c r="E918" i="8"/>
  <c r="C919" i="8"/>
  <c r="D919" i="8"/>
  <c r="G919" i="8" s="1"/>
  <c r="E919" i="8"/>
  <c r="C920" i="8"/>
  <c r="D920" i="8"/>
  <c r="G920" i="8" s="1"/>
  <c r="E920" i="8"/>
  <c r="C921" i="8"/>
  <c r="D921" i="8"/>
  <c r="G921" i="8" s="1"/>
  <c r="E921" i="8"/>
  <c r="C922" i="8"/>
  <c r="D922" i="8"/>
  <c r="G922" i="8" s="1"/>
  <c r="E922" i="8"/>
  <c r="C923" i="8"/>
  <c r="D923" i="8"/>
  <c r="G923" i="8" s="1"/>
  <c r="E923" i="8"/>
  <c r="C924" i="8"/>
  <c r="D924" i="8"/>
  <c r="G924" i="8" s="1"/>
  <c r="E924" i="8"/>
  <c r="C925" i="8"/>
  <c r="D925" i="8"/>
  <c r="G925" i="8" s="1"/>
  <c r="E925" i="8"/>
  <c r="C926" i="8"/>
  <c r="D926" i="8"/>
  <c r="G926" i="8" s="1"/>
  <c r="E926" i="8"/>
  <c r="C927" i="8"/>
  <c r="D927" i="8"/>
  <c r="G927" i="8" s="1"/>
  <c r="E927" i="8"/>
  <c r="C928" i="8"/>
  <c r="D928" i="8"/>
  <c r="G928" i="8" s="1"/>
  <c r="E928" i="8"/>
  <c r="C929" i="8"/>
  <c r="D929" i="8"/>
  <c r="G929" i="8" s="1"/>
  <c r="E929" i="8"/>
  <c r="C930" i="8"/>
  <c r="D930" i="8"/>
  <c r="G930" i="8" s="1"/>
  <c r="E930" i="8"/>
  <c r="C931" i="8"/>
  <c r="D931" i="8"/>
  <c r="G931" i="8" s="1"/>
  <c r="E931" i="8"/>
  <c r="C932" i="8"/>
  <c r="D932" i="8"/>
  <c r="G932" i="8" s="1"/>
  <c r="E932" i="8"/>
  <c r="C933" i="8"/>
  <c r="D933" i="8"/>
  <c r="G933" i="8" s="1"/>
  <c r="E933" i="8"/>
  <c r="C934" i="8"/>
  <c r="D934" i="8"/>
  <c r="G934" i="8" s="1"/>
  <c r="E934" i="8"/>
  <c r="C935" i="8"/>
  <c r="D935" i="8"/>
  <c r="G935" i="8" s="1"/>
  <c r="E935" i="8"/>
  <c r="C936" i="8"/>
  <c r="D936" i="8"/>
  <c r="G936" i="8" s="1"/>
  <c r="E936" i="8"/>
  <c r="C937" i="8"/>
  <c r="D937" i="8"/>
  <c r="G937" i="8" s="1"/>
  <c r="E937" i="8"/>
  <c r="C938" i="8"/>
  <c r="D938" i="8"/>
  <c r="G938" i="8" s="1"/>
  <c r="E938" i="8"/>
  <c r="C939" i="8"/>
  <c r="D939" i="8"/>
  <c r="G939" i="8" s="1"/>
  <c r="E939" i="8"/>
  <c r="C940" i="8"/>
  <c r="D940" i="8"/>
  <c r="G940" i="8" s="1"/>
  <c r="E940" i="8"/>
  <c r="C941" i="8"/>
  <c r="D941" i="8"/>
  <c r="G941" i="8" s="1"/>
  <c r="E941" i="8"/>
  <c r="C942" i="8"/>
  <c r="D942" i="8"/>
  <c r="G942" i="8" s="1"/>
  <c r="E942" i="8"/>
  <c r="C943" i="8"/>
  <c r="D943" i="8"/>
  <c r="G943" i="8" s="1"/>
  <c r="E943" i="8"/>
  <c r="C944" i="8"/>
  <c r="D944" i="8"/>
  <c r="G944" i="8" s="1"/>
  <c r="E944" i="8"/>
  <c r="C945" i="8"/>
  <c r="D945" i="8"/>
  <c r="G945" i="8" s="1"/>
  <c r="E945" i="8"/>
  <c r="C946" i="8"/>
  <c r="D946" i="8"/>
  <c r="G946" i="8" s="1"/>
  <c r="E946" i="8"/>
  <c r="C947" i="8"/>
  <c r="D947" i="8"/>
  <c r="G947" i="8" s="1"/>
  <c r="E947" i="8"/>
  <c r="C948" i="8"/>
  <c r="D948" i="8"/>
  <c r="G948" i="8" s="1"/>
  <c r="E948" i="8"/>
  <c r="C949" i="8"/>
  <c r="D949" i="8"/>
  <c r="G949" i="8" s="1"/>
  <c r="E949" i="8"/>
  <c r="C950" i="8"/>
  <c r="D950" i="8"/>
  <c r="G950" i="8" s="1"/>
  <c r="E950" i="8"/>
  <c r="C951" i="8"/>
  <c r="D951" i="8"/>
  <c r="G951" i="8" s="1"/>
  <c r="E951" i="8"/>
  <c r="C952" i="8"/>
  <c r="D952" i="8"/>
  <c r="G952" i="8" s="1"/>
  <c r="E952" i="8"/>
  <c r="C953" i="8"/>
  <c r="D953" i="8"/>
  <c r="G953" i="8" s="1"/>
  <c r="E953" i="8"/>
  <c r="C954" i="8"/>
  <c r="D954" i="8"/>
  <c r="G954" i="8" s="1"/>
  <c r="E954" i="8"/>
  <c r="C955" i="8"/>
  <c r="D955" i="8"/>
  <c r="G955" i="8" s="1"/>
  <c r="E955" i="8"/>
  <c r="C956" i="8"/>
  <c r="D956" i="8"/>
  <c r="G956" i="8" s="1"/>
  <c r="E956" i="8"/>
  <c r="C957" i="8"/>
  <c r="D957" i="8"/>
  <c r="G957" i="8" s="1"/>
  <c r="E957" i="8"/>
  <c r="C958" i="8"/>
  <c r="D958" i="8"/>
  <c r="G958" i="8" s="1"/>
  <c r="E958" i="8"/>
  <c r="C959" i="8"/>
  <c r="D959" i="8"/>
  <c r="G959" i="8" s="1"/>
  <c r="E959" i="8"/>
  <c r="C960" i="8"/>
  <c r="D960" i="8"/>
  <c r="G960" i="8" s="1"/>
  <c r="E960" i="8"/>
  <c r="C961" i="8"/>
  <c r="D961" i="8"/>
  <c r="G961" i="8" s="1"/>
  <c r="E961" i="8"/>
  <c r="C962" i="8"/>
  <c r="D962" i="8"/>
  <c r="G962" i="8" s="1"/>
  <c r="E962" i="8"/>
  <c r="C963" i="8"/>
  <c r="D963" i="8"/>
  <c r="G963" i="8" s="1"/>
  <c r="E963" i="8"/>
  <c r="C964" i="8"/>
  <c r="D964" i="8"/>
  <c r="G964" i="8" s="1"/>
  <c r="E964" i="8"/>
  <c r="C965" i="8"/>
  <c r="D965" i="8"/>
  <c r="G965" i="8" s="1"/>
  <c r="E965" i="8"/>
  <c r="C966" i="8"/>
  <c r="D966" i="8"/>
  <c r="G966" i="8" s="1"/>
  <c r="E966" i="8"/>
  <c r="C967" i="8"/>
  <c r="D967" i="8"/>
  <c r="G967" i="8" s="1"/>
  <c r="E967" i="8"/>
  <c r="C968" i="8"/>
  <c r="D968" i="8"/>
  <c r="G968" i="8" s="1"/>
  <c r="E968" i="8"/>
  <c r="C969" i="8"/>
  <c r="D969" i="8"/>
  <c r="G969" i="8" s="1"/>
  <c r="E969" i="8"/>
  <c r="C970" i="8"/>
  <c r="D970" i="8"/>
  <c r="G970" i="8" s="1"/>
  <c r="E970" i="8"/>
  <c r="C971" i="8"/>
  <c r="D971" i="8"/>
  <c r="G971" i="8" s="1"/>
  <c r="E971" i="8"/>
  <c r="C972" i="8"/>
  <c r="D972" i="8"/>
  <c r="G972" i="8" s="1"/>
  <c r="E972" i="8"/>
  <c r="C973" i="8"/>
  <c r="D973" i="8"/>
  <c r="G973" i="8" s="1"/>
  <c r="E973" i="8"/>
  <c r="C974" i="8"/>
  <c r="D974" i="8"/>
  <c r="G974" i="8" s="1"/>
  <c r="E974" i="8"/>
  <c r="C975" i="8"/>
  <c r="D975" i="8"/>
  <c r="G975" i="8" s="1"/>
  <c r="E975" i="8"/>
  <c r="C976" i="8"/>
  <c r="D976" i="8"/>
  <c r="G976" i="8" s="1"/>
  <c r="E976" i="8"/>
  <c r="C977" i="8"/>
  <c r="D977" i="8"/>
  <c r="G977" i="8" s="1"/>
  <c r="E977" i="8"/>
  <c r="C978" i="8"/>
  <c r="D978" i="8"/>
  <c r="G978" i="8" s="1"/>
  <c r="E978" i="8"/>
  <c r="C979" i="8"/>
  <c r="D979" i="8"/>
  <c r="G979" i="8" s="1"/>
  <c r="E979" i="8"/>
  <c r="C980" i="8"/>
  <c r="D980" i="8"/>
  <c r="G980" i="8" s="1"/>
  <c r="E980" i="8"/>
  <c r="C981" i="8"/>
  <c r="D981" i="8"/>
  <c r="G981" i="8" s="1"/>
  <c r="E981" i="8"/>
  <c r="C982" i="8"/>
  <c r="D982" i="8"/>
  <c r="G982" i="8" s="1"/>
  <c r="E982" i="8"/>
  <c r="C983" i="8"/>
  <c r="D983" i="8"/>
  <c r="G983" i="8" s="1"/>
  <c r="E983" i="8"/>
  <c r="C984" i="8"/>
  <c r="D984" i="8"/>
  <c r="G984" i="8" s="1"/>
  <c r="E984" i="8"/>
  <c r="C985" i="8"/>
  <c r="D985" i="8"/>
  <c r="G985" i="8" s="1"/>
  <c r="E985" i="8"/>
  <c r="C986" i="8"/>
  <c r="D986" i="8"/>
  <c r="G986" i="8" s="1"/>
  <c r="E986" i="8"/>
  <c r="C987" i="8"/>
  <c r="D987" i="8"/>
  <c r="G987" i="8" s="1"/>
  <c r="E987" i="8"/>
  <c r="C988" i="8"/>
  <c r="D988" i="8"/>
  <c r="G988" i="8" s="1"/>
  <c r="E988" i="8"/>
  <c r="C989" i="8"/>
  <c r="D989" i="8"/>
  <c r="G989" i="8" s="1"/>
  <c r="E989" i="8"/>
  <c r="C990" i="8"/>
  <c r="D990" i="8"/>
  <c r="G990" i="8" s="1"/>
  <c r="E990" i="8"/>
  <c r="C991" i="8"/>
  <c r="D991" i="8"/>
  <c r="G991" i="8" s="1"/>
  <c r="E991" i="8"/>
  <c r="C992" i="8"/>
  <c r="D992" i="8"/>
  <c r="G992" i="8" s="1"/>
  <c r="E992" i="8"/>
  <c r="C993" i="8"/>
  <c r="D993" i="8"/>
  <c r="G993" i="8" s="1"/>
  <c r="E993" i="8"/>
  <c r="C994" i="8"/>
  <c r="D994" i="8"/>
  <c r="G994" i="8" s="1"/>
  <c r="E994" i="8"/>
  <c r="C995" i="8"/>
  <c r="D995" i="8"/>
  <c r="G995" i="8" s="1"/>
  <c r="E995" i="8"/>
  <c r="C996" i="8"/>
  <c r="D996" i="8"/>
  <c r="G996" i="8" s="1"/>
  <c r="E996" i="8"/>
  <c r="C997" i="8"/>
  <c r="D997" i="8"/>
  <c r="G997" i="8" s="1"/>
  <c r="E997" i="8"/>
  <c r="C998" i="8"/>
  <c r="D998" i="8"/>
  <c r="G998" i="8" s="1"/>
  <c r="E998" i="8"/>
  <c r="C999" i="8"/>
  <c r="D999" i="8"/>
  <c r="G999" i="8" s="1"/>
  <c r="E999" i="8"/>
  <c r="C1000" i="8"/>
  <c r="D1000" i="8"/>
  <c r="G1000" i="8" s="1"/>
  <c r="E1000" i="8"/>
  <c r="C1001" i="8"/>
  <c r="D1001" i="8"/>
  <c r="G1001" i="8" s="1"/>
  <c r="E1001" i="8"/>
  <c r="C1002" i="8"/>
  <c r="D1002" i="8"/>
  <c r="G1002" i="8" s="1"/>
  <c r="E1002" i="8"/>
  <c r="C1003" i="8"/>
  <c r="D1003" i="8"/>
  <c r="G1003" i="8" s="1"/>
  <c r="E1003" i="8"/>
  <c r="C1004" i="8"/>
  <c r="D1004" i="8"/>
  <c r="G1004" i="8" s="1"/>
  <c r="E1004" i="8"/>
  <c r="C1005" i="8"/>
  <c r="D1005" i="8"/>
  <c r="G1005" i="8" s="1"/>
  <c r="E1005" i="8"/>
  <c r="C1006" i="8"/>
  <c r="D1006" i="8"/>
  <c r="G1006" i="8" s="1"/>
  <c r="E1006" i="8"/>
  <c r="C1007" i="8"/>
  <c r="D1007" i="8"/>
  <c r="G1007" i="8" s="1"/>
  <c r="E1007" i="8"/>
  <c r="C1008" i="8"/>
  <c r="D1008" i="8"/>
  <c r="G1008" i="8" s="1"/>
  <c r="E1008" i="8"/>
  <c r="C1009" i="8"/>
  <c r="D1009" i="8"/>
  <c r="G1009" i="8" s="1"/>
  <c r="E1009" i="8"/>
  <c r="C1010" i="8"/>
  <c r="D1010" i="8"/>
  <c r="G1010" i="8" s="1"/>
  <c r="E1010" i="8"/>
  <c r="C1011" i="8"/>
  <c r="D1011" i="8"/>
  <c r="G1011" i="8" s="1"/>
  <c r="E1011" i="8"/>
  <c r="C1012" i="8"/>
  <c r="D1012" i="8"/>
  <c r="G1012" i="8" s="1"/>
  <c r="E1012" i="8"/>
  <c r="C1013" i="8"/>
  <c r="D1013" i="8"/>
  <c r="G1013" i="8" s="1"/>
  <c r="E1013" i="8"/>
  <c r="C1014" i="8"/>
  <c r="D1014" i="8"/>
  <c r="G1014" i="8" s="1"/>
  <c r="E1014" i="8"/>
  <c r="C1015" i="8"/>
  <c r="D1015" i="8"/>
  <c r="G1015" i="8" s="1"/>
  <c r="E1015" i="8"/>
  <c r="C1016" i="8"/>
  <c r="D1016" i="8"/>
  <c r="G1016" i="8" s="1"/>
  <c r="E1016" i="8"/>
  <c r="C1017" i="8"/>
  <c r="D1017" i="8"/>
  <c r="G1017" i="8" s="1"/>
  <c r="E1017" i="8"/>
  <c r="C1018" i="8"/>
  <c r="D1018" i="8"/>
  <c r="G1018" i="8" s="1"/>
  <c r="E1018" i="8"/>
  <c r="C1019" i="8"/>
  <c r="D1019" i="8"/>
  <c r="G1019" i="8" s="1"/>
  <c r="E1019" i="8"/>
  <c r="C1020" i="8"/>
  <c r="D1020" i="8"/>
  <c r="G1020" i="8" s="1"/>
  <c r="E1020" i="8"/>
  <c r="C1021" i="8"/>
  <c r="D1021" i="8"/>
  <c r="G1021" i="8" s="1"/>
  <c r="E1021" i="8"/>
  <c r="C1022" i="8"/>
  <c r="D1022" i="8"/>
  <c r="G1022" i="8" s="1"/>
  <c r="E1022" i="8"/>
  <c r="C1023" i="8"/>
  <c r="D1023" i="8"/>
  <c r="G1023" i="8" s="1"/>
  <c r="E1023" i="8"/>
  <c r="C1024" i="8"/>
  <c r="D1024" i="8"/>
  <c r="G1024" i="8" s="1"/>
  <c r="E1024" i="8"/>
  <c r="C1025" i="8"/>
  <c r="D1025" i="8"/>
  <c r="G1025" i="8" s="1"/>
  <c r="E1025" i="8"/>
  <c r="C1026" i="8"/>
  <c r="D1026" i="8"/>
  <c r="G1026" i="8" s="1"/>
  <c r="E1026" i="8"/>
  <c r="C1027" i="8"/>
  <c r="D1027" i="8"/>
  <c r="G1027" i="8" s="1"/>
  <c r="E1027" i="8"/>
  <c r="C1028" i="8"/>
  <c r="I1028" i="8" s="1"/>
  <c r="D1028" i="8"/>
  <c r="G1028" i="8" s="1"/>
  <c r="A1028" i="8" s="1"/>
  <c r="E1028" i="8"/>
  <c r="E23" i="8"/>
  <c r="C23" i="8"/>
  <c r="D23" i="8"/>
  <c r="G23" i="8" s="1"/>
  <c r="A44" i="8" l="1"/>
  <c r="A902" i="8"/>
  <c r="A522" i="8"/>
  <c r="A211" i="8"/>
  <c r="A51" i="8"/>
  <c r="A35" i="8"/>
  <c r="H18" i="3"/>
  <c r="H316" i="19"/>
  <c r="A316" i="19" s="1"/>
  <c r="A50" i="8"/>
  <c r="A34" i="8"/>
  <c r="I272" i="8"/>
  <c r="A230" i="8"/>
  <c r="A54" i="8"/>
  <c r="A38" i="8"/>
  <c r="A213" i="8"/>
  <c r="A53" i="8"/>
  <c r="A47" i="8"/>
  <c r="I111" i="8"/>
  <c r="A52" i="8"/>
  <c r="A36" i="8"/>
  <c r="A249" i="8"/>
  <c r="I232" i="8"/>
  <c r="A777" i="8"/>
  <c r="A649" i="8"/>
  <c r="A521" i="8"/>
  <c r="A205" i="8"/>
  <c r="A157" i="8"/>
  <c r="I130" i="8"/>
  <c r="I115" i="8"/>
  <c r="A40" i="8"/>
  <c r="A231" i="8"/>
  <c r="A210" i="8"/>
  <c r="A45" i="8"/>
  <c r="A776" i="8"/>
  <c r="A156" i="8"/>
  <c r="A39" i="8"/>
  <c r="A266" i="8"/>
  <c r="I941" i="8"/>
  <c r="A49" i="8"/>
  <c r="A33" i="8"/>
  <c r="A1032" i="8"/>
  <c r="A27" i="8"/>
  <c r="I300" i="8"/>
  <c r="I294" i="8"/>
  <c r="A32" i="8"/>
  <c r="A1031" i="8"/>
  <c r="A523" i="8"/>
  <c r="A395" i="8"/>
  <c r="A212" i="8"/>
  <c r="A26" i="8"/>
  <c r="A269" i="8"/>
  <c r="I432" i="8"/>
  <c r="I288" i="8"/>
  <c r="A268" i="8"/>
  <c r="I612" i="8"/>
  <c r="A248" i="8"/>
  <c r="A1029" i="8"/>
  <c r="D13" i="6" a="1"/>
  <c r="D13" i="6" s="1"/>
  <c r="D5" i="6" a="1"/>
  <c r="D5" i="6" s="1"/>
  <c r="I887" i="8"/>
  <c r="I645" i="8"/>
  <c r="I568" i="8"/>
  <c r="I560" i="8"/>
  <c r="I325" i="8"/>
  <c r="I500" i="8"/>
  <c r="I837" i="8"/>
  <c r="I723" i="8"/>
  <c r="I713" i="8"/>
  <c r="I707" i="8"/>
  <c r="I580" i="8"/>
  <c r="I572" i="8"/>
  <c r="I548" i="8"/>
  <c r="I540" i="8"/>
  <c r="I359" i="8"/>
  <c r="I310" i="8"/>
  <c r="I173" i="8"/>
  <c r="I133" i="8"/>
  <c r="I127" i="8"/>
  <c r="I114" i="8"/>
  <c r="D16" i="6"/>
  <c r="H269" i="19" s="1"/>
  <c r="D10" i="6" a="1"/>
  <c r="D10" i="6" s="1"/>
  <c r="D9" i="6" a="1"/>
  <c r="D9" i="6" s="1"/>
  <c r="D8" i="6" a="1"/>
  <c r="D8" i="6" s="1"/>
  <c r="E6" i="6" a="1"/>
  <c r="E6" i="6" s="1"/>
  <c r="D7" i="6" a="1"/>
  <c r="D7" i="6" s="1"/>
  <c r="H46" i="19" s="1"/>
  <c r="A46" i="19" s="1"/>
  <c r="D12" i="6" a="1"/>
  <c r="D12" i="6" s="1"/>
  <c r="D11" i="6" a="1"/>
  <c r="D11" i="6" s="1"/>
  <c r="I944" i="8"/>
  <c r="I1018" i="8"/>
  <c r="I967" i="8"/>
  <c r="I739" i="8"/>
  <c r="I577" i="8"/>
  <c r="I396" i="8"/>
  <c r="I380" i="8"/>
  <c r="I326" i="8"/>
  <c r="I613" i="8"/>
  <c r="I465" i="8"/>
  <c r="I312" i="8"/>
  <c r="I25" i="8"/>
  <c r="I836" i="8"/>
  <c r="I833" i="8"/>
  <c r="I828" i="8"/>
  <c r="I766" i="8"/>
  <c r="I750" i="8"/>
  <c r="I615" i="8"/>
  <c r="I463" i="8"/>
  <c r="I270" i="8"/>
  <c r="I620" i="8"/>
  <c r="I530" i="8"/>
  <c r="I291" i="8"/>
  <c r="I275" i="8"/>
  <c r="I1016" i="8"/>
  <c r="I955" i="8"/>
  <c r="I897" i="8"/>
  <c r="I831" i="8"/>
  <c r="I796" i="8"/>
  <c r="I786" i="8"/>
  <c r="I780" i="8"/>
  <c r="I778" i="8"/>
  <c r="I748" i="8"/>
  <c r="I699" i="8"/>
  <c r="I675" i="8"/>
  <c r="I453" i="8"/>
  <c r="I417" i="8"/>
  <c r="I393" i="8"/>
  <c r="I363" i="8"/>
  <c r="I355" i="8"/>
  <c r="I347" i="8"/>
  <c r="I209" i="8"/>
  <c r="A209" i="8" s="1"/>
  <c r="I186" i="8"/>
  <c r="I178" i="8"/>
  <c r="I822" i="8"/>
  <c r="I820" i="8"/>
  <c r="I799" i="8"/>
  <c r="I720" i="8"/>
  <c r="I596" i="8"/>
  <c r="I525" i="8"/>
  <c r="I485" i="8"/>
  <c r="I287" i="8"/>
  <c r="I191" i="8"/>
  <c r="I183" i="8"/>
  <c r="I1015" i="8"/>
  <c r="I904" i="8"/>
  <c r="I384" i="8"/>
  <c r="I352" i="8"/>
  <c r="I258" i="8"/>
  <c r="I245" i="8"/>
  <c r="I229" i="8"/>
  <c r="A229" i="8" s="1"/>
  <c r="I745" i="8"/>
  <c r="I732" i="8"/>
  <c r="I658" i="8"/>
  <c r="I650" i="8"/>
  <c r="I255" i="8"/>
  <c r="I247" i="8"/>
  <c r="I236" i="8"/>
  <c r="I197" i="8"/>
  <c r="I1004" i="8"/>
  <c r="I980" i="8"/>
  <c r="I964" i="8"/>
  <c r="I956" i="8"/>
  <c r="I882" i="8"/>
  <c r="I858" i="8"/>
  <c r="I755" i="8"/>
  <c r="I708" i="8"/>
  <c r="I684" i="8"/>
  <c r="I676" i="8"/>
  <c r="I454" i="8"/>
  <c r="I285" i="8"/>
  <c r="I271" i="8"/>
  <c r="I987" i="8"/>
  <c r="I1009" i="8"/>
  <c r="I991" i="8"/>
  <c r="I986" i="8"/>
  <c r="I883" i="8"/>
  <c r="I867" i="8"/>
  <c r="I843" i="8"/>
  <c r="I976" i="8"/>
  <c r="I950" i="8"/>
  <c r="I804" i="8"/>
  <c r="I691" i="8"/>
  <c r="I662" i="8"/>
  <c r="I524" i="8"/>
  <c r="I516" i="8"/>
  <c r="I508" i="8"/>
  <c r="I435" i="8"/>
  <c r="I819" i="8"/>
  <c r="I809" i="8"/>
  <c r="I793" i="8"/>
  <c r="I764" i="8"/>
  <c r="I665" i="8"/>
  <c r="I597" i="8"/>
  <c r="I592" i="8"/>
  <c r="I579" i="8"/>
  <c r="I497" i="8"/>
  <c r="I492" i="8"/>
  <c r="I803" i="8"/>
  <c r="I704" i="8"/>
  <c r="I643" i="8"/>
  <c r="I573" i="8"/>
  <c r="I499" i="8"/>
  <c r="I931" i="8"/>
  <c r="I915" i="8"/>
  <c r="I909" i="8"/>
  <c r="I901" i="8"/>
  <c r="I899" i="8"/>
  <c r="I894" i="8"/>
  <c r="I878" i="8"/>
  <c r="I860" i="8"/>
  <c r="I826" i="8"/>
  <c r="I763" i="8"/>
  <c r="I722" i="8"/>
  <c r="I706" i="8"/>
  <c r="I640" i="8"/>
  <c r="I624" i="8"/>
  <c r="I621" i="8"/>
  <c r="I541" i="8"/>
  <c r="I491" i="8"/>
  <c r="I480" i="8"/>
  <c r="I812" i="8"/>
  <c r="I700" i="8"/>
  <c r="I647" i="8"/>
  <c r="I353" i="8"/>
  <c r="I400" i="8"/>
  <c r="I350" i="8"/>
  <c r="I257" i="8"/>
  <c r="I218" i="8"/>
  <c r="A218" i="8" s="1"/>
  <c r="I167" i="8"/>
  <c r="I450" i="8"/>
  <c r="I427" i="8"/>
  <c r="I318" i="8"/>
  <c r="I262" i="8"/>
  <c r="I223" i="8"/>
  <c r="A223" i="8" s="1"/>
  <c r="I159" i="8"/>
  <c r="I143" i="8"/>
  <c r="I135" i="8"/>
  <c r="I42" i="8"/>
  <c r="I37" i="8"/>
  <c r="I29" i="8"/>
  <c r="I405" i="8"/>
  <c r="I389" i="8"/>
  <c r="I199" i="8"/>
  <c r="I192" i="8"/>
  <c r="I456" i="8"/>
  <c r="I426" i="8"/>
  <c r="I386" i="8"/>
  <c r="I370" i="8"/>
  <c r="I261" i="8"/>
  <c r="I240" i="8"/>
  <c r="I202" i="8"/>
  <c r="I158" i="8"/>
  <c r="I260" i="8"/>
  <c r="I234" i="8"/>
  <c r="I175" i="8"/>
  <c r="I1002" i="8"/>
  <c r="I962" i="8"/>
  <c r="I957" i="8"/>
  <c r="I920" i="8"/>
  <c r="I873" i="8"/>
  <c r="I854" i="8"/>
  <c r="I847" i="8"/>
  <c r="I835" i="8"/>
  <c r="I830" i="8"/>
  <c r="I825" i="8"/>
  <c r="I784" i="8"/>
  <c r="I779" i="8"/>
  <c r="I771" i="8"/>
  <c r="I681" i="8"/>
  <c r="I663" i="8"/>
  <c r="I655" i="8"/>
  <c r="I637" i="8"/>
  <c r="I631" i="8"/>
  <c r="I606" i="8"/>
  <c r="I589" i="8"/>
  <c r="I571" i="8"/>
  <c r="I514" i="8"/>
  <c r="I501" i="8"/>
  <c r="I467" i="8"/>
  <c r="I457" i="8"/>
  <c r="I397" i="8"/>
  <c r="I369" i="8"/>
  <c r="I358" i="8"/>
  <c r="I330" i="8"/>
  <c r="I195" i="8"/>
  <c r="I190" i="8"/>
  <c r="I185" i="8"/>
  <c r="I150" i="8"/>
  <c r="I124" i="8"/>
  <c r="I109" i="8"/>
  <c r="I1012" i="8"/>
  <c r="I1007" i="8"/>
  <c r="I870" i="8"/>
  <c r="I715" i="8"/>
  <c r="I668" i="8"/>
  <c r="I616" i="8"/>
  <c r="I563" i="8"/>
  <c r="I529" i="8"/>
  <c r="I472" i="8"/>
  <c r="I459" i="8"/>
  <c r="I421" i="8"/>
  <c r="I413" i="8"/>
  <c r="I371" i="8"/>
  <c r="I345" i="8"/>
  <c r="I281" i="8"/>
  <c r="I254" i="8"/>
  <c r="I219" i="8"/>
  <c r="A219" i="8" s="1"/>
  <c r="I165" i="8"/>
  <c r="I147" i="8"/>
  <c r="I142" i="8"/>
  <c r="I122" i="8"/>
  <c r="I998" i="8"/>
  <c r="I946" i="8"/>
  <c r="I924" i="8"/>
  <c r="I916" i="8"/>
  <c r="I861" i="8"/>
  <c r="I702" i="8"/>
  <c r="I651" i="8"/>
  <c r="I646" i="8"/>
  <c r="I549" i="8"/>
  <c r="I293" i="8"/>
  <c r="I253" i="8"/>
  <c r="I181" i="8"/>
  <c r="I154" i="8"/>
  <c r="I1021" i="8"/>
  <c r="I996" i="8"/>
  <c r="I985" i="8"/>
  <c r="I983" i="8"/>
  <c r="I958" i="8"/>
  <c r="I934" i="8"/>
  <c r="I911" i="8"/>
  <c r="I890" i="8"/>
  <c r="I880" i="8"/>
  <c r="I853" i="8"/>
  <c r="I851" i="8"/>
  <c r="I811" i="8"/>
  <c r="I798" i="8"/>
  <c r="I770" i="8"/>
  <c r="I768" i="8"/>
  <c r="I740" i="8"/>
  <c r="I628" i="8"/>
  <c r="I622" i="8"/>
  <c r="I588" i="8"/>
  <c r="I531" i="8"/>
  <c r="I381" i="8"/>
  <c r="I373" i="8"/>
  <c r="I339" i="8"/>
  <c r="I331" i="8"/>
  <c r="I278" i="8"/>
  <c r="I221" i="8"/>
  <c r="A221" i="8" s="1"/>
  <c r="I179" i="8"/>
  <c r="I151" i="8"/>
  <c r="I139" i="8"/>
  <c r="I933" i="8"/>
  <c r="I790" i="8"/>
  <c r="I716" i="8"/>
  <c r="I661" i="8"/>
  <c r="I653" i="8"/>
  <c r="I635" i="8"/>
  <c r="I564" i="8"/>
  <c r="I556" i="8"/>
  <c r="I486" i="8"/>
  <c r="I414" i="8"/>
  <c r="I367" i="8"/>
  <c r="I188" i="8"/>
  <c r="I138" i="8"/>
  <c r="I918" i="8"/>
  <c r="I1025" i="8"/>
  <c r="I876" i="8"/>
  <c r="I868" i="8"/>
  <c r="I787" i="8"/>
  <c r="I772" i="8"/>
  <c r="I686" i="8"/>
  <c r="I527" i="8"/>
  <c r="I517" i="8"/>
  <c r="I515" i="8"/>
  <c r="I489" i="8"/>
  <c r="I445" i="8"/>
  <c r="I398" i="8"/>
  <c r="I390" i="8"/>
  <c r="I333" i="8"/>
  <c r="I320" i="8"/>
  <c r="I313" i="8"/>
  <c r="I308" i="8"/>
  <c r="I238" i="8"/>
  <c r="I23" i="8"/>
  <c r="A23" i="8" s="1"/>
  <c r="I999" i="8"/>
  <c r="I982" i="8"/>
  <c r="I975" i="8"/>
  <c r="I961" i="8"/>
  <c r="I959" i="8"/>
  <c r="I926" i="8"/>
  <c r="I889" i="8"/>
  <c r="I886" i="8"/>
  <c r="I884" i="8"/>
  <c r="I859" i="8"/>
  <c r="I849" i="8"/>
  <c r="I816" i="8"/>
  <c r="I968" i="8"/>
  <c r="I879" i="8"/>
  <c r="I1020" i="8"/>
  <c r="I1014" i="8"/>
  <c r="I1003" i="8"/>
  <c r="I974" i="8"/>
  <c r="I953" i="8"/>
  <c r="I951" i="8"/>
  <c r="I943" i="8"/>
  <c r="I923" i="8"/>
  <c r="I885" i="8"/>
  <c r="I871" i="8"/>
  <c r="I845" i="8"/>
  <c r="I827" i="8"/>
  <c r="I1019" i="8"/>
  <c r="I1005" i="8"/>
  <c r="I989" i="8"/>
  <c r="I969" i="8"/>
  <c r="I932" i="8"/>
  <c r="I930" i="8"/>
  <c r="I913" i="8"/>
  <c r="I900" i="8"/>
  <c r="I814" i="8"/>
  <c r="I818" i="8"/>
  <c r="I788" i="8"/>
  <c r="I1023" i="8"/>
  <c r="I993" i="8"/>
  <c r="I988" i="8"/>
  <c r="I938" i="8"/>
  <c r="I907" i="8"/>
  <c r="I892" i="8"/>
  <c r="I877" i="8"/>
  <c r="I852" i="8"/>
  <c r="I821" i="8"/>
  <c r="I533" i="8"/>
  <c r="I805" i="8"/>
  <c r="I729" i="8"/>
  <c r="I724" i="8"/>
  <c r="I659" i="8"/>
  <c r="I652" i="8"/>
  <c r="I644" i="8"/>
  <c r="I642" i="8"/>
  <c r="I629" i="8"/>
  <c r="I627" i="8"/>
  <c r="I598" i="8"/>
  <c r="I567" i="8"/>
  <c r="I542" i="8"/>
  <c r="I535" i="8"/>
  <c r="I510" i="8"/>
  <c r="I496" i="8"/>
  <c r="I478" i="8"/>
  <c r="I471" i="8"/>
  <c r="I461" i="8"/>
  <c r="I439" i="8"/>
  <c r="I422" i="8"/>
  <c r="I407" i="8"/>
  <c r="I344" i="8"/>
  <c r="I337" i="8"/>
  <c r="I283" i="8"/>
  <c r="I164" i="8"/>
  <c r="I149" i="8"/>
  <c r="I125" i="8"/>
  <c r="I31" i="8"/>
  <c r="I24" i="8"/>
  <c r="I738" i="8"/>
  <c r="I736" i="8"/>
  <c r="I731" i="8"/>
  <c r="I674" i="8"/>
  <c r="I672" i="8"/>
  <c r="I667" i="8"/>
  <c r="I601" i="8"/>
  <c r="I557" i="8"/>
  <c r="I552" i="8"/>
  <c r="I528" i="8"/>
  <c r="I513" i="8"/>
  <c r="I464" i="8"/>
  <c r="I444" i="8"/>
  <c r="I425" i="8"/>
  <c r="I368" i="8"/>
  <c r="I342" i="8"/>
  <c r="I332" i="8"/>
  <c r="I315" i="8"/>
  <c r="I305" i="8"/>
  <c r="I286" i="8"/>
  <c r="I251" i="8"/>
  <c r="I187" i="8"/>
  <c r="I152" i="8"/>
  <c r="I144" i="8"/>
  <c r="I137" i="8"/>
  <c r="I123" i="8"/>
  <c r="I118" i="8"/>
  <c r="I800" i="8"/>
  <c r="I795" i="8"/>
  <c r="I782" i="8"/>
  <c r="I754" i="8"/>
  <c r="I752" i="8"/>
  <c r="I747" i="8"/>
  <c r="I718" i="8"/>
  <c r="I690" i="8"/>
  <c r="I688" i="8"/>
  <c r="I683" i="8"/>
  <c r="I664" i="8"/>
  <c r="I656" i="8"/>
  <c r="I641" i="8"/>
  <c r="I634" i="8"/>
  <c r="I623" i="8"/>
  <c r="I614" i="8"/>
  <c r="I608" i="8"/>
  <c r="I603" i="8"/>
  <c r="I566" i="8"/>
  <c r="I558" i="8"/>
  <c r="I519" i="8"/>
  <c r="I495" i="8"/>
  <c r="I477" i="8"/>
  <c r="I475" i="8"/>
  <c r="I473" i="8"/>
  <c r="I468" i="8"/>
  <c r="I436" i="8"/>
  <c r="I431" i="8"/>
  <c r="I416" i="8"/>
  <c r="I392" i="8"/>
  <c r="I372" i="8"/>
  <c r="I334" i="8"/>
  <c r="I307" i="8"/>
  <c r="I304" i="8"/>
  <c r="I237" i="8"/>
  <c r="I227" i="8"/>
  <c r="A227" i="8" s="1"/>
  <c r="I222" i="8"/>
  <c r="A222" i="8" s="1"/>
  <c r="I215" i="8"/>
  <c r="A215" i="8" s="1"/>
  <c r="I196" i="8"/>
  <c r="I189" i="8"/>
  <c r="I184" i="8"/>
  <c r="I177" i="8"/>
  <c r="I166" i="8"/>
  <c r="I146" i="8"/>
  <c r="I120" i="8"/>
  <c r="I802" i="8"/>
  <c r="I789" i="8"/>
  <c r="I761" i="8"/>
  <c r="I758" i="8"/>
  <c r="I756" i="8"/>
  <c r="I697" i="8"/>
  <c r="I692" i="8"/>
  <c r="I666" i="8"/>
  <c r="I648" i="8"/>
  <c r="A648" i="8" s="1"/>
  <c r="I638" i="8"/>
  <c r="I633" i="8"/>
  <c r="I607" i="8"/>
  <c r="I600" i="8"/>
  <c r="I586" i="8"/>
  <c r="I581" i="8"/>
  <c r="I569" i="8"/>
  <c r="I561" i="8"/>
  <c r="I539" i="8"/>
  <c r="I537" i="8"/>
  <c r="I532" i="8"/>
  <c r="I512" i="8"/>
  <c r="I509" i="8"/>
  <c r="I429" i="8"/>
  <c r="I424" i="8"/>
  <c r="I419" i="8"/>
  <c r="I404" i="8"/>
  <c r="I399" i="8"/>
  <c r="I357" i="8"/>
  <c r="I319" i="8"/>
  <c r="I297" i="8"/>
  <c r="I250" i="8"/>
  <c r="I239" i="8"/>
  <c r="I224" i="8"/>
  <c r="A224" i="8" s="1"/>
  <c r="I217" i="8"/>
  <c r="A217" i="8" s="1"/>
  <c r="I194" i="8"/>
  <c r="I168" i="8"/>
  <c r="I141" i="8"/>
  <c r="I117" i="8"/>
  <c r="I734" i="8"/>
  <c r="I670" i="8"/>
  <c r="I526" i="8"/>
  <c r="I511" i="8"/>
  <c r="I504" i="8"/>
  <c r="I479" i="8"/>
  <c r="I462" i="8"/>
  <c r="I440" i="8"/>
  <c r="I423" i="8"/>
  <c r="I408" i="8"/>
  <c r="I376" i="8"/>
  <c r="I323" i="8"/>
  <c r="I301" i="8"/>
  <c r="I116" i="8"/>
  <c r="I575" i="8"/>
  <c r="I469" i="8"/>
  <c r="I433" i="8"/>
  <c r="I430" i="8"/>
  <c r="I321" i="8"/>
  <c r="I316" i="8"/>
  <c r="I311" i="8"/>
  <c r="I299" i="8"/>
  <c r="I289" i="8"/>
  <c r="I279" i="8"/>
  <c r="I259" i="8"/>
  <c r="I226" i="8"/>
  <c r="A226" i="8" s="1"/>
  <c r="I162" i="8"/>
  <c r="I160" i="8"/>
  <c r="I119" i="8"/>
  <c r="I952" i="8"/>
  <c r="I925" i="8"/>
  <c r="I605" i="8"/>
  <c r="I1026" i="8"/>
  <c r="I1017" i="8"/>
  <c r="I1013" i="8"/>
  <c r="I1011" i="8"/>
  <c r="I1006" i="8"/>
  <c r="I994" i="8"/>
  <c r="I963" i="8"/>
  <c r="I936" i="8"/>
  <c r="I927" i="8"/>
  <c r="I914" i="8"/>
  <c r="I881" i="8"/>
  <c r="I815" i="8"/>
  <c r="I774" i="8"/>
  <c r="A774" i="8" s="1"/>
  <c r="I970" i="8"/>
  <c r="I1000" i="8"/>
  <c r="I972" i="8"/>
  <c r="I965" i="8"/>
  <c r="I942" i="8"/>
  <c r="I940" i="8"/>
  <c r="I895" i="8"/>
  <c r="I862" i="8"/>
  <c r="I855" i="8"/>
  <c r="I660" i="8"/>
  <c r="I1024" i="8"/>
  <c r="I992" i="8"/>
  <c r="I981" i="8"/>
  <c r="I919" i="8"/>
  <c r="I979" i="8"/>
  <c r="I921" i="8"/>
  <c r="I912" i="8"/>
  <c r="I1008" i="8"/>
  <c r="I978" i="8"/>
  <c r="I948" i="8"/>
  <c r="I910" i="8"/>
  <c r="I908" i="8"/>
  <c r="I906" i="8"/>
  <c r="I866" i="8"/>
  <c r="I864" i="8"/>
  <c r="I565" i="8"/>
  <c r="I891" i="8"/>
  <c r="I1027" i="8"/>
  <c r="I1022" i="8"/>
  <c r="I1010" i="8"/>
  <c r="I1001" i="8"/>
  <c r="I997" i="8"/>
  <c r="I995" i="8"/>
  <c r="I990" i="8"/>
  <c r="I984" i="8"/>
  <c r="I917" i="8"/>
  <c r="I875" i="8"/>
  <c r="I846" i="8"/>
  <c r="I844" i="8"/>
  <c r="I842" i="8"/>
  <c r="I806" i="8"/>
  <c r="I632" i="8"/>
  <c r="I783" i="8"/>
  <c r="I773" i="8"/>
  <c r="I767" i="8"/>
  <c r="I757" i="8"/>
  <c r="I751" i="8"/>
  <c r="I741" i="8"/>
  <c r="I735" i="8"/>
  <c r="I725" i="8"/>
  <c r="I719" i="8"/>
  <c r="I709" i="8"/>
  <c r="I703" i="8"/>
  <c r="I693" i="8"/>
  <c r="I687" i="8"/>
  <c r="I677" i="8"/>
  <c r="I671" i="8"/>
  <c r="I636" i="8"/>
  <c r="I619" i="8"/>
  <c r="I617" i="8"/>
  <c r="I611" i="8"/>
  <c r="I609" i="8"/>
  <c r="I594" i="8"/>
  <c r="I591" i="8"/>
  <c r="I582" i="8"/>
  <c r="I576" i="8"/>
  <c r="I554" i="8"/>
  <c r="I551" i="8"/>
  <c r="I547" i="8"/>
  <c r="I545" i="8"/>
  <c r="I536" i="8"/>
  <c r="I507" i="8"/>
  <c r="I505" i="8"/>
  <c r="I502" i="8"/>
  <c r="I428" i="8"/>
  <c r="I403" i="8"/>
  <c r="I401" i="8"/>
  <c r="I276" i="8"/>
  <c r="I256" i="8"/>
  <c r="I172" i="8"/>
  <c r="I817" i="8"/>
  <c r="I810" i="8"/>
  <c r="I808" i="8"/>
  <c r="I801" i="8"/>
  <c r="I794" i="8"/>
  <c r="I792" i="8"/>
  <c r="I785" i="8"/>
  <c r="I769" i="8"/>
  <c r="I762" i="8"/>
  <c r="I760" i="8"/>
  <c r="I753" i="8"/>
  <c r="I746" i="8"/>
  <c r="I744" i="8"/>
  <c r="I737" i="8"/>
  <c r="I730" i="8"/>
  <c r="I728" i="8"/>
  <c r="I721" i="8"/>
  <c r="I714" i="8"/>
  <c r="I712" i="8"/>
  <c r="I705" i="8"/>
  <c r="I698" i="8"/>
  <c r="I696" i="8"/>
  <c r="I689" i="8"/>
  <c r="I682" i="8"/>
  <c r="I680" i="8"/>
  <c r="I673" i="8"/>
  <c r="I587" i="8"/>
  <c r="I585" i="8"/>
  <c r="I578" i="8"/>
  <c r="I520" i="8"/>
  <c r="A520" i="8" s="1"/>
  <c r="I498" i="8"/>
  <c r="I484" i="8"/>
  <c r="I437" i="8"/>
  <c r="I365" i="8"/>
  <c r="I329" i="8"/>
  <c r="I295" i="8"/>
  <c r="I207" i="8"/>
  <c r="A207" i="8" s="1"/>
  <c r="I170" i="8"/>
  <c r="I857" i="8"/>
  <c r="I850" i="8"/>
  <c r="I848" i="8"/>
  <c r="I839" i="8"/>
  <c r="I977" i="8"/>
  <c r="I973" i="8"/>
  <c r="I971" i="8"/>
  <c r="I966" i="8"/>
  <c r="I954" i="8"/>
  <c r="I949" i="8"/>
  <c r="I945" i="8"/>
  <c r="I939" i="8"/>
  <c r="I937" i="8"/>
  <c r="I935" i="8"/>
  <c r="I928" i="8"/>
  <c r="I905" i="8"/>
  <c r="I874" i="8"/>
  <c r="I869" i="8"/>
  <c r="I863" i="8"/>
  <c r="I841" i="8"/>
  <c r="I838" i="8"/>
  <c r="I834" i="8"/>
  <c r="I832" i="8"/>
  <c r="I829" i="8"/>
  <c r="I657" i="8"/>
  <c r="I654" i="8"/>
  <c r="I639" i="8"/>
  <c r="I599" i="8"/>
  <c r="I590" i="8"/>
  <c r="I562" i="8"/>
  <c r="I559" i="8"/>
  <c r="I550" i="8"/>
  <c r="I544" i="8"/>
  <c r="I493" i="8"/>
  <c r="I488" i="8"/>
  <c r="I481" i="8"/>
  <c r="I476" i="8"/>
  <c r="I448" i="8"/>
  <c r="I434" i="8"/>
  <c r="I412" i="8"/>
  <c r="I302" i="8"/>
  <c r="I244" i="8"/>
  <c r="I960" i="8"/>
  <c r="I947" i="8"/>
  <c r="I922" i="8"/>
  <c r="I898" i="8"/>
  <c r="I896" i="8"/>
  <c r="I893" i="8"/>
  <c r="I865" i="8"/>
  <c r="I823" i="8"/>
  <c r="I813" i="8"/>
  <c r="I807" i="8"/>
  <c r="I797" i="8"/>
  <c r="I791" i="8"/>
  <c r="I781" i="8"/>
  <c r="I765" i="8"/>
  <c r="I759" i="8"/>
  <c r="I749" i="8"/>
  <c r="I743" i="8"/>
  <c r="I733" i="8"/>
  <c r="I727" i="8"/>
  <c r="I717" i="8"/>
  <c r="I711" i="8"/>
  <c r="I701" i="8"/>
  <c r="I695" i="8"/>
  <c r="I685" i="8"/>
  <c r="I679" i="8"/>
  <c r="I669" i="8"/>
  <c r="I618" i="8"/>
  <c r="I610" i="8"/>
  <c r="I604" i="8"/>
  <c r="I595" i="8"/>
  <c r="I593" i="8"/>
  <c r="I584" i="8"/>
  <c r="I574" i="8"/>
  <c r="I555" i="8"/>
  <c r="I553" i="8"/>
  <c r="I546" i="8"/>
  <c r="I543" i="8"/>
  <c r="I534" i="8"/>
  <c r="I490" i="8"/>
  <c r="I487" i="8"/>
  <c r="I483" i="8"/>
  <c r="I242" i="8"/>
  <c r="I182" i="8"/>
  <c r="I742" i="8"/>
  <c r="I726" i="8"/>
  <c r="I710" i="8"/>
  <c r="I694" i="8"/>
  <c r="I678" i="8"/>
  <c r="I630" i="8"/>
  <c r="I583" i="8"/>
  <c r="I518" i="8"/>
  <c r="I503" i="8"/>
  <c r="I494" i="8"/>
  <c r="I112" i="8"/>
  <c r="I110" i="8"/>
  <c r="I56" i="8"/>
  <c r="I48" i="8"/>
  <c r="I46" i="8"/>
  <c r="I30" i="8"/>
  <c r="I460" i="8"/>
  <c r="I455" i="8"/>
  <c r="I451" i="8"/>
  <c r="I449" i="8"/>
  <c r="I446" i="8"/>
  <c r="I391" i="8"/>
  <c r="I387" i="8"/>
  <c r="I385" i="8"/>
  <c r="I382" i="8"/>
  <c r="I361" i="8"/>
  <c r="I348" i="8"/>
  <c r="I346" i="8"/>
  <c r="I328" i="8"/>
  <c r="I324" i="8"/>
  <c r="I314" i="8"/>
  <c r="I284" i="8"/>
  <c r="I282" i="8"/>
  <c r="I264" i="8"/>
  <c r="I235" i="8"/>
  <c r="I204" i="8"/>
  <c r="I200" i="8"/>
  <c r="I198" i="8"/>
  <c r="I163" i="8"/>
  <c r="I155" i="8"/>
  <c r="I132" i="8"/>
  <c r="I128" i="8"/>
  <c r="I126" i="8"/>
  <c r="I470" i="8"/>
  <c r="I420" i="8"/>
  <c r="I415" i="8"/>
  <c r="I411" i="8"/>
  <c r="I409" i="8"/>
  <c r="I406" i="8"/>
  <c r="I360" i="8"/>
  <c r="I356" i="8"/>
  <c r="I343" i="8"/>
  <c r="I303" i="8"/>
  <c r="I296" i="8"/>
  <c r="I292" i="8"/>
  <c r="I290" i="8"/>
  <c r="I277" i="8"/>
  <c r="I273" i="8"/>
  <c r="I243" i="8"/>
  <c r="I241" i="8"/>
  <c r="I220" i="8"/>
  <c r="A220" i="8" s="1"/>
  <c r="I216" i="8"/>
  <c r="A216" i="8" s="1"/>
  <c r="I214" i="8"/>
  <c r="A214" i="8" s="1"/>
  <c r="I208" i="8"/>
  <c r="I206" i="8"/>
  <c r="A206" i="8" s="1"/>
  <c r="I171" i="8"/>
  <c r="I169" i="8"/>
  <c r="I140" i="8"/>
  <c r="I136" i="8"/>
  <c r="I134" i="8"/>
  <c r="I375" i="8"/>
  <c r="I366" i="8"/>
  <c r="I336" i="8"/>
  <c r="I317" i="8"/>
  <c r="I309" i="8"/>
  <c r="I263" i="8"/>
  <c r="I228" i="8"/>
  <c r="A228" i="8" s="1"/>
  <c r="I148" i="8"/>
  <c r="I43" i="8"/>
  <c r="I452" i="8"/>
  <c r="I447" i="8"/>
  <c r="I443" i="8"/>
  <c r="I441" i="8"/>
  <c r="I438" i="8"/>
  <c r="I388" i="8"/>
  <c r="I383" i="8"/>
  <c r="I379" i="8"/>
  <c r="I377" i="8"/>
  <c r="I374" i="8"/>
  <c r="I364" i="8"/>
  <c r="I362" i="8"/>
  <c r="I349" i="8"/>
  <c r="I340" i="8"/>
  <c r="I327" i="8"/>
  <c r="I280" i="8"/>
  <c r="I252" i="8"/>
  <c r="I246" i="8"/>
  <c r="I203" i="8"/>
  <c r="I201" i="8"/>
  <c r="I180" i="8"/>
  <c r="I176" i="8"/>
  <c r="I174" i="8"/>
  <c r="I131" i="8"/>
  <c r="I129" i="8"/>
  <c r="I872" i="8"/>
  <c r="I840" i="8"/>
  <c r="I929" i="8"/>
  <c r="I888" i="8"/>
  <c r="I856" i="8"/>
  <c r="I824" i="8"/>
  <c r="I458" i="8"/>
  <c r="I394" i="8"/>
  <c r="A394" i="8" s="1"/>
  <c r="I602" i="8"/>
  <c r="I570" i="8"/>
  <c r="I538" i="8"/>
  <c r="I506" i="8"/>
  <c r="I482" i="8"/>
  <c r="I418" i="8"/>
  <c r="I625" i="8"/>
  <c r="I442" i="8"/>
  <c r="I378" i="8"/>
  <c r="I466" i="8"/>
  <c r="I402" i="8"/>
  <c r="I341" i="8"/>
  <c r="I626" i="8"/>
  <c r="I474" i="8"/>
  <c r="I410" i="8"/>
  <c r="I298" i="8"/>
  <c r="I225" i="8"/>
  <c r="A225" i="8" s="1"/>
  <c r="I145" i="8"/>
  <c r="I354" i="8"/>
  <c r="I335" i="8"/>
  <c r="I322" i="8"/>
  <c r="I306" i="8"/>
  <c r="I233" i="8"/>
  <c r="I161" i="8"/>
  <c r="I153" i="8"/>
  <c r="I113" i="8"/>
  <c r="I41" i="8"/>
  <c r="I351" i="8"/>
  <c r="I338" i="8"/>
  <c r="I274" i="8"/>
  <c r="I265" i="8"/>
  <c r="I193" i="8"/>
  <c r="I121" i="8"/>
  <c r="H321" i="19" l="1"/>
  <c r="A321" i="19" s="1"/>
  <c r="H22" i="3"/>
  <c r="H31" i="19"/>
  <c r="A31" i="19" s="1"/>
  <c r="A269" i="19"/>
  <c r="H48" i="8"/>
  <c r="A48" i="8" s="1"/>
  <c r="H55" i="19"/>
  <c r="A55" i="19" s="1"/>
  <c r="H41" i="8"/>
  <c r="A41" i="8" s="1"/>
  <c r="H45" i="19"/>
  <c r="A45" i="19" s="1"/>
  <c r="H30" i="8"/>
  <c r="A30" i="8" s="1"/>
  <c r="H30" i="19"/>
  <c r="A30" i="19" s="1"/>
  <c r="H43" i="8"/>
  <c r="A43" i="8" s="1"/>
  <c r="H47" i="19"/>
  <c r="A47" i="19" s="1"/>
  <c r="H46" i="8"/>
  <c r="A46" i="8" s="1"/>
  <c r="H52" i="19"/>
  <c r="A52" i="19" s="1"/>
  <c r="H29" i="8"/>
  <c r="A29" i="8" s="1"/>
  <c r="H29" i="19"/>
  <c r="A29" i="19" s="1"/>
  <c r="D1" i="4"/>
  <c r="A1" i="12"/>
  <c r="D14" i="6"/>
  <c r="E14" i="12"/>
  <c r="G14" i="12" s="1"/>
  <c r="D15" i="6"/>
  <c r="H42" i="8"/>
  <c r="A42" i="8" s="1"/>
  <c r="B6" i="11"/>
  <c r="I16" i="10"/>
  <c r="E16" i="10"/>
  <c r="I75" i="10"/>
  <c r="H75" i="10"/>
  <c r="G75" i="10"/>
  <c r="F75" i="10"/>
  <c r="E75" i="10"/>
  <c r="D75" i="10"/>
  <c r="I74" i="10"/>
  <c r="H74" i="10"/>
  <c r="G74" i="10"/>
  <c r="F74" i="10"/>
  <c r="E74" i="10"/>
  <c r="D74" i="10"/>
  <c r="I66" i="10"/>
  <c r="H66" i="10"/>
  <c r="G66" i="10"/>
  <c r="F66" i="10"/>
  <c r="E66" i="10"/>
  <c r="D66" i="10"/>
  <c r="I65" i="10"/>
  <c r="H65" i="10"/>
  <c r="G65" i="10"/>
  <c r="F65" i="10"/>
  <c r="E65" i="10"/>
  <c r="D65" i="10"/>
  <c r="I128" i="10"/>
  <c r="H128" i="10"/>
  <c r="G128" i="10"/>
  <c r="F128" i="10"/>
  <c r="E128" i="10"/>
  <c r="D128" i="10"/>
  <c r="I127" i="10"/>
  <c r="H127" i="10"/>
  <c r="G127" i="10"/>
  <c r="F127" i="10"/>
  <c r="E127" i="10"/>
  <c r="D127" i="10"/>
  <c r="I120" i="10"/>
  <c r="H120" i="10"/>
  <c r="G120" i="10"/>
  <c r="F120" i="10"/>
  <c r="E120" i="10"/>
  <c r="D120" i="10"/>
  <c r="I119" i="10"/>
  <c r="H119" i="10"/>
  <c r="G119" i="10"/>
  <c r="F119" i="10"/>
  <c r="E119" i="10"/>
  <c r="D119" i="10"/>
  <c r="I118" i="10"/>
  <c r="H118" i="10"/>
  <c r="G118" i="10"/>
  <c r="F118" i="10"/>
  <c r="E118" i="10"/>
  <c r="D118" i="10"/>
  <c r="I117" i="10"/>
  <c r="H117" i="10"/>
  <c r="G117" i="10"/>
  <c r="F117" i="10"/>
  <c r="E117" i="10"/>
  <c r="D117" i="10"/>
  <c r="I115" i="10"/>
  <c r="H115" i="10"/>
  <c r="G115" i="10"/>
  <c r="F115" i="10"/>
  <c r="E115" i="10"/>
  <c r="D115" i="10"/>
  <c r="I114" i="10"/>
  <c r="H114" i="10"/>
  <c r="G114" i="10"/>
  <c r="F114" i="10"/>
  <c r="E114" i="10"/>
  <c r="D114" i="10"/>
  <c r="I109" i="10"/>
  <c r="H109" i="10"/>
  <c r="G109" i="10"/>
  <c r="F109" i="10"/>
  <c r="E109" i="10"/>
  <c r="D109" i="10"/>
  <c r="I108" i="10"/>
  <c r="H108" i="10"/>
  <c r="G108" i="10"/>
  <c r="F108" i="10"/>
  <c r="E108" i="10"/>
  <c r="D108" i="10"/>
  <c r="I107" i="10"/>
  <c r="H107" i="10"/>
  <c r="G107" i="10"/>
  <c r="F107" i="10"/>
  <c r="E107" i="10"/>
  <c r="D107" i="10"/>
  <c r="I105" i="10"/>
  <c r="H105" i="10"/>
  <c r="G105" i="10"/>
  <c r="F105" i="10"/>
  <c r="E105" i="10"/>
  <c r="D105" i="10"/>
  <c r="I104" i="10"/>
  <c r="H104" i="10"/>
  <c r="G104" i="10"/>
  <c r="F104" i="10"/>
  <c r="E104" i="10"/>
  <c r="D104" i="10"/>
  <c r="I102" i="10"/>
  <c r="H102" i="10"/>
  <c r="G102" i="10"/>
  <c r="F102" i="10"/>
  <c r="E102" i="10"/>
  <c r="D102" i="10"/>
  <c r="I101" i="10"/>
  <c r="H101" i="10"/>
  <c r="G101" i="10"/>
  <c r="F101" i="10"/>
  <c r="E101" i="10"/>
  <c r="D101" i="10"/>
  <c r="I100" i="10"/>
  <c r="H100" i="10"/>
  <c r="G100" i="10"/>
  <c r="F100" i="10"/>
  <c r="E100" i="10"/>
  <c r="D100" i="10"/>
  <c r="I99" i="10"/>
  <c r="H99" i="10"/>
  <c r="G99" i="10"/>
  <c r="F99" i="10"/>
  <c r="E99" i="10"/>
  <c r="D99" i="10"/>
  <c r="I97" i="10"/>
  <c r="H97" i="10"/>
  <c r="G97" i="10"/>
  <c r="F97" i="10"/>
  <c r="E97" i="10"/>
  <c r="D97" i="10"/>
  <c r="I96" i="10"/>
  <c r="H96" i="10"/>
  <c r="G96" i="10"/>
  <c r="F96" i="10"/>
  <c r="E96" i="10"/>
  <c r="D96" i="10"/>
  <c r="I95" i="10"/>
  <c r="H95" i="10"/>
  <c r="G95" i="10"/>
  <c r="F95" i="10"/>
  <c r="E95" i="10"/>
  <c r="D95" i="10"/>
  <c r="I93" i="10"/>
  <c r="H93" i="10"/>
  <c r="G93" i="10"/>
  <c r="F93" i="10"/>
  <c r="E93" i="10"/>
  <c r="D93" i="10"/>
  <c r="I92" i="10"/>
  <c r="H92" i="10"/>
  <c r="G92" i="10"/>
  <c r="F92" i="10"/>
  <c r="E92" i="10"/>
  <c r="D92" i="10"/>
  <c r="I90" i="10"/>
  <c r="H90" i="10"/>
  <c r="G90" i="10"/>
  <c r="F90" i="10"/>
  <c r="E90" i="10"/>
  <c r="D90" i="10"/>
  <c r="I89" i="10"/>
  <c r="H89" i="10"/>
  <c r="G89" i="10"/>
  <c r="F89" i="10"/>
  <c r="E89" i="10"/>
  <c r="D89" i="10"/>
  <c r="I88" i="10"/>
  <c r="H88" i="10"/>
  <c r="G88" i="10"/>
  <c r="F88" i="10"/>
  <c r="E88" i="10"/>
  <c r="D88" i="10"/>
  <c r="I87" i="10"/>
  <c r="H87" i="10"/>
  <c r="G87" i="10"/>
  <c r="F87" i="10"/>
  <c r="E87" i="10"/>
  <c r="D87" i="10"/>
  <c r="I86" i="10"/>
  <c r="H86" i="10"/>
  <c r="G86" i="10"/>
  <c r="F86" i="10"/>
  <c r="E86" i="10"/>
  <c r="D86" i="10"/>
  <c r="I85" i="10"/>
  <c r="G85" i="10"/>
  <c r="E85" i="10"/>
  <c r="D85" i="10"/>
  <c r="I84" i="10"/>
  <c r="H84" i="10"/>
  <c r="G84" i="10"/>
  <c r="F84" i="10"/>
  <c r="E84" i="10"/>
  <c r="D84" i="10"/>
  <c r="I83" i="10"/>
  <c r="H83" i="10"/>
  <c r="G83" i="10"/>
  <c r="F83" i="10"/>
  <c r="E83" i="10"/>
  <c r="D83" i="10"/>
  <c r="I81" i="10"/>
  <c r="H81" i="10"/>
  <c r="G81" i="10"/>
  <c r="F81" i="10"/>
  <c r="E81" i="10"/>
  <c r="D81" i="10"/>
  <c r="I80" i="10"/>
  <c r="H80" i="10"/>
  <c r="G80" i="10"/>
  <c r="F80" i="10"/>
  <c r="E80" i="10"/>
  <c r="D80" i="10"/>
  <c r="I76" i="10"/>
  <c r="H76" i="10"/>
  <c r="G76" i="10"/>
  <c r="F76" i="10"/>
  <c r="E76" i="10"/>
  <c r="D76" i="10"/>
  <c r="I72" i="10"/>
  <c r="H72" i="10"/>
  <c r="G72" i="10"/>
  <c r="F72" i="10"/>
  <c r="E72" i="10"/>
  <c r="D72" i="10"/>
  <c r="I71" i="10"/>
  <c r="H71" i="10"/>
  <c r="G71" i="10"/>
  <c r="F71" i="10"/>
  <c r="E71" i="10"/>
  <c r="D71" i="10"/>
  <c r="I70" i="10"/>
  <c r="H70" i="10"/>
  <c r="G70" i="10"/>
  <c r="F70" i="10"/>
  <c r="E70" i="10"/>
  <c r="D70" i="10"/>
  <c r="I69" i="10"/>
  <c r="H69" i="10"/>
  <c r="G69" i="10"/>
  <c r="F69" i="10"/>
  <c r="E69" i="10"/>
  <c r="D69" i="10"/>
  <c r="I68" i="10"/>
  <c r="H68" i="10"/>
  <c r="G68" i="10"/>
  <c r="F68" i="10"/>
  <c r="E68" i="10"/>
  <c r="D68" i="10"/>
  <c r="I67" i="10"/>
  <c r="H67" i="10"/>
  <c r="G67" i="10"/>
  <c r="F67" i="10"/>
  <c r="E67" i="10"/>
  <c r="D67" i="10"/>
  <c r="I60" i="10"/>
  <c r="H60" i="10"/>
  <c r="G60" i="10"/>
  <c r="F60" i="10"/>
  <c r="E60" i="10"/>
  <c r="D60" i="10"/>
  <c r="I59" i="10"/>
  <c r="H59" i="10"/>
  <c r="G59" i="10"/>
  <c r="F59" i="10"/>
  <c r="E59" i="10"/>
  <c r="D59" i="10"/>
  <c r="I58" i="10"/>
  <c r="H58" i="10"/>
  <c r="G58" i="10"/>
  <c r="F58" i="10"/>
  <c r="E58" i="10"/>
  <c r="D58" i="10"/>
  <c r="I56" i="10"/>
  <c r="H56" i="10"/>
  <c r="G56" i="10"/>
  <c r="F56" i="10"/>
  <c r="E56" i="10"/>
  <c r="D56" i="10"/>
  <c r="I55" i="10"/>
  <c r="H55" i="10"/>
  <c r="G55" i="10"/>
  <c r="F55" i="10"/>
  <c r="E55" i="10"/>
  <c r="D55" i="10"/>
  <c r="I54" i="10"/>
  <c r="H54" i="10"/>
  <c r="G54" i="10"/>
  <c r="F54" i="10"/>
  <c r="E54" i="10"/>
  <c r="D54" i="10"/>
  <c r="I53" i="10"/>
  <c r="H53" i="10"/>
  <c r="G53" i="10"/>
  <c r="F53" i="10"/>
  <c r="E53" i="10"/>
  <c r="D53" i="10"/>
  <c r="I51" i="10"/>
  <c r="H51" i="10"/>
  <c r="G51" i="10"/>
  <c r="F51" i="10"/>
  <c r="E51" i="10"/>
  <c r="D51" i="10"/>
  <c r="I50" i="10"/>
  <c r="H50" i="10"/>
  <c r="G50" i="10"/>
  <c r="F50" i="10"/>
  <c r="E50" i="10"/>
  <c r="D50" i="10"/>
  <c r="I47" i="10"/>
  <c r="H47" i="10"/>
  <c r="G47" i="10"/>
  <c r="F47" i="10"/>
  <c r="E47" i="10"/>
  <c r="D47" i="10"/>
  <c r="I46" i="10"/>
  <c r="H46" i="10"/>
  <c r="G46" i="10"/>
  <c r="F46" i="10"/>
  <c r="E46" i="10"/>
  <c r="D46" i="10"/>
  <c r="I45" i="10"/>
  <c r="H45" i="10"/>
  <c r="G45" i="10"/>
  <c r="F45" i="10"/>
  <c r="E45" i="10"/>
  <c r="D45" i="10"/>
  <c r="I44" i="10"/>
  <c r="H44" i="10"/>
  <c r="G44" i="10"/>
  <c r="F44" i="10"/>
  <c r="E44" i="10"/>
  <c r="D44" i="10"/>
  <c r="I42" i="10"/>
  <c r="H42" i="10"/>
  <c r="G42" i="10"/>
  <c r="F42" i="10"/>
  <c r="E42" i="10"/>
  <c r="D42" i="10"/>
  <c r="I41" i="10"/>
  <c r="H41" i="10"/>
  <c r="G41" i="10"/>
  <c r="F41" i="10"/>
  <c r="E41" i="10"/>
  <c r="D41" i="10"/>
  <c r="I40" i="10"/>
  <c r="H40" i="10"/>
  <c r="G40" i="10"/>
  <c r="F40" i="10"/>
  <c r="E40" i="10"/>
  <c r="D40" i="10"/>
  <c r="I30" i="10"/>
  <c r="H30" i="10"/>
  <c r="G30" i="10"/>
  <c r="F30" i="10"/>
  <c r="E30" i="10"/>
  <c r="D30" i="10"/>
  <c r="I29" i="10"/>
  <c r="H29" i="10"/>
  <c r="G29" i="10"/>
  <c r="F29" i="10"/>
  <c r="E29" i="10"/>
  <c r="D29" i="10"/>
  <c r="I28" i="10"/>
  <c r="H28" i="10"/>
  <c r="G28" i="10"/>
  <c r="F28" i="10"/>
  <c r="E28" i="10"/>
  <c r="D28" i="10"/>
  <c r="I26" i="10"/>
  <c r="H26" i="10"/>
  <c r="G26" i="10"/>
  <c r="F26" i="10"/>
  <c r="E26" i="10"/>
  <c r="D26" i="10"/>
  <c r="I25" i="10"/>
  <c r="H25" i="10"/>
  <c r="G25" i="10"/>
  <c r="F25" i="10"/>
  <c r="E25" i="10"/>
  <c r="D25" i="10"/>
  <c r="I23" i="10"/>
  <c r="H23" i="10"/>
  <c r="G23" i="10"/>
  <c r="G21" i="10" s="1"/>
  <c r="F23" i="10"/>
  <c r="E23" i="10"/>
  <c r="D23" i="10"/>
  <c r="I22" i="10"/>
  <c r="H22" i="10"/>
  <c r="F22" i="10"/>
  <c r="E22" i="10"/>
  <c r="D22" i="10"/>
  <c r="I19" i="10"/>
  <c r="H19" i="10"/>
  <c r="G19" i="10"/>
  <c r="F19" i="10"/>
  <c r="E19" i="10"/>
  <c r="D19" i="10"/>
  <c r="I18" i="10"/>
  <c r="H18" i="10"/>
  <c r="G18" i="10"/>
  <c r="F18" i="10"/>
  <c r="E18" i="10"/>
  <c r="D18" i="10"/>
  <c r="I15" i="10"/>
  <c r="H15" i="10"/>
  <c r="G15" i="10"/>
  <c r="F15" i="10"/>
  <c r="E15" i="10"/>
  <c r="D15" i="10"/>
  <c r="I14" i="10"/>
  <c r="G14" i="10"/>
  <c r="F14" i="10"/>
  <c r="E14" i="10"/>
  <c r="D14" i="10"/>
  <c r="I12" i="10"/>
  <c r="H12" i="10"/>
  <c r="H10" i="10" s="1"/>
  <c r="G12" i="10"/>
  <c r="F12" i="10"/>
  <c r="E12" i="10"/>
  <c r="E10" i="10" s="1"/>
  <c r="D12" i="10"/>
  <c r="D10" i="10" s="1"/>
  <c r="D111" i="10"/>
  <c r="E111" i="10"/>
  <c r="F111" i="10"/>
  <c r="G111" i="10"/>
  <c r="H111" i="10"/>
  <c r="I111" i="10"/>
  <c r="D112" i="10"/>
  <c r="E112" i="10"/>
  <c r="F112" i="10"/>
  <c r="G112" i="10"/>
  <c r="H112" i="10"/>
  <c r="I112" i="10"/>
  <c r="I110" i="10"/>
  <c r="H110" i="10"/>
  <c r="G110" i="10"/>
  <c r="F110" i="10"/>
  <c r="E110" i="10"/>
  <c r="D110" i="10"/>
  <c r="D121" i="10"/>
  <c r="E121" i="10"/>
  <c r="F121" i="10"/>
  <c r="G121" i="10"/>
  <c r="H121" i="10"/>
  <c r="I121" i="10"/>
  <c r="D122" i="10"/>
  <c r="E122" i="10"/>
  <c r="F122" i="10"/>
  <c r="G122" i="10"/>
  <c r="H122" i="10"/>
  <c r="I122" i="10"/>
  <c r="D123" i="10"/>
  <c r="E123" i="10"/>
  <c r="F123" i="10"/>
  <c r="G123" i="10"/>
  <c r="H123" i="10"/>
  <c r="I123" i="10"/>
  <c r="D124" i="10"/>
  <c r="E124" i="10"/>
  <c r="F124" i="10"/>
  <c r="G124" i="10"/>
  <c r="H124" i="10"/>
  <c r="I124" i="10"/>
  <c r="D125" i="10"/>
  <c r="E125" i="10"/>
  <c r="F125" i="10"/>
  <c r="G125" i="10"/>
  <c r="H125" i="10"/>
  <c r="I125" i="10"/>
  <c r="D129" i="10"/>
  <c r="E129" i="10"/>
  <c r="F129" i="10"/>
  <c r="G129" i="10"/>
  <c r="H129" i="10"/>
  <c r="I129" i="10"/>
  <c r="D130" i="10"/>
  <c r="E130" i="10"/>
  <c r="F130" i="10"/>
  <c r="G130" i="10"/>
  <c r="H130" i="10"/>
  <c r="I130" i="10"/>
  <c r="D131" i="10"/>
  <c r="E131" i="10"/>
  <c r="F131" i="10"/>
  <c r="G131" i="10"/>
  <c r="H131" i="10"/>
  <c r="I131" i="10"/>
  <c r="D132" i="10"/>
  <c r="E132" i="10"/>
  <c r="F132" i="10"/>
  <c r="G132" i="10"/>
  <c r="H132" i="10"/>
  <c r="I132" i="10"/>
  <c r="D48" i="10"/>
  <c r="E48" i="10"/>
  <c r="F48" i="10"/>
  <c r="G48" i="10"/>
  <c r="H48" i="10"/>
  <c r="I48" i="10"/>
  <c r="D20" i="10"/>
  <c r="E20" i="10"/>
  <c r="F20" i="10"/>
  <c r="G20" i="10"/>
  <c r="H20" i="10"/>
  <c r="I20" i="10"/>
  <c r="D16" i="10"/>
  <c r="F16" i="10"/>
  <c r="G16" i="10"/>
  <c r="H16" i="10"/>
  <c r="D31" i="10"/>
  <c r="E31" i="10"/>
  <c r="F31" i="10"/>
  <c r="G31" i="10"/>
  <c r="H31" i="10"/>
  <c r="I31" i="10"/>
  <c r="D32" i="10"/>
  <c r="E32" i="10"/>
  <c r="F32" i="10"/>
  <c r="G32" i="10"/>
  <c r="H32" i="10"/>
  <c r="I32" i="10"/>
  <c r="D33" i="10"/>
  <c r="E33" i="10"/>
  <c r="F33" i="10"/>
  <c r="G33" i="10"/>
  <c r="H33" i="10"/>
  <c r="I33" i="10"/>
  <c r="D34" i="10"/>
  <c r="E34" i="10"/>
  <c r="F34" i="10"/>
  <c r="G34" i="10"/>
  <c r="H34" i="10"/>
  <c r="I34" i="10"/>
  <c r="E35" i="10"/>
  <c r="I35" i="10"/>
  <c r="D36" i="10"/>
  <c r="E36" i="10"/>
  <c r="F36" i="10"/>
  <c r="G36" i="10"/>
  <c r="H36" i="10"/>
  <c r="I36" i="10"/>
  <c r="D37" i="10"/>
  <c r="E37" i="10"/>
  <c r="F37" i="10"/>
  <c r="G37" i="10"/>
  <c r="H37" i="10"/>
  <c r="I37" i="10"/>
  <c r="D38" i="10"/>
  <c r="E38" i="10"/>
  <c r="F38" i="10"/>
  <c r="G38" i="10"/>
  <c r="H38" i="10"/>
  <c r="I38" i="10"/>
  <c r="D61" i="10"/>
  <c r="E61" i="10"/>
  <c r="F61" i="10"/>
  <c r="I61" i="10"/>
  <c r="D62" i="10"/>
  <c r="E62" i="10"/>
  <c r="F62" i="10"/>
  <c r="G62" i="10"/>
  <c r="H62" i="10"/>
  <c r="I62" i="10"/>
  <c r="D77" i="10"/>
  <c r="E77" i="10"/>
  <c r="F77" i="10"/>
  <c r="G77" i="10"/>
  <c r="H77" i="10"/>
  <c r="I77" i="10"/>
  <c r="D78" i="10"/>
  <c r="E78" i="10"/>
  <c r="F78" i="10"/>
  <c r="G78" i="10"/>
  <c r="H78" i="10"/>
  <c r="I78" i="10"/>
  <c r="G11" i="10"/>
  <c r="I11" i="10"/>
  <c r="A11" i="10"/>
  <c r="L11" i="10" s="1"/>
  <c r="A12" i="10"/>
  <c r="N12" i="10" s="1"/>
  <c r="A13" i="10"/>
  <c r="A14" i="10"/>
  <c r="A15" i="10"/>
  <c r="L15" i="10" s="1"/>
  <c r="A16" i="10"/>
  <c r="A17" i="10"/>
  <c r="A18" i="10"/>
  <c r="J18" i="10" s="1"/>
  <c r="A19" i="10"/>
  <c r="M19" i="10" s="1"/>
  <c r="A20" i="10"/>
  <c r="A21" i="10"/>
  <c r="A22" i="10"/>
  <c r="M22" i="10" s="1"/>
  <c r="A23" i="10"/>
  <c r="L23" i="10" s="1"/>
  <c r="A24" i="10"/>
  <c r="A25" i="10"/>
  <c r="K25" i="10" s="1"/>
  <c r="A26" i="10"/>
  <c r="J26" i="10" s="1"/>
  <c r="A27" i="10"/>
  <c r="A28" i="10"/>
  <c r="O28" i="10" s="1"/>
  <c r="A29" i="10"/>
  <c r="K29" i="10" s="1"/>
  <c r="A30" i="10"/>
  <c r="K30" i="10" s="1"/>
  <c r="A31" i="10"/>
  <c r="A32" i="10"/>
  <c r="A33" i="10"/>
  <c r="A34" i="10"/>
  <c r="A35" i="10"/>
  <c r="A36" i="10"/>
  <c r="A37" i="10"/>
  <c r="A38" i="10"/>
  <c r="A39" i="10"/>
  <c r="A40" i="10"/>
  <c r="A41" i="10"/>
  <c r="K41" i="10" s="1"/>
  <c r="A42" i="10"/>
  <c r="M42" i="10" s="1"/>
  <c r="A43" i="10"/>
  <c r="A44" i="10"/>
  <c r="N44" i="10" s="1"/>
  <c r="A45" i="10"/>
  <c r="A46" i="10"/>
  <c r="M46" i="10" s="1"/>
  <c r="A47" i="10"/>
  <c r="O47" i="10" s="1"/>
  <c r="A48" i="10"/>
  <c r="A49" i="10"/>
  <c r="A50" i="10"/>
  <c r="M50" i="10" s="1"/>
  <c r="A51" i="10"/>
  <c r="L51" i="10" s="1"/>
  <c r="A52" i="10"/>
  <c r="A53" i="10"/>
  <c r="A54" i="10"/>
  <c r="M54" i="10" s="1"/>
  <c r="A55" i="10"/>
  <c r="L55" i="10" s="1"/>
  <c r="A56" i="10"/>
  <c r="A57" i="10"/>
  <c r="A58" i="10"/>
  <c r="N58" i="10" s="1"/>
  <c r="A59" i="10"/>
  <c r="M59" i="10" s="1"/>
  <c r="A60" i="10"/>
  <c r="O60" i="10" s="1"/>
  <c r="A61" i="10"/>
  <c r="A62" i="10"/>
  <c r="A63" i="10"/>
  <c r="A64" i="10"/>
  <c r="A65" i="10"/>
  <c r="A66" i="10"/>
  <c r="N66" i="10" s="1"/>
  <c r="A67" i="10"/>
  <c r="M67" i="10" s="1"/>
  <c r="A68" i="10"/>
  <c r="O68" i="10" s="1"/>
  <c r="A69" i="10"/>
  <c r="J69" i="10" s="1"/>
  <c r="A70" i="10"/>
  <c r="N70" i="10" s="1"/>
  <c r="A71" i="10"/>
  <c r="M71" i="10" s="1"/>
  <c r="A72" i="10"/>
  <c r="A73" i="10"/>
  <c r="J73" i="10" s="1"/>
  <c r="A74" i="10"/>
  <c r="N74" i="10" s="1"/>
  <c r="A75" i="10"/>
  <c r="M75" i="10" s="1"/>
  <c r="A76" i="10"/>
  <c r="O76" i="10" s="1"/>
  <c r="A77" i="10"/>
  <c r="A78" i="10"/>
  <c r="A79" i="10"/>
  <c r="A80" i="10"/>
  <c r="A81" i="10"/>
  <c r="L81" i="10" s="1"/>
  <c r="A82" i="10"/>
  <c r="A83" i="10"/>
  <c r="M83" i="10" s="1"/>
  <c r="A84" i="10"/>
  <c r="O84" i="10" s="1"/>
  <c r="A85" i="10"/>
  <c r="J85" i="10" s="1"/>
  <c r="A86" i="10"/>
  <c r="N86" i="10" s="1"/>
  <c r="A87" i="10"/>
  <c r="M87" i="10" s="1"/>
  <c r="A88" i="10"/>
  <c r="A89" i="10"/>
  <c r="A90" i="10"/>
  <c r="N90" i="10" s="1"/>
  <c r="A91" i="10"/>
  <c r="A92" i="10"/>
  <c r="O92" i="10" s="1"/>
  <c r="A93" i="10"/>
  <c r="J93" i="10" s="1"/>
  <c r="A94" i="10"/>
  <c r="A95" i="10"/>
  <c r="M95" i="10" s="1"/>
  <c r="A96" i="10"/>
  <c r="A97" i="10"/>
  <c r="L97" i="10" s="1"/>
  <c r="A98" i="10"/>
  <c r="A99" i="10"/>
  <c r="M99" i="10" s="1"/>
  <c r="A100" i="10"/>
  <c r="O100" i="10" s="1"/>
  <c r="A101" i="10"/>
  <c r="J101" i="10" s="1"/>
  <c r="A102" i="10"/>
  <c r="N102" i="10" s="1"/>
  <c r="A103" i="10"/>
  <c r="A104" i="10"/>
  <c r="A105" i="10"/>
  <c r="A106" i="10"/>
  <c r="A107" i="10"/>
  <c r="K107" i="10" s="1"/>
  <c r="A108" i="10"/>
  <c r="A109" i="10"/>
  <c r="K109" i="10" s="1"/>
  <c r="A110" i="10"/>
  <c r="A111" i="10"/>
  <c r="A112" i="10"/>
  <c r="A113" i="10"/>
  <c r="A114" i="10"/>
  <c r="N114" i="10" s="1"/>
  <c r="A115" i="10"/>
  <c r="K115" i="10" s="1"/>
  <c r="A116" i="10"/>
  <c r="A117" i="10"/>
  <c r="O117" i="10" s="1"/>
  <c r="A118" i="10"/>
  <c r="L118" i="10" s="1"/>
  <c r="A119" i="10"/>
  <c r="K119" i="10" s="1"/>
  <c r="A120" i="10"/>
  <c r="J120" i="10" s="1"/>
  <c r="A121" i="10"/>
  <c r="A122" i="10"/>
  <c r="A123" i="10"/>
  <c r="A124" i="10"/>
  <c r="A125" i="10"/>
  <c r="A126" i="10"/>
  <c r="A127" i="10"/>
  <c r="K127" i="10" s="1"/>
  <c r="A128" i="10"/>
  <c r="M128" i="10" s="1"/>
  <c r="A129" i="10"/>
  <c r="A130" i="10"/>
  <c r="A131" i="10"/>
  <c r="A132" i="10"/>
  <c r="A10" i="10"/>
  <c r="L7" i="5"/>
  <c r="U7" i="5"/>
  <c r="H14" i="10" l="1"/>
  <c r="H13" i="10" s="1"/>
  <c r="N13" i="10" s="1"/>
  <c r="F13" i="10"/>
  <c r="L13" i="10" s="1"/>
  <c r="N61" i="10"/>
  <c r="H24" i="3"/>
  <c r="H327" i="19" s="1"/>
  <c r="A327" i="19" s="1"/>
  <c r="H325" i="19"/>
  <c r="A325" i="19" s="1"/>
  <c r="H40" i="19"/>
  <c r="A40" i="19" s="1"/>
  <c r="H25" i="8"/>
  <c r="A25" i="8" s="1"/>
  <c r="H25" i="19"/>
  <c r="A25" i="19" s="1"/>
  <c r="H24" i="8"/>
  <c r="A24" i="8" s="1"/>
  <c r="H24" i="19"/>
  <c r="A24" i="19" s="1"/>
  <c r="N130" i="10"/>
  <c r="M31" i="10"/>
  <c r="L125" i="10"/>
  <c r="J130" i="10"/>
  <c r="E113" i="10"/>
  <c r="K113" i="10" s="1"/>
  <c r="M124" i="10"/>
  <c r="J112" i="10"/>
  <c r="O121" i="10"/>
  <c r="N16" i="10"/>
  <c r="O125" i="10"/>
  <c r="F126" i="10"/>
  <c r="L126" i="10" s="1"/>
  <c r="K110" i="10"/>
  <c r="L123" i="10"/>
  <c r="H103" i="10"/>
  <c r="N103" i="10" s="1"/>
  <c r="E79" i="10"/>
  <c r="K79" i="10" s="1"/>
  <c r="I91" i="10"/>
  <c r="O91" i="10" s="1"/>
  <c r="M132" i="10"/>
  <c r="G79" i="10"/>
  <c r="M79" i="10" s="1"/>
  <c r="E103" i="10"/>
  <c r="K103" i="10" s="1"/>
  <c r="G113" i="10"/>
  <c r="M113" i="10" s="1"/>
  <c r="M38" i="10"/>
  <c r="E126" i="10"/>
  <c r="K126" i="10" s="1"/>
  <c r="N78" i="10"/>
  <c r="K131" i="10"/>
  <c r="M34" i="10"/>
  <c r="O129" i="10"/>
  <c r="I57" i="10"/>
  <c r="O57" i="10" s="1"/>
  <c r="E94" i="10"/>
  <c r="K94" i="10" s="1"/>
  <c r="G126" i="10"/>
  <c r="M126" i="10" s="1"/>
  <c r="F57" i="10"/>
  <c r="L57" i="10" s="1"/>
  <c r="J77" i="10"/>
  <c r="F64" i="10"/>
  <c r="J84" i="10"/>
  <c r="L66" i="10"/>
  <c r="K42" i="10"/>
  <c r="I24" i="10"/>
  <c r="O24" i="10" s="1"/>
  <c r="I49" i="10"/>
  <c r="O49" i="10" s="1"/>
  <c r="I79" i="10"/>
  <c r="O79" i="10" s="1"/>
  <c r="E91" i="10"/>
  <c r="K91" i="10" s="1"/>
  <c r="I94" i="10"/>
  <c r="O94" i="10" s="1"/>
  <c r="G103" i="10"/>
  <c r="M103" i="10" s="1"/>
  <c r="I113" i="10"/>
  <c r="O113" i="10" s="1"/>
  <c r="K118" i="10"/>
  <c r="L128" i="10"/>
  <c r="O115" i="10"/>
  <c r="J60" i="10"/>
  <c r="O19" i="10"/>
  <c r="N36" i="10"/>
  <c r="J128" i="10"/>
  <c r="L114" i="10"/>
  <c r="J100" i="10"/>
  <c r="L58" i="10"/>
  <c r="O36" i="10"/>
  <c r="L19" i="10"/>
  <c r="L35" i="10"/>
  <c r="N125" i="10"/>
  <c r="J76" i="10"/>
  <c r="O35" i="10"/>
  <c r="K122" i="10"/>
  <c r="L124" i="10"/>
  <c r="J92" i="10"/>
  <c r="L74" i="10"/>
  <c r="O51" i="10"/>
  <c r="K34" i="10"/>
  <c r="O12" i="10"/>
  <c r="N62" i="10"/>
  <c r="J124" i="10"/>
  <c r="N122" i="10"/>
  <c r="L132" i="10"/>
  <c r="O120" i="10"/>
  <c r="L109" i="10"/>
  <c r="L90" i="10"/>
  <c r="K50" i="10"/>
  <c r="M30" i="10"/>
  <c r="O11" i="10"/>
  <c r="J132" i="10"/>
  <c r="O107" i="10"/>
  <c r="J30" i="10"/>
  <c r="K111" i="10"/>
  <c r="J61" i="10"/>
  <c r="L122" i="10"/>
  <c r="J131" i="10"/>
  <c r="M118" i="10"/>
  <c r="M107" i="10"/>
  <c r="J68" i="10"/>
  <c r="O44" i="10"/>
  <c r="K26" i="10"/>
  <c r="M105" i="10"/>
  <c r="N105" i="10"/>
  <c r="M65" i="10"/>
  <c r="N65" i="10"/>
  <c r="O65" i="10"/>
  <c r="N129" i="10"/>
  <c r="J127" i="10"/>
  <c r="O105" i="10"/>
  <c r="N95" i="10"/>
  <c r="N87" i="10"/>
  <c r="N71" i="10"/>
  <c r="M55" i="10"/>
  <c r="M47" i="10"/>
  <c r="M23" i="10"/>
  <c r="K120" i="10"/>
  <c r="L120" i="10"/>
  <c r="N120" i="10"/>
  <c r="K112" i="10"/>
  <c r="L112" i="10"/>
  <c r="N112" i="10"/>
  <c r="K104" i="10"/>
  <c r="L104" i="10"/>
  <c r="N104" i="10"/>
  <c r="K96" i="10"/>
  <c r="L96" i="10"/>
  <c r="M96" i="10"/>
  <c r="N96" i="10"/>
  <c r="K88" i="10"/>
  <c r="L88" i="10"/>
  <c r="M88" i="10"/>
  <c r="N88" i="10"/>
  <c r="K80" i="10"/>
  <c r="L80" i="10"/>
  <c r="M80" i="10"/>
  <c r="N80" i="10"/>
  <c r="K72" i="10"/>
  <c r="L72" i="10"/>
  <c r="M72" i="10"/>
  <c r="N72" i="10"/>
  <c r="K64" i="10"/>
  <c r="L64" i="10"/>
  <c r="M64" i="10"/>
  <c r="N64" i="10"/>
  <c r="J56" i="10"/>
  <c r="K56" i="10"/>
  <c r="L56" i="10"/>
  <c r="M56" i="10"/>
  <c r="J48" i="10"/>
  <c r="K48" i="10"/>
  <c r="L48" i="10"/>
  <c r="M48" i="10"/>
  <c r="J40" i="10"/>
  <c r="K40" i="10"/>
  <c r="L40" i="10"/>
  <c r="M40" i="10"/>
  <c r="J32" i="10"/>
  <c r="K32" i="10"/>
  <c r="L32" i="10"/>
  <c r="M32" i="10"/>
  <c r="J16" i="10"/>
  <c r="K16" i="10"/>
  <c r="L16" i="10"/>
  <c r="M16" i="10"/>
  <c r="K132" i="10"/>
  <c r="O130" i="10"/>
  <c r="M129" i="10"/>
  <c r="K128" i="10"/>
  <c r="M125" i="10"/>
  <c r="K124" i="10"/>
  <c r="M122" i="10"/>
  <c r="M120" i="10"/>
  <c r="K114" i="10"/>
  <c r="O111" i="10"/>
  <c r="O109" i="10"/>
  <c r="N107" i="10"/>
  <c r="L105" i="10"/>
  <c r="K90" i="10"/>
  <c r="K74" i="10"/>
  <c r="K66" i="10"/>
  <c r="K58" i="10"/>
  <c r="J50" i="10"/>
  <c r="L47" i="10"/>
  <c r="J42" i="10"/>
  <c r="J34" i="10"/>
  <c r="M26" i="10"/>
  <c r="O15" i="10"/>
  <c r="M89" i="10"/>
  <c r="N89" i="10"/>
  <c r="O89" i="10"/>
  <c r="J33" i="10"/>
  <c r="L33" i="10"/>
  <c r="M33" i="10"/>
  <c r="N33" i="10"/>
  <c r="O33" i="10"/>
  <c r="J71" i="10"/>
  <c r="K71" i="10"/>
  <c r="L71" i="10"/>
  <c r="N23" i="10"/>
  <c r="J23" i="10"/>
  <c r="K23" i="10"/>
  <c r="L129" i="10"/>
  <c r="K105" i="10"/>
  <c r="M15" i="10"/>
  <c r="O118" i="10"/>
  <c r="J118" i="10"/>
  <c r="O110" i="10"/>
  <c r="J110" i="10"/>
  <c r="O102" i="10"/>
  <c r="J102" i="10"/>
  <c r="O86" i="10"/>
  <c r="J86" i="10"/>
  <c r="O78" i="10"/>
  <c r="J78" i="10"/>
  <c r="O70" i="10"/>
  <c r="J70" i="10"/>
  <c r="O62" i="10"/>
  <c r="J62" i="10"/>
  <c r="N54" i="10"/>
  <c r="O54" i="10"/>
  <c r="N46" i="10"/>
  <c r="O46" i="10"/>
  <c r="N38" i="10"/>
  <c r="O38" i="10"/>
  <c r="L30" i="10"/>
  <c r="N30" i="10"/>
  <c r="O30" i="10"/>
  <c r="L22" i="10"/>
  <c r="N22" i="10"/>
  <c r="O22" i="10"/>
  <c r="L14" i="10"/>
  <c r="N14" i="10"/>
  <c r="O14" i="10"/>
  <c r="O131" i="10"/>
  <c r="M130" i="10"/>
  <c r="K129" i="10"/>
  <c r="O127" i="10"/>
  <c r="K125" i="10"/>
  <c r="O123" i="10"/>
  <c r="O119" i="10"/>
  <c r="N115" i="10"/>
  <c r="M111" i="10"/>
  <c r="J105" i="10"/>
  <c r="M102" i="10"/>
  <c r="O99" i="10"/>
  <c r="K97" i="10"/>
  <c r="K89" i="10"/>
  <c r="M86" i="10"/>
  <c r="O83" i="10"/>
  <c r="K81" i="10"/>
  <c r="M78" i="10"/>
  <c r="O75" i="10"/>
  <c r="K73" i="10"/>
  <c r="M70" i="10"/>
  <c r="O67" i="10"/>
  <c r="K65" i="10"/>
  <c r="M62" i="10"/>
  <c r="O59" i="10"/>
  <c r="L54" i="10"/>
  <c r="N51" i="10"/>
  <c r="L46" i="10"/>
  <c r="J41" i="10"/>
  <c r="L38" i="10"/>
  <c r="N35" i="10"/>
  <c r="O32" i="10"/>
  <c r="K22" i="10"/>
  <c r="M18" i="10"/>
  <c r="M11" i="10"/>
  <c r="J87" i="10"/>
  <c r="K87" i="10"/>
  <c r="L87" i="10"/>
  <c r="N111" i="10"/>
  <c r="K33" i="10"/>
  <c r="M117" i="10"/>
  <c r="N117" i="10"/>
  <c r="M109" i="10"/>
  <c r="N109" i="10"/>
  <c r="M101" i="10"/>
  <c r="N101" i="10"/>
  <c r="O101" i="10"/>
  <c r="M93" i="10"/>
  <c r="N93" i="10"/>
  <c r="O93" i="10"/>
  <c r="M85" i="10"/>
  <c r="N85" i="10"/>
  <c r="O85" i="10"/>
  <c r="M77" i="10"/>
  <c r="N77" i="10"/>
  <c r="O77" i="10"/>
  <c r="M69" i="10"/>
  <c r="N69" i="10"/>
  <c r="O69" i="10"/>
  <c r="M61" i="10"/>
  <c r="O61" i="10"/>
  <c r="L53" i="10"/>
  <c r="M53" i="10"/>
  <c r="N53" i="10"/>
  <c r="O53" i="10"/>
  <c r="L45" i="10"/>
  <c r="M45" i="10"/>
  <c r="N45" i="10"/>
  <c r="O45" i="10"/>
  <c r="L37" i="10"/>
  <c r="M37" i="10"/>
  <c r="N37" i="10"/>
  <c r="O37" i="10"/>
  <c r="J29" i="10"/>
  <c r="L29" i="10"/>
  <c r="M29" i="10"/>
  <c r="N29" i="10"/>
  <c r="O29" i="10"/>
  <c r="F10" i="10"/>
  <c r="N131" i="10"/>
  <c r="L130" i="10"/>
  <c r="J129" i="10"/>
  <c r="N127" i="10"/>
  <c r="J125" i="10"/>
  <c r="N123" i="10"/>
  <c r="N119" i="10"/>
  <c r="L117" i="10"/>
  <c r="M115" i="10"/>
  <c r="J109" i="10"/>
  <c r="O104" i="10"/>
  <c r="L102" i="10"/>
  <c r="N99" i="10"/>
  <c r="J97" i="10"/>
  <c r="J89" i="10"/>
  <c r="L86" i="10"/>
  <c r="N83" i="10"/>
  <c r="J81" i="10"/>
  <c r="L78" i="10"/>
  <c r="N75" i="10"/>
  <c r="L70" i="10"/>
  <c r="N67" i="10"/>
  <c r="J65" i="10"/>
  <c r="L62" i="10"/>
  <c r="N59" i="10"/>
  <c r="O56" i="10"/>
  <c r="K54" i="10"/>
  <c r="M51" i="10"/>
  <c r="O48" i="10"/>
  <c r="K46" i="10"/>
  <c r="O40" i="10"/>
  <c r="K38" i="10"/>
  <c r="M35" i="10"/>
  <c r="N32" i="10"/>
  <c r="J22" i="10"/>
  <c r="K18" i="10"/>
  <c r="M14" i="10"/>
  <c r="M121" i="10"/>
  <c r="N121" i="10"/>
  <c r="M73" i="10"/>
  <c r="N73" i="10"/>
  <c r="O73" i="10"/>
  <c r="J95" i="10"/>
  <c r="K95" i="10"/>
  <c r="L95" i="10"/>
  <c r="L89" i="10"/>
  <c r="L73" i="10"/>
  <c r="L65" i="10"/>
  <c r="K108" i="10"/>
  <c r="L108" i="10"/>
  <c r="N108" i="10"/>
  <c r="K100" i="10"/>
  <c r="L100" i="10"/>
  <c r="M100" i="10"/>
  <c r="N100" i="10"/>
  <c r="K92" i="10"/>
  <c r="L92" i="10"/>
  <c r="M92" i="10"/>
  <c r="N92" i="10"/>
  <c r="K84" i="10"/>
  <c r="L84" i="10"/>
  <c r="M84" i="10"/>
  <c r="N84" i="10"/>
  <c r="K76" i="10"/>
  <c r="L76" i="10"/>
  <c r="M76" i="10"/>
  <c r="N76" i="10"/>
  <c r="K68" i="10"/>
  <c r="L68" i="10"/>
  <c r="M68" i="10"/>
  <c r="N68" i="10"/>
  <c r="K60" i="10"/>
  <c r="L60" i="10"/>
  <c r="M60" i="10"/>
  <c r="N60" i="10"/>
  <c r="J44" i="10"/>
  <c r="K44" i="10"/>
  <c r="L44" i="10"/>
  <c r="M44" i="10"/>
  <c r="J36" i="10"/>
  <c r="K36" i="10"/>
  <c r="L36" i="10"/>
  <c r="M36" i="10"/>
  <c r="J28" i="10"/>
  <c r="K28" i="10"/>
  <c r="L28" i="10"/>
  <c r="M28" i="10"/>
  <c r="J20" i="10"/>
  <c r="K20" i="10"/>
  <c r="L20" i="10"/>
  <c r="M20" i="10"/>
  <c r="J12" i="10"/>
  <c r="K12" i="10"/>
  <c r="L12" i="10"/>
  <c r="M12" i="10"/>
  <c r="O132" i="10"/>
  <c r="M131" i="10"/>
  <c r="K130" i="10"/>
  <c r="O128" i="10"/>
  <c r="M127" i="10"/>
  <c r="O124" i="10"/>
  <c r="M123" i="10"/>
  <c r="L121" i="10"/>
  <c r="M119" i="10"/>
  <c r="K117" i="10"/>
  <c r="N110" i="10"/>
  <c r="O108" i="10"/>
  <c r="M104" i="10"/>
  <c r="K102" i="10"/>
  <c r="O96" i="10"/>
  <c r="O88" i="10"/>
  <c r="K86" i="10"/>
  <c r="O80" i="10"/>
  <c r="K78" i="10"/>
  <c r="O72" i="10"/>
  <c r="K70" i="10"/>
  <c r="O64" i="10"/>
  <c r="K62" i="10"/>
  <c r="N56" i="10"/>
  <c r="J54" i="10"/>
  <c r="N48" i="10"/>
  <c r="J46" i="10"/>
  <c r="N40" i="10"/>
  <c r="J38" i="10"/>
  <c r="O31" i="10"/>
  <c r="N28" i="10"/>
  <c r="K14" i="10"/>
  <c r="M97" i="10"/>
  <c r="N97" i="10"/>
  <c r="O97" i="10"/>
  <c r="J111" i="10"/>
  <c r="L111" i="10"/>
  <c r="J55" i="10"/>
  <c r="K55" i="10"/>
  <c r="J115" i="10"/>
  <c r="L115" i="10"/>
  <c r="J107" i="10"/>
  <c r="L107" i="10"/>
  <c r="J99" i="10"/>
  <c r="K99" i="10"/>
  <c r="L99" i="10"/>
  <c r="J83" i="10"/>
  <c r="K83" i="10"/>
  <c r="L83" i="10"/>
  <c r="J75" i="10"/>
  <c r="K75" i="10"/>
  <c r="L75" i="10"/>
  <c r="J67" i="10"/>
  <c r="K67" i="10"/>
  <c r="L67" i="10"/>
  <c r="J59" i="10"/>
  <c r="K59" i="10"/>
  <c r="L59" i="10"/>
  <c r="J51" i="10"/>
  <c r="K51" i="10"/>
  <c r="J35" i="10"/>
  <c r="K35" i="10"/>
  <c r="N19" i="10"/>
  <c r="J19" i="10"/>
  <c r="K19" i="10"/>
  <c r="N11" i="10"/>
  <c r="J11" i="10"/>
  <c r="K11" i="10"/>
  <c r="N132" i="10"/>
  <c r="L131" i="10"/>
  <c r="N128" i="10"/>
  <c r="L127" i="10"/>
  <c r="N124" i="10"/>
  <c r="K123" i="10"/>
  <c r="K121" i="10"/>
  <c r="J117" i="10"/>
  <c r="O112" i="10"/>
  <c r="M110" i="10"/>
  <c r="M108" i="10"/>
  <c r="J104" i="10"/>
  <c r="L101" i="10"/>
  <c r="J96" i="10"/>
  <c r="L93" i="10"/>
  <c r="J88" i="10"/>
  <c r="L85" i="10"/>
  <c r="J80" i="10"/>
  <c r="L77" i="10"/>
  <c r="J72" i="10"/>
  <c r="L69" i="10"/>
  <c r="J64" i="10"/>
  <c r="L61" i="10"/>
  <c r="O55" i="10"/>
  <c r="K53" i="10"/>
  <c r="K45" i="10"/>
  <c r="K37" i="10"/>
  <c r="O20" i="10"/>
  <c r="J14" i="10"/>
  <c r="M81" i="10"/>
  <c r="N81" i="10"/>
  <c r="O81" i="10"/>
  <c r="L41" i="10"/>
  <c r="M41" i="10"/>
  <c r="N41" i="10"/>
  <c r="O41" i="10"/>
  <c r="J25" i="10"/>
  <c r="L25" i="10"/>
  <c r="M25" i="10"/>
  <c r="N25" i="10"/>
  <c r="O25" i="10"/>
  <c r="J119" i="10"/>
  <c r="L119" i="10"/>
  <c r="J47" i="10"/>
  <c r="K47" i="10"/>
  <c r="N31" i="10"/>
  <c r="J31" i="10"/>
  <c r="K31" i="10"/>
  <c r="N15" i="10"/>
  <c r="J15" i="10"/>
  <c r="K15" i="10"/>
  <c r="O122" i="10"/>
  <c r="J122" i="10"/>
  <c r="O114" i="10"/>
  <c r="J114" i="10"/>
  <c r="O90" i="10"/>
  <c r="J90" i="10"/>
  <c r="O74" i="10"/>
  <c r="J74" i="10"/>
  <c r="O66" i="10"/>
  <c r="J66" i="10"/>
  <c r="O58" i="10"/>
  <c r="J58" i="10"/>
  <c r="N50" i="10"/>
  <c r="O50" i="10"/>
  <c r="N42" i="10"/>
  <c r="O42" i="10"/>
  <c r="N34" i="10"/>
  <c r="O34" i="10"/>
  <c r="L26" i="10"/>
  <c r="N26" i="10"/>
  <c r="O26" i="10"/>
  <c r="L18" i="10"/>
  <c r="N18" i="10"/>
  <c r="O18" i="10"/>
  <c r="J123" i="10"/>
  <c r="J121" i="10"/>
  <c r="N118" i="10"/>
  <c r="M114" i="10"/>
  <c r="M112" i="10"/>
  <c r="L110" i="10"/>
  <c r="J108" i="10"/>
  <c r="K101" i="10"/>
  <c r="O95" i="10"/>
  <c r="K93" i="10"/>
  <c r="M90" i="10"/>
  <c r="O87" i="10"/>
  <c r="K85" i="10"/>
  <c r="K77" i="10"/>
  <c r="M74" i="10"/>
  <c r="O71" i="10"/>
  <c r="K69" i="10"/>
  <c r="M66" i="10"/>
  <c r="K61" i="10"/>
  <c r="M58" i="10"/>
  <c r="N55" i="10"/>
  <c r="J53" i="10"/>
  <c r="L50" i="10"/>
  <c r="N47" i="10"/>
  <c r="J45" i="10"/>
  <c r="L42" i="10"/>
  <c r="J37" i="10"/>
  <c r="L34" i="10"/>
  <c r="L31" i="10"/>
  <c r="O23" i="10"/>
  <c r="N20" i="10"/>
  <c r="O16" i="10"/>
  <c r="I64" i="10"/>
  <c r="K10" i="10"/>
  <c r="D64" i="10"/>
  <c r="G39" i="10"/>
  <c r="M39" i="10" s="1"/>
  <c r="H64" i="10"/>
  <c r="I10" i="10"/>
  <c r="O10" i="10" s="1"/>
  <c r="G10" i="10"/>
  <c r="M10" i="10" s="1"/>
  <c r="G64" i="10"/>
  <c r="E64" i="10"/>
  <c r="H126" i="10"/>
  <c r="N126" i="10" s="1"/>
  <c r="D79" i="10"/>
  <c r="J79" i="10" s="1"/>
  <c r="H91" i="10"/>
  <c r="N91" i="10" s="1"/>
  <c r="D94" i="10"/>
  <c r="J94" i="10" s="1"/>
  <c r="F103" i="10"/>
  <c r="L103" i="10" s="1"/>
  <c r="G82" i="10"/>
  <c r="M82" i="10" s="1"/>
  <c r="G94" i="10"/>
  <c r="M94" i="10" s="1"/>
  <c r="I98" i="10"/>
  <c r="O98" i="10" s="1"/>
  <c r="E98" i="10"/>
  <c r="K98" i="10" s="1"/>
  <c r="G98" i="10"/>
  <c r="M98" i="10" s="1"/>
  <c r="I103" i="10"/>
  <c r="O103" i="10" s="1"/>
  <c r="E106" i="10"/>
  <c r="K106" i="10" s="1"/>
  <c r="G106" i="10"/>
  <c r="M106" i="10" s="1"/>
  <c r="I106" i="10"/>
  <c r="O106" i="10" s="1"/>
  <c r="G116" i="10"/>
  <c r="M116" i="10" s="1"/>
  <c r="I126" i="10"/>
  <c r="O126" i="10" s="1"/>
  <c r="E17" i="10"/>
  <c r="K17" i="10" s="1"/>
  <c r="E116" i="10"/>
  <c r="K116" i="10" s="1"/>
  <c r="J10" i="10"/>
  <c r="I73" i="10"/>
  <c r="D126" i="10"/>
  <c r="J126" i="10" s="1"/>
  <c r="E49" i="10"/>
  <c r="K49" i="10" s="1"/>
  <c r="E57" i="10"/>
  <c r="K57" i="10" s="1"/>
  <c r="F73" i="10"/>
  <c r="G91" i="10"/>
  <c r="M91" i="10" s="1"/>
  <c r="I13" i="10"/>
  <c r="O13" i="10" s="1"/>
  <c r="F49" i="10"/>
  <c r="L49" i="10" s="1"/>
  <c r="F52" i="10"/>
  <c r="L52" i="10" s="1"/>
  <c r="F94" i="10"/>
  <c r="L94" i="10" s="1"/>
  <c r="I116" i="10"/>
  <c r="O116" i="10" s="1"/>
  <c r="G13" i="10"/>
  <c r="M13" i="10" s="1"/>
  <c r="E27" i="10"/>
  <c r="K27" i="10" s="1"/>
  <c r="E52" i="10"/>
  <c r="K52" i="10" s="1"/>
  <c r="G52" i="10"/>
  <c r="M52" i="10" s="1"/>
  <c r="I52" i="10"/>
  <c r="O52" i="10" s="1"/>
  <c r="G57" i="10"/>
  <c r="M57" i="10" s="1"/>
  <c r="F21" i="10"/>
  <c r="L21" i="10" s="1"/>
  <c r="D73" i="10"/>
  <c r="F91" i="10"/>
  <c r="L91" i="10" s="1"/>
  <c r="I27" i="10"/>
  <c r="O27" i="10" s="1"/>
  <c r="G73" i="10"/>
  <c r="H73" i="10"/>
  <c r="F79" i="10"/>
  <c r="L79" i="10" s="1"/>
  <c r="D82" i="10"/>
  <c r="J82" i="10" s="1"/>
  <c r="H94" i="10"/>
  <c r="N94" i="10" s="1"/>
  <c r="D98" i="10"/>
  <c r="J98" i="10" s="1"/>
  <c r="H98" i="10"/>
  <c r="N98" i="10" s="1"/>
  <c r="D103" i="10"/>
  <c r="J103" i="10" s="1"/>
  <c r="F106" i="10"/>
  <c r="L106" i="10" s="1"/>
  <c r="H106" i="10"/>
  <c r="N106" i="10" s="1"/>
  <c r="D113" i="10"/>
  <c r="J113" i="10" s="1"/>
  <c r="F113" i="10"/>
  <c r="L113" i="10" s="1"/>
  <c r="H116" i="10"/>
  <c r="N116" i="10" s="1"/>
  <c r="D116" i="10"/>
  <c r="J116" i="10" s="1"/>
  <c r="F116" i="10"/>
  <c r="L116" i="10" s="1"/>
  <c r="I21" i="10"/>
  <c r="O21" i="10" s="1"/>
  <c r="E24" i="10"/>
  <c r="K24" i="10" s="1"/>
  <c r="I82" i="10"/>
  <c r="O82" i="10" s="1"/>
  <c r="E82" i="10"/>
  <c r="K82" i="10" s="1"/>
  <c r="G43" i="10"/>
  <c r="M43" i="10" s="1"/>
  <c r="I43" i="10"/>
  <c r="O43" i="10" s="1"/>
  <c r="E43" i="10"/>
  <c r="K43" i="10" s="1"/>
  <c r="G49" i="10"/>
  <c r="M49" i="10" s="1"/>
  <c r="H49" i="10"/>
  <c r="N49" i="10" s="1"/>
  <c r="D57" i="10"/>
  <c r="J57" i="10" s="1"/>
  <c r="H79" i="10"/>
  <c r="N79" i="10" s="1"/>
  <c r="D91" i="10"/>
  <c r="J91" i="10" s="1"/>
  <c r="F98" i="10"/>
  <c r="L98" i="10" s="1"/>
  <c r="H113" i="10"/>
  <c r="N113" i="10" s="1"/>
  <c r="D43" i="10"/>
  <c r="J43" i="10" s="1"/>
  <c r="F43" i="10"/>
  <c r="L43" i="10" s="1"/>
  <c r="H43" i="10"/>
  <c r="N43" i="10" s="1"/>
  <c r="D49" i="10"/>
  <c r="J49" i="10" s="1"/>
  <c r="H52" i="10"/>
  <c r="N52" i="10" s="1"/>
  <c r="D52" i="10"/>
  <c r="J52" i="10" s="1"/>
  <c r="H57" i="10"/>
  <c r="N57" i="10" s="1"/>
  <c r="D106" i="10"/>
  <c r="J106" i="10" s="1"/>
  <c r="M21" i="10"/>
  <c r="E73" i="10"/>
  <c r="D24" i="10"/>
  <c r="J24" i="10" s="1"/>
  <c r="F39" i="10"/>
  <c r="L39" i="10" s="1"/>
  <c r="D13" i="10"/>
  <c r="J13" i="10" s="1"/>
  <c r="H17" i="10"/>
  <c r="N17" i="10" s="1"/>
  <c r="D21" i="10"/>
  <c r="J21" i="10" s="1"/>
  <c r="H24" i="10"/>
  <c r="N24" i="10" s="1"/>
  <c r="H39" i="10"/>
  <c r="N39" i="10" s="1"/>
  <c r="D39" i="10"/>
  <c r="J39" i="10" s="1"/>
  <c r="G17" i="10"/>
  <c r="M17" i="10" s="1"/>
  <c r="G24" i="10"/>
  <c r="M24" i="10" s="1"/>
  <c r="I39" i="10"/>
  <c r="O39" i="10" s="1"/>
  <c r="F17" i="10"/>
  <c r="L17" i="10" s="1"/>
  <c r="E13" i="10"/>
  <c r="K13" i="10" s="1"/>
  <c r="I17" i="10"/>
  <c r="O17" i="10" s="1"/>
  <c r="E21" i="10"/>
  <c r="K21" i="10" s="1"/>
  <c r="G27" i="10"/>
  <c r="M27" i="10" s="1"/>
  <c r="E39" i="10"/>
  <c r="K39" i="10" s="1"/>
  <c r="D27" i="10"/>
  <c r="J27" i="10" s="1"/>
  <c r="F24" i="10"/>
  <c r="L24" i="10" s="1"/>
  <c r="D17" i="10"/>
  <c r="J17" i="10" s="1"/>
  <c r="H21" i="10"/>
  <c r="N21" i="10" s="1"/>
  <c r="F27" i="10"/>
  <c r="L27" i="10" s="1"/>
  <c r="H27" i="10"/>
  <c r="N27" i="10" s="1"/>
  <c r="N10" i="10" l="1"/>
  <c r="L10" i="10"/>
  <c r="P120" i="10"/>
  <c r="P124" i="10"/>
  <c r="P61" i="10"/>
  <c r="P16" i="10"/>
  <c r="P129" i="10"/>
  <c r="P128" i="10"/>
  <c r="P112" i="10"/>
  <c r="P30" i="10"/>
  <c r="P119" i="10"/>
  <c r="P89" i="10"/>
  <c r="F63" i="10"/>
  <c r="L63" i="10" s="1"/>
  <c r="P73" i="10"/>
  <c r="P101" i="10"/>
  <c r="P51" i="10"/>
  <c r="P99" i="10"/>
  <c r="P67" i="10"/>
  <c r="P20" i="10"/>
  <c r="P36" i="10"/>
  <c r="P88" i="10"/>
  <c r="P117" i="10"/>
  <c r="P69" i="10"/>
  <c r="P93" i="10"/>
  <c r="P26" i="10"/>
  <c r="P60" i="10"/>
  <c r="P76" i="10"/>
  <c r="P92" i="10"/>
  <c r="P106" i="10"/>
  <c r="P111" i="10"/>
  <c r="P130" i="10"/>
  <c r="P127" i="10"/>
  <c r="P132" i="10"/>
  <c r="P57" i="10"/>
  <c r="P19" i="10"/>
  <c r="P68" i="10"/>
  <c r="P84" i="10"/>
  <c r="P100" i="10"/>
  <c r="P41" i="10"/>
  <c r="P77" i="10"/>
  <c r="P18" i="10"/>
  <c r="P131" i="10"/>
  <c r="P115" i="10"/>
  <c r="P29" i="10"/>
  <c r="P85" i="10"/>
  <c r="P21" i="10"/>
  <c r="P98" i="10"/>
  <c r="P13" i="10"/>
  <c r="P43" i="10"/>
  <c r="P27" i="10"/>
  <c r="P91" i="10"/>
  <c r="P113" i="10"/>
  <c r="P126" i="10"/>
  <c r="P39" i="10"/>
  <c r="P94" i="10"/>
  <c r="P49" i="10"/>
  <c r="P116" i="10"/>
  <c r="P11" i="10"/>
  <c r="P105" i="10"/>
  <c r="P79" i="10"/>
  <c r="P25" i="10"/>
  <c r="P64" i="10"/>
  <c r="P96" i="10"/>
  <c r="P35" i="10"/>
  <c r="P83" i="10"/>
  <c r="P107" i="10"/>
  <c r="P125" i="10"/>
  <c r="P86" i="10"/>
  <c r="P118" i="10"/>
  <c r="P34" i="10"/>
  <c r="P40" i="10"/>
  <c r="P56" i="10"/>
  <c r="P52" i="10"/>
  <c r="P59" i="10"/>
  <c r="P53" i="10"/>
  <c r="P58" i="10"/>
  <c r="P90" i="10"/>
  <c r="P122" i="10"/>
  <c r="P46" i="10"/>
  <c r="P71" i="10"/>
  <c r="P42" i="10"/>
  <c r="P78" i="10"/>
  <c r="P114" i="10"/>
  <c r="P81" i="10"/>
  <c r="P24" i="10"/>
  <c r="P37" i="10"/>
  <c r="P28" i="10"/>
  <c r="P62" i="10"/>
  <c r="P33" i="10"/>
  <c r="P110" i="10"/>
  <c r="P17" i="10"/>
  <c r="P87" i="10"/>
  <c r="P72" i="10"/>
  <c r="P44" i="10"/>
  <c r="P65" i="10"/>
  <c r="P109" i="10"/>
  <c r="P121" i="10"/>
  <c r="P66" i="10"/>
  <c r="P55" i="10"/>
  <c r="P54" i="10"/>
  <c r="P50" i="10"/>
  <c r="P32" i="10"/>
  <c r="P38" i="10"/>
  <c r="P47" i="10"/>
  <c r="P123" i="10"/>
  <c r="P15" i="10"/>
  <c r="P80" i="10"/>
  <c r="P95" i="10"/>
  <c r="P70" i="10"/>
  <c r="P102" i="10"/>
  <c r="P103" i="10"/>
  <c r="P48" i="10"/>
  <c r="P31" i="10"/>
  <c r="P104" i="10"/>
  <c r="P12" i="10"/>
  <c r="P45" i="10"/>
  <c r="P108" i="10"/>
  <c r="P74" i="10"/>
  <c r="P14" i="10"/>
  <c r="P75" i="10"/>
  <c r="P22" i="10"/>
  <c r="P97" i="10"/>
  <c r="P23" i="10"/>
  <c r="I63" i="10"/>
  <c r="O63" i="10" s="1"/>
  <c r="E63" i="10"/>
  <c r="G63" i="10"/>
  <c r="H63" i="10"/>
  <c r="D63" i="10"/>
  <c r="P10" i="10" l="1"/>
  <c r="I9" i="10"/>
  <c r="D9" i="10"/>
  <c r="J63" i="10"/>
  <c r="G9" i="10"/>
  <c r="M63" i="10"/>
  <c r="E9" i="10"/>
  <c r="K63" i="10"/>
  <c r="N63" i="10"/>
  <c r="P63" i="10" l="1"/>
  <c r="T7" i="5" l="1"/>
  <c r="S7" i="5"/>
  <c r="N7" i="5"/>
  <c r="O7" i="5"/>
  <c r="P7" i="5"/>
  <c r="Q7" i="5"/>
  <c r="R7" i="5"/>
  <c r="M7" i="5"/>
  <c r="V7" i="5" l="1"/>
  <c r="H6" i="5" l="1"/>
  <c r="E6" i="5"/>
  <c r="J6" i="5"/>
  <c r="I8" i="10" s="1"/>
  <c r="F6" i="5"/>
  <c r="E8" i="10" s="1"/>
  <c r="E3" i="10" s="1"/>
  <c r="G8" i="10" l="1"/>
  <c r="D8" i="10"/>
  <c r="D5" i="10" s="1"/>
  <c r="F3" i="5"/>
  <c r="E33" i="9"/>
  <c r="E23" i="9"/>
  <c r="J23" i="9" s="1"/>
  <c r="E16" i="9"/>
  <c r="J16" i="9" s="1"/>
  <c r="L1" i="2"/>
  <c r="F1" i="2"/>
  <c r="E77" i="9"/>
  <c r="J77" i="9" s="1"/>
  <c r="O78" i="9"/>
  <c r="O77" i="9" s="1"/>
  <c r="W77" i="9" s="1"/>
  <c r="R80" i="9"/>
  <c r="Z80" i="9" s="1"/>
  <c r="Q80" i="9"/>
  <c r="Y80" i="9" s="1"/>
  <c r="P80" i="9"/>
  <c r="X80" i="9" s="1"/>
  <c r="Z79" i="9"/>
  <c r="Y79" i="9"/>
  <c r="X79" i="9"/>
  <c r="S79" i="9"/>
  <c r="AA79" i="9" s="1"/>
  <c r="Z78" i="9"/>
  <c r="Y78" i="9"/>
  <c r="X78" i="9"/>
  <c r="S78" i="9"/>
  <c r="AA78" i="9" s="1"/>
  <c r="Z77" i="9"/>
  <c r="Y77" i="9"/>
  <c r="X77" i="9"/>
  <c r="S77" i="9"/>
  <c r="AA77" i="9" s="1"/>
  <c r="Z76" i="9"/>
  <c r="Y76" i="9"/>
  <c r="X76" i="9"/>
  <c r="S76" i="9"/>
  <c r="AA76" i="9" s="1"/>
  <c r="Z75" i="9"/>
  <c r="Y75" i="9"/>
  <c r="X75" i="9"/>
  <c r="S75" i="9"/>
  <c r="AA75" i="9" s="1"/>
  <c r="Z74" i="9"/>
  <c r="Y74" i="9"/>
  <c r="X74" i="9"/>
  <c r="S74" i="9"/>
  <c r="AA74" i="9" s="1"/>
  <c r="J76" i="9"/>
  <c r="J78" i="9"/>
  <c r="J79" i="9"/>
  <c r="J80" i="9"/>
  <c r="J81" i="9"/>
  <c r="J85" i="9"/>
  <c r="J90" i="9"/>
  <c r="G8" i="9"/>
  <c r="J15" i="9"/>
  <c r="J17" i="9"/>
  <c r="J18" i="9"/>
  <c r="J19" i="9"/>
  <c r="J20" i="9"/>
  <c r="J21" i="9"/>
  <c r="J22" i="9"/>
  <c r="J24" i="9"/>
  <c r="J25" i="9"/>
  <c r="J26" i="9"/>
  <c r="J30" i="9"/>
  <c r="J32" i="9"/>
  <c r="J33" i="9"/>
  <c r="J34" i="9"/>
  <c r="J35" i="9"/>
  <c r="J37" i="9"/>
  <c r="J39" i="9"/>
  <c r="J41" i="9"/>
  <c r="J42" i="9"/>
  <c r="J44" i="9"/>
  <c r="J46" i="9"/>
  <c r="J48" i="9"/>
  <c r="J52" i="9"/>
  <c r="J53" i="9"/>
  <c r="J54" i="9"/>
  <c r="J55" i="9"/>
  <c r="J56" i="9"/>
  <c r="J57" i="9"/>
  <c r="J60" i="9"/>
  <c r="J61" i="9"/>
  <c r="E4" i="10" l="1"/>
  <c r="S80" i="9"/>
  <c r="AA80" i="9" s="1"/>
  <c r="W78" i="9"/>
  <c r="O76" i="9"/>
  <c r="B8" i="9"/>
  <c r="Q3" i="3"/>
  <c r="H3" i="3"/>
  <c r="W3" i="1"/>
  <c r="L3" i="1"/>
  <c r="E4" i="1"/>
  <c r="P4" i="1"/>
  <c r="H2" i="2"/>
  <c r="B2" i="2"/>
  <c r="H31" i="8"/>
  <c r="A31" i="8" s="1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G10" i="3"/>
  <c r="G12" i="3"/>
  <c r="H297" i="19" s="1"/>
  <c r="A297" i="19" s="1"/>
  <c r="G14" i="3"/>
  <c r="H299" i="19" s="1"/>
  <c r="A299" i="19" s="1"/>
  <c r="G15" i="3"/>
  <c r="H300" i="19" s="1"/>
  <c r="A300" i="19" s="1"/>
  <c r="G16" i="3"/>
  <c r="H301" i="19" s="1"/>
  <c r="A301" i="19" s="1"/>
  <c r="G17" i="3"/>
  <c r="H302" i="19" s="1"/>
  <c r="A302" i="19" s="1"/>
  <c r="G19" i="3"/>
  <c r="H304" i="19" s="1"/>
  <c r="A304" i="19" s="1"/>
  <c r="G20" i="3"/>
  <c r="H305" i="19" s="1"/>
  <c r="A305" i="19" s="1"/>
  <c r="G23" i="3"/>
  <c r="G9" i="3"/>
  <c r="H294" i="19" s="1"/>
  <c r="A294" i="19" s="1"/>
  <c r="Q9" i="3"/>
  <c r="R10" i="1"/>
  <c r="S10" i="1"/>
  <c r="T10" i="1"/>
  <c r="U10" i="1"/>
  <c r="V10" i="1"/>
  <c r="W10" i="1"/>
  <c r="R11" i="1"/>
  <c r="S11" i="1"/>
  <c r="T11" i="1"/>
  <c r="U11" i="1"/>
  <c r="V11" i="1"/>
  <c r="W11" i="1"/>
  <c r="R12" i="1"/>
  <c r="S12" i="1"/>
  <c r="T12" i="1"/>
  <c r="U12" i="1"/>
  <c r="V12" i="1"/>
  <c r="W12" i="1"/>
  <c r="R13" i="1"/>
  <c r="S13" i="1"/>
  <c r="T13" i="1"/>
  <c r="U13" i="1"/>
  <c r="V13" i="1"/>
  <c r="W13" i="1"/>
  <c r="R14" i="1"/>
  <c r="S14" i="1"/>
  <c r="T14" i="1"/>
  <c r="U14" i="1"/>
  <c r="V14" i="1"/>
  <c r="W14" i="1"/>
  <c r="R15" i="1"/>
  <c r="S15" i="1"/>
  <c r="T15" i="1"/>
  <c r="U15" i="1"/>
  <c r="V15" i="1"/>
  <c r="W15" i="1"/>
  <c r="R16" i="1"/>
  <c r="S16" i="1"/>
  <c r="T16" i="1"/>
  <c r="U16" i="1"/>
  <c r="V16" i="1"/>
  <c r="W16" i="1"/>
  <c r="R17" i="1"/>
  <c r="S17" i="1"/>
  <c r="T17" i="1"/>
  <c r="U17" i="1"/>
  <c r="V17" i="1"/>
  <c r="W17" i="1"/>
  <c r="R18" i="1"/>
  <c r="S18" i="1"/>
  <c r="T18" i="1"/>
  <c r="U18" i="1"/>
  <c r="V18" i="1"/>
  <c r="W18" i="1"/>
  <c r="R19" i="1"/>
  <c r="S19" i="1"/>
  <c r="T19" i="1"/>
  <c r="U19" i="1"/>
  <c r="V19" i="1"/>
  <c r="W19" i="1"/>
  <c r="R20" i="1"/>
  <c r="S20" i="1"/>
  <c r="T20" i="1"/>
  <c r="U20" i="1"/>
  <c r="V20" i="1"/>
  <c r="W20" i="1"/>
  <c r="R21" i="1"/>
  <c r="S21" i="1"/>
  <c r="T21" i="1"/>
  <c r="U21" i="1"/>
  <c r="V21" i="1"/>
  <c r="W21" i="1"/>
  <c r="R22" i="1"/>
  <c r="S22" i="1"/>
  <c r="T22" i="1"/>
  <c r="U22" i="1"/>
  <c r="V22" i="1"/>
  <c r="W22" i="1"/>
  <c r="R23" i="1"/>
  <c r="S23" i="1"/>
  <c r="T23" i="1"/>
  <c r="U23" i="1"/>
  <c r="V23" i="1"/>
  <c r="W23" i="1"/>
  <c r="R24" i="1"/>
  <c r="S24" i="1"/>
  <c r="T24" i="1"/>
  <c r="U24" i="1"/>
  <c r="V24" i="1"/>
  <c r="W24" i="1"/>
  <c r="R25" i="1"/>
  <c r="S25" i="1"/>
  <c r="T25" i="1"/>
  <c r="U25" i="1"/>
  <c r="V25" i="1"/>
  <c r="W25" i="1"/>
  <c r="R26" i="1"/>
  <c r="S26" i="1"/>
  <c r="T26" i="1"/>
  <c r="U26" i="1"/>
  <c r="V26" i="1"/>
  <c r="W26" i="1"/>
  <c r="R27" i="1"/>
  <c r="S27" i="1"/>
  <c r="T27" i="1"/>
  <c r="U27" i="1"/>
  <c r="V27" i="1"/>
  <c r="W27" i="1"/>
  <c r="R28" i="1"/>
  <c r="S28" i="1"/>
  <c r="T28" i="1"/>
  <c r="U28" i="1"/>
  <c r="V28" i="1"/>
  <c r="W28" i="1"/>
  <c r="R29" i="1"/>
  <c r="S29" i="1"/>
  <c r="T29" i="1"/>
  <c r="U29" i="1"/>
  <c r="V29" i="1"/>
  <c r="W29" i="1"/>
  <c r="R30" i="1"/>
  <c r="S30" i="1"/>
  <c r="T30" i="1"/>
  <c r="U30" i="1"/>
  <c r="V30" i="1"/>
  <c r="W30" i="1"/>
  <c r="R31" i="1"/>
  <c r="S31" i="1"/>
  <c r="T31" i="1"/>
  <c r="U31" i="1"/>
  <c r="V31" i="1"/>
  <c r="W31" i="1"/>
  <c r="R32" i="1"/>
  <c r="S32" i="1"/>
  <c r="T32" i="1"/>
  <c r="U32" i="1"/>
  <c r="V32" i="1"/>
  <c r="W32" i="1"/>
  <c r="R33" i="1"/>
  <c r="S33" i="1"/>
  <c r="T33" i="1"/>
  <c r="U33" i="1"/>
  <c r="V33" i="1"/>
  <c r="W33" i="1"/>
  <c r="R34" i="1"/>
  <c r="S34" i="1"/>
  <c r="T34" i="1"/>
  <c r="U34" i="1"/>
  <c r="V34" i="1"/>
  <c r="W34" i="1"/>
  <c r="R35" i="1"/>
  <c r="S35" i="1"/>
  <c r="T35" i="1"/>
  <c r="U35" i="1"/>
  <c r="V35" i="1"/>
  <c r="W35" i="1"/>
  <c r="R36" i="1"/>
  <c r="S36" i="1"/>
  <c r="T36" i="1"/>
  <c r="U36" i="1"/>
  <c r="V36" i="1"/>
  <c r="W36" i="1"/>
  <c r="R37" i="1"/>
  <c r="S37" i="1"/>
  <c r="T37" i="1"/>
  <c r="U37" i="1"/>
  <c r="V37" i="1"/>
  <c r="W37" i="1"/>
  <c r="R38" i="1"/>
  <c r="S38" i="1"/>
  <c r="T38" i="1"/>
  <c r="U38" i="1"/>
  <c r="V38" i="1"/>
  <c r="W38" i="1"/>
  <c r="R39" i="1"/>
  <c r="S39" i="1"/>
  <c r="T39" i="1"/>
  <c r="U39" i="1"/>
  <c r="V39" i="1"/>
  <c r="W39" i="1"/>
  <c r="R40" i="1"/>
  <c r="S40" i="1"/>
  <c r="T40" i="1"/>
  <c r="U40" i="1"/>
  <c r="V40" i="1"/>
  <c r="W40" i="1"/>
  <c r="R41" i="1"/>
  <c r="S41" i="1"/>
  <c r="T41" i="1"/>
  <c r="U41" i="1"/>
  <c r="V41" i="1"/>
  <c r="W41" i="1"/>
  <c r="R42" i="1"/>
  <c r="S42" i="1"/>
  <c r="T42" i="1"/>
  <c r="U42" i="1"/>
  <c r="V42" i="1"/>
  <c r="W42" i="1"/>
  <c r="R43" i="1"/>
  <c r="S43" i="1"/>
  <c r="T43" i="1"/>
  <c r="U43" i="1"/>
  <c r="V43" i="1"/>
  <c r="W43" i="1"/>
  <c r="R44" i="1"/>
  <c r="S44" i="1"/>
  <c r="T44" i="1"/>
  <c r="U44" i="1"/>
  <c r="V44" i="1"/>
  <c r="W44" i="1"/>
  <c r="R45" i="1"/>
  <c r="S45" i="1"/>
  <c r="T45" i="1"/>
  <c r="U45" i="1"/>
  <c r="V45" i="1"/>
  <c r="W45" i="1"/>
  <c r="R46" i="1"/>
  <c r="S46" i="1"/>
  <c r="T46" i="1"/>
  <c r="U46" i="1"/>
  <c r="V46" i="1"/>
  <c r="W46" i="1"/>
  <c r="R47" i="1"/>
  <c r="S47" i="1"/>
  <c r="T47" i="1"/>
  <c r="U47" i="1"/>
  <c r="V47" i="1"/>
  <c r="W47" i="1"/>
  <c r="R48" i="1"/>
  <c r="S48" i="1"/>
  <c r="T48" i="1"/>
  <c r="U48" i="1"/>
  <c r="V48" i="1"/>
  <c r="W48" i="1"/>
  <c r="R49" i="1"/>
  <c r="S49" i="1"/>
  <c r="T49" i="1"/>
  <c r="U49" i="1"/>
  <c r="V49" i="1"/>
  <c r="W49" i="1"/>
  <c r="R50" i="1"/>
  <c r="S50" i="1"/>
  <c r="T50" i="1"/>
  <c r="U50" i="1"/>
  <c r="V50" i="1"/>
  <c r="W50" i="1"/>
  <c r="R51" i="1"/>
  <c r="S51" i="1"/>
  <c r="T51" i="1"/>
  <c r="U51" i="1"/>
  <c r="V51" i="1"/>
  <c r="W51" i="1"/>
  <c r="R52" i="1"/>
  <c r="S52" i="1"/>
  <c r="T52" i="1"/>
  <c r="U52" i="1"/>
  <c r="V52" i="1"/>
  <c r="W52" i="1"/>
  <c r="R53" i="1"/>
  <c r="S53" i="1"/>
  <c r="T53" i="1"/>
  <c r="U53" i="1"/>
  <c r="V53" i="1"/>
  <c r="W53" i="1"/>
  <c r="R54" i="1"/>
  <c r="S54" i="1"/>
  <c r="T54" i="1"/>
  <c r="U54" i="1"/>
  <c r="V54" i="1"/>
  <c r="W54" i="1"/>
  <c r="R55" i="1"/>
  <c r="S55" i="1"/>
  <c r="T55" i="1"/>
  <c r="U55" i="1"/>
  <c r="V55" i="1"/>
  <c r="W55" i="1"/>
  <c r="R56" i="1"/>
  <c r="S56" i="1"/>
  <c r="T56" i="1"/>
  <c r="U56" i="1"/>
  <c r="V56" i="1"/>
  <c r="W56" i="1"/>
  <c r="R57" i="1"/>
  <c r="S57" i="1"/>
  <c r="T57" i="1"/>
  <c r="U57" i="1"/>
  <c r="V57" i="1"/>
  <c r="W57" i="1"/>
  <c r="R58" i="1"/>
  <c r="S58" i="1"/>
  <c r="T58" i="1"/>
  <c r="U58" i="1"/>
  <c r="V58" i="1"/>
  <c r="W58" i="1"/>
  <c r="R59" i="1"/>
  <c r="S59" i="1"/>
  <c r="T59" i="1"/>
  <c r="U59" i="1"/>
  <c r="V59" i="1"/>
  <c r="W59" i="1"/>
  <c r="R60" i="1"/>
  <c r="S60" i="1"/>
  <c r="T60" i="1"/>
  <c r="U60" i="1"/>
  <c r="V60" i="1"/>
  <c r="W60" i="1"/>
  <c r="R61" i="1"/>
  <c r="S61" i="1"/>
  <c r="T61" i="1"/>
  <c r="U61" i="1"/>
  <c r="V61" i="1"/>
  <c r="W61" i="1"/>
  <c r="R62" i="1"/>
  <c r="S62" i="1"/>
  <c r="T62" i="1"/>
  <c r="U62" i="1"/>
  <c r="V62" i="1"/>
  <c r="W62" i="1"/>
  <c r="R63" i="1"/>
  <c r="S63" i="1"/>
  <c r="T63" i="1"/>
  <c r="U63" i="1"/>
  <c r="V63" i="1"/>
  <c r="W63" i="1"/>
  <c r="R64" i="1"/>
  <c r="S64" i="1"/>
  <c r="T64" i="1"/>
  <c r="U64" i="1"/>
  <c r="V64" i="1"/>
  <c r="W64" i="1"/>
  <c r="R65" i="1"/>
  <c r="S65" i="1"/>
  <c r="T65" i="1"/>
  <c r="U65" i="1"/>
  <c r="V65" i="1"/>
  <c r="W65" i="1"/>
  <c r="R66" i="1"/>
  <c r="S66" i="1"/>
  <c r="T66" i="1"/>
  <c r="U66" i="1"/>
  <c r="V66" i="1"/>
  <c r="W66" i="1"/>
  <c r="R67" i="1"/>
  <c r="S67" i="1"/>
  <c r="T67" i="1"/>
  <c r="U67" i="1"/>
  <c r="V67" i="1"/>
  <c r="W67" i="1"/>
  <c r="R68" i="1"/>
  <c r="S68" i="1"/>
  <c r="T68" i="1"/>
  <c r="U68" i="1"/>
  <c r="V68" i="1"/>
  <c r="W68" i="1"/>
  <c r="R69" i="1"/>
  <c r="S69" i="1"/>
  <c r="T69" i="1"/>
  <c r="U69" i="1"/>
  <c r="V69" i="1"/>
  <c r="W69" i="1"/>
  <c r="R70" i="1"/>
  <c r="S70" i="1"/>
  <c r="T70" i="1"/>
  <c r="U70" i="1"/>
  <c r="V70" i="1"/>
  <c r="W70" i="1"/>
  <c r="R71" i="1"/>
  <c r="S71" i="1"/>
  <c r="T71" i="1"/>
  <c r="U71" i="1"/>
  <c r="V71" i="1"/>
  <c r="W71" i="1"/>
  <c r="R72" i="1"/>
  <c r="S72" i="1"/>
  <c r="T72" i="1"/>
  <c r="U72" i="1"/>
  <c r="V72" i="1"/>
  <c r="W72" i="1"/>
  <c r="R73" i="1"/>
  <c r="S73" i="1"/>
  <c r="T73" i="1"/>
  <c r="U73" i="1"/>
  <c r="V73" i="1"/>
  <c r="W73" i="1"/>
  <c r="R74" i="1"/>
  <c r="S74" i="1"/>
  <c r="T74" i="1"/>
  <c r="U74" i="1"/>
  <c r="V74" i="1"/>
  <c r="W74" i="1"/>
  <c r="R75" i="1"/>
  <c r="S75" i="1"/>
  <c r="T75" i="1"/>
  <c r="U75" i="1"/>
  <c r="V75" i="1"/>
  <c r="W75" i="1"/>
  <c r="R76" i="1"/>
  <c r="S76" i="1"/>
  <c r="T76" i="1"/>
  <c r="U76" i="1"/>
  <c r="V76" i="1"/>
  <c r="W76" i="1"/>
  <c r="R77" i="1"/>
  <c r="S77" i="1"/>
  <c r="T77" i="1"/>
  <c r="U77" i="1"/>
  <c r="V77" i="1"/>
  <c r="W77" i="1"/>
  <c r="R78" i="1"/>
  <c r="S78" i="1"/>
  <c r="T78" i="1"/>
  <c r="U78" i="1"/>
  <c r="V78" i="1"/>
  <c r="W78" i="1"/>
  <c r="R79" i="1"/>
  <c r="S79" i="1"/>
  <c r="T79" i="1"/>
  <c r="U79" i="1"/>
  <c r="V79" i="1"/>
  <c r="W79" i="1"/>
  <c r="R80" i="1"/>
  <c r="S80" i="1"/>
  <c r="T80" i="1"/>
  <c r="U80" i="1"/>
  <c r="V80" i="1"/>
  <c r="W80" i="1"/>
  <c r="R81" i="1"/>
  <c r="S81" i="1"/>
  <c r="T81" i="1"/>
  <c r="U81" i="1"/>
  <c r="V81" i="1"/>
  <c r="W81" i="1"/>
  <c r="R82" i="1"/>
  <c r="S82" i="1"/>
  <c r="T82" i="1"/>
  <c r="U82" i="1"/>
  <c r="V82" i="1"/>
  <c r="W82" i="1"/>
  <c r="R83" i="1"/>
  <c r="S83" i="1"/>
  <c r="T83" i="1"/>
  <c r="U83" i="1"/>
  <c r="V83" i="1"/>
  <c r="W83" i="1"/>
  <c r="R84" i="1"/>
  <c r="S84" i="1"/>
  <c r="T84" i="1"/>
  <c r="U84" i="1"/>
  <c r="V84" i="1"/>
  <c r="W84" i="1"/>
  <c r="R85" i="1"/>
  <c r="S85" i="1"/>
  <c r="T85" i="1"/>
  <c r="U85" i="1"/>
  <c r="V85" i="1"/>
  <c r="W85" i="1"/>
  <c r="R86" i="1"/>
  <c r="S86" i="1"/>
  <c r="T86" i="1"/>
  <c r="U86" i="1"/>
  <c r="V86" i="1"/>
  <c r="W86" i="1"/>
  <c r="R87" i="1"/>
  <c r="S87" i="1"/>
  <c r="T87" i="1"/>
  <c r="U87" i="1"/>
  <c r="V87" i="1"/>
  <c r="W87" i="1"/>
  <c r="R88" i="1"/>
  <c r="S88" i="1"/>
  <c r="T88" i="1"/>
  <c r="U88" i="1"/>
  <c r="V88" i="1"/>
  <c r="W88" i="1"/>
  <c r="R89" i="1"/>
  <c r="S89" i="1"/>
  <c r="T89" i="1"/>
  <c r="U89" i="1"/>
  <c r="V89" i="1"/>
  <c r="W89" i="1"/>
  <c r="R90" i="1"/>
  <c r="S90" i="1"/>
  <c r="T90" i="1"/>
  <c r="U90" i="1"/>
  <c r="V90" i="1"/>
  <c r="W90" i="1"/>
  <c r="R91" i="1"/>
  <c r="S91" i="1"/>
  <c r="T91" i="1"/>
  <c r="U91" i="1"/>
  <c r="V91" i="1"/>
  <c r="W91" i="1"/>
  <c r="R92" i="1"/>
  <c r="S92" i="1"/>
  <c r="T92" i="1"/>
  <c r="U92" i="1"/>
  <c r="V92" i="1"/>
  <c r="W92" i="1"/>
  <c r="R93" i="1"/>
  <c r="S93" i="1"/>
  <c r="T93" i="1"/>
  <c r="U93" i="1"/>
  <c r="V93" i="1"/>
  <c r="W93" i="1"/>
  <c r="R94" i="1"/>
  <c r="S94" i="1"/>
  <c r="T94" i="1"/>
  <c r="U94" i="1"/>
  <c r="V94" i="1"/>
  <c r="W94" i="1"/>
  <c r="R95" i="1"/>
  <c r="S95" i="1"/>
  <c r="T95" i="1"/>
  <c r="U95" i="1"/>
  <c r="V95" i="1"/>
  <c r="W95" i="1"/>
  <c r="R96" i="1"/>
  <c r="S96" i="1"/>
  <c r="T96" i="1"/>
  <c r="U96" i="1"/>
  <c r="V96" i="1"/>
  <c r="W96" i="1"/>
  <c r="R97" i="1"/>
  <c r="S97" i="1"/>
  <c r="T97" i="1"/>
  <c r="U97" i="1"/>
  <c r="V97" i="1"/>
  <c r="W97" i="1"/>
  <c r="R98" i="1"/>
  <c r="S98" i="1"/>
  <c r="T98" i="1"/>
  <c r="U98" i="1"/>
  <c r="V98" i="1"/>
  <c r="W98" i="1"/>
  <c r="R99" i="1"/>
  <c r="S99" i="1"/>
  <c r="T99" i="1"/>
  <c r="U99" i="1"/>
  <c r="V99" i="1"/>
  <c r="W99" i="1"/>
  <c r="R100" i="1"/>
  <c r="S100" i="1"/>
  <c r="T100" i="1"/>
  <c r="U100" i="1"/>
  <c r="V100" i="1"/>
  <c r="W100" i="1"/>
  <c r="R101" i="1"/>
  <c r="S101" i="1"/>
  <c r="T101" i="1"/>
  <c r="U101" i="1"/>
  <c r="V101" i="1"/>
  <c r="W101" i="1"/>
  <c r="R102" i="1"/>
  <c r="S102" i="1"/>
  <c r="T102" i="1"/>
  <c r="U102" i="1"/>
  <c r="V102" i="1"/>
  <c r="W102" i="1"/>
  <c r="R103" i="1"/>
  <c r="S103" i="1"/>
  <c r="T103" i="1"/>
  <c r="U103" i="1"/>
  <c r="V103" i="1"/>
  <c r="W103" i="1"/>
  <c r="R104" i="1"/>
  <c r="S104" i="1"/>
  <c r="T104" i="1"/>
  <c r="U104" i="1"/>
  <c r="V104" i="1"/>
  <c r="W104" i="1"/>
  <c r="R105" i="1"/>
  <c r="S105" i="1"/>
  <c r="T105" i="1"/>
  <c r="U105" i="1"/>
  <c r="V105" i="1"/>
  <c r="W105" i="1"/>
  <c r="R106" i="1"/>
  <c r="S106" i="1"/>
  <c r="T106" i="1"/>
  <c r="U106" i="1"/>
  <c r="V106" i="1"/>
  <c r="W106" i="1"/>
  <c r="R107" i="1"/>
  <c r="S107" i="1"/>
  <c r="T107" i="1"/>
  <c r="U107" i="1"/>
  <c r="V107" i="1"/>
  <c r="W107" i="1"/>
  <c r="R108" i="1"/>
  <c r="S108" i="1"/>
  <c r="T108" i="1"/>
  <c r="U108" i="1"/>
  <c r="V108" i="1"/>
  <c r="W108" i="1"/>
  <c r="R109" i="1"/>
  <c r="S109" i="1"/>
  <c r="T109" i="1"/>
  <c r="U109" i="1"/>
  <c r="V109" i="1"/>
  <c r="W109" i="1"/>
  <c r="R110" i="1"/>
  <c r="S110" i="1"/>
  <c r="T110" i="1"/>
  <c r="U110" i="1"/>
  <c r="V110" i="1"/>
  <c r="W110" i="1"/>
  <c r="R111" i="1"/>
  <c r="S111" i="1"/>
  <c r="T111" i="1"/>
  <c r="U111" i="1"/>
  <c r="V111" i="1"/>
  <c r="W111" i="1"/>
  <c r="R112" i="1"/>
  <c r="S112" i="1"/>
  <c r="T112" i="1"/>
  <c r="U112" i="1"/>
  <c r="V112" i="1"/>
  <c r="W112" i="1"/>
  <c r="R113" i="1"/>
  <c r="S113" i="1"/>
  <c r="T113" i="1"/>
  <c r="U113" i="1"/>
  <c r="V113" i="1"/>
  <c r="W113" i="1"/>
  <c r="R114" i="1"/>
  <c r="S114" i="1"/>
  <c r="T114" i="1"/>
  <c r="U114" i="1"/>
  <c r="V114" i="1"/>
  <c r="W114" i="1"/>
  <c r="R115" i="1"/>
  <c r="S115" i="1"/>
  <c r="T115" i="1"/>
  <c r="U115" i="1"/>
  <c r="V115" i="1"/>
  <c r="W115" i="1"/>
  <c r="R116" i="1"/>
  <c r="S116" i="1"/>
  <c r="T116" i="1"/>
  <c r="U116" i="1"/>
  <c r="V116" i="1"/>
  <c r="W116" i="1"/>
  <c r="R117" i="1"/>
  <c r="S117" i="1"/>
  <c r="T117" i="1"/>
  <c r="U117" i="1"/>
  <c r="V117" i="1"/>
  <c r="W117" i="1"/>
  <c r="R118" i="1"/>
  <c r="S118" i="1"/>
  <c r="T118" i="1"/>
  <c r="U118" i="1"/>
  <c r="V118" i="1"/>
  <c r="W118" i="1"/>
  <c r="R119" i="1"/>
  <c r="S119" i="1"/>
  <c r="T119" i="1"/>
  <c r="U119" i="1"/>
  <c r="V119" i="1"/>
  <c r="W119" i="1"/>
  <c r="R120" i="1"/>
  <c r="S120" i="1"/>
  <c r="T120" i="1"/>
  <c r="U120" i="1"/>
  <c r="V120" i="1"/>
  <c r="W120" i="1"/>
  <c r="R121" i="1"/>
  <c r="S121" i="1"/>
  <c r="T121" i="1"/>
  <c r="U121" i="1"/>
  <c r="V121" i="1"/>
  <c r="W121" i="1"/>
  <c r="R122" i="1"/>
  <c r="S122" i="1"/>
  <c r="T122" i="1"/>
  <c r="U122" i="1"/>
  <c r="V122" i="1"/>
  <c r="W122" i="1"/>
  <c r="R123" i="1"/>
  <c r="S123" i="1"/>
  <c r="T123" i="1"/>
  <c r="U123" i="1"/>
  <c r="V123" i="1"/>
  <c r="W123" i="1"/>
  <c r="R124" i="1"/>
  <c r="S124" i="1"/>
  <c r="T124" i="1"/>
  <c r="U124" i="1"/>
  <c r="V124" i="1"/>
  <c r="W124" i="1"/>
  <c r="R125" i="1"/>
  <c r="S125" i="1"/>
  <c r="T125" i="1"/>
  <c r="U125" i="1"/>
  <c r="V125" i="1"/>
  <c r="W125" i="1"/>
  <c r="R126" i="1"/>
  <c r="S126" i="1"/>
  <c r="T126" i="1"/>
  <c r="U126" i="1"/>
  <c r="V126" i="1"/>
  <c r="W126" i="1"/>
  <c r="R127" i="1"/>
  <c r="S127" i="1"/>
  <c r="T127" i="1"/>
  <c r="U127" i="1"/>
  <c r="V127" i="1"/>
  <c r="W127" i="1"/>
  <c r="R128" i="1"/>
  <c r="S128" i="1"/>
  <c r="T128" i="1"/>
  <c r="U128" i="1"/>
  <c r="V128" i="1"/>
  <c r="W128" i="1"/>
  <c r="R129" i="1"/>
  <c r="S129" i="1"/>
  <c r="T129" i="1"/>
  <c r="U129" i="1"/>
  <c r="V129" i="1"/>
  <c r="W129" i="1"/>
  <c r="R130" i="1"/>
  <c r="S130" i="1"/>
  <c r="T130" i="1"/>
  <c r="U130" i="1"/>
  <c r="V130" i="1"/>
  <c r="W130" i="1"/>
  <c r="R131" i="1"/>
  <c r="S131" i="1"/>
  <c r="T131" i="1"/>
  <c r="U131" i="1"/>
  <c r="V131" i="1"/>
  <c r="W131" i="1"/>
  <c r="S9" i="1"/>
  <c r="T9" i="1"/>
  <c r="U9" i="1"/>
  <c r="V9" i="1"/>
  <c r="W9" i="1"/>
  <c r="R9" i="1"/>
  <c r="I35" i="2"/>
  <c r="J35" i="2"/>
  <c r="I36" i="2"/>
  <c r="J36" i="2"/>
  <c r="I37" i="2"/>
  <c r="J37" i="2"/>
  <c r="I38" i="2"/>
  <c r="J38" i="2"/>
  <c r="I39" i="2"/>
  <c r="J39" i="2"/>
  <c r="I40" i="2"/>
  <c r="J40" i="2"/>
  <c r="I41" i="2"/>
  <c r="J41" i="2"/>
  <c r="I42" i="2"/>
  <c r="J42" i="2"/>
  <c r="I43" i="2"/>
  <c r="J43" i="2"/>
  <c r="I44" i="2"/>
  <c r="J44" i="2"/>
  <c r="I45" i="2"/>
  <c r="J45" i="2"/>
  <c r="I46" i="2"/>
  <c r="J46" i="2"/>
  <c r="I47" i="2"/>
  <c r="J47" i="2"/>
  <c r="I48" i="2"/>
  <c r="J48" i="2"/>
  <c r="I49" i="2"/>
  <c r="J49" i="2"/>
  <c r="I50" i="2"/>
  <c r="J50" i="2"/>
  <c r="I51" i="2"/>
  <c r="J51" i="2"/>
  <c r="I52" i="2"/>
  <c r="J52" i="2"/>
  <c r="I53" i="2"/>
  <c r="J53" i="2"/>
  <c r="J34" i="2"/>
  <c r="I34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7" i="2"/>
  <c r="E32" i="2"/>
  <c r="E18" i="2"/>
  <c r="P10" i="3" l="1"/>
  <c r="H295" i="19"/>
  <c r="A295" i="19" s="1"/>
  <c r="P23" i="3"/>
  <c r="H308" i="19"/>
  <c r="A308" i="19" s="1"/>
  <c r="A242" i="19"/>
  <c r="A228" i="19"/>
  <c r="H193" i="19"/>
  <c r="A193" i="19" s="1"/>
  <c r="H179" i="19"/>
  <c r="A179" i="19" s="1"/>
  <c r="P19" i="3"/>
  <c r="G21" i="3"/>
  <c r="H37" i="8"/>
  <c r="A37" i="8" s="1"/>
  <c r="H208" i="8"/>
  <c r="A208" i="8" s="1"/>
  <c r="P20" i="3"/>
  <c r="P9" i="3"/>
  <c r="E75" i="9"/>
  <c r="J75" i="9" s="1"/>
  <c r="P15" i="3"/>
  <c r="E87" i="9"/>
  <c r="J87" i="9" s="1"/>
  <c r="P16" i="3"/>
  <c r="E88" i="9"/>
  <c r="J88" i="9" s="1"/>
  <c r="P14" i="3"/>
  <c r="E82" i="9"/>
  <c r="J82" i="9" s="1"/>
  <c r="P12" i="3"/>
  <c r="E84" i="9"/>
  <c r="J91" i="9"/>
  <c r="E92" i="9"/>
  <c r="J92" i="9" s="1"/>
  <c r="P17" i="3"/>
  <c r="E86" i="9"/>
  <c r="J86" i="9" s="1"/>
  <c r="W76" i="9"/>
  <c r="O75" i="9"/>
  <c r="G11" i="3"/>
  <c r="H296" i="19" s="1"/>
  <c r="A296" i="19" s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E50" i="2"/>
  <c r="E9" i="2"/>
  <c r="E24" i="2"/>
  <c r="E15" i="2"/>
  <c r="E52" i="2"/>
  <c r="E38" i="2"/>
  <c r="E25" i="2"/>
  <c r="E41" i="2"/>
  <c r="E27" i="2"/>
  <c r="E31" i="2"/>
  <c r="E44" i="2"/>
  <c r="E51" i="2"/>
  <c r="E43" i="2"/>
  <c r="E11" i="2"/>
  <c r="E16" i="2"/>
  <c r="E42" i="2"/>
  <c r="E19" i="2"/>
  <c r="E35" i="2"/>
  <c r="E48" i="2"/>
  <c r="E21" i="2"/>
  <c r="E46" i="2"/>
  <c r="E10" i="2"/>
  <c r="E37" i="2"/>
  <c r="E47" i="2"/>
  <c r="E40" i="2"/>
  <c r="E29" i="2"/>
  <c r="E36" i="2"/>
  <c r="E12" i="2"/>
  <c r="E49" i="2"/>
  <c r="E26" i="2"/>
  <c r="E14" i="2"/>
  <c r="F29" i="2"/>
  <c r="E22" i="2"/>
  <c r="E17" i="2"/>
  <c r="E28" i="2"/>
  <c r="P21" i="3" l="1"/>
  <c r="H306" i="19"/>
  <c r="A306" i="19" s="1"/>
  <c r="H239" i="19"/>
  <c r="A239" i="19" s="1"/>
  <c r="A250" i="19"/>
  <c r="A258" i="19"/>
  <c r="A261" i="19"/>
  <c r="A251" i="19"/>
  <c r="A252" i="19"/>
  <c r="A254" i="19"/>
  <c r="A257" i="19"/>
  <c r="A253" i="19"/>
  <c r="A256" i="19"/>
  <c r="A262" i="19"/>
  <c r="A248" i="19"/>
  <c r="A249" i="19"/>
  <c r="A259" i="19"/>
  <c r="A260" i="19"/>
  <c r="A241" i="19"/>
  <c r="A246" i="19"/>
  <c r="A236" i="19"/>
  <c r="A245" i="19"/>
  <c r="A247" i="19"/>
  <c r="A238" i="19"/>
  <c r="A237" i="19"/>
  <c r="A226" i="19"/>
  <c r="A235" i="19"/>
  <c r="A234" i="19"/>
  <c r="A225" i="19"/>
  <c r="A232" i="19"/>
  <c r="A224" i="19"/>
  <c r="A227" i="19"/>
  <c r="A231" i="19"/>
  <c r="A229" i="19"/>
  <c r="H209" i="19"/>
  <c r="A209" i="19" s="1"/>
  <c r="H212" i="19"/>
  <c r="A212" i="19" s="1"/>
  <c r="H205" i="19"/>
  <c r="A205" i="19" s="1"/>
  <c r="H208" i="19"/>
  <c r="A208" i="19" s="1"/>
  <c r="A219" i="19"/>
  <c r="A220" i="19"/>
  <c r="A221" i="19"/>
  <c r="H204" i="19"/>
  <c r="A204" i="19" s="1"/>
  <c r="H207" i="19"/>
  <c r="A207" i="19" s="1"/>
  <c r="A222" i="19"/>
  <c r="H213" i="19"/>
  <c r="A213" i="19" s="1"/>
  <c r="H210" i="19"/>
  <c r="A210" i="19" s="1"/>
  <c r="H211" i="19"/>
  <c r="A211" i="19" s="1"/>
  <c r="H177" i="19"/>
  <c r="A177" i="19" s="1"/>
  <c r="H201" i="19"/>
  <c r="A201" i="19" s="1"/>
  <c r="H186" i="19"/>
  <c r="A186" i="19" s="1"/>
  <c r="H185" i="19"/>
  <c r="A185" i="19" s="1"/>
  <c r="H192" i="19"/>
  <c r="A192" i="19" s="1"/>
  <c r="H176" i="19"/>
  <c r="A176" i="19" s="1"/>
  <c r="H183" i="19"/>
  <c r="A183" i="19" s="1"/>
  <c r="H190" i="19"/>
  <c r="A190" i="19" s="1"/>
  <c r="H175" i="19"/>
  <c r="A175" i="19" s="1"/>
  <c r="H202" i="19"/>
  <c r="A202" i="19" s="1"/>
  <c r="H203" i="19"/>
  <c r="A203" i="19" s="1"/>
  <c r="H197" i="19"/>
  <c r="A197" i="19" s="1"/>
  <c r="H187" i="19"/>
  <c r="A187" i="19" s="1"/>
  <c r="H196" i="19"/>
  <c r="A196" i="19" s="1"/>
  <c r="H178" i="19"/>
  <c r="A178" i="19" s="1"/>
  <c r="H170" i="19"/>
  <c r="A170" i="19" s="1"/>
  <c r="H198" i="19"/>
  <c r="A198" i="19" s="1"/>
  <c r="H171" i="19"/>
  <c r="A171" i="19" s="1"/>
  <c r="H189" i="19"/>
  <c r="A189" i="19" s="1"/>
  <c r="H188" i="19"/>
  <c r="A188" i="19" s="1"/>
  <c r="H172" i="19"/>
  <c r="A172" i="19" s="1"/>
  <c r="H173" i="19"/>
  <c r="A173" i="19" s="1"/>
  <c r="H182" i="19"/>
  <c r="A182" i="19" s="1"/>
  <c r="H180" i="19"/>
  <c r="A180" i="19" s="1"/>
  <c r="H199" i="19"/>
  <c r="A199" i="19" s="1"/>
  <c r="H200" i="19"/>
  <c r="A200" i="19" s="1"/>
  <c r="E83" i="9"/>
  <c r="J84" i="9"/>
  <c r="F8" i="2"/>
  <c r="H218" i="19" s="1"/>
  <c r="O74" i="9"/>
  <c r="W74" i="9" s="1"/>
  <c r="W75" i="9"/>
  <c r="P11" i="3"/>
  <c r="G13" i="3"/>
  <c r="H298" i="19" s="1"/>
  <c r="A298" i="19" s="1"/>
  <c r="L39" i="2"/>
  <c r="L41" i="2"/>
  <c r="E45" i="2"/>
  <c r="K46" i="2"/>
  <c r="L49" i="2"/>
  <c r="K25" i="2"/>
  <c r="K43" i="2"/>
  <c r="L37" i="2"/>
  <c r="K51" i="2"/>
  <c r="L51" i="2"/>
  <c r="K28" i="2"/>
  <c r="K50" i="2"/>
  <c r="L38" i="2"/>
  <c r="K49" i="2"/>
  <c r="K35" i="2"/>
  <c r="K42" i="2"/>
  <c r="L44" i="2"/>
  <c r="K48" i="2"/>
  <c r="L52" i="2"/>
  <c r="L27" i="2"/>
  <c r="K41" i="2"/>
  <c r="K32" i="2"/>
  <c r="L46" i="2"/>
  <c r="F45" i="2"/>
  <c r="H255" i="19" s="1"/>
  <c r="L35" i="2"/>
  <c r="F34" i="2"/>
  <c r="H244" i="19" s="1"/>
  <c r="K38" i="2"/>
  <c r="L40" i="2"/>
  <c r="K47" i="2"/>
  <c r="K12" i="2"/>
  <c r="L25" i="2"/>
  <c r="K31" i="2"/>
  <c r="E30" i="2"/>
  <c r="L48" i="2"/>
  <c r="K37" i="2"/>
  <c r="L26" i="2"/>
  <c r="K40" i="2"/>
  <c r="K44" i="2"/>
  <c r="L36" i="2"/>
  <c r="L47" i="2"/>
  <c r="K19" i="2"/>
  <c r="L28" i="2"/>
  <c r="K39" i="2"/>
  <c r="L12" i="2"/>
  <c r="L43" i="2"/>
  <c r="L42" i="2"/>
  <c r="K36" i="2"/>
  <c r="L50" i="2"/>
  <c r="K22" i="2"/>
  <c r="K52" i="2"/>
  <c r="K9" i="2"/>
  <c r="L9" i="2"/>
  <c r="L11" i="2"/>
  <c r="K11" i="2"/>
  <c r="L10" i="2"/>
  <c r="K10" i="2"/>
  <c r="K14" i="2"/>
  <c r="K18" i="2"/>
  <c r="K17" i="2"/>
  <c r="K16" i="2"/>
  <c r="K15" i="2"/>
  <c r="L18" i="2"/>
  <c r="L17" i="2"/>
  <c r="L16" i="2"/>
  <c r="L15" i="2"/>
  <c r="L14" i="2"/>
  <c r="K21" i="2"/>
  <c r="L21" i="2"/>
  <c r="K24" i="2"/>
  <c r="K27" i="2"/>
  <c r="K26" i="2"/>
  <c r="L19" i="2"/>
  <c r="L22" i="2"/>
  <c r="L24" i="2"/>
  <c r="K29" i="2"/>
  <c r="L29" i="2"/>
  <c r="L31" i="2"/>
  <c r="L32" i="2"/>
  <c r="F30" i="2"/>
  <c r="H240" i="19" s="1"/>
  <c r="E34" i="2"/>
  <c r="F23" i="2"/>
  <c r="H233" i="19" s="1"/>
  <c r="E23" i="2"/>
  <c r="F20" i="2"/>
  <c r="H230" i="19" s="1"/>
  <c r="E20" i="2"/>
  <c r="F13" i="2"/>
  <c r="H223" i="19" s="1"/>
  <c r="E13" i="2"/>
  <c r="E8" i="2"/>
  <c r="H8" i="1"/>
  <c r="K8" i="1"/>
  <c r="K132" i="1" s="1"/>
  <c r="G8" i="1"/>
  <c r="G132" i="1" s="1"/>
  <c r="L8" i="1"/>
  <c r="J8" i="1"/>
  <c r="I8" i="1"/>
  <c r="E7" i="2"/>
  <c r="V132" i="1" l="1"/>
  <c r="H964" i="19"/>
  <c r="A964" i="19" s="1"/>
  <c r="R132" i="1"/>
  <c r="H456" i="19"/>
  <c r="A456" i="19" s="1"/>
  <c r="H206" i="19"/>
  <c r="A206" i="19" s="1"/>
  <c r="A255" i="19"/>
  <c r="H195" i="19"/>
  <c r="A195" i="19" s="1"/>
  <c r="A244" i="19"/>
  <c r="H191" i="19"/>
  <c r="A191" i="19" s="1"/>
  <c r="A240" i="19"/>
  <c r="H184" i="19"/>
  <c r="A184" i="19" s="1"/>
  <c r="A233" i="19"/>
  <c r="H181" i="19"/>
  <c r="A181" i="19" s="1"/>
  <c r="A230" i="19"/>
  <c r="A217" i="19"/>
  <c r="H169" i="19"/>
  <c r="A169" i="19" s="1"/>
  <c r="A218" i="19"/>
  <c r="H174" i="19"/>
  <c r="A174" i="19" s="1"/>
  <c r="A223" i="19"/>
  <c r="H168" i="19"/>
  <c r="A168" i="19" s="1"/>
  <c r="L30" i="2"/>
  <c r="L45" i="2"/>
  <c r="L13" i="2"/>
  <c r="L8" i="2"/>
  <c r="L20" i="2"/>
  <c r="L34" i="2"/>
  <c r="L23" i="2"/>
  <c r="K8" i="2"/>
  <c r="K30" i="2"/>
  <c r="K23" i="2"/>
  <c r="K20" i="2"/>
  <c r="K13" i="2"/>
  <c r="T8" i="1"/>
  <c r="I132" i="1"/>
  <c r="U8" i="1"/>
  <c r="J132" i="1"/>
  <c r="W8" i="1"/>
  <c r="L132" i="1"/>
  <c r="J83" i="9"/>
  <c r="E89" i="9"/>
  <c r="S8" i="1"/>
  <c r="H132" i="1"/>
  <c r="P13" i="3"/>
  <c r="G18" i="3"/>
  <c r="H303" i="19" s="1"/>
  <c r="A303" i="19" s="1"/>
  <c r="K45" i="2"/>
  <c r="F53" i="2"/>
  <c r="H263" i="19" s="1"/>
  <c r="L7" i="2"/>
  <c r="K7" i="2"/>
  <c r="R8" i="1"/>
  <c r="V8" i="1"/>
  <c r="E53" i="2"/>
  <c r="K34" i="2"/>
  <c r="F33" i="2"/>
  <c r="H243" i="19" s="1"/>
  <c r="E33" i="2"/>
  <c r="S132" i="1" l="1"/>
  <c r="H582" i="19"/>
  <c r="A582" i="19" s="1"/>
  <c r="W132" i="1"/>
  <c r="H1090" i="19"/>
  <c r="A1090" i="19" s="1"/>
  <c r="U132" i="1"/>
  <c r="H836" i="19"/>
  <c r="A836" i="19" s="1"/>
  <c r="T132" i="1"/>
  <c r="H710" i="19"/>
  <c r="A710" i="19" s="1"/>
  <c r="A263" i="19"/>
  <c r="H214" i="19"/>
  <c r="A214" i="19" s="1"/>
  <c r="H194" i="19"/>
  <c r="A194" i="19" s="1"/>
  <c r="A243" i="19"/>
  <c r="P18" i="3"/>
  <c r="G22" i="3"/>
  <c r="H307" i="19" s="1"/>
  <c r="A307" i="19" s="1"/>
  <c r="L53" i="2"/>
  <c r="K53" i="2"/>
  <c r="J89" i="9"/>
  <c r="E93" i="9"/>
  <c r="E96" i="9" s="1"/>
  <c r="E2" i="2"/>
  <c r="K2" i="2" s="1"/>
  <c r="K33" i="2"/>
  <c r="F2" i="2"/>
  <c r="L2" i="2" s="1"/>
  <c r="L33" i="2"/>
  <c r="G24" i="3" l="1"/>
  <c r="P22" i="3"/>
  <c r="J93" i="9"/>
  <c r="E14" i="9"/>
  <c r="P24" i="3" l="1"/>
  <c r="H309" i="19"/>
  <c r="A309" i="19" s="1"/>
  <c r="J14" i="9"/>
  <c r="E27" i="9"/>
  <c r="H407" i="8"/>
  <c r="A407" i="8" s="1"/>
  <c r="H415" i="8"/>
  <c r="A415" i="8" s="1"/>
  <c r="H506" i="8"/>
  <c r="A506" i="8" s="1"/>
  <c r="H997" i="8"/>
  <c r="A997" i="8" s="1"/>
  <c r="H201" i="8"/>
  <c r="A201" i="8" s="1"/>
  <c r="H450" i="8"/>
  <c r="A450" i="8" s="1"/>
  <c r="H185" i="8"/>
  <c r="A185" i="8" s="1"/>
  <c r="H371" i="8"/>
  <c r="A371" i="8" s="1"/>
  <c r="H190" i="8"/>
  <c r="A190" i="8" s="1"/>
  <c r="H115" i="8"/>
  <c r="A115" i="8" s="1"/>
  <c r="H558" i="8"/>
  <c r="A558" i="8" s="1"/>
  <c r="H199" i="8"/>
  <c r="A199" i="8" s="1"/>
  <c r="H202" i="8"/>
  <c r="A202" i="8" s="1"/>
  <c r="H673" i="8"/>
  <c r="A673" i="8" s="1"/>
  <c r="H442" i="8"/>
  <c r="A442" i="8" s="1"/>
  <c r="H203" i="8"/>
  <c r="A203" i="8" s="1"/>
  <c r="H130" i="8"/>
  <c r="A130" i="8" s="1"/>
  <c r="H400" i="8"/>
  <c r="A400" i="8" s="1"/>
  <c r="H137" i="8"/>
  <c r="A137" i="8" s="1"/>
  <c r="H155" i="8"/>
  <c r="A155" i="8" s="1"/>
  <c r="H597" i="8"/>
  <c r="A597" i="8" s="1"/>
  <c r="H639" i="8"/>
  <c r="A639" i="8" s="1"/>
  <c r="H547" i="8"/>
  <c r="A547" i="8" s="1"/>
  <c r="H196" i="8"/>
  <c r="A196" i="8" s="1"/>
  <c r="H925" i="8"/>
  <c r="A925" i="8" s="1"/>
  <c r="H583" i="8"/>
  <c r="A583" i="8" s="1"/>
  <c r="H128" i="8"/>
  <c r="A128" i="8" s="1"/>
  <c r="H801" i="8"/>
  <c r="A801" i="8" s="1"/>
  <c r="H356" i="8"/>
  <c r="A356" i="8" s="1"/>
  <c r="H659" i="8"/>
  <c r="A659" i="8" s="1"/>
  <c r="H863" i="8"/>
  <c r="A863" i="8" s="1"/>
  <c r="H246" i="8"/>
  <c r="A246" i="8" s="1"/>
  <c r="H607" i="8"/>
  <c r="A607" i="8" s="1"/>
  <c r="H175" i="8"/>
  <c r="A175" i="8" s="1"/>
  <c r="H165" i="8"/>
  <c r="A165" i="8" s="1"/>
  <c r="H737" i="8"/>
  <c r="A737" i="8" s="1"/>
  <c r="H880" i="8"/>
  <c r="A880" i="8" s="1"/>
  <c r="H788" i="8"/>
  <c r="A788" i="8" s="1"/>
  <c r="H515" i="8"/>
  <c r="A515" i="8" s="1"/>
  <c r="H906" i="8"/>
  <c r="A906" i="8" s="1"/>
  <c r="H440" i="8"/>
  <c r="A440" i="8" s="1"/>
  <c r="H605" i="8"/>
  <c r="A605" i="8" s="1"/>
  <c r="H948" i="8"/>
  <c r="A948" i="8" s="1"/>
  <c r="H117" i="8"/>
  <c r="A117" i="8" s="1"/>
  <c r="H511" i="8"/>
  <c r="A511" i="8" s="1"/>
  <c r="H655" i="8"/>
  <c r="A655" i="8" s="1"/>
  <c r="H1011" i="8"/>
  <c r="A1011" i="8" s="1"/>
  <c r="H122" i="8"/>
  <c r="A122" i="8" s="1"/>
  <c r="H384" i="8"/>
  <c r="A384" i="8" s="1"/>
  <c r="H179" i="8"/>
  <c r="A179" i="8" s="1"/>
  <c r="H485" i="8"/>
  <c r="A485" i="8" s="1"/>
  <c r="H823" i="8"/>
  <c r="A823" i="8" s="1"/>
  <c r="H806" i="8"/>
  <c r="A806" i="8" s="1"/>
  <c r="H332" i="8"/>
  <c r="A332" i="8" s="1"/>
  <c r="H818" i="8"/>
  <c r="A818" i="8" s="1"/>
  <c r="H562" i="8"/>
  <c r="A562" i="8" s="1"/>
  <c r="H819" i="8"/>
  <c r="A819" i="8" s="1"/>
  <c r="H712" i="8"/>
  <c r="A712" i="8" s="1"/>
  <c r="H146" i="8"/>
  <c r="A146" i="8" s="1"/>
  <c r="H998" i="8"/>
  <c r="A998" i="8" s="1"/>
  <c r="H996" i="8"/>
  <c r="A996" i="8" s="1"/>
  <c r="H112" i="8"/>
  <c r="A112" i="8" s="1"/>
  <c r="H140" i="8"/>
  <c r="A140" i="8" s="1"/>
  <c r="H705" i="8"/>
  <c r="A705" i="8" s="1"/>
  <c r="H285" i="8"/>
  <c r="A285" i="8" s="1"/>
  <c r="H923" i="8"/>
  <c r="A923" i="8" s="1"/>
  <c r="H153" i="8"/>
  <c r="A153" i="8" s="1"/>
  <c r="H195" i="8"/>
  <c r="A195" i="8" s="1"/>
  <c r="H168" i="8"/>
  <c r="A168" i="8" s="1"/>
  <c r="H436" i="8"/>
  <c r="A436" i="8" s="1"/>
  <c r="H910" i="8"/>
  <c r="A910" i="8" s="1"/>
  <c r="H492" i="8"/>
  <c r="A492" i="8" s="1"/>
  <c r="H781" i="8"/>
  <c r="A781" i="8" s="1"/>
  <c r="H532" i="8"/>
  <c r="A532" i="8" s="1"/>
  <c r="H136" i="8"/>
  <c r="A136" i="8" s="1"/>
  <c r="H827" i="8"/>
  <c r="A827" i="8" s="1"/>
  <c r="H338" i="8"/>
  <c r="A338" i="8" s="1"/>
  <c r="H770" i="8"/>
  <c r="A770" i="8" s="1"/>
  <c r="H181" i="8"/>
  <c r="A181" i="8" s="1"/>
  <c r="H334" i="8"/>
  <c r="A334" i="8" s="1"/>
  <c r="H317" i="8"/>
  <c r="A317" i="8" s="1"/>
  <c r="H147" i="8"/>
  <c r="A147" i="8" s="1"/>
  <c r="H992" i="8"/>
  <c r="A992" i="8" s="1"/>
  <c r="H958" i="8"/>
  <c r="A958" i="8" s="1"/>
  <c r="H679" i="8"/>
  <c r="A679" i="8" s="1"/>
  <c r="H144" i="8"/>
  <c r="A144" i="8" s="1"/>
  <c r="H180" i="8"/>
  <c r="A180" i="8" s="1"/>
  <c r="H376" i="8"/>
  <c r="A376" i="8" s="1"/>
  <c r="H204" i="8"/>
  <c r="A204" i="8" s="1"/>
  <c r="H641" i="8"/>
  <c r="A641" i="8" s="1"/>
  <c r="H916" i="8"/>
  <c r="A916" i="8" s="1"/>
  <c r="H817" i="8"/>
  <c r="A817" i="8" s="1"/>
  <c r="H683" i="8"/>
  <c r="A683" i="8" s="1"/>
  <c r="H389" i="8"/>
  <c r="A389" i="8" s="1"/>
  <c r="H633" i="8"/>
  <c r="A633" i="8" s="1"/>
  <c r="H134" i="8"/>
  <c r="A134" i="8" s="1"/>
  <c r="H680" i="8"/>
  <c r="A680" i="8" s="1"/>
  <c r="H660" i="8"/>
  <c r="A660" i="8" s="1"/>
  <c r="H510" i="8"/>
  <c r="A510" i="8" s="1"/>
  <c r="H804" i="8"/>
  <c r="A804" i="8" s="1"/>
  <c r="H765" i="8"/>
  <c r="A765" i="8" s="1"/>
  <c r="H570" i="8"/>
  <c r="A570" i="8" s="1"/>
  <c r="H240" i="8"/>
  <c r="A240" i="8" s="1"/>
  <c r="H995" i="8"/>
  <c r="A995" i="8" s="1"/>
  <c r="H390" i="8"/>
  <c r="A390" i="8" s="1"/>
  <c r="H120" i="8"/>
  <c r="A120" i="8" s="1"/>
  <c r="H1019" i="8"/>
  <c r="A1019" i="8" s="1"/>
  <c r="H315" i="8"/>
  <c r="A315" i="8" s="1"/>
  <c r="H834" i="8"/>
  <c r="A834" i="8" s="1"/>
  <c r="H696" i="8"/>
  <c r="A696" i="8" s="1"/>
  <c r="H531" i="8"/>
  <c r="A531" i="8" s="1"/>
  <c r="H478" i="8"/>
  <c r="A478" i="8" s="1"/>
  <c r="H470" i="8"/>
  <c r="A470" i="8" s="1"/>
  <c r="H965" i="8"/>
  <c r="A965" i="8" s="1"/>
  <c r="H791" i="8"/>
  <c r="A791" i="8" s="1"/>
  <c r="H121" i="8"/>
  <c r="A121" i="8" s="1"/>
  <c r="H744" i="8"/>
  <c r="A744" i="8" s="1"/>
  <c r="H812" i="8"/>
  <c r="A812" i="8" s="1"/>
  <c r="H158" i="8"/>
  <c r="A158" i="8" s="1"/>
  <c r="H783" i="8"/>
  <c r="A783" i="8" s="1"/>
  <c r="H938" i="8"/>
  <c r="A938" i="8" s="1"/>
  <c r="H409" i="8"/>
  <c r="A409" i="8" s="1"/>
  <c r="H110" i="8"/>
  <c r="A110" i="8" s="1"/>
  <c r="H616" i="8"/>
  <c r="A616" i="8" s="1"/>
  <c r="H455" i="8"/>
  <c r="A455" i="8" s="1"/>
  <c r="H349" i="8"/>
  <c r="A349" i="8" s="1"/>
  <c r="H716" i="8"/>
  <c r="A716" i="8" s="1"/>
  <c r="H172" i="8"/>
  <c r="A172" i="8" s="1"/>
  <c r="H724" i="8"/>
  <c r="A724" i="8" s="1"/>
  <c r="H298" i="8"/>
  <c r="A298" i="8" s="1"/>
  <c r="H874" i="8"/>
  <c r="A874" i="8" s="1"/>
  <c r="H502" i="8"/>
  <c r="A502" i="8" s="1"/>
  <c r="H131" i="8"/>
  <c r="A131" i="8" s="1"/>
  <c r="H116" i="8"/>
  <c r="A116" i="8" s="1"/>
  <c r="H623" i="8"/>
  <c r="A623" i="8" s="1"/>
  <c r="H171" i="8"/>
  <c r="A171" i="8" s="1"/>
  <c r="H398" i="8"/>
  <c r="A398" i="8" s="1"/>
  <c r="H747" i="8"/>
  <c r="A747" i="8" s="1"/>
  <c r="H976" i="8"/>
  <c r="A976" i="8" s="1"/>
  <c r="H1020" i="8"/>
  <c r="A1020" i="8" s="1"/>
  <c r="H843" i="8"/>
  <c r="A843" i="8" s="1"/>
  <c r="H176" i="8"/>
  <c r="A176" i="8" s="1"/>
  <c r="H444" i="8"/>
  <c r="A444" i="8" s="1"/>
  <c r="H191" i="8"/>
  <c r="A191" i="8" s="1"/>
  <c r="H1013" i="8"/>
  <c r="A1013" i="8" s="1"/>
  <c r="H688" i="8"/>
  <c r="A688" i="8" s="1"/>
  <c r="H624" i="8"/>
  <c r="A624" i="8" s="1"/>
  <c r="H772" i="8"/>
  <c r="A772" i="8" s="1"/>
  <c r="H573" i="8"/>
  <c r="A573" i="8" s="1"/>
  <c r="H198" i="8"/>
  <c r="A198" i="8" s="1"/>
  <c r="H316" i="8"/>
  <c r="A316" i="8" s="1"/>
  <c r="H178" i="8"/>
  <c r="A178" i="8" s="1"/>
  <c r="H150" i="8"/>
  <c r="A150" i="8" s="1"/>
  <c r="H111" i="8"/>
  <c r="A111" i="8" s="1"/>
  <c r="H125" i="8"/>
  <c r="A125" i="8" s="1"/>
  <c r="H443" i="8"/>
  <c r="A443" i="8" s="1"/>
  <c r="H518" i="8"/>
  <c r="A518" i="8" s="1"/>
  <c r="H404" i="8"/>
  <c r="A404" i="8" s="1"/>
  <c r="H342" i="8"/>
  <c r="A342" i="8" s="1"/>
  <c r="H698" i="8"/>
  <c r="A698" i="8" s="1"/>
  <c r="H759" i="8"/>
  <c r="A759" i="8" s="1"/>
  <c r="H593" i="8"/>
  <c r="A593" i="8" s="1"/>
  <c r="H459" i="8"/>
  <c r="A459" i="8" s="1"/>
  <c r="H569" i="8"/>
  <c r="A569" i="8" s="1"/>
  <c r="H304" i="8"/>
  <c r="A304" i="8" s="1"/>
  <c r="H632" i="8"/>
  <c r="A632" i="8" s="1"/>
  <c r="H782" i="8"/>
  <c r="A782" i="8" s="1"/>
  <c r="H149" i="8"/>
  <c r="A149" i="8" s="1"/>
  <c r="H898" i="8"/>
  <c r="A898" i="8" s="1"/>
  <c r="H921" i="8"/>
  <c r="A921" i="8" s="1"/>
  <c r="H318" i="8"/>
  <c r="A318" i="8" s="1"/>
  <c r="H159" i="8"/>
  <c r="A159" i="8" s="1"/>
  <c r="H250" i="8"/>
  <c r="A250" i="8" s="1"/>
  <c r="H701" i="8"/>
  <c r="A701" i="8" s="1"/>
  <c r="H358" i="8"/>
  <c r="A358" i="8" s="1"/>
  <c r="H340" i="8"/>
  <c r="A340" i="8" s="1"/>
  <c r="H439" i="8"/>
  <c r="A439" i="8" s="1"/>
  <c r="H1024" i="8"/>
  <c r="A1024" i="8" s="1"/>
  <c r="H757" i="8"/>
  <c r="A757" i="8" s="1"/>
  <c r="H725" i="8"/>
  <c r="A725" i="8" s="1"/>
  <c r="H184" i="8"/>
  <c r="A184" i="8" s="1"/>
  <c r="H835" i="8"/>
  <c r="A835" i="8" s="1"/>
  <c r="H939" i="8"/>
  <c r="A939" i="8" s="1"/>
  <c r="H972" i="8"/>
  <c r="A972" i="8" s="1"/>
  <c r="H989" i="8"/>
  <c r="A989" i="8" s="1"/>
  <c r="H611" i="8"/>
  <c r="A611" i="8" s="1"/>
  <c r="H192" i="8"/>
  <c r="A192" i="8" s="1"/>
  <c r="H973" i="8"/>
  <c r="A973" i="8" s="1"/>
  <c r="H571" i="8"/>
  <c r="A571" i="8" s="1"/>
  <c r="H295" i="8"/>
  <c r="A295" i="8" s="1"/>
  <c r="H715" i="8"/>
  <c r="A715" i="8" s="1"/>
  <c r="H993" i="8"/>
  <c r="A993" i="8" s="1"/>
  <c r="H382" i="8"/>
  <c r="A382" i="8" s="1"/>
  <c r="H124" i="8"/>
  <c r="A124" i="8" s="1"/>
  <c r="H952" i="8"/>
  <c r="A952" i="8" s="1"/>
  <c r="H894" i="8"/>
  <c r="A894" i="8" s="1"/>
  <c r="H431" i="8"/>
  <c r="A431" i="8" s="1"/>
  <c r="H795" i="8"/>
  <c r="A795" i="8" s="1"/>
  <c r="H262" i="8"/>
  <c r="A262" i="8" s="1"/>
  <c r="H489" i="8"/>
  <c r="A489" i="8" s="1"/>
  <c r="H166" i="8"/>
  <c r="A166" i="8" s="1"/>
  <c r="H1001" i="8"/>
  <c r="A1001" i="8" s="1"/>
  <c r="H405" i="8"/>
  <c r="A405" i="8" s="1"/>
  <c r="H1026" i="8"/>
  <c r="A1026" i="8" s="1"/>
  <c r="H784" i="8"/>
  <c r="A784" i="8" s="1"/>
  <c r="H499" i="8"/>
  <c r="A499" i="8" s="1"/>
  <c r="H974" i="8"/>
  <c r="A974" i="8" s="1"/>
  <c r="H495" i="8"/>
  <c r="A495" i="8" s="1"/>
  <c r="H763" i="8"/>
  <c r="A763" i="8" s="1"/>
  <c r="H535" i="8"/>
  <c r="A535" i="8" s="1"/>
  <c r="H542" i="8"/>
  <c r="A542" i="8" s="1"/>
  <c r="H194" i="8"/>
  <c r="A194" i="8" s="1"/>
  <c r="H735" i="8"/>
  <c r="A735" i="8" s="1"/>
  <c r="H960" i="8"/>
  <c r="A960" i="8" s="1"/>
  <c r="H1010" i="8"/>
  <c r="A1010" i="8" s="1"/>
  <c r="H164" i="8"/>
  <c r="A164" i="8" s="1"/>
  <c r="H621" i="8"/>
  <c r="A621" i="8" s="1"/>
  <c r="H256" i="8"/>
  <c r="A256" i="8" s="1"/>
  <c r="H629" i="8"/>
  <c r="A629" i="8" s="1"/>
  <c r="H129" i="8"/>
  <c r="A129" i="8" s="1"/>
  <c r="H555" i="8"/>
  <c r="A555" i="8" s="1"/>
  <c r="H289" i="8"/>
  <c r="A289" i="8" s="1"/>
  <c r="H375" i="8"/>
  <c r="A375" i="8" s="1"/>
  <c r="H637" i="8"/>
  <c r="A637" i="8" s="1"/>
  <c r="H870" i="8"/>
  <c r="A870" i="8" s="1"/>
  <c r="H628" i="8"/>
  <c r="A628" i="8" s="1"/>
  <c r="H472" i="8"/>
  <c r="A472" i="8" s="1"/>
  <c r="H550" i="8"/>
  <c r="A550" i="8" s="1"/>
  <c r="H346" i="8"/>
  <c r="A346" i="8" s="1"/>
  <c r="H145" i="8"/>
  <c r="A145" i="8" s="1"/>
  <c r="H982" i="8"/>
  <c r="A982" i="8" s="1"/>
  <c r="H446" i="8"/>
  <c r="A446" i="8" s="1"/>
  <c r="H341" i="8"/>
  <c r="A341" i="8" s="1"/>
  <c r="H871" i="8"/>
  <c r="A871" i="8" s="1"/>
  <c r="H697" i="8"/>
  <c r="A697" i="8" s="1"/>
  <c r="H832" i="8"/>
  <c r="A832" i="8" s="1"/>
  <c r="H426" i="8"/>
  <c r="A426" i="8" s="1"/>
  <c r="H286" i="8"/>
  <c r="A286" i="8" s="1"/>
  <c r="H575" i="8"/>
  <c r="A575" i="8" s="1"/>
  <c r="H462" i="8"/>
  <c r="A462" i="8" s="1"/>
  <c r="H429" i="8"/>
  <c r="A429" i="8" s="1"/>
  <c r="H915" i="8"/>
  <c r="A915" i="8" s="1"/>
  <c r="H833" i="8"/>
  <c r="A833" i="8" s="1"/>
  <c r="H148" i="8"/>
  <c r="A148" i="8" s="1"/>
  <c r="H855" i="8"/>
  <c r="A855" i="8" s="1"/>
  <c r="H912" i="8"/>
  <c r="A912" i="8" s="1"/>
  <c r="H126" i="8"/>
  <c r="A126" i="8" s="1"/>
  <c r="H883" i="8"/>
  <c r="A883" i="8" s="1"/>
  <c r="H538" i="8"/>
  <c r="A538" i="8" s="1"/>
  <c r="H461" i="8"/>
  <c r="A461" i="8" s="1"/>
  <c r="H458" i="8"/>
  <c r="A458" i="8" s="1"/>
  <c r="H331" i="8"/>
  <c r="A331" i="8" s="1"/>
  <c r="H969" i="8"/>
  <c r="A969" i="8" s="1"/>
  <c r="H143" i="8"/>
  <c r="A143" i="8" s="1"/>
  <c r="H668" i="8"/>
  <c r="A668" i="8" s="1"/>
  <c r="H352" i="8"/>
  <c r="A352" i="8" s="1"/>
  <c r="H186" i="8"/>
  <c r="A186" i="8" s="1"/>
  <c r="H169" i="8"/>
  <c r="A169" i="8" s="1"/>
  <c r="H387" i="8"/>
  <c r="A387" i="8" s="1"/>
  <c r="H308" i="8"/>
  <c r="A308" i="8" s="1"/>
  <c r="H163" i="8"/>
  <c r="A163" i="8" s="1"/>
  <c r="H950" i="8"/>
  <c r="A950" i="8" s="1"/>
  <c r="H824" i="8"/>
  <c r="A824" i="8" s="1"/>
  <c r="H872" i="8"/>
  <c r="A872" i="8" s="1"/>
  <c r="H292" i="8"/>
  <c r="A292" i="8" s="1"/>
  <c r="H920" i="8"/>
  <c r="A920" i="8" s="1"/>
  <c r="H536" i="8"/>
  <c r="A536" i="8" s="1"/>
  <c r="H475" i="8"/>
  <c r="A475" i="8" s="1"/>
  <c r="H197" i="8"/>
  <c r="A197" i="8" s="1"/>
  <c r="H177" i="8"/>
  <c r="A177" i="8" s="1"/>
  <c r="H846" i="8"/>
  <c r="A846" i="8" s="1"/>
  <c r="H427" i="8"/>
  <c r="A427" i="8" s="1"/>
  <c r="H913" i="8"/>
  <c r="A913" i="8" s="1"/>
  <c r="H514" i="8"/>
  <c r="A514" i="8" s="1"/>
  <c r="H491" i="8"/>
  <c r="A491" i="8" s="1"/>
  <c r="H1014" i="8"/>
  <c r="A1014" i="8" s="1"/>
  <c r="H830" i="8"/>
  <c r="A830" i="8" s="1"/>
  <c r="H533" i="8"/>
  <c r="A533" i="8" s="1"/>
  <c r="H135" i="8"/>
  <c r="A135" i="8" s="1"/>
  <c r="H109" i="8"/>
  <c r="A109" i="8" s="1"/>
  <c r="H385" i="8"/>
  <c r="A385" i="8" s="1"/>
  <c r="H610" i="8"/>
  <c r="A610" i="8" s="1"/>
  <c r="H576" i="8"/>
  <c r="A576" i="8" s="1"/>
  <c r="H468" i="8"/>
  <c r="A468" i="8" s="1"/>
  <c r="H905" i="8"/>
  <c r="A905" i="8" s="1"/>
  <c r="H200" i="8"/>
  <c r="A200" i="8" s="1"/>
  <c r="H142" i="8"/>
  <c r="A142" i="8" s="1"/>
  <c r="H141" i="8"/>
  <c r="A141" i="8" s="1"/>
  <c r="H123" i="8"/>
  <c r="A123" i="8" s="1"/>
  <c r="H508" i="8"/>
  <c r="A508" i="8" s="1"/>
  <c r="H721" i="8"/>
  <c r="A721" i="8" s="1"/>
  <c r="H794" i="8"/>
  <c r="A794" i="8" s="1"/>
  <c r="H154" i="8"/>
  <c r="A154" i="8" s="1"/>
  <c r="H669" i="8"/>
  <c r="A669" i="8" s="1"/>
  <c r="H933" i="8"/>
  <c r="A933" i="8" s="1"/>
  <c r="H730" i="8"/>
  <c r="A730" i="8" s="1"/>
  <c r="H160" i="8"/>
  <c r="A160" i="8" s="1"/>
  <c r="H1007" i="8"/>
  <c r="A1007" i="8" s="1"/>
  <c r="H422" i="8"/>
  <c r="A422" i="8" s="1"/>
  <c r="H428" i="8"/>
  <c r="A428" i="8" s="1"/>
  <c r="H133" i="8"/>
  <c r="A133" i="8" s="1"/>
  <c r="H162" i="8"/>
  <c r="A162" i="8" s="1"/>
  <c r="H516" i="8"/>
  <c r="A516" i="8" s="1"/>
  <c r="H493" i="8"/>
  <c r="A493" i="8" s="1"/>
  <c r="H505" i="8"/>
  <c r="A505" i="8" s="1"/>
  <c r="H622" i="8"/>
  <c r="A622" i="8" s="1"/>
  <c r="H259" i="8"/>
  <c r="A259" i="8" s="1"/>
  <c r="H132" i="8"/>
  <c r="A132" i="8" s="1"/>
  <c r="H329" i="8"/>
  <c r="A329" i="8" s="1"/>
  <c r="H692" i="8"/>
  <c r="A692" i="8" s="1"/>
  <c r="H943" i="8"/>
  <c r="A943" i="8" s="1"/>
  <c r="H579" i="8"/>
  <c r="A579" i="8" s="1"/>
  <c r="H638" i="8"/>
  <c r="A638" i="8" s="1"/>
  <c r="H836" i="8"/>
  <c r="A836" i="8" s="1"/>
  <c r="H706" i="8"/>
  <c r="A706" i="8" s="1"/>
  <c r="H731" i="8"/>
  <c r="A731" i="8" s="1"/>
  <c r="H344" i="8"/>
  <c r="A344" i="8" s="1"/>
  <c r="H413" i="8"/>
  <c r="A413" i="8" s="1"/>
  <c r="H320" i="8"/>
  <c r="A320" i="8" s="1"/>
  <c r="H768" i="8"/>
  <c r="A768" i="8" s="1"/>
  <c r="H937" i="8"/>
  <c r="A937" i="8" s="1"/>
  <c r="H940" i="8"/>
  <c r="A940" i="8" s="1"/>
  <c r="H503" i="8"/>
  <c r="A503" i="8" s="1"/>
  <c r="H975" i="8"/>
  <c r="A975" i="8" s="1"/>
  <c r="H962" i="8"/>
  <c r="A962" i="8" s="1"/>
  <c r="H182" i="8"/>
  <c r="A182" i="8" s="1"/>
  <c r="H174" i="8"/>
  <c r="A174" i="8" s="1"/>
  <c r="H138" i="8"/>
  <c r="A138" i="8" s="1"/>
  <c r="H244" i="8"/>
  <c r="A244" i="8" s="1"/>
  <c r="H545" i="8"/>
  <c r="A545" i="8" s="1"/>
  <c r="H1022" i="8"/>
  <c r="A1022" i="8" s="1"/>
  <c r="H118" i="8"/>
  <c r="A118" i="8" s="1"/>
  <c r="H743" i="8"/>
  <c r="A743" i="8" s="1"/>
  <c r="H829" i="8"/>
  <c r="A829" i="8" s="1"/>
  <c r="H754" i="8"/>
  <c r="A754" i="8" s="1"/>
  <c r="H297" i="8"/>
  <c r="A297" i="8" s="1"/>
  <c r="H526" i="8"/>
  <c r="A526" i="8" s="1"/>
  <c r="H170" i="8"/>
  <c r="A170" i="8" s="1"/>
  <c r="H574" i="8"/>
  <c r="A574" i="8" s="1"/>
  <c r="H282" i="8"/>
  <c r="A282" i="8" s="1"/>
  <c r="H961" i="8"/>
  <c r="A961" i="8" s="1"/>
  <c r="H281" i="8"/>
  <c r="A281" i="8" s="1"/>
  <c r="H598" i="8"/>
  <c r="A598" i="8" s="1"/>
  <c r="H599" i="8"/>
  <c r="A599" i="8" s="1"/>
  <c r="H771" i="8"/>
  <c r="A771" i="8" s="1"/>
  <c r="H139" i="8"/>
  <c r="A139" i="8" s="1"/>
  <c r="H481" i="8"/>
  <c r="A481" i="8" s="1"/>
  <c r="H853" i="8"/>
  <c r="A853" i="8" s="1"/>
  <c r="H859" i="8"/>
  <c r="A859" i="8" s="1"/>
  <c r="H290" i="8"/>
  <c r="A290" i="8" s="1"/>
  <c r="H408" i="8"/>
  <c r="A408" i="8" s="1"/>
  <c r="H635" i="8"/>
  <c r="A635" i="8" s="1"/>
  <c r="H600" i="8"/>
  <c r="A600" i="8" s="1"/>
  <c r="H345" i="8"/>
  <c r="A345" i="8" s="1"/>
  <c r="H947" i="8"/>
  <c r="A947" i="8" s="1"/>
  <c r="H970" i="8"/>
  <c r="A970" i="8" s="1"/>
  <c r="H509" i="8"/>
  <c r="A509" i="8" s="1"/>
  <c r="H252" i="8"/>
  <c r="A252" i="8" s="1"/>
  <c r="H646" i="8"/>
  <c r="A646" i="8" s="1"/>
  <c r="H486" i="8"/>
  <c r="A486" i="8" s="1"/>
  <c r="H789" i="8"/>
  <c r="A789" i="8" s="1"/>
  <c r="H437" i="8"/>
  <c r="A437" i="8" s="1"/>
  <c r="H807" i="8"/>
  <c r="A807" i="8" s="1"/>
  <c r="H977" i="8"/>
  <c r="A977" i="8" s="1"/>
  <c r="H441" i="8"/>
  <c r="A441" i="8" s="1"/>
  <c r="H567" i="8"/>
  <c r="A567" i="8" s="1"/>
  <c r="H325" i="8"/>
  <c r="A325" i="8" s="1"/>
  <c r="H618" i="8"/>
  <c r="A618" i="8" s="1"/>
  <c r="H274" i="8"/>
  <c r="A274" i="8" s="1"/>
  <c r="H959" i="8"/>
  <c r="A959" i="8" s="1"/>
  <c r="H865" i="8"/>
  <c r="A865" i="8" s="1"/>
  <c r="H693" i="8"/>
  <c r="A693" i="8" s="1"/>
  <c r="H151" i="8"/>
  <c r="A151" i="8" s="1"/>
  <c r="H119" i="8"/>
  <c r="A119" i="8" s="1"/>
  <c r="H251" i="8"/>
  <c r="A251" i="8" s="1"/>
  <c r="H1005" i="8"/>
  <c r="A1005" i="8" s="1"/>
  <c r="H333" i="8"/>
  <c r="A333" i="8" s="1"/>
  <c r="H657" i="8"/>
  <c r="A657" i="8" s="1"/>
  <c r="H914" i="8"/>
  <c r="A914" i="8" s="1"/>
  <c r="H239" i="8"/>
  <c r="A239" i="8" s="1"/>
  <c r="H420" i="8"/>
  <c r="A420" i="8" s="1"/>
  <c r="H543" i="8"/>
  <c r="A543" i="8" s="1"/>
  <c r="H173" i="8"/>
  <c r="A173" i="8" s="1"/>
  <c r="H844" i="8"/>
  <c r="A844" i="8" s="1"/>
  <c r="H299" i="8"/>
  <c r="A299" i="8" s="1"/>
  <c r="H866" i="8"/>
  <c r="A866" i="8" s="1"/>
  <c r="H840" i="8"/>
  <c r="A840" i="8" s="1"/>
  <c r="H848" i="8"/>
  <c r="A848" i="8" s="1"/>
  <c r="H188" i="8"/>
  <c r="A188" i="8" s="1"/>
  <c r="H991" i="8"/>
  <c r="A991" i="8" s="1"/>
  <c r="H319" i="8"/>
  <c r="A319" i="8" s="1"/>
  <c r="H720" i="8"/>
  <c r="A720" i="8" s="1"/>
  <c r="H666" i="8"/>
  <c r="A666" i="8" s="1"/>
  <c r="H561" i="8"/>
  <c r="A561" i="8" s="1"/>
  <c r="H709" i="8"/>
  <c r="A709" i="8" s="1"/>
  <c r="H895" i="8"/>
  <c r="A895" i="8" s="1"/>
  <c r="H971" i="8"/>
  <c r="A971" i="8" s="1"/>
  <c r="H886" i="8"/>
  <c r="A886" i="8" s="1"/>
  <c r="H767" i="8"/>
  <c r="A767" i="8" s="1"/>
  <c r="H601" i="8"/>
  <c r="A601" i="8" s="1"/>
  <c r="H802" i="8"/>
  <c r="A802" i="8" s="1"/>
  <c r="H707" i="8"/>
  <c r="A707" i="8" s="1"/>
  <c r="H826" i="8"/>
  <c r="A826" i="8" s="1"/>
  <c r="H911" i="8"/>
  <c r="A911" i="8" s="1"/>
  <c r="H1002" i="8"/>
  <c r="A1002" i="8" s="1"/>
  <c r="H396" i="8"/>
  <c r="A396" i="8" s="1"/>
  <c r="H263" i="8"/>
  <c r="A263" i="8" s="1"/>
  <c r="H798" i="8"/>
  <c r="A798" i="8" s="1"/>
  <c r="H189" i="8"/>
  <c r="A189" i="8" s="1"/>
  <c r="H368" i="8"/>
  <c r="A368" i="8" s="1"/>
  <c r="H309" i="8"/>
  <c r="A309" i="8" s="1"/>
  <c r="H752" i="8"/>
  <c r="A752" i="8" s="1"/>
  <c r="H1006" i="8"/>
  <c r="A1006" i="8" s="1"/>
  <c r="H241" i="8"/>
  <c r="A241" i="8" s="1"/>
  <c r="H860" i="8"/>
  <c r="A860" i="8" s="1"/>
  <c r="H381" i="8"/>
  <c r="A381" i="8" s="1"/>
  <c r="H900" i="8"/>
  <c r="A900" i="8" s="1"/>
  <c r="H351" i="8"/>
  <c r="A351" i="8" s="1"/>
  <c r="H497" i="8"/>
  <c r="A497" i="8" s="1"/>
  <c r="H114" i="8"/>
  <c r="A114" i="8" s="1"/>
  <c r="H529" i="8"/>
  <c r="A529" i="8" s="1"/>
  <c r="H378" i="8"/>
  <c r="A378" i="8" s="1"/>
  <c r="H237" i="8"/>
  <c r="A237" i="8" s="1"/>
  <c r="H343" i="8"/>
  <c r="A343" i="8" s="1"/>
  <c r="H951" i="8"/>
  <c r="A951" i="8" s="1"/>
  <c r="H608" i="8"/>
  <c r="A608" i="8" s="1"/>
  <c r="H758" i="8"/>
  <c r="A758" i="8" s="1"/>
  <c r="H790" i="8"/>
  <c r="A790" i="8" s="1"/>
  <c r="H957" i="8"/>
  <c r="A957" i="8" s="1"/>
  <c r="H541" i="8"/>
  <c r="A541" i="8" s="1"/>
  <c r="H366" i="8"/>
  <c r="A366" i="8" s="1"/>
  <c r="H322" i="8"/>
  <c r="A322" i="8" s="1"/>
  <c r="H556" i="8"/>
  <c r="A556" i="8" s="1"/>
  <c r="H374" i="8"/>
  <c r="A374" i="8" s="1"/>
  <c r="H932" i="8"/>
  <c r="A932" i="8" s="1"/>
  <c r="H999" i="8"/>
  <c r="A999" i="8" s="1"/>
  <c r="H604" i="8"/>
  <c r="A604" i="8" s="1"/>
  <c r="H557" i="8"/>
  <c r="A557" i="8" s="1"/>
  <c r="H388" i="8"/>
  <c r="A388" i="8" s="1"/>
  <c r="H242" i="8"/>
  <c r="A242" i="8" s="1"/>
  <c r="H296" i="8"/>
  <c r="A296" i="8" s="1"/>
  <c r="H469" i="8"/>
  <c r="A469" i="8" s="1"/>
  <c r="H685" i="8"/>
  <c r="A685" i="8" s="1"/>
  <c r="H377" i="8"/>
  <c r="A377" i="8" s="1"/>
  <c r="H811" i="8"/>
  <c r="A811" i="8" s="1"/>
  <c r="H734" i="8"/>
  <c r="A734" i="8" s="1"/>
  <c r="H161" i="8"/>
  <c r="A161" i="8" s="1"/>
  <c r="H924" i="8"/>
  <c r="A924" i="8" s="1"/>
  <c r="H113" i="8"/>
  <c r="A113" i="8" s="1"/>
  <c r="H899" i="8"/>
  <c r="A899" i="8" s="1"/>
  <c r="H640" i="8"/>
  <c r="A640" i="8" s="1"/>
  <c r="H302" i="8"/>
  <c r="A302" i="8" s="1"/>
  <c r="H311" i="8"/>
  <c r="A311" i="8" s="1"/>
  <c r="H892" i="8"/>
  <c r="A892" i="8" s="1"/>
  <c r="H271" i="8"/>
  <c r="A271" i="8" s="1"/>
  <c r="H922" i="8"/>
  <c r="A922" i="8" s="1"/>
  <c r="H994" i="8"/>
  <c r="A994" i="8" s="1"/>
  <c r="H243" i="8"/>
  <c r="A243" i="8" s="1"/>
  <c r="H671" i="8"/>
  <c r="A671" i="8" s="1"/>
  <c r="H717" i="8"/>
  <c r="A717" i="8" s="1"/>
  <c r="H702" i="8"/>
  <c r="A702" i="8" s="1"/>
  <c r="H445" i="8"/>
  <c r="A445" i="8" s="1"/>
  <c r="H584" i="8"/>
  <c r="A584" i="8" s="1"/>
  <c r="H896" i="8"/>
  <c r="A896" i="8" s="1"/>
  <c r="H1025" i="8"/>
  <c r="A1025" i="8" s="1"/>
  <c r="H546" i="8"/>
  <c r="A546" i="8" s="1"/>
  <c r="H484" i="8"/>
  <c r="A484" i="8" s="1"/>
  <c r="H410" i="8"/>
  <c r="A410" i="8" s="1"/>
  <c r="H946" i="8"/>
  <c r="A946" i="8" s="1"/>
  <c r="H841" i="8"/>
  <c r="A841" i="8" s="1"/>
  <c r="H403" i="8"/>
  <c r="A403" i="8" s="1"/>
  <c r="H876" i="8"/>
  <c r="A876" i="8" s="1"/>
  <c r="H449" i="8"/>
  <c r="A449" i="8" s="1"/>
  <c r="H941" i="8"/>
  <c r="A941" i="8" s="1"/>
  <c r="H416" i="8"/>
  <c r="A416" i="8" s="1"/>
  <c r="H402" i="8"/>
  <c r="A402" i="8" s="1"/>
  <c r="H433" i="8"/>
  <c r="A433" i="8" s="1"/>
  <c r="H751" i="8"/>
  <c r="A751" i="8" s="1"/>
  <c r="H513" i="8"/>
  <c r="A513" i="8" s="1"/>
  <c r="H815" i="8"/>
  <c r="A815" i="8" s="1"/>
  <c r="H664" i="8"/>
  <c r="A664" i="8" s="1"/>
  <c r="H590" i="8"/>
  <c r="A590" i="8" s="1"/>
  <c r="H301" i="8"/>
  <c r="A301" i="8" s="1"/>
  <c r="H677" i="8"/>
  <c r="A677" i="8" s="1"/>
  <c r="H193" i="8"/>
  <c r="A193" i="8" s="1"/>
  <c r="H1000" i="8"/>
  <c r="A1000" i="8" s="1"/>
  <c r="H704" i="8"/>
  <c r="A704" i="8" s="1"/>
  <c r="H152" i="8"/>
  <c r="A152" i="8" s="1"/>
  <c r="H434" i="8"/>
  <c r="A434" i="8" s="1"/>
  <c r="H517" i="8"/>
  <c r="A517" i="8" s="1"/>
  <c r="H167" i="8"/>
  <c r="A167" i="8" s="1"/>
  <c r="H187" i="8"/>
  <c r="A187" i="8" s="1"/>
  <c r="H686" i="8"/>
  <c r="A686" i="8" s="1"/>
  <c r="H667" i="8"/>
  <c r="A667" i="8" s="1"/>
  <c r="H354" i="8"/>
  <c r="A354" i="8" s="1"/>
  <c r="H670" i="8"/>
  <c r="A670" i="8" s="1"/>
  <c r="H861" i="8"/>
  <c r="A861" i="8" s="1"/>
  <c r="H279" i="8"/>
  <c r="A279" i="8" s="1"/>
  <c r="H825" i="8"/>
  <c r="A825" i="8" s="1"/>
  <c r="H847" i="8"/>
  <c r="A847" i="8" s="1"/>
  <c r="H464" i="8"/>
  <c r="A464" i="8" s="1"/>
  <c r="H690" i="8"/>
  <c r="A690" i="8" s="1"/>
  <c r="H851" i="8"/>
  <c r="A851" i="8" s="1"/>
  <c r="H594" i="8"/>
  <c r="A594" i="8" s="1"/>
  <c r="H361" i="8"/>
  <c r="A361" i="8" s="1"/>
  <c r="H849" i="8"/>
  <c r="A849" i="8" s="1"/>
  <c r="H891" i="8"/>
  <c r="A891" i="8" s="1"/>
  <c r="H726" i="8"/>
  <c r="A726" i="8" s="1"/>
  <c r="H881" i="8"/>
  <c r="A881" i="8" s="1"/>
  <c r="H1008" i="8"/>
  <c r="A1008" i="8" s="1"/>
  <c r="H548" i="8"/>
  <c r="A548" i="8" s="1"/>
  <c r="H323" i="8"/>
  <c r="A323" i="8" s="1"/>
  <c r="H592" i="8"/>
  <c r="A592" i="8" s="1"/>
  <c r="H820" i="8"/>
  <c r="A820" i="8" s="1"/>
  <c r="H525" i="8"/>
  <c r="A525" i="8" s="1"/>
  <c r="H729" i="8"/>
  <c r="A729" i="8" s="1"/>
  <c r="H928" i="8"/>
  <c r="A928" i="8" s="1"/>
  <c r="H741" i="8"/>
  <c r="A741" i="8" s="1"/>
  <c r="H893" i="8"/>
  <c r="A893" i="8" s="1"/>
  <c r="H328" i="8"/>
  <c r="A328" i="8" s="1"/>
  <c r="H348" i="8"/>
  <c r="A348" i="8" s="1"/>
  <c r="H482" i="8"/>
  <c r="A482" i="8" s="1"/>
  <c r="H887" i="8"/>
  <c r="A887" i="8" s="1"/>
  <c r="H596" i="8"/>
  <c r="A596" i="8" s="1"/>
  <c r="H305" i="8"/>
  <c r="A305" i="8" s="1"/>
  <c r="H411" i="8"/>
  <c r="A411" i="8" s="1"/>
  <c r="H728" i="8"/>
  <c r="A728" i="8" s="1"/>
  <c r="H854" i="8"/>
  <c r="A854" i="8" s="1"/>
  <c r="H496" i="8"/>
  <c r="A496" i="8" s="1"/>
  <c r="H942" i="8"/>
  <c r="A942" i="8" s="1"/>
  <c r="H603" i="8"/>
  <c r="A603" i="8" s="1"/>
  <c r="H386" i="8"/>
  <c r="A386" i="8" s="1"/>
  <c r="H935" i="8"/>
  <c r="A935" i="8" s="1"/>
  <c r="H934" i="8"/>
  <c r="A934" i="8" s="1"/>
  <c r="H273" i="8"/>
  <c r="A273" i="8" s="1"/>
  <c r="H586" i="8"/>
  <c r="A586" i="8" s="1"/>
  <c r="H713" i="8"/>
  <c r="A713" i="8" s="1"/>
  <c r="H406" i="8"/>
  <c r="A406" i="8" s="1"/>
  <c r="H339" i="8"/>
  <c r="A339" i="8" s="1"/>
  <c r="H379" i="8"/>
  <c r="A379" i="8" s="1"/>
  <c r="H719" i="8"/>
  <c r="A719" i="8" s="1"/>
  <c r="H414" i="8"/>
  <c r="A414" i="8" s="1"/>
  <c r="H1016" i="8"/>
  <c r="A1016" i="8" s="1"/>
  <c r="H245" i="8"/>
  <c r="A245" i="8" s="1"/>
  <c r="H276" i="8"/>
  <c r="A276" i="8" s="1"/>
  <c r="H452" i="8"/>
  <c r="A452" i="8" s="1"/>
  <c r="H307" i="8"/>
  <c r="A307" i="8" s="1"/>
  <c r="H1015" i="8"/>
  <c r="A1015" i="8" s="1"/>
  <c r="H797" i="8"/>
  <c r="A797" i="8" s="1"/>
  <c r="H617" i="8"/>
  <c r="A617" i="8" s="1"/>
  <c r="H370" i="8"/>
  <c r="A370" i="8" s="1"/>
  <c r="H234" i="8"/>
  <c r="A234" i="8" s="1"/>
  <c r="H539" i="8"/>
  <c r="A539" i="8" s="1"/>
  <c r="H695" i="8"/>
  <c r="A695" i="8" s="1"/>
  <c r="H663" i="8"/>
  <c r="A663" i="8" s="1"/>
  <c r="H684" i="8"/>
  <c r="A684" i="8" s="1"/>
  <c r="H718" i="8"/>
  <c r="A718" i="8" s="1"/>
  <c r="H661" i="8"/>
  <c r="A661" i="8" s="1"/>
  <c r="H552" i="8"/>
  <c r="A552" i="8" s="1"/>
  <c r="H264" i="8"/>
  <c r="A264" i="8" s="1"/>
  <c r="H674" i="8"/>
  <c r="A674" i="8" s="1"/>
  <c r="H689" i="8"/>
  <c r="A689" i="8" s="1"/>
  <c r="H762" i="8"/>
  <c r="A762" i="8" s="1"/>
  <c r="H277" i="8"/>
  <c r="A277" i="8" s="1"/>
  <c r="H326" i="8"/>
  <c r="A326" i="8" s="1"/>
  <c r="H907" i="8"/>
  <c r="A907" i="8" s="1"/>
  <c r="H612" i="8"/>
  <c r="A612" i="8" s="1"/>
  <c r="H1009" i="8"/>
  <c r="A1009" i="8" s="1"/>
  <c r="H504" i="8"/>
  <c r="A504" i="8" s="1"/>
  <c r="H885" i="8"/>
  <c r="A885" i="8" s="1"/>
  <c r="H816" i="8"/>
  <c r="A816" i="8" s="1"/>
  <c r="H435" i="8"/>
  <c r="A435" i="8" s="1"/>
  <c r="H537" i="8"/>
  <c r="A537" i="8" s="1"/>
  <c r="H711" i="8"/>
  <c r="A711" i="8" s="1"/>
  <c r="H919" i="8"/>
  <c r="A919" i="8" s="1"/>
  <c r="H856" i="8"/>
  <c r="A856" i="8" s="1"/>
  <c r="H528" i="8"/>
  <c r="A528" i="8" s="1"/>
  <c r="H917" i="8"/>
  <c r="A917" i="8" s="1"/>
  <c r="H990" i="8"/>
  <c r="A990" i="8" s="1"/>
  <c r="H127" i="8"/>
  <c r="A127" i="8" s="1"/>
  <c r="H487" i="8"/>
  <c r="A487" i="8" s="1"/>
  <c r="H945" i="8"/>
  <c r="A945" i="8" s="1"/>
  <c r="H875" i="8"/>
  <c r="A875" i="8" s="1"/>
  <c r="H479" i="8"/>
  <c r="A479" i="8" s="1"/>
  <c r="H984" i="8"/>
  <c r="A984" i="8" s="1"/>
  <c r="H453" i="8"/>
  <c r="A453" i="8" s="1"/>
  <c r="H647" i="8"/>
  <c r="A647" i="8" s="1"/>
  <c r="H877" i="8"/>
  <c r="A877" i="8" s="1"/>
  <c r="H699" i="8"/>
  <c r="A699" i="8" s="1"/>
  <c r="H283" i="8"/>
  <c r="A283" i="8" s="1"/>
  <c r="H678" i="8"/>
  <c r="A678" i="8" s="1"/>
  <c r="H773" i="8"/>
  <c r="A773" i="8" s="1"/>
  <c r="H565" i="8"/>
  <c r="A565" i="8" s="1"/>
  <c r="H656" i="8"/>
  <c r="A656" i="8" s="1"/>
  <c r="H421" i="8"/>
  <c r="A421" i="8" s="1"/>
  <c r="H682" i="8"/>
  <c r="A682" i="8" s="1"/>
  <c r="H258" i="8"/>
  <c r="A258" i="8" s="1"/>
  <c r="H253" i="8"/>
  <c r="A253" i="8" s="1"/>
  <c r="H265" i="8"/>
  <c r="A265" i="8" s="1"/>
  <c r="H540" i="8"/>
  <c r="A540" i="8" s="1"/>
  <c r="H927" i="8"/>
  <c r="A927" i="8" s="1"/>
  <c r="H480" i="8"/>
  <c r="A480" i="8" s="1"/>
  <c r="H983" i="8"/>
  <c r="A983" i="8" s="1"/>
  <c r="H944" i="8"/>
  <c r="A944" i="8" s="1"/>
  <c r="H512" i="8"/>
  <c r="A512" i="8" s="1"/>
  <c r="H360" i="8"/>
  <c r="A360" i="8" s="1"/>
  <c r="H845" i="8"/>
  <c r="A845" i="8" s="1"/>
  <c r="H909" i="8"/>
  <c r="A909" i="8" s="1"/>
  <c r="H257" i="8"/>
  <c r="A257" i="8" s="1"/>
  <c r="H362" i="8"/>
  <c r="A362" i="8" s="1"/>
  <c r="H985" i="8"/>
  <c r="A985" i="8" s="1"/>
  <c r="H821" i="8"/>
  <c r="A821" i="8" s="1"/>
  <c r="H810" i="8"/>
  <c r="A810" i="8" s="1"/>
  <c r="H631" i="8"/>
  <c r="A631" i="8" s="1"/>
  <c r="H534" i="8"/>
  <c r="A534" i="8" s="1"/>
  <c r="H979" i="8"/>
  <c r="A979" i="8" s="1"/>
  <c r="H399" i="8"/>
  <c r="A399" i="8" s="1"/>
  <c r="H808" i="8"/>
  <c r="A808" i="8" s="1"/>
  <c r="H828" i="8"/>
  <c r="A828" i="8" s="1"/>
  <c r="H238" i="8"/>
  <c r="A238" i="8" s="1"/>
  <c r="H544" i="8"/>
  <c r="A544" i="8" s="1"/>
  <c r="H357" i="8"/>
  <c r="A357" i="8" s="1"/>
  <c r="H401" i="8"/>
  <c r="A401" i="8" s="1"/>
  <c r="H1023" i="8"/>
  <c r="A1023" i="8" s="1"/>
  <c r="H987" i="8"/>
  <c r="A987" i="8" s="1"/>
  <c r="H498" i="8"/>
  <c r="A498" i="8" s="1"/>
  <c r="H255" i="8"/>
  <c r="A255" i="8" s="1"/>
  <c r="H364" i="8"/>
  <c r="A364" i="8" s="1"/>
  <c r="H457" i="8"/>
  <c r="A457" i="8" s="1"/>
  <c r="H467" i="8"/>
  <c r="A467" i="8" s="1"/>
  <c r="H261" i="8"/>
  <c r="A261" i="8" s="1"/>
  <c r="H367" i="8"/>
  <c r="A367" i="8" s="1"/>
  <c r="H755" i="8"/>
  <c r="A755" i="8" s="1"/>
  <c r="H926" i="8"/>
  <c r="A926" i="8" s="1"/>
  <c r="H430" i="8"/>
  <c r="A430" i="8" s="1"/>
  <c r="H581" i="8"/>
  <c r="A581" i="8" s="1"/>
  <c r="H837" i="8"/>
  <c r="A837" i="8" s="1"/>
  <c r="H936" i="8"/>
  <c r="A936" i="8" s="1"/>
  <c r="H787" i="8"/>
  <c r="A787" i="8" s="1"/>
  <c r="H392" i="8"/>
  <c r="A392" i="8" s="1"/>
  <c r="H878" i="8"/>
  <c r="A878" i="8" s="1"/>
  <c r="H365" i="8"/>
  <c r="A365" i="8" s="1"/>
  <c r="H519" i="8"/>
  <c r="A519" i="8" s="1"/>
  <c r="H183" i="8"/>
  <c r="A183" i="8" s="1"/>
  <c r="H868" i="8"/>
  <c r="A868" i="8" s="1"/>
  <c r="H391" i="8"/>
  <c r="A391" i="8" s="1"/>
  <c r="H337" i="8"/>
  <c r="A337" i="8" s="1"/>
  <c r="H929" i="8"/>
  <c r="A929" i="8" s="1"/>
  <c r="H879" i="8"/>
  <c r="A879" i="8" s="1"/>
  <c r="H587" i="8"/>
  <c r="A587" i="8" s="1"/>
  <c r="H473" i="8"/>
  <c r="A473" i="8" s="1"/>
  <c r="H554" i="8"/>
  <c r="A554" i="8" s="1"/>
  <c r="H658" i="8"/>
  <c r="A658" i="8" s="1"/>
  <c r="H793" i="8"/>
  <c r="A793" i="8" s="1"/>
  <c r="H280" i="8"/>
  <c r="A280" i="8" s="1"/>
  <c r="H588" i="8"/>
  <c r="A588" i="8" s="1"/>
  <c r="H372" i="8"/>
  <c r="A372" i="8" s="1"/>
  <c r="H393" i="8"/>
  <c r="A393" i="8" s="1"/>
  <c r="H314" i="8"/>
  <c r="A314" i="8" s="1"/>
  <c r="H451" i="8"/>
  <c r="A451" i="8" s="1"/>
  <c r="H412" i="8"/>
  <c r="A412" i="8" s="1"/>
  <c r="H454" i="8"/>
  <c r="A454" i="8" s="1"/>
  <c r="H417" i="8"/>
  <c r="A417" i="8" s="1"/>
  <c r="H254" i="8"/>
  <c r="A254" i="8" s="1"/>
  <c r="H769" i="8"/>
  <c r="A769" i="8" s="1"/>
  <c r="H930" i="8"/>
  <c r="A930" i="8" s="1"/>
  <c r="H560" i="8"/>
  <c r="A560" i="8" s="1"/>
  <c r="H1003" i="8"/>
  <c r="A1003" i="8" s="1"/>
  <c r="H779" i="8"/>
  <c r="A779" i="8" s="1"/>
  <c r="H862" i="8"/>
  <c r="A862" i="8" s="1"/>
  <c r="H477" i="8"/>
  <c r="A477" i="8" s="1"/>
  <c r="H636" i="8"/>
  <c r="A636" i="8" s="1"/>
  <c r="H955" i="8"/>
  <c r="A955" i="8" s="1"/>
  <c r="H642" i="8"/>
  <c r="A642" i="8" s="1"/>
  <c r="H714" i="8"/>
  <c r="A714" i="8" s="1"/>
  <c r="H397" i="8"/>
  <c r="A397" i="8" s="1"/>
  <c r="H582" i="8"/>
  <c r="A582" i="8" s="1"/>
  <c r="H785" i="8"/>
  <c r="A785" i="8" s="1"/>
  <c r="H652" i="8"/>
  <c r="A652" i="8" s="1"/>
  <c r="H953" i="8"/>
  <c r="A953" i="8" s="1"/>
  <c r="H740" i="8"/>
  <c r="A740" i="8" s="1"/>
  <c r="H336" i="8"/>
  <c r="A336" i="8" s="1"/>
  <c r="H722" i="8"/>
  <c r="A722" i="8" s="1"/>
  <c r="H471" i="8"/>
  <c r="A471" i="8" s="1"/>
  <c r="H527" i="8"/>
  <c r="A527" i="8" s="1"/>
  <c r="H625" i="8"/>
  <c r="A625" i="8" s="1"/>
  <c r="H324" i="8"/>
  <c r="A324" i="8" s="1"/>
  <c r="H306" i="8"/>
  <c r="A306" i="8" s="1"/>
  <c r="H954" i="8"/>
  <c r="A954" i="8" s="1"/>
  <c r="H275" i="8"/>
  <c r="A275" i="8" s="1"/>
  <c r="H732" i="8"/>
  <c r="A732" i="8" s="1"/>
  <c r="H988" i="8"/>
  <c r="A988" i="8" s="1"/>
  <c r="H383" i="8"/>
  <c r="A383" i="8" s="1"/>
  <c r="H687" i="8"/>
  <c r="A687" i="8" s="1"/>
  <c r="H572" i="8"/>
  <c r="A572" i="8" s="1"/>
  <c r="H474" i="8"/>
  <c r="A474" i="8" s="1"/>
  <c r="H1021" i="8"/>
  <c r="A1021" i="8" s="1"/>
  <c r="H448" i="8"/>
  <c r="A448" i="8" s="1"/>
  <c r="H278" i="8"/>
  <c r="A278" i="8" s="1"/>
  <c r="H694" i="8"/>
  <c r="A694" i="8" s="1"/>
  <c r="H564" i="8"/>
  <c r="A564" i="8" s="1"/>
  <c r="H321" i="8"/>
  <c r="A321" i="8" s="1"/>
  <c r="H760" i="8"/>
  <c r="A760" i="8" s="1"/>
  <c r="H1027" i="8"/>
  <c r="A1027" i="8" s="1"/>
  <c r="H373" i="8"/>
  <c r="A373" i="8" s="1"/>
  <c r="H869" i="8"/>
  <c r="A869" i="8" s="1"/>
  <c r="H456" i="8"/>
  <c r="A456" i="8" s="1"/>
  <c r="H619" i="8"/>
  <c r="A619" i="8" s="1"/>
  <c r="H312" i="8"/>
  <c r="A312" i="8" s="1"/>
  <c r="H524" i="8"/>
  <c r="A524" i="8" s="1"/>
  <c r="H589" i="8"/>
  <c r="A589" i="8" s="1"/>
  <c r="H580" i="8"/>
  <c r="A580" i="8" s="1"/>
  <c r="H653" i="8"/>
  <c r="A653" i="8" s="1"/>
  <c r="H447" i="8"/>
  <c r="A447" i="8" s="1"/>
  <c r="H500" i="8"/>
  <c r="A500" i="8" s="1"/>
  <c r="H662" i="8"/>
  <c r="A662" i="8" s="1"/>
  <c r="H799" i="8"/>
  <c r="A799" i="8" s="1"/>
  <c r="H476" i="8"/>
  <c r="A476" i="8" s="1"/>
  <c r="H986" i="8"/>
  <c r="A986" i="8" s="1"/>
  <c r="H1004" i="8"/>
  <c r="A1004" i="8" s="1"/>
  <c r="H501" i="8"/>
  <c r="A501" i="8" s="1"/>
  <c r="H691" i="8"/>
  <c r="A691" i="8" s="1"/>
  <c r="H483" i="8"/>
  <c r="A483" i="8" s="1"/>
  <c r="H873" i="8"/>
  <c r="A873" i="8" s="1"/>
  <c r="H778" i="8"/>
  <c r="A778" i="8" s="1"/>
  <c r="H857" i="8"/>
  <c r="A857" i="8" s="1"/>
  <c r="H884" i="8"/>
  <c r="A884" i="8" s="1"/>
  <c r="H232" i="8"/>
  <c r="A232" i="8" s="1"/>
  <c r="H551" i="8"/>
  <c r="A551" i="8" s="1"/>
  <c r="H614" i="8"/>
  <c r="A614" i="8" s="1"/>
  <c r="H369" i="8"/>
  <c r="A369" i="8" s="1"/>
  <c r="H742" i="8"/>
  <c r="A742" i="8" s="1"/>
  <c r="H494" i="8"/>
  <c r="A494" i="8" s="1"/>
  <c r="H595" i="8"/>
  <c r="A595" i="8" s="1"/>
  <c r="H260" i="8"/>
  <c r="A260" i="8" s="1"/>
  <c r="H931" i="8"/>
  <c r="A931" i="8" s="1"/>
  <c r="H300" i="8"/>
  <c r="A300" i="8" s="1"/>
  <c r="H288" i="8"/>
  <c r="A288" i="8" s="1"/>
  <c r="H675" i="8"/>
  <c r="A675" i="8" s="1"/>
  <c r="H745" i="8"/>
  <c r="A745" i="8" s="1"/>
  <c r="H553" i="8"/>
  <c r="A553" i="8" s="1"/>
  <c r="H606" i="8"/>
  <c r="A606" i="8" s="1"/>
  <c r="H981" i="8"/>
  <c r="A981" i="8" s="1"/>
  <c r="H967" i="8"/>
  <c r="A967" i="8" s="1"/>
  <c r="H746" i="8"/>
  <c r="A746" i="8" s="1"/>
  <c r="H423" i="8"/>
  <c r="A423" i="8" s="1"/>
  <c r="H739" i="8"/>
  <c r="A739" i="8" s="1"/>
  <c r="H293" i="8"/>
  <c r="A293" i="8" s="1"/>
  <c r="H355" i="8"/>
  <c r="A355" i="8" s="1"/>
  <c r="H710" i="8"/>
  <c r="A710" i="8" s="1"/>
  <c r="H577" i="8"/>
  <c r="A577" i="8" s="1"/>
  <c r="H418" i="8"/>
  <c r="A418" i="8" s="1"/>
  <c r="H284" i="8"/>
  <c r="A284" i="8" s="1"/>
  <c r="H330" i="8"/>
  <c r="A330" i="8" s="1"/>
  <c r="H247" i="8"/>
  <c r="A247" i="8" s="1"/>
  <c r="H805" i="8"/>
  <c r="A805" i="8" s="1"/>
  <c r="H723" i="8"/>
  <c r="A723" i="8" s="1"/>
  <c r="H327" i="8"/>
  <c r="A327" i="8" s="1"/>
  <c r="H838" i="8"/>
  <c r="A838" i="8" s="1"/>
  <c r="H466" i="8"/>
  <c r="A466" i="8" s="1"/>
  <c r="H901" i="8"/>
  <c r="A901" i="8" s="1"/>
  <c r="H294" i="8"/>
  <c r="A294" i="8" s="1"/>
  <c r="H780" i="8"/>
  <c r="A780" i="8" s="1"/>
  <c r="H727" i="8"/>
  <c r="A727" i="8" s="1"/>
  <c r="H736" i="8"/>
  <c r="A736" i="8" s="1"/>
  <c r="H831" i="8"/>
  <c r="A831" i="8" s="1"/>
  <c r="H738" i="8"/>
  <c r="A738" i="8" s="1"/>
  <c r="H235" i="8"/>
  <c r="A235" i="8" s="1"/>
  <c r="H432" i="8"/>
  <c r="A432" i="8" s="1"/>
  <c r="H563" i="8"/>
  <c r="A563" i="8" s="1"/>
  <c r="H568" i="8"/>
  <c r="A568" i="8" s="1"/>
  <c r="H626" i="8"/>
  <c r="A626" i="8" s="1"/>
  <c r="H809" i="8"/>
  <c r="A809" i="8" s="1"/>
  <c r="H609" i="8"/>
  <c r="A609" i="8" s="1"/>
  <c r="H766" i="8"/>
  <c r="A766" i="8" s="1"/>
  <c r="H978" i="8"/>
  <c r="A978" i="8" s="1"/>
  <c r="H761" i="8"/>
  <c r="A761" i="8" s="1"/>
  <c r="H918" i="8"/>
  <c r="A918" i="8" s="1"/>
  <c r="H419" i="8"/>
  <c r="A419" i="8" s="1"/>
  <c r="H353" i="8"/>
  <c r="A353" i="8" s="1"/>
  <c r="H980" i="8"/>
  <c r="A980" i="8" s="1"/>
  <c r="H615" i="8"/>
  <c r="A615" i="8" s="1"/>
  <c r="H888" i="8"/>
  <c r="A888" i="8" s="1"/>
  <c r="H708" i="8"/>
  <c r="A708" i="8" s="1"/>
  <c r="H463" i="8"/>
  <c r="A463" i="8" s="1"/>
  <c r="H897" i="8"/>
  <c r="A897" i="8" s="1"/>
  <c r="H651" i="8"/>
  <c r="A651" i="8" s="1"/>
  <c r="H313" i="8"/>
  <c r="A313" i="8" s="1"/>
  <c r="H749" i="8"/>
  <c r="A749" i="8" s="1"/>
  <c r="H681" i="8"/>
  <c r="A681" i="8" s="1"/>
  <c r="H620" i="8"/>
  <c r="A620" i="8" s="1"/>
  <c r="H335" i="8"/>
  <c r="A335" i="8" s="1"/>
  <c r="H908" i="8"/>
  <c r="A908" i="8" s="1"/>
  <c r="H236" i="8"/>
  <c r="A236" i="8" s="1"/>
  <c r="H291" i="8"/>
  <c r="A291" i="8" s="1"/>
  <c r="H964" i="8"/>
  <c r="A964" i="8" s="1"/>
  <c r="H630" i="8"/>
  <c r="A630" i="8" s="1"/>
  <c r="H644" i="8"/>
  <c r="A644" i="8" s="1"/>
  <c r="H1017" i="8"/>
  <c r="A1017" i="8" s="1"/>
  <c r="H634" i="8"/>
  <c r="A634" i="8" s="1"/>
  <c r="H488" i="8"/>
  <c r="A488" i="8" s="1"/>
  <c r="H956" i="8"/>
  <c r="A956" i="8" s="1"/>
  <c r="H864" i="8"/>
  <c r="A864" i="8" s="1"/>
  <c r="H578" i="8"/>
  <c r="A578" i="8" s="1"/>
  <c r="H750" i="8"/>
  <c r="A750" i="8" s="1"/>
  <c r="H566" i="8"/>
  <c r="A566" i="8" s="1"/>
  <c r="H966" i="8"/>
  <c r="A966" i="8" s="1"/>
  <c r="H359" i="8"/>
  <c r="A359" i="8" s="1"/>
  <c r="H530" i="8"/>
  <c r="A530" i="8" s="1"/>
  <c r="H490" i="8"/>
  <c r="A490" i="8" s="1"/>
  <c r="H303" i="8"/>
  <c r="A303" i="8" s="1"/>
  <c r="H796" i="8"/>
  <c r="A796" i="8" s="1"/>
  <c r="H645" i="8"/>
  <c r="A645" i="8" s="1"/>
  <c r="H963" i="8"/>
  <c r="A963" i="8" s="1"/>
  <c r="H700" i="8"/>
  <c r="A700" i="8" s="1"/>
  <c r="H585" i="8"/>
  <c r="A585" i="8" s="1"/>
  <c r="H800" i="8"/>
  <c r="A800" i="8" s="1"/>
  <c r="H613" i="8"/>
  <c r="A613" i="8" s="1"/>
  <c r="H233" i="8"/>
  <c r="A233" i="8" s="1"/>
  <c r="H643" i="8"/>
  <c r="A643" i="8" s="1"/>
  <c r="H425" i="8"/>
  <c r="A425" i="8" s="1"/>
  <c r="H822" i="8"/>
  <c r="A822" i="8" s="1"/>
  <c r="H665" i="8"/>
  <c r="A665" i="8" s="1"/>
  <c r="H890" i="8"/>
  <c r="A890" i="8" s="1"/>
  <c r="H842" i="8"/>
  <c r="A842" i="8" s="1"/>
  <c r="H627" i="8"/>
  <c r="A627" i="8" s="1"/>
  <c r="H852" i="8"/>
  <c r="A852" i="8" s="1"/>
  <c r="H465" i="8"/>
  <c r="A465" i="8" s="1"/>
  <c r="H438" i="8"/>
  <c r="A438" i="8" s="1"/>
  <c r="H889" i="8"/>
  <c r="A889" i="8" s="1"/>
  <c r="H850" i="8"/>
  <c r="A850" i="8" s="1"/>
  <c r="H672" i="8"/>
  <c r="A672" i="8" s="1"/>
  <c r="H882" i="8"/>
  <c r="A882" i="8" s="1"/>
  <c r="H654" i="8"/>
  <c r="A654" i="8" s="1"/>
  <c r="H733" i="8"/>
  <c r="A733" i="8" s="1"/>
  <c r="H350" i="8"/>
  <c r="A350" i="8" s="1"/>
  <c r="H839" i="8"/>
  <c r="A839" i="8" s="1"/>
  <c r="H949" i="8"/>
  <c r="A949" i="8" s="1"/>
  <c r="H363" i="8"/>
  <c r="A363" i="8" s="1"/>
  <c r="H803" i="8"/>
  <c r="A803" i="8" s="1"/>
  <c r="H867" i="8"/>
  <c r="A867" i="8" s="1"/>
  <c r="H814" i="8"/>
  <c r="A814" i="8" s="1"/>
  <c r="H756" i="8"/>
  <c r="A756" i="8" s="1"/>
  <c r="H602" i="8"/>
  <c r="A602" i="8" s="1"/>
  <c r="H968" i="8"/>
  <c r="A968" i="8" s="1"/>
  <c r="H460" i="8"/>
  <c r="A460" i="8" s="1"/>
  <c r="H287" i="8"/>
  <c r="A287" i="8" s="1"/>
  <c r="H591" i="8"/>
  <c r="A591" i="8" s="1"/>
  <c r="H792" i="8"/>
  <c r="A792" i="8" s="1"/>
  <c r="H347" i="8"/>
  <c r="A347" i="8" s="1"/>
  <c r="H270" i="8"/>
  <c r="A270" i="8" s="1"/>
  <c r="H650" i="8"/>
  <c r="A650" i="8" s="1"/>
  <c r="H310" i="8"/>
  <c r="A310" i="8" s="1"/>
  <c r="H272" i="8"/>
  <c r="A272" i="8" s="1"/>
  <c r="H786" i="8"/>
  <c r="A786" i="8" s="1"/>
  <c r="H549" i="8"/>
  <c r="A549" i="8" s="1"/>
  <c r="H507" i="8"/>
  <c r="A507" i="8" s="1"/>
  <c r="H904" i="8"/>
  <c r="A904" i="8" s="1"/>
  <c r="H813" i="8"/>
  <c r="A813" i="8" s="1"/>
  <c r="H858" i="8"/>
  <c r="A858" i="8" s="1"/>
  <c r="H703" i="8"/>
  <c r="A703" i="8" s="1"/>
  <c r="H380" i="8"/>
  <c r="A380" i="8" s="1"/>
  <c r="H424" i="8"/>
  <c r="A424" i="8" s="1"/>
  <c r="H748" i="8"/>
  <c r="A748" i="8" s="1"/>
  <c r="H676" i="8"/>
  <c r="A676" i="8" s="1"/>
  <c r="H764" i="8"/>
  <c r="A764" i="8" s="1"/>
  <c r="H559" i="8"/>
  <c r="A559" i="8" s="1"/>
  <c r="H753" i="8"/>
  <c r="A753" i="8" s="1"/>
  <c r="H1012" i="8"/>
  <c r="A1012" i="8" s="1"/>
  <c r="H1018" i="8"/>
  <c r="A1018" i="8" s="1"/>
  <c r="J27" i="9" l="1"/>
  <c r="E28" i="9"/>
  <c r="E29" i="9" l="1"/>
  <c r="J29" i="9" s="1"/>
  <c r="E31" i="9"/>
  <c r="E36" i="9" s="1"/>
  <c r="J28" i="9"/>
  <c r="J31" i="9" l="1"/>
  <c r="E40" i="9"/>
  <c r="E43" i="9" l="1"/>
  <c r="J40" i="9"/>
  <c r="J36" i="9"/>
  <c r="E38" i="9"/>
  <c r="J38" i="9" s="1"/>
  <c r="E47" i="9" l="1"/>
  <c r="J43" i="9"/>
  <c r="E45" i="9" l="1"/>
  <c r="J47" i="9"/>
  <c r="E49" i="9" l="1"/>
  <c r="J45" i="9"/>
  <c r="E51" i="9" l="1"/>
  <c r="J49" i="9"/>
  <c r="E50" i="9" l="1"/>
  <c r="E59" i="9"/>
  <c r="J51" i="9"/>
  <c r="E58" i="9" l="1"/>
  <c r="J59" i="9"/>
  <c r="E62" i="9"/>
  <c r="J62" i="9" s="1"/>
  <c r="J50" i="9"/>
  <c r="E63" i="9" l="1"/>
  <c r="J63" i="9" s="1"/>
  <c r="J58" i="9"/>
  <c r="AM33" i="5"/>
  <c r="AD33" i="5"/>
  <c r="F85" i="10"/>
  <c r="F82" i="10" s="1"/>
  <c r="AK33" i="5"/>
  <c r="H85" i="10"/>
  <c r="H82" i="10" s="1"/>
  <c r="H9" i="10" l="1"/>
  <c r="F9" i="10"/>
  <c r="G5" i="10" s="1"/>
  <c r="AB33" i="5"/>
  <c r="AM32" i="5" l="1"/>
  <c r="AD32" i="5"/>
  <c r="I6" i="5"/>
  <c r="N82" i="10"/>
  <c r="AK32" i="5"/>
  <c r="AB32" i="5"/>
  <c r="G6" i="5"/>
  <c r="L82" i="10"/>
  <c r="P82" i="10" l="1"/>
  <c r="I3" i="5"/>
  <c r="H8" i="10"/>
  <c r="G3" i="5"/>
  <c r="S3" i="5"/>
  <c r="F8" i="10"/>
  <c r="H5" i="10" l="1"/>
  <c r="I4" i="10"/>
  <c r="F5" i="10"/>
  <c r="G4" i="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<sst xmlns="http://schemas.openxmlformats.org/spreadsheetml/2006/main" count="10237" uniqueCount="4582">
  <si>
    <t>Chỉ tiêu báo cáo</t>
  </si>
  <si>
    <t>Bậc TK</t>
  </si>
  <si>
    <t>Số hiệu tài khoản</t>
  </si>
  <si>
    <t>Tên tài khoản</t>
  </si>
  <si>
    <t>Số dư đầu kỳ</t>
  </si>
  <si>
    <t>Số phát sinh trong kỳ</t>
  </si>
  <si>
    <t>Số dư cuối kỳ</t>
  </si>
  <si>
    <t>B01TS</t>
  </si>
  <si>
    <t>B01NV</t>
  </si>
  <si>
    <t>B02</t>
  </si>
  <si>
    <t>N</t>
  </si>
  <si>
    <t>C</t>
  </si>
  <si>
    <t xml:space="preserve"> Tiền mặt</t>
  </si>
  <si>
    <t xml:space="preserve"> Tiền Việt Nam</t>
  </si>
  <si>
    <t xml:space="preserve"> Ngoại tệ</t>
  </si>
  <si>
    <t>Tiền gửi Ngân hàng</t>
  </si>
  <si>
    <t>Tiền Việt Nam</t>
  </si>
  <si>
    <t>Ngoại tệ</t>
  </si>
  <si>
    <t>Chứng khoán kinh doanh</t>
  </si>
  <si>
    <t>Đầu tư nắm giữ đến ngày đáo hạn</t>
  </si>
  <si>
    <t>Tiền gửi có kỳ hạn</t>
  </si>
  <si>
    <t>Các khoản đầu tư khác nắm giữ đến ngày đáo hạn</t>
  </si>
  <si>
    <t>312</t>
  </si>
  <si>
    <t>Phải thu của khách hàng</t>
  </si>
  <si>
    <t>Thuế GTGT được khấu trừ</t>
  </si>
  <si>
    <t xml:space="preserve">Thuế GTGT được khấu trừ của hàng hóa, dịch vụ </t>
  </si>
  <si>
    <t>Thuế GTGT được khấu trừ của TSCĐ</t>
  </si>
  <si>
    <t>Phải thu nội bộ</t>
  </si>
  <si>
    <t xml:space="preserve">Vốn kinh doanh ở đơn vị trực thuộc </t>
  </si>
  <si>
    <t>Phải thu nội bộ khác</t>
  </si>
  <si>
    <t>Phải thu khác</t>
  </si>
  <si>
    <t>Tài sản thiếu chờ xử lý</t>
  </si>
  <si>
    <t>Cầm cố, thế chấp, ký quỹ, ký cược</t>
  </si>
  <si>
    <t>315</t>
  </si>
  <si>
    <t>Tạm ứng</t>
  </si>
  <si>
    <t>Hàng mua đang đi đường</t>
  </si>
  <si>
    <t>Nguyên liệu, vật liệu</t>
  </si>
  <si>
    <t>Công cụ, dụng cụ</t>
  </si>
  <si>
    <t>Chi phí sản xuất, kinh doanh dở dang</t>
  </si>
  <si>
    <t>Thành phẩm</t>
  </si>
  <si>
    <t>Hàng hóa</t>
  </si>
  <si>
    <t>Hàng gửi đi bán</t>
  </si>
  <si>
    <t>Tài sản cố định</t>
  </si>
  <si>
    <t>TSCĐ hữu hình</t>
  </si>
  <si>
    <t>TSCĐ thuê tài chính</t>
  </si>
  <si>
    <t>TSCĐ vô hình</t>
  </si>
  <si>
    <t>Hao mòn tài sản cố định</t>
  </si>
  <si>
    <t>Hao mòn TSCĐ hữu hình</t>
  </si>
  <si>
    <t>Hao mòn TSCĐ thuê tài chính</t>
  </si>
  <si>
    <t xml:space="preserve">Hao mòn TSCĐ vô hình </t>
  </si>
  <si>
    <t>Hao mòn bất động sản đầu tư</t>
  </si>
  <si>
    <t>Bất động sản đầu tư</t>
  </si>
  <si>
    <t>Đầu tư góp vốn vào đơn vị khác</t>
  </si>
  <si>
    <t xml:space="preserve">Đầu tư vào công ty liên doanh, liên kết </t>
  </si>
  <si>
    <t>Đầu tư khác</t>
  </si>
  <si>
    <t>Dự phòng tổn thất tài sản</t>
  </si>
  <si>
    <t xml:space="preserve">Dự phòng giảm giá chứng khoán kinh doanh </t>
  </si>
  <si>
    <t xml:space="preserve">Dự phòng tổn thất đầu tư vào đơn vị khác </t>
  </si>
  <si>
    <t xml:space="preserve">Dự phòng phải thu khó đòi </t>
  </si>
  <si>
    <t>Dự phòng giảm giá hàng tồn kho</t>
  </si>
  <si>
    <t xml:space="preserve">Xây dựng cơ bản dở dang </t>
  </si>
  <si>
    <t>Mua sắm TSCĐ</t>
  </si>
  <si>
    <t xml:space="preserve">Xây dựng cơ bản </t>
  </si>
  <si>
    <t>Sửa chữa lớn TSCĐ</t>
  </si>
  <si>
    <t>Chi phí trả trước</t>
  </si>
  <si>
    <t>311</t>
  </si>
  <si>
    <t>Phải trả cho người bán</t>
  </si>
  <si>
    <t>313</t>
  </si>
  <si>
    <t>Thuế và các khoản phải nộp Nhà nước</t>
  </si>
  <si>
    <t>Thuế giá trị gia tăng phải nộp</t>
  </si>
  <si>
    <t>Thuế GTGT đầu ra</t>
  </si>
  <si>
    <t>Thuế GTGT hàng nhập khẩu</t>
  </si>
  <si>
    <t>Thuế tiêu thụ đặc biệt</t>
  </si>
  <si>
    <t>Thuế xuất, nhập khẩu</t>
  </si>
  <si>
    <t>Thuế thu nhập doanh nghiệp</t>
  </si>
  <si>
    <t>Thuế thu nhập cá nhân</t>
  </si>
  <si>
    <t>Thuế tài nguyên</t>
  </si>
  <si>
    <t>Thuế nhà đất, tiền thuê đất</t>
  </si>
  <si>
    <t>Thuế bảo vệ môi trường và các loại thuế khác</t>
  </si>
  <si>
    <t>Thuế bảo vệ môi trường</t>
  </si>
  <si>
    <t>Các loại thuế khác</t>
  </si>
  <si>
    <t>Phí, lệ phí và các khoản phải nộp khác</t>
  </si>
  <si>
    <t>314</t>
  </si>
  <si>
    <t>Phải trả người lao động</t>
  </si>
  <si>
    <t>Chi phí phải trả</t>
  </si>
  <si>
    <t>Phải trả nội bộ</t>
  </si>
  <si>
    <t xml:space="preserve">Phải trả nội bộ về vốn kinh doanh </t>
  </si>
  <si>
    <t>Phải trả nội bộ khác</t>
  </si>
  <si>
    <t>Phải trả, phải nộp khác</t>
  </si>
  <si>
    <t>Tài sản thừa chờ giải quyết</t>
  </si>
  <si>
    <t>Kinh phí công đoàn</t>
  </si>
  <si>
    <t>Bảo hiểm xã hội</t>
  </si>
  <si>
    <t>Bảo hiểm y tế</t>
  </si>
  <si>
    <t xml:space="preserve">Bảo hiểm thất nghiệp </t>
  </si>
  <si>
    <t xml:space="preserve">Nhận ký quỹ, ký cược </t>
  </si>
  <si>
    <t xml:space="preserve">Doanh thu chưa thực hiện </t>
  </si>
  <si>
    <t>316</t>
  </si>
  <si>
    <t>Vay và nợ thuê tài chính</t>
  </si>
  <si>
    <t xml:space="preserve">Các khoản đi vay </t>
  </si>
  <si>
    <t>Nợ thuê tài chính</t>
  </si>
  <si>
    <t>318</t>
  </si>
  <si>
    <t>Dự phòng phải trả</t>
  </si>
  <si>
    <t xml:space="preserve">Dự phòng bảo hành sản phẩm hàng hóa </t>
  </si>
  <si>
    <t xml:space="preserve">Dự phòng bảo hành công trình xây dựng </t>
  </si>
  <si>
    <t>Dự phòng phải trả khác</t>
  </si>
  <si>
    <t>319</t>
  </si>
  <si>
    <t>Quỹ khen thưởng phúc lợi</t>
  </si>
  <si>
    <t xml:space="preserve">Quỹ khen thưởng </t>
  </si>
  <si>
    <t>Quỹ phúc lợi</t>
  </si>
  <si>
    <t xml:space="preserve">Quỹ phúc lợi đã hình thành TSCĐ </t>
  </si>
  <si>
    <t>Quỹ thưởng ban quản lý điều hành công ty</t>
  </si>
  <si>
    <t>320</t>
  </si>
  <si>
    <t>Quỹ phát triển khoa học và công nghệ</t>
  </si>
  <si>
    <t>Quỹ phát triển khoa học và công nghệ đã hình thành TSCĐ</t>
  </si>
  <si>
    <t>Vốn đầu tư của chủ sở hữu</t>
  </si>
  <si>
    <t>411</t>
  </si>
  <si>
    <t xml:space="preserve">Vốn góp của chủ sở hữu </t>
  </si>
  <si>
    <t>412</t>
  </si>
  <si>
    <t xml:space="preserve">Thặng dư vốn cổ phần </t>
  </si>
  <si>
    <t>413</t>
  </si>
  <si>
    <t>Vốn khác</t>
  </si>
  <si>
    <t>415</t>
  </si>
  <si>
    <t>Chênh lệch tỷ giá hối đoái</t>
  </si>
  <si>
    <t>416</t>
  </si>
  <si>
    <t>Các quỹ thuộc vốn chủ sở hữu</t>
  </si>
  <si>
    <t>414</t>
  </si>
  <si>
    <t>Cổ phiếu quỹ</t>
  </si>
  <si>
    <t>417</t>
  </si>
  <si>
    <t>Lợi nhuận sau thuế chưa phân phối</t>
  </si>
  <si>
    <t xml:space="preserve">Lợi nhuận sau thuế chưa phân phối năm trước </t>
  </si>
  <si>
    <t>Lợi nhuận sau thuế chưa phân phối năm nay</t>
  </si>
  <si>
    <t>01</t>
  </si>
  <si>
    <t>Doanh thu bán hàng và cung cấp dịch vụ</t>
  </si>
  <si>
    <t xml:space="preserve">Doanh thu bán hàng hóa </t>
  </si>
  <si>
    <t xml:space="preserve">Doanh thu bán thành phẩm </t>
  </si>
  <si>
    <t xml:space="preserve">Doanh thu cung cấp dịch vụ </t>
  </si>
  <si>
    <t>Doanh thu khác</t>
  </si>
  <si>
    <t>21</t>
  </si>
  <si>
    <t>Doanh thu hoạt động tài chính</t>
  </si>
  <si>
    <t>Mua hàng</t>
  </si>
  <si>
    <t>Giá thành sản xuất</t>
  </si>
  <si>
    <t>11</t>
  </si>
  <si>
    <t>Giá vốn hàng bán</t>
  </si>
  <si>
    <t>22</t>
  </si>
  <si>
    <t>Chi phí tài chính</t>
  </si>
  <si>
    <t>24</t>
  </si>
  <si>
    <t>Chi phí quản lý kinh doanh</t>
  </si>
  <si>
    <t>Chi phí bán hàng</t>
  </si>
  <si>
    <t>Chi phí quản lý doanh nghiệp</t>
  </si>
  <si>
    <t>31</t>
  </si>
  <si>
    <t>Thu nhập khác</t>
  </si>
  <si>
    <t>32</t>
  </si>
  <si>
    <t>Chi phí khác</t>
  </si>
  <si>
    <t>51</t>
  </si>
  <si>
    <t xml:space="preserve">Chi phí thuế thu nhập doanh nghiệp </t>
  </si>
  <si>
    <t>Xác định kết quả kinh doanh</t>
  </si>
  <si>
    <t>CHỈ TIÊU</t>
  </si>
  <si>
    <t>Mã số</t>
  </si>
  <si>
    <t>Thuyết minh</t>
  </si>
  <si>
    <t>Số cuối năm</t>
  </si>
  <si>
    <t>Số đầu năm</t>
  </si>
  <si>
    <t>I. Tiền và các khoản tương đương tiền</t>
  </si>
  <si>
    <t>II. Đầu tư tài chính</t>
  </si>
  <si>
    <t>1. Chứng khoán kinh doanh</t>
  </si>
  <si>
    <t>2. Đầu tư nắm giữ đến ngày đáo hạn</t>
  </si>
  <si>
    <t>3. Đầu tư góp vốn vào đơn vị khác</t>
  </si>
  <si>
    <t>4. Dự phòng tổn thất đầu tư tài chính (*)</t>
  </si>
  <si>
    <t>III. Các khoản phải thu</t>
  </si>
  <si>
    <t>1. Phải thu của khách hàng</t>
  </si>
  <si>
    <t>2. Trả trước cho người bán</t>
  </si>
  <si>
    <t>3. Vốn kinh doanh ở đơn vị trực thuộc</t>
  </si>
  <si>
    <t>4. Phải thu khác</t>
  </si>
  <si>
    <t>5. Tài sản thiếu chờ xử lý</t>
  </si>
  <si>
    <t>6. Dự phòng phải thu khó đòi (*)</t>
  </si>
  <si>
    <t>IV. Hàng tồn kho</t>
  </si>
  <si>
    <t>1. Hàng tồn kho</t>
  </si>
  <si>
    <t>2. Dự phòng giảm giả hàng tồn kho (*)</t>
  </si>
  <si>
    <t>V. Tài sản cố định</t>
  </si>
  <si>
    <t>1. Nguyên giá</t>
  </si>
  <si>
    <t>2. Giá trị hao mòn luỹ kế (*)</t>
  </si>
  <si>
    <t>VI. Bất động sản đầu tư</t>
  </si>
  <si>
    <t>VII. XDCB dở dang</t>
  </si>
  <si>
    <t>VIII. Tài sản khác</t>
  </si>
  <si>
    <t>1. Thuế giá trị gia tăng được khấu trừ</t>
  </si>
  <si>
    <t>2. Tài sản khác</t>
  </si>
  <si>
    <t>TỔNG CỘNG TÀI SẢN (200=110+120+130+140+150+160+170+180)</t>
  </si>
  <si>
    <t>I. Nợ phải trả</t>
  </si>
  <si>
    <t>1. Phải trả người bán</t>
  </si>
  <si>
    <t>2. Người mua trả tiền trước</t>
  </si>
  <si>
    <t>3. Thuế và các khoản phải nộp Nhà nước</t>
  </si>
  <si>
    <t>4. Phải trả người lao động</t>
  </si>
  <si>
    <t>5. Phải trả khác</t>
  </si>
  <si>
    <t>6. Vay và nợ thuê tài chính</t>
  </si>
  <si>
    <t>7. Phải trả nội bộ về vốn kinh doanh</t>
  </si>
  <si>
    <t>8. Dự phòng phải trả</t>
  </si>
  <si>
    <t>9. Quỹ khen thưởng, phúc lợi</t>
  </si>
  <si>
    <t>10. Quỹ phát triển khoa học và công nghệ</t>
  </si>
  <si>
    <t>II. Vốn chủ sở hữu</t>
  </si>
  <si>
    <t>1. Vốn góp của chủ sở hữu</t>
  </si>
  <si>
    <t>2. Thặng dư vốn cổ phần</t>
  </si>
  <si>
    <t>3. Vốn khác của chủ sở hữu</t>
  </si>
  <si>
    <t>4. Cổ phiếu quỹ (*)</t>
  </si>
  <si>
    <t>5. Chênh lệch tỷ giá hối đoái</t>
  </si>
  <si>
    <t>6. Các quỹ thuộc vốn chủ sở hữu</t>
  </si>
  <si>
    <t>7. Lợi nhuận sau thuế chưa phân phối</t>
  </si>
  <si>
    <t>TỔNG CỘNG NGUỒN VỐN (500=300+400)</t>
  </si>
  <si>
    <t>Trading securities</t>
  </si>
  <si>
    <t>Internal receivables</t>
  </si>
  <si>
    <t>Other receivables</t>
  </si>
  <si>
    <t>Fixed Assets</t>
  </si>
  <si>
    <t>TOTAL ASSETS</t>
  </si>
  <si>
    <t>ITEMS</t>
  </si>
  <si>
    <t>ID</t>
  </si>
  <si>
    <t>Ending</t>
  </si>
  <si>
    <t>Beginning</t>
  </si>
  <si>
    <t>Payables to suppliers</t>
  </si>
  <si>
    <t>Payables to employees</t>
  </si>
  <si>
    <t>Owner's equity invested capital</t>
  </si>
  <si>
    <t>Equity surplus</t>
  </si>
  <si>
    <t>Exchange rate difference</t>
  </si>
  <si>
    <t>Owner's Equity Funds</t>
  </si>
  <si>
    <t>TOTAL RESOURCES</t>
  </si>
  <si>
    <t>Cash</t>
  </si>
  <si>
    <t>Domistic currency (VND)</t>
  </si>
  <si>
    <t>Foreign currency</t>
  </si>
  <si>
    <t>Cash at bank</t>
  </si>
  <si>
    <t>Investments held to maturity</t>
  </si>
  <si>
    <t>Time-Deposits</t>
  </si>
  <si>
    <t>Other investments held to maturity</t>
  </si>
  <si>
    <t>Receivables from customers</t>
  </si>
  <si>
    <t>Deducted VAT</t>
  </si>
  <si>
    <t>Deducted VAT of goods sold and services supplied</t>
  </si>
  <si>
    <t>Deducted VAT of fixed Assets</t>
  </si>
  <si>
    <t>Capital in affiliated units</t>
  </si>
  <si>
    <t>Other internal receivables</t>
  </si>
  <si>
    <t>Pledge, mortgage, margin, collateral</t>
  </si>
  <si>
    <t>Advance payments</t>
  </si>
  <si>
    <t>Purchased goods in transit</t>
  </si>
  <si>
    <t>Resources and materials</t>
  </si>
  <si>
    <t>Inventories</t>
  </si>
  <si>
    <t>Work in progress</t>
  </si>
  <si>
    <t>Finished products</t>
  </si>
  <si>
    <t>Goods</t>
  </si>
  <si>
    <t>Goods in transit for sale</t>
  </si>
  <si>
    <t>Tangible fixed assets</t>
  </si>
  <si>
    <t>Leased fixed assets</t>
  </si>
  <si>
    <t>Intangible fixed assets</t>
  </si>
  <si>
    <t>Depreciation of fixed assets</t>
  </si>
  <si>
    <t>Depreciation of Tangible fixed assets</t>
  </si>
  <si>
    <t>Depreciation of Leased fixed assets</t>
  </si>
  <si>
    <t>Depreciation of Intangible fixed assets</t>
  </si>
  <si>
    <t>Depreciation of invested real estates</t>
  </si>
  <si>
    <t>Invested real estates</t>
  </si>
  <si>
    <t>Investment of Capital contribution on other units</t>
  </si>
  <si>
    <t>Investment in joint ventures and associates</t>
  </si>
  <si>
    <t>Other investments</t>
  </si>
  <si>
    <t>provision for asset losses</t>
  </si>
  <si>
    <t>Provision for devaluation of trading securities</t>
  </si>
  <si>
    <t>Provision for losses of investment in other unit</t>
  </si>
  <si>
    <t>Provision for bad receivable debts</t>
  </si>
  <si>
    <t>Provision for devaluation of stocks</t>
  </si>
  <si>
    <t>Construction in progress</t>
  </si>
  <si>
    <t>Purchased fixed assets</t>
  </si>
  <si>
    <t>Basic construction</t>
  </si>
  <si>
    <t>Major repair for fixed assets</t>
  </si>
  <si>
    <t>Prepaid expenses</t>
  </si>
  <si>
    <t>Taxes and other payables to government budget</t>
  </si>
  <si>
    <t>VAT payables</t>
  </si>
  <si>
    <t>Output VAT</t>
  </si>
  <si>
    <t>VAT of imported goods</t>
  </si>
  <si>
    <t>Excise taxes</t>
  </si>
  <si>
    <t>Export, Import taxes</t>
  </si>
  <si>
    <t>Enterprise Income Tax</t>
  </si>
  <si>
    <t>Personal Income Tax</t>
  </si>
  <si>
    <t>Resources Tax</t>
  </si>
  <si>
    <t>Land and housing taxes, land rental charges</t>
  </si>
  <si>
    <t>Environmental protection tax and other taxes</t>
  </si>
  <si>
    <t>Environmental protection tax</t>
  </si>
  <si>
    <t>Other taxes</t>
  </si>
  <si>
    <t>Fees, charges and other payables</t>
  </si>
  <si>
    <t>Expense payables</t>
  </si>
  <si>
    <t>Internal payables</t>
  </si>
  <si>
    <t>Internal payables for business capital</t>
  </si>
  <si>
    <t>Other internal payables</t>
  </si>
  <si>
    <t>Other payables</t>
  </si>
  <si>
    <t>Surplus assets awaiting for resolution</t>
  </si>
  <si>
    <t>Social Insurance</t>
  </si>
  <si>
    <t>Medical Insurance</t>
  </si>
  <si>
    <t>Unemployment Insurance</t>
  </si>
  <si>
    <t>Deposits received</t>
  </si>
  <si>
    <t>Unrealized turnover</t>
  </si>
  <si>
    <t>Borrowings and debts of financial lease</t>
  </si>
  <si>
    <t>Borrowings</t>
  </si>
  <si>
    <t>Debts of financial lease</t>
  </si>
  <si>
    <t>Provision for payables</t>
  </si>
  <si>
    <t>Provision for product warranty</t>
  </si>
  <si>
    <t>Provision for construction warranty</t>
  </si>
  <si>
    <t>Provision for other payables</t>
  </si>
  <si>
    <t>Bonus and welfare funds</t>
  </si>
  <si>
    <t>Bonus Funds</t>
  </si>
  <si>
    <t>Welfare Funds</t>
  </si>
  <si>
    <t>Welfare Funds formed fixed assets</t>
  </si>
  <si>
    <t>Bonus funds for business management board</t>
  </si>
  <si>
    <t>Science and technology development funds</t>
  </si>
  <si>
    <t>Science and technology development funds formed fixed assets</t>
  </si>
  <si>
    <t>Owner's Equity</t>
  </si>
  <si>
    <t>Other equity</t>
  </si>
  <si>
    <t>Treasury stock</t>
  </si>
  <si>
    <t>Undistributed profit after EIT</t>
  </si>
  <si>
    <t>Undistributed profit after EIT previous year</t>
  </si>
  <si>
    <t>Undistributed profit after EIT current year</t>
  </si>
  <si>
    <t>Sales</t>
  </si>
  <si>
    <t>Goods sale</t>
  </si>
  <si>
    <t>Finished products sale</t>
  </si>
  <si>
    <t>Sevices sale</t>
  </si>
  <si>
    <t>Other sales</t>
  </si>
  <si>
    <t>Financial activities income</t>
  </si>
  <si>
    <t>Purchase</t>
  </si>
  <si>
    <t>Production cost</t>
  </si>
  <si>
    <t>Cost of goods sold</t>
  </si>
  <si>
    <t>Financial activities expenses</t>
  </si>
  <si>
    <t>Business management expenses</t>
  </si>
  <si>
    <t>Selling expenses</t>
  </si>
  <si>
    <t>Administration expenses</t>
  </si>
  <si>
    <t>Other incomes</t>
  </si>
  <si>
    <t>Other expenses</t>
  </si>
  <si>
    <t>Current EIT expense</t>
  </si>
  <si>
    <t>Evaluation of business results</t>
  </si>
  <si>
    <t>TOTAL</t>
  </si>
  <si>
    <t>Account ID</t>
  </si>
  <si>
    <t>Account name</t>
  </si>
  <si>
    <t>Openning balance</t>
  </si>
  <si>
    <t>Arising</t>
  </si>
  <si>
    <t>Closing balance</t>
  </si>
  <si>
    <t>Debit</t>
  </si>
  <si>
    <t>Credit</t>
  </si>
  <si>
    <t>Năm nay</t>
  </si>
  <si>
    <t>Năm trước</t>
  </si>
  <si>
    <t>1. Doanh thu bán hàng và cung cấp dịch vụ</t>
  </si>
  <si>
    <t>2. Các khoản giảm trừ doanh thu</t>
  </si>
  <si>
    <t>02</t>
  </si>
  <si>
    <t>3. Doanh thu thuần về bán hàng và cung cấp dịch vụ (10= 01-02)</t>
  </si>
  <si>
    <t>4. Giá vốn hàng bán</t>
  </si>
  <si>
    <t>5. Lợi nhuận gộp về bán hàng và cung cấp dịch vụ (20=10-11)</t>
  </si>
  <si>
    <t>6. Doanh thu hoạt động tài chính</t>
  </si>
  <si>
    <t>7. Chi phí tài chính</t>
  </si>
  <si>
    <t>8. Chi phí quản lý kinh doanh</t>
  </si>
  <si>
    <t>9. Lợi nhuận thuần từ hoạt động kinh doanh
(30 = 20 + 21 - 22 - 24)</t>
  </si>
  <si>
    <t>10. Thu nhập khác</t>
  </si>
  <si>
    <t>11. Chi phí khác</t>
  </si>
  <si>
    <t>12. Lợi nhuận khác (40 = 31 - 32)</t>
  </si>
  <si>
    <t>13. Tổng lợi nhuận kế toán trước thuế (50 = 30 + 40)</t>
  </si>
  <si>
    <t>14. Chi phí thuế TNDN</t>
  </si>
  <si>
    <t>15. Lợi nhuận sau thuế thu nhập doanh nghiệp
(60=50 - 51)</t>
  </si>
  <si>
    <t>Gross sales</t>
  </si>
  <si>
    <t>Revenue deductions</t>
  </si>
  <si>
    <t>Net income</t>
  </si>
  <si>
    <t>Gross margin</t>
  </si>
  <si>
    <t>Income from financial activities</t>
  </si>
  <si>
    <t>Expenses from financial activities</t>
  </si>
  <si>
    <t>Included: interest expenses</t>
  </si>
  <si>
    <t>Profit from operation</t>
  </si>
  <si>
    <t>Other Expenses</t>
  </si>
  <si>
    <t>Other Profit</t>
  </si>
  <si>
    <t>Profit before tax</t>
  </si>
  <si>
    <t>Current income tax expense</t>
  </si>
  <si>
    <t>Net profit after tax</t>
  </si>
  <si>
    <t>Items</t>
  </si>
  <si>
    <t>This year</t>
  </si>
  <si>
    <t>Last year</t>
  </si>
  <si>
    <t>BÁO CÁO KẾT QUẢ HOẠT ĐỘNG KINH DOANH</t>
  </si>
  <si>
    <t>INCOME STATEMENT</t>
  </si>
  <si>
    <t>BẢNG CÂN ĐỐI TÀI KHOẢN</t>
  </si>
  <si>
    <t>TRIAL BALANCE</t>
  </si>
  <si>
    <t>Explanation</t>
  </si>
  <si>
    <t>TỔNG</t>
  </si>
  <si>
    <t>- Trong đó: Chi phí lãi vay</t>
  </si>
  <si>
    <t>THÔNG TIN VỀ DOANH NGHIỆP</t>
  </si>
  <si>
    <t>MaKH</t>
  </si>
  <si>
    <t>TenKH</t>
  </si>
  <si>
    <t>TenVT</t>
  </si>
  <si>
    <t>MST</t>
  </si>
  <si>
    <t>NguoiDD</t>
  </si>
  <si>
    <t>CDngDD</t>
  </si>
  <si>
    <t>NguoiLH</t>
  </si>
  <si>
    <t>CDngLH</t>
  </si>
  <si>
    <t>DiaChi</t>
  </si>
  <si>
    <t>Quan</t>
  </si>
  <si>
    <t>TP</t>
  </si>
  <si>
    <t>DiaChiTB</t>
  </si>
  <si>
    <t>email</t>
  </si>
  <si>
    <t>Phone</t>
  </si>
  <si>
    <t>CQT_Tinh</t>
  </si>
  <si>
    <t>CQQL</t>
  </si>
  <si>
    <t>NamTC</t>
  </si>
  <si>
    <t>DBI0101</t>
  </si>
  <si>
    <t>Công ty TNHH Leading tỉnh Điện Biên</t>
  </si>
  <si>
    <t>Leading</t>
  </si>
  <si>
    <t>5600250152</t>
  </si>
  <si>
    <t>bà Bùi Thu Huyền</t>
  </si>
  <si>
    <t>Chủ tịch công ty</t>
  </si>
  <si>
    <t>153 Nguyễn Chí Thanh, tổ dân phố 9, p. Mường Thanh</t>
  </si>
  <si>
    <t>Điện Biên Phủ</t>
  </si>
  <si>
    <t>Điện Biên</t>
  </si>
  <si>
    <t>ketoan1.noithat99@gmail.com;leadingdienbien@gmail.com</t>
  </si>
  <si>
    <t>0965 028 899</t>
  </si>
  <si>
    <t>Chi cục thuế Thành phố Điện Biên Phủ</t>
  </si>
  <si>
    <t>01/01</t>
  </si>
  <si>
    <t>HAN0101</t>
  </si>
  <si>
    <t>Công ty TNHH Kinh doanh và dịch vụ Bách Việt</t>
  </si>
  <si>
    <t>Bach Viet</t>
  </si>
  <si>
    <t>0103511951</t>
  </si>
  <si>
    <t>Bà Vũ Thị Thoa</t>
  </si>
  <si>
    <t>Giám đốc</t>
  </si>
  <si>
    <t>Vũ Văn Việt</t>
  </si>
  <si>
    <t>Số 46 đường Yên Phụ, phường Nguyễn Trung Trực</t>
  </si>
  <si>
    <t>Ba Đình</t>
  </si>
  <si>
    <t>Hà Nội</t>
  </si>
  <si>
    <t>Số 46 đường Yên Phụ, phường Nguyễn Trung Trực, Ba Đình, Hà Nội</t>
  </si>
  <si>
    <t>vuvanviet2010@gmail.com;bachviethousing@gmail.com</t>
  </si>
  <si>
    <t>0913 528 118</t>
  </si>
  <si>
    <t>Chi cục thuế quận Ba Đình</t>
  </si>
  <si>
    <t>HAN0301</t>
  </si>
  <si>
    <t>Công ty TNHH Cuộc sống muôn màu</t>
  </si>
  <si>
    <t>CSMM</t>
  </si>
  <si>
    <t>0106175578</t>
  </si>
  <si>
    <t>Bà Lê Thị Kim Dung</t>
  </si>
  <si>
    <t>Hoàng Hà</t>
  </si>
  <si>
    <t>Số 17 Xuân Diệu, p. Quảng An</t>
  </si>
  <si>
    <t>Tây Hồ</t>
  </si>
  <si>
    <t>Số 17 Xuân Diệu, p. Quảng An, Tây Hồ, Hà Nội</t>
  </si>
  <si>
    <t>colorlivingketoan@gmail.com;lekimdzung@gmail.com</t>
  </si>
  <si>
    <t>0166 925 5707</t>
  </si>
  <si>
    <t>Chi cục thuế quận Tây Hồ</t>
  </si>
  <si>
    <t>03</t>
  </si>
  <si>
    <t>HAN0501</t>
  </si>
  <si>
    <t>Doanh nghiệp tư nhân thương mại và dịch vụ Thủy Bình</t>
  </si>
  <si>
    <t>Thuy Binh</t>
  </si>
  <si>
    <t>0101281082</t>
  </si>
  <si>
    <t>Ông Nguyễn Khắc Thủy</t>
  </si>
  <si>
    <t>Chủ DN</t>
  </si>
  <si>
    <t>Trần Thị Thanh Bình</t>
  </si>
  <si>
    <t>Số 22 Hàng Gà, phường Hàng Bồ</t>
  </si>
  <si>
    <t xml:space="preserve"> Hoàn Kiếm</t>
  </si>
  <si>
    <t xml:space="preserve"> Hà Nội</t>
  </si>
  <si>
    <t>Số 22 Hàng Gà, phường Hàng Bồ, q. Hoàn Kiếm, Hà Nội</t>
  </si>
  <si>
    <t>thuybinhrestaurant@gmail.com</t>
  </si>
  <si>
    <t>0902 466 258</t>
  </si>
  <si>
    <t>Chi cục thuế quận Hoàn Kiếm</t>
  </si>
  <si>
    <t>05</t>
  </si>
  <si>
    <t>HAN0701</t>
  </si>
  <si>
    <t>Công ty cổ phần SX và DV công nghiệp Tinh Thần Việt</t>
  </si>
  <si>
    <t>Tinh Than Viet</t>
  </si>
  <si>
    <t>0105564839</t>
  </si>
  <si>
    <t>ông Hoàng Trung Kiên</t>
  </si>
  <si>
    <t>Phó Giám đốc</t>
  </si>
  <si>
    <t>Nguyễn Thị Minh Anh</t>
  </si>
  <si>
    <t>273 Thanh Nhàn</t>
  </si>
  <si>
    <t xml:space="preserve"> Hai Bà Trưng</t>
  </si>
  <si>
    <t>273 Thanh Nhàn, Hai Bà Trưng, Hà Nội.</t>
  </si>
  <si>
    <t>minhanh@tinhthanviet.com.vn;khuongtuan@yahoo.com</t>
  </si>
  <si>
    <t>0932 281 358</t>
  </si>
  <si>
    <t>Chi cục thuế quận Hai Bà Trưng</t>
  </si>
  <si>
    <t>07</t>
  </si>
  <si>
    <t>HAN0702</t>
  </si>
  <si>
    <t>Công ty TNHH sản xuất và dịch vụ Vườn Việt</t>
  </si>
  <si>
    <t>Vuon Viet</t>
  </si>
  <si>
    <t>0107058002</t>
  </si>
  <si>
    <t>Bà Đào Tiểu My</t>
  </si>
  <si>
    <t>33/477 Kim Ngưu, Vĩnh Tuy</t>
  </si>
  <si>
    <t>33/477 Kim Ngưu, Vĩnh Tuy, Hai Bà Trưng, Hà Nội</t>
  </si>
  <si>
    <t>HAN0902</t>
  </si>
  <si>
    <t>Công ty TNHH Mỹ thuật Hoàng Gia</t>
  </si>
  <si>
    <t>Hoang Gia</t>
  </si>
  <si>
    <t>0101108680</t>
  </si>
  <si>
    <t>Ông Nguyễn Đức Mười</t>
  </si>
  <si>
    <t>Trần Thị Đào</t>
  </si>
  <si>
    <t>Số 22 ngõ 122 đường Láng, p. Thịnh Quang</t>
  </si>
  <si>
    <t xml:space="preserve"> Đống Đa</t>
  </si>
  <si>
    <t>Số 22 ngõ 122 đường Láng, p. Thịnh Quang, Đống Đa, Hà Nội</t>
  </si>
  <si>
    <t>hoanggiaart@gmail.com</t>
  </si>
  <si>
    <t>0974 849 402</t>
  </si>
  <si>
    <t>Chi cục thuế quận Đống Đa</t>
  </si>
  <si>
    <t>09</t>
  </si>
  <si>
    <t>HAN0904</t>
  </si>
  <si>
    <t>Công ty TNHH Dịch vụ tổng hợp và Thương Mại Minh Anh</t>
  </si>
  <si>
    <t>Minh Anh</t>
  </si>
  <si>
    <t>0102068984</t>
  </si>
  <si>
    <t>Ông Trần Xuân Hùng</t>
  </si>
  <si>
    <t>Trần Xuân Hùng</t>
  </si>
  <si>
    <t>Số 3, tổ 32, phường Láng Thượng</t>
  </si>
  <si>
    <t>Số 3, tổ 32, phường Láng Thượng, quận Đống Đa, Hà Nội</t>
  </si>
  <si>
    <t>magcoltd@gmail.com;hotrang.mag@gmail.com</t>
  </si>
  <si>
    <t>0915 424 699</t>
  </si>
  <si>
    <t>HAN0905</t>
  </si>
  <si>
    <t>Công ty TNHH Sản xuất và phân phối hàng tiêu dùng Minh Trí</t>
  </si>
  <si>
    <t>Minh Tri</t>
  </si>
  <si>
    <t>0103249479</t>
  </si>
  <si>
    <t>Bà Ngô Thúy Vân</t>
  </si>
  <si>
    <t>Bùi Thị Thanh Tâm</t>
  </si>
  <si>
    <t>Số 41/32, ngõ 231, phố Chùa Bộc, phường Trung Liệt</t>
  </si>
  <si>
    <t>Số 41/32, ngõ 231, phố Chùa Bộc, phường Trung Liệt, quận Đống Đa, Hà Nội</t>
  </si>
  <si>
    <t>chutrongdung@gmail.com;buithanhtam2012@gmail.com;chutrongdung.2005@gmail.com</t>
  </si>
  <si>
    <t>0123 701 5768</t>
  </si>
  <si>
    <t>HAN0906</t>
  </si>
  <si>
    <t>Công ty TNHH dược phẩm Mỹ Đình</t>
  </si>
  <si>
    <t>My Dinh</t>
  </si>
  <si>
    <t>0102422000</t>
  </si>
  <si>
    <t>ông Trương Hồng Văn</t>
  </si>
  <si>
    <t>Trương Hồng Văn</t>
  </si>
  <si>
    <t xml:space="preserve"> </t>
  </si>
  <si>
    <t>Số 57 ngách 354/159 Trường Trinh, p. Khương Thượng</t>
  </si>
  <si>
    <t>Số 57 ngách 354/159 Trường Trinh, p. Khương Thượng, q. Đống Đa, Hà Nội</t>
  </si>
  <si>
    <t>marknutrilatt888@gmail.com;nutrilattvn@gmail.com</t>
  </si>
  <si>
    <t>0903 293 968</t>
  </si>
  <si>
    <t>HAN0907</t>
  </si>
  <si>
    <t>Công ty TNHH xây dựng và dịch vụ thương mại Thái Phương</t>
  </si>
  <si>
    <t>Thai Phuong</t>
  </si>
  <si>
    <t>0101815104</t>
  </si>
  <si>
    <t>Ông Nguyễn Quý Thái</t>
  </si>
  <si>
    <t>Hồ Văn Mạnh</t>
  </si>
  <si>
    <t>Số 135 Giảng Võ, Phường Cát Linh</t>
  </si>
  <si>
    <t>Số 135 Giảng Võ, Phường Cát Linh, quận Đống Đa, Hà Nội</t>
  </si>
  <si>
    <t>congtytnhh_thaiphuong@yahoo.com.vn</t>
  </si>
  <si>
    <t>0944.529.955</t>
  </si>
  <si>
    <t>HAN0909</t>
  </si>
  <si>
    <t>Doanh nghiệp tư nhân Song Phương</t>
  </si>
  <si>
    <t>Song Phuong</t>
  </si>
  <si>
    <t>0101211374</t>
  </si>
  <si>
    <t>Ông Đinh Văn Thu</t>
  </si>
  <si>
    <t>Chu Thị Diên</t>
  </si>
  <si>
    <t>Số nhà 409, phố Trần Quý Cáp, phường Văn Miếu</t>
  </si>
  <si>
    <t>Số nhà 409, phố Trần Quý Cáp, phường Văn Miếu, quận Đống Đa, Hà Nội</t>
  </si>
  <si>
    <t>fac@fac.vn</t>
  </si>
  <si>
    <t>0986-076-807</t>
  </si>
  <si>
    <t>HAN0911</t>
  </si>
  <si>
    <t>Công ty TNHH Thương Mại Tuyết Huy</t>
  </si>
  <si>
    <t>Tuyet Huy</t>
  </si>
  <si>
    <t>0103672349</t>
  </si>
  <si>
    <t>Bà Phùng Thị Tuyết</t>
  </si>
  <si>
    <t>Lương Thùy Linh</t>
  </si>
  <si>
    <t>Số 235 Giảng Võ, p. Cát Linh</t>
  </si>
  <si>
    <t>Số 235 Giảng Võ, p. Cát Linh, q. Đống Đa, Hà Nội</t>
  </si>
  <si>
    <t>dientutuyethuy@gmail.com;tuyethuy17@yahoo.com</t>
  </si>
  <si>
    <t>0981 869 488</t>
  </si>
  <si>
    <t>HAN1101</t>
  </si>
  <si>
    <t>Công ty TNHH Cơ khí xây dựng thương mại Anh Quang</t>
  </si>
  <si>
    <t>Anh Quang</t>
  </si>
  <si>
    <t>0101335404</t>
  </si>
  <si>
    <t>Bà Hoàng Thị Kim Oanh</t>
  </si>
  <si>
    <t>Hoàng Thị Kim Oanh</t>
  </si>
  <si>
    <t>Số 39, ngõ 263, tổ 50, phường Thanh Xuân Trung</t>
  </si>
  <si>
    <t xml:space="preserve"> Thanh Xuân</t>
  </si>
  <si>
    <t>hoangdunganhquang@gmail.com;trangdt8@gmail.com</t>
  </si>
  <si>
    <t>0971-288-887</t>
  </si>
  <si>
    <t>Chi cục thuế quận Thanh Xuân</t>
  </si>
  <si>
    <t>HAN1103</t>
  </si>
  <si>
    <t>Công ty cổ phần phát triển công nghệ TAP Việt Nam</t>
  </si>
  <si>
    <t>TAP</t>
  </si>
  <si>
    <t>0102008329</t>
  </si>
  <si>
    <t>Ông Vũ Đức Thiện</t>
  </si>
  <si>
    <t>Võ Hùng Sơn</t>
  </si>
  <si>
    <t>Số 12, ngách 51, ngõ 1, phố Bùi Xương Trạch, phường Khương Đình</t>
  </si>
  <si>
    <t>Số 12, ngách 51, ngõ 1, phố Bùi Xương Trạch, phường Khương Đình, quận Thanh Xuân, Hà Nội</t>
  </si>
  <si>
    <t>sonvh@tap-vn.com;vohungson.tap@gmail.com</t>
  </si>
  <si>
    <t>0904 005 566</t>
  </si>
  <si>
    <t>HAN1104</t>
  </si>
  <si>
    <t>Công ty TNHH thương mại dược phẩm Trường Tồn</t>
  </si>
  <si>
    <t>Truong Ton</t>
  </si>
  <si>
    <t>0102588246</t>
  </si>
  <si>
    <t>ông Nguyễn Minh Tuệ</t>
  </si>
  <si>
    <t>Lê Thị Bình</t>
  </si>
  <si>
    <t>P406, nhà A, làng sinh viên HACINCO, p. Nhân Chính</t>
  </si>
  <si>
    <t>P406 - nhà A, làng sinh viên HACINCO, p. Nhân Chính, q. Thanh Xuân, Hà nội</t>
  </si>
  <si>
    <t>entraphaco@gmail.com;nguyenminhtue@gmail.com</t>
  </si>
  <si>
    <t>0983 404 456</t>
  </si>
  <si>
    <t>HAN1105</t>
  </si>
  <si>
    <t>Công ty cổ phần tư vấn kiến trúc AC</t>
  </si>
  <si>
    <t>Kien truc AC</t>
  </si>
  <si>
    <t>0101678401</t>
  </si>
  <si>
    <t>Ông Phạm Văn Chương</t>
  </si>
  <si>
    <t>Chủ tịch HĐQT</t>
  </si>
  <si>
    <t>Bùi Thị Thu Thủy</t>
  </si>
  <si>
    <t>Số 9 Nguyễn Xiển, p. Thanh Xuân Trung</t>
  </si>
  <si>
    <t>Số 9 Nguyễn Xiển, p. Thanh Xuân Trung, q. Thanh Xuân, Hà Nội</t>
  </si>
  <si>
    <t>ketoan.ac37@gmail.com;kientrucac37@gmail.com</t>
  </si>
  <si>
    <t>0243 8318 292</t>
  </si>
  <si>
    <t>HAN1106</t>
  </si>
  <si>
    <t>Công ty TNHH giải pháp khoa học và công nghệ Việt Nam</t>
  </si>
  <si>
    <t>CNVN</t>
  </si>
  <si>
    <t>0101745753</t>
  </si>
  <si>
    <t>ông Nguyễn Phú Cường</t>
  </si>
  <si>
    <t>Phạm Thị Nga</t>
  </si>
  <si>
    <t>Số 27 ngõ 237 đường Hoàng Văn Thái, p. Khương Trung</t>
  </si>
  <si>
    <t>Số 27 ngõ 237 đường Hoàng Văn Thái, p. Khương Trung, Thanh Xuân, Hà Nội</t>
  </si>
  <si>
    <t>phuongvtass@gmail.com;info@vtass.vn</t>
  </si>
  <si>
    <t>0985 186 291</t>
  </si>
  <si>
    <t>HAN1302</t>
  </si>
  <si>
    <t>Văn phòng Công Chứng Việt</t>
  </si>
  <si>
    <t>Cong Chung Viet</t>
  </si>
  <si>
    <t>0102822640</t>
  </si>
  <si>
    <t>Ông Phạm Quang Hưng</t>
  </si>
  <si>
    <t>Trưởng VP</t>
  </si>
  <si>
    <t>Lê Phương Thảo</t>
  </si>
  <si>
    <t>219 Phố Nguyễn Ngọc Vũ ( Tổ 19), Phường Trung Hòa</t>
  </si>
  <si>
    <t xml:space="preserve"> Cầu Giấy</t>
  </si>
  <si>
    <t>219 Phố Nguyễn Ngọc Vũ ( Tổ 19) , Phường Trung Hòa, Quận Cầu Giấy, Hà Nội</t>
  </si>
  <si>
    <t>thaole@congchungviet.com.vn;hung@congchungviet.com.vn;phuongthao139@gmail.com</t>
  </si>
  <si>
    <t>0906 238 268</t>
  </si>
  <si>
    <t>Chi cục thuế quận Cầu Giấy</t>
  </si>
  <si>
    <t>13</t>
  </si>
  <si>
    <t>HAN1303</t>
  </si>
  <si>
    <t>Công ty TNHH Giải pháp công nghệ mới</t>
  </si>
  <si>
    <t>CNM</t>
  </si>
  <si>
    <t>0102594426</t>
  </si>
  <si>
    <t>Ông Đào Thanh Hà</t>
  </si>
  <si>
    <t>Số 6 ngách 155/43 Cầu Giấy, Yên Hòa</t>
  </si>
  <si>
    <t>Số 6 ngách 155/43 Cầu Giấy, Yên Hòa, Cầu Giấy, thành phố Hà Nội.</t>
  </si>
  <si>
    <t>HAN1305</t>
  </si>
  <si>
    <t>Công ty TNHH Thương mại và đầu tư Minh Giang</t>
  </si>
  <si>
    <t>Minh Giang</t>
  </si>
  <si>
    <t>0101766175</t>
  </si>
  <si>
    <t>Bà Châu Kiều Anh</t>
  </si>
  <si>
    <t>Dương Thị Vân</t>
  </si>
  <si>
    <t>Số 32 ngõ 139 ngách 8 đường Nguyễn Ngọc Vũ, p. Trung Hòa</t>
  </si>
  <si>
    <t>Cầu Giấy</t>
  </si>
  <si>
    <t>Số 32 ngõ 139 ngách 8 đường Nguyễn Ngọc Vũ, p. Trung Hòa, q.Cầu Giấy, Hà Nội</t>
  </si>
  <si>
    <t>kieuanh@mgilogis.com;duongvan@mgilogis.com;maihuong@mgilogis.com</t>
  </si>
  <si>
    <t>02462 512 642</t>
  </si>
  <si>
    <t>HAN1307</t>
  </si>
  <si>
    <t>Công ty cổ phần chuyển phát nhanh ADP VINA</t>
  </si>
  <si>
    <t>ADP</t>
  </si>
  <si>
    <t>0102592725</t>
  </si>
  <si>
    <t>bà Lê Ngọc Hằng</t>
  </si>
  <si>
    <t>Nguyễn Thị Gấm</t>
  </si>
  <si>
    <t>Số B4,9, Vinhomes Gardenia, đường Hàm Nghi, p. Cầu Diễn</t>
  </si>
  <si>
    <t>Nam Từ Liêm</t>
  </si>
  <si>
    <t>Số B4-09, Vinhomes Gardenia, đường Hàm Nghi, p. Cầu Diễn, q.Nam Từ Liêm, Hà Nội</t>
  </si>
  <si>
    <t>adphang58a@gmail.com;adp.ketoan@gmail.com</t>
  </si>
  <si>
    <t>0167.270.8411</t>
  </si>
  <si>
    <t>Chi cục thuế quận Nam Từ Liêm</t>
  </si>
  <si>
    <t>55</t>
  </si>
  <si>
    <t>HAN2301</t>
  </si>
  <si>
    <t>Công ty TNHH Thương mại Dụng cụ cắt và mài</t>
  </si>
  <si>
    <t>Cat Mai</t>
  </si>
  <si>
    <t>0101431482</t>
  </si>
  <si>
    <t>Ông Lưu Minh Biển</t>
  </si>
  <si>
    <t>Lê Thị Hương</t>
  </si>
  <si>
    <t>Thôn Tương Chúc, xã Ngũ Hiệp</t>
  </si>
  <si>
    <t xml:space="preserve"> Thanh Trì</t>
  </si>
  <si>
    <t>Thôn Tương Chúc, xã Ngũ Hiệp, Thanh Trì, Hà Nội</t>
  </si>
  <si>
    <t>congtycatmai@gmail.com</t>
  </si>
  <si>
    <t>0978 702 708</t>
  </si>
  <si>
    <t>Chi cục thuế huyện Thanh Trì</t>
  </si>
  <si>
    <t>23</t>
  </si>
  <si>
    <t>HAN2302</t>
  </si>
  <si>
    <t>CÔNG TY TNHH THƯƠNG MẠI TỔNG HỢP AMAP</t>
  </si>
  <si>
    <t>AMAP</t>
  </si>
  <si>
    <t>0105685544</t>
  </si>
  <si>
    <t>Bà Bùi Nhâm Lệ Minh</t>
  </si>
  <si>
    <t>Số 101 tập thể NG, đường Chiến Thắng, xã Tân Triều</t>
  </si>
  <si>
    <t>Số 101 tập thể NG, đường Chiến Thắng, xã Tân Triều, Thanh Trì, Hà Nội</t>
  </si>
  <si>
    <t>hungvtass@gmail.com;uyen.amap@gmail.com;minhbuinhamle@gmail.com;ketoanamap2019@gmail.com;cucnguyentb11@gmail.com</t>
  </si>
  <si>
    <t>02435 522 963</t>
  </si>
  <si>
    <t>HAN2701</t>
  </si>
  <si>
    <t>T&amp;N</t>
  </si>
  <si>
    <t>0104884219</t>
  </si>
  <si>
    <t>Bà Nguyễn Thị Mỹ Ngọc</t>
  </si>
  <si>
    <t>Hoàng Thị Yến</t>
  </si>
  <si>
    <t>Lô LK 09, ô số 28 khu đô thị Văn Phú, phường Phú La</t>
  </si>
  <si>
    <t xml:space="preserve"> Hà Đông</t>
  </si>
  <si>
    <t>Lô LK 09, ô số 28 khu đô thị Văn Phú, phường Phú La, quận Hà Đông, Hà Nội</t>
  </si>
  <si>
    <t>nguyenmyngoc711@gmail.com</t>
  </si>
  <si>
    <t>0166 370 0196</t>
  </si>
  <si>
    <t>Chi cục thuế quận Hà Đông</t>
  </si>
  <si>
    <t>27</t>
  </si>
  <si>
    <t>HAN5301</t>
  </si>
  <si>
    <t>Công ty cổ phần Huyền Anh</t>
  </si>
  <si>
    <t>Huyen Anh</t>
  </si>
  <si>
    <t>0500581666</t>
  </si>
  <si>
    <t>ông Hoàng Đình Biển</t>
  </si>
  <si>
    <t>Vũ Thanh Hà</t>
  </si>
  <si>
    <t>Thôn Giáp Ngọ, thị trấn Chúc Sơn</t>
  </si>
  <si>
    <t>Chương Mỹ</t>
  </si>
  <si>
    <t>Thôn giáp ngọ, thị trấn Chúc Sơn, huyện Chương Mỹ, Hà Nội</t>
  </si>
  <si>
    <t>vuthanhha1903@gmail.com;Rongvangvietnam2013@gmail.com</t>
  </si>
  <si>
    <t>0936 108 599</t>
  </si>
  <si>
    <t>Chi cục thuế huyện Chương Mỹ</t>
  </si>
  <si>
    <t>53</t>
  </si>
  <si>
    <t>HYE0501</t>
  </si>
  <si>
    <t>Công ty cổ phần Xây Dựng Hợp Hưng</t>
  </si>
  <si>
    <t>Hop Hung</t>
  </si>
  <si>
    <t>0901009840</t>
  </si>
  <si>
    <t>Nguyễn Văn Thanh</t>
  </si>
  <si>
    <t>Đường 307, Xóm 13, Đội 12, Thôn 5, xã Thuần Hưng</t>
  </si>
  <si>
    <t xml:space="preserve"> Khoái Châu</t>
  </si>
  <si>
    <t xml:space="preserve"> Hưng Yên</t>
  </si>
  <si>
    <t>Đường 307, Xóm 13, Đội 12, Thôn 5, xã Thuần Hưng, Khoái Châu, Hưng Yên</t>
  </si>
  <si>
    <t>cpxdhophung@gmail.com;nhamaygachvinhquang@gmail.com</t>
  </si>
  <si>
    <t>0962 543 081</t>
  </si>
  <si>
    <t>Hưng Yên</t>
  </si>
  <si>
    <t>Chi cục thuế Khoái Châu - Hưng Yên</t>
  </si>
  <si>
    <t>HAN0801</t>
  </si>
  <si>
    <t>Công ty TNHH thương mại và công nghiệp Tiến Thành</t>
  </si>
  <si>
    <t>Tien Thanh</t>
  </si>
  <si>
    <t>0108039757</t>
  </si>
  <si>
    <t>Bà Nguyễn Thùy Dương</t>
  </si>
  <si>
    <t>Nguyễn Trọng Lân</t>
  </si>
  <si>
    <t>Số 18 Ngõ 268 phố Lê Trọng Tấn, phường Định Công</t>
  </si>
  <si>
    <t xml:space="preserve"> Hoàng Mai</t>
  </si>
  <si>
    <t>Số 18 Ngõ 268 phố Lê Trọng Tấn, phường Định Công, quận Hoàng Mai, thành phố Hà Nội</t>
  </si>
  <si>
    <t>dunglan6959@gmail.com</t>
  </si>
  <si>
    <t>0913 527 081</t>
  </si>
  <si>
    <t>Chi cục thuế quận Hoàng Mai</t>
  </si>
  <si>
    <t>08</t>
  </si>
  <si>
    <t>HAN1108</t>
  </si>
  <si>
    <t>Công ty cổ phần dược phẩm DAVINCI-PHÁP</t>
  </si>
  <si>
    <t>Davinci</t>
  </si>
  <si>
    <t>0102274433</t>
  </si>
  <si>
    <t>Ông Lê Thế Nguyên</t>
  </si>
  <si>
    <t>Nguyễn Thị Hạnh</t>
  </si>
  <si>
    <t>Số nhà 405, D1 Thanh Xuân Bắc, p. Thanh Xuân Bắc</t>
  </si>
  <si>
    <t>Số nhà 12 ngõ 255 phố Vọng, Ha Bà Trưng, Hà Nội</t>
  </si>
  <si>
    <t>Nguyennk48@gmail.com;truongly@davincipharma.com;luongoanhdavinci@gmail.com;lydavinci@gmail.com</t>
  </si>
  <si>
    <t>0915818287</t>
  </si>
  <si>
    <t>HAN1109</t>
  </si>
  <si>
    <t>Công ty cổ phần dược phẩm Hạnh Hà</t>
  </si>
  <si>
    <t>Hanh Ha</t>
  </si>
  <si>
    <t>0105284052</t>
  </si>
  <si>
    <t>Ông Lê Trung</t>
  </si>
  <si>
    <t>Tầng 12 tòa nhà Licogi 13, số 164 Khuất Duy Tiến, Nhân Chính</t>
  </si>
  <si>
    <t>HAN1310</t>
  </si>
  <si>
    <t>Công ty TNHH Công nghệ TM Phát triển DV Minh Anh</t>
  </si>
  <si>
    <t>Minh Anh 2</t>
  </si>
  <si>
    <t>0106847893</t>
  </si>
  <si>
    <t>ông Đoàn Ngọc Quyết</t>
  </si>
  <si>
    <t>Đoàn Ngọc Quyết</t>
  </si>
  <si>
    <t>67 Hoàng Văn Thái, phường Khương Mai</t>
  </si>
  <si>
    <t>67 Hoàng Văn Thái, phường Khương Mai, Thanh Xuân, Hà Nội</t>
  </si>
  <si>
    <t>ngocquyetpro@gmail.com</t>
  </si>
  <si>
    <t>HAN1309</t>
  </si>
  <si>
    <t>Công ty TNHH TSA VINA</t>
  </si>
  <si>
    <t>TSA</t>
  </si>
  <si>
    <t>0107973682</t>
  </si>
  <si>
    <t>bà Lê Thị Thanh Bình</t>
  </si>
  <si>
    <t>Lê Thị Thanh Bình</t>
  </si>
  <si>
    <t>P212 tầng 2, tòa nhà Kim Ánh, số 1 ngõ 78 Dịch Vọng Hậu</t>
  </si>
  <si>
    <t>P212 tầng 2, tòa nhà Kim Ánh - số 1 ngõ 78 Dịch Vọng Hậu - Cầu Giấy - Hà Nội</t>
  </si>
  <si>
    <t>han.tsa@tropicargo.com</t>
  </si>
  <si>
    <t>+84 (0) 968-185-636</t>
  </si>
  <si>
    <t>HAN1110</t>
  </si>
  <si>
    <t>Công ty TNHH sản xuất Thành Tín</t>
  </si>
  <si>
    <t>Thanh Tin</t>
  </si>
  <si>
    <t>0101820168</t>
  </si>
  <si>
    <t>bà Đỗ Thúy Ngọc</t>
  </si>
  <si>
    <t>Nguyễn Thị Thảo</t>
  </si>
  <si>
    <t>Lô 18 BT1, Khu đô thị mới Mễ Trì Hạ, phường Mễ Trì</t>
  </si>
  <si>
    <t xml:space="preserve"> Nam Từ Liêm</t>
  </si>
  <si>
    <t>Lô 18 BT1, Khu đô thị mới Mễ Trì Hạ, phường Mễ Trì, Nam Từ Liêm, Hà Nội</t>
  </si>
  <si>
    <t>thanhtin168@gmail.com;ngocdt.haso@gmail.com</t>
  </si>
  <si>
    <t>096 758 5430</t>
  </si>
  <si>
    <t>HAN0103</t>
  </si>
  <si>
    <t>Công ty TNHH ứng dụng công nghệ và thiết bị thông minh</t>
  </si>
  <si>
    <t>Thong Minh</t>
  </si>
  <si>
    <t>0106106101</t>
  </si>
  <si>
    <t>ông Trần Việt Anh</t>
  </si>
  <si>
    <t>Số 6D, ngõ 155 ngách 43, đường Cầu Giấy, Phường Yên Hoà</t>
  </si>
  <si>
    <t>Số 6D, ngõ 155 ngách 43, đường Cầu Giấy, Phường Yên Hoà, Quận Cầu Giấy, Thành phố Hà Nội, Việt Nam</t>
  </si>
  <si>
    <t>kieuanh@mgilogis.com;maihuong@mgilogis.com</t>
  </si>
  <si>
    <t>HAN1308</t>
  </si>
  <si>
    <t>Công ty cổ phần quốc tế nha khoa Việt Pháp</t>
  </si>
  <si>
    <t>Viet Phap</t>
  </si>
  <si>
    <t>0104912610</t>
  </si>
  <si>
    <t>ông Trịnh Việt Trang</t>
  </si>
  <si>
    <t>Nguyễn Thị Thái</t>
  </si>
  <si>
    <t>Số 24 Trần Duy Hưng, p. Trung Hòa</t>
  </si>
  <si>
    <t>Số 24 Trần Duy Hưng, p. Trung Hòa, Cầu Giấy, Hà Nội</t>
  </si>
  <si>
    <t>nguyenthainsvp1@gmail.com;hongkt.nkqtvp@gmail.com</t>
  </si>
  <si>
    <t>0984 147 000</t>
  </si>
  <si>
    <t>HAN0913</t>
  </si>
  <si>
    <t>Công ty TNHH nha khoa IDS Việt Nam</t>
  </si>
  <si>
    <t>IDS</t>
  </si>
  <si>
    <t>0106941818</t>
  </si>
  <si>
    <t>Số 6 Thái Hà, Trung Liệt</t>
  </si>
  <si>
    <t>Số 6 Thái Hà, Trung Liệt, Đống Đa, Hà Nội</t>
  </si>
  <si>
    <t>HAN0704</t>
  </si>
  <si>
    <t>Công ty cổ phần thương mại và đầu tư An Lạc</t>
  </si>
  <si>
    <t>An Lac</t>
  </si>
  <si>
    <t>0101733324</t>
  </si>
  <si>
    <t>ông Phạm Ngọc Thanh</t>
  </si>
  <si>
    <t>Hoàng Tuyết Mai</t>
  </si>
  <si>
    <t>Số nhà 149, phố Bùi Thị Xuân, Phường Bùi Thị Xuân</t>
  </si>
  <si>
    <t>Tầng 5, tòa nhà CĐ ngân hàng VN, Ngõ 92 đường Trần Thái Tông - Phường Dịch Vọng Hậu - Quận Cầu Giấy - Hà Nội.</t>
  </si>
  <si>
    <t>maiht@sytec.com.vn</t>
  </si>
  <si>
    <t>HAN1112</t>
  </si>
  <si>
    <t>Công ty cổ phần dịch vụ phát triển người dùng MKO</t>
  </si>
  <si>
    <t>MKO</t>
  </si>
  <si>
    <t>0106704359</t>
  </si>
  <si>
    <t>ông Nguyễn Hải Chung</t>
  </si>
  <si>
    <t>Lô NV, B57 khu đô thị Trung Hòa Nhân Chính, p. Nhân Chính</t>
  </si>
  <si>
    <t>Lô NV - B57 khu đô thị Trung Hòa Nhân Chính, p. Nhân Chính, q. Thanh Xuân, Hà Nội</t>
  </si>
  <si>
    <t>nguyenduong1957@gmail.com;phuongntq@mko.vn;hanglt@mko.vn;leader@mko.vn</t>
  </si>
  <si>
    <t>HAN0302</t>
  </si>
  <si>
    <t>Công ty TNHH Skyfarm</t>
  </si>
  <si>
    <t>Skyfarm</t>
  </si>
  <si>
    <t>0105847227</t>
  </si>
  <si>
    <t xml:space="preserve"> Tây Hồ</t>
  </si>
  <si>
    <t>tramcolorliving@gmail.com;lekimdzung@gmail.com;colorlivingketoan@gmail.com</t>
  </si>
  <si>
    <t>HAN1113</t>
  </si>
  <si>
    <t>Công ty TNHH đầu tư công nghệ và thương mại Đăng Khoa</t>
  </si>
  <si>
    <t>Dang Khoa</t>
  </si>
  <si>
    <t>0107389445</t>
  </si>
  <si>
    <t>Bà Lê Thị Lâm</t>
  </si>
  <si>
    <t>Số 164 Nguyễn Tuân, Phường Nhân Chính</t>
  </si>
  <si>
    <t>Số 164 Nguyễn Tuân - Phường Nhân Chính - Quận Thanh Xuân - Hà Nội</t>
  </si>
  <si>
    <t>dangkhoa.ceo01@gmail.com</t>
  </si>
  <si>
    <t>HAN0914</t>
  </si>
  <si>
    <t>Công ty TNHH ShineVision Việt Nam</t>
  </si>
  <si>
    <t>ShineVision</t>
  </si>
  <si>
    <t>0109097568</t>
  </si>
  <si>
    <t>ông Nguyễn Đăng Quỳnh</t>
  </si>
  <si>
    <t>Tổng giám đốc</t>
  </si>
  <si>
    <t>Đàm Linh Hương</t>
  </si>
  <si>
    <t>Phòng 1004P01, tầng 4, tòa nhà Việt/Viet Tower, Trung Liệt</t>
  </si>
  <si>
    <t>Phòng 1004P01 - tầng 4 - tòa nhà Việt/Viet Tower, Trung Liệt, Đống Đa, Hà Nội</t>
  </si>
  <si>
    <t>damlinhhuong@gmail.com;quynhma@gmail.com</t>
  </si>
  <si>
    <t>086-251-7186</t>
  </si>
  <si>
    <t>HAN0104</t>
  </si>
  <si>
    <t>Công ty TNHH Khoáng Sản Minh Hưng</t>
  </si>
  <si>
    <t>Minh Hưng</t>
  </si>
  <si>
    <t>0107586549</t>
  </si>
  <si>
    <t>bà Lương Tuyết Hạnh</t>
  </si>
  <si>
    <t>Tầng 4, số 121, đường Nguyễn Thái Học, Phường Điện Biên</t>
  </si>
  <si>
    <t xml:space="preserve"> Ba Đình</t>
  </si>
  <si>
    <t>Tầng 4, số 121, đường Nguyễn Thái Học - Phường Điện Biên - Quận Ba Đình - Hà Nội.</t>
  </si>
  <si>
    <t>kt.mhg.hp@gmail.com;ngocdt.haso@gmail.com</t>
  </si>
  <si>
    <t>HAN0001</t>
  </si>
  <si>
    <t>Chi nhánh công ty luật TNHH Meilin Kokusai tại Hà Nội</t>
  </si>
  <si>
    <t>Meilin</t>
  </si>
  <si>
    <t>0108550111</t>
  </si>
  <si>
    <t>ông Masatoshi Tanaka</t>
  </si>
  <si>
    <t>Trưởng chi nhánh</t>
  </si>
  <si>
    <t>Tầng 6, toà LYA, số 24 ngõ 12 Đào Tấn, phường Cống Vị</t>
  </si>
  <si>
    <t>Tầng 6, toà LYA, số 24 ngõ 12 Đào Tấn, phường Cống Vị, quận Ba Đình, Hà Nội</t>
  </si>
  <si>
    <t>info@meilin-law.jp;chinguyen@meilin-law.jp</t>
  </si>
  <si>
    <t>00</t>
  </si>
  <si>
    <t>HAN0002</t>
  </si>
  <si>
    <t>Công ty cổ phần Zouen</t>
  </si>
  <si>
    <t>Zouen</t>
  </si>
  <si>
    <t>0109119349</t>
  </si>
  <si>
    <t>ông Kenichi Shinozaki</t>
  </si>
  <si>
    <t>Số 39, đường Hoa Phượng Vĩ, Khu biệt thự Long Việt, Thị trấn Quang Minh</t>
  </si>
  <si>
    <t>Mê Linh</t>
  </si>
  <si>
    <t>Số 39, đường Hoa Phượng Vĩ, Khu biệt thự Long Việt, - Thị trấn Quang Minh - Huyện Mê Linh - Hà Nội</t>
  </si>
  <si>
    <t>giangvu@meilin-law.jp;vnm@tashirozouen.jp;shinozakikenichi0806@gmail.com;hirakataseikouen@hiz.bbiq.jp;info@tashirozouen.jp</t>
  </si>
  <si>
    <t>HAN5501</t>
  </si>
  <si>
    <t>Công ty cổ phần sản xuất Video Viable</t>
  </si>
  <si>
    <t>VIVP</t>
  </si>
  <si>
    <t>0109122292</t>
  </si>
  <si>
    <t>ông Nguyễn Quang Duy</t>
  </si>
  <si>
    <t>Nhà số 8, ngách 11/30 ngõ 63 Lê Đức Thọ, Phường Mỹ Đình 2</t>
  </si>
  <si>
    <t>phuongntq@mko.vn;leader@mko.vn;nguyenduong1957@gmail.com;hanglt@mko.vn</t>
  </si>
  <si>
    <t>HAN0910</t>
  </si>
  <si>
    <t>Công ty TNHH Truyền thông và sự kiện Đăng Quang</t>
  </si>
  <si>
    <t>Dang Quang</t>
  </si>
  <si>
    <t>0108844369</t>
  </si>
  <si>
    <t>Đỗ Bảo Quang</t>
  </si>
  <si>
    <t>Số 64 ngõ 426 đường Láng, Phường Láng Hạ</t>
  </si>
  <si>
    <t xml:space="preserve"> Đống đa</t>
  </si>
  <si>
    <t>Số 64 ngõ 426 đường Láng - Phường Láng Hạ - Quận Đống đa - Hà Nội.</t>
  </si>
  <si>
    <t>dangquangmedia.vn@gmail.com</t>
  </si>
  <si>
    <t>0919900590</t>
  </si>
  <si>
    <t>HAN0802</t>
  </si>
  <si>
    <t>Công ty cổ phần VGEMS</t>
  </si>
  <si>
    <t>VGEMS</t>
  </si>
  <si>
    <t>0109136584</t>
  </si>
  <si>
    <t>Nguyễn Khương Duy</t>
  </si>
  <si>
    <t>Số 38, Tổ 37, Khu TT Cục Đối Ngoại Bộ Quốc Phòng, Phường Định Công</t>
  </si>
  <si>
    <t>Số 38, Tổ 37, Khu TT Cục Đối Ngoại Bộ Quốc Phòng, Phường Định Công, Quận Hoàng Mai, Thành phố Hà Nội, Việt Nam</t>
  </si>
  <si>
    <t>nguyenkhuongduy103@gmail.com</t>
  </si>
  <si>
    <t>0904.922.869</t>
  </si>
  <si>
    <t>BNI0001</t>
  </si>
  <si>
    <t>Công ty TNHH Thiết bị điện 3C Công nghiệp</t>
  </si>
  <si>
    <t>3C Bac Ninh</t>
  </si>
  <si>
    <t>2300238776</t>
  </si>
  <si>
    <t>Đặng Quốc Huy</t>
  </si>
  <si>
    <t>Trần Thị Quỳnh Anh</t>
  </si>
  <si>
    <t>,Khu công nghiệp Tiên Sơn, Phường Đồng Nguyên</t>
  </si>
  <si>
    <t>Từ Sơn</t>
  </si>
  <si>
    <t xml:space="preserve"> Bắc Ninh</t>
  </si>
  <si>
    <t>số 28 ngõ 216 phố Định Công, p. Định Công, Hoàng Mai, Hà Nội</t>
  </si>
  <si>
    <t>duan3c@3cengineering.com.vn</t>
  </si>
  <si>
    <t>0946-250-187</t>
  </si>
  <si>
    <t>Bắc Ninh</t>
  </si>
  <si>
    <t>Cục thuế tỉnh Bắc Ninh</t>
  </si>
  <si>
    <t>HAN0003</t>
  </si>
  <si>
    <t>CÔNG TY TNHH 3C CÔNG NGHIỆP</t>
  </si>
  <si>
    <t>3C Hanoi</t>
  </si>
  <si>
    <t>0100963452</t>
  </si>
  <si>
    <t>Số 27, ngõ 216, phố Định Công, Phường Định Công</t>
  </si>
  <si>
    <t>Số 27, ngõ 216, phố Định Công - Phường Định Công - Quận Hoàng Mai - Hà Nội.</t>
  </si>
  <si>
    <t>HAN0004</t>
  </si>
  <si>
    <t>Kotobuki</t>
  </si>
  <si>
    <t>0109303771</t>
  </si>
  <si>
    <t>Đoàn Văn Tư</t>
  </si>
  <si>
    <t>Số 64, ngõ 95, phố Vũ Xuân Thiều, tổ 13, Phường Phúc Lợi</t>
  </si>
  <si>
    <t>Long Biên</t>
  </si>
  <si>
    <t>Số 64, ngõ 95, phố Vũ Xuân Thiều, tổ 13, Phường Phúc Lợi, Quận Long Biên, Thành Phố Hà Nội, Việt Nam</t>
  </si>
  <si>
    <t>doan@kotobukikk.com</t>
  </si>
  <si>
    <t>HAN1301</t>
  </si>
  <si>
    <t>CÔNG TY CỔ PHẦN PHẦN MỀM MELIASOFT</t>
  </si>
  <si>
    <t>MELIASOFT</t>
  </si>
  <si>
    <t>0104539854</t>
  </si>
  <si>
    <t>Trần Bá Kim Ngọc</t>
  </si>
  <si>
    <t>Tầng 7 tòa nhà Intracom, ngõ 72 Trần Thái Tông - Phường Dịch Vọng Hậu</t>
  </si>
  <si>
    <t>Tầng 7 tòa nhà Intracom, ngõ 72 Trần Thái Tông - Phường Dịch Vọng Hậu - Quận Cầu Giấy - Hà Nội</t>
  </si>
  <si>
    <t>ngoctbk@meliasoft.com</t>
  </si>
  <si>
    <t>098-335-8982</t>
  </si>
  <si>
    <t>Chi cục thuế Quận Cầu Giấy</t>
  </si>
  <si>
    <t>HAN0601</t>
  </si>
  <si>
    <t xml:space="preserve">CÔNG TY TNHH THƯƠNG MẠI VÀ SẢN XUẤT NỘI THẤT THÀNH PHÁT	</t>
  </si>
  <si>
    <t>Thanh Phat</t>
  </si>
  <si>
    <t>0109400006</t>
  </si>
  <si>
    <t>Lê Việt Thành</t>
  </si>
  <si>
    <t>Lý Thị Huế</t>
  </si>
  <si>
    <t>Số 592 Ngô Gia Tự, - Phường Đức Giang</t>
  </si>
  <si>
    <t>Số 592 Ngô Gia Tự, - Phường Đức Giang - Quận Long Biên - Hà Nội.</t>
  </si>
  <si>
    <t>lvt992017@gmail.com;beautyinnorth89@gmail.com</t>
  </si>
  <si>
    <t>0985516828;0971288887</t>
  </si>
  <si>
    <t>Chi cục thuế Quận Long Biên</t>
  </si>
  <si>
    <t>06</t>
  </si>
  <si>
    <t>HAN5302</t>
  </si>
  <si>
    <t>CÔNG TY TNHH DƯỢC PHẨM NEWLIFE VIỆT NAM</t>
  </si>
  <si>
    <t>Newlife</t>
  </si>
  <si>
    <t>0109216582</t>
  </si>
  <si>
    <t>Nguyễn Bá Tùng</t>
  </si>
  <si>
    <t>Nguyễn Thị Cúc</t>
  </si>
  <si>
    <t>Thôn Đồi 1, - Xã Đông Phương Yên</t>
  </si>
  <si>
    <t>polypharm.etc@gmail.com</t>
  </si>
  <si>
    <t>Chi cục thuế Huyện Chương Mỹ</t>
  </si>
  <si>
    <t>HAN0803</t>
  </si>
  <si>
    <t>CÔNG TY TNHH DƯỢC PHẨM POLYPHARM</t>
  </si>
  <si>
    <t>Polypharm</t>
  </si>
  <si>
    <t>0108163313</t>
  </si>
  <si>
    <t>Nguyễn Bá Hùng</t>
  </si>
  <si>
    <t>Số 61 , Phố Đặng Xuân Bảng - Phường Đại Kim</t>
  </si>
  <si>
    <t>Hoàng Mai</t>
  </si>
  <si>
    <t>Số 61 , Phố Đặng Xuân Bảng - Phường Đại Kim - Quận Hoàng Mai</t>
  </si>
  <si>
    <t>Chi cục thuế Quận Hoàng Mai</t>
  </si>
  <si>
    <t>HAN3301</t>
  </si>
  <si>
    <t>Công ty TNHH Thương mại và xuất nhập khẩu Quang Khương</t>
  </si>
  <si>
    <t>Quang Khuong</t>
  </si>
  <si>
    <t>0108782183</t>
  </si>
  <si>
    <t>Đỗ Văn Khương</t>
  </si>
  <si>
    <t>Số nhà 28 Xóm Giữa, thôn Phương Mạc, xã Phương Đình</t>
  </si>
  <si>
    <t>Đan Phượng</t>
  </si>
  <si>
    <t>Số nhà 28 Xóm Giữa, thôn Phương Mạc, xã Phương Đình, huyện Đan Phượng, thành phố Hà Nội, Việt Nam</t>
  </si>
  <si>
    <t>dovankhuongnd@gmail.com</t>
  </si>
  <si>
    <t>096 207 6282</t>
  </si>
  <si>
    <t>Chi cục thuế Huyện Đan Phượng</t>
  </si>
  <si>
    <t>33</t>
  </si>
  <si>
    <t>HAN1114</t>
  </si>
  <si>
    <t>Công ty Cổ phần trí tuệ nhân tạo Thiên Hà</t>
  </si>
  <si>
    <t>Thien Ha</t>
  </si>
  <si>
    <t>0109283966</t>
  </si>
  <si>
    <t>Trần Đình Thức</t>
  </si>
  <si>
    <t>Số 06 ngõ 106 Lê Trọng Tấn, p. Khương Mai</t>
  </si>
  <si>
    <t>Thanh Xuân</t>
  </si>
  <si>
    <t>Số 06 ngõ 106 Lê Trọng Tấn, p. Khương Mai, Thanh Xuân, Hà Nội</t>
  </si>
  <si>
    <t>sirthucnote3@gmail.com</t>
  </si>
  <si>
    <t>Chi cục thuế Quận Thanh Xuân</t>
  </si>
  <si>
    <t>HAN2702</t>
  </si>
  <si>
    <t>Công ty cổ phần F1 TECH</t>
  </si>
  <si>
    <t>F1TECH</t>
  </si>
  <si>
    <t>0106458022</t>
  </si>
  <si>
    <t>Đỗ Văn Sơn</t>
  </si>
  <si>
    <t>Số 26 ngõ 91, tổ dân phố 14, p. Kiến Hưng</t>
  </si>
  <si>
    <t>Hà Đông</t>
  </si>
  <si>
    <t>Số 26 ngõ 91, Tổ dân phố 14, Phường Kiến Hưng, Quận Hà Đông, Hà Nội</t>
  </si>
  <si>
    <t>dutoanf1@gmail.com</t>
  </si>
  <si>
    <t>0983-207-248</t>
  </si>
  <si>
    <t>Chi cục thuế Quận Hà Đông</t>
  </si>
  <si>
    <t>HAN3302</t>
  </si>
  <si>
    <t>Công ty TNHH Thương mại và dịch vụ Garden Việt Nam</t>
  </si>
  <si>
    <t>Garden</t>
  </si>
  <si>
    <t>0109073976</t>
  </si>
  <si>
    <t>dovankhuongnd@gmai.com</t>
  </si>
  <si>
    <t>0962-076-282</t>
  </si>
  <si>
    <t>HAN3701</t>
  </si>
  <si>
    <t>Công ty cổ phần nội thất Mộc Lam</t>
  </si>
  <si>
    <t>Moc Lam</t>
  </si>
  <si>
    <t>0108519224</t>
  </si>
  <si>
    <t>Trịnh Đình Tuấn</t>
  </si>
  <si>
    <t>Thôn Đồng Nhân, Xã Đông La</t>
  </si>
  <si>
    <t>Hoài Đức</t>
  </si>
  <si>
    <t>Thôn Đồng Nhân, Xã Đông La, huyện Hoài Đức, Hà Nội</t>
  </si>
  <si>
    <t>ketoannoithatmoclam@gmail.com</t>
  </si>
  <si>
    <t>096-5788394</t>
  </si>
  <si>
    <t>Chi cục thuế Huyện Hoài Đức</t>
  </si>
  <si>
    <t>37</t>
  </si>
  <si>
    <t>HAN2303</t>
  </si>
  <si>
    <t>Công ty TNHH Xa La</t>
  </si>
  <si>
    <t>Xala</t>
  </si>
  <si>
    <t>0107507459</t>
  </si>
  <si>
    <t>Nguyễn Thị Hương Dịu</t>
  </si>
  <si>
    <t>Số 72B, Xóm Cộng Hoà, Xã Hữu Hoà</t>
  </si>
  <si>
    <t>Thanh Trì</t>
  </si>
  <si>
    <t>Số 72B, Xóm Cộng Hoà, Xã Hữu Hoà, Huyện Thanh Trì, TP Hà Nội</t>
  </si>
  <si>
    <t>huongdiu179@gmail.com</t>
  </si>
  <si>
    <t>Chi cục thuế Huyện Thanh Trì</t>
  </si>
  <si>
    <t>HAN2304</t>
  </si>
  <si>
    <t>CÔNG TY TNHH PHIÊU TÂY BẮC AUTO</t>
  </si>
  <si>
    <t>Tay Bac</t>
  </si>
  <si>
    <t>0109121122</t>
  </si>
  <si>
    <t>Nguyễn Bá Phiêu</t>
  </si>
  <si>
    <t>Số 1, ngách 75/2, ngõ 75, Xóm Lẻ, Thôn Triều Khúc, Xã Tân Triều</t>
  </si>
  <si>
    <t>Số 1, ngách 75/2, ngõ 75, Xóm Lẻ, Thôn Triều Khúc, Xã Tân Triều, Thanh Trì, Hà Nội</t>
  </si>
  <si>
    <t>Phieutaybac@gmail.com</t>
  </si>
  <si>
    <t>HAN1115</t>
  </si>
  <si>
    <t>CÔNG TY CỔ PHẦN THẾ GIỚI CÔNG NGHỆ VIỆT NAM</t>
  </si>
  <si>
    <t>TECHWORLDVN</t>
  </si>
  <si>
    <t>0102987593</t>
  </si>
  <si>
    <t>Lê Trung Kiên</t>
  </si>
  <si>
    <t>Đào Thị Ngân</t>
  </si>
  <si>
    <t>Số 11 ngõ 153 Trường Chinh, Phường Phương Liệt</t>
  </si>
  <si>
    <t>Số 11 ngõ 153 Trường Chinh, Phường Phương Liệt, Thanh Xuân, Hà Nội</t>
  </si>
  <si>
    <t>ngandt@techworldvn.com</t>
  </si>
  <si>
    <t>0986 693 264</t>
  </si>
  <si>
    <t>Năm báo cáo:</t>
  </si>
  <si>
    <t>Tên doanh nghiệp:</t>
  </si>
  <si>
    <t>Mã số thuế</t>
  </si>
  <si>
    <t>Địa chỉ:</t>
  </si>
  <si>
    <t>Tỉnh/TP:</t>
  </si>
  <si>
    <t>CQQL:</t>
  </si>
  <si>
    <t>Mã CQQL:</t>
  </si>
  <si>
    <t>Ngày đầu kỳ:</t>
  </si>
  <si>
    <t>Ngày cuối kỳ:</t>
  </si>
  <si>
    <t>Ngày lập:</t>
  </si>
  <si>
    <t>Năm:</t>
  </si>
  <si>
    <t>Year:</t>
  </si>
  <si>
    <t>BCDTK!K$9:K$405</t>
  </si>
  <si>
    <t>BCDTK!L$9:L$405</t>
  </si>
  <si>
    <t>BCDTK!G$9:G$405</t>
  </si>
  <si>
    <t>BCDTK!H$9:H$405</t>
  </si>
  <si>
    <t>Incompliance assets awaiting for resolution</t>
  </si>
  <si>
    <t>TỜ KHAI QUYẾT TOÁN THUẾ TNDN</t>
  </si>
  <si>
    <t>STT</t>
  </si>
  <si>
    <t>Chỉ tiêu</t>
  </si>
  <si>
    <t>Mã chỉ tiêu</t>
  </si>
  <si>
    <t>Số tiền</t>
  </si>
  <si>
    <t>A</t>
  </si>
  <si>
    <t>Kết quả kinh doanh ghi nhận theo báo cáo tài chính</t>
  </si>
  <si>
    <t>1</t>
  </si>
  <si>
    <t>Tổng lợi nhuận kế toán trước thuế thu nhập doanh nghiệp</t>
  </si>
  <si>
    <t>A1</t>
  </si>
  <si>
    <t>B</t>
  </si>
  <si>
    <t>Xác định thu nhập chịu thuế theo Luật thuế thu nhập doanh nghiệp</t>
  </si>
  <si>
    <t>Điều chỉnh tăng tổng lợi nhuận trước thuế thu nhập doanh nghiệp 
(B1= B2+B3+B4+B5+B6 +B7)</t>
  </si>
  <si>
    <t>B1</t>
  </si>
  <si>
    <t>1.1</t>
  </si>
  <si>
    <t>Các khoản điều chỉnh tăng doanh thu</t>
  </si>
  <si>
    <t>B2</t>
  </si>
  <si>
    <t>1.2</t>
  </si>
  <si>
    <t xml:space="preserve">Chi phí của phần doanh thu điều chỉnh giảm </t>
  </si>
  <si>
    <t>B3</t>
  </si>
  <si>
    <t>1.3</t>
  </si>
  <si>
    <t>Các khoản chi không được trừ khi xác định thu nhập chịu thuế</t>
  </si>
  <si>
    <t>B4</t>
  </si>
  <si>
    <t>1.4</t>
  </si>
  <si>
    <t>Thuế thu nhập đã nộp cho phần thu nhập nhận được ở nước ngoài</t>
  </si>
  <si>
    <t>B5</t>
  </si>
  <si>
    <t>1.5</t>
  </si>
  <si>
    <t>Điều chỉnh tăng lợi nhuận do xác định giá thị trường đối với 
giao dịch liên kết</t>
  </si>
  <si>
    <t>B6</t>
  </si>
  <si>
    <t>1.6</t>
  </si>
  <si>
    <t>Các khoản điều chỉnh làm tăng lợi nhuận trước thuế khác</t>
  </si>
  <si>
    <t>B7</t>
  </si>
  <si>
    <t>2</t>
  </si>
  <si>
    <t xml:space="preserve">Điều chỉnh giảm tổng lợi nhuận trước thuế thu nhập doanh nghiệp (B8=B9+B10+B11) </t>
  </si>
  <si>
    <t>B8</t>
  </si>
  <si>
    <t>2.1</t>
  </si>
  <si>
    <t>Giảm trừ các khoản doanh thu đã tính thuế năm trước</t>
  </si>
  <si>
    <t>B9</t>
  </si>
  <si>
    <t>2.2</t>
  </si>
  <si>
    <t xml:space="preserve">Chi phí của phần doanh thu điều chỉnh tăng </t>
  </si>
  <si>
    <t>B10</t>
  </si>
  <si>
    <t>2.3</t>
  </si>
  <si>
    <t>Các khoản điều chỉnh làm giảm lợi nhuận trước thuế khác</t>
  </si>
  <si>
    <t>B11</t>
  </si>
  <si>
    <t>3</t>
  </si>
  <si>
    <t>Tổng thu nhập chịu thuế (B12=A1+B1-B8)</t>
  </si>
  <si>
    <t>B12</t>
  </si>
  <si>
    <t>3.1</t>
  </si>
  <si>
    <t>Thu nhập chịu thuế từ hoạt động sản xuất kinh doanh</t>
  </si>
  <si>
    <t>B13</t>
  </si>
  <si>
    <t>3.2</t>
  </si>
  <si>
    <t>Thu nhập chịu thuế từ hoạt động chuyển nhượng bất động sản (B14=B12-B13)</t>
  </si>
  <si>
    <t>B14</t>
  </si>
  <si>
    <t>Xác định thuế thu nhập doanh nghiệp ( TNDN) phải nộp từ hoạt động sản xuất kinh doanh</t>
  </si>
  <si>
    <t>Thu nhập chịu thuế (C1 = B13)</t>
  </si>
  <si>
    <t>C1</t>
  </si>
  <si>
    <t>Thu nhập miễn thuế</t>
  </si>
  <si>
    <t>C2</t>
  </si>
  <si>
    <t>Chuyển lỗ và bù trừ lãi, lỗ</t>
  </si>
  <si>
    <t>C3</t>
  </si>
  <si>
    <t xml:space="preserve">Lỗ từ hoạt động SXKD được chuyển trong kỳ </t>
  </si>
  <si>
    <t>C3a</t>
  </si>
  <si>
    <t>Lỗ từ chuyển nhượng BĐS được bù trừ với lãi của hoạt động SXKD</t>
  </si>
  <si>
    <t>C3b</t>
  </si>
  <si>
    <t>4</t>
  </si>
  <si>
    <t>Thu nhập tính thuế (TNTT) (C4=C1-C2-C3a-C3b)</t>
  </si>
  <si>
    <t>C4</t>
  </si>
  <si>
    <t>5</t>
  </si>
  <si>
    <t>Trích lập quỹ khoa học công nghệ (nếu có)</t>
  </si>
  <si>
    <t>C5</t>
  </si>
  <si>
    <t>6</t>
  </si>
  <si>
    <t>TNTT sau khi đã trích lập quỹ khoa học công nghệ (C6=C4-C5=C7+C8+C9)</t>
  </si>
  <si>
    <t>C6</t>
  </si>
  <si>
    <t>6.1</t>
  </si>
  <si>
    <t>Trong đó: + Thu nhập tính thuế tính theo thuế suất 22% (bao gồm cả thu nhập được áp dụng thuế suất ưu đãi)</t>
  </si>
  <si>
    <t>C7</t>
  </si>
  <si>
    <t>6.2</t>
  </si>
  <si>
    <t xml:space="preserve">               + Thu nhập tính thuế tính theo thuế suất 20% (bao gồm cả thu nhập được áp dụng thuế suất ưu đãi)</t>
  </si>
  <si>
    <t>C8</t>
  </si>
  <si>
    <t>6.3</t>
  </si>
  <si>
    <t xml:space="preserve">               + Thu nhập tính thuế tính theo thuế suất không ưu đãi khác</t>
  </si>
  <si>
    <t>C9</t>
  </si>
  <si>
    <t xml:space="preserve">               + Thuế suất không ưu đãi khác (%)</t>
  </si>
  <si>
    <t>C9a</t>
  </si>
  <si>
    <t>7</t>
  </si>
  <si>
    <t>Thuế TNDN từ hoạt động SXKD tính theo thuế suất không ưu đãi (C10 =(C7 x 22%) + (C8 x 20%) + (C9 x C9a))</t>
  </si>
  <si>
    <t>C10</t>
  </si>
  <si>
    <t>8</t>
  </si>
  <si>
    <t>Thuế TNDN chênh lệch do áp dụng mức thuế suất ưu đãi</t>
  </si>
  <si>
    <t>C11</t>
  </si>
  <si>
    <t>9</t>
  </si>
  <si>
    <t>Thuế TNDN được miễn, giảm trong kỳ</t>
  </si>
  <si>
    <t>C12</t>
  </si>
  <si>
    <t>9.1</t>
  </si>
  <si>
    <t>Trong đó: + Số thuế TNDN được miễn, giảm theo Hiệp định</t>
  </si>
  <si>
    <t>C13</t>
  </si>
  <si>
    <t>9.2</t>
  </si>
  <si>
    <t xml:space="preserve">+ Số thuế được miễn, giảm không theo Luật Thuế TNDN </t>
  </si>
  <si>
    <t>C14</t>
  </si>
  <si>
    <t>Số thuế thu nhập đã nộp ở nước ngoài được trừ trong kỳ tính thuế</t>
  </si>
  <si>
    <t>C15</t>
  </si>
  <si>
    <t>12</t>
  </si>
  <si>
    <t>Thuế TNDN của hoạt động sản xuất kinh doanh (C16=C10-C11-C12-C15)</t>
  </si>
  <si>
    <t>C16</t>
  </si>
  <si>
    <t>D</t>
  </si>
  <si>
    <t>Tổng số thuế TNDN phải nộp  (D=D1+D2+D3)</t>
  </si>
  <si>
    <t>Thuế TNDN của hoạt động sản xuất kinh doanh (D1=C16)</t>
  </si>
  <si>
    <t>D1</t>
  </si>
  <si>
    <t xml:space="preserve">Thuế TNDN từ hoạt động chuyển nhượng bất động sản </t>
  </si>
  <si>
    <t>D2</t>
  </si>
  <si>
    <t xml:space="preserve">Thuế TNDN phải nộp khác (nếu có) </t>
  </si>
  <si>
    <t>D3</t>
  </si>
  <si>
    <t>E</t>
  </si>
  <si>
    <t>Số thuế TNDN đã tạm nộp trong năm (E = E1+E2+E3)</t>
  </si>
  <si>
    <t xml:space="preserve">Thuế TNDN của hoạt động sản xuất kinh doanh </t>
  </si>
  <si>
    <t>E1</t>
  </si>
  <si>
    <t>E2</t>
  </si>
  <si>
    <t>E3</t>
  </si>
  <si>
    <t>G</t>
  </si>
  <si>
    <t>Tổng số thuế TNDN còn phải nộp (G = G1+G2+G3)</t>
  </si>
  <si>
    <t>Thuế TNDN của hoạt động sản xuất kinh doanh (G1 = D1-E1)</t>
  </si>
  <si>
    <t>G1</t>
  </si>
  <si>
    <t>Thuế TNDN từ hoạt động chuyển nhượng bất động sản (G2 = D2-E2)</t>
  </si>
  <si>
    <t>G2</t>
  </si>
  <si>
    <t>Thuế TNDN phải nộp khác (nếu có) (G3 = D3-E3)</t>
  </si>
  <si>
    <t>G3</t>
  </si>
  <si>
    <t>H</t>
  </si>
  <si>
    <t>20% số thuế TNDN phải nộp (H = D*20%)</t>
  </si>
  <si>
    <t>I</t>
  </si>
  <si>
    <t>Chênh lệch giữa số thuế TNDN còn phải nộp với 20% số thuế TNDN phải nộp 
(I = G-H)</t>
  </si>
  <si>
    <t>Amount</t>
  </si>
  <si>
    <t>No.</t>
  </si>
  <si>
    <t>Total accounting profit before CIT</t>
  </si>
  <si>
    <t>Expenses are not deductible when determining taxable income</t>
  </si>
  <si>
    <t>Income tax paid on the share of income received abroad</t>
  </si>
  <si>
    <t>Adjusted to increase profits due to determining the market price for
related transactions</t>
  </si>
  <si>
    <t>Other adjust to increase profit before CIT</t>
  </si>
  <si>
    <t xml:space="preserve">Adjust to decrease total profit before CIT (B8=B9+B10+B11) </t>
  </si>
  <si>
    <t>Reduction of revenue that is taxable last year</t>
  </si>
  <si>
    <t>Adjust to increase of revenue</t>
  </si>
  <si>
    <t>Expense of increased revenue</t>
  </si>
  <si>
    <t>Expenses of decreased revenue</t>
  </si>
  <si>
    <t>Other adjust to decrease profit before CIT</t>
  </si>
  <si>
    <t>Total taxable income (B12=A1+B1-B8)</t>
  </si>
  <si>
    <t>Taxable income from business activities</t>
  </si>
  <si>
    <t>Taxable income from real estate transactions (B14=B12-B13)</t>
  </si>
  <si>
    <t>Determine payable CIT from business activities</t>
  </si>
  <si>
    <t>Taxable income (C1 = B13)</t>
  </si>
  <si>
    <t>Tax-free income</t>
  </si>
  <si>
    <t>Loss cary forward and offset</t>
  </si>
  <si>
    <t>Loss from business activities caried forward in current period</t>
  </si>
  <si>
    <t>Loss from real estate offset with profit of business activities</t>
  </si>
  <si>
    <t>Tax calculation income (C4=C1-C2-C3a-C3b)</t>
  </si>
  <si>
    <t>Tax calculation income after appropriation for scientific development fund (C6=C4-C5=C7+C8+C9)</t>
  </si>
  <si>
    <t>Include:    + Tax calculation income with tax rate 22% (included endowed tax rate income)</t>
  </si>
  <si>
    <t xml:space="preserve">               + Tax calculation income with other non-endowed tax rate</t>
  </si>
  <si>
    <t xml:space="preserve">               + Other non-endowed tax rate (%)</t>
  </si>
  <si>
    <t>CIT of business activities with non-endowed tax rate (C10 =(C7 x 22%) + (C8 x 20%) + (C9 x C9a))</t>
  </si>
  <si>
    <t>Difference in CIT due to the application of endowed tax rate</t>
  </si>
  <si>
    <t xml:space="preserve">Tax exemption or reduction during the period </t>
  </si>
  <si>
    <t>Include:   + CIT exempted or reduced under the Agreements</t>
  </si>
  <si>
    <t>+ CIT exempted or reduced not according to the law of CIT</t>
  </si>
  <si>
    <t>CIT paid abroad decducted during the period</t>
  </si>
  <si>
    <t>CIT of business activities (C16=C10-C11-C12-C15)</t>
  </si>
  <si>
    <t>CIT of business activities (D1=C16)</t>
  </si>
  <si>
    <t>CIT of real estate transactions</t>
  </si>
  <si>
    <t>CIT temporarily paid in the fiscal year (E = E1+E2+E3)</t>
  </si>
  <si>
    <t>CIT of business activities</t>
  </si>
  <si>
    <t>Remaining CIT payable (G = G1+G2+G3)</t>
  </si>
  <si>
    <t>Total CIT payable  (D=D1+D2+D3)</t>
  </si>
  <si>
    <t>CIT of business activities (G1 = D1-E1)</t>
  </si>
  <si>
    <t>Other CIT payable (if any)</t>
  </si>
  <si>
    <t>CIT of real estate transactions (G2 = D2-E2)</t>
  </si>
  <si>
    <t>Other CIT payable (if any) (G3 = D3-E3)</t>
  </si>
  <si>
    <t>20% of Total CIT payable (H = D*20%)</t>
  </si>
  <si>
    <t>Difference between remaining CIT payable with 20% of  total CIT payable
(I = G-H)</t>
  </si>
  <si>
    <t>CORPORATE INCOME TAX STATEMENT</t>
  </si>
  <si>
    <t>PHỤ LỤC 03-1A</t>
  </si>
  <si>
    <t>KẾT QUẢ HOẠT ĐỘNG KINH DOANH</t>
  </si>
  <si>
    <t>(1)</t>
  </si>
  <si>
    <t>(2)</t>
  </si>
  <si>
    <t>(3)</t>
  </si>
  <si>
    <t>(4)</t>
  </si>
  <si>
    <t>Kết quả  kinh doanh ghi nhận theo báo cáo tài chính:</t>
  </si>
  <si>
    <t>Doanh thu bán hàng  và cung cấp dịch vụ</t>
  </si>
  <si>
    <t>[01]</t>
  </si>
  <si>
    <t>Trong đó: - Doanh thu bán hàng hoá, dịch vụ xuất khẩu</t>
  </si>
  <si>
    <t>[02]</t>
  </si>
  <si>
    <t>Các khoản giảm trừ doanh thu ([03]=[04]+[05]+[06]+[07])</t>
  </si>
  <si>
    <t>[03]</t>
  </si>
  <si>
    <t>a</t>
  </si>
  <si>
    <t>Chiết khấu thương mại</t>
  </si>
  <si>
    <t>[04]</t>
  </si>
  <si>
    <t>b</t>
  </si>
  <si>
    <t>Giảm giá hàng bán</t>
  </si>
  <si>
    <t>[05]</t>
  </si>
  <si>
    <t>c</t>
  </si>
  <si>
    <t>Giá trị hàng bán bị trả lại</t>
  </si>
  <si>
    <t>[06]</t>
  </si>
  <si>
    <t>d</t>
  </si>
  <si>
    <t>Thuế tiêu thụ đặc biệt, thuế xuất khẩu, thuế giá trị gia tăng theo phương pháp trực tiếp phải nộp</t>
  </si>
  <si>
    <t>[07]</t>
  </si>
  <si>
    <t xml:space="preserve">Doanh thu hoạt động tài chính </t>
  </si>
  <si>
    <t>[08]</t>
  </si>
  <si>
    <t>Chi phí sản xuất, kinh doanh hàng hoá, dịch vụ ([09]=[10]+[11]+[12])</t>
  </si>
  <si>
    <t>[09]</t>
  </si>
  <si>
    <t>[10]</t>
  </si>
  <si>
    <t>[11]</t>
  </si>
  <si>
    <t>[12]</t>
  </si>
  <si>
    <t>[13]</t>
  </si>
  <si>
    <t>Trong đó: Chi phí lãi tiền vay dùng cho sản xuất, kinh doanh</t>
  </si>
  <si>
    <t>[14]</t>
  </si>
  <si>
    <t>Lợi nhuận thuần từ hoạt động kinh doanh  ([15]=[01]-[03]+[08]-[09]-[13])</t>
  </si>
  <si>
    <t>[15]</t>
  </si>
  <si>
    <t>[16]</t>
  </si>
  <si>
    <t>[17]</t>
  </si>
  <si>
    <t>Lợi nhuận khác ([18]=[16]-[17])</t>
  </si>
  <si>
    <t>[18]</t>
  </si>
  <si>
    <t>Tổng lợi nhuận kế toán trước thuế thu nhập doanh nghiệp ([19]=[15]+[18])</t>
  </si>
  <si>
    <t>[19]</t>
  </si>
  <si>
    <t>APPENDIX 03-1A</t>
  </si>
  <si>
    <t>PROFIT AND LOSS STATEMENT</t>
  </si>
  <si>
    <t>Profit and Loss recorded in the Financial Statement:</t>
  </si>
  <si>
    <t>Included: Sales of goods and services exported</t>
  </si>
  <si>
    <t>Deduction of Sales ([03]=[04]+[05]+[06]+[07])</t>
  </si>
  <si>
    <t>Trade discounts</t>
  </si>
  <si>
    <t>Sale discounts</t>
  </si>
  <si>
    <t>Value of returned goods sold</t>
  </si>
  <si>
    <t>Special consumption tax, export tax, VAT that applied direct payable method</t>
  </si>
  <si>
    <t>Revenue from financial activities</t>
  </si>
  <si>
    <t>Expenses for the production and trading of goods and services ([09]=[10]+[11]+[12])</t>
  </si>
  <si>
    <t>Interest expenses</t>
  </si>
  <si>
    <t>Included: Interest expenses of loan for business activities</t>
  </si>
  <si>
    <t>Profit from operation  ([15]=[01]-[03]+[08]-[09]-[13])</t>
  </si>
  <si>
    <t>Other profit/loss ([18]=[16]-[17])</t>
  </si>
  <si>
    <t>Total accounting net profit before CIT ([19]=[15]+[18])</t>
  </si>
  <si>
    <t>Năm phát sinh lỗ</t>
  </si>
  <si>
    <t>Số lỗ phát sinh</t>
  </si>
  <si>
    <t>Sỗ lỗ đã chuyển
trong các kỳ tính thuế trước</t>
  </si>
  <si>
    <t>Số lỗ được chuyển trong kỳ tính thuế này</t>
  </si>
  <si>
    <t>Số lỗ còn được chuyển sang các kỳ tính thuế sau</t>
  </si>
  <si>
    <t>(5)</t>
  </si>
  <si>
    <t>(6)</t>
  </si>
  <si>
    <t>Tổng cộng</t>
  </si>
  <si>
    <t>Adjust to increase total profit before CIT (B1= B2+B3+B4+B5+B6 +B7)</t>
  </si>
  <si>
    <t>Year</t>
  </si>
  <si>
    <t>Loss arisen</t>
  </si>
  <si>
    <t>Loss caried forward on the last period</t>
  </si>
  <si>
    <t>Loss caried forward on current period</t>
  </si>
  <si>
    <t>PHỤ LỤC 03-2A</t>
  </si>
  <si>
    <t>CHUYỂN LỖ TỪ HOẠT ĐỘNG SẢN XUẤT KINH DOANH</t>
  </si>
  <si>
    <t>APPENDIX 03-2A</t>
  </si>
  <si>
    <t>LOSSES CARIED FORWARD FROM BUSINESS ACTIVITIES</t>
  </si>
  <si>
    <t>Loss caried forward to the next periods</t>
  </si>
  <si>
    <t>I. Cash and cash equivalent</t>
  </si>
  <si>
    <t>II. Financial Investments</t>
  </si>
  <si>
    <t>1.Trading securities</t>
  </si>
  <si>
    <t>2.Held-to-maturity investments</t>
  </si>
  <si>
    <t>III. Receivables</t>
  </si>
  <si>
    <t>IV. Inventory</t>
  </si>
  <si>
    <t>VII. Capital contruction in progress</t>
  </si>
  <si>
    <t>VIII. Other Assets</t>
  </si>
  <si>
    <t>I. Liabilities</t>
  </si>
  <si>
    <t>3.Investments in other entities</t>
  </si>
  <si>
    <t>4.Provision for lose of trading securities</t>
  </si>
  <si>
    <t>1.Receivables from Customers</t>
  </si>
  <si>
    <t>2.Prepayment for Suppliers</t>
  </si>
  <si>
    <t>3.Internal receivables</t>
  </si>
  <si>
    <t>4.Other receivables</t>
  </si>
  <si>
    <t>5.Insufficient Assets</t>
  </si>
  <si>
    <t>6.Provision for bad receivables</t>
  </si>
  <si>
    <t>1.Inventory</t>
  </si>
  <si>
    <t>2.Provision for decline in inventory</t>
  </si>
  <si>
    <t>1.Original price</t>
  </si>
  <si>
    <t>2.Accumulated depreciation</t>
  </si>
  <si>
    <t>V. Fixed Assets</t>
  </si>
  <si>
    <t>VI. Invested real estate</t>
  </si>
  <si>
    <t>1.VAT Deductible</t>
  </si>
  <si>
    <t>2.Other Asset</t>
  </si>
  <si>
    <t>1.Payables to suppliers</t>
  </si>
  <si>
    <t>2.Prepayment of customers</t>
  </si>
  <si>
    <t>3.Taxes and Obligations to State</t>
  </si>
  <si>
    <t>4.Payables to employees</t>
  </si>
  <si>
    <t>5.Other Payables</t>
  </si>
  <si>
    <t>6.Loans and Financal Leases</t>
  </si>
  <si>
    <t>7.Internal capital payables</t>
  </si>
  <si>
    <t>8.Provision of Payables</t>
  </si>
  <si>
    <t>9.Reward and Welfare Fund</t>
  </si>
  <si>
    <t>10.Science and Develoment Fund</t>
  </si>
  <si>
    <t>1.Owner's equity invested capital</t>
  </si>
  <si>
    <t>2.Equity surplus</t>
  </si>
  <si>
    <t>3.Other capitals</t>
  </si>
  <si>
    <t>4.Fund stocks</t>
  </si>
  <si>
    <t>5.Exchange rate difference</t>
  </si>
  <si>
    <t>6.Owner's Equity Funds</t>
  </si>
  <si>
    <t>7.Undistributed Profit</t>
  </si>
  <si>
    <t>Số hiệu TK</t>
  </si>
  <si>
    <t>Đầu kỳ</t>
  </si>
  <si>
    <t>Phát sinh</t>
  </si>
  <si>
    <t>Cuối kỳ</t>
  </si>
  <si>
    <t>Cấp TK</t>
  </si>
  <si>
    <t>Tiền mặt</t>
  </si>
  <si>
    <t>Dư cuối kỳ tính theo công thức</t>
  </si>
  <si>
    <t>Sai số</t>
  </si>
  <si>
    <t>Tổng trên bảng cân đối gốc</t>
  </si>
  <si>
    <t>Kiểm tra chênh lệch</t>
  </si>
  <si>
    <t>BẢNG KIỂM TRA SỐ LIỆU</t>
  </si>
  <si>
    <t>&lt;/HSoThueDTu&gt;</t>
  </si>
  <si>
    <t>&lt;?xml version="1.0" encoding="UTF-8"?&gt;</t>
  </si>
  <si>
    <t>&lt;HSoThueDTu xmlns:xsi="http://www.w3.org/2001/XMLSchema-instance" xmlns="http://kekhaithue.gdt.gov.vn/TKhaiThue"&gt;</t>
  </si>
  <si>
    <t xml:space="preserve">  &lt;HSoKhaiThue&gt;</t>
  </si>
  <si>
    <t xml:space="preserve">    &lt;TTinChung&gt;</t>
  </si>
  <si>
    <t xml:space="preserve">      &lt;TTinDVu&gt;</t>
  </si>
  <si>
    <t xml:space="preserve">        &lt;maDVu&gt;HTKK&lt;/maDVu&gt;</t>
  </si>
  <si>
    <t xml:space="preserve">        &lt;tenDVu&gt;HỖ TRỢ KÊ KHAI THUẾ&lt;/tenDVu&gt;</t>
  </si>
  <si>
    <t xml:space="preserve">        &lt;pbanDVu&gt;4.3.9&lt;/pbanDVu&gt;</t>
  </si>
  <si>
    <t xml:space="preserve">        &lt;ttinNhaCCapDVu&gt;F87BFC5F7F6DA68BF648433B3A06C67F&lt;/ttinNhaCCapDVu&gt;</t>
  </si>
  <si>
    <t xml:space="preserve">      &lt;/TTinDVu&gt;</t>
  </si>
  <si>
    <t xml:space="preserve">      &lt;TTinTKhaiThue&gt;</t>
  </si>
  <si>
    <t xml:space="preserve">        &lt;TKhaiThue&gt;</t>
  </si>
  <si>
    <t xml:space="preserve">          &lt;maTKhai&gt;683&lt;/maTKhai&gt;</t>
  </si>
  <si>
    <t xml:space="preserve">          &lt;tenTKhai&gt;Bộ báo cáo tài chính (B01a - DNN)(TT133/2016/TT-BTC)&lt;/tenTKhai&gt;</t>
  </si>
  <si>
    <t xml:space="preserve">          &lt;moTaBMau&gt;(Ban hành theo Thông tư số 133/2016/TT-BTC ngày 26/8/2016 của Bộ Tài chính)&lt;/moTaBMau&gt;</t>
  </si>
  <si>
    <t xml:space="preserve">          &lt;pbanTKhaiXML&gt;2.3.2&lt;/pbanTKhaiXML&gt;</t>
  </si>
  <si>
    <t xml:space="preserve">          &lt;loaiTKhai&gt;C&lt;/loaiTKhai&gt;</t>
  </si>
  <si>
    <t xml:space="preserve">          &lt;soLan&gt;0&lt;/soLan&gt;</t>
  </si>
  <si>
    <t xml:space="preserve">          &lt;KyKKhaiThue&gt;</t>
  </si>
  <si>
    <t xml:space="preserve">            &lt;kieuKy&gt;Y&lt;/kieuKy&gt;</t>
  </si>
  <si>
    <t>&lt;kyKKhaiTuThang/&gt;</t>
  </si>
  <si>
    <t>&lt;kyKKhaiDenThang/&gt;</t>
  </si>
  <si>
    <t>&lt;/KyKKhaiThue&gt;</t>
  </si>
  <si>
    <t>&lt;GiaHan&gt;</t>
  </si>
  <si>
    <t>&lt;maLyDoGiaHan/&gt;</t>
  </si>
  <si>
    <t>&lt;lyDoGiaHan/&gt;</t>
  </si>
  <si>
    <t>&lt;/GiaHan&gt;</t>
  </si>
  <si>
    <t>&lt;nguoiKy/&gt;</t>
  </si>
  <si>
    <t>&lt;nganhNgheKD/&gt;</t>
  </si>
  <si>
    <t>&lt;/TKhaiThue&gt;</t>
  </si>
  <si>
    <t>&lt;NNT&gt;</t>
  </si>
  <si>
    <t>&lt;phuongXa/&gt;</t>
  </si>
  <si>
    <t>&lt;maHuyenNNT/&gt;</t>
  </si>
  <si>
    <t>&lt;maTinhNNT/&gt;</t>
  </si>
  <si>
    <t>&lt;dthoaiNNT/&gt;</t>
  </si>
  <si>
    <t>&lt;faxNNT/&gt;</t>
  </si>
  <si>
    <t>&lt;emailNNT/&gt;</t>
  </si>
  <si>
    <t>&lt;/NNT&gt;</t>
  </si>
  <si>
    <t>&lt;/TTinTKhaiThue&gt;</t>
  </si>
  <si>
    <t>&lt;/TTinChung&gt;</t>
  </si>
  <si>
    <t>&lt;CTieuTKhaiChinh&gt;</t>
  </si>
  <si>
    <t>&lt;bctcDaKiemToan&gt;false&lt;/bctcDaKiemToan&gt;</t>
  </si>
  <si>
    <t>&lt;maYKienKToan/&gt;</t>
  </si>
  <si>
    <t>&lt;tenYKienKToan/&gt;</t>
  </si>
  <si>
    <t>&lt;ThuyetMinh&gt;</t>
  </si>
  <si>
    <t>&lt;ct110/&gt;</t>
  </si>
  <si>
    <t>&lt;ct120/&gt;</t>
  </si>
  <si>
    <t>&lt;ct121/&gt;</t>
  </si>
  <si>
    <t>&lt;ct122/&gt;</t>
  </si>
  <si>
    <t>&lt;ct123/&gt;</t>
  </si>
  <si>
    <t>&lt;ct124/&gt;</t>
  </si>
  <si>
    <t>&lt;ct130/&gt;</t>
  </si>
  <si>
    <t>&lt;ct131/&gt;</t>
  </si>
  <si>
    <t>&lt;ct132/&gt;</t>
  </si>
  <si>
    <t>&lt;ct133/&gt;</t>
  </si>
  <si>
    <t>&lt;ct134/&gt;</t>
  </si>
  <si>
    <t>&lt;ct135/&gt;</t>
  </si>
  <si>
    <t>&lt;ct136/&gt;</t>
  </si>
  <si>
    <t>&lt;ct140/&gt;</t>
  </si>
  <si>
    <t>&lt;ct141/&gt;</t>
  </si>
  <si>
    <t>&lt;ct142/&gt;</t>
  </si>
  <si>
    <t>&lt;ct150/&gt;</t>
  </si>
  <si>
    <t>&lt;ct151/&gt;</t>
  </si>
  <si>
    <t>&lt;ct152/&gt;</t>
  </si>
  <si>
    <t>&lt;ct160/&gt;</t>
  </si>
  <si>
    <t>&lt;ct161/&gt;</t>
  </si>
  <si>
    <t>&lt;ct162/&gt;</t>
  </si>
  <si>
    <t>&lt;ct170/&gt;</t>
  </si>
  <si>
    <t>&lt;ct180/&gt;</t>
  </si>
  <si>
    <t>&lt;ct181/&gt;</t>
  </si>
  <si>
    <t>&lt;ct182/&gt;</t>
  </si>
  <si>
    <t>&lt;ct200/&gt;</t>
  </si>
  <si>
    <t>&lt;ct300/&gt;</t>
  </si>
  <si>
    <t>&lt;ct311/&gt;</t>
  </si>
  <si>
    <t>&lt;ct312/&gt;</t>
  </si>
  <si>
    <t>&lt;ct313/&gt;</t>
  </si>
  <si>
    <t>&lt;ct314/&gt;</t>
  </si>
  <si>
    <t>&lt;ct315/&gt;</t>
  </si>
  <si>
    <t>&lt;ct316/&gt;</t>
  </si>
  <si>
    <t>&lt;ct317/&gt;</t>
  </si>
  <si>
    <t>&lt;ct318/&gt;</t>
  </si>
  <si>
    <t>&lt;ct319/&gt;</t>
  </si>
  <si>
    <t>&lt;ct320/&gt;</t>
  </si>
  <si>
    <t>&lt;ct400/&gt;</t>
  </si>
  <si>
    <t>&lt;ct411/&gt;</t>
  </si>
  <si>
    <t>&lt;ct412/&gt;</t>
  </si>
  <si>
    <t>&lt;ct413/&gt;</t>
  </si>
  <si>
    <t>&lt;ct414/&gt;</t>
  </si>
  <si>
    <t>&lt;ct415/&gt;</t>
  </si>
  <si>
    <t>&lt;ct416/&gt;</t>
  </si>
  <si>
    <t>&lt;ct417/&gt;</t>
  </si>
  <si>
    <t>&lt;ct500/&gt;</t>
  </si>
  <si>
    <t>&lt;/ThuyetMinh&gt;</t>
  </si>
  <si>
    <t>&lt;kyKKhai&gt;2020&lt;/kyKKhai&gt;</t>
  </si>
  <si>
    <t>&lt;kyKKhaiTuNgay&gt;01/01/2020&lt;/kyKKhaiTuNgay&gt;</t>
  </si>
  <si>
    <t>&lt;kyKKhaiDenNgay&gt;31/12/2020&lt;/kyKKhaiDenNgay&gt;</t>
  </si>
  <si>
    <t>&lt;maCQTNoiNop&gt;10100&lt;/maCQTNoiNop&gt;</t>
  </si>
  <si>
    <t>&lt;tenCQTNoiNop&gt;Cục thuế TP. Hà Nội&lt;/tenCQTNoiNop&gt;</t>
  </si>
  <si>
    <t>&lt;ngayLapTKhai&gt;2021-02-24&lt;/ngayLapTKhai&gt;</t>
  </si>
  <si>
    <t>&lt;ngayKy&gt;2021-02-24&lt;/ngayKy&gt;</t>
  </si>
  <si>
    <t>&lt;mst&gt;0109119349&lt;/mst&gt;</t>
  </si>
  <si>
    <t>&lt;tenNNT&gt;CÔNG TY CỔ PHẦN ZOUEN&lt;/tenNNT&gt;</t>
  </si>
  <si>
    <t>&lt;dchiNNT&gt;Số 39, đường Hoa Phượng Vĩ, Khu biệt thự Long Việt, Thị trấn Quang Minh&lt;/dchiNNT&gt;</t>
  </si>
  <si>
    <t>&lt;tenHuyenNNT&gt;Mê Linh&lt;/tenHuyenNNT&gt;</t>
  </si>
  <si>
    <t>&lt;tenTinhNNT&gt; Hà Nội&lt;/tenTinhNNT&gt;</t>
  </si>
  <si>
    <t>&lt;SoCuoiNam&gt;</t>
  </si>
  <si>
    <t>&lt;ct110&gt;159136402&lt;/ct110&gt;</t>
  </si>
  <si>
    <t>&lt;ct120&gt;0&lt;/ct120&gt;</t>
  </si>
  <si>
    <t>&lt;ct121&gt;0&lt;/ct121&gt;</t>
  </si>
  <si>
    <t>&lt;ct122&gt;0&lt;/ct122&gt;</t>
  </si>
  <si>
    <t>&lt;ct123&gt;0&lt;/ct123&gt;</t>
  </si>
  <si>
    <t>&lt;ct124&gt;0&lt;/ct124&gt;</t>
  </si>
  <si>
    <t>&lt;ct130&gt;246839000&lt;/ct130&gt;</t>
  </si>
  <si>
    <t>&lt;ct131&gt;223839000&lt;/ct131&gt;</t>
  </si>
  <si>
    <t>&lt;ct132&gt;0&lt;/ct132&gt;</t>
  </si>
  <si>
    <t>&lt;ct133&gt;0&lt;/ct133&gt;</t>
  </si>
  <si>
    <t>&lt;ct134&gt;23000000&lt;/ct134&gt;</t>
  </si>
  <si>
    <t>&lt;ct135&gt;0&lt;/ct135&gt;</t>
  </si>
  <si>
    <t>&lt;ct136&gt;0&lt;/ct136&gt;</t>
  </si>
  <si>
    <t>&lt;ct140&gt;732906211&lt;/ct140&gt;</t>
  </si>
  <si>
    <t>&lt;ct141&gt;732906211&lt;/ct141&gt;</t>
  </si>
  <si>
    <t>&lt;ct142&gt;0&lt;/ct142&gt;</t>
  </si>
  <si>
    <t>&lt;ct150&gt;0&lt;/ct150&gt;</t>
  </si>
  <si>
    <t>&lt;ct151&gt;0&lt;/ct151&gt;</t>
  </si>
  <si>
    <t>&lt;ct152&gt;0&lt;/ct152&gt;</t>
  </si>
  <si>
    <t>&lt;ct160&gt;0&lt;/ct160&gt;</t>
  </si>
  <si>
    <t>&lt;ct161&gt;0&lt;/ct161&gt;</t>
  </si>
  <si>
    <t>&lt;ct162&gt;0&lt;/ct162&gt;</t>
  </si>
  <si>
    <t>&lt;ct170&gt;199355518&lt;/ct170&gt;</t>
  </si>
  <si>
    <t>&lt;ct180&gt;1168557475&lt;/ct180&gt;</t>
  </si>
  <si>
    <t>&lt;ct181&gt;0&lt;/ct181&gt;</t>
  </si>
  <si>
    <t>&lt;ct182&gt;1168557475&lt;/ct182&gt;</t>
  </si>
  <si>
    <t>&lt;ct200&gt;2506794606&lt;/ct200&gt;</t>
  </si>
  <si>
    <t>&lt;ct300&gt;2018547982&lt;/ct300&gt;</t>
  </si>
  <si>
    <t>&lt;ct311&gt;25233144&lt;/ct311&gt;</t>
  </si>
  <si>
    <t>&lt;ct312&gt;0&lt;/ct312&gt;</t>
  </si>
  <si>
    <t>&lt;ct313&gt;21054319&lt;/ct313&gt;</t>
  </si>
  <si>
    <t>&lt;ct314&gt;63156667&lt;/ct314&gt;</t>
  </si>
  <si>
    <t>&lt;ct315&gt;1717492778&lt;/ct315&gt;</t>
  </si>
  <si>
    <t>&lt;ct316&gt;191611074&lt;/ct316&gt;</t>
  </si>
  <si>
    <t>&lt;ct317&gt;0&lt;/ct317&gt;</t>
  </si>
  <si>
    <t>&lt;ct318&gt;0&lt;/ct318&gt;</t>
  </si>
  <si>
    <t>&lt;ct319&gt;0&lt;/ct319&gt;</t>
  </si>
  <si>
    <t>&lt;ct320&gt;0&lt;/ct320&gt;</t>
  </si>
  <si>
    <t>&lt;ct400&gt;488246624&lt;/ct400&gt;</t>
  </si>
  <si>
    <t>&lt;ct411&gt;2037237262&lt;/ct411&gt;</t>
  </si>
  <si>
    <t>&lt;ct412&gt;0&lt;/ct412&gt;</t>
  </si>
  <si>
    <t>&lt;ct413&gt;0&lt;/ct413&gt;</t>
  </si>
  <si>
    <t>&lt;ct414&gt;0&lt;/ct414&gt;</t>
  </si>
  <si>
    <t>&lt;ct415&gt;0&lt;/ct415&gt;</t>
  </si>
  <si>
    <t>&lt;ct416&gt;0&lt;/ct416&gt;</t>
  </si>
  <si>
    <t>&lt;ct417&gt;-1548990638&lt;/ct417&gt;</t>
  </si>
  <si>
    <t>&lt;ct500&gt;2506794606&lt;/ct500&gt;</t>
  </si>
  <si>
    <t>&lt;/SoCuoiNam&gt;</t>
  </si>
  <si>
    <t>&lt;SoDauNam&gt;</t>
  </si>
  <si>
    <t>&lt;ct110&gt;0&lt;/ct110&gt;</t>
  </si>
  <si>
    <t>&lt;ct130&gt;0&lt;/ct130&gt;</t>
  </si>
  <si>
    <t>&lt;ct131&gt;0&lt;/ct131&gt;</t>
  </si>
  <si>
    <t>&lt;ct134&gt;0&lt;/ct134&gt;</t>
  </si>
  <si>
    <t>&lt;ct140&gt;0&lt;/ct140&gt;</t>
  </si>
  <si>
    <t>&lt;ct141&gt;0&lt;/ct141&gt;</t>
  </si>
  <si>
    <t>&lt;ct170&gt;0&lt;/ct170&gt;</t>
  </si>
  <si>
    <t>&lt;ct180&gt;0&lt;/ct180&gt;</t>
  </si>
  <si>
    <t>&lt;ct182&gt;0&lt;/ct182&gt;</t>
  </si>
  <si>
    <t>&lt;ct200&gt;0&lt;/ct200&gt;</t>
  </si>
  <si>
    <t>&lt;ct300&gt;0&lt;/ct300&gt;</t>
  </si>
  <si>
    <t>&lt;ct311&gt;0&lt;/ct311&gt;</t>
  </si>
  <si>
    <t>&lt;ct313&gt;0&lt;/ct313&gt;</t>
  </si>
  <si>
    <t>&lt;ct314&gt;0&lt;/ct314&gt;</t>
  </si>
  <si>
    <t>&lt;ct315&gt;0&lt;/ct315&gt;</t>
  </si>
  <si>
    <t>&lt;ct316&gt;0&lt;/ct316&gt;</t>
  </si>
  <si>
    <t>&lt;ct400&gt;0&lt;/ct400&gt;</t>
  </si>
  <si>
    <t>&lt;ct411&gt;0&lt;/ct411&gt;</t>
  </si>
  <si>
    <t>&lt;ct417&gt;0&lt;/ct417&gt;</t>
  </si>
  <si>
    <t>&lt;ct500&gt;0&lt;/ct500&gt;</t>
  </si>
  <si>
    <t>&lt;/SoDauNam&gt;</t>
  </si>
  <si>
    <t>&lt;nguoiLapBieu&gt;&lt;/nguoiLapBieu&gt;</t>
  </si>
  <si>
    <t>&lt;keToanTruong&gt;&lt;/keToanTruong&gt;</t>
  </si>
  <si>
    <t>&lt;ngayLap&gt;2021-02-24&lt;/ngayLap&gt;</t>
  </si>
  <si>
    <t>&lt;nguoiDaiDienTheoPhapLuat&gt;&lt;/nguoiDaiDienTheoPhapLuat&gt;</t>
  </si>
  <si>
    <t>&lt;/CTieuTKhaiChinh&gt;</t>
  </si>
  <si>
    <t>&lt;PLuc&gt;</t>
  </si>
  <si>
    <t>&lt;PL_KQHDSXKD&gt;</t>
  </si>
  <si>
    <t>&lt;ct01&gt;&lt;/ct01&gt;</t>
  </si>
  <si>
    <t>&lt;ct02&gt;&lt;/ct02&gt;</t>
  </si>
  <si>
    <t>&lt;ct10&gt;&lt;/ct10&gt;</t>
  </si>
  <si>
    <t>&lt;ct11&gt;&lt;/ct11&gt;</t>
  </si>
  <si>
    <t>&lt;ct20&gt;&lt;/ct20&gt;</t>
  </si>
  <si>
    <t>&lt;ct21&gt;&lt;/ct21&gt;</t>
  </si>
  <si>
    <t>&lt;ct22&gt;&lt;/ct22&gt;</t>
  </si>
  <si>
    <t>&lt;ct23&gt;&lt;/ct23&gt;</t>
  </si>
  <si>
    <t>&lt;ct24&gt;&lt;/ct24&gt;</t>
  </si>
  <si>
    <t>&lt;ct30&gt;&lt;/ct30&gt;</t>
  </si>
  <si>
    <t>&lt;ct31&gt;&lt;/ct31&gt;</t>
  </si>
  <si>
    <t>&lt;ct32&gt;&lt;/ct32&gt;</t>
  </si>
  <si>
    <t>&lt;ct40&gt;&lt;/ct40&gt;</t>
  </si>
  <si>
    <t>&lt;ct50&gt;&lt;/ct50&gt;</t>
  </si>
  <si>
    <t>&lt;ct51&gt;&lt;/ct51&gt;</t>
  </si>
  <si>
    <t>&lt;ct60&gt;&lt;/ct60&gt;</t>
  </si>
  <si>
    <t>&lt;NamNay&gt;</t>
  </si>
  <si>
    <t>&lt;ct01&gt;369600000&lt;/ct01&gt;</t>
  </si>
  <si>
    <t>&lt;ct02&gt;0&lt;/ct02&gt;</t>
  </si>
  <si>
    <t>&lt;ct10&gt;369600000&lt;/ct10&gt;</t>
  </si>
  <si>
    <t>&lt;ct11&gt;54082676&lt;/ct11&gt;</t>
  </si>
  <si>
    <t>&lt;ct20&gt;315517324&lt;/ct20&gt;</t>
  </si>
  <si>
    <t>&lt;ct21&gt;1400153&lt;/ct21&gt;</t>
  </si>
  <si>
    <t>&lt;ct22&gt;64981316&lt;/ct22&gt;</t>
  </si>
  <si>
    <t>&lt;ct23&gt;0&lt;/ct23&gt;</t>
  </si>
  <si>
    <t>&lt;ct24&gt;1617835004&lt;/ct24&gt;</t>
  </si>
  <si>
    <t>&lt;ct30&gt;-1365898843&lt;/ct30&gt;</t>
  </si>
  <si>
    <t>&lt;ct31&gt;0&lt;/ct31&gt;</t>
  </si>
  <si>
    <t>&lt;ct32&gt;183091795&lt;/ct32&gt;</t>
  </si>
  <si>
    <t>&lt;ct40&gt;-183091795&lt;/ct40&gt;</t>
  </si>
  <si>
    <t>&lt;ct50&gt;-1548990638&lt;/ct50&gt;</t>
  </si>
  <si>
    <t>&lt;ct51&gt;0&lt;/ct51&gt;</t>
  </si>
  <si>
    <t>&lt;ct60&gt;-1548990638&lt;/ct60&gt;</t>
  </si>
  <si>
    <t>&lt;/NamNay&gt;</t>
  </si>
  <si>
    <t>&lt;NamTruoc&gt;</t>
  </si>
  <si>
    <t>&lt;ct01&gt;0&lt;/ct01&gt;</t>
  </si>
  <si>
    <t>&lt;ct10&gt;0&lt;/ct10&gt;</t>
  </si>
  <si>
    <t>&lt;ct11&gt;0&lt;/ct11&gt;</t>
  </si>
  <si>
    <t>&lt;ct20&gt;0&lt;/ct20&gt;</t>
  </si>
  <si>
    <t>&lt;ct21&gt;0&lt;/ct21&gt;</t>
  </si>
  <si>
    <t>&lt;ct22&gt;0&lt;/ct22&gt;</t>
  </si>
  <si>
    <t>&lt;ct24&gt;0&lt;/ct24&gt;</t>
  </si>
  <si>
    <t>&lt;ct30&gt;0&lt;/ct30&gt;</t>
  </si>
  <si>
    <t>&lt;ct32&gt;0&lt;/ct32&gt;</t>
  </si>
  <si>
    <t>&lt;ct40&gt;0&lt;/ct40&gt;</t>
  </si>
  <si>
    <t>&lt;ct50&gt;0&lt;/ct50&gt;</t>
  </si>
  <si>
    <t>&lt;ct60&gt;0&lt;/ct60&gt;</t>
  </si>
  <si>
    <t>&lt;/NamTruoc&gt;</t>
  </si>
  <si>
    <t>&lt;/PL_KQHDSXKD&gt;&lt;PL_CDTK&gt;</t>
  </si>
  <si>
    <t>&lt;SoDuDauKy&gt;</t>
  </si>
  <si>
    <t>&lt;No&gt;</t>
  </si>
  <si>
    <t>&lt;ct111&gt;0&lt;/ct111&gt;</t>
  </si>
  <si>
    <t>&lt;ct1111&gt;0&lt;/ct1111&gt;</t>
  </si>
  <si>
    <t>&lt;ct1112&gt;0&lt;/ct1112&gt;</t>
  </si>
  <si>
    <t>&lt;ct112&gt;0&lt;/ct112&gt;</t>
  </si>
  <si>
    <t>&lt;ct1121&gt;0&lt;/ct1121&gt;</t>
  </si>
  <si>
    <t>&lt;ct1122&gt;0&lt;/ct1122&gt;</t>
  </si>
  <si>
    <t>&lt;ct128&gt;0&lt;/ct128&gt;</t>
  </si>
  <si>
    <t>&lt;ct1281&gt;0&lt;/ct1281&gt;</t>
  </si>
  <si>
    <t>&lt;ct1288&gt;0&lt;/ct1288&gt;</t>
  </si>
  <si>
    <t>&lt;ct1331&gt;0&lt;/ct1331&gt;</t>
  </si>
  <si>
    <t>&lt;ct1332&gt;0&lt;/ct1332&gt;</t>
  </si>
  <si>
    <t>&lt;ct1361&gt;0&lt;/ct1361&gt;</t>
  </si>
  <si>
    <t>&lt;ct1368&gt;0&lt;/ct1368&gt;</t>
  </si>
  <si>
    <t>&lt;ct138&gt;0&lt;/ct138&gt;</t>
  </si>
  <si>
    <t>&lt;ct1381&gt;0&lt;/ct1381&gt;</t>
  </si>
  <si>
    <t>&lt;ct1386&gt;0&lt;/ct1386&gt;</t>
  </si>
  <si>
    <t>&lt;ct1388&gt;0&lt;/ct1388&gt;</t>
  </si>
  <si>
    <t>&lt;ct153&gt;0&lt;/ct153&gt;</t>
  </si>
  <si>
    <t>&lt;ct154&gt;0&lt;/ct154&gt;</t>
  </si>
  <si>
    <t>&lt;ct155&gt;0&lt;/ct155&gt;</t>
  </si>
  <si>
    <t>&lt;ct156&gt;0&lt;/ct156&gt;</t>
  </si>
  <si>
    <t>&lt;ct157&gt;0&lt;/ct157&gt;</t>
  </si>
  <si>
    <t>&lt;ct211&gt;0&lt;/ct211&gt;</t>
  </si>
  <si>
    <t>&lt;ct2111&gt;0&lt;/ct2111&gt;</t>
  </si>
  <si>
    <t>&lt;ct2112&gt;0&lt;/ct2112&gt;</t>
  </si>
  <si>
    <t>&lt;ct2113&gt;0&lt;/ct2113&gt;</t>
  </si>
  <si>
    <t>&lt;ct214&gt;0&lt;/ct214&gt;</t>
  </si>
  <si>
    <t>&lt;ct2141&gt;0&lt;/ct2141&gt;</t>
  </si>
  <si>
    <t>&lt;ct2142&gt;0&lt;/ct2142&gt;</t>
  </si>
  <si>
    <t>&lt;ct2143&gt;0&lt;/ct2143&gt;</t>
  </si>
  <si>
    <t>&lt;ct2147&gt;0&lt;/ct2147&gt;</t>
  </si>
  <si>
    <t>&lt;ct217&gt;0&lt;/ct217&gt;</t>
  </si>
  <si>
    <t>&lt;ct228&gt;0&lt;/ct228&gt;</t>
  </si>
  <si>
    <t>&lt;ct2281&gt;0&lt;/ct2281&gt;</t>
  </si>
  <si>
    <t>&lt;ct2288&gt;0&lt;/ct2288&gt;</t>
  </si>
  <si>
    <t>&lt;ct229&gt;0&lt;/ct229&gt;</t>
  </si>
  <si>
    <t>&lt;ct2291&gt;0&lt;/ct2291&gt;</t>
  </si>
  <si>
    <t>&lt;ct2292&gt;0&lt;/ct2292&gt;</t>
  </si>
  <si>
    <t>&lt;ct2293&gt;0&lt;/ct2293&gt;</t>
  </si>
  <si>
    <t>&lt;ct2294&gt;0&lt;/ct2294&gt;</t>
  </si>
  <si>
    <t>&lt;ct241&gt;0&lt;/ct241&gt;</t>
  </si>
  <si>
    <t>&lt;ct2411&gt;0&lt;/ct2411&gt;</t>
  </si>
  <si>
    <t>&lt;ct2412&gt;0&lt;/ct2412&gt;</t>
  </si>
  <si>
    <t>&lt;ct2413&gt;0&lt;/ct2413&gt;</t>
  </si>
  <si>
    <t>&lt;ct242&gt;0&lt;/ct242&gt;</t>
  </si>
  <si>
    <t>&lt;ct331&gt;0&lt;/ct331&gt;</t>
  </si>
  <si>
    <t>&lt;ct333&gt;0&lt;/ct333&gt;</t>
  </si>
  <si>
    <t>&lt;ct3331&gt;0&lt;/ct3331&gt;</t>
  </si>
  <si>
    <t>&lt;ct33311&gt;0&lt;/ct33311&gt;</t>
  </si>
  <si>
    <t>&lt;ct33312&gt;0&lt;/ct33312&gt;</t>
  </si>
  <si>
    <t>&lt;ct3332&gt;0&lt;/ct3332&gt;</t>
  </si>
  <si>
    <t>&lt;ct3333&gt;0&lt;/ct3333&gt;</t>
  </si>
  <si>
    <t>&lt;ct3334&gt;0&lt;/ct3334&gt;</t>
  </si>
  <si>
    <t>&lt;ct3335&gt;0&lt;/ct3335&gt;</t>
  </si>
  <si>
    <t>&lt;ct3336&gt;0&lt;/ct3336&gt;</t>
  </si>
  <si>
    <t>&lt;ct3337&gt;0&lt;/ct3337&gt;</t>
  </si>
  <si>
    <t>&lt;ct3338&gt;0&lt;/ct3338&gt;</t>
  </si>
  <si>
    <t>&lt;ct33381&gt;0&lt;/ct33381&gt;</t>
  </si>
  <si>
    <t>&lt;ct33382&gt;0&lt;/ct33382&gt;</t>
  </si>
  <si>
    <t>&lt;ct3339&gt;0&lt;/ct3339&gt;</t>
  </si>
  <si>
    <t>&lt;ct334&gt;0&lt;/ct334&gt;</t>
  </si>
  <si>
    <t>&lt;ct335&gt;0&lt;/ct335&gt;</t>
  </si>
  <si>
    <t>&lt;ct336&gt;0&lt;/ct336&gt;</t>
  </si>
  <si>
    <t>&lt;ct3361&gt;0&lt;/ct3361&gt;</t>
  </si>
  <si>
    <t>&lt;ct3368&gt;0&lt;/ct3368&gt;</t>
  </si>
  <si>
    <t>&lt;ct338&gt;0&lt;/ct338&gt;</t>
  </si>
  <si>
    <t>&lt;ct3381&gt;0&lt;/ct3381&gt;</t>
  </si>
  <si>
    <t>&lt;ct3382&gt;0&lt;/ct3382&gt;</t>
  </si>
  <si>
    <t>&lt;ct3383&gt;0&lt;/ct3383&gt;</t>
  </si>
  <si>
    <t>&lt;ct3384&gt;0&lt;/ct3384&gt;</t>
  </si>
  <si>
    <t>&lt;ct3385&gt;0&lt;/ct3385&gt;</t>
  </si>
  <si>
    <t>&lt;ct3386&gt;0&lt;/ct3386&gt;</t>
  </si>
  <si>
    <t>&lt;ct3387&gt;0&lt;/ct3387&gt;</t>
  </si>
  <si>
    <t>&lt;ct3388&gt;0&lt;/ct3388&gt;</t>
  </si>
  <si>
    <t>&lt;ct341&gt;0&lt;/ct341&gt;</t>
  </si>
  <si>
    <t>&lt;ct3411&gt;0&lt;/ct3411&gt;</t>
  </si>
  <si>
    <t>&lt;ct3412&gt;0&lt;/ct3412&gt;</t>
  </si>
  <si>
    <t>&lt;ct352&gt;0&lt;/ct352&gt;</t>
  </si>
  <si>
    <t>&lt;ct3521&gt;0&lt;/ct3521&gt;</t>
  </si>
  <si>
    <t>&lt;ct3522&gt;0&lt;/ct3522&gt;</t>
  </si>
  <si>
    <t>&lt;ct3524&gt;0&lt;/ct3524&gt;</t>
  </si>
  <si>
    <t>&lt;ct353&gt;0&lt;/ct353&gt;</t>
  </si>
  <si>
    <t>&lt;ct3531&gt;0&lt;/ct3531&gt;</t>
  </si>
  <si>
    <t>&lt;ct3532&gt;0&lt;/ct3532&gt;</t>
  </si>
  <si>
    <t>&lt;ct3533&gt;0&lt;/ct3533&gt;</t>
  </si>
  <si>
    <t>&lt;ct3534&gt;0&lt;/ct3534&gt;</t>
  </si>
  <si>
    <t>&lt;ct356&gt;0&lt;/ct356&gt;</t>
  </si>
  <si>
    <t>&lt;ct3561&gt;0&lt;/ct3561&gt;</t>
  </si>
  <si>
    <t>&lt;ct3562&gt;0&lt;/ct3562&gt;</t>
  </si>
  <si>
    <t>&lt;ct4111&gt;0&lt;/ct4111&gt;</t>
  </si>
  <si>
    <t>&lt;ct4112&gt;0&lt;/ct4112&gt;</t>
  </si>
  <si>
    <t>&lt;ct4118&gt;0&lt;/ct4118&gt;</t>
  </si>
  <si>
    <t>&lt;ct418&gt;0&lt;/ct418&gt;</t>
  </si>
  <si>
    <t>&lt;ct419&gt;0&lt;/ct419&gt;</t>
  </si>
  <si>
    <t>&lt;ct421&gt;0&lt;/ct421&gt;</t>
  </si>
  <si>
    <t>&lt;ct4211&gt;0&lt;/ct4211&gt;</t>
  </si>
  <si>
    <t>&lt;ct4212&gt;0&lt;/ct4212&gt;</t>
  </si>
  <si>
    <t>&lt;ct511&gt;0&lt;/ct511&gt;</t>
  </si>
  <si>
    <t>&lt;ct5111&gt;0&lt;/ct5111&gt;</t>
  </si>
  <si>
    <t>&lt;ct5112&gt;0&lt;/ct5112&gt;</t>
  </si>
  <si>
    <t>&lt;ct5113&gt;0&lt;/ct5113&gt;</t>
  </si>
  <si>
    <t>&lt;ct5118&gt;0&lt;/ct5118&gt;</t>
  </si>
  <si>
    <t>&lt;ct515&gt;0&lt;/ct515&gt;</t>
  </si>
  <si>
    <t>&lt;ct611&gt;0&lt;/ct611&gt;</t>
  </si>
  <si>
    <t>&lt;ct631&gt;0&lt;/ct631&gt;</t>
  </si>
  <si>
    <t>&lt;ct632&gt;0&lt;/ct632&gt;</t>
  </si>
  <si>
    <t>&lt;ct635&gt;0&lt;/ct635&gt;</t>
  </si>
  <si>
    <t>&lt;ct642&gt;0&lt;/ct642&gt;</t>
  </si>
  <si>
    <t>&lt;ct6421&gt;0&lt;/ct6421&gt;</t>
  </si>
  <si>
    <t>&lt;ct6422&gt;0&lt;/ct6422&gt;</t>
  </si>
  <si>
    <t>&lt;ct711&gt;0&lt;/ct711&gt;</t>
  </si>
  <si>
    <t>&lt;ct811&gt;0&lt;/ct811&gt;</t>
  </si>
  <si>
    <t>&lt;ct821&gt;0&lt;/ct821&gt;</t>
  </si>
  <si>
    <t>&lt;ct911&gt;0&lt;/ct911&gt;</t>
  </si>
  <si>
    <t>&lt;tongCong&gt;0&lt;/tongCong&gt;</t>
  </si>
  <si>
    <t>&lt;/No&gt;</t>
  </si>
  <si>
    <t>&lt;Co&gt;</t>
  </si>
  <si>
    <t>&lt;/Co&gt;</t>
  </si>
  <si>
    <t>&lt;/SoDuDauKy&gt;</t>
  </si>
  <si>
    <t>&lt;SoPhatSinhTrongKy&gt;</t>
  </si>
  <si>
    <t>&lt;ct111&gt;149911616&lt;/ct111&gt;</t>
  </si>
  <si>
    <t>&lt;ct1111&gt;149911616&lt;/ct1111&gt;</t>
  </si>
  <si>
    <t>&lt;ct112&gt;6035768879&lt;/ct112&gt;</t>
  </si>
  <si>
    <t>&lt;ct1121&gt;2986327269&lt;/ct1121&gt;</t>
  </si>
  <si>
    <t>&lt;ct1122&gt;3049441610&lt;/ct1122&gt;</t>
  </si>
  <si>
    <t>&lt;ct131&gt;739332000&lt;/ct131&gt;</t>
  </si>
  <si>
    <t>&lt;ct133&gt;65052849&lt;/ct133&gt;</t>
  </si>
  <si>
    <t>&lt;ct1331&gt;65052849&lt;/ct1331&gt;</t>
  </si>
  <si>
    <t>&lt;ct138&gt;73941900&lt;/ct138&gt;</t>
  </si>
  <si>
    <t>&lt;ct1386&gt;23000000&lt;/ct1386&gt;</t>
  </si>
  <si>
    <t>&lt;ct1388&gt;50941900&lt;/ct1388&gt;</t>
  </si>
  <si>
    <t>&lt;ct152&gt;1080000&lt;/ct152&gt;</t>
  </si>
  <si>
    <t>&lt;ct154&gt;239759215&lt;/ct154&gt;</t>
  </si>
  <si>
    <t>&lt;ct156&gt;546149672&lt;/ct156&gt;</t>
  </si>
  <si>
    <t>&lt;ct241&gt;199355518&lt;/ct241&gt;</t>
  </si>
  <si>
    <t>&lt;ct2412&gt;199355518&lt;/ct2412&gt;</t>
  </si>
  <si>
    <t>&lt;ct242&gt;1202737572&lt;/ct242&gt;</t>
  </si>
  <si>
    <t>&lt;ct331&gt;2073948677&lt;/ct331&gt;</t>
  </si>
  <si>
    <t>&lt;ct333&gt;118229554&lt;/ct333&gt;</t>
  </si>
  <si>
    <t>&lt;ct3331&gt;65052849&lt;/ct3331&gt;</t>
  </si>
  <si>
    <t>&lt;ct33311&gt;64777013&lt;/ct33311&gt;</t>
  </si>
  <si>
    <t>&lt;ct33312&gt;275836&lt;/ct33312&gt;</t>
  </si>
  <si>
    <t>&lt;ct3333&gt;262701&lt;/ct3333&gt;</t>
  </si>
  <si>
    <t>&lt;ct3335&gt;52914004&lt;/ct3335&gt;</t>
  </si>
  <si>
    <t>&lt;ct334&gt;590453336&lt;/ct334&gt;</t>
  </si>
  <si>
    <t>&lt;ct338&gt;370300000&lt;/ct338&gt;</t>
  </si>
  <si>
    <t>&lt;ct3387&gt;369600000&lt;/ct3387&gt;</t>
  </si>
  <si>
    <t>&lt;ct3388&gt;700000&lt;/ct3388&gt;</t>
  </si>
  <si>
    <t>&lt;ct413&gt;66386179&lt;/ct413&gt;</t>
  </si>
  <si>
    <t>&lt;ct421&gt;1548990638&lt;/ct421&gt;</t>
  </si>
  <si>
    <t>&lt;ct4211&gt;183091795&lt;/ct4211&gt;</t>
  </si>
  <si>
    <t>&lt;ct4212&gt;1365898843&lt;/ct4212&gt;</t>
  </si>
  <si>
    <t>&lt;ct511&gt;369600000&lt;/ct511&gt;</t>
  </si>
  <si>
    <t>&lt;ct5113&gt;369600000&lt;/ct5113&gt;</t>
  </si>
  <si>
    <t>&lt;ct515&gt;1400153&lt;/ct515&gt;</t>
  </si>
  <si>
    <t>&lt;ct632&gt;54082676&lt;/ct632&gt;</t>
  </si>
  <si>
    <t>&lt;ct635&gt;64981316&lt;/ct635&gt;</t>
  </si>
  <si>
    <t>&lt;ct642&gt;1617835004&lt;/ct642&gt;</t>
  </si>
  <si>
    <t>&lt;ct6422&gt;1617835004&lt;/ct6422&gt;</t>
  </si>
  <si>
    <t>&lt;ct811&gt;183091795&lt;/ct811&gt;</t>
  </si>
  <si>
    <t>&lt;ct911&gt;1736898996&lt;/ct911&gt;</t>
  </si>
  <si>
    <t>&lt;tongCong&gt;18049287545&lt;/tongCong&gt;</t>
  </si>
  <si>
    <t>&lt;ct111&gt;107738702&lt;/ct111&gt;</t>
  </si>
  <si>
    <t>&lt;ct1111&gt;107738702&lt;/ct1111&gt;</t>
  </si>
  <si>
    <t>&lt;ct112&gt;5918805391&lt;/ct112&gt;</t>
  </si>
  <si>
    <t>&lt;ct1121&gt;2869363781&lt;/ct1121&gt;</t>
  </si>
  <si>
    <t>&lt;ct131&gt;515493000&lt;/ct131&gt;</t>
  </si>
  <si>
    <t>&lt;ct138&gt;56945269&lt;/ct138&gt;</t>
  </si>
  <si>
    <t>&lt;ct1388&gt;56945269&lt;/ct1388&gt;</t>
  </si>
  <si>
    <t>&lt;ct154&gt;54082676&lt;/ct154&gt;</t>
  </si>
  <si>
    <t>&lt;ct242&gt;34180097&lt;/ct242&gt;</t>
  </si>
  <si>
    <t>&lt;ct331&gt;2099181821&lt;/ct331&gt;</t>
  </si>
  <si>
    <t>&lt;ct333&gt;139283873&lt;/ct333&gt;</t>
  </si>
  <si>
    <t>&lt;ct3331&gt;67487836&lt;/ct3331&gt;</t>
  </si>
  <si>
    <t>&lt;ct33311&gt;67212000&lt;/ct33311&gt;</t>
  </si>
  <si>
    <t>&lt;ct3335&gt;71533336&lt;/ct3335&gt;</t>
  </si>
  <si>
    <t>&lt;ct334&gt;653610003&lt;/ct334&gt;</t>
  </si>
  <si>
    <t>&lt;ct338&gt;2081789409&lt;/ct338&gt;</t>
  </si>
  <si>
    <t>&lt;ct3387&gt;672120000&lt;/ct3387&gt;</t>
  </si>
  <si>
    <t>&lt;ct3388&gt;1409669409&lt;/ct3388&gt;</t>
  </si>
  <si>
    <t>&lt;ct341&gt;191611074&lt;/ct341&gt;</t>
  </si>
  <si>
    <t>&lt;ct3411&gt;191611074&lt;/ct3411&gt;</t>
  </si>
  <si>
    <t>&lt;ct4111&gt;2037237262&lt;/ct4111&gt;</t>
  </si>
  <si>
    <t>&lt;/SoPhatSinhTrongKy&gt;</t>
  </si>
  <si>
    <t>&lt;SoDuCuoiKy&gt;</t>
  </si>
  <si>
    <t>&lt;ct111&gt;42172914&lt;/ct111&gt;</t>
  </si>
  <si>
    <t>&lt;ct1111&gt;42172914&lt;/ct1111&gt;</t>
  </si>
  <si>
    <t>&lt;ct112&gt;116963488&lt;/ct112&gt;</t>
  </si>
  <si>
    <t>&lt;ct1121&gt;116963488&lt;/ct1121&gt;</t>
  </si>
  <si>
    <t>&lt;ct138&gt;23000000&lt;/ct138&gt;</t>
  </si>
  <si>
    <t>&lt;ct154&gt;185676539&lt;/ct154&gt;</t>
  </si>
  <si>
    <t>&lt;ct242&gt;1168557475&lt;/ct242&gt;</t>
  </si>
  <si>
    <t>&lt;tongCong&gt;4055785244&lt;/tongCong&gt;</t>
  </si>
  <si>
    <t>&lt;ct138&gt;6003369&lt;/ct138&gt;</t>
  </si>
  <si>
    <t>&lt;ct1388&gt;6003369&lt;/ct1388&gt;</t>
  </si>
  <si>
    <t>&lt;ct331&gt;25233144&lt;/ct331&gt;</t>
  </si>
  <si>
    <t>&lt;ct333&gt;21054319&lt;/ct333&gt;</t>
  </si>
  <si>
    <t>&lt;ct3331&gt;2434987&lt;/ct3331&gt;</t>
  </si>
  <si>
    <t>&lt;ct33311&gt;2434987&lt;/ct33311&gt;</t>
  </si>
  <si>
    <t>&lt;ct3335&gt;18619332&lt;/ct3335&gt;</t>
  </si>
  <si>
    <t>&lt;ct334&gt;63156667&lt;/ct334&gt;</t>
  </si>
  <si>
    <t>&lt;ct338&gt;1711489409&lt;/ct338&gt;</t>
  </si>
  <si>
    <t>&lt;ct3387&gt;302520000&lt;/ct3387&gt;</t>
  </si>
  <si>
    <t>&lt;ct3388&gt;1408969409&lt;/ct3388&gt;</t>
  </si>
  <si>
    <t>&lt;/SoDuCuoiKy&gt;</t>
  </si>
  <si>
    <t>&lt;/PL_CDTK&gt;&lt;/PLuc&gt;</t>
  </si>
  <si>
    <t>&lt;/HSoKhaiThue&gt;</t>
  </si>
  <si>
    <t>Tong</t>
  </si>
  <si>
    <t>TEMPLATE CODE</t>
  </si>
  <si>
    <t>INITIAL CODE</t>
  </si>
  <si>
    <t>COMBINED CODE</t>
  </si>
  <si>
    <t>Determine taxable income according to the Law of Corporate Income Tax</t>
  </si>
  <si>
    <t xml:space="preserve">               + Tax calculation income with tax rate 20% (included endowed tax rate income)</t>
  </si>
  <si>
    <t>English:</t>
  </si>
  <si>
    <t>01/04</t>
  </si>
  <si>
    <t>II. Owner's equity</t>
  </si>
  <si>
    <t>BALANCE SHEET</t>
  </si>
  <si>
    <t>Quận/Huyện:</t>
  </si>
  <si>
    <t>Đã có file báo cáo trùng tên. Bạn có muốn ghi đè không?</t>
  </si>
  <si>
    <t>No</t>
  </si>
  <si>
    <t>BẢNG CÂN ĐỐI TÀI KHOẢN (DỮ LIỆU NHẬP)</t>
  </si>
  <si>
    <t>I. Lưu chuyển tiền từ hoạt động kinh doanh</t>
  </si>
  <si>
    <t>1. Tiền thu từ bán hàng, cung cấp dịch vụ và doanh thu khác</t>
  </si>
  <si>
    <t>2. Tiền chi trả cho người cung cấp hàng hóa, dịch vụ</t>
  </si>
  <si>
    <t>3. Tiền chi trả cho người lao động</t>
  </si>
  <si>
    <t>4. Tiền lãi vay đã trả</t>
  </si>
  <si>
    <t>5. Thuế thu nhập doanh nghiệp đã nộp</t>
  </si>
  <si>
    <t>6. Tiền thu khác từ hoạt động kinh doanh</t>
  </si>
  <si>
    <t>7. Tiền chi khác cho hoạt động kinh doanh</t>
  </si>
  <si>
    <t>Lưu chuyển tiền thuần từ hoạt động kinh doanh</t>
  </si>
  <si>
    <t>II. Lưu chuyển tiền từ hoạt động đầu tư</t>
  </si>
  <si>
    <t>1. Tiền chi để mua sắm, xây dựng TSCĐ, BĐSĐT và các tài sản dài hạn khác</t>
  </si>
  <si>
    <t>2. Tiền thu từ thanh lý, nhượng bán TSCĐ, BĐSĐT và các tài sản dài hạn khác</t>
  </si>
  <si>
    <t>3. Tiền chi cho vay, đầu tư góp vốn vào đơn vị khác</t>
  </si>
  <si>
    <t>4. Tiền thu hồi cho vay, đầu tư góp vốn vào đơn vị khác</t>
  </si>
  <si>
    <t>5. Tiền thu lãi cho vay, cổ tức và lợi nhuận được chia</t>
  </si>
  <si>
    <t>Lưu chuyển tiền thuần từ hoạt động đầu tư</t>
  </si>
  <si>
    <t>III. Lưu chuyển tiền từ hoạt động tài chính</t>
  </si>
  <si>
    <t>1. Tiền thu từ phát hành cổ phiếu, nhận vốn góp của chủ sở hữu</t>
  </si>
  <si>
    <t>2. Tiền trả lại vốn góp cho các chủ sở hữu, mua lại cổ phiếu của doanh nghiệp đã phát hành</t>
  </si>
  <si>
    <t>3. Tiền thu từ đi vay</t>
  </si>
  <si>
    <t>4. Tiền trả nợ gốc vay và nợ thuê tài chính</t>
  </si>
  <si>
    <t>5. Cổ tức, lợi nhuận đã trả cho chủ sở hữu</t>
  </si>
  <si>
    <t>Lưu chuyển tiền thuần từ hoạt động tài chính</t>
  </si>
  <si>
    <t>Lưu chuyển tiền thuần trong kỳ (50 = 20+30+40)</t>
  </si>
  <si>
    <t>Tiền và tương đương tiền đầu kỳ</t>
  </si>
  <si>
    <t>Ảnh hưởng của thay đổi tỷ giá hối đoái quy đổi ngoại tệ</t>
  </si>
  <si>
    <t>Tiền và tương đương tiền cuối kỳ 
(70 = 50 + 60 + 61)</t>
  </si>
  <si>
    <t>BÁO CÁO LƯU CHUYỂN TIỀN TỆ</t>
  </si>
  <si>
    <t>Key:</t>
  </si>
  <si>
    <t>Date:</t>
  </si>
  <si>
    <t>Check date:</t>
  </si>
  <si>
    <t>EODX-ASBG-ZLZS-FGLQ</t>
  </si>
  <si>
    <t>PQDF-XHOH-ZHYX-EZSR</t>
  </si>
  <si>
    <t>LZZB-PWSV-CCEV-TBDR</t>
  </si>
  <si>
    <t>JWDZ-BFIS-ZKYN-LQLT</t>
  </si>
  <si>
    <t>LNML-DQSD-LAIS-VGFQ</t>
  </si>
  <si>
    <t>BONH-SGKD-UQSW-FQJA</t>
  </si>
  <si>
    <t>XQAT-QKLW-HLSF-HCKE</t>
  </si>
  <si>
    <t>SHTM-MCWY-APMG-HTCH</t>
  </si>
  <si>
    <t>MWFC-JEHQ-LGMW-SLOV</t>
  </si>
  <si>
    <t>LAUD-CKFZ-CYRO-KTAG</t>
  </si>
  <si>
    <t>CÔNG TY CỔ PHẦN KOTOBUKI EE VIỆT NAM</t>
  </si>
  <si>
    <t>THUYẾT MINH BÁO CÁO TÀI CHÍNH</t>
  </si>
  <si>
    <t>I. Đặc điểm hoạt động kinh doanh của doanh nghiệp</t>
  </si>
  <si>
    <t>1.</t>
  </si>
  <si>
    <t>Hình thức sở hữu vốn:</t>
  </si>
  <si>
    <t>Lĩnh vực kinh doanh:</t>
  </si>
  <si>
    <t>Ngành nghề kinh doanh:</t>
  </si>
  <si>
    <t>Chu kỳ sản xuất kinh doanh thông thường:</t>
  </si>
  <si>
    <t>Đặc điểm hoạt động của Doanh nghiệp trong năm tài chính có ảnh hưởng đến Báo cáo tài chính</t>
  </si>
  <si>
    <t>2.</t>
  </si>
  <si>
    <t>3.</t>
  </si>
  <si>
    <t>4.</t>
  </si>
  <si>
    <t>5.</t>
  </si>
  <si>
    <t>7.</t>
  </si>
  <si>
    <t>II. Kỳ kế toán, đơn vị tiền tệ sử dụng</t>
  </si>
  <si>
    <t>Tuyên bố về khả năng so sánh thông tin trên Báo cáo tài chính: so sánh được</t>
  </si>
  <si>
    <t>Kỳ kế toán năm:</t>
  </si>
  <si>
    <t>Từ ngày:</t>
  </si>
  <si>
    <t>Đến ngày:</t>
  </si>
  <si>
    <t>Đơn vị tiền tệ sử dụng: VND</t>
  </si>
  <si>
    <t>III. Chuẩn mực và chế độ kế toán áp dụng</t>
  </si>
  <si>
    <t>Báo cáo tài chính được lập và trình bày phù hợp, tuân thủ chuẩn mực kế toán và chế độ kế toán doanh nghiệp vừa và nhỏ</t>
  </si>
  <si>
    <t>IV. Các chính sách kế toán áp dụng</t>
  </si>
  <si>
    <t>- Nguyên tắc chuyển đổi BCTC bằng ngoại tệ sang VND</t>
  </si>
  <si>
    <t>- Nguyên tắc ghi nhận các khoản tiền và các khoản tương đương tiền</t>
  </si>
  <si>
    <t>+ Tiền bao gồm tiền tại quỹ và tiền gửi không kỳ hạn</t>
  </si>
  <si>
    <t>+ Tương đương tiền: khoản đầu tư tài chính ngắn hạn dưới 3 tháng có khả năng chuyển đổi thành lượng tiền xác định không có nhiều rủi ro</t>
  </si>
  <si>
    <t>- Nguyên tắc kế toán các khoản đàu tư tài chính</t>
  </si>
  <si>
    <t>- Nguyên tắc kế toán nợ phải thu</t>
  </si>
  <si>
    <t>- Nguyên tắc ghi nhận hàng tồn kho</t>
  </si>
  <si>
    <t>- Nguyên tắc ghi nhận và vốn hoá các khoản chi phí đi vay</t>
  </si>
  <si>
    <t>- Nguyên tắc kế toán chi phí: phù hợp với doanh thu</t>
  </si>
  <si>
    <t>- Nguyên tắc và phương pháp ghi nhận doanh thu: tuân thủ điều kiện ghi nhận doanh thu</t>
  </si>
  <si>
    <t>- Nguyên tắc ghi nhận vốn chủ sở hữu: ghi nhận theo vốn thực góp</t>
  </si>
  <si>
    <t>- Nguyên tắc kế toán Nợ phải trả:</t>
  </si>
  <si>
    <t>- Tỉ giá hối đoán áp dụng trong kế toán: tỉ giá giao dịch thực tế tại ngân hàng nơi doanh nghiệp thường xuyên giao dịch</t>
  </si>
  <si>
    <t>+ Tiêu chí phân loại các khoản nợ phải thu: Phải thu của khách hàng, phải thu nội bộ, phải thu khác</t>
  </si>
  <si>
    <t>+ Theo dõi chi tiết theo khoản phải thu và nguyên tệ của từng đối tượng</t>
  </si>
  <si>
    <t>+ Trích lập dự phòng phải thu khó đòi theo quy định của pháp luật</t>
  </si>
  <si>
    <t>+ Ghi nhận theo giá gốc</t>
  </si>
  <si>
    <t>+ Phương pháp hạch toán hàng tồn kho:</t>
  </si>
  <si>
    <t>+ Phương pháp tính giá trị hàng tồn kho:</t>
  </si>
  <si>
    <t>Giá đích danh</t>
  </si>
  <si>
    <t>Kê khai thường xuyên</t>
  </si>
  <si>
    <t>- Nguyên tắc ghi nhận và các phương pháp tính KH TSCĐ, TSCĐ thuê tài chính, BĐS đầu tư: khấu hao theo đường thẳng và tuân thủ quy định về quản lý, sử dụng, khấu hao TSCĐ</t>
  </si>
  <si>
    <t>+ Phân loại nợ phải trả: nợ ngắn hạn và nợ dài hạn</t>
  </si>
  <si>
    <t>+ Theo dõi chi tiết theo khoản phải trả theo từng đối tượng và kỳ hạn gốc, kỳ hạn còn lại</t>
  </si>
  <si>
    <t>V. Thông tin bổ sung cho các khoản mục trình bày trong Báo cáo tài chính:</t>
  </si>
  <si>
    <t>1. Tiền và tương đương tiền</t>
  </si>
  <si>
    <t>Tiền gửi ngân hàng</t>
  </si>
  <si>
    <t>Tương đương tiền</t>
  </si>
  <si>
    <t>2. Các khoản đầu tư tài chính</t>
  </si>
  <si>
    <t>a) Chứng khoán kinh doanh</t>
  </si>
  <si>
    <t>Tổng giá trị trái phiếu</t>
  </si>
  <si>
    <t>Các loại chứng khoán khác</t>
  </si>
  <si>
    <t>b) Đầu tư nắm giữ đến ngày đáo hạn</t>
  </si>
  <si>
    <t>c) Dự phòng tổn thất đầu tư tài chinh</t>
  </si>
  <si>
    <t>Dự phòng giảm giá chứng khoán kinh doanh</t>
  </si>
  <si>
    <t>Dự phòng tổn thất đầu tư vào đơn vị khác</t>
  </si>
  <si>
    <t>Tổng giá trị cổ phiếu</t>
  </si>
  <si>
    <t>3. Các khoản phải thu</t>
  </si>
  <si>
    <t>a. Phải thu khách hàng</t>
  </si>
  <si>
    <t>Trong đó: Phải thu của các bên liên quan</t>
  </si>
  <si>
    <t>b. Trả trước cho Người bán</t>
  </si>
  <si>
    <t>Trong đó: Trả trước cho các bên liên quan</t>
  </si>
  <si>
    <t>c. Phải thu khác (chi tiết theo yêu cầu quản lý)</t>
  </si>
  <si>
    <t>Phải thu về cho vay</t>
  </si>
  <si>
    <t>d. Tài sản thiếu chờ xử lý</t>
  </si>
  <si>
    <t>Tiền</t>
  </si>
  <si>
    <t>Hàng tồn kho</t>
  </si>
  <si>
    <t>TSCĐ</t>
  </si>
  <si>
    <t>Tài sản khác</t>
  </si>
  <si>
    <t>4. Hàng tồn kho</t>
  </si>
  <si>
    <t>Hàng đang đi trên đường</t>
  </si>
  <si>
    <t>Công cụ dụng cụ</t>
  </si>
  <si>
    <t>Chi phí SXKD dở dang</t>
  </si>
  <si>
    <t>Hoàng hoá</t>
  </si>
  <si>
    <t>Hàng gửi bán</t>
  </si>
  <si>
    <t>5. Tăng, giảm tài sản cố định</t>
  </si>
  <si>
    <t>Khoản mục</t>
  </si>
  <si>
    <t>Số dư cuối năm</t>
  </si>
  <si>
    <t>Giảm trong năm</t>
  </si>
  <si>
    <t>Tăng trong năm</t>
  </si>
  <si>
    <t>Số dư đầu năm</t>
  </si>
  <si>
    <t>Nguyên giá</t>
  </si>
  <si>
    <t>Giá trị hao mòn luỹ kế</t>
  </si>
  <si>
    <t>Giá trị còn lại</t>
  </si>
  <si>
    <t>A. TSCĐ hữu hình</t>
  </si>
  <si>
    <t>C. TSCĐ thuê tài chính</t>
  </si>
  <si>
    <t>B. TSCĐ vô hình</t>
  </si>
  <si>
    <t>A. Bất động sản đầu tư cho thuê</t>
  </si>
  <si>
    <t>B. Bất động sản đầu tư nắm giữ chờ tăng giá</t>
  </si>
  <si>
    <t>6. Tăng, giảm bất động sản đầu tư</t>
  </si>
  <si>
    <t>7. Xây dựng cơ bản dở dang</t>
  </si>
  <si>
    <t>Mua sắm</t>
  </si>
  <si>
    <t>XDCB</t>
  </si>
  <si>
    <t>8. Chi phí trả trước</t>
  </si>
  <si>
    <t>Các khoản phải thu nhà nước</t>
  </si>
  <si>
    <t>9. Các khoản phải trả khác</t>
  </si>
  <si>
    <t>a. Phải trả người bán</t>
  </si>
  <si>
    <t>b. Người mua trả tiền trước</t>
  </si>
  <si>
    <t>c. Phải trả khác</t>
  </si>
  <si>
    <t>- Chi phí phải trả</t>
  </si>
  <si>
    <t>- Phải trả nội bộ khác</t>
  </si>
  <si>
    <t>- Phải trả, phải nộp khác</t>
  </si>
  <si>
    <t>+ Tài sản thừa chờ xử lý</t>
  </si>
  <si>
    <t>+ Các khoản phải nộp theo lương</t>
  </si>
  <si>
    <t>+ Các khoản khác</t>
  </si>
  <si>
    <t>d. Nợ quá hạn chưa thanh toán</t>
  </si>
  <si>
    <t>10. Thuế và các khoản phải nộp nhà nước</t>
  </si>
  <si>
    <t>Số phải nộp</t>
  </si>
  <si>
    <t>Số đã nộp</t>
  </si>
  <si>
    <t>11. Vay và nợ thuê tài chính</t>
  </si>
  <si>
    <t>Tăng</t>
  </si>
  <si>
    <t>Giảm</t>
  </si>
  <si>
    <t>Trong đó: Vay từ các bên liên quan</t>
  </si>
  <si>
    <t>Trong đó: Nợ thuê tài chính từ các bên liên quan</t>
  </si>
  <si>
    <t>12. Dự phòng phải trả</t>
  </si>
  <si>
    <t>- Dự phòng bảo hành sản phẩm</t>
  </si>
  <si>
    <t>- Dự phòng bảo hành công trình xây dựng</t>
  </si>
  <si>
    <t>- Dự phòng phải trả khác</t>
  </si>
  <si>
    <t>13. Vốn chủ sở hữu</t>
  </si>
  <si>
    <t>Các khoản thuộc vốn chủ sở hữu</t>
  </si>
  <si>
    <t>Vốn góp của chủ sở hữu</t>
  </si>
  <si>
    <t>Thặng dư vốn cổ phần</t>
  </si>
  <si>
    <t>Vốn khác của chủ sở hữu</t>
  </si>
  <si>
    <t>Chênh lệch tỉ giá</t>
  </si>
  <si>
    <t>Lợi nhuận sau thuế chưa phân phối và các quỹ</t>
  </si>
  <si>
    <t>Cộng</t>
  </si>
  <si>
    <t>14. Các khoản mục ngoài báo cáo tài chính</t>
  </si>
  <si>
    <t>Nội dung</t>
  </si>
  <si>
    <t>a. Tài sản thuê ngoài</t>
  </si>
  <si>
    <t>b. Tài sản nhận giữ hộ</t>
  </si>
  <si>
    <t>- Vật tư hàng hóa nhận giữ hộ, gia công, nhận ủy thác</t>
  </si>
  <si>
    <t>- Hàng hóa nhận bán hộ, nhận ký gửi, nhận cầm cố, thế chấp</t>
  </si>
  <si>
    <t>c. Ngoại tệ các loại:</t>
  </si>
  <si>
    <t>d. Nợ khó đòi đã xử lý</t>
  </si>
  <si>
    <t>e. Thông tin về các khoản tiền phạt, phải thu về lãi trả chậm… phát sinh từ các khoản nợ quá hạn nhưng không được ghi nhận doanh thu</t>
  </si>
  <si>
    <t>15. Thuyết minh về các bên liên quan</t>
  </si>
  <si>
    <t>VI. Thông tin bổ sung cho các khoản mục đã trình bày trong báo cáo tài chính và kết quả hoạt động kinh doanh</t>
  </si>
  <si>
    <t>1. Tổng doanh thu bán hàng và cung cấp dịch vụ</t>
  </si>
  <si>
    <t>a. Doanh thu</t>
  </si>
  <si>
    <t>- Doanh thu bán hàng hóa</t>
  </si>
  <si>
    <t>- Doanh thu bán thành phẩm</t>
  </si>
  <si>
    <t>- Doanh thu cung cấp dịch vụ</t>
  </si>
  <si>
    <t>- Doanh thu khác</t>
  </si>
  <si>
    <t>b. Doanh thu từ các bên liên quan (chi tiết từng đối tượng)</t>
  </si>
  <si>
    <t>- Chiết khấu thương mại</t>
  </si>
  <si>
    <t>- Giảm giá hàng bán</t>
  </si>
  <si>
    <t>- Hàng bán bị trả lại</t>
  </si>
  <si>
    <t>3. Giá vốn hàng bán</t>
  </si>
  <si>
    <t>- Giá vốn khác</t>
  </si>
  <si>
    <t>- Các khoản chi phí khác được tính vào giá vốn</t>
  </si>
  <si>
    <t>- Các khoản ghi giảm giá vốn hàng bán</t>
  </si>
  <si>
    <t>4. Doanh thu hoạt động tài chính</t>
  </si>
  <si>
    <t>- Lãi tiền gửi, tiền cho vay</t>
  </si>
  <si>
    <t>- Lãi bán các khoản đầu tư tài chính</t>
  </si>
  <si>
    <t>- Cổ tức, lợi nhuận được chia</t>
  </si>
  <si>
    <t>- Lãi chênh lệch tỉ giá</t>
  </si>
  <si>
    <t>- Lãi bán hàng trả chậm, chiếu khấu thanh toán</t>
  </si>
  <si>
    <t>- Doanh thu hoạt động tài chính khác</t>
  </si>
  <si>
    <t>5. Chi phí tài chính</t>
  </si>
  <si>
    <t>- Lãi tiền vay</t>
  </si>
  <si>
    <t>- Chiết khấu thanh toán, lãi mua hàng trả chậm</t>
  </si>
  <si>
    <t>- Lỗ do bán các khoản đầu tư tài chính</t>
  </si>
  <si>
    <t>- Lỗ chênh lệch tỉ giá</t>
  </si>
  <si>
    <t>- Dự phòng giám giá chứng khoán kinh doanh và tổn thất đầu tư vào đơn vị khác</t>
  </si>
  <si>
    <t>- Chi phí tài chính khác</t>
  </si>
  <si>
    <t>- Các khoản ghi giảm chi phí tài chính</t>
  </si>
  <si>
    <t>- Chi phí quản lý doanh nghiệp</t>
  </si>
  <si>
    <t>- Chi phí bán hàng</t>
  </si>
  <si>
    <t>- Các khoản ghi giảm chi phí quản lý kinh doanh:</t>
  </si>
  <si>
    <t>+ Hoàn nhập các khoản dự phòng</t>
  </si>
  <si>
    <t>+ Các khoản ghi giảm khác</t>
  </si>
  <si>
    <t>6. Chi phí quản lý kinh doanh</t>
  </si>
  <si>
    <t>7. Thu nhập khác</t>
  </si>
  <si>
    <t>- Lãi thanh lý, nhượng bán TSCĐ</t>
  </si>
  <si>
    <t>- Lãi do đánh giá lại tải sản</t>
  </si>
  <si>
    <t>- Tiền phạt thu được</t>
  </si>
  <si>
    <t>- Thuế được giảm, được hoàn</t>
  </si>
  <si>
    <t>- Các khoản khác</t>
  </si>
  <si>
    <t>8. Chi phí khác</t>
  </si>
  <si>
    <t>- Lỗ thanh lý, nhượng bán TSCĐ</t>
  </si>
  <si>
    <t>- Lỗ do đánh giá lại tải sản</t>
  </si>
  <si>
    <t>- Các khoản bị phạt</t>
  </si>
  <si>
    <t>9. Chi phí thuế thu nhập doanh nghiệp hiện hành</t>
  </si>
  <si>
    <t>- Chi phí thuế thu nhập doanh nghiệp tính trên thu nhập chịu thuế năm hiện hành</t>
  </si>
  <si>
    <t>- Điều chỉnh chi phí thuế thu nhập doanh nghiệp của các năm trước vào năm hiện hành</t>
  </si>
  <si>
    <t>VII. Các thông tin khác</t>
  </si>
  <si>
    <t>--- END REPORT ---</t>
  </si>
  <si>
    <t>đ. Nợ xấu (Tổng giá trị các khoản phải thu, cho vay quá hạn thanh toán)</t>
  </si>
  <si>
    <t>a. Các khoản đi vay</t>
  </si>
  <si>
    <t>b. Các khoản nợ gốc thuê tài chính</t>
  </si>
  <si>
    <t>Tổng chi phí thuế thu nhập doanh nghiệp của năm hiện hành</t>
  </si>
  <si>
    <t>Diễn giải</t>
  </si>
  <si>
    <t>TK
đối
ứng</t>
  </si>
  <si>
    <t>Số phát sinh</t>
  </si>
  <si>
    <t>Số dư</t>
  </si>
  <si>
    <t>Ngày,
tháng</t>
  </si>
  <si>
    <t>Nợ</t>
  </si>
  <si>
    <t>Có</t>
  </si>
  <si>
    <t/>
  </si>
  <si>
    <t>01/01/2020</t>
  </si>
  <si>
    <t>Thu lại tiền trả thừa</t>
  </si>
  <si>
    <t>331</t>
  </si>
  <si>
    <t>Thu lại tiền chuyển nhầm</t>
  </si>
  <si>
    <t>Nhập kho nguyên vật liệu</t>
  </si>
  <si>
    <t>152</t>
  </si>
  <si>
    <t>Điều chỉnh công nợ</t>
  </si>
  <si>
    <t>02/01/2020</t>
  </si>
  <si>
    <t>Doanh thu dịch vụ</t>
  </si>
  <si>
    <t>5113</t>
  </si>
  <si>
    <t>33311</t>
  </si>
  <si>
    <t>03/01/2020</t>
  </si>
  <si>
    <t>04/01/2020</t>
  </si>
  <si>
    <t>Thanh toán tiền gas</t>
  </si>
  <si>
    <t>154</t>
  </si>
  <si>
    <t>Thuế GTGT đầu vào</t>
  </si>
  <si>
    <t>13311</t>
  </si>
  <si>
    <t>06/01/2020</t>
  </si>
  <si>
    <t>07/01/2020</t>
  </si>
  <si>
    <t>08/01/2020</t>
  </si>
  <si>
    <t>Nộp tiền vào tài khoản</t>
  </si>
  <si>
    <t>11211</t>
  </si>
  <si>
    <t>09/01/2020</t>
  </si>
  <si>
    <t>10/01/2020</t>
  </si>
  <si>
    <t>12/01/2020</t>
  </si>
  <si>
    <t>Chi phí mua đồ dùng cho nhà hàng</t>
  </si>
  <si>
    <t>13/01/2020</t>
  </si>
  <si>
    <t>14/01/2020</t>
  </si>
  <si>
    <t>15/01/2020</t>
  </si>
  <si>
    <t>16/01/2020</t>
  </si>
  <si>
    <t>Doanh thu kéo về 2019</t>
  </si>
  <si>
    <t>3387</t>
  </si>
  <si>
    <t>18/01/2020</t>
  </si>
  <si>
    <t>19/01/2020</t>
  </si>
  <si>
    <t>21/01/2020</t>
  </si>
  <si>
    <t>31/01/2020</t>
  </si>
  <si>
    <t>Chi phí mua hoa quả T1/2020</t>
  </si>
  <si>
    <t>Chi phí NVL phụ T1/2020</t>
  </si>
  <si>
    <t>Chi phí mua rau củ quả T1/2020</t>
  </si>
  <si>
    <t>Thanh toán tiền lương</t>
  </si>
  <si>
    <t>334</t>
  </si>
  <si>
    <t>10/02/2020</t>
  </si>
  <si>
    <t>11/02/2020</t>
  </si>
  <si>
    <t>19/02/2020</t>
  </si>
  <si>
    <t>20/02/2020</t>
  </si>
  <si>
    <t>Phí bảo trì thang máy</t>
  </si>
  <si>
    <t>6422</t>
  </si>
  <si>
    <t>24/02/2020</t>
  </si>
  <si>
    <t>26/02/2020</t>
  </si>
  <si>
    <t>27/02/2020</t>
  </si>
  <si>
    <t>29/02/2020</t>
  </si>
  <si>
    <t>Chi phí mua hoa quả T2/2020</t>
  </si>
  <si>
    <t>Chi phí NVL phụ T2/2020</t>
  </si>
  <si>
    <t>Chi phí mua rau củ quả T2/2020</t>
  </si>
  <si>
    <t>04/03/2020</t>
  </si>
  <si>
    <t>06/03/2020</t>
  </si>
  <si>
    <t>Mua laptop</t>
  </si>
  <si>
    <t>8112</t>
  </si>
  <si>
    <t>09/03/2020</t>
  </si>
  <si>
    <t>TT tiền cước điện thoại</t>
  </si>
  <si>
    <t>10/03/2020</t>
  </si>
  <si>
    <t>15/03/2020</t>
  </si>
  <si>
    <t>20/03/2020</t>
  </si>
  <si>
    <t>25/03/2020</t>
  </si>
  <si>
    <t>Mua chảo sâu lòng</t>
  </si>
  <si>
    <t>242</t>
  </si>
  <si>
    <t>31/03/2020</t>
  </si>
  <si>
    <t>Chi phí NVL phụ T3/2020</t>
  </si>
  <si>
    <t>Chi phí mua rau củ quả T3/2020</t>
  </si>
  <si>
    <t>Chi phí mua hoa quả T3/2020</t>
  </si>
  <si>
    <t>01/04/2020</t>
  </si>
  <si>
    <t>Chi phí mua nguyên vật liệu T6/2020 (HĐ 244+247)</t>
  </si>
  <si>
    <t>15/04/2020</t>
  </si>
  <si>
    <t>23/04/2020</t>
  </si>
  <si>
    <t>Sửa văn phòng</t>
  </si>
  <si>
    <t>01/05/2020</t>
  </si>
  <si>
    <t>06/05/2020</t>
  </si>
  <si>
    <t>07/05/2020</t>
  </si>
  <si>
    <t>10/05/2020</t>
  </si>
  <si>
    <t>11/05/2020</t>
  </si>
  <si>
    <t>12/05/2020</t>
  </si>
  <si>
    <t>15/05/2020</t>
  </si>
  <si>
    <t>16/05/2020</t>
  </si>
  <si>
    <t>20/05/2020</t>
  </si>
  <si>
    <t>21/05/2020</t>
  </si>
  <si>
    <t>23/05/2020</t>
  </si>
  <si>
    <t>24/05/2020</t>
  </si>
  <si>
    <t>25/05/2020</t>
  </si>
  <si>
    <t>Trả tiền khách hàng</t>
  </si>
  <si>
    <t>26/05/2020</t>
  </si>
  <si>
    <t>27/05/2020</t>
  </si>
  <si>
    <t>Mua bảo hiểm xe</t>
  </si>
  <si>
    <t>TT tiền bảo hiểm xe</t>
  </si>
  <si>
    <t>TT phí kiểm định xe ô tô</t>
  </si>
  <si>
    <t>Phí sử dụng đường bộ</t>
  </si>
  <si>
    <t>28/05/2020</t>
  </si>
  <si>
    <t>29/05/2020</t>
  </si>
  <si>
    <t>30/05/2020</t>
  </si>
  <si>
    <t>31/05/2020</t>
  </si>
  <si>
    <t>Chi phí NVL phụ T5/2020</t>
  </si>
  <si>
    <t>Chi phí mua rau củ quả T5/2020</t>
  </si>
  <si>
    <t>Chi phí mua hoa quả T5/2020</t>
  </si>
  <si>
    <t>Mua chảo chống dính</t>
  </si>
  <si>
    <t>04/06/2020</t>
  </si>
  <si>
    <t>05/06/2020</t>
  </si>
  <si>
    <t>06/06/2020</t>
  </si>
  <si>
    <t>07/06/2020</t>
  </si>
  <si>
    <t>09/06/2020</t>
  </si>
  <si>
    <t>11/06/2020</t>
  </si>
  <si>
    <t>Mua điện thoại bàn</t>
  </si>
  <si>
    <t>12/06/2020</t>
  </si>
  <si>
    <t>17/06/2020</t>
  </si>
  <si>
    <t>Mua máy tính</t>
  </si>
  <si>
    <t>19/06/2020</t>
  </si>
  <si>
    <t>20/06/2020</t>
  </si>
  <si>
    <t>23/06/2020</t>
  </si>
  <si>
    <t>24/06/2020</t>
  </si>
  <si>
    <t>25/06/2020</t>
  </si>
  <si>
    <t>26/06/2020</t>
  </si>
  <si>
    <t>27/06/2020</t>
  </si>
  <si>
    <t>28/06/2020</t>
  </si>
  <si>
    <t>29/06/2020</t>
  </si>
  <si>
    <t>30/06/2020</t>
  </si>
  <si>
    <t>Chi phí mua hoa quả T6/2020</t>
  </si>
  <si>
    <t>Chi phí NVL phụ T6/2020</t>
  </si>
  <si>
    <t>Chi phí mua rau củ quả T6/2020</t>
  </si>
  <si>
    <t>01/07/2020</t>
  </si>
  <si>
    <t>Mua chảo, nồi, bình đun nước, lò vi sóng</t>
  </si>
  <si>
    <t>Mua máy in</t>
  </si>
  <si>
    <t>CP mua bàn ủi hơi nước (loại)</t>
  </si>
  <si>
    <t>03/07/2020</t>
  </si>
  <si>
    <t>07/07/2020</t>
  </si>
  <si>
    <t>08/07/2020</t>
  </si>
  <si>
    <t>10/07/2020</t>
  </si>
  <si>
    <t>11/07/2020</t>
  </si>
  <si>
    <t>13/07/2020</t>
  </si>
  <si>
    <t>14/07/2020</t>
  </si>
  <si>
    <t>15/07/2020</t>
  </si>
  <si>
    <t>16/07/2020</t>
  </si>
  <si>
    <t>TT tiền xăng dầu</t>
  </si>
  <si>
    <t>17/07/2020</t>
  </si>
  <si>
    <t>22/07/2020</t>
  </si>
  <si>
    <t>23/07/2020</t>
  </si>
  <si>
    <t>24/07/2020</t>
  </si>
  <si>
    <t>25/07/2020</t>
  </si>
  <si>
    <t>27/07/2020</t>
  </si>
  <si>
    <t>28/07/2020</t>
  </si>
  <si>
    <t>30/07/2020</t>
  </si>
  <si>
    <t>31/07/2020</t>
  </si>
  <si>
    <t>Chi phí mua hoa quả T7/2020</t>
  </si>
  <si>
    <t>Chi phí NVL phụ T7/2020</t>
  </si>
  <si>
    <t>Chi phí mua rau củ quả T7/2020</t>
  </si>
  <si>
    <t>03/08/2020</t>
  </si>
  <si>
    <t>Mua bát</t>
  </si>
  <si>
    <t>04/08/2020</t>
  </si>
  <si>
    <t>05/08/2020</t>
  </si>
  <si>
    <t>07/08/2020</t>
  </si>
  <si>
    <t>12/08/2020</t>
  </si>
  <si>
    <t>13/08/2020</t>
  </si>
  <si>
    <t>14/08/2020</t>
  </si>
  <si>
    <t>17/08/2020</t>
  </si>
  <si>
    <t>18/08/2020</t>
  </si>
  <si>
    <t>Doanh thu bán hàng</t>
  </si>
  <si>
    <t>5111</t>
  </si>
  <si>
    <t>20/08/2020</t>
  </si>
  <si>
    <t>21/08/2020</t>
  </si>
  <si>
    <t>25/08/2020</t>
  </si>
  <si>
    <t>26/08/2020</t>
  </si>
  <si>
    <t>27/08/2020</t>
  </si>
  <si>
    <t>28/08/2020</t>
  </si>
  <si>
    <t>30/08/2020</t>
  </si>
  <si>
    <t>31/08/2020</t>
  </si>
  <si>
    <t>Chi phí mua hoa quả T8/2020</t>
  </si>
  <si>
    <t>Chi phí NVL phụ T8/2020</t>
  </si>
  <si>
    <t>Chi phí mua rau củ quả T8/2020</t>
  </si>
  <si>
    <t>01/09/2020</t>
  </si>
  <si>
    <t>03/09/2020</t>
  </si>
  <si>
    <t>04/09/2020</t>
  </si>
  <si>
    <t>07/09/2020</t>
  </si>
  <si>
    <t>08/09/2020</t>
  </si>
  <si>
    <t>09/09/2020</t>
  </si>
  <si>
    <t>10/09/2020</t>
  </si>
  <si>
    <t>11/09/2020</t>
  </si>
  <si>
    <t>13/09/2020</t>
  </si>
  <si>
    <t>14/09/2020</t>
  </si>
  <si>
    <t>15/09/2020</t>
  </si>
  <si>
    <t>16/09/2020</t>
  </si>
  <si>
    <t>17/09/2020</t>
  </si>
  <si>
    <t>20/09/2020</t>
  </si>
  <si>
    <t>21/09/2020</t>
  </si>
  <si>
    <t>22/09/2020</t>
  </si>
  <si>
    <t>23/09/2020</t>
  </si>
  <si>
    <t>25/09/2020</t>
  </si>
  <si>
    <t>28/09/2020</t>
  </si>
  <si>
    <t>29/09/2020</t>
  </si>
  <si>
    <t>30/09/2020</t>
  </si>
  <si>
    <t>Chi phí mua hoa quả T9/2020</t>
  </si>
  <si>
    <t>Chi phí NVL phụ T9/2020</t>
  </si>
  <si>
    <t>Chi phí mua rau củ quả T9/2020</t>
  </si>
  <si>
    <t>01/10/2020</t>
  </si>
  <si>
    <t>03/10/2020</t>
  </si>
  <si>
    <t>05/10/2020</t>
  </si>
  <si>
    <t>06/10/2020</t>
  </si>
  <si>
    <t>07/10/2020</t>
  </si>
  <si>
    <t>09/10/2020</t>
  </si>
  <si>
    <t>10/10/2020</t>
  </si>
  <si>
    <t>11/10/2020</t>
  </si>
  <si>
    <t>12/10/2020</t>
  </si>
  <si>
    <t>13/10/2020</t>
  </si>
  <si>
    <t>14/10/2020</t>
  </si>
  <si>
    <t>15/10/2020</t>
  </si>
  <si>
    <t>20/10/2020</t>
  </si>
  <si>
    <t>21/10/2020</t>
  </si>
  <si>
    <t>22/10/2020</t>
  </si>
  <si>
    <t>23/10/2020</t>
  </si>
  <si>
    <t>24/10/2020</t>
  </si>
  <si>
    <t>25/10/2020</t>
  </si>
  <si>
    <t>26/10/2020</t>
  </si>
  <si>
    <t>27/10/2020</t>
  </si>
  <si>
    <t>28/10/2020</t>
  </si>
  <si>
    <t>30/10/2020</t>
  </si>
  <si>
    <t>31/10/2020</t>
  </si>
  <si>
    <t>Chi phí mua hoa quả T10/2020</t>
  </si>
  <si>
    <t>Chi phí NVL phụ T10/2020</t>
  </si>
  <si>
    <t>Chi phí mua rau củ quả T10/2020</t>
  </si>
  <si>
    <t>01/11/2020</t>
  </si>
  <si>
    <t>03/11/2020</t>
  </si>
  <si>
    <t>CP mua mực lá</t>
  </si>
  <si>
    <t>05/11/2020</t>
  </si>
  <si>
    <t>06/11/2020</t>
  </si>
  <si>
    <t>07/11/2020</t>
  </si>
  <si>
    <t>09/11/2020</t>
  </si>
  <si>
    <t>10/11/2020</t>
  </si>
  <si>
    <t>12/11/2020</t>
  </si>
  <si>
    <t>14/11/2020</t>
  </si>
  <si>
    <t>15/11/2020</t>
  </si>
  <si>
    <t>16/11/2020</t>
  </si>
  <si>
    <t>18/11/2020</t>
  </si>
  <si>
    <t>20/11/2020</t>
  </si>
  <si>
    <t>24/11/2020</t>
  </si>
  <si>
    <t>25/11/2020</t>
  </si>
  <si>
    <t>27/11/2020</t>
  </si>
  <si>
    <t>30/11/2020</t>
  </si>
  <si>
    <t>Chi phí NVL phụ T11/2020</t>
  </si>
  <si>
    <t>Chi phí mua rau củ quả T11/2020</t>
  </si>
  <si>
    <t>Chi phí mua hoa quả T11/2020</t>
  </si>
  <si>
    <t>01/12/2020</t>
  </si>
  <si>
    <t>Phí bảo trì thang máy t2+5/2020</t>
  </si>
  <si>
    <t>04/12/2020</t>
  </si>
  <si>
    <t>05/12/2020</t>
  </si>
  <si>
    <t>07/12/2020</t>
  </si>
  <si>
    <t>08/12/2020</t>
  </si>
  <si>
    <t>10/12/2020</t>
  </si>
  <si>
    <t>11/12/2020</t>
  </si>
  <si>
    <t>14/12/2020</t>
  </si>
  <si>
    <t>16/12/2020</t>
  </si>
  <si>
    <t>17/12/2020</t>
  </si>
  <si>
    <t>18/12/2020</t>
  </si>
  <si>
    <t>Phí bảo trì thang máy T9-12/2020</t>
  </si>
  <si>
    <t>19/12/2020</t>
  </si>
  <si>
    <t>21/12/2020</t>
  </si>
  <si>
    <t>23/12/2020</t>
  </si>
  <si>
    <t>1388</t>
  </si>
  <si>
    <t>24/12/2020</t>
  </si>
  <si>
    <t>25/12/2020</t>
  </si>
  <si>
    <t>30/12/2020</t>
  </si>
  <si>
    <t>31/12/2020</t>
  </si>
  <si>
    <t>Thu tiền khách hàng</t>
  </si>
  <si>
    <t>Chi phí NVL phụ T12/2020</t>
  </si>
  <si>
    <t>Chi phí mua rau củ quả T12/2020</t>
  </si>
  <si>
    <t>Chi phí mua hoa quả T12/2020</t>
  </si>
  <si>
    <t>Ngày
tháng
ghi sổ</t>
  </si>
  <si>
    <t>Chứng từ</t>
  </si>
  <si>
    <t>Số hiệu</t>
  </si>
  <si>
    <t>NTTK00235</t>
  </si>
  <si>
    <t>1111</t>
  </si>
  <si>
    <t>UNC00414</t>
  </si>
  <si>
    <t>Nộp thuế môn bài năm 2020</t>
  </si>
  <si>
    <t>3339</t>
  </si>
  <si>
    <t>UNC00488</t>
  </si>
  <si>
    <t>Phí ngân hàng</t>
  </si>
  <si>
    <t>NTTK00236</t>
  </si>
  <si>
    <t>UNC00415</t>
  </si>
  <si>
    <t>TT phí đại lý thuế T12/2019 + T1/2020 + Tiền thưởng Tết</t>
  </si>
  <si>
    <t>UNC00416</t>
  </si>
  <si>
    <t>Thanh toán tiền nước</t>
  </si>
  <si>
    <t>UNC00417</t>
  </si>
  <si>
    <t>UNC00489</t>
  </si>
  <si>
    <t>UNC00490</t>
  </si>
  <si>
    <t>UNC00491</t>
  </si>
  <si>
    <t>UNC00418</t>
  </si>
  <si>
    <t>Thanh toán tiền điện</t>
  </si>
  <si>
    <t>UNC00419</t>
  </si>
  <si>
    <t>NTTK00237</t>
  </si>
  <si>
    <t>UNC00420</t>
  </si>
  <si>
    <t>Nộp thuế GTGT Q4/2019</t>
  </si>
  <si>
    <t>UNC00492</t>
  </si>
  <si>
    <t>NTTK00238</t>
  </si>
  <si>
    <t>Lãi tiền gửi</t>
  </si>
  <si>
    <t>515</t>
  </si>
  <si>
    <t>UNC00421</t>
  </si>
  <si>
    <t>03/02/2020</t>
  </si>
  <si>
    <t>UNC00422</t>
  </si>
  <si>
    <t>Thanh toán tiền điện thoại</t>
  </si>
  <si>
    <t>UNC00493</t>
  </si>
  <si>
    <t>NTTK00239</t>
  </si>
  <si>
    <t>14/02/2020</t>
  </si>
  <si>
    <t>UNC00423</t>
  </si>
  <si>
    <t>UNC00424</t>
  </si>
  <si>
    <t>UNC00425</t>
  </si>
  <si>
    <t>UNC00494</t>
  </si>
  <si>
    <t>UNC00495</t>
  </si>
  <si>
    <t>25/02/2020</t>
  </si>
  <si>
    <t>UNC00426</t>
  </si>
  <si>
    <t>UNC00496</t>
  </si>
  <si>
    <t>UNC00427</t>
  </si>
  <si>
    <t>TT tiền BHXH T1+2/2020</t>
  </si>
  <si>
    <t>3383</t>
  </si>
  <si>
    <t>UNC00497</t>
  </si>
  <si>
    <t>NTTK00240</t>
  </si>
  <si>
    <t>UNC00428</t>
  </si>
  <si>
    <t>14/03/2020</t>
  </si>
  <si>
    <t>UNC00429</t>
  </si>
  <si>
    <t>16/03/2020</t>
  </si>
  <si>
    <t>UNC00430</t>
  </si>
  <si>
    <t>UNC00431</t>
  </si>
  <si>
    <t>UNC00498</t>
  </si>
  <si>
    <t>UNC00499</t>
  </si>
  <si>
    <t>NTTK00241</t>
  </si>
  <si>
    <t>UNC00432</t>
  </si>
  <si>
    <t>13/04/2020</t>
  </si>
  <si>
    <t>UNC00433</t>
  </si>
  <si>
    <t>UNC00434</t>
  </si>
  <si>
    <t>UNC00500</t>
  </si>
  <si>
    <t>UNC00501</t>
  </si>
  <si>
    <t>NTTK00242</t>
  </si>
  <si>
    <t>UNC00435</t>
  </si>
  <si>
    <t>TT tiền BHXH T3/2020</t>
  </si>
  <si>
    <t>UNC00436</t>
  </si>
  <si>
    <t>TT phí đại lý thuế T2+3/2020</t>
  </si>
  <si>
    <t>UNC00437</t>
  </si>
  <si>
    <t>Thanh toán tiền gia hạn phần mềm BHXH</t>
  </si>
  <si>
    <t>UNC00438</t>
  </si>
  <si>
    <t>UNC00502</t>
  </si>
  <si>
    <t>UNC00503</t>
  </si>
  <si>
    <t>UNC00504</t>
  </si>
  <si>
    <t>16/04/2020</t>
  </si>
  <si>
    <t>UNC00439</t>
  </si>
  <si>
    <t>24/04/2020</t>
  </si>
  <si>
    <t>NTTK00243</t>
  </si>
  <si>
    <t>131</t>
  </si>
  <si>
    <t>29/04/2020</t>
  </si>
  <si>
    <t>NTTK00244</t>
  </si>
  <si>
    <t>UNC00440</t>
  </si>
  <si>
    <t>Nộp thuế TNDN Q1/2020</t>
  </si>
  <si>
    <t>3334</t>
  </si>
  <si>
    <t>Nộp thuế GTGT Q1/2020</t>
  </si>
  <si>
    <t>UNC00441</t>
  </si>
  <si>
    <t>UNC00505</t>
  </si>
  <si>
    <t>04/05/2020</t>
  </si>
  <si>
    <t>UNC00442</t>
  </si>
  <si>
    <t>UNC00443</t>
  </si>
  <si>
    <t>UNC00506</t>
  </si>
  <si>
    <t>UNC00507</t>
  </si>
  <si>
    <t>05/05/2020</t>
  </si>
  <si>
    <t>NTTK00245</t>
  </si>
  <si>
    <t>UNC00444</t>
  </si>
  <si>
    <t>Trả tiền cho khách hàng</t>
  </si>
  <si>
    <t>UNC00508</t>
  </si>
  <si>
    <t>14/05/2020</t>
  </si>
  <si>
    <t>UNC00445</t>
  </si>
  <si>
    <t>UNC00446</t>
  </si>
  <si>
    <t>TT phí đại lý thuế T4/2020</t>
  </si>
  <si>
    <t>UNC00509</t>
  </si>
  <si>
    <t>NTTK00246</t>
  </si>
  <si>
    <t>NTTK00247</t>
  </si>
  <si>
    <t>UNC00447</t>
  </si>
  <si>
    <t>01/06/2020</t>
  </si>
  <si>
    <t>UNC00448</t>
  </si>
  <si>
    <t>TT tiền BHXH T4+5/2020</t>
  </si>
  <si>
    <t>UNC00510</t>
  </si>
  <si>
    <t>UNC00449</t>
  </si>
  <si>
    <t>UNC00450</t>
  </si>
  <si>
    <t>UNC00511</t>
  </si>
  <si>
    <t>UNC00512</t>
  </si>
  <si>
    <t>15/06/2020</t>
  </si>
  <si>
    <t>UNC00451</t>
  </si>
  <si>
    <t>TT phí đại lý thuế T5/2020</t>
  </si>
  <si>
    <t>UNC00452</t>
  </si>
  <si>
    <t>UNC00513</t>
  </si>
  <si>
    <t>NTTK00248</t>
  </si>
  <si>
    <t>NTTK00249</t>
  </si>
  <si>
    <t>UNC00453</t>
  </si>
  <si>
    <t>UNC00514</t>
  </si>
  <si>
    <t>NTTK00250</t>
  </si>
  <si>
    <t>UNC00454</t>
  </si>
  <si>
    <t>UNC00455</t>
  </si>
  <si>
    <t>UNC00456</t>
  </si>
  <si>
    <t>UNC00515</t>
  </si>
  <si>
    <t>UNC00516</t>
  </si>
  <si>
    <t>UNC00457</t>
  </si>
  <si>
    <t>UNC00458</t>
  </si>
  <si>
    <t>UNC00459</t>
  </si>
  <si>
    <t>TT phí đại lý thuế T6/2020</t>
  </si>
  <si>
    <t>UNC00517</t>
  </si>
  <si>
    <t>NTTK00251</t>
  </si>
  <si>
    <t>UNC00460</t>
  </si>
  <si>
    <t>Nộp thuế GTGT Q2/2020</t>
  </si>
  <si>
    <t>UNC00461</t>
  </si>
  <si>
    <t>Nộp thuế TNDN Q2/2020</t>
  </si>
  <si>
    <t>UNC00462</t>
  </si>
  <si>
    <t>UNC00518</t>
  </si>
  <si>
    <t>UNC00519</t>
  </si>
  <si>
    <t>UNC00520</t>
  </si>
  <si>
    <t>NTTK00252</t>
  </si>
  <si>
    <t>UNC00463</t>
  </si>
  <si>
    <t>UNC00464</t>
  </si>
  <si>
    <t>TT tiền BHXH T6+7/2020</t>
  </si>
  <si>
    <t>UNC00465</t>
  </si>
  <si>
    <t>NTTK00253</t>
  </si>
  <si>
    <t>NTTK00254</t>
  </si>
  <si>
    <t>UNC00466</t>
  </si>
  <si>
    <t>Thanh toán phí xử lý rác thải</t>
  </si>
  <si>
    <t>UNC00467</t>
  </si>
  <si>
    <t>UNC00468</t>
  </si>
  <si>
    <t>Nộp bổ sung thuế GTGT Q2/2020</t>
  </si>
  <si>
    <t>UNC00469</t>
  </si>
  <si>
    <t>UNC00470</t>
  </si>
  <si>
    <t>Nộp tiền phạt chậm nộp thuế GTGT Q2/2020</t>
  </si>
  <si>
    <t>UNC00471</t>
  </si>
  <si>
    <t>15/08/2020</t>
  </si>
  <si>
    <t>UNC00472</t>
  </si>
  <si>
    <t>UNC00473</t>
  </si>
  <si>
    <t>TT phí đại lý thuế T7/2020</t>
  </si>
  <si>
    <t>UNC00474</t>
  </si>
  <si>
    <t>UNC00475</t>
  </si>
  <si>
    <t>UNC00476</t>
  </si>
  <si>
    <t>UNC00477</t>
  </si>
  <si>
    <t>UNC00478</t>
  </si>
  <si>
    <t>NTTK00255</t>
  </si>
  <si>
    <t>UNC00479</t>
  </si>
  <si>
    <t>TT tiền lắp đặt cửa cuốn</t>
  </si>
  <si>
    <t>UNC00480</t>
  </si>
  <si>
    <t>NTTK00256</t>
  </si>
  <si>
    <t>UNC00481</t>
  </si>
  <si>
    <t>UNC00482</t>
  </si>
  <si>
    <t>UNC00483</t>
  </si>
  <si>
    <t>UNC00484</t>
  </si>
  <si>
    <t>UNC00485</t>
  </si>
  <si>
    <t>TT phí đại lý thuế T8/2020</t>
  </si>
  <si>
    <t>UNC00486</t>
  </si>
  <si>
    <t>NTTK00257</t>
  </si>
  <si>
    <t>NTTK00258</t>
  </si>
  <si>
    <t>26/09/2020</t>
  </si>
  <si>
    <t>UNC00487</t>
  </si>
  <si>
    <t>NTTK00264</t>
  </si>
  <si>
    <t>NTTK00265</t>
  </si>
  <si>
    <t>UNC00538</t>
  </si>
  <si>
    <t>UNC00539</t>
  </si>
  <si>
    <t>UNC00540</t>
  </si>
  <si>
    <t>UNC00541</t>
  </si>
  <si>
    <t>UNC00542</t>
  </si>
  <si>
    <t>TT tiền BHXH T8+9/2020</t>
  </si>
  <si>
    <t>UNC00543</t>
  </si>
  <si>
    <t>UNC00544</t>
  </si>
  <si>
    <t>NTTK00259</t>
  </si>
  <si>
    <t>NTTK00260</t>
  </si>
  <si>
    <t>NTTK00261</t>
  </si>
  <si>
    <t>UNC00521</t>
  </si>
  <si>
    <t>16/10/2020</t>
  </si>
  <si>
    <t>UNC00522</t>
  </si>
  <si>
    <t>UNC00523</t>
  </si>
  <si>
    <t>UNC00524</t>
  </si>
  <si>
    <t>UNC00525</t>
  </si>
  <si>
    <t>UNC00526</t>
  </si>
  <si>
    <t>UNC00527</t>
  </si>
  <si>
    <t>Ủng hộ đồng bào miền Trung</t>
  </si>
  <si>
    <t>UNC00528</t>
  </si>
  <si>
    <t>NTTK00262</t>
  </si>
  <si>
    <t>UNC00529</t>
  </si>
  <si>
    <t>UNC00530</t>
  </si>
  <si>
    <t>UNC00531</t>
  </si>
  <si>
    <t>UNC00532</t>
  </si>
  <si>
    <t>29/10/2020</t>
  </si>
  <si>
    <t>UNC00533</t>
  </si>
  <si>
    <t>Nộp thuế GTGT Q3/2020</t>
  </si>
  <si>
    <t>UNC00534</t>
  </si>
  <si>
    <t>UNC00535</t>
  </si>
  <si>
    <t>Nộp thuế TNDN Q3/2020</t>
  </si>
  <si>
    <t>UNC00536</t>
  </si>
  <si>
    <t>NTTK00263</t>
  </si>
  <si>
    <t>UNC00537</t>
  </si>
  <si>
    <t>UNC00545</t>
  </si>
  <si>
    <t>NTTK00266</t>
  </si>
  <si>
    <t>UNC00546</t>
  </si>
  <si>
    <t>TT phí đại lý thuế T9+10/2020</t>
  </si>
  <si>
    <t>UNC00547</t>
  </si>
  <si>
    <t>NTTK00267</t>
  </si>
  <si>
    <t>23/11/2020</t>
  </si>
  <si>
    <t>UNC00548</t>
  </si>
  <si>
    <t>UNC00549</t>
  </si>
  <si>
    <t>UNC00550</t>
  </si>
  <si>
    <t>UNC00551</t>
  </si>
  <si>
    <t>UNC00552</t>
  </si>
  <si>
    <t>UNC00553</t>
  </si>
  <si>
    <t>28/11/2020</t>
  </si>
  <si>
    <t>NTTK00268</t>
  </si>
  <si>
    <t>NTTK00269</t>
  </si>
  <si>
    <t>UNC00554</t>
  </si>
  <si>
    <t>UNC00555</t>
  </si>
  <si>
    <t>TT tiền BHXH T10,11,12/2020</t>
  </si>
  <si>
    <t>UNC00556</t>
  </si>
  <si>
    <t>UNC00557</t>
  </si>
  <si>
    <t>UNC00558</t>
  </si>
  <si>
    <t>UNC00559</t>
  </si>
  <si>
    <t>UNC00560</t>
  </si>
  <si>
    <t>TT tiền BHXH 2020</t>
  </si>
  <si>
    <t>UNC00561</t>
  </si>
  <si>
    <t>UNC00562</t>
  </si>
  <si>
    <t>TT phí đại lý thuế T11+12/2020</t>
  </si>
  <si>
    <t>UNC00563</t>
  </si>
  <si>
    <t>29/12/2020</t>
  </si>
  <si>
    <t>UNC00564</t>
  </si>
  <si>
    <t>UNC00565</t>
  </si>
  <si>
    <t>UNC00566</t>
  </si>
  <si>
    <t>UNC00567</t>
  </si>
  <si>
    <t>UNC00568</t>
  </si>
  <si>
    <t>UNC00569</t>
  </si>
  <si>
    <t>NTTK00270</t>
  </si>
  <si>
    <t>UNC00570</t>
  </si>
  <si>
    <t>Total</t>
  </si>
  <si>
    <t>Thu tiền</t>
  </si>
  <si>
    <t>x</t>
  </si>
  <si>
    <t>Dữ liệu</t>
  </si>
  <si>
    <t>111;112</t>
  </si>
  <si>
    <t>511;131;515;121</t>
  </si>
  <si>
    <t>331;642;152;153;155;156;157</t>
  </si>
  <si>
    <t>335;635</t>
  </si>
  <si>
    <t>111;113</t>
  </si>
  <si>
    <t>711;133;141;138</t>
  </si>
  <si>
    <t>811;138;333;338;352;353;356</t>
  </si>
  <si>
    <t>211;217;241;242;331</t>
  </si>
  <si>
    <t>711;5118;131;632;811</t>
  </si>
  <si>
    <t>128;228;331</t>
  </si>
  <si>
    <t>128;228;131</t>
  </si>
  <si>
    <t>Công ty TNHH tư vấn tài chính và kế toán FAC</t>
  </si>
  <si>
    <t>FAC</t>
  </si>
  <si>
    <t>0103292065</t>
  </si>
  <si>
    <t>Số 6D ngách 155/43 Cầu Giấy, Yên Hòa</t>
  </si>
  <si>
    <t>10113</t>
  </si>
  <si>
    <t>Mã Tỉnh/TP</t>
  </si>
  <si>
    <t>Tỉnh/TP</t>
  </si>
  <si>
    <t>Prefix</t>
  </si>
  <si>
    <t>Cấp Tỉnh/TP:</t>
  </si>
  <si>
    <t>Str_Row:</t>
  </si>
  <si>
    <t>An Giang</t>
  </si>
  <si>
    <t>AGI</t>
  </si>
  <si>
    <t>Cấp Quận/Huyện:</t>
  </si>
  <si>
    <t>End_Row</t>
  </si>
  <si>
    <t>Bà Rịa - Vũng Tàu</t>
  </si>
  <si>
    <t>BRV</t>
  </si>
  <si>
    <t>Bắc Cạn</t>
  </si>
  <si>
    <t>BCA</t>
  </si>
  <si>
    <t>Bắc Giang</t>
  </si>
  <si>
    <t>BGI</t>
  </si>
  <si>
    <t>Bạc Liêu</t>
  </si>
  <si>
    <t>BLI</t>
  </si>
  <si>
    <t>BNI</t>
  </si>
  <si>
    <t>Bến Tre</t>
  </si>
  <si>
    <t>BTR</t>
  </si>
  <si>
    <t>Bình Định</t>
  </si>
  <si>
    <t>BDI</t>
  </si>
  <si>
    <t>Bình Dương</t>
  </si>
  <si>
    <t>BDU</t>
  </si>
  <si>
    <t>Bình Phước</t>
  </si>
  <si>
    <t>BPH</t>
  </si>
  <si>
    <t>Bình Thuận</t>
  </si>
  <si>
    <t>BTH</t>
  </si>
  <si>
    <t>Cà Mau</t>
  </si>
  <si>
    <t>CMA</t>
  </si>
  <si>
    <t>Cần Thơ</t>
  </si>
  <si>
    <t>CTH</t>
  </si>
  <si>
    <t>Cao Bằng</t>
  </si>
  <si>
    <t>CBA</t>
  </si>
  <si>
    <t>Đà Nẵng</t>
  </si>
  <si>
    <t>DAN</t>
  </si>
  <si>
    <t>Đắc Lắc</t>
  </si>
  <si>
    <t>DLA</t>
  </si>
  <si>
    <t>Đắk Nông</t>
  </si>
  <si>
    <t>DNO</t>
  </si>
  <si>
    <t>DBI</t>
  </si>
  <si>
    <t>Đồng Nai</t>
  </si>
  <si>
    <t>DON</t>
  </si>
  <si>
    <t>Đồng Tháp</t>
  </si>
  <si>
    <t>DTH</t>
  </si>
  <si>
    <t>Gia Lai</t>
  </si>
  <si>
    <t>GLA</t>
  </si>
  <si>
    <t>Hà Giang</t>
  </si>
  <si>
    <t>HGI</t>
  </si>
  <si>
    <t>Hà Nam</t>
  </si>
  <si>
    <t>HNA</t>
  </si>
  <si>
    <t>HAN</t>
  </si>
  <si>
    <t>Hà Tĩnh</t>
  </si>
  <si>
    <t>HTI</t>
  </si>
  <si>
    <t>Hải Dương</t>
  </si>
  <si>
    <t>HDU</t>
  </si>
  <si>
    <t>Hải Phòng</t>
  </si>
  <si>
    <t>HPH</t>
  </si>
  <si>
    <t>Hậu Giang</t>
  </si>
  <si>
    <t>HAG</t>
  </si>
  <si>
    <t>Hòa Bình</t>
  </si>
  <si>
    <t>HBI</t>
  </si>
  <si>
    <t>HYE</t>
  </si>
  <si>
    <t>Khánh Hòa</t>
  </si>
  <si>
    <t>KHH</t>
  </si>
  <si>
    <t>Kiên Giang</t>
  </si>
  <si>
    <t>KGI</t>
  </si>
  <si>
    <t>Kon Tum</t>
  </si>
  <si>
    <t>KTU</t>
  </si>
  <si>
    <t>Lai Châu</t>
  </si>
  <si>
    <t>LCH</t>
  </si>
  <si>
    <t>Lâm Đồng</t>
  </si>
  <si>
    <t>LDO</t>
  </si>
  <si>
    <t>Lạng Sơn</t>
  </si>
  <si>
    <t>LSO</t>
  </si>
  <si>
    <t>Lào Cai</t>
  </si>
  <si>
    <t>LCA</t>
  </si>
  <si>
    <t>Long An</t>
  </si>
  <si>
    <t>LAN</t>
  </si>
  <si>
    <t>Nam Định</t>
  </si>
  <si>
    <t>NDI</t>
  </si>
  <si>
    <t>Nghệ An</t>
  </si>
  <si>
    <t>NAN</t>
  </si>
  <si>
    <t>Ninh Bình</t>
  </si>
  <si>
    <t>NBI</t>
  </si>
  <si>
    <t>Ninh Thuận</t>
  </si>
  <si>
    <t>NTH</t>
  </si>
  <si>
    <t>Phú Thọ</t>
  </si>
  <si>
    <t>PTH</t>
  </si>
  <si>
    <t>Phú Yên</t>
  </si>
  <si>
    <t>PHY</t>
  </si>
  <si>
    <t>Quảng Bình</t>
  </si>
  <si>
    <t>QBI</t>
  </si>
  <si>
    <t>Quảng Nam</t>
  </si>
  <si>
    <t>QNA</t>
  </si>
  <si>
    <t>Quảng Ngãi</t>
  </si>
  <si>
    <t>QNG</t>
  </si>
  <si>
    <t>Quảng Ninh</t>
  </si>
  <si>
    <t>QNI</t>
  </si>
  <si>
    <t>Quảng Trị</t>
  </si>
  <si>
    <t>QTR</t>
  </si>
  <si>
    <t>Sóc Trăng</t>
  </si>
  <si>
    <t>STR</t>
  </si>
  <si>
    <t>Sơn La</t>
  </si>
  <si>
    <t>SLA</t>
  </si>
  <si>
    <t>Tây Ninh</t>
  </si>
  <si>
    <t>TNI</t>
  </si>
  <si>
    <t>Thái Bình</t>
  </si>
  <si>
    <t>TBI</t>
  </si>
  <si>
    <t>Thái Nguyên</t>
  </si>
  <si>
    <t>TGN</t>
  </si>
  <si>
    <t>Thanh Hoá</t>
  </si>
  <si>
    <t>THO</t>
  </si>
  <si>
    <t>Thừa Thiên - Huế</t>
  </si>
  <si>
    <t>TTH</t>
  </si>
  <si>
    <t>Tiền Giang</t>
  </si>
  <si>
    <t>TGI</t>
  </si>
  <si>
    <t>TP Hồ Chí Minh</t>
  </si>
  <si>
    <t>HCM</t>
  </si>
  <si>
    <t>Trà Vinh</t>
  </si>
  <si>
    <t>TVI</t>
  </si>
  <si>
    <t>Tuyên Quang</t>
  </si>
  <si>
    <t>TQU</t>
  </si>
  <si>
    <t>Vĩnh Long</t>
  </si>
  <si>
    <t>VLO</t>
  </si>
  <si>
    <t>Vĩnh Phúc</t>
  </si>
  <si>
    <t>VPH</t>
  </si>
  <si>
    <t>Yên Bái</t>
  </si>
  <si>
    <t>YBA</t>
  </si>
  <si>
    <t>Khác</t>
  </si>
  <si>
    <t>Mã TP</t>
  </si>
  <si>
    <t>ĐV trực thuộc</t>
  </si>
  <si>
    <t>Mã quận</t>
  </si>
  <si>
    <t>Tên ĐV trực thuộc</t>
  </si>
  <si>
    <t>Thành phố Hà Nội</t>
  </si>
  <si>
    <t>Quận Ba Đình</t>
  </si>
  <si>
    <t>10101</t>
  </si>
  <si>
    <t>Quận Tây Hồ</t>
  </si>
  <si>
    <t>10103</t>
  </si>
  <si>
    <t>Quận Hoàn Kiếm</t>
  </si>
  <si>
    <t>10105</t>
  </si>
  <si>
    <t>Quận Long Biên</t>
  </si>
  <si>
    <t>10106</t>
  </si>
  <si>
    <t>Quận Hai Bà Trưng</t>
  </si>
  <si>
    <t>10107</t>
  </si>
  <si>
    <t>Quận Hoàng Mai</t>
  </si>
  <si>
    <t>10108</t>
  </si>
  <si>
    <t>Quận Đống đa</t>
  </si>
  <si>
    <t>10109</t>
  </si>
  <si>
    <t>Quận Thanh Xuân</t>
  </si>
  <si>
    <t>10111</t>
  </si>
  <si>
    <t>Quận Cầu Giấy</t>
  </si>
  <si>
    <t>Huyện Sóc Sơn</t>
  </si>
  <si>
    <t>10115</t>
  </si>
  <si>
    <t>Huyện Đông Anh</t>
  </si>
  <si>
    <t>10117</t>
  </si>
  <si>
    <t>Huyện Gia Lâm</t>
  </si>
  <si>
    <t>10119</t>
  </si>
  <si>
    <t>Huyện Từ Liêm</t>
  </si>
  <si>
    <t>10121</t>
  </si>
  <si>
    <t>Huyện Thanh Trì</t>
  </si>
  <si>
    <t>10123</t>
  </si>
  <si>
    <t>Huyện Mê Linh</t>
  </si>
  <si>
    <t>10125</t>
  </si>
  <si>
    <t>Quận Hà Đông</t>
  </si>
  <si>
    <t>10127</t>
  </si>
  <si>
    <t>Thị Xã Sơn Tây</t>
  </si>
  <si>
    <t>10129</t>
  </si>
  <si>
    <t>Huyện Phúc Thọ</t>
  </si>
  <si>
    <t>10131</t>
  </si>
  <si>
    <t>Huyện Đan Phượng</t>
  </si>
  <si>
    <t>10133</t>
  </si>
  <si>
    <t>Huyện Thạch Thất</t>
  </si>
  <si>
    <t>10135</t>
  </si>
  <si>
    <t>Huyện Hoài Đức</t>
  </si>
  <si>
    <t>10137</t>
  </si>
  <si>
    <t>Huyện Quốc Oai</t>
  </si>
  <si>
    <t>10139</t>
  </si>
  <si>
    <t>Huyện Thanh Oai</t>
  </si>
  <si>
    <t>10141</t>
  </si>
  <si>
    <t>Huyện Thường Tín</t>
  </si>
  <si>
    <t>10143</t>
  </si>
  <si>
    <t>Huyện Mỹ Đức</t>
  </si>
  <si>
    <t>10145</t>
  </si>
  <si>
    <t>Huyện ứng Hòa</t>
  </si>
  <si>
    <t>10147</t>
  </si>
  <si>
    <t>Huyện Phú Xuyên</t>
  </si>
  <si>
    <t>10149</t>
  </si>
  <si>
    <t>Huyện Ba Vì</t>
  </si>
  <si>
    <t>10151</t>
  </si>
  <si>
    <t>Huyện Chương Mỹ</t>
  </si>
  <si>
    <t>10153</t>
  </si>
  <si>
    <t>Quận Nam Từ Liêm</t>
  </si>
  <si>
    <t>10155</t>
  </si>
  <si>
    <t>Quận Bắc Từ Liêm</t>
  </si>
  <si>
    <t>10157</t>
  </si>
  <si>
    <t>Thành phố Hải Phòng</t>
  </si>
  <si>
    <t>Quận Hồng Bàng</t>
  </si>
  <si>
    <t>10301</t>
  </si>
  <si>
    <t>Quận Ngô Quyền</t>
  </si>
  <si>
    <t>10303</t>
  </si>
  <si>
    <t>Quận Hải An</t>
  </si>
  <si>
    <t>10304</t>
  </si>
  <si>
    <t>Quận Lê Chân</t>
  </si>
  <si>
    <t>10305</t>
  </si>
  <si>
    <t>Quận Kiến An</t>
  </si>
  <si>
    <t>10307</t>
  </si>
  <si>
    <t>Quận Đồ Sơn</t>
  </si>
  <si>
    <t>10309</t>
  </si>
  <si>
    <t>Huyện Thuỷ Nguyên</t>
  </si>
  <si>
    <t>10311</t>
  </si>
  <si>
    <t>Huyện An Dương</t>
  </si>
  <si>
    <t>10313</t>
  </si>
  <si>
    <t>Huyện An Lão</t>
  </si>
  <si>
    <t>10315</t>
  </si>
  <si>
    <t>Huyện Kiến Thuỵ</t>
  </si>
  <si>
    <t>10317</t>
  </si>
  <si>
    <t>Huyện Tiên Lãng</t>
  </si>
  <si>
    <t>10319</t>
  </si>
  <si>
    <t>Huyện Vĩnh Bảo</t>
  </si>
  <si>
    <t>10321</t>
  </si>
  <si>
    <t>Huyện Cát Hải</t>
  </si>
  <si>
    <t>10323</t>
  </si>
  <si>
    <t>Huyện Bạch Long Vĩ</t>
  </si>
  <si>
    <t>10325</t>
  </si>
  <si>
    <t>Quận Dương Kinh</t>
  </si>
  <si>
    <t>10327</t>
  </si>
  <si>
    <t>107</t>
  </si>
  <si>
    <t>Tỉnh Hải Dương</t>
  </si>
  <si>
    <t>10700</t>
  </si>
  <si>
    <t>Thành phố Hải Dương</t>
  </si>
  <si>
    <t>10701</t>
  </si>
  <si>
    <t>Thị xã Chí Linh</t>
  </si>
  <si>
    <t>10703</t>
  </si>
  <si>
    <t>Huyện Nam Sách</t>
  </si>
  <si>
    <t>10705</t>
  </si>
  <si>
    <t>Huyện Thanh Hà</t>
  </si>
  <si>
    <t>10707</t>
  </si>
  <si>
    <t>Huyện Kinh Môn</t>
  </si>
  <si>
    <t>10709</t>
  </si>
  <si>
    <t>Huyện Kim Thành</t>
  </si>
  <si>
    <t>10711</t>
  </si>
  <si>
    <t>Huyện Gia Lộc</t>
  </si>
  <si>
    <t>10713</t>
  </si>
  <si>
    <t>Huyện Tứ Kỳ</t>
  </si>
  <si>
    <t>10715</t>
  </si>
  <si>
    <t>Huyện Cẩm Giàng</t>
  </si>
  <si>
    <t>10717</t>
  </si>
  <si>
    <t>Huyện Bình Giang</t>
  </si>
  <si>
    <t>10719</t>
  </si>
  <si>
    <t>Huyện Thanh Miện</t>
  </si>
  <si>
    <t>10721</t>
  </si>
  <si>
    <t>Huyện Ninh Giang</t>
  </si>
  <si>
    <t>10723</t>
  </si>
  <si>
    <t>109</t>
  </si>
  <si>
    <t>Tỉnh Hưng Yên</t>
  </si>
  <si>
    <t>10900</t>
  </si>
  <si>
    <t>Thành phố Hưng yên</t>
  </si>
  <si>
    <t>10901</t>
  </si>
  <si>
    <t>Huyện Mỹ Hào</t>
  </si>
  <si>
    <t>10903</t>
  </si>
  <si>
    <t>Huyện Khoái Châu</t>
  </si>
  <si>
    <t>10905</t>
  </si>
  <si>
    <t>Huyện Ân Thi</t>
  </si>
  <si>
    <t>10907</t>
  </si>
  <si>
    <t>Huyện Kim Động</t>
  </si>
  <si>
    <t>10909</t>
  </si>
  <si>
    <t>Huyện Phù Cừ</t>
  </si>
  <si>
    <t>10911</t>
  </si>
  <si>
    <t>Huyện Tiên Lữ</t>
  </si>
  <si>
    <t>10913</t>
  </si>
  <si>
    <t>Huyện Văn Giang</t>
  </si>
  <si>
    <t>10915</t>
  </si>
  <si>
    <t>Huyện Văn Lâm</t>
  </si>
  <si>
    <t>10917</t>
  </si>
  <si>
    <t>Huyện Yên Mỹ</t>
  </si>
  <si>
    <t>10919</t>
  </si>
  <si>
    <t>111</t>
  </si>
  <si>
    <t>Tỉnh Hà Nam</t>
  </si>
  <si>
    <t>11100</t>
  </si>
  <si>
    <t>Thành phố Phủ Lý</t>
  </si>
  <si>
    <t>11101</t>
  </si>
  <si>
    <t>Huyện Duy Tiên</t>
  </si>
  <si>
    <t>11103</t>
  </si>
  <si>
    <t>Huyện Kim Bảng</t>
  </si>
  <si>
    <t>11105</t>
  </si>
  <si>
    <t>Huyện Lý Nhân</t>
  </si>
  <si>
    <t>11107</t>
  </si>
  <si>
    <t>Huyện Thanh Liêm</t>
  </si>
  <si>
    <t>11109</t>
  </si>
  <si>
    <t>Huyện Bình Lục</t>
  </si>
  <si>
    <t>11111</t>
  </si>
  <si>
    <t>113</t>
  </si>
  <si>
    <t>Tỉnh Nam Định</t>
  </si>
  <si>
    <t>11300</t>
  </si>
  <si>
    <t>Thành phố Nam Định</t>
  </si>
  <si>
    <t>11301</t>
  </si>
  <si>
    <t>Huyện Vụ Bản</t>
  </si>
  <si>
    <t>11303</t>
  </si>
  <si>
    <t>Huyện Mỹ Lộc</t>
  </si>
  <si>
    <t>11305</t>
  </si>
  <si>
    <t>Huyện ý Yên</t>
  </si>
  <si>
    <t>11307</t>
  </si>
  <si>
    <t>Huyện Nam Trực</t>
  </si>
  <si>
    <t>11309</t>
  </si>
  <si>
    <t>Huyện Trực Ninh</t>
  </si>
  <si>
    <t>11311</t>
  </si>
  <si>
    <t>Huyện Xuân Trường</t>
  </si>
  <si>
    <t>11313</t>
  </si>
  <si>
    <t>Huyện Giao Thuỷ</t>
  </si>
  <si>
    <t>11315</t>
  </si>
  <si>
    <t>Huyện Nghĩa Hưng</t>
  </si>
  <si>
    <t>11317</t>
  </si>
  <si>
    <t>Huyện Hải Hậu</t>
  </si>
  <si>
    <t>11319</t>
  </si>
  <si>
    <t>115</t>
  </si>
  <si>
    <t>Tỉnh Thái Bình</t>
  </si>
  <si>
    <t>11500</t>
  </si>
  <si>
    <t>Thành phố Thái Bình</t>
  </si>
  <si>
    <t>11501</t>
  </si>
  <si>
    <t>Huyện Quỳnh Phụ</t>
  </si>
  <si>
    <t>11503</t>
  </si>
  <si>
    <t>Huyện Hưng Hà</t>
  </si>
  <si>
    <t>11505</t>
  </si>
  <si>
    <t>Huyện Thái Thụy</t>
  </si>
  <si>
    <t>11507</t>
  </si>
  <si>
    <t>Huyện Đông Hưng</t>
  </si>
  <si>
    <t>11509</t>
  </si>
  <si>
    <t>Huyện Vũ Thư</t>
  </si>
  <si>
    <t>11511</t>
  </si>
  <si>
    <t>Huyện Kiến Xương</t>
  </si>
  <si>
    <t>11513</t>
  </si>
  <si>
    <t>Huyện Tiền Hải</t>
  </si>
  <si>
    <t>11515</t>
  </si>
  <si>
    <t>117</t>
  </si>
  <si>
    <t>Tỉnh Ninh Bình</t>
  </si>
  <si>
    <t>11700</t>
  </si>
  <si>
    <t>Thành phố Ninh Bình</t>
  </si>
  <si>
    <t>11701</t>
  </si>
  <si>
    <t>Thị xã Tam Điệp</t>
  </si>
  <si>
    <t>11703</t>
  </si>
  <si>
    <t>Huyện Nho quan</t>
  </si>
  <si>
    <t>11705</t>
  </si>
  <si>
    <t>Huyện Gia Viễn</t>
  </si>
  <si>
    <t>11707</t>
  </si>
  <si>
    <t>Huyện Hoa Lư</t>
  </si>
  <si>
    <t>11709</t>
  </si>
  <si>
    <t>Huyện Yên Mô</t>
  </si>
  <si>
    <t>11711</t>
  </si>
  <si>
    <t>Huyện Yên Khánh</t>
  </si>
  <si>
    <t>11713</t>
  </si>
  <si>
    <t>Huyện Kim Sơn</t>
  </si>
  <si>
    <t>11715</t>
  </si>
  <si>
    <t>201</t>
  </si>
  <si>
    <t>Tỉnh Hà Giang</t>
  </si>
  <si>
    <t>20100</t>
  </si>
  <si>
    <t>TP Hà Giang</t>
  </si>
  <si>
    <t>20101</t>
  </si>
  <si>
    <t>Huyện Đồng Văn</t>
  </si>
  <si>
    <t>20103</t>
  </si>
  <si>
    <t>Huyện Mèo Vạc</t>
  </si>
  <si>
    <t>20105</t>
  </si>
  <si>
    <t>Huyện Yên Minh</t>
  </si>
  <si>
    <t>20107</t>
  </si>
  <si>
    <t>Huyện Quản Bạ</t>
  </si>
  <si>
    <t>20109</t>
  </si>
  <si>
    <t>Huyện Bắc Mê</t>
  </si>
  <si>
    <t>20111</t>
  </si>
  <si>
    <t>Huyện Hoàng Su Phì</t>
  </si>
  <si>
    <t>20113</t>
  </si>
  <si>
    <t>Huyện Vị Xuyên</t>
  </si>
  <si>
    <t>20115</t>
  </si>
  <si>
    <t>Huyện Xín Mần</t>
  </si>
  <si>
    <t>20117</t>
  </si>
  <si>
    <t>Huyện Quang Bình</t>
  </si>
  <si>
    <t>20118</t>
  </si>
  <si>
    <t>Huyện Bắc Quang</t>
  </si>
  <si>
    <t>20119</t>
  </si>
  <si>
    <t>203</t>
  </si>
  <si>
    <t>Tỉnh Cao Bằng</t>
  </si>
  <si>
    <t>20300</t>
  </si>
  <si>
    <t>Thành phố Cao Bằng</t>
  </si>
  <si>
    <t>20301</t>
  </si>
  <si>
    <t>Huyện Bảo Lạc</t>
  </si>
  <si>
    <t>20303</t>
  </si>
  <si>
    <t>Huyện Hà Quảng</t>
  </si>
  <si>
    <t>20305</t>
  </si>
  <si>
    <t>Huyện Thông Nông</t>
  </si>
  <si>
    <t>20307</t>
  </si>
  <si>
    <t>Huyện Trà Lĩnh</t>
  </si>
  <si>
    <t>20309</t>
  </si>
  <si>
    <t>Huyện Trùng Khánh</t>
  </si>
  <si>
    <t>20311</t>
  </si>
  <si>
    <t>Huyện Nguyên Bình</t>
  </si>
  <si>
    <t>20313</t>
  </si>
  <si>
    <t>Huyện Hòa An</t>
  </si>
  <si>
    <t>20315</t>
  </si>
  <si>
    <t>Huyện Quảng Uyên</t>
  </si>
  <si>
    <t>20317</t>
  </si>
  <si>
    <t>Huyện Phục Hòa</t>
  </si>
  <si>
    <t>20318</t>
  </si>
  <si>
    <t>Huyện Hạ Lang</t>
  </si>
  <si>
    <t>20319</t>
  </si>
  <si>
    <t>Huyện Thạch An</t>
  </si>
  <si>
    <t>20321</t>
  </si>
  <si>
    <t>Huyện Bảo Lâm</t>
  </si>
  <si>
    <t>20323</t>
  </si>
  <si>
    <t>205</t>
  </si>
  <si>
    <t>Tỉnh Lào Cai</t>
  </si>
  <si>
    <t>20500</t>
  </si>
  <si>
    <t>Thành phố Lào Cai</t>
  </si>
  <si>
    <t>20501</t>
  </si>
  <si>
    <t>Huyện Mường Khương</t>
  </si>
  <si>
    <t>20505</t>
  </si>
  <si>
    <t>Huyện Bát Xát</t>
  </si>
  <si>
    <t>20507</t>
  </si>
  <si>
    <t>Huyện Bắc Hà</t>
  </si>
  <si>
    <t>20509</t>
  </si>
  <si>
    <t>Huyện Bảo Thắng</t>
  </si>
  <si>
    <t>20511</t>
  </si>
  <si>
    <t>Huyện Sa Pa</t>
  </si>
  <si>
    <t>20513</t>
  </si>
  <si>
    <t>Huyện Bảo Yên</t>
  </si>
  <si>
    <t>20515</t>
  </si>
  <si>
    <t>Huyện Văn Bàn</t>
  </si>
  <si>
    <t>20519</t>
  </si>
  <si>
    <t>Huyện Si Ma Cai</t>
  </si>
  <si>
    <t>20521</t>
  </si>
  <si>
    <t>207</t>
  </si>
  <si>
    <t>Tỉnh Bắc Cạn</t>
  </si>
  <si>
    <t>20700</t>
  </si>
  <si>
    <t>Thị xã Bắc Cạn</t>
  </si>
  <si>
    <t>20701</t>
  </si>
  <si>
    <t>Huyện Ba Bể</t>
  </si>
  <si>
    <t>20703</t>
  </si>
  <si>
    <t>Huyện Pác Nặm</t>
  </si>
  <si>
    <t>20704</t>
  </si>
  <si>
    <t>Huyện Ngân Sơn</t>
  </si>
  <si>
    <t>20705</t>
  </si>
  <si>
    <t>Huyện Chợ Đồn</t>
  </si>
  <si>
    <t>20707</t>
  </si>
  <si>
    <t>Huyện Na Rì</t>
  </si>
  <si>
    <t>20709</t>
  </si>
  <si>
    <t>Huyện Bạch Thông</t>
  </si>
  <si>
    <t>20711</t>
  </si>
  <si>
    <t>Huyện Chợ mới</t>
  </si>
  <si>
    <t>20713</t>
  </si>
  <si>
    <t>209</t>
  </si>
  <si>
    <t>Tỉnh Lạng Sơn</t>
  </si>
  <si>
    <t>20900</t>
  </si>
  <si>
    <t>Thành phố Lạng Sơn</t>
  </si>
  <si>
    <t>20901</t>
  </si>
  <si>
    <t>Huyện Tràng Định</t>
  </si>
  <si>
    <t>20903</t>
  </si>
  <si>
    <t>Huyện Văn Lãng</t>
  </si>
  <si>
    <t>20905</t>
  </si>
  <si>
    <t>Huyện Bình Gia</t>
  </si>
  <si>
    <t>20907</t>
  </si>
  <si>
    <t>Huyện Bắc Sơn</t>
  </si>
  <si>
    <t>20909</t>
  </si>
  <si>
    <t>Huyện Văn Quan</t>
  </si>
  <si>
    <t>20911</t>
  </si>
  <si>
    <t>Huyện Cao Lộc</t>
  </si>
  <si>
    <t>20913</t>
  </si>
  <si>
    <t>Huyện Lộc Bình</t>
  </si>
  <si>
    <t>20915</t>
  </si>
  <si>
    <t>Huyện Chi Lăng</t>
  </si>
  <si>
    <t>20917</t>
  </si>
  <si>
    <t>Huyện Đình Lập</t>
  </si>
  <si>
    <t>20919</t>
  </si>
  <si>
    <t>Huyện Hữu Lũng</t>
  </si>
  <si>
    <t>20921</t>
  </si>
  <si>
    <t>211</t>
  </si>
  <si>
    <t>Tỉnh Tuyên Quang</t>
  </si>
  <si>
    <t>21100</t>
  </si>
  <si>
    <t>Thành Phố Tuyên Quang</t>
  </si>
  <si>
    <t>21101</t>
  </si>
  <si>
    <t>Huyện Na Hang</t>
  </si>
  <si>
    <t>21103</t>
  </si>
  <si>
    <t>Huyện Chiêm Hoá</t>
  </si>
  <si>
    <t>21105</t>
  </si>
  <si>
    <t>Huyện Hàm Yên</t>
  </si>
  <si>
    <t>21107</t>
  </si>
  <si>
    <t>Huyện Yên Sơn</t>
  </si>
  <si>
    <t>21109</t>
  </si>
  <si>
    <t>Huyện Sơn Dương</t>
  </si>
  <si>
    <t>21111</t>
  </si>
  <si>
    <t>Huyện Lâm Bình</t>
  </si>
  <si>
    <t>21113</t>
  </si>
  <si>
    <t>213</t>
  </si>
  <si>
    <t>Tỉnh Yên Bái</t>
  </si>
  <si>
    <t>21300</t>
  </si>
  <si>
    <t>Thành phố Yên Bái</t>
  </si>
  <si>
    <t>21301</t>
  </si>
  <si>
    <t>Thị xã Nghĩa Lộ</t>
  </si>
  <si>
    <t>21303</t>
  </si>
  <si>
    <t>Huyện Lục Yên</t>
  </si>
  <si>
    <t>21305</t>
  </si>
  <si>
    <t>Huyện Văn Yên</t>
  </si>
  <si>
    <t>21307</t>
  </si>
  <si>
    <t>Huyện Mù Cang Chải</t>
  </si>
  <si>
    <t>21309</t>
  </si>
  <si>
    <t>Huyện Trấn Yên</t>
  </si>
  <si>
    <t>21311</t>
  </si>
  <si>
    <t>Huyện Yên Bình</t>
  </si>
  <si>
    <t>21313</t>
  </si>
  <si>
    <t>Huyện Văn Chấn</t>
  </si>
  <si>
    <t>21315</t>
  </si>
  <si>
    <t>Huyện Trạm Tấu</t>
  </si>
  <si>
    <t>21317</t>
  </si>
  <si>
    <t>215</t>
  </si>
  <si>
    <t>Tỉnh Thái Nguyên</t>
  </si>
  <si>
    <t>21500</t>
  </si>
  <si>
    <t>Thành phố Thái Nguyên</t>
  </si>
  <si>
    <t>21501</t>
  </si>
  <si>
    <t>Thành phố Sông Công</t>
  </si>
  <si>
    <t>21503</t>
  </si>
  <si>
    <t>Huyện Định Hoá</t>
  </si>
  <si>
    <t>21505</t>
  </si>
  <si>
    <t>Huyện Võ Nhai</t>
  </si>
  <si>
    <t>21507</t>
  </si>
  <si>
    <t>Huyện Phú Lương</t>
  </si>
  <si>
    <t>21509</t>
  </si>
  <si>
    <t>Huyện Đồng Hỷ</t>
  </si>
  <si>
    <t>21511</t>
  </si>
  <si>
    <t>Huyện Đại Từ</t>
  </si>
  <si>
    <t>21513</t>
  </si>
  <si>
    <t>Huyện Phú Bình</t>
  </si>
  <si>
    <t>21515</t>
  </si>
  <si>
    <t>Thị xã Phổ Yên</t>
  </si>
  <si>
    <t>21517</t>
  </si>
  <si>
    <t>217</t>
  </si>
  <si>
    <t>Tỉnh Phú Thọ</t>
  </si>
  <si>
    <t>21700</t>
  </si>
  <si>
    <t>Thành phố Việt Trì</t>
  </si>
  <si>
    <t>21701</t>
  </si>
  <si>
    <t>Thị xã Phú Thọ</t>
  </si>
  <si>
    <t>21703</t>
  </si>
  <si>
    <t>Huyện Đoan Hùng</t>
  </si>
  <si>
    <t>21705</t>
  </si>
  <si>
    <t>Huyện Hạ Hòa</t>
  </si>
  <si>
    <t>21707</t>
  </si>
  <si>
    <t>Huyện Thanh Ba</t>
  </si>
  <si>
    <t>21709</t>
  </si>
  <si>
    <t>Huyện Phù Ninh</t>
  </si>
  <si>
    <t>21711</t>
  </si>
  <si>
    <t>Huyện Cẩm Khê</t>
  </si>
  <si>
    <t>21713</t>
  </si>
  <si>
    <t>Huyện Yên Lập</t>
  </si>
  <si>
    <t>21715</t>
  </si>
  <si>
    <t>Huyện Tam Nông</t>
  </si>
  <si>
    <t>21717</t>
  </si>
  <si>
    <t>Huyện Thanh Sơn</t>
  </si>
  <si>
    <t>21719</t>
  </si>
  <si>
    <t>Huyện Tân Sơn</t>
  </si>
  <si>
    <t>21720</t>
  </si>
  <si>
    <t>Huyện Lâm Thao</t>
  </si>
  <si>
    <t>21721</t>
  </si>
  <si>
    <t>Huyện Thanh Thuỷ</t>
  </si>
  <si>
    <t>21723</t>
  </si>
  <si>
    <t>219</t>
  </si>
  <si>
    <t>Tỉnh Vĩnh Phúc</t>
  </si>
  <si>
    <t>21900</t>
  </si>
  <si>
    <t>Thành phố Vĩnh Yên</t>
  </si>
  <si>
    <t>21901</t>
  </si>
  <si>
    <t>Thị xã Phúc Yên</t>
  </si>
  <si>
    <t>21902</t>
  </si>
  <si>
    <t>Huyện Lập Thạch</t>
  </si>
  <si>
    <t>21903</t>
  </si>
  <si>
    <t>Huyện Tam đảo</t>
  </si>
  <si>
    <t>21904</t>
  </si>
  <si>
    <t>Huyện Tam Dương</t>
  </si>
  <si>
    <t>21905</t>
  </si>
  <si>
    <t>Huyện Vĩnh Tường</t>
  </si>
  <si>
    <t>21907</t>
  </si>
  <si>
    <t>Huyện Yên Lạc</t>
  </si>
  <si>
    <t>21909</t>
  </si>
  <si>
    <t>Huyện Bình Xuyên</t>
  </si>
  <si>
    <t>21913</t>
  </si>
  <si>
    <t>Huyện Sông Lô</t>
  </si>
  <si>
    <t>21915</t>
  </si>
  <si>
    <t>221</t>
  </si>
  <si>
    <t>Tỉnh Bắc Giang</t>
  </si>
  <si>
    <t>22100</t>
  </si>
  <si>
    <t>Thành phố Bắc Giang</t>
  </si>
  <si>
    <t>22101</t>
  </si>
  <si>
    <t>Huyện Yên Thế</t>
  </si>
  <si>
    <t>22103</t>
  </si>
  <si>
    <t>Huyện Tân Yên</t>
  </si>
  <si>
    <t>22105</t>
  </si>
  <si>
    <t>Huyện Lục Ngạn</t>
  </si>
  <si>
    <t>22107</t>
  </si>
  <si>
    <t>Huyện Hiệp Hòa</t>
  </si>
  <si>
    <t>22109</t>
  </si>
  <si>
    <t>Huyện Lạng Giang</t>
  </si>
  <si>
    <t>22111</t>
  </si>
  <si>
    <t>Huyện Sơn Động</t>
  </si>
  <si>
    <t>22113</t>
  </si>
  <si>
    <t>Huyện Lục Nam</t>
  </si>
  <si>
    <t>22115</t>
  </si>
  <si>
    <t>Huyện Việt Yên</t>
  </si>
  <si>
    <t>22117</t>
  </si>
  <si>
    <t>Huyện Yên Dũng</t>
  </si>
  <si>
    <t>22119</t>
  </si>
  <si>
    <t>223</t>
  </si>
  <si>
    <t>Tỉnh Bắc Ninh</t>
  </si>
  <si>
    <t>22300</t>
  </si>
  <si>
    <t>Thành phố Bắc Ninh</t>
  </si>
  <si>
    <t>22301</t>
  </si>
  <si>
    <t>Huyện Yên Phong</t>
  </si>
  <si>
    <t>22303</t>
  </si>
  <si>
    <t>Huyện Quế Võ</t>
  </si>
  <si>
    <t>22305</t>
  </si>
  <si>
    <t>Huyện Tiên Du</t>
  </si>
  <si>
    <t>22307</t>
  </si>
  <si>
    <t>Huyện Thuận Thành</t>
  </si>
  <si>
    <t>22309</t>
  </si>
  <si>
    <t>Huyện Lương Tài</t>
  </si>
  <si>
    <t>22311</t>
  </si>
  <si>
    <t>Thị xã Từ Sơn</t>
  </si>
  <si>
    <t>22313</t>
  </si>
  <si>
    <t>Huyện Gia Bình</t>
  </si>
  <si>
    <t>22315</t>
  </si>
  <si>
    <t>225</t>
  </si>
  <si>
    <t>Tỉnh Quảng Ninh</t>
  </si>
  <si>
    <t>22500</t>
  </si>
  <si>
    <t>Thành phố Hạ Long</t>
  </si>
  <si>
    <t>22501</t>
  </si>
  <si>
    <t>Thành phố Cẩm Phả</t>
  </si>
  <si>
    <t>22503</t>
  </si>
  <si>
    <t>Thành phố Uông Bí</t>
  </si>
  <si>
    <t>22505</t>
  </si>
  <si>
    <t>Huyện Bình Liêu</t>
  </si>
  <si>
    <t>22507</t>
  </si>
  <si>
    <t>Thành phố Móng cái</t>
  </si>
  <si>
    <t>22509</t>
  </si>
  <si>
    <t>Huyện Hải Hà</t>
  </si>
  <si>
    <t>22511</t>
  </si>
  <si>
    <t>Huyện Tiên Yên</t>
  </si>
  <si>
    <t>22513</t>
  </si>
  <si>
    <t>Huyện Ba Chẽ</t>
  </si>
  <si>
    <t>22515</t>
  </si>
  <si>
    <t>Huyện Vân Đồn</t>
  </si>
  <si>
    <t>22517</t>
  </si>
  <si>
    <t>Huyện Hoành Bồ</t>
  </si>
  <si>
    <t>22519</t>
  </si>
  <si>
    <t>Huyện Đông Triều</t>
  </si>
  <si>
    <t>22521</t>
  </si>
  <si>
    <t>Huyện Cô Tô</t>
  </si>
  <si>
    <t>22523</t>
  </si>
  <si>
    <t>Thị xã Quảng Yên</t>
  </si>
  <si>
    <t>22525</t>
  </si>
  <si>
    <t>Huyện Đầm Hà</t>
  </si>
  <si>
    <t>22527</t>
  </si>
  <si>
    <t>301</t>
  </si>
  <si>
    <t>Tỉnh Điện Biên</t>
  </si>
  <si>
    <t>30100</t>
  </si>
  <si>
    <t>Thành phố Điện Biên Phủ</t>
  </si>
  <si>
    <t>30101</t>
  </si>
  <si>
    <t>Thị xã Mường Lay</t>
  </si>
  <si>
    <t>30103</t>
  </si>
  <si>
    <t>Huyện Mường Nhé</t>
  </si>
  <si>
    <t>30104</t>
  </si>
  <si>
    <t>Huyện Mường Chà</t>
  </si>
  <si>
    <t>30111</t>
  </si>
  <si>
    <t>Huyện Tủa Chùa</t>
  </si>
  <si>
    <t>30113</t>
  </si>
  <si>
    <t>Huyện Tuần Giáo</t>
  </si>
  <si>
    <t>30115</t>
  </si>
  <si>
    <t>Huyện Điện Biên</t>
  </si>
  <si>
    <t>30117</t>
  </si>
  <si>
    <t>Huyện Điện Biên Đông</t>
  </si>
  <si>
    <t>30119</t>
  </si>
  <si>
    <t>Huyện Mường ảng</t>
  </si>
  <si>
    <t>30121</t>
  </si>
  <si>
    <t>Huyện Nậm Pồ</t>
  </si>
  <si>
    <t>30123</t>
  </si>
  <si>
    <t>302</t>
  </si>
  <si>
    <t>Tỉnh Lai Châu</t>
  </si>
  <si>
    <t>30200</t>
  </si>
  <si>
    <t>Huyện Mường Tè</t>
  </si>
  <si>
    <t>30201</t>
  </si>
  <si>
    <t>Thành Phố Lai Châu</t>
  </si>
  <si>
    <t>30202</t>
  </si>
  <si>
    <t>Huyện Phong Thổ</t>
  </si>
  <si>
    <t>30203</t>
  </si>
  <si>
    <t>Huyện Tam Đường</t>
  </si>
  <si>
    <t>30205</t>
  </si>
  <si>
    <t>Huyện Sìn Hồ</t>
  </si>
  <si>
    <t>30207</t>
  </si>
  <si>
    <t>Huyện Than Uyên</t>
  </si>
  <si>
    <t>30209</t>
  </si>
  <si>
    <t>Huyện Tân Uyên</t>
  </si>
  <si>
    <t>30211</t>
  </si>
  <si>
    <t>Huyện Nậm Nhùn</t>
  </si>
  <si>
    <t>30213</t>
  </si>
  <si>
    <t>303</t>
  </si>
  <si>
    <t>Tỉnh Sơn La</t>
  </si>
  <si>
    <t>30300</t>
  </si>
  <si>
    <t>Thành phố Sơn La</t>
  </si>
  <si>
    <t>30301</t>
  </si>
  <si>
    <t>Huyện Quỳnh Nhai</t>
  </si>
  <si>
    <t>30303</t>
  </si>
  <si>
    <t>Huyện Mường La</t>
  </si>
  <si>
    <t>30305</t>
  </si>
  <si>
    <t>Huyện Thuận Châu</t>
  </si>
  <si>
    <t>30307</t>
  </si>
  <si>
    <t>Huyện Bắc Yên</t>
  </si>
  <si>
    <t>30309</t>
  </si>
  <si>
    <t>Huyện Phù Yên</t>
  </si>
  <si>
    <t>30311</t>
  </si>
  <si>
    <t>Huyện Mai Sơn</t>
  </si>
  <si>
    <t>30313</t>
  </si>
  <si>
    <t>Huyện Sông Mã</t>
  </si>
  <si>
    <t>30315</t>
  </si>
  <si>
    <t>Huyện Yên Châu</t>
  </si>
  <si>
    <t>30317</t>
  </si>
  <si>
    <t>Huyện Mộc Châu</t>
  </si>
  <si>
    <t>30319</t>
  </si>
  <si>
    <t>Huyện Sốp Cộp</t>
  </si>
  <si>
    <t>30321</t>
  </si>
  <si>
    <t>Huyện Vân Hồ</t>
  </si>
  <si>
    <t>30323</t>
  </si>
  <si>
    <t>305</t>
  </si>
  <si>
    <t>Tỉnh Hòa Bình</t>
  </si>
  <si>
    <t>30500</t>
  </si>
  <si>
    <t>Thành phố Hòa Bình</t>
  </si>
  <si>
    <t>30501</t>
  </si>
  <si>
    <t>Huyện Đà Bắc</t>
  </si>
  <si>
    <t>30503</t>
  </si>
  <si>
    <t>Huyện Mai Châu</t>
  </si>
  <si>
    <t>30505</t>
  </si>
  <si>
    <t>Huyện Kỳ Sơn</t>
  </si>
  <si>
    <t>30507</t>
  </si>
  <si>
    <t>Huyện Lương Sơn</t>
  </si>
  <si>
    <t>30509</t>
  </si>
  <si>
    <t>Huyện Cao Phong</t>
  </si>
  <si>
    <t>30510</t>
  </si>
  <si>
    <t>Huyện Kim Bôi</t>
  </si>
  <si>
    <t>30511</t>
  </si>
  <si>
    <t>Huyện Tân Lạc</t>
  </si>
  <si>
    <t>30513</t>
  </si>
  <si>
    <t>Huyện Lạc Sơn</t>
  </si>
  <si>
    <t>30515</t>
  </si>
  <si>
    <t>Huyện Lạc Thuỷ</t>
  </si>
  <si>
    <t>30517</t>
  </si>
  <si>
    <t>Huyện Yên Thuỷ</t>
  </si>
  <si>
    <t>30519</t>
  </si>
  <si>
    <t>Tỉnh Thanh Hoá</t>
  </si>
  <si>
    <t>40100</t>
  </si>
  <si>
    <t>Thành phố Thanh Hoá</t>
  </si>
  <si>
    <t>40101</t>
  </si>
  <si>
    <t>Thị xã Bỉm Sơn</t>
  </si>
  <si>
    <t>40103</t>
  </si>
  <si>
    <t>Thị xã Sầm Sơn</t>
  </si>
  <si>
    <t>40105</t>
  </si>
  <si>
    <t>Huyện Mường Lát</t>
  </si>
  <si>
    <t>40107</t>
  </si>
  <si>
    <t>Huyện Quan Hoá</t>
  </si>
  <si>
    <t>40109</t>
  </si>
  <si>
    <t>Huyện Quan Sơn</t>
  </si>
  <si>
    <t>40111</t>
  </si>
  <si>
    <t>Huyện Bá Thước</t>
  </si>
  <si>
    <t>40113</t>
  </si>
  <si>
    <t>Huyện Cẩm Thuỷ</t>
  </si>
  <si>
    <t>40115</t>
  </si>
  <si>
    <t>Huyện Lang Chánh</t>
  </si>
  <si>
    <t>40117</t>
  </si>
  <si>
    <t>Huyện Thạch Thành</t>
  </si>
  <si>
    <t>40119</t>
  </si>
  <si>
    <t>Huyện Ngọc Lặc</t>
  </si>
  <si>
    <t>40121</t>
  </si>
  <si>
    <t>Huyện Thường Xuân</t>
  </si>
  <si>
    <t>40123</t>
  </si>
  <si>
    <t>Huyện Như Xuân</t>
  </si>
  <si>
    <t>40125</t>
  </si>
  <si>
    <t>Huyện Như Thanh</t>
  </si>
  <si>
    <t>40127</t>
  </si>
  <si>
    <t>Huyện Vĩnh Lộc</t>
  </si>
  <si>
    <t>40129</t>
  </si>
  <si>
    <t>Huyện Hà Trung</t>
  </si>
  <si>
    <t>40131</t>
  </si>
  <si>
    <t>Huyện Nga Sơn</t>
  </si>
  <si>
    <t>40133</t>
  </si>
  <si>
    <t>Huyện Yên Định</t>
  </si>
  <si>
    <t>40135</t>
  </si>
  <si>
    <t>Huyện Thọ Xuân</t>
  </si>
  <si>
    <t>40137</t>
  </si>
  <si>
    <t>Huyện Hậu Lộc</t>
  </si>
  <si>
    <t>40139</t>
  </si>
  <si>
    <t>Huyện Thiệu Hoá</t>
  </si>
  <si>
    <t>40141</t>
  </si>
  <si>
    <t>Huyện Hoằng Hoá</t>
  </si>
  <si>
    <t>40143</t>
  </si>
  <si>
    <t>Huyện Đông Sơn</t>
  </si>
  <si>
    <t>40145</t>
  </si>
  <si>
    <t>Huyện Triệu Sơn</t>
  </si>
  <si>
    <t>40147</t>
  </si>
  <si>
    <t>Huyện Quảng Xương</t>
  </si>
  <si>
    <t>40149</t>
  </si>
  <si>
    <t>Huyện Nông Cống</t>
  </si>
  <si>
    <t>40151</t>
  </si>
  <si>
    <t>Huyện Tĩnh Gia</t>
  </si>
  <si>
    <t>40153</t>
  </si>
  <si>
    <t>403</t>
  </si>
  <si>
    <t>Tỉnh Nghệ An</t>
  </si>
  <si>
    <t>40300</t>
  </si>
  <si>
    <t>Thành phố Vinh</t>
  </si>
  <si>
    <t>40301</t>
  </si>
  <si>
    <t>Thị xã Cửa Lò</t>
  </si>
  <si>
    <t>40303</t>
  </si>
  <si>
    <t>Huyện Quế Phong</t>
  </si>
  <si>
    <t>40305</t>
  </si>
  <si>
    <t>Huyện Quỳ Châu</t>
  </si>
  <si>
    <t>40307</t>
  </si>
  <si>
    <t xml:space="preserve">Huyện Kỳ Sơn </t>
  </si>
  <si>
    <t>40309</t>
  </si>
  <si>
    <t>Huyện Quỳ Hợp</t>
  </si>
  <si>
    <t>40311</t>
  </si>
  <si>
    <t>Huyện Nghĩa Đàn</t>
  </si>
  <si>
    <t>40313</t>
  </si>
  <si>
    <t>Thị xã Thái Hòa</t>
  </si>
  <si>
    <t>40314</t>
  </si>
  <si>
    <t>Huyện Tương Dương</t>
  </si>
  <si>
    <t>40315</t>
  </si>
  <si>
    <t>Huyện Quỳnh Lưu</t>
  </si>
  <si>
    <t>40317</t>
  </si>
  <si>
    <t>Huyện Tân Kỳ</t>
  </si>
  <si>
    <t>40319</t>
  </si>
  <si>
    <t>Huyện Con Cuông</t>
  </si>
  <si>
    <t>40321</t>
  </si>
  <si>
    <t>Huyện Yên Thành</t>
  </si>
  <si>
    <t>40323</t>
  </si>
  <si>
    <t>Huyện Diễn Châu</t>
  </si>
  <si>
    <t>40325</t>
  </si>
  <si>
    <t>Huyện Anh Sơn</t>
  </si>
  <si>
    <t>40327</t>
  </si>
  <si>
    <t>Huyện Đô Lương</t>
  </si>
  <si>
    <t>40329</t>
  </si>
  <si>
    <t>Huyện Thanh Chương</t>
  </si>
  <si>
    <t>40331</t>
  </si>
  <si>
    <t>Huyện Nghi Lộc</t>
  </si>
  <si>
    <t>40333</t>
  </si>
  <si>
    <t>Huyện Nam Đàn</t>
  </si>
  <si>
    <t>40335</t>
  </si>
  <si>
    <t>Huyện Hưng Nguyên</t>
  </si>
  <si>
    <t>40337</t>
  </si>
  <si>
    <t>Thị xã Hoàng Mai</t>
  </si>
  <si>
    <t>40339</t>
  </si>
  <si>
    <t>405</t>
  </si>
  <si>
    <t>Tỉnh Hà Tĩnh</t>
  </si>
  <si>
    <t>40500</t>
  </si>
  <si>
    <t>Thành phố Hà Tĩnh</t>
  </si>
  <si>
    <t>40501</t>
  </si>
  <si>
    <t>Thị xã Hồng Lĩnh</t>
  </si>
  <si>
    <t>40503</t>
  </si>
  <si>
    <t>Huyện Nghi Xuân</t>
  </si>
  <si>
    <t>40505</t>
  </si>
  <si>
    <t>Huyện Đức Thọ</t>
  </si>
  <si>
    <t>40507</t>
  </si>
  <si>
    <t>Huyện Hương Sơn</t>
  </si>
  <si>
    <t>40509</t>
  </si>
  <si>
    <t>Huyện Can Lộc</t>
  </si>
  <si>
    <t>40511</t>
  </si>
  <si>
    <t>Huyện Thạch Hà</t>
  </si>
  <si>
    <t>40513</t>
  </si>
  <si>
    <t>Huyện Cẩm Xuyên</t>
  </si>
  <si>
    <t>40515</t>
  </si>
  <si>
    <t>Huyện Hương Khê</t>
  </si>
  <si>
    <t>40517</t>
  </si>
  <si>
    <t>Huyện Kỳ Anh</t>
  </si>
  <si>
    <t>40519</t>
  </si>
  <si>
    <t>Thị xã Kỳ Anh</t>
  </si>
  <si>
    <t>40520</t>
  </si>
  <si>
    <t>Huyện Vũ Quang</t>
  </si>
  <si>
    <t>40521</t>
  </si>
  <si>
    <t>Huyện Lộc Hà</t>
  </si>
  <si>
    <t>40523</t>
  </si>
  <si>
    <t>407</t>
  </si>
  <si>
    <t>Tỉnh Quảng Bình</t>
  </si>
  <si>
    <t>40700</t>
  </si>
  <si>
    <t>Thành phố Đồng Hới</t>
  </si>
  <si>
    <t>40701</t>
  </si>
  <si>
    <t>Huyện Tuyên Hoá</t>
  </si>
  <si>
    <t>40703</t>
  </si>
  <si>
    <t>Huyện Minh Hoá</t>
  </si>
  <si>
    <t>40705</t>
  </si>
  <si>
    <t>Huyện Quảng Trạch</t>
  </si>
  <si>
    <t>40707</t>
  </si>
  <si>
    <t>Huyện Bố Trạch</t>
  </si>
  <si>
    <t>40709</t>
  </si>
  <si>
    <t>Huyện Quảng Ninh</t>
  </si>
  <si>
    <t>40711</t>
  </si>
  <si>
    <t>Huyện Lệ Thuỷ</t>
  </si>
  <si>
    <t>40713</t>
  </si>
  <si>
    <t>Thị Xã Ba Đồn</t>
  </si>
  <si>
    <t>40715</t>
  </si>
  <si>
    <t>409</t>
  </si>
  <si>
    <t>Tỉnh Quảng Trị</t>
  </si>
  <si>
    <t>40900</t>
  </si>
  <si>
    <t>Thành phố Đông Hà</t>
  </si>
  <si>
    <t>40901</t>
  </si>
  <si>
    <t>Thị xã Quảng Trị</t>
  </si>
  <si>
    <t>40903</t>
  </si>
  <si>
    <t>Huyện Vĩnh Linh</t>
  </si>
  <si>
    <t>40905</t>
  </si>
  <si>
    <t>Huyện Gio Linh</t>
  </si>
  <si>
    <t>40907</t>
  </si>
  <si>
    <t>Huyện Cam Lộ</t>
  </si>
  <si>
    <t>40909</t>
  </si>
  <si>
    <t>Huyện Triệu Phong</t>
  </si>
  <si>
    <t>40911</t>
  </si>
  <si>
    <t>Huyện Hải Lăng</t>
  </si>
  <si>
    <t>40913</t>
  </si>
  <si>
    <t>Huyện Hướng Hoá</t>
  </si>
  <si>
    <t>40915</t>
  </si>
  <si>
    <t>Huyện Đa Krông</t>
  </si>
  <si>
    <t>40917</t>
  </si>
  <si>
    <t>Huyện Đảo Cồn Cỏ</t>
  </si>
  <si>
    <t>40919</t>
  </si>
  <si>
    <t>Tỉnh Thừa Thiên - Huế</t>
  </si>
  <si>
    <t>41100</t>
  </si>
  <si>
    <t>Thành phố Huế</t>
  </si>
  <si>
    <t>41101</t>
  </si>
  <si>
    <t>Huyện Phong Điền</t>
  </si>
  <si>
    <t>41103</t>
  </si>
  <si>
    <t>Huyện Quảng Điền</t>
  </si>
  <si>
    <t>41105</t>
  </si>
  <si>
    <t>Thị Xã Hương Trà</t>
  </si>
  <si>
    <t>41107</t>
  </si>
  <si>
    <t>Huyện Phú Vang</t>
  </si>
  <si>
    <t>41109</t>
  </si>
  <si>
    <t>Thị xã Hương Thuỷ</t>
  </si>
  <si>
    <t>41111</t>
  </si>
  <si>
    <t>Huyện Phú Lộc</t>
  </si>
  <si>
    <t>41113</t>
  </si>
  <si>
    <t>Huyện A Lưới</t>
  </si>
  <si>
    <t>41115</t>
  </si>
  <si>
    <t>Huyện Nam Đông</t>
  </si>
  <si>
    <t>41117</t>
  </si>
  <si>
    <t>501</t>
  </si>
  <si>
    <t>TP Đà Nẵng</t>
  </si>
  <si>
    <t>50100</t>
  </si>
  <si>
    <t>Quận Hải Châu</t>
  </si>
  <si>
    <t>50101</t>
  </si>
  <si>
    <t>Quận Thanh Khê</t>
  </si>
  <si>
    <t>50103</t>
  </si>
  <si>
    <t>Quận Sơn Trà</t>
  </si>
  <si>
    <t>50105</t>
  </si>
  <si>
    <t>Quận Ngũ Hành Sơn</t>
  </si>
  <si>
    <t>50107</t>
  </si>
  <si>
    <t>Quận Liên Chiểu</t>
  </si>
  <si>
    <t>50109</t>
  </si>
  <si>
    <t>Huyện Hòa Vang</t>
  </si>
  <si>
    <t>50111</t>
  </si>
  <si>
    <t>Huyện Đảo Hoàng Sa</t>
  </si>
  <si>
    <t>50113</t>
  </si>
  <si>
    <t>Quận Cẩm Lệ</t>
  </si>
  <si>
    <t>50115</t>
  </si>
  <si>
    <t>503</t>
  </si>
  <si>
    <t>Tỉnh Quảng Nam</t>
  </si>
  <si>
    <t>50300</t>
  </si>
  <si>
    <t>Thành phố Tam Kỳ</t>
  </si>
  <si>
    <t>50301</t>
  </si>
  <si>
    <t>Huyện Phú Ninh</t>
  </si>
  <si>
    <t>50302</t>
  </si>
  <si>
    <t>Thành phố Hội An</t>
  </si>
  <si>
    <t>50303</t>
  </si>
  <si>
    <t>Huyện Tây Giang</t>
  </si>
  <si>
    <t>50304</t>
  </si>
  <si>
    <t>Huyện Đông Giang</t>
  </si>
  <si>
    <t>50305</t>
  </si>
  <si>
    <t>Huyện Đại Lộc</t>
  </si>
  <si>
    <t>50307</t>
  </si>
  <si>
    <t>Huyện Điện Bàn</t>
  </si>
  <si>
    <t>50309</t>
  </si>
  <si>
    <t>Huyện Duy Xuyên</t>
  </si>
  <si>
    <t>50311</t>
  </si>
  <si>
    <t>Huyện Nam Giang</t>
  </si>
  <si>
    <t>50313</t>
  </si>
  <si>
    <t>Huyện Thăng Bình</t>
  </si>
  <si>
    <t>50315</t>
  </si>
  <si>
    <t>Huyện Quế Sơn</t>
  </si>
  <si>
    <t>50317</t>
  </si>
  <si>
    <t>Huyện Nông Sơn</t>
  </si>
  <si>
    <t>50318</t>
  </si>
  <si>
    <t>Huyện Hiệp Đức</t>
  </si>
  <si>
    <t>50319</t>
  </si>
  <si>
    <t>Huyện Tiên Phước</t>
  </si>
  <si>
    <t>50321</t>
  </si>
  <si>
    <t>Huyện Phước Sơn</t>
  </si>
  <si>
    <t>50323</t>
  </si>
  <si>
    <t>Huyện Núi Thành</t>
  </si>
  <si>
    <t>50325</t>
  </si>
  <si>
    <t>Huyện Bắc Trà My</t>
  </si>
  <si>
    <t>50327</t>
  </si>
  <si>
    <t>Huyện Nam Trà My</t>
  </si>
  <si>
    <t>50329</t>
  </si>
  <si>
    <t>505</t>
  </si>
  <si>
    <t>Tỉnh Quảng Ngãi</t>
  </si>
  <si>
    <t>50500</t>
  </si>
  <si>
    <t>Thành phố Quảng Ngãi</t>
  </si>
  <si>
    <t>50501</t>
  </si>
  <si>
    <t>Huyện Lý Sơn</t>
  </si>
  <si>
    <t>50503</t>
  </si>
  <si>
    <t>Huyện Bình Sơn</t>
  </si>
  <si>
    <t>50505</t>
  </si>
  <si>
    <t>Huyện Trà Bồng</t>
  </si>
  <si>
    <t>50507</t>
  </si>
  <si>
    <t>Huyện Tây Trà</t>
  </si>
  <si>
    <t>50508</t>
  </si>
  <si>
    <t>Huyện Sơn Tịnh</t>
  </si>
  <si>
    <t>50509</t>
  </si>
  <si>
    <t>Huyện Sơn Tây</t>
  </si>
  <si>
    <t>50511</t>
  </si>
  <si>
    <t>Huyện Sơn Hà</t>
  </si>
  <si>
    <t>50513</t>
  </si>
  <si>
    <t>Huyện Tư Nghĩa</t>
  </si>
  <si>
    <t>50515</t>
  </si>
  <si>
    <t>Huyện Nghĩa Hành</t>
  </si>
  <si>
    <t>50517</t>
  </si>
  <si>
    <t>Huyện Minh Long</t>
  </si>
  <si>
    <t>50519</t>
  </si>
  <si>
    <t>Huyện Mộ Đức</t>
  </si>
  <si>
    <t>50521</t>
  </si>
  <si>
    <t>Huyện Đức Phổ</t>
  </si>
  <si>
    <t>50523</t>
  </si>
  <si>
    <t>Huyện Ba Tơ</t>
  </si>
  <si>
    <t>50525</t>
  </si>
  <si>
    <t>507</t>
  </si>
  <si>
    <t>Tỉnh Bình Định</t>
  </si>
  <si>
    <t>50700</t>
  </si>
  <si>
    <t>Thành phố Quy Nhơn</t>
  </si>
  <si>
    <t>50701</t>
  </si>
  <si>
    <t xml:space="preserve">Huyện An Lão </t>
  </si>
  <si>
    <t>50703</t>
  </si>
  <si>
    <t>Huyện Hòai Nhơn</t>
  </si>
  <si>
    <t>50705</t>
  </si>
  <si>
    <t>Huyện Hòai Ân</t>
  </si>
  <si>
    <t>50707</t>
  </si>
  <si>
    <t>Huyện Phù Mỹ</t>
  </si>
  <si>
    <t>50709</t>
  </si>
  <si>
    <t>Huyện Vĩnh Thạnh</t>
  </si>
  <si>
    <t>50711</t>
  </si>
  <si>
    <t>Huyện Phù Cát</t>
  </si>
  <si>
    <t>50713</t>
  </si>
  <si>
    <t>Huyện Tây Sơn</t>
  </si>
  <si>
    <t>50715</t>
  </si>
  <si>
    <t>Thị Xã An Nhơn</t>
  </si>
  <si>
    <t>50717</t>
  </si>
  <si>
    <t>Huyện Tuy Phước</t>
  </si>
  <si>
    <t>50719</t>
  </si>
  <si>
    <t>Huyện Vân Canh</t>
  </si>
  <si>
    <t>50721</t>
  </si>
  <si>
    <t>509</t>
  </si>
  <si>
    <t>Tỉnh Phú Yên</t>
  </si>
  <si>
    <t>50900</t>
  </si>
  <si>
    <t>TP Tuy Hòa</t>
  </si>
  <si>
    <t>50901</t>
  </si>
  <si>
    <t>Huyện Đồng Xuân</t>
  </si>
  <si>
    <t>50903</t>
  </si>
  <si>
    <t>Thị xã Sông Cầu</t>
  </si>
  <si>
    <t>50905</t>
  </si>
  <si>
    <t>Huyện Tuy An</t>
  </si>
  <si>
    <t>50907</t>
  </si>
  <si>
    <t>Huyện Sơn Hòa</t>
  </si>
  <si>
    <t>50909</t>
  </si>
  <si>
    <t>Huyện Đông Hòa</t>
  </si>
  <si>
    <t>50911</t>
  </si>
  <si>
    <t>Huyện Tây Hòa</t>
  </si>
  <si>
    <t>50912</t>
  </si>
  <si>
    <t>Huyện Sông Hinh</t>
  </si>
  <si>
    <t>50913</t>
  </si>
  <si>
    <t>Huyện Phú Hòa</t>
  </si>
  <si>
    <t>50915</t>
  </si>
  <si>
    <t>511</t>
  </si>
  <si>
    <t>Tỉnh Khánh Hòa</t>
  </si>
  <si>
    <t>51100</t>
  </si>
  <si>
    <t>Thành phố Nha Trang</t>
  </si>
  <si>
    <t>51101</t>
  </si>
  <si>
    <t>Huyện Vạn Ninh</t>
  </si>
  <si>
    <t>51103</t>
  </si>
  <si>
    <t>Thị xã Ninh Hòa</t>
  </si>
  <si>
    <t>51105</t>
  </si>
  <si>
    <t>Huyện Diên Khánh</t>
  </si>
  <si>
    <t>51107</t>
  </si>
  <si>
    <t>Thành phố Cam Ranh</t>
  </si>
  <si>
    <t>51109</t>
  </si>
  <si>
    <t>Huyện Khánh Vĩnh</t>
  </si>
  <si>
    <t>51111</t>
  </si>
  <si>
    <t>Huyện Khánh Sơn</t>
  </si>
  <si>
    <t>51113</t>
  </si>
  <si>
    <t>Huyện Trường Sa</t>
  </si>
  <si>
    <t>51115</t>
  </si>
  <si>
    <t>Huyện Cam Lâm</t>
  </si>
  <si>
    <t>51117</t>
  </si>
  <si>
    <t>601</t>
  </si>
  <si>
    <t>Tỉnh Kon Tum</t>
  </si>
  <si>
    <t>60100</t>
  </si>
  <si>
    <t>Thành phố Kon Tum</t>
  </si>
  <si>
    <t>60101</t>
  </si>
  <si>
    <t>Huyện Đắk Glei</t>
  </si>
  <si>
    <t>60103</t>
  </si>
  <si>
    <t>Huyện Ngọc Hồi</t>
  </si>
  <si>
    <t>60105</t>
  </si>
  <si>
    <t>Huyện Đắk Tô</t>
  </si>
  <si>
    <t>60107</t>
  </si>
  <si>
    <t>Huyện Kon Rẫy</t>
  </si>
  <si>
    <t>60108</t>
  </si>
  <si>
    <t>Huyện Kon Plông</t>
  </si>
  <si>
    <t>60109</t>
  </si>
  <si>
    <t>Huyện Đắk Hà</t>
  </si>
  <si>
    <t>60111</t>
  </si>
  <si>
    <t>Huyện Sa Thầy</t>
  </si>
  <si>
    <t>60113</t>
  </si>
  <si>
    <t>Huyện Ia H'Drai</t>
  </si>
  <si>
    <t>60114</t>
  </si>
  <si>
    <t>Huyện Tu Mơ Rông</t>
  </si>
  <si>
    <t>60115</t>
  </si>
  <si>
    <t>603</t>
  </si>
  <si>
    <t>Tỉnh Gia Lai</t>
  </si>
  <si>
    <t>60300</t>
  </si>
  <si>
    <t>Thành phố Pleiku</t>
  </si>
  <si>
    <t>60301</t>
  </si>
  <si>
    <t>Huyện Kbang</t>
  </si>
  <si>
    <t>60303</t>
  </si>
  <si>
    <t>Huyện Mang Yang</t>
  </si>
  <si>
    <t>60305</t>
  </si>
  <si>
    <t>Huyện Chư Păh</t>
  </si>
  <si>
    <t>60307</t>
  </si>
  <si>
    <t>Huyện Ia Grai</t>
  </si>
  <si>
    <t>60309</t>
  </si>
  <si>
    <t>Thị xã An Khê</t>
  </si>
  <si>
    <t>60311</t>
  </si>
  <si>
    <t>Huyện Kông Chro</t>
  </si>
  <si>
    <t>60313</t>
  </si>
  <si>
    <t>Huyện Đức Cơ</t>
  </si>
  <si>
    <t>60315</t>
  </si>
  <si>
    <t>Huyện Chư Prông</t>
  </si>
  <si>
    <t>60317</t>
  </si>
  <si>
    <t>Huyện Chư Sê</t>
  </si>
  <si>
    <t>60319</t>
  </si>
  <si>
    <t>Huyện IaPa</t>
  </si>
  <si>
    <t>60320</t>
  </si>
  <si>
    <t>Thị xã Ayun Pa</t>
  </si>
  <si>
    <t>60321</t>
  </si>
  <si>
    <t>Huyện Krông Pa</t>
  </si>
  <si>
    <t>60323</t>
  </si>
  <si>
    <t>Huyện Đak Đoa</t>
  </si>
  <si>
    <t>60325</t>
  </si>
  <si>
    <t>Huyện Đắk Pơ</t>
  </si>
  <si>
    <t>60327</t>
  </si>
  <si>
    <t>Huyện Phú Thiện</t>
  </si>
  <si>
    <t>60329</t>
  </si>
  <si>
    <t>Huyện Chư Pưh</t>
  </si>
  <si>
    <t>60331</t>
  </si>
  <si>
    <t>605</t>
  </si>
  <si>
    <t>Tỉnh Đắc Lắc</t>
  </si>
  <si>
    <t>60500</t>
  </si>
  <si>
    <t>TP.Buôn Ma Thuột</t>
  </si>
  <si>
    <t>60501</t>
  </si>
  <si>
    <t>Huyện Ea H'leo</t>
  </si>
  <si>
    <t>60503</t>
  </si>
  <si>
    <t>Huyện Ea Súp</t>
  </si>
  <si>
    <t>60505</t>
  </si>
  <si>
    <t>Huyện Krông Năng</t>
  </si>
  <si>
    <t>60507</t>
  </si>
  <si>
    <t>Thị xã Buôn Hồ</t>
  </si>
  <si>
    <t>60509</t>
  </si>
  <si>
    <t>Huyện Buôn Đôn</t>
  </si>
  <si>
    <t>60511</t>
  </si>
  <si>
    <t>Huyện Cư M'gar</t>
  </si>
  <si>
    <t>60513</t>
  </si>
  <si>
    <t>Huyện Ea Kar</t>
  </si>
  <si>
    <t>60515</t>
  </si>
  <si>
    <t>Huyện M'ĐrắK</t>
  </si>
  <si>
    <t>60517</t>
  </si>
  <si>
    <t>Huyện Krông Pắk</t>
  </si>
  <si>
    <t>60519</t>
  </si>
  <si>
    <t>Huyện Krông A Na</t>
  </si>
  <si>
    <t>60523</t>
  </si>
  <si>
    <t>Huyện Krông Bông</t>
  </si>
  <si>
    <t>60525</t>
  </si>
  <si>
    <t>Huyện Lắk</t>
  </si>
  <si>
    <t>60531</t>
  </si>
  <si>
    <t>Huyện Cư Kuin</t>
  </si>
  <si>
    <t>60537</t>
  </si>
  <si>
    <t>Huyện Krông Búk</t>
  </si>
  <si>
    <t>60539</t>
  </si>
  <si>
    <t>Huyện Cư Jút</t>
  </si>
  <si>
    <t>60603</t>
  </si>
  <si>
    <t>Huyện Krông Nô</t>
  </si>
  <si>
    <t>60605</t>
  </si>
  <si>
    <t>Huyện Đắk Mil</t>
  </si>
  <si>
    <t>60607</t>
  </si>
  <si>
    <t>Huyện Đắk Song</t>
  </si>
  <si>
    <t>60609</t>
  </si>
  <si>
    <t>Huyện Đắk R'Lấp</t>
  </si>
  <si>
    <t>60611</t>
  </si>
  <si>
    <t>Thị xã Gia Nghĩa</t>
  </si>
  <si>
    <t>60613</t>
  </si>
  <si>
    <t>Huyện Đắk Glong</t>
  </si>
  <si>
    <t>60615</t>
  </si>
  <si>
    <t>Huyện Tuy Đức</t>
  </si>
  <si>
    <t>60617</t>
  </si>
  <si>
    <t>701</t>
  </si>
  <si>
    <t>70100</t>
  </si>
  <si>
    <t>Quận 1</t>
  </si>
  <si>
    <t>70101</t>
  </si>
  <si>
    <t>Quận 2</t>
  </si>
  <si>
    <t>70103</t>
  </si>
  <si>
    <t>Quận 3</t>
  </si>
  <si>
    <t>70105</t>
  </si>
  <si>
    <t>Quận 4</t>
  </si>
  <si>
    <t>70107</t>
  </si>
  <si>
    <t>Quận 5</t>
  </si>
  <si>
    <t>70109</t>
  </si>
  <si>
    <t>Quận 6</t>
  </si>
  <si>
    <t>70111</t>
  </si>
  <si>
    <t>Quận 7</t>
  </si>
  <si>
    <t>70113</t>
  </si>
  <si>
    <t>Quận 8</t>
  </si>
  <si>
    <t>70115</t>
  </si>
  <si>
    <t>Quận 9</t>
  </si>
  <si>
    <t>70117</t>
  </si>
  <si>
    <t>Quận 10</t>
  </si>
  <si>
    <t>70119</t>
  </si>
  <si>
    <t>Quận 11</t>
  </si>
  <si>
    <t>70121</t>
  </si>
  <si>
    <t>Quận 12</t>
  </si>
  <si>
    <t>70123</t>
  </si>
  <si>
    <t>Quận Gò Vấp</t>
  </si>
  <si>
    <t>70125</t>
  </si>
  <si>
    <t>Quận Tân Bình</t>
  </si>
  <si>
    <t>70127</t>
  </si>
  <si>
    <t>Quận Tân phú</t>
  </si>
  <si>
    <t>70128</t>
  </si>
  <si>
    <t>Quận Bình Thạnh</t>
  </si>
  <si>
    <t>70129</t>
  </si>
  <si>
    <t>Quận Phú Nhuận</t>
  </si>
  <si>
    <t>70131</t>
  </si>
  <si>
    <t>Quận Thủ Đức</t>
  </si>
  <si>
    <t>70133</t>
  </si>
  <si>
    <t>Quận Bình Tân</t>
  </si>
  <si>
    <t>70134</t>
  </si>
  <si>
    <t>Huyện Củ Chi</t>
  </si>
  <si>
    <t>70135</t>
  </si>
  <si>
    <t>Huyện Hóc Môn</t>
  </si>
  <si>
    <t>70137</t>
  </si>
  <si>
    <t>Huyện Bình Chánh</t>
  </si>
  <si>
    <t>70139</t>
  </si>
  <si>
    <t>Huyện Nhà Bè</t>
  </si>
  <si>
    <t>70141</t>
  </si>
  <si>
    <t>Huyện Cần Giờ</t>
  </si>
  <si>
    <t>70143</t>
  </si>
  <si>
    <t>703</t>
  </si>
  <si>
    <t>Tỉnh Lâm Đồng</t>
  </si>
  <si>
    <t>70300</t>
  </si>
  <si>
    <t>Thành phố Đà Lạt</t>
  </si>
  <si>
    <t>70301</t>
  </si>
  <si>
    <t>Thành phố Bảo Lộc</t>
  </si>
  <si>
    <t>70303</t>
  </si>
  <si>
    <t>Huyện Lạc Dương</t>
  </si>
  <si>
    <t>70305</t>
  </si>
  <si>
    <t>Huyện Đơn Dương</t>
  </si>
  <si>
    <t>70307</t>
  </si>
  <si>
    <t>Huyện Đức Trọng</t>
  </si>
  <si>
    <t>70309</t>
  </si>
  <si>
    <t>Huyện Lâm Hà</t>
  </si>
  <si>
    <t>70311</t>
  </si>
  <si>
    <t xml:space="preserve">Huyện Bảo Lâm </t>
  </si>
  <si>
    <t>70313</t>
  </si>
  <si>
    <t>Huyện Di Linh</t>
  </si>
  <si>
    <t>70315</t>
  </si>
  <si>
    <t>Huyện Đạ Huoai</t>
  </si>
  <si>
    <t>70317</t>
  </si>
  <si>
    <t>Huyện Đạ Tẻh</t>
  </si>
  <si>
    <t>70319</t>
  </si>
  <si>
    <t>Huyện Cát Tiên</t>
  </si>
  <si>
    <t>70321</t>
  </si>
  <si>
    <t>Huyện Đam Rông</t>
  </si>
  <si>
    <t>70323</t>
  </si>
  <si>
    <t>705</t>
  </si>
  <si>
    <t>Tỉnh Ninh Thuận</t>
  </si>
  <si>
    <t>70500</t>
  </si>
  <si>
    <t>TP. Phan Rang-Tháp Chàm</t>
  </si>
  <si>
    <t>70501</t>
  </si>
  <si>
    <t>Huyện Ninh Sơn</t>
  </si>
  <si>
    <t>70503</t>
  </si>
  <si>
    <t>Huyện Ninh Hải</t>
  </si>
  <si>
    <t>70505</t>
  </si>
  <si>
    <t>Huyện Ninh Phước</t>
  </si>
  <si>
    <t>70507</t>
  </si>
  <si>
    <t>Huyện Bác ái</t>
  </si>
  <si>
    <t>70509</t>
  </si>
  <si>
    <t>Huyện Thuận Bắc</t>
  </si>
  <si>
    <t>70511</t>
  </si>
  <si>
    <t>Huyện Thuận Nam</t>
  </si>
  <si>
    <t>70513</t>
  </si>
  <si>
    <t>707</t>
  </si>
  <si>
    <t>Tỉnh Bình Phước</t>
  </si>
  <si>
    <t>70700</t>
  </si>
  <si>
    <t>Huyện Đồng Phú</t>
  </si>
  <si>
    <t>70701</t>
  </si>
  <si>
    <t>Thị xã Phước Long</t>
  </si>
  <si>
    <t>70703</t>
  </si>
  <si>
    <t>Huyện Lộc Ninh</t>
  </si>
  <si>
    <t>70705</t>
  </si>
  <si>
    <t>Huyện Bù Đốp</t>
  </si>
  <si>
    <t>70706</t>
  </si>
  <si>
    <t>Huyện Bù Đăng</t>
  </si>
  <si>
    <t>70707</t>
  </si>
  <si>
    <t>Thị xã Bình Long</t>
  </si>
  <si>
    <t>70709</t>
  </si>
  <si>
    <t>Huyện Chơn Thành</t>
  </si>
  <si>
    <t>70710</t>
  </si>
  <si>
    <t>Thị xã Đồng Xoài</t>
  </si>
  <si>
    <t>70711</t>
  </si>
  <si>
    <t>Huyện Hớn Quản</t>
  </si>
  <si>
    <t>70713</t>
  </si>
  <si>
    <t>Huyện Bù Gia Mập</t>
  </si>
  <si>
    <t>70715</t>
  </si>
  <si>
    <t>Huyện Phú Riềng</t>
  </si>
  <si>
    <t>70716</t>
  </si>
  <si>
    <t>709</t>
  </si>
  <si>
    <t>Tỉnh Tây Ninh</t>
  </si>
  <si>
    <t>70900</t>
  </si>
  <si>
    <t>Thành phố Tây Ninh</t>
  </si>
  <si>
    <t>70901</t>
  </si>
  <si>
    <t>Huyện Tân Biên</t>
  </si>
  <si>
    <t>70903</t>
  </si>
  <si>
    <t>Huyện Tân Châu</t>
  </si>
  <si>
    <t>70905</t>
  </si>
  <si>
    <t>Huyện Dương Minh Châu</t>
  </si>
  <si>
    <t>70907</t>
  </si>
  <si>
    <t>Huyện Châu Thành</t>
  </si>
  <si>
    <t>70909</t>
  </si>
  <si>
    <t>Huyện Hòa Thành</t>
  </si>
  <si>
    <t>70911</t>
  </si>
  <si>
    <t>Huyện Bến Cầu</t>
  </si>
  <si>
    <t>70913</t>
  </si>
  <si>
    <t>Huyện Gò Dầu</t>
  </si>
  <si>
    <t>70915</t>
  </si>
  <si>
    <t>Huyện Trảng Bàng</t>
  </si>
  <si>
    <t>70917</t>
  </si>
  <si>
    <t>711</t>
  </si>
  <si>
    <t>Tỉnh Bình Dương</t>
  </si>
  <si>
    <t>71100</t>
  </si>
  <si>
    <t>Thành phố Thủ Dầu Một</t>
  </si>
  <si>
    <t>71101</t>
  </si>
  <si>
    <t>Thị Xã Bến Cát</t>
  </si>
  <si>
    <t>71103</t>
  </si>
  <si>
    <t>Thị xã Tân Uyên</t>
  </si>
  <si>
    <t>71105</t>
  </si>
  <si>
    <t>Thị xã Thuận An</t>
  </si>
  <si>
    <t>71107</t>
  </si>
  <si>
    <t>Thị xã Dĩ An</t>
  </si>
  <si>
    <t>71109</t>
  </si>
  <si>
    <t>Huyện Phú Giáo</t>
  </si>
  <si>
    <t>71111</t>
  </si>
  <si>
    <t>Huyện Dầu Tiếng</t>
  </si>
  <si>
    <t>71113</t>
  </si>
  <si>
    <t>Huyện Bàu Bàng</t>
  </si>
  <si>
    <t>71115</t>
  </si>
  <si>
    <t>Huyện Bắc Tân Uyên</t>
  </si>
  <si>
    <t>71117</t>
  </si>
  <si>
    <t>713</t>
  </si>
  <si>
    <t>Tỉnh Đồng Nai</t>
  </si>
  <si>
    <t>71300</t>
  </si>
  <si>
    <t>Thành phố Biên Hòa</t>
  </si>
  <si>
    <t>71301</t>
  </si>
  <si>
    <t>Thị xã Long khánh</t>
  </si>
  <si>
    <t>71302</t>
  </si>
  <si>
    <t>Huyện Tân Phú</t>
  </si>
  <si>
    <t>71303</t>
  </si>
  <si>
    <t>Huyện Định Quán</t>
  </si>
  <si>
    <t>71305</t>
  </si>
  <si>
    <t>Huyện Vĩnh Cửu</t>
  </si>
  <si>
    <t>71307</t>
  </si>
  <si>
    <t>Huyện Trảng Bom</t>
  </si>
  <si>
    <t>71308</t>
  </si>
  <si>
    <t>Huyện Thống Nhất</t>
  </si>
  <si>
    <t>71309</t>
  </si>
  <si>
    <t>Huyện Cẩm Mỹ</t>
  </si>
  <si>
    <t>71311</t>
  </si>
  <si>
    <t>Huyện Xuân Lộc</t>
  </si>
  <si>
    <t>71313</t>
  </si>
  <si>
    <t>Huyện Long Thành</t>
  </si>
  <si>
    <t>71315</t>
  </si>
  <si>
    <t>Huyện Nhơn Trạch</t>
  </si>
  <si>
    <t>71317</t>
  </si>
  <si>
    <t>715</t>
  </si>
  <si>
    <t>Tỉnh Bình Thuận</t>
  </si>
  <si>
    <t>71500</t>
  </si>
  <si>
    <t>Thành phố Phan Thiết</t>
  </si>
  <si>
    <t>71501</t>
  </si>
  <si>
    <t>Huyện Tuy Phong</t>
  </si>
  <si>
    <t>71503</t>
  </si>
  <si>
    <t>Huyện Bắc Bình</t>
  </si>
  <si>
    <t>71505</t>
  </si>
  <si>
    <t>Huyện Hàm Thuận Bắc</t>
  </si>
  <si>
    <t>71507</t>
  </si>
  <si>
    <t>Huyện Hàm Thuận Nam</t>
  </si>
  <si>
    <t>71509</t>
  </si>
  <si>
    <t>Huyện Tánh Linh</t>
  </si>
  <si>
    <t>71511</t>
  </si>
  <si>
    <t>Thị xã La Gi</t>
  </si>
  <si>
    <t>71513</t>
  </si>
  <si>
    <t>Huyện Hàm Tân</t>
  </si>
  <si>
    <t>71514</t>
  </si>
  <si>
    <t>Huyện Đức Linh</t>
  </si>
  <si>
    <t>71515</t>
  </si>
  <si>
    <t>Huyện Phú Quý</t>
  </si>
  <si>
    <t>71517</t>
  </si>
  <si>
    <t>717</t>
  </si>
  <si>
    <t>Tỉnh Bà Rịa - Vũng Tàu</t>
  </si>
  <si>
    <t>71700</t>
  </si>
  <si>
    <t>Thành Phố Vũng Tàu</t>
  </si>
  <si>
    <t>71701</t>
  </si>
  <si>
    <t>Thành phố Bà Rịa</t>
  </si>
  <si>
    <t>71703</t>
  </si>
  <si>
    <t>Huyện Châu Đức</t>
  </si>
  <si>
    <t>71705</t>
  </si>
  <si>
    <t>Huyện Xuyên Mộc</t>
  </si>
  <si>
    <t>71707</t>
  </si>
  <si>
    <t>Huyện Tân Thành</t>
  </si>
  <si>
    <t>71709</t>
  </si>
  <si>
    <t>Huyện Long Điền</t>
  </si>
  <si>
    <t>71711</t>
  </si>
  <si>
    <t>Huyện Đất đỏ</t>
  </si>
  <si>
    <t>71712</t>
  </si>
  <si>
    <t>Huyện Côn Đảo</t>
  </si>
  <si>
    <t>71713</t>
  </si>
  <si>
    <t>801</t>
  </si>
  <si>
    <t>Tỉnh Long An</t>
  </si>
  <si>
    <t>80100</t>
  </si>
  <si>
    <t>Thành phố Tân An</t>
  </si>
  <si>
    <t>80101</t>
  </si>
  <si>
    <t>Huyện Tân Hưng</t>
  </si>
  <si>
    <t>80103</t>
  </si>
  <si>
    <t>Huyện Vĩnh Hưng</t>
  </si>
  <si>
    <t>80105</t>
  </si>
  <si>
    <t>Huyện Mộc Hoá</t>
  </si>
  <si>
    <t>80107</t>
  </si>
  <si>
    <t>Huyện Tân Thạnh</t>
  </si>
  <si>
    <t>80109</t>
  </si>
  <si>
    <t>Huyện Thạnh Hoá</t>
  </si>
  <si>
    <t>80111</t>
  </si>
  <si>
    <t>Huyện Đức Huệ</t>
  </si>
  <si>
    <t>80113</t>
  </si>
  <si>
    <t>Huyện Đức Hòa</t>
  </si>
  <si>
    <t>80115</t>
  </si>
  <si>
    <t>Huyện Bến Lức</t>
  </si>
  <si>
    <t>80117</t>
  </si>
  <si>
    <t>Huyện Thủ Thừa</t>
  </si>
  <si>
    <t>80119</t>
  </si>
  <si>
    <t xml:space="preserve">Huyện Châu Thành </t>
  </si>
  <si>
    <t>80121</t>
  </si>
  <si>
    <t>Huyện Tân Trụ</t>
  </si>
  <si>
    <t>80123</t>
  </si>
  <si>
    <t>Huyện Cần Đước</t>
  </si>
  <si>
    <t>80125</t>
  </si>
  <si>
    <t>Huyện Cần Giuộc</t>
  </si>
  <si>
    <t>80127</t>
  </si>
  <si>
    <t>Thị xã Kiến Tường</t>
  </si>
  <si>
    <t>80129</t>
  </si>
  <si>
    <t>803</t>
  </si>
  <si>
    <t>Tỉnh Đồng Tháp</t>
  </si>
  <si>
    <t>80300</t>
  </si>
  <si>
    <t>Thành phố Cao Lãnh</t>
  </si>
  <si>
    <t>80301</t>
  </si>
  <si>
    <t>Thành phố Sa Đéc</t>
  </si>
  <si>
    <t>80303</t>
  </si>
  <si>
    <t>Huyện Tân Hồng</t>
  </si>
  <si>
    <t>80305</t>
  </si>
  <si>
    <t>Huyện Hồng Ngự</t>
  </si>
  <si>
    <t>80307</t>
  </si>
  <si>
    <t xml:space="preserve">Huyện Tam Nông </t>
  </si>
  <si>
    <t>80309</t>
  </si>
  <si>
    <t>Huyện Thanh Bình</t>
  </si>
  <si>
    <t>80311</t>
  </si>
  <si>
    <t>Huyện Tháp Mười</t>
  </si>
  <si>
    <t>80313</t>
  </si>
  <si>
    <t>Huyện Cao Lãnh</t>
  </si>
  <si>
    <t>80315</t>
  </si>
  <si>
    <t>Huyện Lấp Vò</t>
  </si>
  <si>
    <t>80317</t>
  </si>
  <si>
    <t>Huyện Lai Vung</t>
  </si>
  <si>
    <t>80319</t>
  </si>
  <si>
    <t xml:space="preserve">Huyện Châu Thành  </t>
  </si>
  <si>
    <t>80321</t>
  </si>
  <si>
    <t>Thị xã Hồng Ngự</t>
  </si>
  <si>
    <t>80323</t>
  </si>
  <si>
    <t>805</t>
  </si>
  <si>
    <t>Tỉnh An Giang</t>
  </si>
  <si>
    <t>80500</t>
  </si>
  <si>
    <t>Thành phố Long Xuyên</t>
  </si>
  <si>
    <t>80501</t>
  </si>
  <si>
    <t>Thành phố Châu Đốc</t>
  </si>
  <si>
    <t>80503</t>
  </si>
  <si>
    <t>Huyện An Phú</t>
  </si>
  <si>
    <t>80505</t>
  </si>
  <si>
    <t>Thị xã Tân Châu</t>
  </si>
  <si>
    <t>80507</t>
  </si>
  <si>
    <t>Huyện Phú Tân</t>
  </si>
  <si>
    <t>80509</t>
  </si>
  <si>
    <t>Huyện Châu Phú</t>
  </si>
  <si>
    <t>80511</t>
  </si>
  <si>
    <t>Huyện Tịnh Biên</t>
  </si>
  <si>
    <t>80513</t>
  </si>
  <si>
    <t>Huyện Tri Tôn</t>
  </si>
  <si>
    <t>80515</t>
  </si>
  <si>
    <t xml:space="preserve">Huyện Chợ Mới </t>
  </si>
  <si>
    <t>80517</t>
  </si>
  <si>
    <t xml:space="preserve">Huyện Châu Thành   </t>
  </si>
  <si>
    <t>80519</t>
  </si>
  <si>
    <t>Huyện Thoại Sơn</t>
  </si>
  <si>
    <t>80521</t>
  </si>
  <si>
    <t>807</t>
  </si>
  <si>
    <t>Tỉnh Tiền Giang</t>
  </si>
  <si>
    <t>80700</t>
  </si>
  <si>
    <t>Thành phố Mỹ Tho</t>
  </si>
  <si>
    <t>80701</t>
  </si>
  <si>
    <t>Thị xã Gò Công</t>
  </si>
  <si>
    <t>80703</t>
  </si>
  <si>
    <t>Huyện Tân Phước</t>
  </si>
  <si>
    <t>80705</t>
  </si>
  <si>
    <t xml:space="preserve">Huyện Châu Thành    </t>
  </si>
  <si>
    <t>80707</t>
  </si>
  <si>
    <t>Huyện Cai Lậy</t>
  </si>
  <si>
    <t>80709</t>
  </si>
  <si>
    <t>Huyện Chợ Gạo</t>
  </si>
  <si>
    <t>80711</t>
  </si>
  <si>
    <t>Huyện Cái Bè</t>
  </si>
  <si>
    <t>80713</t>
  </si>
  <si>
    <t>Huyện Gò Công Tây</t>
  </si>
  <si>
    <t>80715</t>
  </si>
  <si>
    <t>Huyện Gò Công Đông</t>
  </si>
  <si>
    <t>80717</t>
  </si>
  <si>
    <t>Huyện Tân Phú Đông</t>
  </si>
  <si>
    <t>80719</t>
  </si>
  <si>
    <t>Thị Xã Cai Lậy</t>
  </si>
  <si>
    <t>80721</t>
  </si>
  <si>
    <t>809</t>
  </si>
  <si>
    <t>Tỉnh Vĩnh Long</t>
  </si>
  <si>
    <t>80900</t>
  </si>
  <si>
    <t>Thành phố Vĩnh Long</t>
  </si>
  <si>
    <t>80901</t>
  </si>
  <si>
    <t>Huyện Long Hồ</t>
  </si>
  <si>
    <t>80903</t>
  </si>
  <si>
    <t>Huyện Mang Thít</t>
  </si>
  <si>
    <t>80905</t>
  </si>
  <si>
    <t>Thị xã Bình Minh</t>
  </si>
  <si>
    <t>80907</t>
  </si>
  <si>
    <t>Huyện Bình Tân</t>
  </si>
  <si>
    <t>80908</t>
  </si>
  <si>
    <t>Huyện Tam Bình</t>
  </si>
  <si>
    <t>80909</t>
  </si>
  <si>
    <t>Huyện Trà Ôn</t>
  </si>
  <si>
    <t>80911</t>
  </si>
  <si>
    <t>Huyện Vũng Liêm</t>
  </si>
  <si>
    <t>80913</t>
  </si>
  <si>
    <t>811</t>
  </si>
  <si>
    <t>Tỉnh Bến Tre</t>
  </si>
  <si>
    <t>81100</t>
  </si>
  <si>
    <t>Thành phố Bến Tre</t>
  </si>
  <si>
    <t>81101</t>
  </si>
  <si>
    <t xml:space="preserve">Huyện Châu Thành     </t>
  </si>
  <si>
    <t>81103</t>
  </si>
  <si>
    <t>Huyện Chợ Lách</t>
  </si>
  <si>
    <t>81105</t>
  </si>
  <si>
    <t>Huyện Mỏ Cày Nam</t>
  </si>
  <si>
    <t>81107</t>
  </si>
  <si>
    <t>Huyện Mỏ Cày Bắc</t>
  </si>
  <si>
    <t>81108</t>
  </si>
  <si>
    <t>Huyện Giồng Trôm</t>
  </si>
  <si>
    <t>81109</t>
  </si>
  <si>
    <t>Huyện Bình Đại</t>
  </si>
  <si>
    <t>81111</t>
  </si>
  <si>
    <t>Huyện Ba Tri</t>
  </si>
  <si>
    <t>81113</t>
  </si>
  <si>
    <t>Huyện Thạnh Phú</t>
  </si>
  <si>
    <t>81115</t>
  </si>
  <si>
    <t>813</t>
  </si>
  <si>
    <t>Tỉnh Kiên Giang</t>
  </si>
  <si>
    <t>81300</t>
  </si>
  <si>
    <t>Thành phố Rạch Giá</t>
  </si>
  <si>
    <t>81301</t>
  </si>
  <si>
    <t>Huyện Kiên Lương</t>
  </si>
  <si>
    <t>81303</t>
  </si>
  <si>
    <t>Huyện Giang Thành</t>
  </si>
  <si>
    <t>81304</t>
  </si>
  <si>
    <t>Huyện Hòn Đất</t>
  </si>
  <si>
    <t>81305</t>
  </si>
  <si>
    <t>Huyện Tân Hiệp</t>
  </si>
  <si>
    <t>81307</t>
  </si>
  <si>
    <t xml:space="preserve">Huyện Châu Thành      </t>
  </si>
  <si>
    <t>81309</t>
  </si>
  <si>
    <t>Huyện Giồng Riềng</t>
  </si>
  <si>
    <t>81311</t>
  </si>
  <si>
    <t>Huyện Gò Quao</t>
  </si>
  <si>
    <t>81313</t>
  </si>
  <si>
    <t>Huyện An Biên</t>
  </si>
  <si>
    <t>81315</t>
  </si>
  <si>
    <t>Huyện An Minh</t>
  </si>
  <si>
    <t>81317</t>
  </si>
  <si>
    <t>Huyện Vĩnh Thuận</t>
  </si>
  <si>
    <t>81319</t>
  </si>
  <si>
    <t>Huyện Phú Quốc</t>
  </si>
  <si>
    <t>81321</t>
  </si>
  <si>
    <t>Huyện Kiên Hải</t>
  </si>
  <si>
    <t>81323</t>
  </si>
  <si>
    <t>Thị xã Hà Tiên</t>
  </si>
  <si>
    <t>81325</t>
  </si>
  <si>
    <t>Huyện U Minh Thượng</t>
  </si>
  <si>
    <t>81327</t>
  </si>
  <si>
    <t>TP Cần Thơ</t>
  </si>
  <si>
    <t>Quận Thốt Nốt</t>
  </si>
  <si>
    <t>81503</t>
  </si>
  <si>
    <t>Quận Ô Môn</t>
  </si>
  <si>
    <t>81505</t>
  </si>
  <si>
    <t>Quận Ninh Kiều</t>
  </si>
  <si>
    <t>81519</t>
  </si>
  <si>
    <t>Quận Bình Thuỷ</t>
  </si>
  <si>
    <t>81521</t>
  </si>
  <si>
    <t>Quận Cái Răng</t>
  </si>
  <si>
    <t>81523</t>
  </si>
  <si>
    <t xml:space="preserve">Huyện Vĩnh Thạnh </t>
  </si>
  <si>
    <t>81525</t>
  </si>
  <si>
    <t>Huyện Cờ Đỏ</t>
  </si>
  <si>
    <t>81527</t>
  </si>
  <si>
    <t xml:space="preserve">Huyện Phong Điền </t>
  </si>
  <si>
    <t>81529</t>
  </si>
  <si>
    <t>Huyện Thới Lai</t>
  </si>
  <si>
    <t>81531</t>
  </si>
  <si>
    <t>816</t>
  </si>
  <si>
    <t>Tỉnh Hậu Giang</t>
  </si>
  <si>
    <t>81600</t>
  </si>
  <si>
    <t>Tp Vị Thanh</t>
  </si>
  <si>
    <t>81601</t>
  </si>
  <si>
    <t>Huyện Châu Thành A</t>
  </si>
  <si>
    <t>81603</t>
  </si>
  <si>
    <t xml:space="preserve">Huyện Châu Thành       </t>
  </si>
  <si>
    <t>81605</t>
  </si>
  <si>
    <t>Thị Xã Ngã Bảy</t>
  </si>
  <si>
    <t>81607</t>
  </si>
  <si>
    <t>Huyện Phụng Hiệp</t>
  </si>
  <si>
    <t>81608</t>
  </si>
  <si>
    <t>Huyện Vị Thủy</t>
  </si>
  <si>
    <t>81609</t>
  </si>
  <si>
    <t>Huyện Long Mỹ</t>
  </si>
  <si>
    <t>81611</t>
  </si>
  <si>
    <t>Thị Xã Long Mỹ</t>
  </si>
  <si>
    <t>81612</t>
  </si>
  <si>
    <t>817</t>
  </si>
  <si>
    <t>Tỉnh Trà Vinh</t>
  </si>
  <si>
    <t>81700</t>
  </si>
  <si>
    <t>Thành phố Trà Vinh</t>
  </si>
  <si>
    <t>81701</t>
  </si>
  <si>
    <t>Huyện Càng Long</t>
  </si>
  <si>
    <t>81703</t>
  </si>
  <si>
    <t xml:space="preserve">Huyện Châu Thành        </t>
  </si>
  <si>
    <t>81705</t>
  </si>
  <si>
    <t>Huyện Cầu Kè</t>
  </si>
  <si>
    <t>81707</t>
  </si>
  <si>
    <t>Huyện Tiểu Cần</t>
  </si>
  <si>
    <t>81709</t>
  </si>
  <si>
    <t>Huyện Cầu Ngang</t>
  </si>
  <si>
    <t>81711</t>
  </si>
  <si>
    <t>Huyện Trà Cú</t>
  </si>
  <si>
    <t>81713</t>
  </si>
  <si>
    <t>Huyện Duyên Hải</t>
  </si>
  <si>
    <t>81715</t>
  </si>
  <si>
    <t>Thị Xã Duyên Hải</t>
  </si>
  <si>
    <t>81716</t>
  </si>
  <si>
    <t>819</t>
  </si>
  <si>
    <t>Tỉnh Sóc Trăng</t>
  </si>
  <si>
    <t>81900</t>
  </si>
  <si>
    <t>Thành phố Sóc Trăng</t>
  </si>
  <si>
    <t>81901</t>
  </si>
  <si>
    <t>Huyện Kế Sách</t>
  </si>
  <si>
    <t>81903</t>
  </si>
  <si>
    <t>Huyện Long Phú</t>
  </si>
  <si>
    <t>81905</t>
  </si>
  <si>
    <t>Huyện Cù Lao Dung</t>
  </si>
  <si>
    <t>81906</t>
  </si>
  <si>
    <t>Huyện Mỹ Tú</t>
  </si>
  <si>
    <t>81907</t>
  </si>
  <si>
    <t>Huyện Mỹ Xuyên</t>
  </si>
  <si>
    <t>81909</t>
  </si>
  <si>
    <t>Huyện Thạnh Trị</t>
  </si>
  <si>
    <t>81911</t>
  </si>
  <si>
    <t>Thị Xã Ngã Năm</t>
  </si>
  <si>
    <t>81912</t>
  </si>
  <si>
    <t>Thị Xã Vĩnh Châu</t>
  </si>
  <si>
    <t>81913</t>
  </si>
  <si>
    <t xml:space="preserve">Huyện Châu Thành         </t>
  </si>
  <si>
    <t>81915</t>
  </si>
  <si>
    <t>Huyện Trần Đề</t>
  </si>
  <si>
    <t>81917</t>
  </si>
  <si>
    <t>821</t>
  </si>
  <si>
    <t>Tỉnh Bạc Liêu</t>
  </si>
  <si>
    <t>82100</t>
  </si>
  <si>
    <t>Thành Phố Bạc Liêu</t>
  </si>
  <si>
    <t>82101</t>
  </si>
  <si>
    <t>Huyện Hồng Dân</t>
  </si>
  <si>
    <t>82103</t>
  </si>
  <si>
    <t>Huyện Vĩnh Lợi</t>
  </si>
  <si>
    <t>82105</t>
  </si>
  <si>
    <t>Huyện Hòa Bình</t>
  </si>
  <si>
    <t>82106</t>
  </si>
  <si>
    <t>Thị Xã Giá Rai</t>
  </si>
  <si>
    <t>82107</t>
  </si>
  <si>
    <t>Huyện Phước Long</t>
  </si>
  <si>
    <t>82109</t>
  </si>
  <si>
    <t>Huyện Đông Hải</t>
  </si>
  <si>
    <t>82111</t>
  </si>
  <si>
    <t>823</t>
  </si>
  <si>
    <t>Tỉnh Cà Mau</t>
  </si>
  <si>
    <t>82300</t>
  </si>
  <si>
    <t>Thành phố Cà Mau</t>
  </si>
  <si>
    <t>82301</t>
  </si>
  <si>
    <t>Huyện Thới Bình</t>
  </si>
  <si>
    <t>82303</t>
  </si>
  <si>
    <t>Huyện U Minh</t>
  </si>
  <si>
    <t>82305</t>
  </si>
  <si>
    <t>Huyện Trần Văn Thời</t>
  </si>
  <si>
    <t>82307</t>
  </si>
  <si>
    <t xml:space="preserve">Huyện Phú Tân </t>
  </si>
  <si>
    <t>82308</t>
  </si>
  <si>
    <t>Huyện Cái Nước</t>
  </si>
  <si>
    <t>82309</t>
  </si>
  <si>
    <t>Huyện Đầm Dơi</t>
  </si>
  <si>
    <t>82311</t>
  </si>
  <si>
    <t>Huyện Năm Căn</t>
  </si>
  <si>
    <t>82312</t>
  </si>
  <si>
    <t>Huyện Ngọc Hiển</t>
  </si>
  <si>
    <t>82313</t>
  </si>
  <si>
    <t>Chi cục thuế Thị xã Chí Linh</t>
  </si>
  <si>
    <t>Bảng tính tự động lập bộ báo cáo tài chính theo thông tư 133 định dạng XML tương thích với phần mềm HTKK của Cơ quan thuế</t>
  </si>
  <si>
    <t>1. Lập bộ báo cáo tài chính theo mẫu số B01a-DNN ban hành theo thông tư 133/2016/TT-BCT bao gồm:</t>
  </si>
  <si>
    <t>Tờ khai chính (Báo cáo tình hình tài chính)</t>
  </si>
  <si>
    <t>Phụ lục Kết quả hoạt động sản xuất kinh doanh</t>
  </si>
  <si>
    <t>Phụ lục Bảng cân đối tài khoản</t>
  </si>
  <si>
    <t>2. Hỗ trợ nhập dữ liệu từ báo cáo năm liền trước lên phụ lục Kết quả hoạt động sản xuất kinh doanh</t>
  </si>
  <si>
    <t>3. Hỗ trợ kết xuất ra file Excel và PDF để lưu trữ hoặc gửi khách hàng</t>
  </si>
  <si>
    <t>4. Lưu trữ dữ liệu nhiều doanh nghiệp, có thể dùng cho nhiều công ty, phù hợp với cá nhân, tổ chức khai thuế và làm kế toán dịch vụ</t>
  </si>
  <si>
    <t>I. Chức năng chính:</t>
  </si>
  <si>
    <t>II. Hướng dẫn sử dụng</t>
  </si>
  <si>
    <t>Giao diện chính của chương trình:</t>
  </si>
  <si>
    <t>Để sử dụng các tính năng, cần kích hoạt macro khi được hỏi bằng cách bấm vào nút "Enable Content"</t>
  </si>
  <si>
    <t>Các sheet bảng tính quan trọng:</t>
  </si>
  <si>
    <t>sheet MAIN: chứa giao diện chính, đây là nơi thực hiện các chức năng của chương trình</t>
  </si>
  <si>
    <t>sheet INPUT: là nơi nạp dữ liệu từ bảng cân đối tài khoản bên ngoài (định dạng file excel) vào</t>
  </si>
  <si>
    <t>sheet KiemTraBCD: là sheet tổng hợp số liệu từ bảng cân đối tài khoản nhập vào từ sheet INPUT và trình bày theo mẫu của tờ khai B01a-DNN</t>
  </si>
  <si>
    <t>Scientific and technology development fund (if any)</t>
  </si>
  <si>
    <t>- Giá vốn hàng bán</t>
  </si>
  <si>
    <t>Open after:</t>
  </si>
  <si>
    <t>no</t>
  </si>
  <si>
    <t>Tổng trên bản cân đối chuyển đổi</t>
  </si>
  <si>
    <t>153 Nguyễn Chính Thanh, tổ dân phố 9, p. Mường Thanh, Thành phố Điện Biên Phủ, tỉnh Điện Biên</t>
  </si>
  <si>
    <t>Cục thuế Thành phố Hà Nội</t>
  </si>
  <si>
    <t>Công ty TNHH Xây dựng và thương mại TN</t>
  </si>
  <si>
    <t>American</t>
  </si>
  <si>
    <t>0109065238</t>
  </si>
  <si>
    <t>C5-Khu A - Tập Thể Học Viện Quân Y Phường Phúc La</t>
  </si>
  <si>
    <t>&lt;kyKKhai&gt;2021&lt;/kyKKhai&gt;</t>
  </si>
  <si>
    <t>&lt;kyKKhaiTuNgay&gt;01/01/2021&lt;/kyKKhaiTuNgay&gt;</t>
  </si>
  <si>
    <t>&lt;kyKKhaiDenNgay&gt;31/12/2021&lt;/kyKKhaiDenNgay&gt;</t>
  </si>
  <si>
    <t>&lt;maCQTNoiNop&gt;10127&lt;/maCQTNoiNop&gt;</t>
  </si>
  <si>
    <t>&lt;mst&gt;0109065238&lt;/mst&gt;</t>
  </si>
  <si>
    <t>&lt;dchiNNT&gt;C5-Khu A - Tập Thể Học Viện Quân Y Phường Phúc La&lt;/dchiNNT&gt;</t>
  </si>
  <si>
    <t>&lt;tenHuyenNNT&gt;Hà Đông&lt;/tenHuyenNNT&gt;</t>
  </si>
  <si>
    <t>&lt;tenTinhNNT&gt;Hà Nội&lt;/tenTinhNNT&gt;</t>
  </si>
  <si>
    <t>&lt;HSoKhaiThue&gt;</t>
  </si>
  <si>
    <t>&lt;TTinChung&gt;</t>
  </si>
  <si>
    <t>&lt;TTinDVu&gt;</t>
  </si>
  <si>
    <t>&lt;maDVu&gt;HTKK&lt;/maDVu&gt;</t>
  </si>
  <si>
    <t>&lt;tenDVu&gt;HỖ TRỢ KÊ KHAI THUẾ&lt;/tenDVu&gt;</t>
  </si>
  <si>
    <t>&lt;pbanDVu&gt;4.7.3&lt;/pbanDVu&gt;</t>
  </si>
  <si>
    <t>&lt;/TTinDVu&gt;</t>
  </si>
  <si>
    <t>&lt;TTinTKhaiThue&gt;</t>
  </si>
  <si>
    <t>&lt;TKhaiThue&gt;</t>
  </si>
  <si>
    <t>&lt;maTKhai&gt;683&lt;/maTKhai&gt;</t>
  </si>
  <si>
    <t>&lt;tenTKhai&gt;Bộ báo cáo tài chính (B01a - DNN)(TT133/2016/TT-BTC)&lt;/tenTKhai&gt;</t>
  </si>
  <si>
    <t>&lt;moTaBMau&gt;(Ban hành theo Thông tư số 133/2016/TT-BTC ngày 26/8/2016 của Bộ Tài chính)&lt;/moTaBMau&gt;</t>
  </si>
  <si>
    <t>&lt;pbanTKhaiXML&gt;2.3.2&lt;/pbanTKhaiXML&gt;</t>
  </si>
  <si>
    <t>&lt;loaiTKhai&gt;C&lt;/loaiTKhai&gt;</t>
  </si>
  <si>
    <t>&lt;soLan&gt;0&lt;/soLan&gt;</t>
  </si>
  <si>
    <t>&lt;KyKKhaiThue&gt;</t>
  </si>
  <si>
    <t>&lt;kieuKy&gt;Y&lt;/kieuKy&gt;</t>
  </si>
  <si>
    <t>&lt;kyKKhaiTuThang /&gt;</t>
  </si>
  <si>
    <t>&lt;kyKKhaiDenThang /&gt;</t>
  </si>
  <si>
    <t>&lt;tenCQTNoiNop&gt;Chi cục Thuế Quận Hà Đông&lt;/tenCQTNoiNop&gt;</t>
  </si>
  <si>
    <t>&lt;maLyDoGiaHan&gt;</t>
  </si>
  <si>
    <t>&lt;/maLyDoGiaHan&gt;</t>
  </si>
  <si>
    <t>&lt;lyDoGiaHan&gt;</t>
  </si>
  <si>
    <t>&lt;/lyDoGiaHan&gt;</t>
  </si>
  <si>
    <t>&lt;nguoiKy&gt;</t>
  </si>
  <si>
    <t>&lt;/nguoiKy&gt;</t>
  </si>
  <si>
    <t>&lt;nganhNgheKD&gt;</t>
  </si>
  <si>
    <t>&lt;/nganhNgheKD&gt;</t>
  </si>
  <si>
    <t>&lt;phuongXa&gt;</t>
  </si>
  <si>
    <t>&lt;/phuongXa&gt;</t>
  </si>
  <si>
    <t>&lt;maHuyenNNT&gt;</t>
  </si>
  <si>
    <t>&lt;/maHuyenNNT&gt;</t>
  </si>
  <si>
    <t>&lt;maTinhNNT&gt;</t>
  </si>
  <si>
    <t>&lt;/maTinhNNT&gt;</t>
  </si>
  <si>
    <t>&lt;dthoaiNNT&gt;</t>
  </si>
  <si>
    <t>&lt;/dthoaiNNT&gt;</t>
  </si>
  <si>
    <t>&lt;faxNNT&gt;</t>
  </si>
  <si>
    <t>&lt;/faxNNT&gt;</t>
  </si>
  <si>
    <t>&lt;emailNNT&gt;</t>
  </si>
  <si>
    <t>&lt;/emailNNT&gt;</t>
  </si>
  <si>
    <t>&lt;bctcDaKiemToan&gt;0&lt;/bctcDaKiemToan&gt;</t>
  </si>
  <si>
    <t>&lt;maYKienKToan&gt;</t>
  </si>
  <si>
    <t>&lt;/maYKienKToan&gt;</t>
  </si>
  <si>
    <t>&lt;tenYKienKToan&gt;</t>
  </si>
  <si>
    <t>&lt;/tenYKienKToan&gt;</t>
  </si>
  <si>
    <t>&lt;ct110&gt;</t>
  </si>
  <si>
    <t>&lt;/ct110&gt;</t>
  </si>
  <si>
    <t>&lt;ct120&gt;</t>
  </si>
  <si>
    <t>&lt;/ct120&gt;</t>
  </si>
  <si>
    <t>&lt;ct121&gt;</t>
  </si>
  <si>
    <t>&lt;/ct121&gt;</t>
  </si>
  <si>
    <t>&lt;ct122&gt;</t>
  </si>
  <si>
    <t>&lt;/ct122&gt;</t>
  </si>
  <si>
    <t>&lt;ct123&gt;</t>
  </si>
  <si>
    <t>&lt;/ct123&gt;</t>
  </si>
  <si>
    <t>&lt;ct124&gt;</t>
  </si>
  <si>
    <t>&lt;/ct124&gt;</t>
  </si>
  <si>
    <t>&lt;ct130&gt;</t>
  </si>
  <si>
    <t>&lt;/ct130&gt;</t>
  </si>
  <si>
    <t>&lt;ct131&gt;</t>
  </si>
  <si>
    <t>&lt;/ct131&gt;</t>
  </si>
  <si>
    <t>&lt;ct132&gt;</t>
  </si>
  <si>
    <t>&lt;/ct132&gt;</t>
  </si>
  <si>
    <t>&lt;ct133&gt;</t>
  </si>
  <si>
    <t>&lt;/ct133&gt;</t>
  </si>
  <si>
    <t>&lt;ct134&gt;</t>
  </si>
  <si>
    <t>&lt;/ct134&gt;</t>
  </si>
  <si>
    <t>&lt;ct135&gt;</t>
  </si>
  <si>
    <t>&lt;/ct135&gt;</t>
  </si>
  <si>
    <t>&lt;ct136&gt;</t>
  </si>
  <si>
    <t>&lt;/ct136&gt;</t>
  </si>
  <si>
    <t>&lt;ct140&gt;</t>
  </si>
  <si>
    <t>&lt;/ct140&gt;</t>
  </si>
  <si>
    <t>&lt;ct141&gt;</t>
  </si>
  <si>
    <t>&lt;/ct141&gt;</t>
  </si>
  <si>
    <t>&lt;ct142&gt;</t>
  </si>
  <si>
    <t>&lt;/ct142&gt;</t>
  </si>
  <si>
    <t>&lt;ct150&gt;</t>
  </si>
  <si>
    <t>&lt;/ct150&gt;</t>
  </si>
  <si>
    <t>&lt;ct151&gt;</t>
  </si>
  <si>
    <t>&lt;/ct151&gt;</t>
  </si>
  <si>
    <t>&lt;ct152&gt;</t>
  </si>
  <si>
    <t>&lt;/ct152&gt;</t>
  </si>
  <si>
    <t>&lt;ct160&gt;</t>
  </si>
  <si>
    <t>&lt;/ct160&gt;</t>
  </si>
  <si>
    <t>&lt;ct161&gt;</t>
  </si>
  <si>
    <t>&lt;/ct161&gt;</t>
  </si>
  <si>
    <t>&lt;ct162&gt;</t>
  </si>
  <si>
    <t>&lt;/ct162&gt;</t>
  </si>
  <si>
    <t>&lt;ct170&gt;</t>
  </si>
  <si>
    <t>&lt;/ct170&gt;</t>
  </si>
  <si>
    <t>&lt;ct180&gt;</t>
  </si>
  <si>
    <t>&lt;/ct180&gt;</t>
  </si>
  <si>
    <t>&lt;ct181&gt;</t>
  </si>
  <si>
    <t>&lt;/ct181&gt;</t>
  </si>
  <si>
    <t>&lt;ct182&gt;</t>
  </si>
  <si>
    <t>&lt;/ct182&gt;</t>
  </si>
  <si>
    <t>&lt;ct200&gt;</t>
  </si>
  <si>
    <t>&lt;/ct200&gt;</t>
  </si>
  <si>
    <t>&lt;ct300&gt;</t>
  </si>
  <si>
    <t>&lt;/ct300&gt;</t>
  </si>
  <si>
    <t>&lt;ct311&gt;</t>
  </si>
  <si>
    <t>&lt;/ct311&gt;</t>
  </si>
  <si>
    <t>&lt;ct312&gt;</t>
  </si>
  <si>
    <t>&lt;/ct312&gt;</t>
  </si>
  <si>
    <t>&lt;ct313&gt;</t>
  </si>
  <si>
    <t>&lt;/ct313&gt;</t>
  </si>
  <si>
    <t>&lt;ct314&gt;</t>
  </si>
  <si>
    <t>&lt;/ct314&gt;</t>
  </si>
  <si>
    <t>&lt;ct315&gt;</t>
  </si>
  <si>
    <t>&lt;/ct315&gt;</t>
  </si>
  <si>
    <t>&lt;ct316&gt;</t>
  </si>
  <si>
    <t>&lt;/ct316&gt;</t>
  </si>
  <si>
    <t>&lt;ct317&gt;</t>
  </si>
  <si>
    <t>&lt;/ct317&gt;</t>
  </si>
  <si>
    <t>&lt;ct318&gt;</t>
  </si>
  <si>
    <t>&lt;/ct318&gt;</t>
  </si>
  <si>
    <t>&lt;ct319&gt;</t>
  </si>
  <si>
    <t>&lt;/ct319&gt;</t>
  </si>
  <si>
    <t>&lt;ct320&gt;</t>
  </si>
  <si>
    <t>&lt;/ct320&gt;</t>
  </si>
  <si>
    <t>&lt;ct400&gt;</t>
  </si>
  <si>
    <t>&lt;/ct400&gt;</t>
  </si>
  <si>
    <t>&lt;ct411&gt;</t>
  </si>
  <si>
    <t>&lt;/ct411&gt;</t>
  </si>
  <si>
    <t>&lt;ct412&gt;</t>
  </si>
  <si>
    <t>&lt;/ct412&gt;</t>
  </si>
  <si>
    <t>&lt;ct413&gt;</t>
  </si>
  <si>
    <t>&lt;/ct413&gt;</t>
  </si>
  <si>
    <t>&lt;ct414&gt;</t>
  </si>
  <si>
    <t>&lt;/ct414&gt;</t>
  </si>
  <si>
    <t>&lt;ct415&gt;</t>
  </si>
  <si>
    <t>&lt;/ct415&gt;</t>
  </si>
  <si>
    <t>&lt;ct416&gt;</t>
  </si>
  <si>
    <t>&lt;/ct416&gt;</t>
  </si>
  <si>
    <t>&lt;ct417&gt;</t>
  </si>
  <si>
    <t>&lt;/ct417&gt;</t>
  </si>
  <si>
    <t>&lt;ct500&gt;</t>
  </si>
  <si>
    <t>&lt;/ct500&gt;</t>
  </si>
  <si>
    <t>&lt;nguoiLapBieu&gt;</t>
  </si>
  <si>
    <t>&lt;/nguoiLapBieu&gt;</t>
  </si>
  <si>
    <t>&lt;keToanTruong&gt;</t>
  </si>
  <si>
    <t>&lt;/keToanTruong&gt;</t>
  </si>
  <si>
    <t>&lt;ct01 /&gt;</t>
  </si>
  <si>
    <t>&lt;ct02 /&gt;</t>
  </si>
  <si>
    <t>&lt;ct10 /&gt;</t>
  </si>
  <si>
    <t>&lt;ct11 /&gt;</t>
  </si>
  <si>
    <t>&lt;ct20 /&gt;</t>
  </si>
  <si>
    <t>&lt;ct21 /&gt;</t>
  </si>
  <si>
    <t>&lt;ct22 /&gt;</t>
  </si>
  <si>
    <t>&lt;ct23 /&gt;</t>
  </si>
  <si>
    <t>&lt;ct24 /&gt;</t>
  </si>
  <si>
    <t>&lt;ct30 /&gt;</t>
  </si>
  <si>
    <t>&lt;ct31 /&gt;</t>
  </si>
  <si>
    <t>&lt;ct32 /&gt;</t>
  </si>
  <si>
    <t>&lt;ct40 /&gt;</t>
  </si>
  <si>
    <t>&lt;ct50 /&gt;</t>
  </si>
  <si>
    <t>&lt;ct51 /&gt;</t>
  </si>
  <si>
    <t>&lt;ct60 /&gt;</t>
  </si>
  <si>
    <t>&lt;/PL_KQHDSXKD&gt;</t>
  </si>
  <si>
    <t>&lt;PL_CDTK&gt;</t>
  </si>
  <si>
    <t>&lt;/PL_CDTK&gt;</t>
  </si>
  <si>
    <t>&lt;/PLuc&gt;</t>
  </si>
  <si>
    <t>&lt;ngayLapTKhai&gt;2022-03-19&lt;/ngayLapTKhai&gt;</t>
  </si>
  <si>
    <t>&lt;ngayKy&gt;2022-03-19&lt;/ngayKy&gt;</t>
  </si>
  <si>
    <t>&lt;ttinNhaCCapDVu&gt;FE5365B24719F8D42951331CCD74D2DD&lt;/ttinNhaCCapDVu&gt;</t>
  </si>
  <si>
    <t>&lt;tenNNT&gt;Công ty TNHH Đầu tư và Thương mại Dược phẩm American&lt;/tenNNT&gt;</t>
  </si>
  <si>
    <t>&lt;ct110&gt;1000000&lt;/ct110&gt;</t>
  </si>
  <si>
    <t>&lt;ct200&gt;1000000&lt;/ct200&gt;</t>
  </si>
  <si>
    <t>&lt;ct400&gt;1000000&lt;/ct400&gt;</t>
  </si>
  <si>
    <t>&lt;ct411&gt;1000000&lt;/ct411&gt;</t>
  </si>
  <si>
    <t>&lt;ct500&gt;1000000&lt;/ct500&gt;</t>
  </si>
  <si>
    <t>&lt;ngayLap&gt;2022-03-19&lt;/ngayLap&gt;</t>
  </si>
  <si>
    <t>&lt;nguoiDaiDienTheoPhapLuat&gt;</t>
  </si>
  <si>
    <t>&lt;/nguoiDaiDienTheoPhapLuat&gt;</t>
  </si>
  <si>
    <t>Công ty TNHH Đầu tư và Thương mại Dược phẩm American</t>
  </si>
  <si>
    <t>EZA</t>
  </si>
  <si>
    <t>0109752720</t>
  </si>
  <si>
    <t>CÔNG TY CỔ PHẦN XE NÂNG SANA VIỆT NAM</t>
  </si>
  <si>
    <t>SANA</t>
  </si>
  <si>
    <t>0108859823</t>
  </si>
  <si>
    <t xml:space="preserve"> Số 17 DNV1, Lô số 7, Đền Lừ 3, P Hoàng Văn Thụ</t>
  </si>
  <si>
    <t>CÔNG TY TNHH MÁY XÂY DỰNG MIK VIỆT NAM</t>
  </si>
  <si>
    <t>MIK</t>
  </si>
  <si>
    <t>0106225998</t>
  </si>
  <si>
    <t xml:space="preserve"> Xóm Thượng, xã Thanh Liệt</t>
  </si>
  <si>
    <t>Công ty TNHH phát triển công nghệ thực phẩm YABEI</t>
  </si>
  <si>
    <t>YABEI</t>
  </si>
  <si>
    <t>0110350102</t>
  </si>
  <si>
    <t>Biệt thự J03.L14, Khu An Phú Shop Villa - KĐT Dương Nội</t>
  </si>
  <si>
    <t>CÔNG TY TNHH TM &amp; DV QUẢNG CÁO HOÀNG ĐẠO</t>
  </si>
  <si>
    <t>Hoang Dao</t>
  </si>
  <si>
    <t>0110179984</t>
  </si>
  <si>
    <t>Số 427 Tam Trinh, phường Hoàng Văn Thụ</t>
  </si>
  <si>
    <t>CÔNG TY TNHH XUẤT NHẬP KHẨU HÓA CHẤT SANON</t>
  </si>
  <si>
    <t>SANON</t>
  </si>
  <si>
    <t>0901130910</t>
  </si>
  <si>
    <t>Xóm 3, Thôn Thuần Lễ, Xã Thuần Hưng</t>
  </si>
  <si>
    <t>Khoái Châu</t>
  </si>
  <si>
    <t>Chi cục thuế Huyện Khoái Châu</t>
  </si>
  <si>
    <t>CÔNG TY TNHH TY SOLUTION</t>
  </si>
  <si>
    <t>TY SOL</t>
  </si>
  <si>
    <t>0110506776</t>
  </si>
  <si>
    <t>Số 5B, ngách 5, ngõ 114 Thanh Lân, Phường Thanh Trì</t>
  </si>
  <si>
    <t>CÔNG TY TNHH THƯƠNG MẠI DỊCH VỤ SLINE</t>
  </si>
  <si>
    <t>Số 25, LK19, Khu Dọc Bún 2, Phường La Khê</t>
  </si>
  <si>
    <t>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</si>
</sst>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* #,##0_);_(* \(#,##0\);_(* &quot;-&quot;??_);_(@_)"/>
    <numFmt numFmtId="165" formatCode="\ #,##0_);\(#,##0\);&quot;0&quot;"/>
    <numFmt numFmtId="166" formatCode="_-* #,##0.00\ _₫_-;\-* #,##0.00\ _₫_-;_-* &quot;-&quot;??\ _₫_-;_-@_-"/>
    <numFmt numFmtId="167" formatCode="_-* #,##0\ _₫_-;\-* #,##0\ _₫_-;_-* &quot;-&quot;??\ _₫_-;_-@_-"/>
    <numFmt numFmtId="168" formatCode="00"/>
    <numFmt numFmtId="169" formatCode="dd/mm/yyyy\ hh:mm:ss"/>
    <numFmt numFmtId="170" formatCode="yyyy\-mm\-dd"/>
    <numFmt numFmtId="171" formatCode="0_);\(0\)"/>
  </numFmts>
  <fonts count="6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9"/>
      <color theme="3"/>
      <name val="Calibri"/>
      <family val="2"/>
      <scheme val="minor"/>
    </font>
    <font>
      <b/>
      <sz val="8"/>
      <color theme="3"/>
      <name val="Calibri"/>
      <family val="2"/>
      <scheme val="minor"/>
    </font>
    <font>
      <b/>
      <sz val="8"/>
      <color indexed="18"/>
      <name val="Tahoma"/>
      <family val="2"/>
    </font>
    <font>
      <sz val="8"/>
      <color indexed="18"/>
      <name val="Tahoma"/>
      <family val="2"/>
    </font>
    <font>
      <b/>
      <sz val="8"/>
      <color theme="0"/>
      <name val="Tahoma"/>
      <family val="2"/>
    </font>
    <font>
      <sz val="8"/>
      <color theme="0"/>
      <name val="Tahoma"/>
      <family val="2"/>
    </font>
    <font>
      <sz val="10"/>
      <color theme="1"/>
      <name val="Tahoma"/>
      <family val="2"/>
    </font>
    <font>
      <b/>
      <sz val="10"/>
      <color theme="0"/>
      <name val="Tahoma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i/>
      <sz val="10"/>
      <color rgb="FF000000"/>
      <name val="Tahoma"/>
      <family val="2"/>
    </font>
    <font>
      <b/>
      <sz val="10"/>
      <color theme="1"/>
      <name val="Tahoma"/>
      <family val="2"/>
    </font>
    <font>
      <sz val="14"/>
      <color theme="1"/>
      <name val="Calibri"/>
      <family val="2"/>
      <scheme val="minor"/>
    </font>
    <font>
      <sz val="10"/>
      <color theme="0"/>
      <name val="Tahoma"/>
      <family val="2"/>
    </font>
    <font>
      <sz val="10"/>
      <color rgb="FFFF000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sz val="9"/>
      <color theme="1"/>
      <name val="Tahoma"/>
      <family val="2"/>
    </font>
    <font>
      <b/>
      <sz val="9"/>
      <color theme="0"/>
      <name val="Tahoma"/>
      <family val="2"/>
    </font>
    <font>
      <i/>
      <sz val="9"/>
      <name val="Tahoma"/>
      <family val="2"/>
    </font>
    <font>
      <i/>
      <sz val="9"/>
      <color theme="4" tint="-0.249977111117893"/>
      <name val="Tahoma"/>
      <family val="2"/>
    </font>
    <font>
      <sz val="9"/>
      <color theme="0"/>
      <name val="Tahoma"/>
      <family val="2"/>
    </font>
    <font>
      <sz val="10"/>
      <name val="Arial"/>
      <family val="2"/>
    </font>
    <font>
      <b/>
      <sz val="9"/>
      <color theme="1"/>
      <name val="Tahoma"/>
      <family val="2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theme="0"/>
      <name val="Tahoma"/>
      <family val="2"/>
    </font>
    <font>
      <b/>
      <i/>
      <sz val="11"/>
      <color theme="1"/>
      <name val="Calibri"/>
      <family val="2"/>
      <scheme val="minor"/>
    </font>
    <font>
      <b/>
      <i/>
      <sz val="9"/>
      <name val="Tahoma"/>
      <family val="2"/>
    </font>
    <font>
      <sz val="11"/>
      <color theme="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5"/>
      <name val="Consolas"/>
      <family val="3"/>
    </font>
    <font>
      <sz val="11"/>
      <color theme="9" tint="0.59999389629810485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3"/>
      <name val="Tahoma"/>
      <family val="2"/>
    </font>
    <font>
      <b/>
      <sz val="9"/>
      <color theme="1"/>
      <name val="Calibri"/>
      <family val="2"/>
      <scheme val="minor"/>
    </font>
    <font>
      <b/>
      <sz val="14"/>
      <color theme="3"/>
      <name val="Tahoma"/>
      <family val="2"/>
    </font>
    <font>
      <b/>
      <sz val="8"/>
      <color indexed="8"/>
      <name val="Tahoma"/>
      <family val="2"/>
    </font>
    <font>
      <b/>
      <sz val="8"/>
      <name val="Tahoma"/>
      <family val="2"/>
    </font>
    <font>
      <sz val="8"/>
      <color indexed="8"/>
      <name val="Tahoma"/>
      <family val="2"/>
    </font>
    <font>
      <sz val="8"/>
      <name val="Tahoma"/>
      <family val="2"/>
    </font>
    <font>
      <b/>
      <i/>
      <sz val="8"/>
      <name val="Tahoma"/>
      <family val="2"/>
    </font>
    <font>
      <sz val="11"/>
      <color theme="1"/>
      <name val="Tahoma"/>
      <family val="2"/>
    </font>
    <font>
      <b/>
      <sz val="12"/>
      <color theme="3"/>
      <name val="Tahoma"/>
      <family val="2"/>
    </font>
    <font>
      <b/>
      <sz val="10"/>
      <color theme="3"/>
      <name val="Calibri"/>
      <family val="2"/>
      <scheme val="minor"/>
    </font>
    <font>
      <i/>
      <sz val="10"/>
      <color theme="1"/>
      <name val="Tahoma"/>
      <family val="2"/>
    </font>
    <font>
      <b/>
      <sz val="11"/>
      <color theme="3"/>
      <name val="Calibri"/>
      <family val="2"/>
      <scheme val="minor"/>
    </font>
    <font>
      <b/>
      <sz val="16"/>
      <color theme="3"/>
      <name val="Tahoma"/>
      <family val="2"/>
    </font>
    <font>
      <b/>
      <sz val="11"/>
      <color theme="1"/>
      <name val="Tahoma"/>
      <family val="2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11"/>
      </patternFill>
    </fill>
    <fill>
      <patternFill patternType="solid">
        <fgColor theme="4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ck">
        <color theme="4"/>
      </bottom>
      <diagonal/>
    </border>
    <border>
      <left/>
      <right style="thin">
        <color indexed="64"/>
      </right>
      <top style="thin">
        <color indexed="64"/>
      </top>
      <bottom style="thick">
        <color theme="4"/>
      </bottom>
      <diagonal/>
    </border>
    <border>
      <left style="thin">
        <color indexed="64"/>
      </left>
      <right/>
      <top style="thin">
        <color indexed="64"/>
      </top>
      <bottom style="thick">
        <color theme="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38" fillId="0" borderId="0" applyFont="0" applyFill="0" applyBorder="0" applyAlignment="0" applyProtection="0"/>
  </cellStyleXfs>
  <cellXfs count="517">
    <xf numFmtId="0" fontId="0" fillId="0" borderId="0" xfId="0"/>
    <xf numFmtId="0" fontId="2" fillId="0" borderId="1" xfId="2"/>
    <xf numFmtId="0" fontId="1" fillId="0" borderId="0" xfId="0" applyFont="1"/>
    <xf numFmtId="0" fontId="2" fillId="0" borderId="1" xfId="2" applyAlignment="1">
      <alignment horizontal="center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64" fontId="1" fillId="0" borderId="0" xfId="0" applyNumberFormat="1" applyFont="1"/>
    <xf numFmtId="0" fontId="2" fillId="0" borderId="1" xfId="2" applyAlignment="1">
      <alignment horizontal="left"/>
    </xf>
    <xf numFmtId="0" fontId="0" fillId="0" borderId="0" xfId="0" applyAlignment="1">
      <alignment vertical="center"/>
    </xf>
    <xf numFmtId="0" fontId="4" fillId="0" borderId="0" xfId="0" applyFont="1"/>
    <xf numFmtId="0" fontId="9" fillId="0" borderId="0" xfId="0" applyFont="1" applyAlignment="1" applyProtection="1">
      <alignment horizontal="center"/>
      <protection locked="0"/>
    </xf>
    <xf numFmtId="49" fontId="9" fillId="0" borderId="0" xfId="0" applyNumberFormat="1" applyFont="1" applyAlignment="1" applyProtection="1">
      <alignment horizontal="center"/>
      <protection locked="0"/>
    </xf>
    <xf numFmtId="0" fontId="10" fillId="0" borderId="0" xfId="0" applyFont="1" applyProtection="1">
      <protection locked="0"/>
    </xf>
    <xf numFmtId="49" fontId="10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0" fontId="2" fillId="0" borderId="1" xfId="2" applyAlignment="1">
      <alignment vertical="center"/>
    </xf>
    <xf numFmtId="0" fontId="12" fillId="0" borderId="0" xfId="0" applyFont="1" applyAlignment="1">
      <alignment vertical="center"/>
    </xf>
    <xf numFmtId="0" fontId="0" fillId="9" borderId="0" xfId="0" applyFill="1"/>
    <xf numFmtId="0" fontId="0" fillId="0" borderId="0" xfId="0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22" fontId="14" fillId="0" borderId="1" xfId="2" applyNumberFormat="1" applyFont="1" applyAlignment="1">
      <alignment vertical="center"/>
    </xf>
    <xf numFmtId="22" fontId="15" fillId="0" borderId="1" xfId="2" applyNumberFormat="1" applyFont="1" applyAlignment="1">
      <alignment vertical="center"/>
    </xf>
    <xf numFmtId="22" fontId="15" fillId="0" borderId="1" xfId="2" applyNumberFormat="1" applyFont="1" applyAlignment="1">
      <alignment horizontal="right" vertical="center"/>
    </xf>
    <xf numFmtId="0" fontId="2" fillId="0" borderId="1" xfId="2" applyAlignment="1">
      <alignment horizontal="right"/>
    </xf>
    <xf numFmtId="49" fontId="17" fillId="0" borderId="17" xfId="0" applyNumberFormat="1" applyFont="1" applyBorder="1" applyAlignment="1">
      <alignment horizontal="center" vertical="center"/>
    </xf>
    <xf numFmtId="49" fontId="17" fillId="0" borderId="18" xfId="0" applyNumberFormat="1" applyFont="1" applyBorder="1" applyAlignment="1">
      <alignment vertical="center"/>
    </xf>
    <xf numFmtId="0" fontId="17" fillId="0" borderId="17" xfId="0" applyFont="1" applyBorder="1" applyAlignment="1">
      <alignment horizontal="center" vertical="center"/>
    </xf>
    <xf numFmtId="49" fontId="17" fillId="0" borderId="18" xfId="0" applyNumberFormat="1" applyFont="1" applyBorder="1" applyAlignment="1">
      <alignment vertical="center" wrapText="1"/>
    </xf>
    <xf numFmtId="0" fontId="17" fillId="0" borderId="18" xfId="0" applyFont="1" applyBorder="1" applyAlignment="1">
      <alignment horizontal="center" vertical="center"/>
    </xf>
    <xf numFmtId="49" fontId="16" fillId="0" borderId="17" xfId="0" applyNumberFormat="1" applyFont="1" applyBorder="1" applyAlignment="1">
      <alignment horizontal="center" vertical="center"/>
    </xf>
    <xf numFmtId="49" fontId="16" fillId="9" borderId="20" xfId="0" applyNumberFormat="1" applyFont="1" applyFill="1" applyBorder="1" applyAlignment="1">
      <alignment horizontal="center" vertical="center"/>
    </xf>
    <xf numFmtId="49" fontId="16" fillId="9" borderId="21" xfId="0" applyNumberFormat="1" applyFont="1" applyFill="1" applyBorder="1" applyAlignment="1">
      <alignment vertical="center"/>
    </xf>
    <xf numFmtId="0" fontId="16" fillId="9" borderId="20" xfId="0" applyFont="1" applyFill="1" applyBorder="1" applyAlignment="1">
      <alignment horizontal="center" vertical="center"/>
    </xf>
    <xf numFmtId="165" fontId="17" fillId="9" borderId="20" xfId="0" applyNumberFormat="1" applyFont="1" applyFill="1" applyBorder="1" applyAlignment="1">
      <alignment horizontal="center" vertical="center"/>
    </xf>
    <xf numFmtId="49" fontId="16" fillId="9" borderId="17" xfId="0" applyNumberFormat="1" applyFont="1" applyFill="1" applyBorder="1" applyAlignment="1">
      <alignment horizontal="center" vertical="center"/>
    </xf>
    <xf numFmtId="49" fontId="16" fillId="9" borderId="18" xfId="0" applyNumberFormat="1" applyFont="1" applyFill="1" applyBorder="1" applyAlignment="1">
      <alignment vertical="center"/>
    </xf>
    <xf numFmtId="0" fontId="16" fillId="9" borderId="17" xfId="0" applyFont="1" applyFill="1" applyBorder="1" applyAlignment="1">
      <alignment horizontal="center" vertical="center"/>
    </xf>
    <xf numFmtId="165" fontId="16" fillId="9" borderId="17" xfId="0" applyNumberFormat="1" applyFont="1" applyFill="1" applyBorder="1" applyAlignment="1">
      <alignment horizontal="right" vertical="center"/>
    </xf>
    <xf numFmtId="49" fontId="17" fillId="9" borderId="18" xfId="0" applyNumberFormat="1" applyFont="1" applyFill="1" applyBorder="1" applyAlignment="1">
      <alignment vertical="center" wrapText="1"/>
    </xf>
    <xf numFmtId="0" fontId="17" fillId="9" borderId="17" xfId="0" applyFont="1" applyFill="1" applyBorder="1" applyAlignment="1">
      <alignment horizontal="center" vertical="center"/>
    </xf>
    <xf numFmtId="37" fontId="17" fillId="9" borderId="17" xfId="0" applyNumberFormat="1" applyFont="1" applyFill="1" applyBorder="1" applyAlignment="1">
      <alignment horizontal="right" vertical="center"/>
    </xf>
    <xf numFmtId="37" fontId="16" fillId="9" borderId="17" xfId="0" applyNumberFormat="1" applyFont="1" applyFill="1" applyBorder="1" applyAlignment="1">
      <alignment horizontal="right" vertical="center"/>
    </xf>
    <xf numFmtId="49" fontId="17" fillId="9" borderId="17" xfId="0" applyNumberFormat="1" applyFont="1" applyFill="1" applyBorder="1" applyAlignment="1">
      <alignment horizontal="center" vertical="center"/>
    </xf>
    <xf numFmtId="49" fontId="17" fillId="9" borderId="18" xfId="0" applyNumberFormat="1" applyFont="1" applyFill="1" applyBorder="1" applyAlignment="1">
      <alignment vertical="center"/>
    </xf>
    <xf numFmtId="49" fontId="16" fillId="9" borderId="18" xfId="0" applyNumberFormat="1" applyFont="1" applyFill="1" applyBorder="1" applyAlignment="1">
      <alignment vertical="center" wrapText="1"/>
    </xf>
    <xf numFmtId="49" fontId="17" fillId="0" borderId="18" xfId="0" quotePrefix="1" applyNumberFormat="1" applyFont="1" applyBorder="1" applyAlignment="1">
      <alignment horizontal="left" vertical="center" indent="5"/>
    </xf>
    <xf numFmtId="37" fontId="17" fillId="2" borderId="17" xfId="0" applyNumberFormat="1" applyFont="1" applyFill="1" applyBorder="1" applyAlignment="1">
      <alignment horizontal="right" vertical="center"/>
    </xf>
    <xf numFmtId="37" fontId="17" fillId="0" borderId="17" xfId="0" applyNumberFormat="1" applyFont="1" applyBorder="1" applyAlignment="1">
      <alignment horizontal="right" vertical="center"/>
    </xf>
    <xf numFmtId="37" fontId="17" fillId="0" borderId="19" xfId="0" applyNumberFormat="1" applyFont="1" applyBorder="1" applyAlignment="1">
      <alignment horizontal="right" vertical="center"/>
    </xf>
    <xf numFmtId="37" fontId="17" fillId="2" borderId="17" xfId="0" applyNumberFormat="1" applyFont="1" applyFill="1" applyBorder="1" applyAlignment="1">
      <alignment vertical="center"/>
    </xf>
    <xf numFmtId="37" fontId="17" fillId="9" borderId="20" xfId="0" applyNumberFormat="1" applyFont="1" applyFill="1" applyBorder="1" applyAlignment="1">
      <alignment horizontal="right" vertical="center"/>
    </xf>
    <xf numFmtId="3" fontId="16" fillId="0" borderId="17" xfId="0" applyNumberFormat="1" applyFont="1" applyBorder="1" applyAlignment="1">
      <alignment horizontal="center" vertical="center" wrapText="1"/>
    </xf>
    <xf numFmtId="0" fontId="16" fillId="0" borderId="17" xfId="0" applyFont="1" applyBorder="1" applyAlignment="1">
      <alignment vertical="center" wrapText="1"/>
    </xf>
    <xf numFmtId="0" fontId="16" fillId="0" borderId="17" xfId="0" applyFont="1" applyBorder="1" applyAlignment="1">
      <alignment horizontal="center" vertical="center" wrapText="1"/>
    </xf>
    <xf numFmtId="49" fontId="17" fillId="0" borderId="17" xfId="0" applyNumberFormat="1" applyFont="1" applyBorder="1" applyAlignment="1">
      <alignment horizontal="center" vertical="center" wrapText="1"/>
    </xf>
    <xf numFmtId="0" fontId="17" fillId="0" borderId="17" xfId="0" applyFont="1" applyBorder="1" applyAlignment="1">
      <alignment vertical="center" wrapText="1"/>
    </xf>
    <xf numFmtId="0" fontId="17" fillId="0" borderId="17" xfId="0" applyFont="1" applyBorder="1" applyAlignment="1">
      <alignment horizontal="center" vertical="center" wrapText="1"/>
    </xf>
    <xf numFmtId="49" fontId="16" fillId="0" borderId="17" xfId="0" applyNumberFormat="1" applyFont="1" applyBorder="1" applyAlignment="1">
      <alignment horizontal="center" vertical="center" wrapText="1"/>
    </xf>
    <xf numFmtId="0" fontId="18" fillId="3" borderId="17" xfId="0" applyFont="1" applyFill="1" applyBorder="1" applyAlignment="1">
      <alignment horizontal="center" vertical="center" wrapText="1"/>
    </xf>
    <xf numFmtId="49" fontId="19" fillId="3" borderId="17" xfId="0" applyNumberFormat="1" applyFont="1" applyFill="1" applyBorder="1" applyAlignment="1">
      <alignment horizontal="center" vertical="center" wrapText="1"/>
    </xf>
    <xf numFmtId="49" fontId="16" fillId="9" borderId="17" xfId="0" applyNumberFormat="1" applyFont="1" applyFill="1" applyBorder="1" applyAlignment="1">
      <alignment horizontal="center" vertical="center" wrapText="1"/>
    </xf>
    <xf numFmtId="0" fontId="16" fillId="9" borderId="17" xfId="0" applyFont="1" applyFill="1" applyBorder="1" applyAlignment="1">
      <alignment vertical="center" wrapText="1"/>
    </xf>
    <xf numFmtId="0" fontId="17" fillId="9" borderId="17" xfId="0" applyFont="1" applyFill="1" applyBorder="1" applyAlignment="1">
      <alignment horizontal="center" vertical="center" wrapText="1"/>
    </xf>
    <xf numFmtId="0" fontId="17" fillId="9" borderId="17" xfId="0" applyFont="1" applyFill="1" applyBorder="1" applyAlignment="1">
      <alignment horizontal="right" vertical="center" wrapText="1"/>
    </xf>
    <xf numFmtId="3" fontId="16" fillId="9" borderId="17" xfId="0" applyNumberFormat="1" applyFont="1" applyFill="1" applyBorder="1" applyAlignment="1">
      <alignment horizontal="center" vertical="center" wrapText="1"/>
    </xf>
    <xf numFmtId="0" fontId="16" fillId="9" borderId="17" xfId="0" applyFont="1" applyFill="1" applyBorder="1" applyAlignment="1">
      <alignment horizontal="center" vertical="center" wrapText="1"/>
    </xf>
    <xf numFmtId="3" fontId="17" fillId="2" borderId="17" xfId="0" applyNumberFormat="1" applyFont="1" applyFill="1" applyBorder="1" applyAlignment="1">
      <alignment horizontal="center" vertical="center" wrapText="1"/>
    </xf>
    <xf numFmtId="1" fontId="17" fillId="2" borderId="17" xfId="0" applyNumberFormat="1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 wrapText="1"/>
    </xf>
    <xf numFmtId="49" fontId="19" fillId="3" borderId="18" xfId="0" applyNumberFormat="1" applyFont="1" applyFill="1" applyBorder="1" applyAlignment="1">
      <alignment horizontal="center" vertical="center"/>
    </xf>
    <xf numFmtId="49" fontId="19" fillId="3" borderId="18" xfId="0" applyNumberFormat="1" applyFont="1" applyFill="1" applyBorder="1" applyAlignment="1">
      <alignment horizontal="center" vertical="center" wrapText="1"/>
    </xf>
    <xf numFmtId="0" fontId="16" fillId="9" borderId="18" xfId="0" applyFont="1" applyFill="1" applyBorder="1" applyAlignment="1">
      <alignment vertical="center" wrapText="1"/>
    </xf>
    <xf numFmtId="0" fontId="16" fillId="9" borderId="22" xfId="0" applyFont="1" applyFill="1" applyBorder="1" applyAlignment="1">
      <alignment vertical="center" wrapText="1"/>
    </xf>
    <xf numFmtId="49" fontId="19" fillId="3" borderId="23" xfId="0" applyNumberFormat="1" applyFont="1" applyFill="1" applyBorder="1" applyAlignment="1">
      <alignment horizontal="center" vertical="center" wrapText="1"/>
    </xf>
    <xf numFmtId="43" fontId="17" fillId="2" borderId="18" xfId="1" applyFont="1" applyFill="1" applyBorder="1" applyAlignment="1" applyProtection="1">
      <alignment vertical="center"/>
      <protection locked="0"/>
    </xf>
    <xf numFmtId="43" fontId="17" fillId="0" borderId="18" xfId="1" applyFont="1" applyBorder="1" applyAlignment="1" applyProtection="1">
      <alignment vertical="center"/>
      <protection locked="0"/>
    </xf>
    <xf numFmtId="43" fontId="16" fillId="2" borderId="5" xfId="1" applyFont="1" applyFill="1" applyBorder="1" applyAlignment="1">
      <alignment vertical="center"/>
    </xf>
    <xf numFmtId="43" fontId="17" fillId="2" borderId="18" xfId="1" applyFont="1" applyFill="1" applyBorder="1" applyAlignment="1">
      <alignment vertical="center"/>
    </xf>
    <xf numFmtId="43" fontId="17" fillId="2" borderId="18" xfId="1" applyFont="1" applyFill="1" applyBorder="1" applyAlignment="1">
      <alignment vertical="center" wrapText="1"/>
    </xf>
    <xf numFmtId="43" fontId="16" fillId="9" borderId="5" xfId="1" applyFont="1" applyFill="1" applyBorder="1" applyAlignment="1">
      <alignment vertical="center"/>
    </xf>
    <xf numFmtId="164" fontId="16" fillId="9" borderId="18" xfId="1" applyNumberFormat="1" applyFont="1" applyFill="1" applyBorder="1" applyAlignment="1">
      <alignment vertical="center"/>
    </xf>
    <xf numFmtId="164" fontId="16" fillId="9" borderId="5" xfId="1" applyNumberFormat="1" applyFont="1" applyFill="1" applyBorder="1" applyAlignment="1">
      <alignment vertical="center"/>
    </xf>
    <xf numFmtId="164" fontId="17" fillId="2" borderId="18" xfId="1" applyNumberFormat="1" applyFont="1" applyFill="1" applyBorder="1" applyAlignment="1" applyProtection="1">
      <alignment vertical="center"/>
    </xf>
    <xf numFmtId="37" fontId="16" fillId="0" borderId="17" xfId="0" applyNumberFormat="1" applyFont="1" applyBorder="1" applyAlignment="1">
      <alignment horizontal="right" vertical="center"/>
    </xf>
    <xf numFmtId="0" fontId="20" fillId="0" borderId="0" xfId="0" applyFont="1" applyAlignment="1">
      <alignment vertical="center"/>
    </xf>
    <xf numFmtId="0" fontId="22" fillId="11" borderId="5" xfId="0" applyFont="1" applyFill="1" applyBorder="1" applyAlignment="1">
      <alignment horizontal="center" vertical="center"/>
    </xf>
    <xf numFmtId="0" fontId="23" fillId="0" borderId="5" xfId="0" quotePrefix="1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164" fontId="24" fillId="0" borderId="5" xfId="4" applyNumberFormat="1" applyFont="1" applyBorder="1" applyAlignment="1">
      <alignment horizontal="center" vertical="center"/>
    </xf>
    <xf numFmtId="0" fontId="25" fillId="9" borderId="5" xfId="0" applyFont="1" applyFill="1" applyBorder="1" applyAlignment="1">
      <alignment horizontal="center" vertical="center"/>
    </xf>
    <xf numFmtId="0" fontId="24" fillId="9" borderId="5" xfId="0" applyFont="1" applyFill="1" applyBorder="1" applyAlignment="1">
      <alignment horizontal="center" vertical="center"/>
    </xf>
    <xf numFmtId="164" fontId="25" fillId="9" borderId="5" xfId="4" applyNumberFormat="1" applyFont="1" applyFill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164" fontId="25" fillId="9" borderId="5" xfId="0" applyNumberFormat="1" applyFont="1" applyFill="1" applyBorder="1" applyAlignment="1">
      <alignment horizontal="center" vertical="center"/>
    </xf>
    <xf numFmtId="0" fontId="27" fillId="0" borderId="0" xfId="0" applyFont="1" applyAlignment="1">
      <alignment vertical="center"/>
    </xf>
    <xf numFmtId="9" fontId="20" fillId="0" borderId="0" xfId="5" applyFont="1" applyAlignment="1">
      <alignment vertical="center"/>
    </xf>
    <xf numFmtId="0" fontId="28" fillId="0" borderId="0" xfId="0" applyFont="1" applyAlignment="1">
      <alignment vertical="center"/>
    </xf>
    <xf numFmtId="0" fontId="13" fillId="0" borderId="1" xfId="2" applyFont="1" applyAlignment="1">
      <alignment vertical="center"/>
    </xf>
    <xf numFmtId="0" fontId="13" fillId="0" borderId="1" xfId="2" applyFont="1" applyAlignment="1">
      <alignment horizontal="right" vertical="center"/>
    </xf>
    <xf numFmtId="0" fontId="13" fillId="0" borderId="1" xfId="2" applyFont="1" applyAlignment="1">
      <alignment horizontal="left" vertical="center"/>
    </xf>
    <xf numFmtId="0" fontId="23" fillId="4" borderId="12" xfId="3" applyFont="1" applyFill="1" applyBorder="1" applyAlignment="1">
      <alignment vertical="center"/>
    </xf>
    <xf numFmtId="0" fontId="23" fillId="4" borderId="12" xfId="3" applyFont="1" applyFill="1" applyBorder="1" applyAlignment="1">
      <alignment horizontal="center" vertical="center"/>
    </xf>
    <xf numFmtId="0" fontId="20" fillId="4" borderId="12" xfId="3" applyFont="1" applyFill="1" applyBorder="1" applyAlignment="1">
      <alignment vertical="center"/>
    </xf>
    <xf numFmtId="164" fontId="27" fillId="4" borderId="12" xfId="1" applyNumberFormat="1" applyFont="1" applyFill="1" applyBorder="1" applyAlignment="1">
      <alignment vertical="center"/>
    </xf>
    <xf numFmtId="0" fontId="23" fillId="5" borderId="5" xfId="3" applyFont="1" applyFill="1" applyBorder="1" applyAlignment="1">
      <alignment vertical="center"/>
    </xf>
    <xf numFmtId="0" fontId="23" fillId="5" borderId="5" xfId="3" applyFont="1" applyFill="1" applyBorder="1" applyAlignment="1">
      <alignment horizontal="center" vertical="center"/>
    </xf>
    <xf numFmtId="0" fontId="22" fillId="5" borderId="5" xfId="3" applyFont="1" applyFill="1" applyBorder="1" applyAlignment="1">
      <alignment horizontal="center" vertical="center"/>
    </xf>
    <xf numFmtId="164" fontId="22" fillId="5" borderId="5" xfId="3" applyNumberFormat="1" applyFont="1" applyFill="1" applyBorder="1" applyAlignment="1">
      <alignment horizontal="center" vertical="center"/>
    </xf>
    <xf numFmtId="0" fontId="22" fillId="0" borderId="5" xfId="3" applyFont="1" applyBorder="1" applyAlignment="1">
      <alignment vertical="center"/>
    </xf>
    <xf numFmtId="0" fontId="22" fillId="0" borderId="5" xfId="3" applyFont="1" applyBorder="1" applyAlignment="1">
      <alignment horizontal="center" vertical="center"/>
    </xf>
    <xf numFmtId="164" fontId="22" fillId="0" borderId="5" xfId="1" applyNumberFormat="1" applyFont="1" applyBorder="1" applyAlignment="1">
      <alignment horizontal="center" vertical="center"/>
    </xf>
    <xf numFmtId="0" fontId="30" fillId="0" borderId="5" xfId="3" applyFont="1" applyBorder="1" applyAlignment="1">
      <alignment vertical="center"/>
    </xf>
    <xf numFmtId="0" fontId="30" fillId="0" borderId="5" xfId="3" applyFont="1" applyBorder="1" applyAlignment="1">
      <alignment horizontal="center" vertical="center"/>
    </xf>
    <xf numFmtId="0" fontId="23" fillId="6" borderId="5" xfId="3" applyFont="1" applyFill="1" applyBorder="1" applyAlignment="1">
      <alignment vertical="center"/>
    </xf>
    <xf numFmtId="0" fontId="23" fillId="6" borderId="5" xfId="3" applyFont="1" applyFill="1" applyBorder="1" applyAlignment="1">
      <alignment horizontal="center" vertical="center"/>
    </xf>
    <xf numFmtId="0" fontId="22" fillId="6" borderId="5" xfId="3" applyFont="1" applyFill="1" applyBorder="1" applyAlignment="1">
      <alignment horizontal="center" vertical="center"/>
    </xf>
    <xf numFmtId="164" fontId="23" fillId="6" borderId="5" xfId="1" applyNumberFormat="1" applyFont="1" applyFill="1" applyBorder="1" applyAlignment="1">
      <alignment horizontal="center" vertical="center"/>
    </xf>
    <xf numFmtId="164" fontId="23" fillId="6" borderId="5" xfId="3" applyNumberFormat="1" applyFont="1" applyFill="1" applyBorder="1" applyAlignment="1">
      <alignment horizontal="center" vertical="center"/>
    </xf>
    <xf numFmtId="164" fontId="22" fillId="6" borderId="5" xfId="3" applyNumberFormat="1" applyFont="1" applyFill="1" applyBorder="1" applyAlignment="1">
      <alignment horizontal="center" vertical="center"/>
    </xf>
    <xf numFmtId="0" fontId="23" fillId="0" borderId="5" xfId="3" applyFont="1" applyBorder="1" applyAlignment="1">
      <alignment vertical="center"/>
    </xf>
    <xf numFmtId="0" fontId="23" fillId="0" borderId="5" xfId="3" applyFont="1" applyBorder="1" applyAlignment="1">
      <alignment horizontal="center" vertical="center"/>
    </xf>
    <xf numFmtId="0" fontId="22" fillId="6" borderId="5" xfId="3" applyFont="1" applyFill="1" applyBorder="1" applyAlignment="1">
      <alignment vertical="center"/>
    </xf>
    <xf numFmtId="164" fontId="23" fillId="6" borderId="5" xfId="1" applyNumberFormat="1" applyFont="1" applyFill="1" applyBorder="1" applyAlignment="1">
      <alignment vertical="center"/>
    </xf>
    <xf numFmtId="0" fontId="21" fillId="7" borderId="13" xfId="3" applyFont="1" applyFill="1" applyBorder="1" applyAlignment="1">
      <alignment horizontal="left" vertical="center" wrapText="1"/>
    </xf>
    <xf numFmtId="0" fontId="21" fillId="7" borderId="5" xfId="3" applyFont="1" applyFill="1" applyBorder="1" applyAlignment="1">
      <alignment horizontal="center" vertical="center"/>
    </xf>
    <xf numFmtId="164" fontId="21" fillId="7" borderId="5" xfId="4" applyNumberFormat="1" applyFont="1" applyFill="1" applyBorder="1" applyAlignment="1">
      <alignment horizontal="center" vertical="center"/>
    </xf>
    <xf numFmtId="164" fontId="23" fillId="6" borderId="5" xfId="3" applyNumberFormat="1" applyFont="1" applyFill="1" applyBorder="1" applyAlignment="1">
      <alignment vertical="center"/>
    </xf>
    <xf numFmtId="0" fontId="22" fillId="10" borderId="5" xfId="3" applyFont="1" applyFill="1" applyBorder="1" applyAlignment="1">
      <alignment vertical="center"/>
    </xf>
    <xf numFmtId="0" fontId="22" fillId="10" borderId="5" xfId="3" applyFont="1" applyFill="1" applyBorder="1" applyAlignment="1">
      <alignment horizontal="center" vertical="center"/>
    </xf>
    <xf numFmtId="164" fontId="22" fillId="10" borderId="5" xfId="1" applyNumberFormat="1" applyFont="1" applyFill="1" applyBorder="1" applyAlignment="1">
      <alignment vertical="center"/>
    </xf>
    <xf numFmtId="0" fontId="21" fillId="8" borderId="5" xfId="3" applyFont="1" applyFill="1" applyBorder="1" applyAlignment="1">
      <alignment vertical="center"/>
    </xf>
    <xf numFmtId="0" fontId="21" fillId="8" borderId="5" xfId="3" applyFont="1" applyFill="1" applyBorder="1" applyAlignment="1">
      <alignment horizontal="center" vertical="center"/>
    </xf>
    <xf numFmtId="0" fontId="29" fillId="8" borderId="5" xfId="3" applyFont="1" applyFill="1" applyBorder="1" applyAlignment="1">
      <alignment vertical="center"/>
    </xf>
    <xf numFmtId="164" fontId="21" fillId="8" borderId="5" xfId="3" applyNumberFormat="1" applyFont="1" applyFill="1" applyBorder="1" applyAlignment="1">
      <alignment vertical="center"/>
    </xf>
    <xf numFmtId="0" fontId="20" fillId="0" borderId="5" xfId="0" applyFont="1" applyBorder="1" applyAlignment="1">
      <alignment horizontal="center"/>
    </xf>
    <xf numFmtId="0" fontId="20" fillId="0" borderId="5" xfId="0" applyFont="1" applyBorder="1"/>
    <xf numFmtId="164" fontId="20" fillId="0" borderId="5" xfId="1" applyNumberFormat="1" applyFont="1" applyBorder="1"/>
    <xf numFmtId="0" fontId="21" fillId="7" borderId="5" xfId="0" applyFont="1" applyFill="1" applyBorder="1" applyAlignment="1">
      <alignment horizontal="center" vertical="center"/>
    </xf>
    <xf numFmtId="164" fontId="21" fillId="7" borderId="5" xfId="1" applyNumberFormat="1" applyFont="1" applyFill="1" applyBorder="1" applyAlignment="1">
      <alignment horizontal="center" vertical="center"/>
    </xf>
    <xf numFmtId="0" fontId="27" fillId="9" borderId="5" xfId="0" applyFont="1" applyFill="1" applyBorder="1" applyAlignment="1">
      <alignment vertical="center"/>
    </xf>
    <xf numFmtId="0" fontId="20" fillId="9" borderId="5" xfId="0" applyFont="1" applyFill="1" applyBorder="1" applyAlignment="1">
      <alignment horizontal="center"/>
    </xf>
    <xf numFmtId="164" fontId="20" fillId="9" borderId="5" xfId="1" applyNumberFormat="1" applyFont="1" applyFill="1" applyBorder="1"/>
    <xf numFmtId="0" fontId="20" fillId="0" borderId="5" xfId="0" applyFont="1" applyBorder="1" applyAlignment="1">
      <alignment vertical="center"/>
    </xf>
    <xf numFmtId="0" fontId="20" fillId="10" borderId="5" xfId="0" applyFont="1" applyFill="1" applyBorder="1" applyAlignment="1">
      <alignment vertical="center"/>
    </xf>
    <xf numFmtId="0" fontId="20" fillId="10" borderId="5" xfId="0" applyFont="1" applyFill="1" applyBorder="1" applyAlignment="1">
      <alignment horizontal="center"/>
    </xf>
    <xf numFmtId="164" fontId="20" fillId="10" borderId="5" xfId="1" applyNumberFormat="1" applyFont="1" applyFill="1" applyBorder="1"/>
    <xf numFmtId="0" fontId="21" fillId="8" borderId="5" xfId="0" applyFont="1" applyFill="1" applyBorder="1" applyAlignment="1">
      <alignment vertical="center"/>
    </xf>
    <xf numFmtId="0" fontId="31" fillId="11" borderId="5" xfId="0" applyFont="1" applyFill="1" applyBorder="1" applyAlignment="1">
      <alignment horizontal="center" vertical="center"/>
    </xf>
    <xf numFmtId="49" fontId="31" fillId="11" borderId="5" xfId="0" applyNumberFormat="1" applyFont="1" applyFill="1" applyBorder="1" applyAlignment="1">
      <alignment horizontal="center" vertical="center"/>
    </xf>
    <xf numFmtId="0" fontId="32" fillId="11" borderId="5" xfId="0" applyFont="1" applyFill="1" applyBorder="1" applyAlignment="1">
      <alignment horizontal="center" vertical="center"/>
    </xf>
    <xf numFmtId="0" fontId="33" fillId="0" borderId="0" xfId="0" applyFont="1" applyAlignment="1">
      <alignment vertical="center"/>
    </xf>
    <xf numFmtId="0" fontId="18" fillId="3" borderId="5" xfId="0" applyFont="1" applyFill="1" applyBorder="1" applyAlignment="1">
      <alignment horizontal="center" vertical="center" wrapText="1"/>
    </xf>
    <xf numFmtId="0" fontId="31" fillId="3" borderId="5" xfId="0" applyFont="1" applyFill="1" applyBorder="1" applyAlignment="1">
      <alignment horizontal="center" vertical="center"/>
    </xf>
    <xf numFmtId="49" fontId="31" fillId="3" borderId="5" xfId="0" applyNumberFormat="1" applyFont="1" applyFill="1" applyBorder="1" applyAlignment="1">
      <alignment horizontal="center" vertical="center"/>
    </xf>
    <xf numFmtId="0" fontId="31" fillId="3" borderId="5" xfId="0" applyFont="1" applyFill="1" applyBorder="1" applyAlignment="1">
      <alignment vertical="center"/>
    </xf>
    <xf numFmtId="0" fontId="34" fillId="3" borderId="5" xfId="0" applyFont="1" applyFill="1" applyBorder="1" applyAlignment="1">
      <alignment horizontal="center" vertical="center" wrapText="1"/>
    </xf>
    <xf numFmtId="0" fontId="34" fillId="3" borderId="5" xfId="0" applyFont="1" applyFill="1" applyBorder="1" applyAlignment="1">
      <alignment horizontal="center" vertical="center"/>
    </xf>
    <xf numFmtId="37" fontId="34" fillId="3" borderId="5" xfId="0" applyNumberFormat="1" applyFont="1" applyFill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49" fontId="31" fillId="0" borderId="5" xfId="0" applyNumberFormat="1" applyFont="1" applyBorder="1" applyAlignment="1">
      <alignment horizontal="center" vertical="center"/>
    </xf>
    <xf numFmtId="0" fontId="31" fillId="0" borderId="5" xfId="0" applyFont="1" applyBorder="1" applyAlignment="1">
      <alignment vertical="center"/>
    </xf>
    <xf numFmtId="0" fontId="31" fillId="0" borderId="5" xfId="0" applyFont="1" applyBorder="1" applyAlignment="1">
      <alignment vertical="center" wrapText="1"/>
    </xf>
    <xf numFmtId="37" fontId="31" fillId="2" borderId="5" xfId="0" applyNumberFormat="1" applyFont="1" applyFill="1" applyBorder="1" applyAlignment="1">
      <alignment vertical="center"/>
    </xf>
    <xf numFmtId="0" fontId="33" fillId="0" borderId="5" xfId="0" applyFont="1" applyBorder="1" applyAlignment="1">
      <alignment vertical="center"/>
    </xf>
    <xf numFmtId="37" fontId="33" fillId="0" borderId="5" xfId="0" applyNumberFormat="1" applyFont="1" applyBorder="1" applyAlignment="1">
      <alignment vertical="center"/>
    </xf>
    <xf numFmtId="0" fontId="31" fillId="2" borderId="5" xfId="0" applyFont="1" applyFill="1" applyBorder="1" applyAlignment="1">
      <alignment vertical="center"/>
    </xf>
    <xf numFmtId="0" fontId="31" fillId="2" borderId="5" xfId="0" applyFont="1" applyFill="1" applyBorder="1" applyAlignment="1">
      <alignment vertical="center" wrapText="1"/>
    </xf>
    <xf numFmtId="0" fontId="35" fillId="0" borderId="5" xfId="0" applyFont="1" applyBorder="1" applyAlignment="1">
      <alignment vertical="center"/>
    </xf>
    <xf numFmtId="0" fontId="36" fillId="0" borderId="5" xfId="0" applyFont="1" applyBorder="1" applyAlignment="1">
      <alignment vertical="center" wrapText="1"/>
    </xf>
    <xf numFmtId="49" fontId="31" fillId="0" borderId="5" xfId="0" quotePrefix="1" applyNumberFormat="1" applyFont="1" applyBorder="1" applyAlignment="1">
      <alignment horizontal="center" vertical="center"/>
    </xf>
    <xf numFmtId="0" fontId="32" fillId="3" borderId="5" xfId="0" applyFont="1" applyFill="1" applyBorder="1" applyAlignment="1">
      <alignment horizontal="center" vertical="center"/>
    </xf>
    <xf numFmtId="49" fontId="32" fillId="3" borderId="5" xfId="0" applyNumberFormat="1" applyFont="1" applyFill="1" applyBorder="1" applyAlignment="1">
      <alignment horizontal="center" vertical="center"/>
    </xf>
    <xf numFmtId="37" fontId="34" fillId="3" borderId="5" xfId="0" applyNumberFormat="1" applyFont="1" applyFill="1" applyBorder="1" applyAlignment="1">
      <alignment vertical="center"/>
    </xf>
    <xf numFmtId="0" fontId="37" fillId="3" borderId="5" xfId="0" applyFont="1" applyFill="1" applyBorder="1" applyAlignment="1">
      <alignment vertical="center"/>
    </xf>
    <xf numFmtId="0" fontId="27" fillId="9" borderId="5" xfId="0" applyFont="1" applyFill="1" applyBorder="1"/>
    <xf numFmtId="0" fontId="27" fillId="9" borderId="5" xfId="0" applyFont="1" applyFill="1" applyBorder="1" applyAlignment="1">
      <alignment horizontal="center"/>
    </xf>
    <xf numFmtId="164" fontId="27" fillId="9" borderId="5" xfId="1" applyNumberFormat="1" applyFont="1" applyFill="1" applyBorder="1"/>
    <xf numFmtId="22" fontId="15" fillId="0" borderId="1" xfId="2" applyNumberFormat="1" applyFont="1"/>
    <xf numFmtId="0" fontId="20" fillId="9" borderId="5" xfId="0" applyFont="1" applyFill="1" applyBorder="1"/>
    <xf numFmtId="0" fontId="1" fillId="0" borderId="0" xfId="0" applyFont="1" applyAlignment="1">
      <alignment vertical="center"/>
    </xf>
    <xf numFmtId="0" fontId="21" fillId="8" borderId="5" xfId="0" applyFont="1" applyFill="1" applyBorder="1" applyAlignment="1">
      <alignment horizontal="center" vertical="center"/>
    </xf>
    <xf numFmtId="164" fontId="21" fillId="8" borderId="5" xfId="1" applyNumberFormat="1" applyFont="1" applyFill="1" applyBorder="1" applyAlignment="1">
      <alignment vertical="center"/>
    </xf>
    <xf numFmtId="49" fontId="19" fillId="3" borderId="5" xfId="0" applyNumberFormat="1" applyFont="1" applyFill="1" applyBorder="1" applyAlignment="1">
      <alignment horizontal="center" vertical="center" wrapText="1"/>
    </xf>
    <xf numFmtId="164" fontId="17" fillId="2" borderId="5" xfId="1" applyNumberFormat="1" applyFont="1" applyFill="1" applyBorder="1" applyAlignment="1" applyProtection="1">
      <alignment vertical="center"/>
    </xf>
    <xf numFmtId="0" fontId="8" fillId="3" borderId="15" xfId="0" applyFont="1" applyFill="1" applyBorder="1" applyAlignment="1">
      <alignment horizontal="center" vertical="center" wrapText="1"/>
    </xf>
    <xf numFmtId="0" fontId="17" fillId="0" borderId="18" xfId="0" applyFont="1" applyBorder="1" applyAlignment="1">
      <alignment vertical="center" wrapText="1"/>
    </xf>
    <xf numFmtId="167" fontId="21" fillId="12" borderId="10" xfId="6" applyNumberFormat="1" applyFont="1" applyFill="1" applyBorder="1" applyAlignment="1">
      <alignment horizontal="center" vertical="center" readingOrder="1"/>
    </xf>
    <xf numFmtId="167" fontId="21" fillId="12" borderId="11" xfId="6" applyNumberFormat="1" applyFont="1" applyFill="1" applyBorder="1" applyAlignment="1">
      <alignment horizontal="center" vertical="center" readingOrder="1"/>
    </xf>
    <xf numFmtId="3" fontId="0" fillId="0" borderId="0" xfId="0" applyNumberFormat="1" applyAlignment="1">
      <alignment vertical="center"/>
    </xf>
    <xf numFmtId="3" fontId="39" fillId="9" borderId="3" xfId="0" applyNumberFormat="1" applyFont="1" applyFill="1" applyBorder="1" applyAlignment="1">
      <alignment horizontal="center" vertical="center"/>
    </xf>
    <xf numFmtId="3" fontId="39" fillId="9" borderId="4" xfId="0" applyNumberFormat="1" applyFont="1" applyFill="1" applyBorder="1" applyAlignment="1">
      <alignment horizontal="center" vertical="center"/>
    </xf>
    <xf numFmtId="0" fontId="33" fillId="9" borderId="2" xfId="0" applyFont="1" applyFill="1" applyBorder="1" applyAlignment="1">
      <alignment horizontal="center" vertical="center"/>
    </xf>
    <xf numFmtId="0" fontId="33" fillId="9" borderId="3" xfId="0" applyFont="1" applyFill="1" applyBorder="1" applyAlignment="1">
      <alignment horizontal="center" vertical="center"/>
    </xf>
    <xf numFmtId="0" fontId="40" fillId="0" borderId="0" xfId="0" applyFont="1" applyAlignment="1">
      <alignment vertical="center"/>
    </xf>
    <xf numFmtId="3" fontId="5" fillId="0" borderId="0" xfId="0" applyNumberFormat="1" applyFont="1" applyAlignment="1">
      <alignment vertical="center"/>
    </xf>
    <xf numFmtId="0" fontId="41" fillId="9" borderId="2" xfId="0" applyFont="1" applyFill="1" applyBorder="1" applyAlignment="1">
      <alignment horizontal="center" vertical="center"/>
    </xf>
    <xf numFmtId="0" fontId="41" fillId="9" borderId="3" xfId="0" applyFont="1" applyFill="1" applyBorder="1" applyAlignment="1">
      <alignment horizontal="center" vertical="center"/>
    </xf>
    <xf numFmtId="0" fontId="41" fillId="9" borderId="4" xfId="0" applyFont="1" applyFill="1" applyBorder="1" applyAlignment="1">
      <alignment vertical="center"/>
    </xf>
    <xf numFmtId="0" fontId="40" fillId="13" borderId="24" xfId="0" applyFont="1" applyFill="1" applyBorder="1" applyAlignment="1">
      <alignment vertical="center"/>
    </xf>
    <xf numFmtId="0" fontId="41" fillId="13" borderId="13" xfId="0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vertical="center"/>
    </xf>
    <xf numFmtId="0" fontId="33" fillId="9" borderId="3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34" fillId="14" borderId="12" xfId="0" applyFont="1" applyFill="1" applyBorder="1" applyAlignment="1">
      <alignment horizontal="right" vertical="center"/>
    </xf>
    <xf numFmtId="0" fontId="34" fillId="14" borderId="5" xfId="0" applyFont="1" applyFill="1" applyBorder="1" applyAlignment="1">
      <alignment horizontal="right" vertical="center" wrapText="1"/>
    </xf>
    <xf numFmtId="0" fontId="34" fillId="3" borderId="10" xfId="0" applyFont="1" applyFill="1" applyBorder="1" applyAlignment="1">
      <alignment horizontal="center" vertical="center"/>
    </xf>
    <xf numFmtId="0" fontId="34" fillId="3" borderId="11" xfId="0" applyFont="1" applyFill="1" applyBorder="1" applyAlignment="1">
      <alignment horizontal="center" vertical="center"/>
    </xf>
    <xf numFmtId="0" fontId="31" fillId="3" borderId="5" xfId="0" applyFont="1" applyFill="1" applyBorder="1" applyAlignment="1">
      <alignment horizontal="left" vertical="center"/>
    </xf>
    <xf numFmtId="0" fontId="31" fillId="0" borderId="5" xfId="0" applyFont="1" applyBorder="1" applyAlignment="1">
      <alignment horizontal="left" vertical="center"/>
    </xf>
    <xf numFmtId="0" fontId="35" fillId="0" borderId="5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4" fillId="10" borderId="5" xfId="0" applyFont="1" applyFill="1" applyBorder="1" applyAlignment="1">
      <alignment horizontal="center"/>
    </xf>
    <xf numFmtId="0" fontId="32" fillId="10" borderId="5" xfId="0" applyFont="1" applyFill="1" applyBorder="1" applyAlignment="1">
      <alignment horizontal="left" vertical="center"/>
    </xf>
    <xf numFmtId="0" fontId="32" fillId="10" borderId="5" xfId="0" applyFont="1" applyFill="1" applyBorder="1" applyAlignment="1">
      <alignment vertical="center" wrapText="1"/>
    </xf>
    <xf numFmtId="0" fontId="32" fillId="9" borderId="5" xfId="0" applyFont="1" applyFill="1" applyBorder="1" applyAlignment="1">
      <alignment horizontal="center" vertical="center"/>
    </xf>
    <xf numFmtId="49" fontId="32" fillId="9" borderId="5" xfId="0" applyNumberFormat="1" applyFont="1" applyFill="1" applyBorder="1" applyAlignment="1">
      <alignment horizontal="center" vertical="center"/>
    </xf>
    <xf numFmtId="0" fontId="32" fillId="9" borderId="5" xfId="0" applyFont="1" applyFill="1" applyBorder="1" applyAlignment="1">
      <alignment vertical="center"/>
    </xf>
    <xf numFmtId="0" fontId="32" fillId="9" borderId="5" xfId="0" applyFont="1" applyFill="1" applyBorder="1" applyAlignment="1">
      <alignment vertical="center" wrapText="1"/>
    </xf>
    <xf numFmtId="37" fontId="32" fillId="9" borderId="5" xfId="0" applyNumberFormat="1" applyFont="1" applyFill="1" applyBorder="1" applyAlignment="1">
      <alignment vertical="center"/>
    </xf>
    <xf numFmtId="49" fontId="32" fillId="9" borderId="5" xfId="0" quotePrefix="1" applyNumberFormat="1" applyFont="1" applyFill="1" applyBorder="1" applyAlignment="1">
      <alignment horizontal="center" vertical="center"/>
    </xf>
    <xf numFmtId="0" fontId="39" fillId="10" borderId="5" xfId="0" applyFont="1" applyFill="1" applyBorder="1" applyAlignment="1">
      <alignment vertical="center"/>
    </xf>
    <xf numFmtId="37" fontId="39" fillId="10" borderId="5" xfId="0" applyNumberFormat="1" applyFont="1" applyFill="1" applyBorder="1" applyAlignment="1">
      <alignment vertical="center"/>
    </xf>
    <xf numFmtId="164" fontId="4" fillId="10" borderId="5" xfId="1" applyNumberFormat="1" applyFont="1" applyFill="1" applyBorder="1"/>
    <xf numFmtId="164" fontId="0" fillId="0" borderId="5" xfId="1" applyNumberFormat="1" applyFont="1" applyBorder="1"/>
    <xf numFmtId="164" fontId="34" fillId="13" borderId="5" xfId="1" applyNumberFormat="1" applyFont="1" applyFill="1" applyBorder="1" applyAlignment="1">
      <alignment horizontal="center" vertical="center"/>
    </xf>
    <xf numFmtId="0" fontId="43" fillId="0" borderId="5" xfId="0" applyFont="1" applyBorder="1" applyAlignment="1">
      <alignment horizontal="center"/>
    </xf>
    <xf numFmtId="0" fontId="44" fillId="2" borderId="5" xfId="0" applyFont="1" applyFill="1" applyBorder="1" applyAlignment="1">
      <alignment horizontal="left" vertical="center"/>
    </xf>
    <xf numFmtId="0" fontId="44" fillId="2" borderId="5" xfId="0" applyFont="1" applyFill="1" applyBorder="1" applyAlignment="1">
      <alignment vertical="center" wrapText="1"/>
    </xf>
    <xf numFmtId="164" fontId="43" fillId="0" borderId="5" xfId="1" applyNumberFormat="1" applyFont="1" applyBorder="1"/>
    <xf numFmtId="164" fontId="1" fillId="10" borderId="0" xfId="1" applyNumberFormat="1" applyFont="1" applyFill="1" applyBorder="1" applyAlignment="1">
      <alignment horizontal="center"/>
    </xf>
    <xf numFmtId="164" fontId="0" fillId="9" borderId="0" xfId="1" applyNumberFormat="1" applyFont="1" applyFill="1"/>
    <xf numFmtId="164" fontId="0" fillId="0" borderId="0" xfId="0" applyNumberFormat="1"/>
    <xf numFmtId="168" fontId="23" fillId="0" borderId="5" xfId="0" quotePrefix="1" applyNumberFormat="1" applyFont="1" applyBorder="1" applyAlignment="1">
      <alignment horizontal="center" vertical="center"/>
    </xf>
    <xf numFmtId="168" fontId="25" fillId="9" borderId="5" xfId="0" applyNumberFormat="1" applyFont="1" applyFill="1" applyBorder="1" applyAlignment="1">
      <alignment horizontal="center" vertical="center"/>
    </xf>
    <xf numFmtId="168" fontId="23" fillId="0" borderId="5" xfId="0" applyNumberFormat="1" applyFont="1" applyBorder="1" applyAlignment="1">
      <alignment horizontal="center" vertical="center"/>
    </xf>
    <xf numFmtId="168" fontId="22" fillId="0" borderId="5" xfId="0" applyNumberFormat="1" applyFont="1" applyBorder="1" applyAlignment="1">
      <alignment horizontal="center" vertical="center"/>
    </xf>
    <xf numFmtId="0" fontId="11" fillId="0" borderId="0" xfId="0" applyFont="1"/>
    <xf numFmtId="0" fontId="47" fillId="15" borderId="0" xfId="0" applyFont="1" applyFill="1" applyAlignment="1">
      <alignment vertical="center"/>
    </xf>
    <xf numFmtId="0" fontId="11" fillId="15" borderId="0" xfId="0" applyFont="1" applyFill="1"/>
    <xf numFmtId="0" fontId="10" fillId="0" borderId="0" xfId="0" applyFont="1"/>
    <xf numFmtId="0" fontId="10" fillId="16" borderId="0" xfId="0" applyFont="1" applyFill="1"/>
    <xf numFmtId="0" fontId="48" fillId="16" borderId="0" xfId="0" applyFont="1" applyFill="1"/>
    <xf numFmtId="0" fontId="11" fillId="16" borderId="0" xfId="0" applyFont="1" applyFill="1"/>
    <xf numFmtId="0" fontId="48" fillId="16" borderId="0" xfId="0" applyFont="1" applyFill="1" applyAlignment="1">
      <alignment horizontal="right"/>
    </xf>
    <xf numFmtId="0" fontId="49" fillId="16" borderId="0" xfId="0" applyFont="1" applyFill="1"/>
    <xf numFmtId="0" fontId="45" fillId="0" borderId="0" xfId="0" applyFont="1" applyAlignment="1">
      <alignment horizontal="center"/>
    </xf>
    <xf numFmtId="0" fontId="45" fillId="16" borderId="0" xfId="0" applyFont="1" applyFill="1" applyAlignment="1">
      <alignment horizontal="center"/>
    </xf>
    <xf numFmtId="0" fontId="50" fillId="3" borderId="5" xfId="0" applyFont="1" applyFill="1" applyBorder="1" applyAlignment="1">
      <alignment vertical="center"/>
    </xf>
    <xf numFmtId="0" fontId="46" fillId="15" borderId="0" xfId="0" applyFont="1" applyFill="1"/>
    <xf numFmtId="0" fontId="48" fillId="16" borderId="33" xfId="0" applyFont="1" applyFill="1" applyBorder="1" applyAlignment="1">
      <alignment horizontal="right"/>
    </xf>
    <xf numFmtId="0" fontId="48" fillId="16" borderId="33" xfId="0" applyFont="1" applyFill="1" applyBorder="1"/>
    <xf numFmtId="0" fontId="10" fillId="16" borderId="33" xfId="0" applyFont="1" applyFill="1" applyBorder="1"/>
    <xf numFmtId="0" fontId="11" fillId="16" borderId="33" xfId="0" applyFont="1" applyFill="1" applyBorder="1"/>
    <xf numFmtId="0" fontId="0" fillId="0" borderId="33" xfId="0" applyBorder="1"/>
    <xf numFmtId="0" fontId="48" fillId="16" borderId="34" xfId="0" applyFont="1" applyFill="1" applyBorder="1" applyAlignment="1">
      <alignment horizontal="right"/>
    </xf>
    <xf numFmtId="0" fontId="45" fillId="16" borderId="34" xfId="0" applyFont="1" applyFill="1" applyBorder="1" applyAlignment="1">
      <alignment horizontal="center"/>
    </xf>
    <xf numFmtId="0" fontId="48" fillId="16" borderId="34" xfId="0" applyFont="1" applyFill="1" applyBorder="1"/>
    <xf numFmtId="0" fontId="10" fillId="16" borderId="34" xfId="0" applyFont="1" applyFill="1" applyBorder="1"/>
    <xf numFmtId="0" fontId="11" fillId="16" borderId="34" xfId="0" applyFont="1" applyFill="1" applyBorder="1"/>
    <xf numFmtId="0" fontId="0" fillId="0" borderId="34" xfId="0" applyBorder="1"/>
    <xf numFmtId="0" fontId="0" fillId="0" borderId="35" xfId="0" applyBorder="1"/>
    <xf numFmtId="22" fontId="14" fillId="0" borderId="1" xfId="2" applyNumberFormat="1" applyFont="1"/>
    <xf numFmtId="0" fontId="41" fillId="3" borderId="14" xfId="0" applyFont="1" applyFill="1" applyBorder="1" applyAlignment="1">
      <alignment horizontal="center" vertical="center"/>
    </xf>
    <xf numFmtId="0" fontId="41" fillId="3" borderId="15" xfId="0" applyFont="1" applyFill="1" applyBorder="1" applyAlignment="1">
      <alignment horizontal="center" vertical="center"/>
    </xf>
    <xf numFmtId="0" fontId="41" fillId="3" borderId="16" xfId="0" applyFont="1" applyFill="1" applyBorder="1" applyAlignment="1">
      <alignment horizontal="center" vertical="center"/>
    </xf>
    <xf numFmtId="9" fontId="17" fillId="2" borderId="17" xfId="5" applyFont="1" applyFill="1" applyBorder="1" applyAlignment="1" applyProtection="1">
      <alignment vertical="center"/>
    </xf>
    <xf numFmtId="0" fontId="45" fillId="13" borderId="0" xfId="0" applyFont="1" applyFill="1"/>
    <xf numFmtId="164" fontId="45" fillId="13" borderId="0" xfId="1" applyNumberFormat="1" applyFont="1" applyFill="1"/>
    <xf numFmtId="0" fontId="0" fillId="4" borderId="0" xfId="0" applyFill="1" applyAlignment="1">
      <alignment vertical="center"/>
    </xf>
    <xf numFmtId="0" fontId="0" fillId="9" borderId="0" xfId="0" applyFill="1" applyAlignment="1">
      <alignment vertical="center"/>
    </xf>
    <xf numFmtId="0" fontId="34" fillId="3" borderId="6" xfId="0" applyFont="1" applyFill="1" applyBorder="1" applyAlignment="1">
      <alignment horizontal="center" vertical="center"/>
    </xf>
    <xf numFmtId="0" fontId="34" fillId="3" borderId="9" xfId="0" applyFont="1" applyFill="1" applyBorder="1" applyAlignment="1">
      <alignment horizontal="center" vertical="center"/>
    </xf>
    <xf numFmtId="0" fontId="34" fillId="3" borderId="7" xfId="0" applyFont="1" applyFill="1" applyBorder="1" applyAlignment="1">
      <alignment horizontal="center" vertical="center" wrapText="1"/>
    </xf>
    <xf numFmtId="0" fontId="34" fillId="3" borderId="7" xfId="0" applyFont="1" applyFill="1" applyBorder="1" applyAlignment="1">
      <alignment horizontal="center" vertical="center"/>
    </xf>
    <xf numFmtId="0" fontId="34" fillId="3" borderId="8" xfId="0" applyFont="1" applyFill="1" applyBorder="1" applyAlignment="1">
      <alignment horizontal="center" vertical="center"/>
    </xf>
    <xf numFmtId="0" fontId="21" fillId="7" borderId="5" xfId="0" applyFont="1" applyFill="1" applyBorder="1" applyAlignment="1">
      <alignment horizontal="left" vertical="center"/>
    </xf>
    <xf numFmtId="0" fontId="51" fillId="0" borderId="0" xfId="0" applyFont="1" applyAlignment="1">
      <alignment vertical="center"/>
    </xf>
    <xf numFmtId="0" fontId="21" fillId="3" borderId="14" xfId="0" applyFont="1" applyFill="1" applyBorder="1" applyAlignment="1">
      <alignment horizontal="center" vertical="center"/>
    </xf>
    <xf numFmtId="0" fontId="21" fillId="3" borderId="15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3" fillId="0" borderId="5" xfId="0" applyFont="1" applyBorder="1" applyAlignment="1">
      <alignment vertical="center"/>
    </xf>
    <xf numFmtId="164" fontId="25" fillId="0" borderId="5" xfId="1" applyNumberFormat="1" applyFont="1" applyBorder="1" applyAlignment="1" applyProtection="1">
      <alignment vertical="center"/>
      <protection locked="0"/>
    </xf>
    <xf numFmtId="0" fontId="25" fillId="9" borderId="5" xfId="0" applyFont="1" applyFill="1" applyBorder="1" applyAlignment="1">
      <alignment vertical="center"/>
    </xf>
    <xf numFmtId="0" fontId="26" fillId="0" borderId="5" xfId="0" applyFont="1" applyBorder="1" applyAlignment="1">
      <alignment horizontal="left" vertical="center" indent="1"/>
    </xf>
    <xf numFmtId="0" fontId="25" fillId="9" borderId="5" xfId="0" applyFont="1" applyFill="1" applyBorder="1" applyAlignment="1">
      <alignment horizontal="left" vertical="center"/>
    </xf>
    <xf numFmtId="164" fontId="25" fillId="0" borderId="5" xfId="1" applyNumberFormat="1" applyFont="1" applyBorder="1" applyAlignment="1" applyProtection="1">
      <alignment vertical="center"/>
    </xf>
    <xf numFmtId="164" fontId="25" fillId="9" borderId="5" xfId="1" applyNumberFormat="1" applyFont="1" applyFill="1" applyBorder="1" applyAlignment="1" applyProtection="1">
      <alignment vertical="center"/>
    </xf>
    <xf numFmtId="0" fontId="52" fillId="0" borderId="0" xfId="2" applyFont="1" applyBorder="1" applyAlignment="1">
      <alignment vertical="top"/>
    </xf>
    <xf numFmtId="164" fontId="25" fillId="0" borderId="5" xfId="4" applyNumberFormat="1" applyFont="1" applyBorder="1" applyAlignment="1">
      <alignment horizontal="center" vertical="center"/>
    </xf>
    <xf numFmtId="0" fontId="2" fillId="0" borderId="1" xfId="2" applyAlignment="1"/>
    <xf numFmtId="0" fontId="55" fillId="0" borderId="5" xfId="0" applyFont="1" applyBorder="1" applyAlignment="1">
      <alignment vertical="center" wrapText="1"/>
    </xf>
    <xf numFmtId="49" fontId="56" fillId="0" borderId="5" xfId="0" applyNumberFormat="1" applyFont="1" applyBorder="1" applyAlignment="1">
      <alignment vertical="center" wrapText="1"/>
    </xf>
    <xf numFmtId="37" fontId="55" fillId="0" borderId="5" xfId="0" applyNumberFormat="1" applyFont="1" applyBorder="1" applyAlignment="1" applyProtection="1">
      <alignment vertical="center"/>
      <protection locked="0"/>
    </xf>
    <xf numFmtId="0" fontId="53" fillId="0" borderId="5" xfId="0" applyFont="1" applyBorder="1" applyAlignment="1">
      <alignment vertical="center" wrapText="1"/>
    </xf>
    <xf numFmtId="49" fontId="54" fillId="0" borderId="5" xfId="0" applyNumberFormat="1" applyFont="1" applyBorder="1" applyAlignment="1">
      <alignment vertical="center" wrapText="1"/>
    </xf>
    <xf numFmtId="37" fontId="53" fillId="0" borderId="5" xfId="0" applyNumberFormat="1" applyFont="1" applyBorder="1" applyAlignment="1" applyProtection="1">
      <alignment vertical="center"/>
      <protection locked="0"/>
    </xf>
    <xf numFmtId="0" fontId="53" fillId="10" borderId="5" xfId="0" applyFont="1" applyFill="1" applyBorder="1" applyAlignment="1">
      <alignment vertical="center" wrapText="1"/>
    </xf>
    <xf numFmtId="49" fontId="53" fillId="10" borderId="5" xfId="0" applyNumberFormat="1" applyFont="1" applyFill="1" applyBorder="1" applyAlignment="1">
      <alignment horizontal="center" vertical="center" wrapText="1"/>
    </xf>
    <xf numFmtId="3" fontId="53" fillId="10" borderId="5" xfId="0" applyNumberFormat="1" applyFont="1" applyFill="1" applyBorder="1" applyAlignment="1">
      <alignment vertical="center"/>
    </xf>
    <xf numFmtId="0" fontId="57" fillId="10" borderId="5" xfId="0" applyFont="1" applyFill="1" applyBorder="1" applyAlignment="1">
      <alignment vertical="center" wrapText="1"/>
    </xf>
    <xf numFmtId="49" fontId="57" fillId="10" borderId="5" xfId="0" applyNumberFormat="1" applyFont="1" applyFill="1" applyBorder="1" applyAlignment="1">
      <alignment vertical="center" wrapText="1"/>
    </xf>
    <xf numFmtId="37" fontId="57" fillId="10" borderId="5" xfId="0" applyNumberFormat="1" applyFont="1" applyFill="1" applyBorder="1" applyAlignment="1">
      <alignment vertical="center"/>
    </xf>
    <xf numFmtId="3" fontId="53" fillId="10" borderId="5" xfId="0" applyNumberFormat="1" applyFont="1" applyFill="1" applyBorder="1" applyAlignment="1">
      <alignment vertical="center" wrapText="1"/>
    </xf>
    <xf numFmtId="49" fontId="53" fillId="10" borderId="5" xfId="0" applyNumberFormat="1" applyFont="1" applyFill="1" applyBorder="1" applyAlignment="1">
      <alignment vertical="center" wrapText="1"/>
    </xf>
    <xf numFmtId="37" fontId="53" fillId="10" borderId="5" xfId="0" applyNumberFormat="1" applyFont="1" applyFill="1" applyBorder="1" applyAlignment="1">
      <alignment vertical="center"/>
    </xf>
    <xf numFmtId="49" fontId="56" fillId="10" borderId="5" xfId="0" applyNumberFormat="1" applyFont="1" applyFill="1" applyBorder="1" applyAlignment="1">
      <alignment vertical="center" wrapText="1"/>
    </xf>
    <xf numFmtId="49" fontId="18" fillId="3" borderId="6" xfId="0" applyNumberFormat="1" applyFont="1" applyFill="1" applyBorder="1" applyAlignment="1">
      <alignment horizontal="center" vertical="center"/>
    </xf>
    <xf numFmtId="49" fontId="18" fillId="3" borderId="7" xfId="0" applyNumberFormat="1" applyFont="1" applyFill="1" applyBorder="1" applyAlignment="1">
      <alignment horizontal="center" vertical="center" wrapText="1"/>
    </xf>
    <xf numFmtId="49" fontId="18" fillId="3" borderId="7" xfId="0" applyNumberFormat="1" applyFont="1" applyFill="1" applyBorder="1" applyAlignment="1">
      <alignment horizontal="center" vertical="center"/>
    </xf>
    <xf numFmtId="49" fontId="18" fillId="3" borderId="8" xfId="0" applyNumberFormat="1" applyFont="1" applyFill="1" applyBorder="1" applyAlignment="1">
      <alignment horizontal="center" vertical="center"/>
    </xf>
    <xf numFmtId="49" fontId="18" fillId="3" borderId="9" xfId="0" applyNumberFormat="1" applyFont="1" applyFill="1" applyBorder="1" applyAlignment="1">
      <alignment horizontal="center" vertical="center" wrapText="1"/>
    </xf>
    <xf numFmtId="49" fontId="18" fillId="3" borderId="10" xfId="0" applyNumberFormat="1" applyFont="1" applyFill="1" applyBorder="1" applyAlignment="1">
      <alignment horizontal="center" vertical="center" wrapText="1"/>
    </xf>
    <xf numFmtId="49" fontId="18" fillId="3" borderId="10" xfId="0" applyNumberFormat="1" applyFont="1" applyFill="1" applyBorder="1" applyAlignment="1">
      <alignment horizontal="center" vertical="center"/>
    </xf>
    <xf numFmtId="49" fontId="18" fillId="3" borderId="11" xfId="0" applyNumberFormat="1" applyFont="1" applyFill="1" applyBorder="1" applyAlignment="1">
      <alignment horizontal="center" vertical="center"/>
    </xf>
    <xf numFmtId="0" fontId="58" fillId="0" borderId="0" xfId="0" applyFont="1"/>
    <xf numFmtId="0" fontId="58" fillId="0" borderId="0" xfId="0" applyFont="1" applyAlignment="1">
      <alignment horizontal="center"/>
    </xf>
    <xf numFmtId="168" fontId="56" fillId="0" borderId="5" xfId="0" applyNumberFormat="1" applyFont="1" applyBorder="1" applyAlignment="1">
      <alignment horizontal="center" vertical="center" wrapText="1"/>
    </xf>
    <xf numFmtId="168" fontId="53" fillId="10" borderId="5" xfId="0" applyNumberFormat="1" applyFont="1" applyFill="1" applyBorder="1" applyAlignment="1">
      <alignment horizontal="center" vertical="center" wrapText="1"/>
    </xf>
    <xf numFmtId="168" fontId="55" fillId="0" borderId="5" xfId="0" applyNumberFormat="1" applyFont="1" applyBorder="1" applyAlignment="1">
      <alignment horizontal="center" vertical="center" wrapText="1"/>
    </xf>
    <xf numFmtId="168" fontId="53" fillId="0" borderId="5" xfId="0" applyNumberFormat="1" applyFont="1" applyBorder="1" applyAlignment="1">
      <alignment horizontal="center" vertical="center" wrapText="1"/>
    </xf>
    <xf numFmtId="168" fontId="54" fillId="10" borderId="5" xfId="0" applyNumberFormat="1" applyFont="1" applyFill="1" applyBorder="1" applyAlignment="1">
      <alignment horizontal="center" vertical="center" wrapText="1"/>
    </xf>
    <xf numFmtId="0" fontId="2" fillId="0" borderId="0" xfId="2" applyBorder="1"/>
    <xf numFmtId="14" fontId="0" fillId="0" borderId="0" xfId="0" applyNumberFormat="1"/>
    <xf numFmtId="0" fontId="0" fillId="0" borderId="0" xfId="0" applyAlignment="1">
      <alignment horizontal="right"/>
    </xf>
    <xf numFmtId="164" fontId="0" fillId="0" borderId="0" xfId="1" applyNumberFormat="1" applyFont="1"/>
    <xf numFmtId="0" fontId="27" fillId="0" borderId="5" xfId="0" applyFont="1" applyBorder="1" applyAlignment="1">
      <alignment horizontal="center" vertical="center"/>
    </xf>
    <xf numFmtId="0" fontId="59" fillId="0" borderId="0" xfId="0" applyFont="1" applyAlignment="1">
      <alignment vertical="center"/>
    </xf>
    <xf numFmtId="0" fontId="27" fillId="0" borderId="5" xfId="0" applyFont="1" applyBorder="1" applyAlignment="1">
      <alignment horizontal="center" vertical="center" wrapText="1"/>
    </xf>
    <xf numFmtId="164" fontId="20" fillId="0" borderId="5" xfId="1" applyNumberFormat="1" applyFont="1" applyBorder="1" applyAlignment="1">
      <alignment vertical="center"/>
    </xf>
    <xf numFmtId="164" fontId="27" fillId="9" borderId="5" xfId="1" applyNumberFormat="1" applyFont="1" applyFill="1" applyBorder="1" applyAlignment="1">
      <alignment vertical="center"/>
    </xf>
    <xf numFmtId="0" fontId="20" fillId="0" borderId="0" xfId="0" applyFont="1" applyAlignment="1">
      <alignment vertical="top"/>
    </xf>
    <xf numFmtId="0" fontId="60" fillId="0" borderId="1" xfId="2" applyFont="1" applyAlignment="1">
      <alignment vertical="center"/>
    </xf>
    <xf numFmtId="0" fontId="60" fillId="0" borderId="1" xfId="2" applyFont="1" applyAlignment="1">
      <alignment horizontal="right" vertical="center"/>
    </xf>
    <xf numFmtId="0" fontId="20" fillId="0" borderId="0" xfId="0" applyFont="1" applyAlignment="1">
      <alignment horizontal="right" vertical="center"/>
    </xf>
    <xf numFmtId="16" fontId="20" fillId="0" borderId="0" xfId="0" applyNumberFormat="1" applyFont="1" applyAlignment="1">
      <alignment vertical="center"/>
    </xf>
    <xf numFmtId="49" fontId="20" fillId="0" borderId="0" xfId="0" quotePrefix="1" applyNumberFormat="1" applyFont="1" applyAlignment="1">
      <alignment vertical="center"/>
    </xf>
    <xf numFmtId="49" fontId="61" fillId="0" borderId="0" xfId="0" quotePrefix="1" applyNumberFormat="1" applyFont="1" applyAlignment="1">
      <alignment horizontal="left" vertical="center"/>
    </xf>
    <xf numFmtId="49" fontId="20" fillId="0" borderId="0" xfId="0" applyNumberFormat="1" applyFont="1" applyAlignment="1">
      <alignment vertical="center"/>
    </xf>
    <xf numFmtId="49" fontId="61" fillId="0" borderId="0" xfId="0" applyNumberFormat="1" applyFont="1" applyAlignment="1">
      <alignment horizontal="left" vertical="center"/>
    </xf>
    <xf numFmtId="0" fontId="27" fillId="9" borderId="2" xfId="0" applyFont="1" applyFill="1" applyBorder="1" applyAlignment="1">
      <alignment vertical="center"/>
    </xf>
    <xf numFmtId="0" fontId="27" fillId="9" borderId="36" xfId="0" applyFont="1" applyFill="1" applyBorder="1" applyAlignment="1">
      <alignment vertical="center"/>
    </xf>
    <xf numFmtId="0" fontId="27" fillId="9" borderId="4" xfId="0" applyFont="1" applyFill="1" applyBorder="1" applyAlignment="1">
      <alignment vertical="center"/>
    </xf>
    <xf numFmtId="0" fontId="27" fillId="9" borderId="5" xfId="0" applyFont="1" applyFill="1" applyBorder="1" applyAlignment="1">
      <alignment horizontal="center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vertical="center"/>
    </xf>
    <xf numFmtId="0" fontId="20" fillId="0" borderId="4" xfId="0" applyFont="1" applyBorder="1" applyAlignment="1">
      <alignment vertical="center"/>
    </xf>
    <xf numFmtId="0" fontId="20" fillId="9" borderId="36" xfId="0" applyFont="1" applyFill="1" applyBorder="1" applyAlignment="1">
      <alignment vertical="center"/>
    </xf>
    <xf numFmtId="0" fontId="20" fillId="0" borderId="2" xfId="0" applyFont="1" applyBorder="1" applyAlignment="1">
      <alignment horizontal="left" vertical="center" indent="1"/>
    </xf>
    <xf numFmtId="0" fontId="20" fillId="0" borderId="2" xfId="0" applyFont="1" applyBorder="1" applyAlignment="1">
      <alignment horizontal="left" vertical="center" indent="2"/>
    </xf>
    <xf numFmtId="0" fontId="20" fillId="0" borderId="36" xfId="0" applyFont="1" applyBorder="1" applyAlignment="1">
      <alignment horizontal="left" vertical="center" indent="1"/>
    </xf>
    <xf numFmtId="0" fontId="20" fillId="9" borderId="4" xfId="0" applyFont="1" applyFill="1" applyBorder="1" applyAlignment="1">
      <alignment vertical="center"/>
    </xf>
    <xf numFmtId="0" fontId="27" fillId="0" borderId="2" xfId="0" applyFont="1" applyBorder="1" applyAlignment="1">
      <alignment vertical="center"/>
    </xf>
    <xf numFmtId="0" fontId="27" fillId="0" borderId="36" xfId="0" applyFont="1" applyBorder="1" applyAlignment="1">
      <alignment vertical="center"/>
    </xf>
    <xf numFmtId="0" fontId="20" fillId="0" borderId="36" xfId="0" quotePrefix="1" applyFont="1" applyBorder="1" applyAlignment="1">
      <alignment vertical="center"/>
    </xf>
    <xf numFmtId="0" fontId="61" fillId="0" borderId="36" xfId="0" quotePrefix="1" applyFont="1" applyBorder="1" applyAlignment="1">
      <alignment horizontal="left" vertical="center" indent="1"/>
    </xf>
    <xf numFmtId="0" fontId="20" fillId="0" borderId="2" xfId="0" quotePrefix="1" applyFont="1" applyBorder="1" applyAlignment="1">
      <alignment horizontal="left" vertical="center" indent="1"/>
    </xf>
    <xf numFmtId="164" fontId="20" fillId="0" borderId="4" xfId="1" applyNumberFormat="1" applyFont="1" applyBorder="1" applyAlignment="1">
      <alignment vertical="center"/>
    </xf>
    <xf numFmtId="0" fontId="20" fillId="0" borderId="37" xfId="0" applyFont="1" applyBorder="1" applyAlignment="1">
      <alignment vertical="center"/>
    </xf>
    <xf numFmtId="0" fontId="20" fillId="0" borderId="24" xfId="0" applyFont="1" applyBorder="1" applyAlignment="1">
      <alignment vertical="center"/>
    </xf>
    <xf numFmtId="0" fontId="20" fillId="0" borderId="25" xfId="0" applyFont="1" applyBorder="1" applyAlignment="1">
      <alignment vertical="center"/>
    </xf>
    <xf numFmtId="0" fontId="20" fillId="0" borderId="38" xfId="0" applyFont="1" applyBorder="1" applyAlignment="1">
      <alignment vertical="center"/>
    </xf>
    <xf numFmtId="0" fontId="20" fillId="0" borderId="26" xfId="0" applyFont="1" applyBorder="1" applyAlignment="1">
      <alignment vertical="center"/>
    </xf>
    <xf numFmtId="0" fontId="20" fillId="0" borderId="39" xfId="0" applyFont="1" applyBorder="1" applyAlignment="1">
      <alignment vertical="center"/>
    </xf>
    <xf numFmtId="0" fontId="20" fillId="0" borderId="40" xfId="0" applyFont="1" applyBorder="1" applyAlignment="1">
      <alignment vertical="center"/>
    </xf>
    <xf numFmtId="0" fontId="20" fillId="0" borderId="41" xfId="0" applyFont="1" applyBorder="1" applyAlignment="1">
      <alignment vertical="center"/>
    </xf>
    <xf numFmtId="0" fontId="27" fillId="9" borderId="37" xfId="0" applyFont="1" applyFill="1" applyBorder="1" applyAlignment="1">
      <alignment vertical="center"/>
    </xf>
    <xf numFmtId="0" fontId="20" fillId="9" borderId="24" xfId="0" applyFont="1" applyFill="1" applyBorder="1" applyAlignment="1">
      <alignment vertical="center"/>
    </xf>
    <xf numFmtId="49" fontId="20" fillId="0" borderId="2" xfId="0" quotePrefix="1" applyNumberFormat="1" applyFont="1" applyBorder="1" applyAlignment="1">
      <alignment horizontal="left" vertical="center" indent="1"/>
    </xf>
    <xf numFmtId="49" fontId="20" fillId="0" borderId="2" xfId="0" quotePrefix="1" applyNumberFormat="1" applyFont="1" applyBorder="1" applyAlignment="1">
      <alignment horizontal="left" vertical="center" indent="2"/>
    </xf>
    <xf numFmtId="0" fontId="63" fillId="0" borderId="1" xfId="2" applyFont="1" applyAlignment="1">
      <alignment vertical="center"/>
    </xf>
    <xf numFmtId="0" fontId="2" fillId="0" borderId="1" xfId="2" applyAlignment="1">
      <alignment horizontal="right" vertical="center"/>
    </xf>
    <xf numFmtId="0" fontId="2" fillId="0" borderId="1" xfId="2" applyAlignment="1">
      <alignment horizontal="left" vertical="center"/>
    </xf>
    <xf numFmtId="169" fontId="60" fillId="0" borderId="1" xfId="2" applyNumberFormat="1" applyFont="1" applyAlignment="1">
      <alignment horizontal="right" vertical="center"/>
    </xf>
    <xf numFmtId="164" fontId="20" fillId="0" borderId="5" xfId="1" applyNumberFormat="1" applyFont="1" applyBorder="1" applyAlignment="1">
      <alignment horizontal="center" vertical="center"/>
    </xf>
    <xf numFmtId="37" fontId="20" fillId="0" borderId="5" xfId="0" applyNumberFormat="1" applyFont="1" applyBorder="1" applyAlignment="1">
      <alignment vertical="center"/>
    </xf>
    <xf numFmtId="43" fontId="20" fillId="0" borderId="5" xfId="1" applyFont="1" applyBorder="1" applyAlignment="1">
      <alignment vertical="center"/>
    </xf>
    <xf numFmtId="164" fontId="27" fillId="9" borderId="5" xfId="1" applyNumberFormat="1" applyFont="1" applyFill="1" applyBorder="1" applyAlignment="1">
      <alignment horizontal="center" vertical="center"/>
    </xf>
    <xf numFmtId="37" fontId="54" fillId="2" borderId="5" xfId="1" applyNumberFormat="1" applyFont="1" applyFill="1" applyBorder="1" applyAlignment="1">
      <alignment horizontal="center" vertical="center"/>
    </xf>
    <xf numFmtId="0" fontId="20" fillId="9" borderId="0" xfId="0" applyFont="1" applyFill="1" applyAlignment="1">
      <alignment vertical="center"/>
    </xf>
    <xf numFmtId="164" fontId="27" fillId="0" borderId="5" xfId="1" applyNumberFormat="1" applyFont="1" applyBorder="1" applyAlignment="1">
      <alignment vertical="center"/>
    </xf>
    <xf numFmtId="0" fontId="27" fillId="0" borderId="2" xfId="0" applyFont="1" applyBorder="1" applyAlignment="1">
      <alignment horizontal="left" vertical="center" indent="1"/>
    </xf>
    <xf numFmtId="37" fontId="20" fillId="0" borderId="0" xfId="0" applyNumberFormat="1" applyFont="1" applyAlignment="1">
      <alignment vertical="center"/>
    </xf>
    <xf numFmtId="164" fontId="27" fillId="9" borderId="5" xfId="0" applyNumberFormat="1" applyFont="1" applyFill="1" applyBorder="1" applyAlignment="1">
      <alignment vertical="center"/>
    </xf>
    <xf numFmtId="0" fontId="27" fillId="9" borderId="2" xfId="0" quotePrefix="1" applyFont="1" applyFill="1" applyBorder="1" applyAlignment="1">
      <alignment horizontal="left" vertical="center" indent="1"/>
    </xf>
    <xf numFmtId="43" fontId="27" fillId="9" borderId="5" xfId="1" applyFont="1" applyFill="1" applyBorder="1" applyAlignment="1">
      <alignment vertical="center"/>
    </xf>
    <xf numFmtId="3" fontId="20" fillId="0" borderId="0" xfId="0" applyNumberFormat="1" applyFont="1" applyAlignment="1">
      <alignment vertical="center"/>
    </xf>
    <xf numFmtId="49" fontId="27" fillId="9" borderId="2" xfId="0" quotePrefix="1" applyNumberFormat="1" applyFont="1" applyFill="1" applyBorder="1" applyAlignment="1">
      <alignment horizontal="left" vertical="center" indent="1"/>
    </xf>
    <xf numFmtId="0" fontId="58" fillId="0" borderId="0" xfId="0" applyFont="1" applyAlignment="1">
      <alignment vertical="center"/>
    </xf>
    <xf numFmtId="0" fontId="58" fillId="0" borderId="0" xfId="0" applyFont="1" applyAlignment="1">
      <alignment horizontal="center" vertical="center"/>
    </xf>
    <xf numFmtId="0" fontId="0" fillId="9" borderId="0" xfId="0" applyFill="1" applyAlignment="1">
      <alignment horizontal="left"/>
    </xf>
    <xf numFmtId="0" fontId="64" fillId="0" borderId="0" xfId="0" applyFont="1" applyAlignment="1">
      <alignment vertical="center"/>
    </xf>
    <xf numFmtId="0" fontId="40" fillId="0" borderId="5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65" fillId="10" borderId="2" xfId="0" applyFont="1" applyFill="1" applyBorder="1" applyAlignment="1">
      <alignment vertical="center" wrapText="1"/>
    </xf>
    <xf numFmtId="0" fontId="65" fillId="10" borderId="36" xfId="0" applyFont="1" applyFill="1" applyBorder="1" applyAlignment="1">
      <alignment vertical="center" wrapText="1"/>
    </xf>
    <xf numFmtId="164" fontId="65" fillId="10" borderId="4" xfId="0" applyNumberFormat="1" applyFont="1" applyFill="1" applyBorder="1" applyAlignment="1">
      <alignment vertical="center" wrapText="1"/>
    </xf>
    <xf numFmtId="0" fontId="40" fillId="10" borderId="2" xfId="0" applyFont="1" applyFill="1" applyBorder="1" applyAlignment="1">
      <alignment vertical="center"/>
    </xf>
    <xf numFmtId="0" fontId="5" fillId="10" borderId="36" xfId="0" applyFont="1" applyFill="1" applyBorder="1" applyAlignment="1">
      <alignment vertical="center"/>
    </xf>
    <xf numFmtId="164" fontId="5" fillId="10" borderId="36" xfId="1" applyNumberFormat="1" applyFont="1" applyFill="1" applyBorder="1" applyAlignment="1">
      <alignment vertical="center"/>
    </xf>
    <xf numFmtId="164" fontId="40" fillId="10" borderId="4" xfId="1" applyNumberFormat="1" applyFont="1" applyFill="1" applyBorder="1" applyAlignment="1">
      <alignment vertical="center"/>
    </xf>
    <xf numFmtId="0" fontId="5" fillId="0" borderId="5" xfId="0" applyFont="1" applyBorder="1" applyAlignment="1">
      <alignment vertical="center"/>
    </xf>
    <xf numFmtId="164" fontId="5" fillId="0" borderId="5" xfId="1" applyNumberFormat="1" applyFont="1" applyBorder="1" applyAlignment="1">
      <alignment vertical="center"/>
    </xf>
    <xf numFmtId="0" fontId="40" fillId="10" borderId="36" xfId="0" applyFont="1" applyFill="1" applyBorder="1" applyAlignment="1">
      <alignment vertical="center"/>
    </xf>
    <xf numFmtId="164" fontId="40" fillId="10" borderId="36" xfId="1" applyNumberFormat="1" applyFont="1" applyFill="1" applyBorder="1" applyAlignment="1">
      <alignment vertical="center"/>
    </xf>
    <xf numFmtId="164" fontId="5" fillId="10" borderId="4" xfId="1" applyNumberFormat="1" applyFont="1" applyFill="1" applyBorder="1" applyAlignment="1">
      <alignment vertical="center"/>
    </xf>
    <xf numFmtId="0" fontId="66" fillId="0" borderId="5" xfId="0" applyFont="1" applyBorder="1" applyAlignment="1">
      <alignment vertical="center" wrapText="1"/>
    </xf>
    <xf numFmtId="0" fontId="39" fillId="0" borderId="5" xfId="0" applyFont="1" applyBorder="1" applyAlignment="1">
      <alignment horizontal="center" vertical="center"/>
    </xf>
    <xf numFmtId="0" fontId="33" fillId="0" borderId="5" xfId="0" applyFont="1" applyBorder="1" applyAlignment="1">
      <alignment horizontal="left" vertic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0" fillId="0" borderId="0" xfId="0" applyNumberFormat="1" applyFont="1" applyProtection="1">
      <protection locked="0"/>
    </xf>
    <xf numFmtId="0" fontId="4" fillId="10" borderId="0" xfId="0" applyFont="1" applyFill="1" applyAlignment="1">
      <alignment horizont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 applyAlignment="1">
      <alignment horizontal="center"/>
    </xf>
    <xf numFmtId="0" fontId="2" fillId="0" borderId="42" xfId="2" applyFill="1" applyBorder="1"/>
    <xf numFmtId="0" fontId="2" fillId="0" borderId="43" xfId="2" applyFill="1" applyBorder="1"/>
    <xf numFmtId="0" fontId="0" fillId="0" borderId="38" xfId="0" applyBorder="1"/>
    <xf numFmtId="0" fontId="0" fillId="0" borderId="26" xfId="0" applyBorder="1"/>
    <xf numFmtId="0" fontId="0" fillId="4" borderId="38" xfId="0" applyFill="1" applyBorder="1" applyAlignment="1">
      <alignment vertical="center"/>
    </xf>
    <xf numFmtId="0" fontId="67" fillId="4" borderId="0" xfId="0" applyFont="1" applyFill="1" applyAlignment="1">
      <alignment horizontal="center" vertical="center"/>
    </xf>
    <xf numFmtId="0" fontId="0" fillId="4" borderId="26" xfId="0" applyFill="1" applyBorder="1" applyAlignment="1">
      <alignment vertical="center"/>
    </xf>
    <xf numFmtId="0" fontId="3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9" borderId="26" xfId="0" applyFill="1" applyBorder="1" applyAlignment="1">
      <alignment vertical="center"/>
    </xf>
    <xf numFmtId="0" fontId="4" fillId="9" borderId="0" xfId="0" applyFont="1" applyFill="1" applyAlignment="1">
      <alignment vertical="center"/>
    </xf>
    <xf numFmtId="0" fontId="0" fillId="4" borderId="39" xfId="0" applyFill="1" applyBorder="1" applyAlignment="1">
      <alignment vertical="center"/>
    </xf>
    <xf numFmtId="0" fontId="4" fillId="9" borderId="40" xfId="0" applyFont="1" applyFill="1" applyBorder="1" applyAlignment="1">
      <alignment vertical="center"/>
    </xf>
    <xf numFmtId="0" fontId="0" fillId="9" borderId="40" xfId="0" applyFill="1" applyBorder="1" applyAlignment="1">
      <alignment vertical="center"/>
    </xf>
    <xf numFmtId="0" fontId="0" fillId="9" borderId="41" xfId="0" applyFill="1" applyBorder="1" applyAlignment="1">
      <alignment vertical="center"/>
    </xf>
    <xf numFmtId="0" fontId="2" fillId="0" borderId="44" xfId="2" applyFill="1" applyBorder="1"/>
    <xf numFmtId="0" fontId="68" fillId="0" borderId="0" xfId="0" applyFont="1"/>
    <xf numFmtId="0" fontId="4" fillId="0" borderId="0" xfId="0" quotePrefix="1" applyFont="1"/>
    <xf numFmtId="0" fontId="43" fillId="0" borderId="0" xfId="0" applyFont="1" applyAlignment="1">
      <alignment vertical="center"/>
    </xf>
    <xf numFmtId="0" fontId="5" fillId="17" borderId="36" xfId="0" applyFont="1" applyFill="1" applyBorder="1" applyAlignment="1">
      <alignment horizontal="left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36" xfId="0" applyFont="1" applyFill="1" applyBorder="1" applyAlignment="1">
      <alignment horizontal="left" vertical="center"/>
    </xf>
    <xf numFmtId="0" fontId="5" fillId="10" borderId="4" xfId="0" applyFont="1" applyFill="1" applyBorder="1" applyAlignment="1">
      <alignment horizontal="right" vertical="center"/>
    </xf>
    <xf numFmtId="0" fontId="5" fillId="10" borderId="4" xfId="0" applyFont="1" applyFill="1" applyBorder="1" applyAlignment="1">
      <alignment vertical="center"/>
    </xf>
    <xf numFmtId="14" fontId="5" fillId="10" borderId="36" xfId="0" applyNumberFormat="1" applyFont="1" applyFill="1" applyBorder="1" applyAlignment="1">
      <alignment horizontal="left" vertical="center"/>
    </xf>
    <xf numFmtId="0" fontId="40" fillId="10" borderId="36" xfId="0" applyFont="1" applyFill="1" applyBorder="1" applyAlignment="1">
      <alignment horizontal="left" vertical="center"/>
    </xf>
    <xf numFmtId="164" fontId="20" fillId="0" borderId="5" xfId="1" applyNumberFormat="1" applyFont="1" applyBorder="1" applyAlignment="1">
      <alignment horizontal="left" vertical="center" indent="1"/>
    </xf>
    <xf numFmtId="164" fontId="27" fillId="9" borderId="5" xfId="1" applyNumberFormat="1" applyFont="1" applyFill="1" applyBorder="1" applyAlignment="1">
      <alignment horizontal="left" vertical="center" indent="1"/>
    </xf>
    <xf numFmtId="0" fontId="27" fillId="4" borderId="0" xfId="0" applyFont="1" applyFill="1" applyAlignment="1">
      <alignment vertical="center"/>
    </xf>
    <xf numFmtId="0" fontId="27" fillId="9" borderId="0" xfId="0" applyFont="1" applyFill="1" applyAlignment="1">
      <alignment horizontal="center" vertical="center"/>
    </xf>
    <xf numFmtId="170" fontId="5" fillId="10" borderId="36" xfId="0" applyNumberFormat="1" applyFont="1" applyFill="1" applyBorder="1" applyAlignment="1">
      <alignment horizontal="left" vertical="center"/>
    </xf>
    <xf numFmtId="0" fontId="46" fillId="0" borderId="0" xfId="0" applyFont="1"/>
    <xf numFmtId="0" fontId="41" fillId="7" borderId="5" xfId="0" applyFont="1" applyFill="1" applyBorder="1" applyAlignment="1">
      <alignment vertical="center"/>
    </xf>
    <xf numFmtId="171" fontId="16" fillId="0" borderId="17" xfId="0" applyNumberFormat="1" applyFont="1" applyBorder="1" applyAlignment="1">
      <alignment horizontal="right" vertical="center"/>
    </xf>
    <xf numFmtId="171" fontId="17" fillId="2" borderId="17" xfId="0" applyNumberFormat="1" applyFont="1" applyFill="1" applyBorder="1" applyAlignment="1">
      <alignment horizontal="right" vertical="center"/>
    </xf>
    <xf numFmtId="171" fontId="16" fillId="9" borderId="17" xfId="0" applyNumberFormat="1" applyFont="1" applyFill="1" applyBorder="1" applyAlignment="1">
      <alignment horizontal="right" vertical="center"/>
    </xf>
    <xf numFmtId="171" fontId="17" fillId="0" borderId="17" xfId="0" applyNumberFormat="1" applyFont="1" applyBorder="1" applyAlignment="1">
      <alignment horizontal="right" vertical="center"/>
    </xf>
    <xf numFmtId="9" fontId="0" fillId="0" borderId="0" xfId="0" applyNumberFormat="1"/>
    <xf numFmtId="164" fontId="0" fillId="0" borderId="0" xfId="1" applyNumberFormat="1" applyFont="1" applyAlignment="1">
      <alignment vertical="center"/>
    </xf>
    <xf numFmtId="164" fontId="0" fillId="0" borderId="0" xfId="0" applyNumberFormat="1" applyAlignment="1">
      <alignment vertical="center"/>
    </xf>
    <xf numFmtId="0" fontId="42" fillId="3" borderId="6" xfId="0" applyFont="1" applyFill="1" applyBorder="1" applyAlignment="1">
      <alignment horizontal="center" vertical="center"/>
    </xf>
    <xf numFmtId="0" fontId="42" fillId="3" borderId="9" xfId="0" applyFont="1" applyFill="1" applyBorder="1" applyAlignment="1">
      <alignment horizontal="center" vertical="center"/>
    </xf>
    <xf numFmtId="0" fontId="41" fillId="13" borderId="25" xfId="0" applyFont="1" applyFill="1" applyBorder="1" applyAlignment="1">
      <alignment horizontal="center" vertical="center"/>
    </xf>
    <xf numFmtId="0" fontId="41" fillId="13" borderId="26" xfId="0" applyFont="1" applyFill="1" applyBorder="1" applyAlignment="1">
      <alignment horizontal="center" vertical="center"/>
    </xf>
    <xf numFmtId="0" fontId="41" fillId="13" borderId="2" xfId="0" applyFont="1" applyFill="1" applyBorder="1" applyAlignment="1">
      <alignment horizontal="center" vertical="center"/>
    </xf>
    <xf numFmtId="0" fontId="41" fillId="13" borderId="4" xfId="0" applyFont="1" applyFill="1" applyBorder="1" applyAlignment="1">
      <alignment horizontal="center" vertical="center"/>
    </xf>
    <xf numFmtId="167" fontId="34" fillId="12" borderId="7" xfId="6" applyNumberFormat="1" applyFont="1" applyFill="1" applyBorder="1" applyAlignment="1">
      <alignment horizontal="center" vertical="center" readingOrder="1"/>
    </xf>
    <xf numFmtId="167" fontId="34" fillId="12" borderId="8" xfId="6" applyNumberFormat="1" applyFont="1" applyFill="1" applyBorder="1" applyAlignment="1">
      <alignment horizontal="center" vertical="center" readingOrder="1"/>
    </xf>
    <xf numFmtId="167" fontId="21" fillId="12" borderId="7" xfId="6" applyNumberFormat="1" applyFont="1" applyFill="1" applyBorder="1" applyAlignment="1">
      <alignment horizontal="center" vertical="center" readingOrder="1"/>
    </xf>
    <xf numFmtId="167" fontId="21" fillId="12" borderId="10" xfId="6" applyNumberFormat="1" applyFont="1" applyFill="1" applyBorder="1" applyAlignment="1">
      <alignment horizontal="center" vertical="center" readingOrder="1"/>
    </xf>
    <xf numFmtId="1" fontId="21" fillId="12" borderId="7" xfId="6" applyNumberFormat="1" applyFont="1" applyFill="1" applyBorder="1" applyAlignment="1">
      <alignment horizontal="center" vertical="center" wrapText="1" readingOrder="1"/>
    </xf>
    <xf numFmtId="1" fontId="21" fillId="12" borderId="10" xfId="6" applyNumberFormat="1" applyFont="1" applyFill="1" applyBorder="1" applyAlignment="1">
      <alignment horizontal="center" vertical="center" wrapText="1" readingOrder="1"/>
    </xf>
    <xf numFmtId="0" fontId="34" fillId="3" borderId="27" xfId="0" applyFont="1" applyFill="1" applyBorder="1" applyAlignment="1">
      <alignment horizontal="center" vertical="center" wrapText="1"/>
    </xf>
    <xf numFmtId="0" fontId="34" fillId="3" borderId="29" xfId="0" applyFont="1" applyFill="1" applyBorder="1" applyAlignment="1">
      <alignment horizontal="center" vertical="center" wrapText="1"/>
    </xf>
    <xf numFmtId="0" fontId="34" fillId="3" borderId="31" xfId="0" applyFont="1" applyFill="1" applyBorder="1" applyAlignment="1">
      <alignment horizontal="center" vertical="center" wrapText="1"/>
    </xf>
    <xf numFmtId="0" fontId="18" fillId="3" borderId="28" xfId="0" applyFont="1" applyFill="1" applyBorder="1" applyAlignment="1">
      <alignment horizontal="left" vertical="center" wrapText="1"/>
    </xf>
    <xf numFmtId="0" fontId="18" fillId="3" borderId="30" xfId="0" applyFont="1" applyFill="1" applyBorder="1" applyAlignment="1">
      <alignment horizontal="left" vertical="center" wrapText="1"/>
    </xf>
    <xf numFmtId="0" fontId="18" fillId="3" borderId="32" xfId="0" applyFont="1" applyFill="1" applyBorder="1" applyAlignment="1">
      <alignment horizontal="left" vertical="center" wrapText="1"/>
    </xf>
    <xf numFmtId="0" fontId="4" fillId="9" borderId="0" xfId="0" applyFont="1" applyFill="1" applyAlignment="1">
      <alignment horizontal="center"/>
    </xf>
    <xf numFmtId="0" fontId="34" fillId="3" borderId="6" xfId="0" applyFont="1" applyFill="1" applyBorder="1" applyAlignment="1">
      <alignment horizontal="center" vertical="center"/>
    </xf>
    <xf numFmtId="0" fontId="34" fillId="3" borderId="9" xfId="0" applyFont="1" applyFill="1" applyBorder="1" applyAlignment="1">
      <alignment horizontal="center" vertical="center"/>
    </xf>
    <xf numFmtId="0" fontId="34" fillId="3" borderId="7" xfId="0" applyFont="1" applyFill="1" applyBorder="1" applyAlignment="1">
      <alignment horizontal="center" vertical="center" wrapText="1"/>
    </xf>
    <xf numFmtId="0" fontId="34" fillId="3" borderId="7" xfId="0" applyFont="1" applyFill="1" applyBorder="1" applyAlignment="1">
      <alignment horizontal="center" vertical="center"/>
    </xf>
    <xf numFmtId="0" fontId="34" fillId="3" borderId="8" xfId="0" applyFont="1" applyFill="1" applyBorder="1" applyAlignment="1">
      <alignment horizontal="center" vertical="center"/>
    </xf>
    <xf numFmtId="49" fontId="17" fillId="0" borderId="19" xfId="0" applyNumberFormat="1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0" fontId="32" fillId="11" borderId="5" xfId="0" applyFont="1" applyFill="1" applyBorder="1" applyAlignment="1">
      <alignment horizontal="center" vertical="center" wrapText="1"/>
    </xf>
    <xf numFmtId="0" fontId="32" fillId="11" borderId="5" xfId="0" applyFont="1" applyFill="1" applyBorder="1" applyAlignment="1">
      <alignment horizontal="center" vertical="center"/>
    </xf>
    <xf numFmtId="0" fontId="32" fillId="11" borderId="13" xfId="0" applyFont="1" applyFill="1" applyBorder="1" applyAlignment="1">
      <alignment horizontal="center" vertical="center"/>
    </xf>
    <xf numFmtId="0" fontId="32" fillId="11" borderId="12" xfId="0" applyFont="1" applyFill="1" applyBorder="1" applyAlignment="1">
      <alignment horizontal="center" vertical="center"/>
    </xf>
    <xf numFmtId="0" fontId="32" fillId="11" borderId="13" xfId="0" applyFont="1" applyFill="1" applyBorder="1" applyAlignment="1">
      <alignment horizontal="center" vertical="center" wrapText="1"/>
    </xf>
    <xf numFmtId="0" fontId="32" fillId="11" borderId="12" xfId="0" applyFont="1" applyFill="1" applyBorder="1" applyAlignment="1">
      <alignment horizontal="center" vertical="center" wrapText="1"/>
    </xf>
    <xf numFmtId="0" fontId="31" fillId="11" borderId="13" xfId="0" applyFont="1" applyFill="1" applyBorder="1" applyAlignment="1">
      <alignment horizontal="center" vertical="center" wrapText="1"/>
    </xf>
    <xf numFmtId="0" fontId="31" fillId="11" borderId="12" xfId="0" applyFont="1" applyFill="1" applyBorder="1" applyAlignment="1">
      <alignment horizontal="center" vertical="center" wrapText="1"/>
    </xf>
    <xf numFmtId="49" fontId="31" fillId="11" borderId="2" xfId="0" applyNumberFormat="1" applyFont="1" applyFill="1" applyBorder="1" applyAlignment="1">
      <alignment horizontal="center" vertical="center"/>
    </xf>
    <xf numFmtId="49" fontId="31" fillId="11" borderId="3" xfId="0" applyNumberFormat="1" applyFont="1" applyFill="1" applyBorder="1" applyAlignment="1">
      <alignment horizontal="center" vertical="center"/>
    </xf>
    <xf numFmtId="49" fontId="31" fillId="11" borderId="4" xfId="0" applyNumberFormat="1" applyFont="1" applyFill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39" fillId="0" borderId="4" xfId="0" applyFont="1" applyBorder="1" applyAlignment="1">
      <alignment horizontal="center" vertical="center"/>
    </xf>
    <xf numFmtId="0" fontId="27" fillId="9" borderId="2" xfId="0" applyFont="1" applyFill="1" applyBorder="1" applyAlignment="1">
      <alignment horizontal="left" vertical="center"/>
    </xf>
    <xf numFmtId="0" fontId="27" fillId="9" borderId="36" xfId="0" applyFont="1" applyFill="1" applyBorder="1" applyAlignment="1">
      <alignment horizontal="left" vertical="center"/>
    </xf>
    <xf numFmtId="0" fontId="27" fillId="9" borderId="4" xfId="0" applyFont="1" applyFill="1" applyBorder="1" applyAlignment="1">
      <alignment horizontal="left" vertical="center"/>
    </xf>
    <xf numFmtId="0" fontId="62" fillId="0" borderId="1" xfId="2" quotePrefix="1" applyFont="1" applyAlignment="1">
      <alignment horizontal="center" vertical="center"/>
    </xf>
    <xf numFmtId="0" fontId="62" fillId="0" borderId="1" xfId="2" applyFont="1" applyAlignment="1">
      <alignment horizontal="center" vertical="center"/>
    </xf>
    <xf numFmtId="0" fontId="20" fillId="0" borderId="5" xfId="0" applyFont="1" applyBorder="1" applyAlignment="1">
      <alignment vertical="center"/>
    </xf>
    <xf numFmtId="0" fontId="20" fillId="0" borderId="5" xfId="0" applyFont="1" applyBorder="1" applyAlignment="1">
      <alignment vertical="center" wrapText="1"/>
    </xf>
    <xf numFmtId="0" fontId="20" fillId="0" borderId="5" xfId="0" quotePrefix="1" applyFont="1" applyBorder="1" applyAlignment="1">
      <alignment vertical="center"/>
    </xf>
    <xf numFmtId="0" fontId="27" fillId="9" borderId="2" xfId="0" applyFont="1" applyFill="1" applyBorder="1" applyAlignment="1">
      <alignment horizontal="center" vertical="center"/>
    </xf>
    <xf numFmtId="0" fontId="27" fillId="9" borderId="36" xfId="0" applyFont="1" applyFill="1" applyBorder="1" applyAlignment="1">
      <alignment horizontal="center" vertical="center"/>
    </xf>
    <xf numFmtId="0" fontId="27" fillId="9" borderId="4" xfId="0" applyFont="1" applyFill="1" applyBorder="1" applyAlignment="1">
      <alignment horizontal="center" vertical="center"/>
    </xf>
    <xf numFmtId="0" fontId="27" fillId="9" borderId="13" xfId="0" applyFont="1" applyFill="1" applyBorder="1" applyAlignment="1">
      <alignment horizontal="center" vertical="center" wrapText="1"/>
    </xf>
    <xf numFmtId="0" fontId="27" fillId="9" borderId="12" xfId="0" applyFont="1" applyFill="1" applyBorder="1" applyAlignment="1">
      <alignment horizontal="center" vertical="center" wrapText="1"/>
    </xf>
    <xf numFmtId="0" fontId="20" fillId="0" borderId="5" xfId="0" applyFont="1" applyBorder="1" applyAlignment="1">
      <alignment horizontal="left" vertical="center" indent="1"/>
    </xf>
    <xf numFmtId="0" fontId="27" fillId="9" borderId="5" xfId="0" applyFont="1" applyFill="1" applyBorder="1" applyAlignment="1">
      <alignment horizontal="left" vertical="center" indent="1"/>
    </xf>
    <xf numFmtId="0" fontId="27" fillId="0" borderId="2" xfId="0" applyFont="1" applyBorder="1" applyAlignment="1">
      <alignment horizontal="center" vertical="center"/>
    </xf>
    <xf numFmtId="0" fontId="27" fillId="0" borderId="36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9" borderId="5" xfId="0" applyFont="1" applyFill="1" applyBorder="1" applyAlignment="1">
      <alignment horizontal="center" vertical="center"/>
    </xf>
  </cellXfs>
  <cellStyles count="7">
    <cellStyle name="Comma" xfId="1" builtinId="3"/>
    <cellStyle name="Comma 2" xfId="6" xr:uid="{00000000-0005-0000-0000-000001000000}"/>
    <cellStyle name="Comma 3" xfId="4" xr:uid="{00000000-0005-0000-0000-000002000000}"/>
    <cellStyle name="Heading 1" xfId="2" builtinId="16"/>
    <cellStyle name="Normal" xfId="0" builtinId="0"/>
    <cellStyle name="Normal 2" xfId="3" xr:uid="{00000000-0005-0000-0000-000005000000}"/>
    <cellStyle name="Percent" xfId="5" builtinId="5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strike/>
        <color rgb="FFC0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theme="5"/>
      </font>
    </dxf>
    <dxf>
      <font>
        <b/>
        <i val="0"/>
      </font>
      <fill>
        <patternFill>
          <bgColor theme="0" tint="-4.9989318521683403E-2"/>
        </patternFill>
      </fill>
    </dxf>
    <dxf>
      <font>
        <color rgb="FFC00000"/>
      </font>
    </dxf>
    <dxf>
      <font>
        <strike/>
        <color theme="5"/>
      </font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TMBCTC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TMBCTC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620010</xdr:colOff>
      <xdr:row>15</xdr:row>
      <xdr:rowOff>65992</xdr:rowOff>
    </xdr:from>
    <xdr:to>
      <xdr:col>16</xdr:col>
      <xdr:colOff>254307</xdr:colOff>
      <xdr:row>49</xdr:row>
      <xdr:rowOff>72192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0010" y="2967271"/>
          <a:ext cx="9814807" cy="62820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58349</xdr:colOff>
      <xdr:row>5</xdr:row>
      <xdr:rowOff>30530</xdr:rowOff>
    </xdr:from>
    <xdr:to>
      <xdr:col>1</xdr:col>
      <xdr:colOff>1782356</xdr:colOff>
      <xdr:row>15</xdr:row>
      <xdr:rowOff>217655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955711" y="1684330"/>
          <a:ext cx="1726727" cy="2599967"/>
        </a:xfrm>
        <a:prstGeom prst="roundRect">
          <a:avLst>
            <a:gd name="adj" fmla="val 6284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bg1"/>
              </a:solidFill>
            </a:rPr>
            <a:t>NHẬP</a:t>
          </a:r>
          <a:r>
            <a:rPr lang="en-US" sz="1100" b="1" baseline="0">
              <a:solidFill>
                <a:schemeClr val="bg1"/>
              </a:solidFill>
            </a:rPr>
            <a:t> DỮ LIỆU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95465</xdr:colOff>
      <xdr:row>6</xdr:row>
      <xdr:rowOff>66206</xdr:rowOff>
    </xdr:from>
    <xdr:to>
      <xdr:col>7</xdr:col>
      <xdr:colOff>705681</xdr:colOff>
      <xdr:row>9</xdr:row>
      <xdr:rowOff>173161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814147" y="1956711"/>
          <a:ext cx="1737360" cy="791809"/>
        </a:xfrm>
        <a:prstGeom prst="roundRect">
          <a:avLst>
            <a:gd name="adj" fmla="val 6284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bg1"/>
              </a:solidFill>
            </a:rPr>
            <a:t>TẠO</a:t>
          </a:r>
          <a:r>
            <a:rPr lang="en-US" sz="1100" b="1" baseline="0">
              <a:solidFill>
                <a:schemeClr val="bg1"/>
              </a:solidFill>
            </a:rPr>
            <a:t> TỜ KHAI XML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217668</xdr:colOff>
      <xdr:row>7</xdr:row>
      <xdr:rowOff>131516</xdr:rowOff>
    </xdr:from>
    <xdr:to>
      <xdr:col>7</xdr:col>
      <xdr:colOff>580967</xdr:colOff>
      <xdr:row>9</xdr:row>
      <xdr:rowOff>54491</xdr:rowOff>
    </xdr:to>
    <xdr:sp macro="[0]!xml_BCTC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941791" y="2253934"/>
          <a:ext cx="1485003" cy="382719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Bộ</a:t>
          </a:r>
          <a:r>
            <a:rPr lang="en-US" sz="1100" b="1" baseline="0"/>
            <a:t> b</a:t>
          </a:r>
          <a:r>
            <a:rPr lang="en-US" sz="1100" b="1"/>
            <a:t>áo</a:t>
          </a:r>
          <a:r>
            <a:rPr lang="en-US" sz="1100" b="1" baseline="0"/>
            <a:t> cáo tài chính</a:t>
          </a:r>
          <a:endParaRPr lang="en-US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28575</xdr:rowOff>
        </xdr:from>
        <xdr:to>
          <xdr:col>3</xdr:col>
          <xdr:colOff>900113</xdr:colOff>
          <xdr:row>4</xdr:row>
          <xdr:rowOff>323850</xdr:rowOff>
        </xdr:to>
        <xdr:sp macro="" textlink="">
          <xdr:nvSpPr>
            <xdr:cNvPr id="1026" name="Text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0</xdr:colOff>
      <xdr:row>0</xdr:row>
      <xdr:rowOff>0</xdr:rowOff>
    </xdr:from>
    <xdr:to>
      <xdr:col>8</xdr:col>
      <xdr:colOff>0</xdr:colOff>
      <xdr:row>1</xdr:row>
      <xdr:rowOff>407410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960783" y="0"/>
          <a:ext cx="8685855" cy="857973"/>
        </a:xfrm>
        <a:prstGeom prst="roundRect">
          <a:avLst>
            <a:gd name="adj" fmla="val 0"/>
          </a:avLst>
        </a:prstGeom>
        <a:solidFill>
          <a:schemeClr val="accent5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LẬP</a:t>
          </a:r>
          <a:r>
            <a:rPr lang="en-US" sz="1400" b="1" baseline="0">
              <a:solidFill>
                <a:schemeClr val="bg1"/>
              </a:solidFill>
            </a:rPr>
            <a:t> BÁO CÁO TÀI CHÍNH THEO THÔNG TƯ 133</a:t>
          </a:r>
        </a:p>
        <a:p>
          <a:pPr algn="ctr"/>
          <a:r>
            <a:rPr lang="en-US" sz="1400" b="1" baseline="0">
              <a:solidFill>
                <a:schemeClr val="bg1"/>
              </a:solidFill>
            </a:rPr>
            <a:t>(Mẫu số B01a-DNN)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</xdr:col>
      <xdr:colOff>183408</xdr:colOff>
      <xdr:row>6</xdr:row>
      <xdr:rowOff>173397</xdr:rowOff>
    </xdr:from>
    <xdr:to>
      <xdr:col>1</xdr:col>
      <xdr:colOff>1695516</xdr:colOff>
      <xdr:row>8</xdr:row>
      <xdr:rowOff>115976</xdr:rowOff>
    </xdr:to>
    <xdr:sp macro="[0]!importBCDTK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8933" y="2070114"/>
          <a:ext cx="1509387" cy="422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Nhập</a:t>
          </a:r>
          <a:r>
            <a:rPr lang="en-US" sz="900" b="1" baseline="0"/>
            <a:t> dữ liệu bảng CĐTK</a:t>
          </a:r>
          <a:endParaRPr lang="en-US" sz="900" b="1"/>
        </a:p>
      </xdr:txBody>
    </xdr:sp>
    <xdr:clientData/>
  </xdr:twoCellAnchor>
  <xdr:twoCellAnchor editAs="absolute">
    <xdr:from>
      <xdr:col>5</xdr:col>
      <xdr:colOff>92744</xdr:colOff>
      <xdr:row>10</xdr:row>
      <xdr:rowOff>1757</xdr:rowOff>
    </xdr:from>
    <xdr:to>
      <xdr:col>7</xdr:col>
      <xdr:colOff>702960</xdr:colOff>
      <xdr:row>13</xdr:row>
      <xdr:rowOff>113621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7806574" y="2859257"/>
          <a:ext cx="1736650" cy="832451"/>
        </a:xfrm>
        <a:prstGeom prst="roundRect">
          <a:avLst>
            <a:gd name="adj" fmla="val 6284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bg1"/>
              </a:solidFill>
            </a:rPr>
            <a:t>KẾT</a:t>
          </a:r>
          <a:r>
            <a:rPr lang="en-US" sz="1100" b="1" baseline="0">
              <a:solidFill>
                <a:schemeClr val="bg1"/>
              </a:solidFill>
            </a:rPr>
            <a:t> XUẤT EXCEL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206918</xdr:colOff>
      <xdr:row>11</xdr:row>
      <xdr:rowOff>87970</xdr:rowOff>
    </xdr:from>
    <xdr:to>
      <xdr:col>7</xdr:col>
      <xdr:colOff>591717</xdr:colOff>
      <xdr:row>13</xdr:row>
      <xdr:rowOff>9303</xdr:rowOff>
    </xdr:to>
    <xdr:sp macro="[0]!ex2Excel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920748" y="3187027"/>
          <a:ext cx="1505791" cy="401724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Kết</a:t>
          </a:r>
          <a:r>
            <a:rPr lang="en-US" sz="1100" b="1" baseline="0"/>
            <a:t> xuất ra Excel</a:t>
          </a:r>
          <a:endParaRPr lang="en-US" sz="1100" b="1"/>
        </a:p>
      </xdr:txBody>
    </xdr:sp>
    <xdr:clientData/>
  </xdr:twoCellAnchor>
  <xdr:twoCellAnchor editAs="absolute">
    <xdr:from>
      <xdr:col>1</xdr:col>
      <xdr:colOff>183408</xdr:colOff>
      <xdr:row>11</xdr:row>
      <xdr:rowOff>66724</xdr:rowOff>
    </xdr:from>
    <xdr:to>
      <xdr:col>1</xdr:col>
      <xdr:colOff>1695516</xdr:colOff>
      <xdr:row>13</xdr:row>
      <xdr:rowOff>30525</xdr:rowOff>
    </xdr:to>
    <xdr:sp macro="[0]!LaysoduKQHDKD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088933" y="3161698"/>
          <a:ext cx="1509387" cy="44963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Nhập</a:t>
          </a:r>
          <a:r>
            <a:rPr lang="en-US" sz="900" b="1" baseline="0"/>
            <a:t> số dư KQHĐKD năm trước</a:t>
          </a:r>
          <a:endParaRPr lang="en-US" sz="900" b="1"/>
        </a:p>
      </xdr:txBody>
    </xdr:sp>
    <xdr:clientData/>
  </xdr:twoCellAnchor>
  <xdr:twoCellAnchor>
    <xdr:from>
      <xdr:col>1</xdr:col>
      <xdr:colOff>789763</xdr:colOff>
      <xdr:row>9</xdr:row>
      <xdr:rowOff>9521</xdr:rowOff>
    </xdr:from>
    <xdr:to>
      <xdr:col>1</xdr:col>
      <xdr:colOff>1113614</xdr:colOff>
      <xdr:row>10</xdr:row>
      <xdr:rowOff>193220</xdr:rowOff>
    </xdr:to>
    <xdr:sp macro="" textlink="">
      <xdr:nvSpPr>
        <xdr:cNvPr id="2" name="Arrow: Chevro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5400000">
          <a:off x="1642545" y="2676847"/>
          <a:ext cx="423895" cy="323851"/>
        </a:xfrm>
        <a:prstGeom prst="chevron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250007</xdr:colOff>
      <xdr:row>0</xdr:row>
      <xdr:rowOff>259058</xdr:rowOff>
    </xdr:from>
    <xdr:to>
      <xdr:col>7</xdr:col>
      <xdr:colOff>607867</xdr:colOff>
      <xdr:row>1</xdr:row>
      <xdr:rowOff>216604</xdr:rowOff>
    </xdr:to>
    <xdr:sp macro="[0]!viewDat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7516695" y="256336"/>
          <a:ext cx="1423476" cy="385402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Thông</a:t>
          </a:r>
          <a:r>
            <a:rPr lang="en-US" sz="1100" b="1" baseline="0"/>
            <a:t> tin bản quyền</a:t>
          </a:r>
          <a:endParaRPr lang="en-US" sz="1100" b="1"/>
        </a:p>
      </xdr:txBody>
    </xdr:sp>
    <xdr:clientData/>
  </xdr:twoCellAnchor>
  <xdr:twoCellAnchor editAs="absolute">
    <xdr:from>
      <xdr:col>5</xdr:col>
      <xdr:colOff>92744</xdr:colOff>
      <xdr:row>13</xdr:row>
      <xdr:rowOff>181378</xdr:rowOff>
    </xdr:from>
    <xdr:to>
      <xdr:col>7</xdr:col>
      <xdr:colOff>702960</xdr:colOff>
      <xdr:row>17</xdr:row>
      <xdr:rowOff>29048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7806574" y="3758104"/>
          <a:ext cx="1736650" cy="830461"/>
        </a:xfrm>
        <a:prstGeom prst="roundRect">
          <a:avLst>
            <a:gd name="adj" fmla="val 6284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bg1"/>
              </a:solidFill>
            </a:rPr>
            <a:t>TMBCTC</a:t>
          </a:r>
        </a:p>
      </xdr:txBody>
    </xdr:sp>
    <xdr:clientData/>
  </xdr:twoCellAnchor>
  <xdr:twoCellAnchor editAs="absolute">
    <xdr:from>
      <xdr:col>5</xdr:col>
      <xdr:colOff>211407</xdr:colOff>
      <xdr:row>15</xdr:row>
      <xdr:rowOff>38169</xdr:rowOff>
    </xdr:from>
    <xdr:to>
      <xdr:col>7</xdr:col>
      <xdr:colOff>592670</xdr:colOff>
      <xdr:row>16</xdr:row>
      <xdr:rowOff>179682</xdr:rowOff>
    </xdr:to>
    <xdr:sp macro="" textlink="">
      <xdr:nvSpPr>
        <xdr:cNvPr id="18" name="Rectangle: Rounded Corner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7930089" y="4006367"/>
          <a:ext cx="1508407" cy="382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TM</a:t>
          </a:r>
          <a:r>
            <a:rPr lang="en-US" sz="1100" b="1" baseline="0"/>
            <a:t> BCTC</a:t>
          </a:r>
          <a:endParaRPr lang="en-US" sz="1100" b="1"/>
        </a:p>
      </xdr:txBody>
    </xdr:sp>
    <xdr:clientData/>
  </xdr:twoCellAnchor>
  <xdr:twoCellAnchor editAs="absolute">
    <xdr:from>
      <xdr:col>3</xdr:col>
      <xdr:colOff>998645</xdr:colOff>
      <xdr:row>4</xdr:row>
      <xdr:rowOff>47463</xdr:rowOff>
    </xdr:from>
    <xdr:to>
      <xdr:col>4</xdr:col>
      <xdr:colOff>1017282</xdr:colOff>
      <xdr:row>4</xdr:row>
      <xdr:rowOff>323141</xdr:rowOff>
    </xdr:to>
    <xdr:sp macro="[0]!callRegForm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239342" y="1336829"/>
          <a:ext cx="1297233" cy="283841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Thêm</a:t>
          </a:r>
          <a:r>
            <a:rPr lang="en-US" sz="1000" b="1" baseline="0"/>
            <a:t> DN</a:t>
          </a:r>
          <a:endParaRPr lang="en-US" sz="1000" b="1"/>
        </a:p>
      </xdr:txBody>
    </xdr:sp>
    <xdr:clientData/>
  </xdr:twoCellAnchor>
  <xdr:twoCellAnchor editAs="absolute">
    <xdr:from>
      <xdr:col>4</xdr:col>
      <xdr:colOff>1174226</xdr:colOff>
      <xdr:row>4</xdr:row>
      <xdr:rowOff>47463</xdr:rowOff>
    </xdr:from>
    <xdr:to>
      <xdr:col>5</xdr:col>
      <xdr:colOff>354702</xdr:colOff>
      <xdr:row>4</xdr:row>
      <xdr:rowOff>323141</xdr:rowOff>
    </xdr:to>
    <xdr:sp macro="[0]!callEditForm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6688076" y="1336829"/>
          <a:ext cx="1390751" cy="283841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Sửa</a:t>
          </a:r>
          <a:r>
            <a:rPr lang="en-US" sz="1000" b="1" baseline="0"/>
            <a:t> thông tin</a:t>
          </a:r>
          <a:endParaRPr lang="en-US" sz="1000" b="1"/>
        </a:p>
      </xdr:txBody>
    </xdr:sp>
    <xdr:clientData/>
  </xdr:twoCellAnchor>
  <xdr:twoCellAnchor editAs="absolute">
    <xdr:from>
      <xdr:col>1</xdr:col>
      <xdr:colOff>179494</xdr:colOff>
      <xdr:row>13</xdr:row>
      <xdr:rowOff>201504</xdr:rowOff>
    </xdr:from>
    <xdr:to>
      <xdr:col>1</xdr:col>
      <xdr:colOff>1703494</xdr:colOff>
      <xdr:row>15</xdr:row>
      <xdr:rowOff>74544</xdr:rowOff>
    </xdr:to>
    <xdr:sp macro="[0]!exitProgram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1085019" y="3776870"/>
          <a:ext cx="1524000" cy="356152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Exit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47625</xdr:rowOff>
    </xdr:from>
    <xdr:to>
      <xdr:col>2</xdr:col>
      <xdr:colOff>438150</xdr:colOff>
      <xdr:row>1</xdr:row>
      <xdr:rowOff>371475</xdr:rowOff>
    </xdr:to>
    <xdr:sp macro="[0]!recheckInpu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2400" y="238125"/>
          <a:ext cx="105727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Kiểm</a:t>
          </a:r>
          <a:r>
            <a:rPr lang="en-US" sz="1100" b="1" baseline="0"/>
            <a:t> tra</a:t>
          </a:r>
          <a:endParaRPr lang="en-US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27214</xdr:colOff>
      <xdr:row>1</xdr:row>
      <xdr:rowOff>21771</xdr:rowOff>
    </xdr:from>
    <xdr:to>
      <xdr:col>1</xdr:col>
      <xdr:colOff>566057</xdr:colOff>
      <xdr:row>2</xdr:row>
      <xdr:rowOff>179009</xdr:rowOff>
    </xdr:to>
    <xdr:sp macro="[0]!confirm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7214" y="206828"/>
          <a:ext cx="1191986" cy="34229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Xác</a:t>
          </a:r>
          <a:r>
            <a:rPr lang="en-US" sz="1050" b="1" baseline="0"/>
            <a:t> nhận số liệu</a:t>
          </a:r>
          <a:endParaRPr lang="en-US" sz="105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342899</xdr:colOff>
          <xdr:row>0</xdr:row>
          <xdr:rowOff>0</xdr:rowOff>
        </xdr:from>
        <xdr:to>
          <xdr:col>6</xdr:col>
          <xdr:colOff>1095493</xdr:colOff>
          <xdr:row>0</xdr:row>
          <xdr:rowOff>457200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raff!$B$6" spid="_x0000_s59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42899" y="0"/>
              <a:ext cx="7605151" cy="4572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9524</xdr:colOff>
          <xdr:row>0</xdr:row>
          <xdr:rowOff>0</xdr:rowOff>
        </xdr:from>
        <xdr:to>
          <xdr:col>13</xdr:col>
          <xdr:colOff>495418</xdr:colOff>
          <xdr:row>0</xdr:row>
          <xdr:rowOff>457200</xdr:rowOff>
        </xdr:to>
        <xdr:pic>
          <xdr:nvPicPr>
            <xdr:cNvPr id="6" name="Picture 5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raff!$B$6" spid="_x0000_s592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429499" y="0"/>
              <a:ext cx="7601069" cy="4572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11206</xdr:colOff>
          <xdr:row>0</xdr:row>
          <xdr:rowOff>22411</xdr:rowOff>
        </xdr:from>
        <xdr:to>
          <xdr:col>7</xdr:col>
          <xdr:colOff>1376723</xdr:colOff>
          <xdr:row>1</xdr:row>
          <xdr:rowOff>258775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raff!$B$6" spid="_x0000_s69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4433" y="22411"/>
              <a:ext cx="8658945" cy="396448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9844</xdr:colOff>
          <xdr:row>0</xdr:row>
          <xdr:rowOff>19690</xdr:rowOff>
        </xdr:from>
        <xdr:to>
          <xdr:col>16</xdr:col>
          <xdr:colOff>1331899</xdr:colOff>
          <xdr:row>1</xdr:row>
          <xdr:rowOff>254693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raff!$B$6" spid="_x0000_s694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0498550" y="19690"/>
              <a:ext cx="7962341" cy="395087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647700</xdr:colOff>
          <xdr:row>0</xdr:row>
          <xdr:rowOff>9525</xdr:rowOff>
        </xdr:from>
        <xdr:to>
          <xdr:col>20</xdr:col>
          <xdr:colOff>617764</xdr:colOff>
          <xdr:row>2</xdr:row>
          <xdr:rowOff>47625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raff!$B$6" spid="_x0000_s796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454743" y="9525"/>
              <a:ext cx="8267700" cy="405493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36739</xdr:colOff>
          <xdr:row>0</xdr:row>
          <xdr:rowOff>12246</xdr:rowOff>
        </xdr:from>
        <xdr:to>
          <xdr:col>10</xdr:col>
          <xdr:colOff>710294</xdr:colOff>
          <xdr:row>2</xdr:row>
          <xdr:rowOff>50346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raff!$B$6" spid="_x0000_s79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853" y="12246"/>
              <a:ext cx="9014734" cy="405493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1171576</xdr:colOff>
      <xdr:row>0</xdr:row>
      <xdr:rowOff>34019</xdr:rowOff>
    </xdr:from>
    <xdr:to>
      <xdr:col>12</xdr:col>
      <xdr:colOff>700413</xdr:colOff>
      <xdr:row>0</xdr:row>
      <xdr:rowOff>338818</xdr:rowOff>
    </xdr:to>
    <xdr:sp macro="[0]!export_TMBCTC_v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0553701" y="34019"/>
          <a:ext cx="1039584" cy="304799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SAVE</a:t>
          </a:r>
        </a:p>
      </xdr:txBody>
    </xdr:sp>
    <xdr:clientData fPrintsWithSheet="0"/>
  </xdr:twoCellAnchor>
  <xdr:twoCellAnchor editAs="absolute">
    <xdr:from>
      <xdr:col>10</xdr:col>
      <xdr:colOff>1171576</xdr:colOff>
      <xdr:row>1</xdr:row>
      <xdr:rowOff>108976</xdr:rowOff>
    </xdr:from>
    <xdr:to>
      <xdr:col>12</xdr:col>
      <xdr:colOff>700413</xdr:colOff>
      <xdr:row>1</xdr:row>
      <xdr:rowOff>413775</xdr:rowOff>
    </xdr:to>
    <xdr:sp macro="[0]!exitProgra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0553701" y="453119"/>
          <a:ext cx="1039584" cy="304799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Exit</a:t>
          </a:r>
        </a:p>
      </xdr:txBody>
    </xdr:sp>
    <xdr:clientData fPrintsWithSheet="0"/>
  </xdr:twoCellAnchor>
  <xdr:twoCellAnchor>
    <xdr:from>
      <xdr:col>12</xdr:col>
      <xdr:colOff>419100</xdr:colOff>
      <xdr:row>293</xdr:row>
      <xdr:rowOff>95250</xdr:rowOff>
    </xdr:from>
    <xdr:to>
      <xdr:col>13</xdr:col>
      <xdr:colOff>438150</xdr:colOff>
      <xdr:row>297</xdr:row>
      <xdr:rowOff>171450</xdr:rowOff>
    </xdr:to>
    <xdr:sp macro="" textlink="">
      <xdr:nvSpPr>
        <xdr:cNvPr id="4" name="Arrow: Up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1287125" y="66617850"/>
          <a:ext cx="847725" cy="723900"/>
        </a:xfrm>
        <a:prstGeom prst="up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646339</xdr:colOff>
          <xdr:row>10</xdr:row>
          <xdr:rowOff>83006</xdr:rowOff>
        </xdr:from>
        <xdr:to>
          <xdr:col>6</xdr:col>
          <xdr:colOff>503465</xdr:colOff>
          <xdr:row>13</xdr:row>
          <xdr:rowOff>57866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00000000-0008-0000-0F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B$6" spid="_x0000_s44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46339" y="2197556"/>
              <a:ext cx="12077701" cy="51778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4.225.19.58\marketing\HOP%20DONG%20DICH%20VU\2021\New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scription"/>
      <sheetName val="Input"/>
      <sheetName val="ContractList"/>
      <sheetName val="DLT"/>
      <sheetName val="Sheet2"/>
      <sheetName val="PaymentRequest"/>
      <sheetName val="TheoDoiThanhToan"/>
      <sheetName val="Data"/>
      <sheetName val="City"/>
      <sheetName val="SubFolder"/>
      <sheetName val="Draff"/>
    </sheetNames>
    <sheetDataSet>
      <sheetData sheetId="0" refreshError="1"/>
      <sheetData sheetId="1">
        <row r="20">
          <cell r="G20" t="str">
            <v>Hà Nội</v>
          </cell>
        </row>
        <row r="24">
          <cell r="I24" t="str">
            <v>Data!A2:Z63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theme="1"/>
  </sheetPr>
  <dimension ref="B1:F54"/>
  <sheetViews>
    <sheetView showGridLines="0" zoomScale="115" zoomScaleNormal="115" workbookViewId="0">
      <selection activeCell="B55" sqref="B55"/>
    </sheetView>
  </sheetViews>
  <sheetFormatPr defaultRowHeight="14.25" x14ac:dyDescent="0.45"/>
  <cols>
    <col min="2" max="2" width="5.265625" customWidth="1"/>
  </cols>
  <sheetData>
    <row r="1" spans="2:6" x14ac:dyDescent="0.45">
      <c r="B1" s="436"/>
      <c r="C1" s="9"/>
      <c r="D1" s="9"/>
      <c r="E1" s="9"/>
      <c r="F1" s="9"/>
    </row>
    <row r="3" spans="2:6" ht="25.15" customHeight="1" x14ac:dyDescent="0.45">
      <c r="B3" s="437" t="s">
        <v>4340</v>
      </c>
    </row>
    <row r="4" spans="2:6" x14ac:dyDescent="0.45">
      <c r="B4" s="9" t="s">
        <v>4348</v>
      </c>
    </row>
    <row r="5" spans="2:6" x14ac:dyDescent="0.45">
      <c r="B5" t="s">
        <v>4341</v>
      </c>
    </row>
    <row r="6" spans="2:6" x14ac:dyDescent="0.45">
      <c r="C6" s="435" t="s">
        <v>4342</v>
      </c>
    </row>
    <row r="7" spans="2:6" x14ac:dyDescent="0.45">
      <c r="C7" s="435" t="s">
        <v>4343</v>
      </c>
    </row>
    <row r="8" spans="2:6" x14ac:dyDescent="0.45">
      <c r="C8" s="435" t="s">
        <v>4344</v>
      </c>
    </row>
    <row r="9" spans="2:6" x14ac:dyDescent="0.45">
      <c r="B9" t="s">
        <v>4345</v>
      </c>
    </row>
    <row r="10" spans="2:6" x14ac:dyDescent="0.45">
      <c r="B10" t="s">
        <v>4346</v>
      </c>
    </row>
    <row r="11" spans="2:6" x14ac:dyDescent="0.45">
      <c r="B11" t="s">
        <v>4347</v>
      </c>
    </row>
    <row r="13" spans="2:6" x14ac:dyDescent="0.45">
      <c r="B13" s="9" t="s">
        <v>4349</v>
      </c>
    </row>
    <row r="14" spans="2:6" x14ac:dyDescent="0.45">
      <c r="B14" t="s">
        <v>4350</v>
      </c>
    </row>
    <row r="15" spans="2:6" x14ac:dyDescent="0.45">
      <c r="B15" t="s">
        <v>4351</v>
      </c>
    </row>
    <row r="51" spans="2:2" x14ac:dyDescent="0.45">
      <c r="B51" s="9" t="s">
        <v>4352</v>
      </c>
    </row>
    <row r="52" spans="2:2" x14ac:dyDescent="0.45">
      <c r="B52" t="s">
        <v>4353</v>
      </c>
    </row>
    <row r="53" spans="2:2" x14ac:dyDescent="0.45">
      <c r="B53" t="s">
        <v>4354</v>
      </c>
    </row>
    <row r="54" spans="2:2" x14ac:dyDescent="0.45">
      <c r="B54" t="s">
        <v>4355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fo">
    <tabColor rgb="FFC00000"/>
  </sheetPr>
  <dimension ref="B1:M20"/>
  <sheetViews>
    <sheetView showGridLines="0" tabSelected="1" zoomScale="115" zoomScaleNormal="115" workbookViewId="0">
      <selection activeCell="E9" sqref="E9"/>
    </sheetView>
  </sheetViews>
  <sheetFormatPr defaultRowHeight="14.25" x14ac:dyDescent="0.45"/>
  <cols>
    <col min="1" max="1" width="13.59765625" customWidth="1"/>
    <col min="2" max="2" width="27.265625" customWidth="1"/>
    <col min="3" max="3" width="18.73046875" customWidth="1"/>
    <col min="4" max="4" width="18" customWidth="1"/>
    <col min="5" max="5" width="31.265625" customWidth="1"/>
    <col min="6" max="6" width="8.73046875" customWidth="1"/>
    <col min="7" max="7" width="7.1328125" customWidth="1"/>
    <col min="8" max="8" width="11.265625" customWidth="1"/>
    <col min="9" max="10" width="0" hidden="1" customWidth="1"/>
    <col min="11" max="11" width="9" hidden="1" customWidth="1"/>
    <col min="12" max="13" width="0" hidden="1" customWidth="1"/>
    <col min="14" max="18" width="7.86328125" customWidth="1"/>
    <col min="19" max="19" width="11.265625" bestFit="1" customWidth="1"/>
    <col min="20" max="20" width="4.265625" bestFit="1" customWidth="1"/>
  </cols>
  <sheetData>
    <row r="1" spans="2:13" ht="33.6" customHeight="1" x14ac:dyDescent="0.45"/>
    <row r="2" spans="2:13" ht="33.4" customHeight="1" x14ac:dyDescent="0.45"/>
    <row r="3" spans="2:13" ht="19.899999999999999" thickBot="1" x14ac:dyDescent="0.65">
      <c r="B3" s="434"/>
      <c r="C3" s="419" t="s">
        <v>377</v>
      </c>
      <c r="D3" s="419"/>
      <c r="E3" s="419"/>
      <c r="F3" s="419"/>
      <c r="G3" s="419"/>
      <c r="H3" s="420"/>
      <c r="I3" s="1"/>
      <c r="J3" s="1"/>
      <c r="K3" s="1"/>
      <c r="L3" s="1"/>
      <c r="M3" s="1"/>
    </row>
    <row r="4" spans="2:13" ht="14.65" thickTop="1" x14ac:dyDescent="0.45">
      <c r="B4" s="421"/>
      <c r="H4" s="422"/>
    </row>
    <row r="5" spans="2:13" s="8" customFormat="1" ht="28.35" customHeight="1" x14ac:dyDescent="0.45">
      <c r="B5" s="423"/>
      <c r="C5" s="273">
        <f>IF(DSKH!Y1="","",DSKH!Z1)</f>
        <v>68</v>
      </c>
      <c r="D5" s="424" t="str" cm="1">
        <f t="array" ref="D5">IF(C5="","",INDEX(DSKH!$A$2:$S$2000,$C$5,3))</f>
        <v>YABEI</v>
      </c>
      <c r="E5" s="273"/>
      <c r="F5" s="273"/>
      <c r="G5" s="273"/>
      <c r="H5" s="425"/>
      <c r="I5" s="273"/>
      <c r="J5" s="273"/>
      <c r="K5" s="273"/>
      <c r="L5" s="273"/>
      <c r="M5" s="273"/>
    </row>
    <row r="6" spans="2:13" s="8" customFormat="1" ht="18.75" customHeight="1" x14ac:dyDescent="0.45">
      <c r="B6" s="423"/>
      <c r="C6" s="451" t="s">
        <v>1028</v>
      </c>
      <c r="D6" s="438">
        <v>2024</v>
      </c>
      <c r="E6" s="439" t="str" cm="1">
        <f t="array" ref="E6">IF(C5="","",INDEX(DSKH!$A$2:$S$2000,$C$5,19))</f>
        <v>01/01</v>
      </c>
      <c r="F6" s="426" t="s">
        <v>1800</v>
      </c>
      <c r="G6" s="427" t="s">
        <v>1806</v>
      </c>
      <c r="H6" s="428"/>
      <c r="I6" s="274"/>
      <c r="J6" s="274"/>
      <c r="K6" s="274"/>
      <c r="L6" s="274"/>
      <c r="M6" s="274"/>
    </row>
    <row r="7" spans="2:13" s="8" customFormat="1" ht="18.75" customHeight="1" x14ac:dyDescent="0.45">
      <c r="B7" s="423"/>
      <c r="C7" s="451" t="s">
        <v>1029</v>
      </c>
      <c r="D7" s="444" t="str" cm="1">
        <f t="array" ref="D7">IF(C5="","",INDEX(DSKH!$A$2:$S$2000,$C$5,2))</f>
        <v>Công ty TNHH phát triển công nghệ thực phẩm YABEI</v>
      </c>
      <c r="E7" s="441"/>
      <c r="F7" s="274" t="s">
        <v>510</v>
      </c>
      <c r="G7" s="274"/>
      <c r="H7" s="428"/>
      <c r="I7" s="274"/>
      <c r="J7" s="274"/>
      <c r="K7" s="274"/>
      <c r="L7" s="274"/>
      <c r="M7" s="274"/>
    </row>
    <row r="8" spans="2:13" s="8" customFormat="1" ht="18.75" customHeight="1" x14ac:dyDescent="0.45">
      <c r="B8" s="423"/>
      <c r="C8" s="451" t="s">
        <v>1030</v>
      </c>
      <c r="D8" s="440" t="str" cm="1">
        <f t="array" ref="D8">IF(C5="","",INDEX(DSKH!$A$2:$S$2000,$C$5,4))</f>
        <v>0110350102</v>
      </c>
      <c r="E8" s="442"/>
      <c r="F8" s="274" t="s">
        <v>510</v>
      </c>
      <c r="G8" s="274"/>
      <c r="H8" s="428"/>
      <c r="I8" s="274"/>
      <c r="J8" s="274"/>
      <c r="K8" s="274"/>
      <c r="L8" s="274"/>
      <c r="M8" s="274"/>
    </row>
    <row r="9" spans="2:13" s="8" customFormat="1" ht="18.75" customHeight="1" x14ac:dyDescent="0.45">
      <c r="B9" s="423"/>
      <c r="C9" s="451" t="s">
        <v>1031</v>
      </c>
      <c r="D9" s="440" t="str" cm="1">
        <f t="array" ref="D9">IF(C5="","",INDEX(DSKH!$A$2:$S$2000,$C$5,9))</f>
        <v>Biệt thự J03.L14, Khu An Phú Shop Villa - KĐT Dương Nội</v>
      </c>
      <c r="E9" s="442"/>
      <c r="F9" s="274" t="s">
        <v>510</v>
      </c>
      <c r="G9" s="274"/>
      <c r="H9" s="428"/>
      <c r="I9" s="274"/>
      <c r="J9" s="274"/>
      <c r="K9" s="274"/>
      <c r="L9" s="274"/>
      <c r="M9" s="274"/>
    </row>
    <row r="10" spans="2:13" s="8" customFormat="1" ht="18.75" customHeight="1" x14ac:dyDescent="0.45">
      <c r="B10" s="423"/>
      <c r="C10" s="451" t="s">
        <v>1804</v>
      </c>
      <c r="D10" s="440" t="str" cm="1">
        <f t="array" ref="D10">IF(C5="","",INDEX(DSKH!$A$2:$S$2000,$C$5,10))</f>
        <v>Hà Đông</v>
      </c>
      <c r="E10" s="442"/>
      <c r="F10" s="274" t="s">
        <v>510</v>
      </c>
      <c r="G10" s="274"/>
      <c r="H10" s="428"/>
      <c r="I10" s="274"/>
      <c r="J10" s="274"/>
      <c r="K10" s="274"/>
      <c r="L10" s="274"/>
      <c r="M10" s="274"/>
    </row>
    <row r="11" spans="2:13" s="8" customFormat="1" ht="18.75" customHeight="1" x14ac:dyDescent="0.45">
      <c r="B11" s="423"/>
      <c r="C11" s="451" t="s">
        <v>1032</v>
      </c>
      <c r="D11" s="440" t="str" cm="1">
        <f t="array" ref="D11">IF(C5="","",INDEX(DSKH!$A$2:$S$2000,$C$5,11))</f>
        <v>Hà Nội</v>
      </c>
      <c r="E11" s="442"/>
      <c r="F11" s="274" t="s">
        <v>510</v>
      </c>
      <c r="G11" s="274"/>
      <c r="H11" s="428"/>
      <c r="I11" s="274"/>
      <c r="J11" s="274"/>
      <c r="K11" s="274"/>
      <c r="L11" s="274"/>
      <c r="M11" s="274"/>
    </row>
    <row r="12" spans="2:13" s="8" customFormat="1" ht="18.75" customHeight="1" x14ac:dyDescent="0.45">
      <c r="B12" s="423"/>
      <c r="C12" s="451" t="s">
        <v>1033</v>
      </c>
      <c r="D12" s="440" t="str" cm="1">
        <f t="array" ref="D12">IF(C5="","",INDEX(DSKH!$A$2:$S$2000,$C$5,17))</f>
        <v>Chi cục thuế Quận Hà Đông</v>
      </c>
      <c r="E12" s="442"/>
      <c r="F12" s="274" t="s">
        <v>510</v>
      </c>
      <c r="G12" s="274"/>
      <c r="H12" s="428"/>
      <c r="I12" s="274"/>
      <c r="J12" s="274"/>
      <c r="K12" s="274"/>
      <c r="L12" s="274"/>
      <c r="M12" s="274"/>
    </row>
    <row r="13" spans="2:13" s="8" customFormat="1" ht="18.75" customHeight="1" x14ac:dyDescent="0.45">
      <c r="B13" s="423"/>
      <c r="C13" s="451" t="s">
        <v>1034</v>
      </c>
      <c r="D13" s="440" t="str" cm="1">
        <f t="array" ref="D13">IF(C5="","",INDEX(DSKH!$A$2:$AA$2000,$C$5,27))</f>
        <v>10127</v>
      </c>
      <c r="E13" s="442"/>
      <c r="F13" s="274" t="s">
        <v>510</v>
      </c>
      <c r="G13" s="274"/>
      <c r="H13" s="428"/>
      <c r="I13" s="274"/>
      <c r="J13" s="274"/>
      <c r="K13" s="274"/>
      <c r="L13" s="274"/>
      <c r="M13" s="274"/>
    </row>
    <row r="14" spans="2:13" s="8" customFormat="1" ht="18.75" customHeight="1" x14ac:dyDescent="0.45">
      <c r="B14" s="423"/>
      <c r="C14" s="451" t="s">
        <v>1035</v>
      </c>
      <c r="D14" s="443">
        <f>IF(C5="","",DATE(D6,RIGHT(E6,2),LEFT(E6,2)))</f>
        <v>45292</v>
      </c>
      <c r="E14" s="442"/>
      <c r="F14" s="274" t="s">
        <v>510</v>
      </c>
      <c r="G14" s="274"/>
      <c r="H14" s="428"/>
      <c r="I14" s="274"/>
      <c r="J14" s="274"/>
      <c r="K14" s="274"/>
      <c r="L14" s="274"/>
      <c r="M14" s="274"/>
    </row>
    <row r="15" spans="2:13" s="8" customFormat="1" ht="18.75" customHeight="1" x14ac:dyDescent="0.45">
      <c r="B15" s="423"/>
      <c r="C15" s="451" t="s">
        <v>1036</v>
      </c>
      <c r="D15" s="443">
        <f>IF(C5="","",IF(E6="01/01",DATE(D6,12,31),DATE(D6+1,3,31)))</f>
        <v>45657</v>
      </c>
      <c r="E15" s="442"/>
      <c r="F15" s="274" t="s">
        <v>510</v>
      </c>
      <c r="G15" s="274"/>
      <c r="H15" s="428"/>
      <c r="I15" s="274"/>
      <c r="J15" s="274"/>
      <c r="K15" s="274"/>
      <c r="L15" s="274"/>
      <c r="M15" s="274"/>
    </row>
    <row r="16" spans="2:13" s="8" customFormat="1" ht="18.75" customHeight="1" x14ac:dyDescent="0.45">
      <c r="B16" s="423"/>
      <c r="C16" s="451" t="s">
        <v>1037</v>
      </c>
      <c r="D16" s="449">
        <f ca="1">IF(C5="","",TODAY())</f>
        <v>45942</v>
      </c>
      <c r="E16" s="442"/>
      <c r="F16" s="274" t="s">
        <v>510</v>
      </c>
      <c r="G16" s="274"/>
      <c r="H16" s="428"/>
      <c r="I16" s="274"/>
      <c r="J16" s="274"/>
      <c r="K16" s="274"/>
      <c r="L16" s="274"/>
      <c r="M16" s="274"/>
    </row>
    <row r="17" spans="2:13" s="8" customFormat="1" ht="20.25" customHeight="1" x14ac:dyDescent="0.45">
      <c r="B17" s="423"/>
      <c r="C17" s="451"/>
      <c r="D17" s="449"/>
      <c r="E17" s="442"/>
      <c r="F17" s="274"/>
      <c r="G17" s="274"/>
      <c r="H17" s="428"/>
      <c r="I17" s="274"/>
      <c r="J17" s="274"/>
      <c r="K17" s="274"/>
      <c r="L17" s="274"/>
      <c r="M17" s="274"/>
    </row>
    <row r="18" spans="2:13" s="8" customFormat="1" ht="20.25" customHeight="1" x14ac:dyDescent="0.45">
      <c r="B18" s="423"/>
      <c r="C18" s="429"/>
      <c r="D18" s="274"/>
      <c r="E18" s="274"/>
      <c r="F18" s="274"/>
      <c r="G18" s="274"/>
      <c r="H18" s="428"/>
      <c r="I18" s="274"/>
      <c r="J18" s="274"/>
      <c r="K18" s="274"/>
      <c r="L18" s="274"/>
      <c r="M18" s="274"/>
    </row>
    <row r="19" spans="2:13" s="8" customFormat="1" ht="20.25" customHeight="1" x14ac:dyDescent="0.45">
      <c r="B19" s="423"/>
      <c r="C19" s="429"/>
      <c r="D19" s="274"/>
      <c r="E19" s="274"/>
      <c r="F19" s="274"/>
      <c r="G19" s="274"/>
      <c r="H19" s="428"/>
      <c r="I19" s="274"/>
      <c r="J19" s="274"/>
      <c r="K19" s="274"/>
      <c r="L19" s="274"/>
      <c r="M19" s="274"/>
    </row>
    <row r="20" spans="2:13" s="8" customFormat="1" ht="20.45" customHeight="1" x14ac:dyDescent="0.45">
      <c r="B20" s="430"/>
      <c r="C20" s="431"/>
      <c r="D20" s="432"/>
      <c r="E20" s="432"/>
      <c r="F20" s="432"/>
      <c r="G20" s="432"/>
      <c r="H20" s="433"/>
      <c r="I20" s="274"/>
      <c r="J20" s="274"/>
      <c r="K20" s="274"/>
      <c r="L20" s="274"/>
      <c r="M20" s="274"/>
    </row>
  </sheetData>
  <dataValidations count="1">
    <dataValidation type="list" allowBlank="1" showInputMessage="1" showErrorMessage="1" sqref="G6" xr:uid="{00000000-0002-0000-0100-000000000000}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TextBox1">
          <controlPr defaultSize="0" autoLine="0" linkedCell="DSKH!Y1" r:id="rId5">
            <anchor moveWithCells="1">
              <from>
                <xdr:col>2</xdr:col>
                <xdr:colOff>9525</xdr:colOff>
                <xdr:row>4</xdr:row>
                <xdr:rowOff>28575</xdr:rowOff>
              </from>
              <to>
                <xdr:col>3</xdr:col>
                <xdr:colOff>900113</xdr:colOff>
                <xdr:row>4</xdr:row>
                <xdr:rowOff>323850</xdr:rowOff>
              </to>
            </anchor>
          </controlPr>
        </control>
      </mc:Choice>
      <mc:Fallback>
        <control shapeId="1026" r:id="rId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InputData">
    <tabColor rgb="FFC00000"/>
  </sheetPr>
  <dimension ref="B1:AP351"/>
  <sheetViews>
    <sheetView showGridLines="0" zoomScaleNormal="100" workbookViewId="0">
      <selection activeCell="F17" sqref="F17"/>
    </sheetView>
  </sheetViews>
  <sheetFormatPr defaultColWidth="9.265625" defaultRowHeight="14.25" x14ac:dyDescent="0.45"/>
  <cols>
    <col min="1" max="1" width="2.265625" style="8" customWidth="1"/>
    <col min="2" max="2" width="9.265625" style="19"/>
    <col min="3" max="3" width="8.1328125" style="205" customWidth="1"/>
    <col min="4" max="4" width="42.73046875" style="8" bestFit="1" customWidth="1"/>
    <col min="5" max="6" width="14.73046875" style="8" customWidth="1"/>
    <col min="7" max="10" width="16.265625" style="8" customWidth="1"/>
    <col min="11" max="12" width="9.265625" style="8" hidden="1" customWidth="1"/>
    <col min="13" max="13" width="9.265625" style="20" hidden="1" customWidth="1"/>
    <col min="14" max="14" width="11.1328125" style="20" hidden="1" customWidth="1"/>
    <col min="15" max="18" width="11.265625" style="20" hidden="1" customWidth="1"/>
    <col min="19" max="20" width="13.73046875" style="20" customWidth="1"/>
    <col min="21" max="21" width="11.86328125" style="20" customWidth="1"/>
    <col min="22" max="22" width="14.265625" style="20" customWidth="1"/>
    <col min="23" max="25" width="9.265625" style="8"/>
    <col min="26" max="26" width="12.265625" style="8" bestFit="1" customWidth="1"/>
    <col min="27" max="28" width="9.265625" style="8"/>
    <col min="29" max="31" width="13.265625" style="8" customWidth="1"/>
    <col min="32" max="34" width="9.265625" style="8"/>
    <col min="35" max="35" width="10.73046875" style="8" bestFit="1" customWidth="1"/>
    <col min="36" max="40" width="9.265625" style="8"/>
    <col min="41" max="42" width="12.265625" style="8" bestFit="1" customWidth="1"/>
    <col min="43" max="16384" width="9.265625" style="8"/>
  </cols>
  <sheetData>
    <row r="1" spans="2:40" x14ac:dyDescent="0.45">
      <c r="G1" s="8">
        <v>3844488516</v>
      </c>
      <c r="I1" s="8">
        <v>521763789.99997711</v>
      </c>
    </row>
    <row r="2" spans="2:40" ht="35.65" customHeight="1" thickBot="1" x14ac:dyDescent="0.65">
      <c r="D2" s="294" t="s">
        <v>1807</v>
      </c>
      <c r="E2" s="16"/>
      <c r="F2" s="16"/>
      <c r="G2" s="16"/>
      <c r="H2" s="16"/>
      <c r="I2" s="16"/>
      <c r="J2" s="16"/>
    </row>
    <row r="3" spans="2:40" ht="14.65" thickTop="1" x14ac:dyDescent="0.45">
      <c r="F3" s="191">
        <f>E6-F6</f>
        <v>0</v>
      </c>
      <c r="G3" s="191">
        <f>G6-H6</f>
        <v>0</v>
      </c>
      <c r="I3" s="191">
        <f>I6-J6</f>
        <v>0</v>
      </c>
      <c r="S3" s="197">
        <f>+G6-H6</f>
        <v>0</v>
      </c>
    </row>
    <row r="4" spans="2:40" s="15" customFormat="1" ht="19.149999999999999" customHeight="1" x14ac:dyDescent="0.45">
      <c r="B4" s="459" t="s">
        <v>1345</v>
      </c>
      <c r="C4" s="469" t="s">
        <v>1341</v>
      </c>
      <c r="D4" s="467" t="s">
        <v>3</v>
      </c>
      <c r="E4" s="465" t="s">
        <v>1342</v>
      </c>
      <c r="F4" s="465"/>
      <c r="G4" s="465" t="s">
        <v>1343</v>
      </c>
      <c r="H4" s="465"/>
      <c r="I4" s="465" t="s">
        <v>1344</v>
      </c>
      <c r="J4" s="466"/>
      <c r="M4" s="196"/>
      <c r="N4" s="196"/>
      <c r="O4" s="196"/>
      <c r="P4" s="196"/>
      <c r="Q4" s="196"/>
      <c r="R4" s="196"/>
      <c r="S4" s="463" t="s">
        <v>1347</v>
      </c>
      <c r="T4" s="464"/>
      <c r="U4" s="201"/>
      <c r="V4" s="461" t="s">
        <v>1348</v>
      </c>
    </row>
    <row r="5" spans="2:40" s="15" customFormat="1" ht="19.149999999999999" customHeight="1" x14ac:dyDescent="0.45">
      <c r="B5" s="460"/>
      <c r="C5" s="470"/>
      <c r="D5" s="468"/>
      <c r="E5" s="189" t="s">
        <v>10</v>
      </c>
      <c r="F5" s="189" t="s">
        <v>11</v>
      </c>
      <c r="G5" s="189" t="s">
        <v>10</v>
      </c>
      <c r="H5" s="189" t="s">
        <v>11</v>
      </c>
      <c r="I5" s="189" t="s">
        <v>10</v>
      </c>
      <c r="J5" s="190" t="s">
        <v>11</v>
      </c>
      <c r="M5" s="196"/>
      <c r="N5" s="196"/>
      <c r="O5" s="196"/>
      <c r="P5" s="196"/>
      <c r="Q5" s="196"/>
      <c r="R5" s="196"/>
      <c r="S5" s="202" t="s">
        <v>10</v>
      </c>
      <c r="T5" s="202" t="s">
        <v>11</v>
      </c>
      <c r="U5" s="203"/>
      <c r="V5" s="462"/>
    </row>
    <row r="6" spans="2:40" ht="17.25" customHeight="1" x14ac:dyDescent="0.45">
      <c r="B6" s="194" t="s">
        <v>1050</v>
      </c>
      <c r="C6" s="204" t="s">
        <v>1055</v>
      </c>
      <c r="D6" s="195" t="s">
        <v>11</v>
      </c>
      <c r="E6" s="192">
        <f t="shared" ref="E6:J6" si="0">SUMIFS(E7:E685,$B$7:$B$685,1)</f>
        <v>0</v>
      </c>
      <c r="F6" s="192">
        <f t="shared" si="0"/>
        <v>0</v>
      </c>
      <c r="G6" s="192">
        <f>SUMIFS(G7:G685,$B$7:$B$685,1)</f>
        <v>0</v>
      </c>
      <c r="H6" s="192">
        <f t="shared" si="0"/>
        <v>0</v>
      </c>
      <c r="I6" s="192">
        <f t="shared" si="0"/>
        <v>0</v>
      </c>
      <c r="J6" s="193">
        <f t="shared" si="0"/>
        <v>0</v>
      </c>
      <c r="S6" s="198"/>
      <c r="T6" s="199"/>
      <c r="U6" s="199"/>
      <c r="V6" s="200"/>
    </row>
    <row r="7" spans="2:40" x14ac:dyDescent="0.45">
      <c r="E7" s="191"/>
      <c r="F7" s="191"/>
      <c r="G7" s="191"/>
      <c r="H7" s="191"/>
      <c r="I7" s="191"/>
      <c r="J7" s="191"/>
      <c r="L7" s="8">
        <f t="shared" ref="L7" si="1">_xlfn.NUMBERVALUE(C7)</f>
        <v>0</v>
      </c>
      <c r="M7" s="197">
        <f t="shared" ref="M7" si="2">ROUND(E7,0)</f>
        <v>0</v>
      </c>
      <c r="N7" s="197">
        <f t="shared" ref="N7" si="3">ROUND(F7,0)</f>
        <v>0</v>
      </c>
      <c r="O7" s="197">
        <f t="shared" ref="O7" si="4">ROUND(G7,0)</f>
        <v>0</v>
      </c>
      <c r="P7" s="197">
        <f t="shared" ref="P7" si="5">ROUND(H7,0)</f>
        <v>0</v>
      </c>
      <c r="Q7" s="197">
        <f t="shared" ref="Q7" si="6">ROUND(I7,0)</f>
        <v>0</v>
      </c>
      <c r="R7" s="197">
        <f t="shared" ref="R7" si="7">ROUND(J7,0)</f>
        <v>0</v>
      </c>
      <c r="S7" s="197">
        <f t="shared" ref="S7" si="8">MAX(0,E7+G7-F7-H7)</f>
        <v>0</v>
      </c>
      <c r="T7" s="197">
        <f t="shared" ref="T7" si="9">MAX(0,F7+H7-E7-G7)</f>
        <v>0</v>
      </c>
      <c r="U7" s="197">
        <f t="shared" ref="U7" si="10">ABS(I7-J7)</f>
        <v>0</v>
      </c>
      <c r="V7" s="197">
        <f>S7+T7-U7</f>
        <v>0</v>
      </c>
      <c r="W7" s="8" t="str">
        <f>IF(C7&lt;&gt;"",MATCH(_xlfn.NUMBERVALUE(LEFT(C7,4)),KiemTraBCD!$B$10:$B$1000,0),"")</f>
        <v/>
      </c>
      <c r="Z7" s="191">
        <f t="shared" ref="Z7:Z22" si="11">ROUND(E7,0)</f>
        <v>0</v>
      </c>
      <c r="AA7" s="191">
        <f t="shared" ref="AA7:AA22" si="12">ROUND(F7,0)</f>
        <v>0</v>
      </c>
      <c r="AB7" s="191">
        <f t="shared" ref="AB7:AB22" si="13">ROUND(G7,0)</f>
        <v>0</v>
      </c>
      <c r="AC7" s="191">
        <f t="shared" ref="AC7:AC22" si="14">ROUND(H7,0)</f>
        <v>0</v>
      </c>
      <c r="AD7" s="191">
        <f t="shared" ref="AD7:AD22" si="15">ROUND(I7,0)</f>
        <v>0</v>
      </c>
      <c r="AE7" s="191">
        <f t="shared" ref="AE7:AE22" si="16">ROUND(J7,0)</f>
        <v>0</v>
      </c>
      <c r="AI7" s="191">
        <f>ROUND(E7,0)</f>
        <v>0</v>
      </c>
      <c r="AJ7" s="191">
        <f t="shared" ref="AJ7:AN7" si="17">ROUND(F7,0)</f>
        <v>0</v>
      </c>
      <c r="AK7" s="191">
        <f t="shared" si="17"/>
        <v>0</v>
      </c>
      <c r="AL7" s="191">
        <f t="shared" si="17"/>
        <v>0</v>
      </c>
      <c r="AM7" s="191">
        <f t="shared" si="17"/>
        <v>0</v>
      </c>
      <c r="AN7" s="191">
        <f t="shared" si="17"/>
        <v>0</v>
      </c>
    </row>
    <row r="8" spans="2:40" x14ac:dyDescent="0.45">
      <c r="E8" s="191"/>
      <c r="F8" s="191"/>
      <c r="G8" s="191"/>
      <c r="H8" s="191"/>
      <c r="I8" s="191"/>
      <c r="J8" s="191"/>
      <c r="L8" s="8">
        <f t="shared" ref="L8:L71" si="18">_xlfn.NUMBERVALUE(C8)</f>
        <v>0</v>
      </c>
      <c r="M8" s="197">
        <f t="shared" ref="M8:M71" si="19">ROUND(E8,0)</f>
        <v>0</v>
      </c>
      <c r="N8" s="197">
        <f t="shared" ref="N8:N71" si="20">ROUND(F8,0)</f>
        <v>0</v>
      </c>
      <c r="O8" s="197">
        <f t="shared" ref="O8:O71" si="21">ROUND(G8,0)</f>
        <v>0</v>
      </c>
      <c r="P8" s="197">
        <f t="shared" ref="P8:P71" si="22">ROUND(H8,0)</f>
        <v>0</v>
      </c>
      <c r="Q8" s="197">
        <f t="shared" ref="Q8:Q71" si="23">ROUND(I8,0)</f>
        <v>0</v>
      </c>
      <c r="R8" s="197">
        <f t="shared" ref="R8:R71" si="24">ROUND(J8,0)</f>
        <v>0</v>
      </c>
      <c r="S8" s="197">
        <f t="shared" ref="S8:S71" si="25">MAX(0,E8+G8-F8-H8)</f>
        <v>0</v>
      </c>
      <c r="T8" s="197">
        <f t="shared" ref="T8:T71" si="26">MAX(0,F8+H8-E8-G8)</f>
        <v>0</v>
      </c>
      <c r="U8" s="197">
        <f t="shared" ref="U8:U71" si="27">ABS(I8-J8)</f>
        <v>0</v>
      </c>
      <c r="V8" s="197">
        <f t="shared" ref="V8:V71" si="28">S8+T8-U8</f>
        <v>0</v>
      </c>
      <c r="W8" s="8" t="str">
        <f>IF(C8&lt;&gt;"",MATCH(_xlfn.NUMBERVALUE(LEFT(C8,4)),KiemTraBCD!$B$10:$B$1000,0),"")</f>
        <v/>
      </c>
      <c r="Z8" s="191">
        <f t="shared" si="11"/>
        <v>0</v>
      </c>
      <c r="AA8" s="191">
        <f t="shared" si="12"/>
        <v>0</v>
      </c>
      <c r="AB8" s="191">
        <f t="shared" si="13"/>
        <v>0</v>
      </c>
      <c r="AC8" s="191">
        <f t="shared" si="14"/>
        <v>0</v>
      </c>
      <c r="AD8" s="191">
        <f t="shared" si="15"/>
        <v>0</v>
      </c>
      <c r="AE8" s="191">
        <f t="shared" si="16"/>
        <v>0</v>
      </c>
      <c r="AI8" s="191">
        <f t="shared" ref="AI8:AI33" si="29">ROUND(E8,0)</f>
        <v>0</v>
      </c>
      <c r="AJ8" s="191">
        <f t="shared" ref="AJ8:AJ33" si="30">ROUND(F8,0)</f>
        <v>0</v>
      </c>
      <c r="AK8" s="191">
        <f t="shared" ref="AK8:AK33" si="31">ROUND(G8,0)</f>
        <v>0</v>
      </c>
      <c r="AL8" s="191">
        <f t="shared" ref="AL8:AL33" si="32">ROUND(H8,0)</f>
        <v>0</v>
      </c>
      <c r="AM8" s="191">
        <f t="shared" ref="AM8:AM33" si="33">ROUND(I8,0)</f>
        <v>0</v>
      </c>
      <c r="AN8" s="191">
        <f t="shared" ref="AN8:AN33" si="34">ROUND(J8,0)</f>
        <v>0</v>
      </c>
    </row>
    <row r="9" spans="2:40" x14ac:dyDescent="0.45">
      <c r="E9" s="191"/>
      <c r="F9" s="191"/>
      <c r="G9" s="191"/>
      <c r="H9" s="191"/>
      <c r="I9" s="191"/>
      <c r="J9" s="191"/>
      <c r="L9" s="8">
        <f t="shared" si="18"/>
        <v>0</v>
      </c>
      <c r="M9" s="197">
        <f t="shared" si="19"/>
        <v>0</v>
      </c>
      <c r="N9" s="197">
        <f t="shared" si="20"/>
        <v>0</v>
      </c>
      <c r="O9" s="197">
        <f t="shared" si="21"/>
        <v>0</v>
      </c>
      <c r="P9" s="197">
        <f t="shared" si="22"/>
        <v>0</v>
      </c>
      <c r="Q9" s="197">
        <f t="shared" si="23"/>
        <v>0</v>
      </c>
      <c r="R9" s="197">
        <f t="shared" si="24"/>
        <v>0</v>
      </c>
      <c r="S9" s="197">
        <f t="shared" si="25"/>
        <v>0</v>
      </c>
      <c r="T9" s="197">
        <f t="shared" si="26"/>
        <v>0</v>
      </c>
      <c r="U9" s="197">
        <f t="shared" si="27"/>
        <v>0</v>
      </c>
      <c r="V9" s="197">
        <f t="shared" si="28"/>
        <v>0</v>
      </c>
      <c r="W9" s="8" t="str">
        <f>IF(C9&lt;&gt;"",MATCH(_xlfn.NUMBERVALUE(LEFT(C9,4)),KiemTraBCD!$B$10:$B$1000,0),"")</f>
        <v/>
      </c>
      <c r="Z9" s="191">
        <f t="shared" si="11"/>
        <v>0</v>
      </c>
      <c r="AA9" s="191">
        <f t="shared" si="12"/>
        <v>0</v>
      </c>
      <c r="AB9" s="191">
        <f t="shared" si="13"/>
        <v>0</v>
      </c>
      <c r="AC9" s="191">
        <f t="shared" si="14"/>
        <v>0</v>
      </c>
      <c r="AD9" s="191">
        <f t="shared" si="15"/>
        <v>0</v>
      </c>
      <c r="AE9" s="191">
        <f t="shared" si="16"/>
        <v>0</v>
      </c>
      <c r="AI9" s="191">
        <f t="shared" si="29"/>
        <v>0</v>
      </c>
      <c r="AJ9" s="191">
        <f t="shared" si="30"/>
        <v>0</v>
      </c>
      <c r="AK9" s="191">
        <f t="shared" si="31"/>
        <v>0</v>
      </c>
      <c r="AL9" s="191">
        <f t="shared" si="32"/>
        <v>0</v>
      </c>
      <c r="AM9" s="191">
        <f t="shared" si="33"/>
        <v>0</v>
      </c>
      <c r="AN9" s="191">
        <f t="shared" si="34"/>
        <v>0</v>
      </c>
    </row>
    <row r="10" spans="2:40" x14ac:dyDescent="0.45">
      <c r="E10" s="191"/>
      <c r="F10" s="191"/>
      <c r="G10" s="191"/>
      <c r="H10" s="191"/>
      <c r="I10" s="191"/>
      <c r="J10" s="191"/>
      <c r="L10" s="8">
        <f t="shared" si="18"/>
        <v>0</v>
      </c>
      <c r="M10" s="197">
        <f t="shared" si="19"/>
        <v>0</v>
      </c>
      <c r="N10" s="197">
        <f t="shared" si="20"/>
        <v>0</v>
      </c>
      <c r="O10" s="197">
        <f t="shared" si="21"/>
        <v>0</v>
      </c>
      <c r="P10" s="197">
        <f t="shared" si="22"/>
        <v>0</v>
      </c>
      <c r="Q10" s="197">
        <f t="shared" si="23"/>
        <v>0</v>
      </c>
      <c r="R10" s="197">
        <f t="shared" si="24"/>
        <v>0</v>
      </c>
      <c r="S10" s="197">
        <f t="shared" si="25"/>
        <v>0</v>
      </c>
      <c r="T10" s="197">
        <f t="shared" si="26"/>
        <v>0</v>
      </c>
      <c r="U10" s="197">
        <f t="shared" si="27"/>
        <v>0</v>
      </c>
      <c r="V10" s="197">
        <f t="shared" si="28"/>
        <v>0</v>
      </c>
      <c r="W10" s="8" t="str">
        <f>IF(C10&lt;&gt;"",MATCH(_xlfn.NUMBERVALUE(LEFT(C10,4)),KiemTraBCD!$B$10:$B$1000,0),"")</f>
        <v/>
      </c>
      <c r="Z10" s="191">
        <f t="shared" si="11"/>
        <v>0</v>
      </c>
      <c r="AA10" s="191">
        <f t="shared" si="12"/>
        <v>0</v>
      </c>
      <c r="AB10" s="191">
        <f t="shared" si="13"/>
        <v>0</v>
      </c>
      <c r="AC10" s="191">
        <f t="shared" si="14"/>
        <v>0</v>
      </c>
      <c r="AD10" s="191">
        <f t="shared" si="15"/>
        <v>0</v>
      </c>
      <c r="AE10" s="191">
        <f t="shared" si="16"/>
        <v>0</v>
      </c>
      <c r="AI10" s="191">
        <f t="shared" si="29"/>
        <v>0</v>
      </c>
      <c r="AJ10" s="191">
        <f t="shared" si="30"/>
        <v>0</v>
      </c>
      <c r="AK10" s="191">
        <f t="shared" si="31"/>
        <v>0</v>
      </c>
      <c r="AL10" s="191">
        <f t="shared" si="32"/>
        <v>0</v>
      </c>
      <c r="AM10" s="191">
        <f t="shared" si="33"/>
        <v>0</v>
      </c>
      <c r="AN10" s="191">
        <f t="shared" si="34"/>
        <v>0</v>
      </c>
    </row>
    <row r="11" spans="2:40" x14ac:dyDescent="0.45">
      <c r="E11" s="191"/>
      <c r="F11" s="191"/>
      <c r="G11" s="191"/>
      <c r="H11" s="191"/>
      <c r="I11" s="191"/>
      <c r="J11" s="191"/>
      <c r="L11" s="8">
        <f t="shared" si="18"/>
        <v>0</v>
      </c>
      <c r="M11" s="197">
        <f t="shared" si="19"/>
        <v>0</v>
      </c>
      <c r="N11" s="197">
        <f t="shared" si="20"/>
        <v>0</v>
      </c>
      <c r="O11" s="197">
        <f t="shared" si="21"/>
        <v>0</v>
      </c>
      <c r="P11" s="197">
        <f t="shared" si="22"/>
        <v>0</v>
      </c>
      <c r="Q11" s="197">
        <f t="shared" si="23"/>
        <v>0</v>
      </c>
      <c r="R11" s="197">
        <f t="shared" si="24"/>
        <v>0</v>
      </c>
      <c r="S11" s="197">
        <f t="shared" si="25"/>
        <v>0</v>
      </c>
      <c r="T11" s="197">
        <f t="shared" si="26"/>
        <v>0</v>
      </c>
      <c r="U11" s="197">
        <f t="shared" si="27"/>
        <v>0</v>
      </c>
      <c r="V11" s="197">
        <f t="shared" si="28"/>
        <v>0</v>
      </c>
      <c r="W11" s="8" t="str">
        <f>IF(C11&lt;&gt;"",MATCH(_xlfn.NUMBERVALUE(LEFT(C11,4)),KiemTraBCD!$B$10:$B$1000,0),"")</f>
        <v/>
      </c>
      <c r="Z11" s="191">
        <f t="shared" si="11"/>
        <v>0</v>
      </c>
      <c r="AA11" s="191">
        <f t="shared" si="12"/>
        <v>0</v>
      </c>
      <c r="AB11" s="191">
        <f t="shared" si="13"/>
        <v>0</v>
      </c>
      <c r="AC11" s="191">
        <f t="shared" si="14"/>
        <v>0</v>
      </c>
      <c r="AD11" s="191">
        <f t="shared" si="15"/>
        <v>0</v>
      </c>
      <c r="AE11" s="191">
        <f t="shared" si="16"/>
        <v>0</v>
      </c>
      <c r="AI11" s="191">
        <f t="shared" si="29"/>
        <v>0</v>
      </c>
      <c r="AJ11" s="191">
        <f t="shared" si="30"/>
        <v>0</v>
      </c>
      <c r="AK11" s="191">
        <f t="shared" si="31"/>
        <v>0</v>
      </c>
      <c r="AL11" s="191">
        <f t="shared" si="32"/>
        <v>0</v>
      </c>
      <c r="AM11" s="191">
        <f t="shared" si="33"/>
        <v>0</v>
      </c>
      <c r="AN11" s="191">
        <f t="shared" si="34"/>
        <v>0</v>
      </c>
    </row>
    <row r="12" spans="2:40" x14ac:dyDescent="0.45">
      <c r="E12" s="191"/>
      <c r="F12" s="191"/>
      <c r="G12" s="191"/>
      <c r="H12" s="191"/>
      <c r="I12" s="191"/>
      <c r="J12" s="191"/>
      <c r="L12" s="8">
        <f t="shared" si="18"/>
        <v>0</v>
      </c>
      <c r="M12" s="197">
        <f t="shared" si="19"/>
        <v>0</v>
      </c>
      <c r="N12" s="197">
        <f t="shared" si="20"/>
        <v>0</v>
      </c>
      <c r="O12" s="197">
        <f t="shared" si="21"/>
        <v>0</v>
      </c>
      <c r="P12" s="197">
        <f t="shared" si="22"/>
        <v>0</v>
      </c>
      <c r="Q12" s="197">
        <f t="shared" si="23"/>
        <v>0</v>
      </c>
      <c r="R12" s="197">
        <f t="shared" si="24"/>
        <v>0</v>
      </c>
      <c r="S12" s="197">
        <f t="shared" si="25"/>
        <v>0</v>
      </c>
      <c r="T12" s="197">
        <f t="shared" si="26"/>
        <v>0</v>
      </c>
      <c r="U12" s="197">
        <f t="shared" si="27"/>
        <v>0</v>
      </c>
      <c r="V12" s="197">
        <f t="shared" si="28"/>
        <v>0</v>
      </c>
      <c r="W12" s="8" t="str">
        <f>IF(C12&lt;&gt;"",MATCH(_xlfn.NUMBERVALUE(LEFT(C12,4)),KiemTraBCD!$B$10:$B$1000,0),"")</f>
        <v/>
      </c>
      <c r="Z12" s="191">
        <f t="shared" si="11"/>
        <v>0</v>
      </c>
      <c r="AA12" s="191">
        <f t="shared" si="12"/>
        <v>0</v>
      </c>
      <c r="AB12" s="191">
        <f t="shared" si="13"/>
        <v>0</v>
      </c>
      <c r="AC12" s="191">
        <f t="shared" si="14"/>
        <v>0</v>
      </c>
      <c r="AD12" s="191">
        <f t="shared" si="15"/>
        <v>0</v>
      </c>
      <c r="AE12" s="191">
        <f t="shared" si="16"/>
        <v>0</v>
      </c>
      <c r="AI12" s="191">
        <f t="shared" si="29"/>
        <v>0</v>
      </c>
      <c r="AJ12" s="191">
        <f t="shared" si="30"/>
        <v>0</v>
      </c>
      <c r="AK12" s="191">
        <f t="shared" si="31"/>
        <v>0</v>
      </c>
      <c r="AL12" s="191">
        <f t="shared" si="32"/>
        <v>0</v>
      </c>
      <c r="AM12" s="191">
        <f t="shared" si="33"/>
        <v>0</v>
      </c>
      <c r="AN12" s="191">
        <f t="shared" si="34"/>
        <v>0</v>
      </c>
    </row>
    <row r="13" spans="2:40" x14ac:dyDescent="0.45">
      <c r="E13" s="191"/>
      <c r="F13" s="191"/>
      <c r="G13" s="191"/>
      <c r="H13" s="191"/>
      <c r="I13" s="191"/>
      <c r="J13" s="191"/>
      <c r="L13" s="8">
        <f t="shared" si="18"/>
        <v>0</v>
      </c>
      <c r="M13" s="197">
        <f t="shared" si="19"/>
        <v>0</v>
      </c>
      <c r="N13" s="197">
        <f t="shared" si="20"/>
        <v>0</v>
      </c>
      <c r="O13" s="197">
        <f t="shared" si="21"/>
        <v>0</v>
      </c>
      <c r="P13" s="197">
        <f t="shared" si="22"/>
        <v>0</v>
      </c>
      <c r="Q13" s="197">
        <f t="shared" si="23"/>
        <v>0</v>
      </c>
      <c r="R13" s="197">
        <f t="shared" si="24"/>
        <v>0</v>
      </c>
      <c r="S13" s="197">
        <f t="shared" si="25"/>
        <v>0</v>
      </c>
      <c r="T13" s="197">
        <f t="shared" si="26"/>
        <v>0</v>
      </c>
      <c r="U13" s="197">
        <f t="shared" si="27"/>
        <v>0</v>
      </c>
      <c r="V13" s="197">
        <f t="shared" si="28"/>
        <v>0</v>
      </c>
      <c r="W13" s="8" t="str">
        <f>IF(C13&lt;&gt;"",MATCH(_xlfn.NUMBERVALUE(LEFT(C13,4)),KiemTraBCD!$B$10:$B$1000,0),"")</f>
        <v/>
      </c>
      <c r="Z13" s="191">
        <f t="shared" si="11"/>
        <v>0</v>
      </c>
      <c r="AA13" s="191">
        <f t="shared" si="12"/>
        <v>0</v>
      </c>
      <c r="AB13" s="191">
        <f t="shared" si="13"/>
        <v>0</v>
      </c>
      <c r="AC13" s="191">
        <f t="shared" si="14"/>
        <v>0</v>
      </c>
      <c r="AD13" s="191">
        <f t="shared" si="15"/>
        <v>0</v>
      </c>
      <c r="AE13" s="191">
        <f t="shared" si="16"/>
        <v>0</v>
      </c>
      <c r="AI13" s="191">
        <f t="shared" si="29"/>
        <v>0</v>
      </c>
      <c r="AJ13" s="191">
        <f t="shared" si="30"/>
        <v>0</v>
      </c>
      <c r="AK13" s="191">
        <f t="shared" si="31"/>
        <v>0</v>
      </c>
      <c r="AL13" s="191">
        <f t="shared" si="32"/>
        <v>0</v>
      </c>
      <c r="AM13" s="191">
        <f t="shared" si="33"/>
        <v>0</v>
      </c>
      <c r="AN13" s="191">
        <f t="shared" si="34"/>
        <v>0</v>
      </c>
    </row>
    <row r="14" spans="2:40" x14ac:dyDescent="0.45">
      <c r="E14" s="191"/>
      <c r="F14" s="191"/>
      <c r="G14" s="191"/>
      <c r="H14" s="191"/>
      <c r="I14" s="191"/>
      <c r="J14" s="191"/>
      <c r="L14" s="8">
        <f t="shared" si="18"/>
        <v>0</v>
      </c>
      <c r="M14" s="197">
        <f t="shared" si="19"/>
        <v>0</v>
      </c>
      <c r="N14" s="197">
        <f t="shared" si="20"/>
        <v>0</v>
      </c>
      <c r="O14" s="197">
        <f t="shared" si="21"/>
        <v>0</v>
      </c>
      <c r="P14" s="197">
        <f t="shared" si="22"/>
        <v>0</v>
      </c>
      <c r="Q14" s="197">
        <f t="shared" si="23"/>
        <v>0</v>
      </c>
      <c r="R14" s="197">
        <f t="shared" si="24"/>
        <v>0</v>
      </c>
      <c r="S14" s="197">
        <f t="shared" si="25"/>
        <v>0</v>
      </c>
      <c r="T14" s="197">
        <f t="shared" si="26"/>
        <v>0</v>
      </c>
      <c r="U14" s="197">
        <f t="shared" si="27"/>
        <v>0</v>
      </c>
      <c r="V14" s="197">
        <f t="shared" si="28"/>
        <v>0</v>
      </c>
      <c r="W14" s="8" t="str">
        <f>IF(C14&lt;&gt;"",MATCH(_xlfn.NUMBERVALUE(LEFT(C14,4)),KiemTraBCD!$B$10:$B$1000,0),"")</f>
        <v/>
      </c>
      <c r="Z14" s="191">
        <f t="shared" si="11"/>
        <v>0</v>
      </c>
      <c r="AA14" s="191">
        <f t="shared" si="12"/>
        <v>0</v>
      </c>
      <c r="AB14" s="191">
        <f t="shared" si="13"/>
        <v>0</v>
      </c>
      <c r="AC14" s="191">
        <f t="shared" si="14"/>
        <v>0</v>
      </c>
      <c r="AD14" s="191">
        <f t="shared" si="15"/>
        <v>0</v>
      </c>
      <c r="AE14" s="191">
        <f t="shared" si="16"/>
        <v>0</v>
      </c>
      <c r="AI14" s="191">
        <f t="shared" si="29"/>
        <v>0</v>
      </c>
      <c r="AJ14" s="191">
        <f t="shared" si="30"/>
        <v>0</v>
      </c>
      <c r="AK14" s="191">
        <f t="shared" si="31"/>
        <v>0</v>
      </c>
      <c r="AL14" s="191">
        <f t="shared" si="32"/>
        <v>0</v>
      </c>
      <c r="AM14" s="191">
        <f t="shared" si="33"/>
        <v>0</v>
      </c>
      <c r="AN14" s="191">
        <f t="shared" si="34"/>
        <v>0</v>
      </c>
    </row>
    <row r="15" spans="2:40" x14ac:dyDescent="0.45">
      <c r="E15" s="191"/>
      <c r="F15" s="191"/>
      <c r="G15" s="191"/>
      <c r="H15" s="191"/>
      <c r="I15" s="191"/>
      <c r="J15" s="191"/>
      <c r="L15" s="8">
        <f t="shared" si="18"/>
        <v>0</v>
      </c>
      <c r="M15" s="197">
        <f t="shared" si="19"/>
        <v>0</v>
      </c>
      <c r="N15" s="197">
        <f t="shared" si="20"/>
        <v>0</v>
      </c>
      <c r="O15" s="197">
        <f t="shared" si="21"/>
        <v>0</v>
      </c>
      <c r="P15" s="197">
        <f t="shared" si="22"/>
        <v>0</v>
      </c>
      <c r="Q15" s="197">
        <f t="shared" si="23"/>
        <v>0</v>
      </c>
      <c r="R15" s="197">
        <f t="shared" si="24"/>
        <v>0</v>
      </c>
      <c r="S15" s="197">
        <f t="shared" si="25"/>
        <v>0</v>
      </c>
      <c r="T15" s="197">
        <f t="shared" si="26"/>
        <v>0</v>
      </c>
      <c r="U15" s="197">
        <f t="shared" si="27"/>
        <v>0</v>
      </c>
      <c r="V15" s="197">
        <f t="shared" si="28"/>
        <v>0</v>
      </c>
      <c r="W15" s="8" t="str">
        <f>IF(C15&lt;&gt;"",MATCH(_xlfn.NUMBERVALUE(LEFT(C15,4)),KiemTraBCD!$B$10:$B$1000,0),"")</f>
        <v/>
      </c>
      <c r="Z15" s="191">
        <f t="shared" si="11"/>
        <v>0</v>
      </c>
      <c r="AA15" s="191">
        <f t="shared" si="12"/>
        <v>0</v>
      </c>
      <c r="AB15" s="191">
        <f t="shared" si="13"/>
        <v>0</v>
      </c>
      <c r="AC15" s="191">
        <f t="shared" si="14"/>
        <v>0</v>
      </c>
      <c r="AD15" s="191">
        <f t="shared" si="15"/>
        <v>0</v>
      </c>
      <c r="AE15" s="191">
        <f t="shared" si="16"/>
        <v>0</v>
      </c>
      <c r="AI15" s="191">
        <f t="shared" si="29"/>
        <v>0</v>
      </c>
      <c r="AJ15" s="191">
        <f t="shared" si="30"/>
        <v>0</v>
      </c>
      <c r="AK15" s="191">
        <f t="shared" si="31"/>
        <v>0</v>
      </c>
      <c r="AL15" s="191">
        <f t="shared" si="32"/>
        <v>0</v>
      </c>
      <c r="AM15" s="191">
        <f t="shared" si="33"/>
        <v>0</v>
      </c>
      <c r="AN15" s="191">
        <f t="shared" si="34"/>
        <v>0</v>
      </c>
    </row>
    <row r="16" spans="2:40" x14ac:dyDescent="0.45">
      <c r="E16" s="191"/>
      <c r="F16" s="191"/>
      <c r="G16" s="191"/>
      <c r="H16" s="191"/>
      <c r="I16" s="191"/>
      <c r="J16" s="191"/>
      <c r="L16" s="8">
        <f t="shared" si="18"/>
        <v>0</v>
      </c>
      <c r="M16" s="197">
        <f t="shared" si="19"/>
        <v>0</v>
      </c>
      <c r="N16" s="197">
        <f t="shared" si="20"/>
        <v>0</v>
      </c>
      <c r="O16" s="197">
        <f t="shared" si="21"/>
        <v>0</v>
      </c>
      <c r="P16" s="197">
        <f t="shared" si="22"/>
        <v>0</v>
      </c>
      <c r="Q16" s="197">
        <f t="shared" si="23"/>
        <v>0</v>
      </c>
      <c r="R16" s="197">
        <f t="shared" si="24"/>
        <v>0</v>
      </c>
      <c r="S16" s="197">
        <f t="shared" si="25"/>
        <v>0</v>
      </c>
      <c r="T16" s="197">
        <f t="shared" si="26"/>
        <v>0</v>
      </c>
      <c r="U16" s="197">
        <f t="shared" si="27"/>
        <v>0</v>
      </c>
      <c r="V16" s="197">
        <f t="shared" si="28"/>
        <v>0</v>
      </c>
      <c r="W16" s="8" t="str">
        <f>IF(C16&lt;&gt;"",MATCH(_xlfn.NUMBERVALUE(LEFT(C16,4)),KiemTraBCD!$B$10:$B$1000,0),"")</f>
        <v/>
      </c>
      <c r="Z16" s="191">
        <f t="shared" si="11"/>
        <v>0</v>
      </c>
      <c r="AA16" s="191">
        <f t="shared" si="12"/>
        <v>0</v>
      </c>
      <c r="AB16" s="191">
        <f t="shared" si="13"/>
        <v>0</v>
      </c>
      <c r="AC16" s="191">
        <f t="shared" si="14"/>
        <v>0</v>
      </c>
      <c r="AD16" s="191">
        <f t="shared" si="15"/>
        <v>0</v>
      </c>
      <c r="AE16" s="191">
        <f t="shared" si="16"/>
        <v>0</v>
      </c>
      <c r="AI16" s="191">
        <f t="shared" si="29"/>
        <v>0</v>
      </c>
      <c r="AJ16" s="191">
        <f t="shared" si="30"/>
        <v>0</v>
      </c>
      <c r="AK16" s="191">
        <f t="shared" si="31"/>
        <v>0</v>
      </c>
      <c r="AL16" s="191">
        <f t="shared" si="32"/>
        <v>0</v>
      </c>
      <c r="AM16" s="191">
        <f t="shared" si="33"/>
        <v>0</v>
      </c>
      <c r="AN16" s="191">
        <f t="shared" si="34"/>
        <v>0</v>
      </c>
    </row>
    <row r="17" spans="5:42" x14ac:dyDescent="0.45">
      <c r="E17" s="191"/>
      <c r="F17" s="191"/>
      <c r="G17" s="191"/>
      <c r="H17" s="191"/>
      <c r="I17" s="191"/>
      <c r="J17" s="191"/>
      <c r="L17" s="8">
        <f t="shared" si="18"/>
        <v>0</v>
      </c>
      <c r="M17" s="197">
        <f t="shared" si="19"/>
        <v>0</v>
      </c>
      <c r="N17" s="197">
        <f t="shared" si="20"/>
        <v>0</v>
      </c>
      <c r="O17" s="197">
        <f t="shared" si="21"/>
        <v>0</v>
      </c>
      <c r="P17" s="197">
        <f t="shared" si="22"/>
        <v>0</v>
      </c>
      <c r="Q17" s="197">
        <f t="shared" si="23"/>
        <v>0</v>
      </c>
      <c r="R17" s="197">
        <f t="shared" si="24"/>
        <v>0</v>
      </c>
      <c r="S17" s="197">
        <f t="shared" si="25"/>
        <v>0</v>
      </c>
      <c r="T17" s="197">
        <f t="shared" si="26"/>
        <v>0</v>
      </c>
      <c r="U17" s="197">
        <f t="shared" si="27"/>
        <v>0</v>
      </c>
      <c r="V17" s="197">
        <f t="shared" si="28"/>
        <v>0</v>
      </c>
      <c r="W17" s="8" t="str">
        <f>IF(C17&lt;&gt;"",MATCH(_xlfn.NUMBERVALUE(LEFT(C17,4)),KiemTraBCD!$B$10:$B$1000,0),"")</f>
        <v/>
      </c>
      <c r="Z17" s="191">
        <f t="shared" si="11"/>
        <v>0</v>
      </c>
      <c r="AA17" s="191">
        <f t="shared" si="12"/>
        <v>0</v>
      </c>
      <c r="AB17" s="191">
        <f t="shared" si="13"/>
        <v>0</v>
      </c>
      <c r="AC17" s="191">
        <f t="shared" si="14"/>
        <v>0</v>
      </c>
      <c r="AD17" s="191">
        <f t="shared" si="15"/>
        <v>0</v>
      </c>
      <c r="AE17" s="191">
        <f t="shared" si="16"/>
        <v>0</v>
      </c>
      <c r="AI17" s="191">
        <f t="shared" si="29"/>
        <v>0</v>
      </c>
      <c r="AJ17" s="191">
        <f t="shared" si="30"/>
        <v>0</v>
      </c>
      <c r="AK17" s="191">
        <f t="shared" si="31"/>
        <v>0</v>
      </c>
      <c r="AL17" s="191">
        <f t="shared" si="32"/>
        <v>0</v>
      </c>
      <c r="AM17" s="191">
        <f t="shared" si="33"/>
        <v>0</v>
      </c>
      <c r="AN17" s="191">
        <f t="shared" si="34"/>
        <v>0</v>
      </c>
    </row>
    <row r="18" spans="5:42" x14ac:dyDescent="0.45">
      <c r="E18" s="191"/>
      <c r="F18" s="191"/>
      <c r="G18" s="191"/>
      <c r="H18" s="191"/>
      <c r="I18" s="191"/>
      <c r="J18" s="191"/>
      <c r="L18" s="8">
        <f t="shared" si="18"/>
        <v>0</v>
      </c>
      <c r="M18" s="197">
        <f t="shared" si="19"/>
        <v>0</v>
      </c>
      <c r="N18" s="197">
        <f t="shared" si="20"/>
        <v>0</v>
      </c>
      <c r="O18" s="197">
        <f t="shared" si="21"/>
        <v>0</v>
      </c>
      <c r="P18" s="197">
        <f t="shared" si="22"/>
        <v>0</v>
      </c>
      <c r="Q18" s="197">
        <f t="shared" si="23"/>
        <v>0</v>
      </c>
      <c r="R18" s="197">
        <f t="shared" si="24"/>
        <v>0</v>
      </c>
      <c r="S18" s="197">
        <f t="shared" si="25"/>
        <v>0</v>
      </c>
      <c r="T18" s="197">
        <f t="shared" si="26"/>
        <v>0</v>
      </c>
      <c r="U18" s="197">
        <f t="shared" si="27"/>
        <v>0</v>
      </c>
      <c r="V18" s="197">
        <f t="shared" si="28"/>
        <v>0</v>
      </c>
      <c r="W18" s="8" t="str">
        <f>IF(C18&lt;&gt;"",MATCH(_xlfn.NUMBERVALUE(LEFT(C18,4)),KiemTraBCD!$B$10:$B$1000,0),"")</f>
        <v/>
      </c>
      <c r="Z18" s="191">
        <f t="shared" si="11"/>
        <v>0</v>
      </c>
      <c r="AA18" s="191">
        <f t="shared" si="12"/>
        <v>0</v>
      </c>
      <c r="AB18" s="191">
        <f t="shared" si="13"/>
        <v>0</v>
      </c>
      <c r="AC18" s="191">
        <f t="shared" si="14"/>
        <v>0</v>
      </c>
      <c r="AD18" s="191">
        <f t="shared" si="15"/>
        <v>0</v>
      </c>
      <c r="AE18" s="191">
        <f t="shared" si="16"/>
        <v>0</v>
      </c>
      <c r="AI18" s="191">
        <f t="shared" si="29"/>
        <v>0</v>
      </c>
      <c r="AJ18" s="191">
        <f t="shared" si="30"/>
        <v>0</v>
      </c>
      <c r="AK18" s="191">
        <f t="shared" si="31"/>
        <v>0</v>
      </c>
      <c r="AL18" s="191">
        <f t="shared" si="32"/>
        <v>0</v>
      </c>
      <c r="AM18" s="191">
        <f t="shared" si="33"/>
        <v>0</v>
      </c>
      <c r="AN18" s="191">
        <f t="shared" si="34"/>
        <v>0</v>
      </c>
    </row>
    <row r="19" spans="5:42" x14ac:dyDescent="0.45">
      <c r="E19" s="191"/>
      <c r="F19" s="191"/>
      <c r="G19" s="191"/>
      <c r="H19" s="191"/>
      <c r="I19" s="191"/>
      <c r="J19" s="191"/>
      <c r="L19" s="8">
        <f t="shared" si="18"/>
        <v>0</v>
      </c>
      <c r="M19" s="197">
        <f t="shared" si="19"/>
        <v>0</v>
      </c>
      <c r="N19" s="197">
        <f t="shared" si="20"/>
        <v>0</v>
      </c>
      <c r="O19" s="197">
        <f t="shared" si="21"/>
        <v>0</v>
      </c>
      <c r="P19" s="197">
        <f t="shared" si="22"/>
        <v>0</v>
      </c>
      <c r="Q19" s="197">
        <f t="shared" si="23"/>
        <v>0</v>
      </c>
      <c r="R19" s="197">
        <f t="shared" si="24"/>
        <v>0</v>
      </c>
      <c r="S19" s="197">
        <f t="shared" si="25"/>
        <v>0</v>
      </c>
      <c r="T19" s="197">
        <f t="shared" si="26"/>
        <v>0</v>
      </c>
      <c r="U19" s="197">
        <f t="shared" si="27"/>
        <v>0</v>
      </c>
      <c r="V19" s="197">
        <f t="shared" si="28"/>
        <v>0</v>
      </c>
      <c r="W19" s="8" t="str">
        <f>IF(C19&lt;&gt;"",MATCH(_xlfn.NUMBERVALUE(LEFT(C19,4)),KiemTraBCD!$B$10:$B$1000,0),"")</f>
        <v/>
      </c>
      <c r="Z19" s="191">
        <f t="shared" si="11"/>
        <v>0</v>
      </c>
      <c r="AA19" s="191">
        <f t="shared" si="12"/>
        <v>0</v>
      </c>
      <c r="AB19" s="191">
        <f t="shared" si="13"/>
        <v>0</v>
      </c>
      <c r="AC19" s="191">
        <f t="shared" si="14"/>
        <v>0</v>
      </c>
      <c r="AD19" s="191">
        <f t="shared" si="15"/>
        <v>0</v>
      </c>
      <c r="AE19" s="191">
        <f t="shared" si="16"/>
        <v>0</v>
      </c>
      <c r="AI19" s="191">
        <f t="shared" si="29"/>
        <v>0</v>
      </c>
      <c r="AJ19" s="191">
        <f t="shared" si="30"/>
        <v>0</v>
      </c>
      <c r="AK19" s="191">
        <f t="shared" si="31"/>
        <v>0</v>
      </c>
      <c r="AL19" s="191">
        <f t="shared" si="32"/>
        <v>0</v>
      </c>
      <c r="AM19" s="191">
        <f t="shared" si="33"/>
        <v>0</v>
      </c>
      <c r="AN19" s="191">
        <f t="shared" si="34"/>
        <v>0</v>
      </c>
      <c r="AO19" s="191">
        <f>E19-F19</f>
        <v>0</v>
      </c>
      <c r="AP19" s="191">
        <f>I19-J19</f>
        <v>0</v>
      </c>
    </row>
    <row r="20" spans="5:42" x14ac:dyDescent="0.45">
      <c r="E20" s="191"/>
      <c r="F20" s="191"/>
      <c r="G20" s="191"/>
      <c r="H20" s="191"/>
      <c r="I20" s="191"/>
      <c r="J20" s="191"/>
      <c r="L20" s="8">
        <f t="shared" si="18"/>
        <v>0</v>
      </c>
      <c r="M20" s="197">
        <f t="shared" si="19"/>
        <v>0</v>
      </c>
      <c r="N20" s="197">
        <f t="shared" si="20"/>
        <v>0</v>
      </c>
      <c r="O20" s="197">
        <f t="shared" si="21"/>
        <v>0</v>
      </c>
      <c r="P20" s="197">
        <f t="shared" si="22"/>
        <v>0</v>
      </c>
      <c r="Q20" s="197">
        <f t="shared" si="23"/>
        <v>0</v>
      </c>
      <c r="R20" s="197">
        <f t="shared" si="24"/>
        <v>0</v>
      </c>
      <c r="S20" s="197">
        <f t="shared" si="25"/>
        <v>0</v>
      </c>
      <c r="T20" s="197">
        <f t="shared" si="26"/>
        <v>0</v>
      </c>
      <c r="U20" s="197">
        <f t="shared" si="27"/>
        <v>0</v>
      </c>
      <c r="V20" s="197">
        <f t="shared" si="28"/>
        <v>0</v>
      </c>
      <c r="W20" s="8" t="str">
        <f>IF(C20&lt;&gt;"",MATCH(_xlfn.NUMBERVALUE(LEFT(C20,4)),KiemTraBCD!$B$10:$B$1000,0),"")</f>
        <v/>
      </c>
      <c r="Z20" s="191">
        <f t="shared" si="11"/>
        <v>0</v>
      </c>
      <c r="AA20" s="191">
        <f t="shared" si="12"/>
        <v>0</v>
      </c>
      <c r="AB20" s="191">
        <f t="shared" si="13"/>
        <v>0</v>
      </c>
      <c r="AC20" s="191">
        <f t="shared" si="14"/>
        <v>0</v>
      </c>
      <c r="AD20" s="191">
        <f t="shared" si="15"/>
        <v>0</v>
      </c>
      <c r="AE20" s="191">
        <f t="shared" si="16"/>
        <v>0</v>
      </c>
      <c r="AI20" s="191">
        <f t="shared" si="29"/>
        <v>0</v>
      </c>
      <c r="AJ20" s="191">
        <f t="shared" si="30"/>
        <v>0</v>
      </c>
      <c r="AK20" s="191">
        <f t="shared" si="31"/>
        <v>0</v>
      </c>
      <c r="AL20" s="191">
        <f t="shared" si="32"/>
        <v>0</v>
      </c>
      <c r="AM20" s="191">
        <f t="shared" si="33"/>
        <v>0</v>
      </c>
      <c r="AN20" s="191">
        <f t="shared" si="34"/>
        <v>0</v>
      </c>
      <c r="AO20" s="191">
        <f>E20-F20</f>
        <v>0</v>
      </c>
      <c r="AP20" s="191">
        <f>I20-J20</f>
        <v>0</v>
      </c>
    </row>
    <row r="21" spans="5:42" x14ac:dyDescent="0.45">
      <c r="E21" s="191"/>
      <c r="F21" s="191"/>
      <c r="G21" s="191"/>
      <c r="H21" s="191"/>
      <c r="I21" s="191"/>
      <c r="J21" s="191"/>
      <c r="L21" s="8">
        <f t="shared" si="18"/>
        <v>0</v>
      </c>
      <c r="M21" s="197">
        <f t="shared" si="19"/>
        <v>0</v>
      </c>
      <c r="N21" s="197">
        <f t="shared" si="20"/>
        <v>0</v>
      </c>
      <c r="O21" s="197">
        <f t="shared" si="21"/>
        <v>0</v>
      </c>
      <c r="P21" s="197">
        <f t="shared" si="22"/>
        <v>0</v>
      </c>
      <c r="Q21" s="197">
        <f t="shared" si="23"/>
        <v>0</v>
      </c>
      <c r="R21" s="197">
        <f t="shared" si="24"/>
        <v>0</v>
      </c>
      <c r="S21" s="197">
        <f t="shared" si="25"/>
        <v>0</v>
      </c>
      <c r="T21" s="197">
        <f t="shared" si="26"/>
        <v>0</v>
      </c>
      <c r="U21" s="197">
        <f t="shared" si="27"/>
        <v>0</v>
      </c>
      <c r="V21" s="197">
        <f t="shared" si="28"/>
        <v>0</v>
      </c>
      <c r="W21" s="8" t="str">
        <f>IF(C21&lt;&gt;"",MATCH(_xlfn.NUMBERVALUE(LEFT(C21,4)),KiemTraBCD!$B$10:$B$1000,0),"")</f>
        <v/>
      </c>
      <c r="Z21" s="191">
        <f t="shared" si="11"/>
        <v>0</v>
      </c>
      <c r="AA21" s="191">
        <f t="shared" si="12"/>
        <v>0</v>
      </c>
      <c r="AB21" s="191">
        <f t="shared" si="13"/>
        <v>0</v>
      </c>
      <c r="AC21" s="191">
        <f t="shared" si="14"/>
        <v>0</v>
      </c>
      <c r="AD21" s="191">
        <f t="shared" si="15"/>
        <v>0</v>
      </c>
      <c r="AE21" s="191">
        <f t="shared" si="16"/>
        <v>0</v>
      </c>
      <c r="AI21" s="191">
        <f t="shared" si="29"/>
        <v>0</v>
      </c>
      <c r="AJ21" s="191">
        <f t="shared" si="30"/>
        <v>0</v>
      </c>
      <c r="AK21" s="191">
        <f t="shared" si="31"/>
        <v>0</v>
      </c>
      <c r="AL21" s="191">
        <f t="shared" si="32"/>
        <v>0</v>
      </c>
      <c r="AM21" s="191">
        <f t="shared" si="33"/>
        <v>0</v>
      </c>
      <c r="AN21" s="191">
        <f t="shared" si="34"/>
        <v>0</v>
      </c>
    </row>
    <row r="22" spans="5:42" x14ac:dyDescent="0.45">
      <c r="E22" s="191"/>
      <c r="F22" s="191"/>
      <c r="G22" s="191"/>
      <c r="H22" s="191"/>
      <c r="I22" s="191"/>
      <c r="J22" s="191"/>
      <c r="L22" s="8">
        <f t="shared" si="18"/>
        <v>0</v>
      </c>
      <c r="M22" s="197">
        <f t="shared" si="19"/>
        <v>0</v>
      </c>
      <c r="N22" s="197">
        <f t="shared" si="20"/>
        <v>0</v>
      </c>
      <c r="O22" s="197">
        <f t="shared" si="21"/>
        <v>0</v>
      </c>
      <c r="P22" s="197">
        <f t="shared" si="22"/>
        <v>0</v>
      </c>
      <c r="Q22" s="197">
        <f t="shared" si="23"/>
        <v>0</v>
      </c>
      <c r="R22" s="197">
        <f t="shared" si="24"/>
        <v>0</v>
      </c>
      <c r="S22" s="197">
        <f t="shared" si="25"/>
        <v>0</v>
      </c>
      <c r="T22" s="197">
        <f t="shared" si="26"/>
        <v>0</v>
      </c>
      <c r="U22" s="197">
        <f t="shared" si="27"/>
        <v>0</v>
      </c>
      <c r="V22" s="197">
        <f t="shared" si="28"/>
        <v>0</v>
      </c>
      <c r="W22" s="8" t="str">
        <f>IF(C22&lt;&gt;"",MATCH(_xlfn.NUMBERVALUE(LEFT(C22,4)),KiemTraBCD!$B$10:$B$1000,0),"")</f>
        <v/>
      </c>
      <c r="Z22" s="191">
        <f t="shared" si="11"/>
        <v>0</v>
      </c>
      <c r="AA22" s="191">
        <f t="shared" si="12"/>
        <v>0</v>
      </c>
      <c r="AB22" s="191">
        <f t="shared" si="13"/>
        <v>0</v>
      </c>
      <c r="AC22" s="191">
        <f t="shared" si="14"/>
        <v>0</v>
      </c>
      <c r="AD22" s="191">
        <f t="shared" si="15"/>
        <v>0</v>
      </c>
      <c r="AE22" s="191">
        <f t="shared" si="16"/>
        <v>0</v>
      </c>
      <c r="AI22" s="191">
        <f t="shared" si="29"/>
        <v>0</v>
      </c>
      <c r="AJ22" s="191">
        <f t="shared" si="30"/>
        <v>0</v>
      </c>
      <c r="AK22" s="191">
        <f t="shared" si="31"/>
        <v>0</v>
      </c>
      <c r="AL22" s="191">
        <f t="shared" si="32"/>
        <v>0</v>
      </c>
      <c r="AM22" s="191">
        <f t="shared" si="33"/>
        <v>0</v>
      </c>
      <c r="AN22" s="191">
        <f t="shared" si="34"/>
        <v>0</v>
      </c>
    </row>
    <row r="23" spans="5:42" x14ac:dyDescent="0.45">
      <c r="E23" s="191"/>
      <c r="F23" s="191"/>
      <c r="G23" s="191"/>
      <c r="H23" s="191"/>
      <c r="I23" s="191"/>
      <c r="J23" s="191"/>
      <c r="L23" s="8">
        <f t="shared" si="18"/>
        <v>0</v>
      </c>
      <c r="M23" s="197">
        <f t="shared" si="19"/>
        <v>0</v>
      </c>
      <c r="N23" s="197">
        <f t="shared" si="20"/>
        <v>0</v>
      </c>
      <c r="O23" s="197">
        <f t="shared" si="21"/>
        <v>0</v>
      </c>
      <c r="P23" s="197">
        <f t="shared" si="22"/>
        <v>0</v>
      </c>
      <c r="Q23" s="197">
        <f t="shared" si="23"/>
        <v>0</v>
      </c>
      <c r="R23" s="197">
        <f t="shared" si="24"/>
        <v>0</v>
      </c>
      <c r="S23" s="197">
        <f t="shared" si="25"/>
        <v>0</v>
      </c>
      <c r="T23" s="197">
        <f t="shared" si="26"/>
        <v>0</v>
      </c>
      <c r="U23" s="197">
        <f t="shared" si="27"/>
        <v>0</v>
      </c>
      <c r="V23" s="197">
        <f t="shared" si="28"/>
        <v>0</v>
      </c>
      <c r="Z23" s="191"/>
      <c r="AA23" s="191"/>
      <c r="AB23" s="191"/>
      <c r="AC23" s="191"/>
      <c r="AD23" s="191"/>
      <c r="AE23" s="191"/>
      <c r="AI23" s="191">
        <f t="shared" si="29"/>
        <v>0</v>
      </c>
      <c r="AJ23" s="191">
        <f t="shared" si="30"/>
        <v>0</v>
      </c>
      <c r="AK23" s="191">
        <f t="shared" si="31"/>
        <v>0</v>
      </c>
      <c r="AL23" s="191">
        <f t="shared" si="32"/>
        <v>0</v>
      </c>
      <c r="AM23" s="191">
        <f t="shared" si="33"/>
        <v>0</v>
      </c>
      <c r="AN23" s="191">
        <f t="shared" si="34"/>
        <v>0</v>
      </c>
    </row>
    <row r="24" spans="5:42" x14ac:dyDescent="0.45">
      <c r="E24" s="191"/>
      <c r="F24" s="191"/>
      <c r="G24" s="191"/>
      <c r="H24" s="191"/>
      <c r="I24" s="191"/>
      <c r="J24" s="191"/>
      <c r="L24" s="8">
        <f t="shared" si="18"/>
        <v>0</v>
      </c>
      <c r="M24" s="197">
        <f t="shared" si="19"/>
        <v>0</v>
      </c>
      <c r="N24" s="197">
        <f t="shared" si="20"/>
        <v>0</v>
      </c>
      <c r="O24" s="197">
        <f t="shared" si="21"/>
        <v>0</v>
      </c>
      <c r="P24" s="197">
        <f t="shared" si="22"/>
        <v>0</v>
      </c>
      <c r="Q24" s="197">
        <f t="shared" si="23"/>
        <v>0</v>
      </c>
      <c r="R24" s="197">
        <f t="shared" si="24"/>
        <v>0</v>
      </c>
      <c r="S24" s="197">
        <f t="shared" si="25"/>
        <v>0</v>
      </c>
      <c r="T24" s="197">
        <f t="shared" si="26"/>
        <v>0</v>
      </c>
      <c r="U24" s="197">
        <f t="shared" si="27"/>
        <v>0</v>
      </c>
      <c r="V24" s="197">
        <f t="shared" si="28"/>
        <v>0</v>
      </c>
      <c r="W24" s="8" t="str">
        <f>IF(C24&lt;&gt;"",MATCH(_xlfn.NUMBERVALUE(LEFT(C24,4)),KiemTraBCD!$B$10:$B$1000,0),"")</f>
        <v/>
      </c>
      <c r="Z24" s="191">
        <f t="shared" ref="Z24:Z66" si="35">ROUND(E24,0)</f>
        <v>0</v>
      </c>
      <c r="AA24" s="191">
        <f t="shared" ref="AA24:AA66" si="36">ROUND(F24,0)</f>
        <v>0</v>
      </c>
      <c r="AB24" s="191">
        <f t="shared" ref="AB24:AB66" si="37">ROUND(G24,0)</f>
        <v>0</v>
      </c>
      <c r="AC24" s="191">
        <f t="shared" ref="AC24:AC66" si="38">ROUND(H24,0)</f>
        <v>0</v>
      </c>
      <c r="AD24" s="191">
        <f t="shared" ref="AD24:AD66" si="39">ROUND(I24,0)</f>
        <v>0</v>
      </c>
      <c r="AE24" s="191">
        <f t="shared" ref="AE24:AE66" si="40">ROUND(J24,0)</f>
        <v>0</v>
      </c>
      <c r="AI24" s="191">
        <f t="shared" si="29"/>
        <v>0</v>
      </c>
      <c r="AJ24" s="191">
        <f t="shared" si="30"/>
        <v>0</v>
      </c>
      <c r="AK24" s="191">
        <f t="shared" si="31"/>
        <v>0</v>
      </c>
      <c r="AL24" s="191">
        <f t="shared" si="32"/>
        <v>0</v>
      </c>
      <c r="AM24" s="191">
        <f t="shared" si="33"/>
        <v>0</v>
      </c>
      <c r="AN24" s="191">
        <f t="shared" si="34"/>
        <v>0</v>
      </c>
    </row>
    <row r="25" spans="5:42" x14ac:dyDescent="0.45">
      <c r="E25" s="191"/>
      <c r="F25" s="191"/>
      <c r="G25" s="191"/>
      <c r="H25" s="191"/>
      <c r="I25" s="191"/>
      <c r="J25" s="191"/>
      <c r="L25" s="8">
        <f t="shared" si="18"/>
        <v>0</v>
      </c>
      <c r="M25" s="197">
        <f t="shared" si="19"/>
        <v>0</v>
      </c>
      <c r="N25" s="197">
        <f t="shared" si="20"/>
        <v>0</v>
      </c>
      <c r="O25" s="197">
        <f t="shared" si="21"/>
        <v>0</v>
      </c>
      <c r="P25" s="197">
        <f t="shared" si="22"/>
        <v>0</v>
      </c>
      <c r="Q25" s="197">
        <f t="shared" si="23"/>
        <v>0</v>
      </c>
      <c r="R25" s="197">
        <f t="shared" si="24"/>
        <v>0</v>
      </c>
      <c r="S25" s="197">
        <f t="shared" si="25"/>
        <v>0</v>
      </c>
      <c r="T25" s="197">
        <f t="shared" si="26"/>
        <v>0</v>
      </c>
      <c r="U25" s="197">
        <f t="shared" si="27"/>
        <v>0</v>
      </c>
      <c r="V25" s="197">
        <f t="shared" si="28"/>
        <v>0</v>
      </c>
      <c r="W25" s="8" t="str">
        <f>IF(C25&lt;&gt;"",MATCH(_xlfn.NUMBERVALUE(LEFT(C25,4)),KiemTraBCD!$B$10:$B$1000,0),"")</f>
        <v/>
      </c>
      <c r="Z25" s="191">
        <f t="shared" si="35"/>
        <v>0</v>
      </c>
      <c r="AA25" s="191">
        <f t="shared" si="36"/>
        <v>0</v>
      </c>
      <c r="AB25" s="191">
        <f t="shared" si="37"/>
        <v>0</v>
      </c>
      <c r="AC25" s="191">
        <f t="shared" si="38"/>
        <v>0</v>
      </c>
      <c r="AD25" s="191">
        <f t="shared" si="39"/>
        <v>0</v>
      </c>
      <c r="AE25" s="191">
        <f t="shared" si="40"/>
        <v>0</v>
      </c>
      <c r="AI25" s="191">
        <f t="shared" si="29"/>
        <v>0</v>
      </c>
      <c r="AJ25" s="191">
        <f t="shared" si="30"/>
        <v>0</v>
      </c>
      <c r="AK25" s="191">
        <f t="shared" si="31"/>
        <v>0</v>
      </c>
      <c r="AL25" s="191">
        <f t="shared" si="32"/>
        <v>0</v>
      </c>
      <c r="AM25" s="191">
        <f t="shared" si="33"/>
        <v>0</v>
      </c>
      <c r="AN25" s="191">
        <f t="shared" si="34"/>
        <v>0</v>
      </c>
    </row>
    <row r="26" spans="5:42" x14ac:dyDescent="0.45">
      <c r="E26" s="191"/>
      <c r="F26" s="191"/>
      <c r="G26" s="191"/>
      <c r="H26" s="191"/>
      <c r="I26" s="191"/>
      <c r="J26" s="191"/>
      <c r="K26" s="191">
        <f t="shared" ref="K26" si="41">K27+K29+K30</f>
        <v>0</v>
      </c>
      <c r="L26" s="8">
        <f t="shared" si="18"/>
        <v>0</v>
      </c>
      <c r="M26" s="197">
        <f t="shared" si="19"/>
        <v>0</v>
      </c>
      <c r="N26" s="197">
        <f t="shared" si="20"/>
        <v>0</v>
      </c>
      <c r="O26" s="197">
        <f t="shared" si="21"/>
        <v>0</v>
      </c>
      <c r="P26" s="197">
        <f t="shared" si="22"/>
        <v>0</v>
      </c>
      <c r="Q26" s="197">
        <f t="shared" si="23"/>
        <v>0</v>
      </c>
      <c r="R26" s="197">
        <f t="shared" si="24"/>
        <v>0</v>
      </c>
      <c r="S26" s="197">
        <f t="shared" si="25"/>
        <v>0</v>
      </c>
      <c r="T26" s="197">
        <f t="shared" si="26"/>
        <v>0</v>
      </c>
      <c r="U26" s="197">
        <f t="shared" si="27"/>
        <v>0</v>
      </c>
      <c r="V26" s="197">
        <f t="shared" si="28"/>
        <v>0</v>
      </c>
      <c r="W26" s="8" t="str">
        <f>IF(C26&lt;&gt;"",MATCH(_xlfn.NUMBERVALUE(LEFT(C26,4)),KiemTraBCD!$B$10:$B$1000,0),"")</f>
        <v/>
      </c>
      <c r="Z26" s="191">
        <f t="shared" si="35"/>
        <v>0</v>
      </c>
      <c r="AA26" s="191">
        <f t="shared" si="36"/>
        <v>0</v>
      </c>
      <c r="AB26" s="191">
        <f t="shared" si="37"/>
        <v>0</v>
      </c>
      <c r="AC26" s="191">
        <f t="shared" si="38"/>
        <v>0</v>
      </c>
      <c r="AD26" s="191">
        <f t="shared" si="39"/>
        <v>0</v>
      </c>
      <c r="AE26" s="191">
        <f t="shared" si="40"/>
        <v>0</v>
      </c>
      <c r="AI26" s="191">
        <f t="shared" si="29"/>
        <v>0</v>
      </c>
      <c r="AJ26" s="191">
        <f t="shared" si="30"/>
        <v>0</v>
      </c>
      <c r="AK26" s="191">
        <f t="shared" si="31"/>
        <v>0</v>
      </c>
      <c r="AL26" s="191">
        <f t="shared" si="32"/>
        <v>0</v>
      </c>
      <c r="AM26" s="191">
        <f t="shared" si="33"/>
        <v>0</v>
      </c>
      <c r="AN26" s="191">
        <f t="shared" si="34"/>
        <v>0</v>
      </c>
    </row>
    <row r="27" spans="5:42" x14ac:dyDescent="0.45">
      <c r="E27" s="191"/>
      <c r="F27" s="191"/>
      <c r="G27" s="191"/>
      <c r="H27" s="191"/>
      <c r="I27" s="191"/>
      <c r="J27" s="191"/>
      <c r="L27" s="8">
        <f t="shared" si="18"/>
        <v>0</v>
      </c>
      <c r="M27" s="197">
        <f t="shared" si="19"/>
        <v>0</v>
      </c>
      <c r="N27" s="197">
        <f t="shared" si="20"/>
        <v>0</v>
      </c>
      <c r="O27" s="197">
        <f t="shared" si="21"/>
        <v>0</v>
      </c>
      <c r="P27" s="197">
        <f t="shared" si="22"/>
        <v>0</v>
      </c>
      <c r="Q27" s="197">
        <f t="shared" si="23"/>
        <v>0</v>
      </c>
      <c r="R27" s="197">
        <f t="shared" si="24"/>
        <v>0</v>
      </c>
      <c r="S27" s="197">
        <f t="shared" si="25"/>
        <v>0</v>
      </c>
      <c r="T27" s="197">
        <f t="shared" si="26"/>
        <v>0</v>
      </c>
      <c r="U27" s="197">
        <f t="shared" si="27"/>
        <v>0</v>
      </c>
      <c r="V27" s="197">
        <f t="shared" si="28"/>
        <v>0</v>
      </c>
      <c r="W27" s="8" t="str">
        <f>IF(C27&lt;&gt;"",MATCH(_xlfn.NUMBERVALUE(LEFT(C27,4)),KiemTraBCD!$B$10:$B$1000,0),"")</f>
        <v/>
      </c>
      <c r="Z27" s="191">
        <f t="shared" si="35"/>
        <v>0</v>
      </c>
      <c r="AA27" s="191">
        <f t="shared" si="36"/>
        <v>0</v>
      </c>
      <c r="AB27" s="191">
        <f t="shared" si="37"/>
        <v>0</v>
      </c>
      <c r="AC27" s="191">
        <f t="shared" si="38"/>
        <v>0</v>
      </c>
      <c r="AD27" s="191">
        <f t="shared" si="39"/>
        <v>0</v>
      </c>
      <c r="AE27" s="191">
        <f t="shared" si="40"/>
        <v>0</v>
      </c>
      <c r="AI27" s="191">
        <f t="shared" si="29"/>
        <v>0</v>
      </c>
      <c r="AJ27" s="191">
        <f t="shared" si="30"/>
        <v>0</v>
      </c>
      <c r="AK27" s="191">
        <f t="shared" si="31"/>
        <v>0</v>
      </c>
      <c r="AL27" s="191">
        <f t="shared" si="32"/>
        <v>0</v>
      </c>
      <c r="AM27" s="191">
        <f t="shared" si="33"/>
        <v>0</v>
      </c>
      <c r="AN27" s="191">
        <f t="shared" si="34"/>
        <v>0</v>
      </c>
    </row>
    <row r="28" spans="5:42" x14ac:dyDescent="0.45">
      <c r="E28" s="191"/>
      <c r="F28" s="191"/>
      <c r="G28" s="191"/>
      <c r="H28" s="191"/>
      <c r="I28" s="191"/>
      <c r="J28" s="191"/>
      <c r="L28" s="8">
        <f t="shared" si="18"/>
        <v>0</v>
      </c>
      <c r="M28" s="197">
        <f t="shared" si="19"/>
        <v>0</v>
      </c>
      <c r="N28" s="197">
        <f t="shared" si="20"/>
        <v>0</v>
      </c>
      <c r="O28" s="197">
        <f t="shared" si="21"/>
        <v>0</v>
      </c>
      <c r="P28" s="197">
        <f t="shared" si="22"/>
        <v>0</v>
      </c>
      <c r="Q28" s="197">
        <f t="shared" si="23"/>
        <v>0</v>
      </c>
      <c r="R28" s="197">
        <f t="shared" si="24"/>
        <v>0</v>
      </c>
      <c r="S28" s="197">
        <f t="shared" si="25"/>
        <v>0</v>
      </c>
      <c r="T28" s="197">
        <f t="shared" si="26"/>
        <v>0</v>
      </c>
      <c r="U28" s="197">
        <f t="shared" si="27"/>
        <v>0</v>
      </c>
      <c r="V28" s="197">
        <f t="shared" si="28"/>
        <v>0</v>
      </c>
      <c r="W28" s="8" t="str">
        <f>IF(C28&lt;&gt;"",MATCH(_xlfn.NUMBERVALUE(LEFT(C28,4)),KiemTraBCD!$B$10:$B$1000,0),"")</f>
        <v/>
      </c>
      <c r="Z28" s="191">
        <f t="shared" si="35"/>
        <v>0</v>
      </c>
      <c r="AA28" s="191">
        <f t="shared" si="36"/>
        <v>0</v>
      </c>
      <c r="AB28" s="191">
        <f t="shared" si="37"/>
        <v>0</v>
      </c>
      <c r="AC28" s="191">
        <f t="shared" si="38"/>
        <v>0</v>
      </c>
      <c r="AD28" s="191">
        <f t="shared" si="39"/>
        <v>0</v>
      </c>
      <c r="AE28" s="191">
        <f t="shared" si="40"/>
        <v>0</v>
      </c>
      <c r="AI28" s="191">
        <f t="shared" si="29"/>
        <v>0</v>
      </c>
      <c r="AJ28" s="191">
        <f t="shared" si="30"/>
        <v>0</v>
      </c>
      <c r="AK28" s="191">
        <f t="shared" si="31"/>
        <v>0</v>
      </c>
      <c r="AL28" s="191">
        <f t="shared" si="32"/>
        <v>0</v>
      </c>
      <c r="AM28" s="191">
        <f t="shared" si="33"/>
        <v>0</v>
      </c>
      <c r="AN28" s="191">
        <f t="shared" si="34"/>
        <v>0</v>
      </c>
    </row>
    <row r="29" spans="5:42" x14ac:dyDescent="0.45">
      <c r="E29" s="191"/>
      <c r="F29" s="191"/>
      <c r="G29" s="191"/>
      <c r="H29" s="191"/>
      <c r="I29" s="191"/>
      <c r="J29" s="191"/>
      <c r="L29" s="8">
        <f t="shared" si="18"/>
        <v>0</v>
      </c>
      <c r="M29" s="197">
        <f t="shared" si="19"/>
        <v>0</v>
      </c>
      <c r="N29" s="197">
        <f t="shared" si="20"/>
        <v>0</v>
      </c>
      <c r="O29" s="197">
        <f t="shared" si="21"/>
        <v>0</v>
      </c>
      <c r="P29" s="197">
        <f t="shared" si="22"/>
        <v>0</v>
      </c>
      <c r="Q29" s="197">
        <f t="shared" si="23"/>
        <v>0</v>
      </c>
      <c r="R29" s="197">
        <f t="shared" si="24"/>
        <v>0</v>
      </c>
      <c r="S29" s="197">
        <f t="shared" si="25"/>
        <v>0</v>
      </c>
      <c r="T29" s="197">
        <f t="shared" si="26"/>
        <v>0</v>
      </c>
      <c r="U29" s="197">
        <f t="shared" si="27"/>
        <v>0</v>
      </c>
      <c r="V29" s="197">
        <f t="shared" si="28"/>
        <v>0</v>
      </c>
      <c r="W29" s="8" t="str">
        <f>IF(C29&lt;&gt;"",MATCH(_xlfn.NUMBERVALUE(LEFT(C29,4)),KiemTraBCD!$B$10:$B$1000,0),"")</f>
        <v/>
      </c>
      <c r="Z29" s="191">
        <f t="shared" si="35"/>
        <v>0</v>
      </c>
      <c r="AA29" s="191">
        <f t="shared" si="36"/>
        <v>0</v>
      </c>
      <c r="AB29" s="191">
        <f t="shared" si="37"/>
        <v>0</v>
      </c>
      <c r="AC29" s="191">
        <f t="shared" si="38"/>
        <v>0</v>
      </c>
      <c r="AD29" s="191">
        <f t="shared" si="39"/>
        <v>0</v>
      </c>
      <c r="AE29" s="191">
        <f t="shared" si="40"/>
        <v>0</v>
      </c>
      <c r="AI29" s="191">
        <f t="shared" si="29"/>
        <v>0</v>
      </c>
      <c r="AJ29" s="191">
        <f t="shared" si="30"/>
        <v>0</v>
      </c>
      <c r="AK29" s="191">
        <f t="shared" si="31"/>
        <v>0</v>
      </c>
      <c r="AL29" s="191">
        <f t="shared" si="32"/>
        <v>0</v>
      </c>
      <c r="AM29" s="191">
        <f t="shared" si="33"/>
        <v>0</v>
      </c>
      <c r="AN29" s="191">
        <f t="shared" si="34"/>
        <v>0</v>
      </c>
    </row>
    <row r="30" spans="5:42" x14ac:dyDescent="0.45">
      <c r="E30" s="191"/>
      <c r="F30" s="191"/>
      <c r="G30" s="191"/>
      <c r="H30" s="191"/>
      <c r="I30" s="191"/>
      <c r="J30" s="191"/>
      <c r="L30" s="8">
        <f t="shared" si="18"/>
        <v>0</v>
      </c>
      <c r="M30" s="197">
        <f t="shared" si="19"/>
        <v>0</v>
      </c>
      <c r="N30" s="197">
        <f t="shared" si="20"/>
        <v>0</v>
      </c>
      <c r="O30" s="197">
        <f t="shared" si="21"/>
        <v>0</v>
      </c>
      <c r="P30" s="197">
        <f t="shared" si="22"/>
        <v>0</v>
      </c>
      <c r="Q30" s="197">
        <f t="shared" si="23"/>
        <v>0</v>
      </c>
      <c r="R30" s="197">
        <f t="shared" si="24"/>
        <v>0</v>
      </c>
      <c r="S30" s="197">
        <f t="shared" si="25"/>
        <v>0</v>
      </c>
      <c r="T30" s="197">
        <f t="shared" si="26"/>
        <v>0</v>
      </c>
      <c r="U30" s="197">
        <f t="shared" si="27"/>
        <v>0</v>
      </c>
      <c r="V30" s="197">
        <f t="shared" si="28"/>
        <v>0</v>
      </c>
      <c r="W30" s="8" t="str">
        <f>IF(C30&lt;&gt;"",MATCH(_xlfn.NUMBERVALUE(LEFT(C30,4)),KiemTraBCD!$B$10:$B$1000,0),"")</f>
        <v/>
      </c>
      <c r="Z30" s="191">
        <f t="shared" si="35"/>
        <v>0</v>
      </c>
      <c r="AA30" s="191">
        <f t="shared" si="36"/>
        <v>0</v>
      </c>
      <c r="AB30" s="191">
        <f t="shared" si="37"/>
        <v>0</v>
      </c>
      <c r="AC30" s="191">
        <f t="shared" si="38"/>
        <v>0</v>
      </c>
      <c r="AD30" s="191">
        <f t="shared" si="39"/>
        <v>0</v>
      </c>
      <c r="AE30" s="191">
        <f t="shared" si="40"/>
        <v>0</v>
      </c>
      <c r="AI30" s="191">
        <f t="shared" si="29"/>
        <v>0</v>
      </c>
      <c r="AJ30" s="191">
        <f t="shared" si="30"/>
        <v>0</v>
      </c>
      <c r="AK30" s="191">
        <f t="shared" si="31"/>
        <v>0</v>
      </c>
      <c r="AL30" s="191">
        <f t="shared" si="32"/>
        <v>0</v>
      </c>
      <c r="AM30" s="191">
        <f t="shared" si="33"/>
        <v>0</v>
      </c>
      <c r="AN30" s="191">
        <f t="shared" si="34"/>
        <v>0</v>
      </c>
    </row>
    <row r="31" spans="5:42" x14ac:dyDescent="0.45">
      <c r="E31" s="191"/>
      <c r="F31" s="191"/>
      <c r="G31" s="191"/>
      <c r="H31" s="191"/>
      <c r="I31" s="191"/>
      <c r="J31" s="191"/>
      <c r="L31" s="8">
        <f t="shared" si="18"/>
        <v>0</v>
      </c>
      <c r="M31" s="197">
        <f t="shared" si="19"/>
        <v>0</v>
      </c>
      <c r="N31" s="197">
        <f t="shared" si="20"/>
        <v>0</v>
      </c>
      <c r="O31" s="197">
        <f t="shared" si="21"/>
        <v>0</v>
      </c>
      <c r="P31" s="197">
        <f t="shared" si="22"/>
        <v>0</v>
      </c>
      <c r="Q31" s="197">
        <f t="shared" si="23"/>
        <v>0</v>
      </c>
      <c r="R31" s="197">
        <f t="shared" si="24"/>
        <v>0</v>
      </c>
      <c r="S31" s="197">
        <f t="shared" si="25"/>
        <v>0</v>
      </c>
      <c r="T31" s="197">
        <f t="shared" si="26"/>
        <v>0</v>
      </c>
      <c r="U31" s="197">
        <f t="shared" si="27"/>
        <v>0</v>
      </c>
      <c r="V31" s="197">
        <f t="shared" si="28"/>
        <v>0</v>
      </c>
      <c r="W31" s="8" t="str">
        <f>IF(C31&lt;&gt;"",MATCH(_xlfn.NUMBERVALUE(LEFT(C31,4)),KiemTraBCD!$B$10:$B$1000,0),"")</f>
        <v/>
      </c>
      <c r="Z31" s="191">
        <f t="shared" si="35"/>
        <v>0</v>
      </c>
      <c r="AA31" s="191">
        <f t="shared" si="36"/>
        <v>0</v>
      </c>
      <c r="AB31" s="191">
        <f t="shared" si="37"/>
        <v>0</v>
      </c>
      <c r="AC31" s="191">
        <f t="shared" si="38"/>
        <v>0</v>
      </c>
      <c r="AD31" s="191">
        <f t="shared" si="39"/>
        <v>0</v>
      </c>
      <c r="AE31" s="191">
        <f t="shared" si="40"/>
        <v>0</v>
      </c>
      <c r="AI31" s="191">
        <f t="shared" si="29"/>
        <v>0</v>
      </c>
      <c r="AJ31" s="191">
        <f t="shared" si="30"/>
        <v>0</v>
      </c>
      <c r="AK31" s="191">
        <f t="shared" si="31"/>
        <v>0</v>
      </c>
      <c r="AL31" s="191">
        <f t="shared" si="32"/>
        <v>0</v>
      </c>
      <c r="AM31" s="191">
        <f t="shared" si="33"/>
        <v>0</v>
      </c>
      <c r="AN31" s="191">
        <f t="shared" si="34"/>
        <v>0</v>
      </c>
    </row>
    <row r="32" spans="5:42" x14ac:dyDescent="0.45">
      <c r="E32" s="191"/>
      <c r="F32" s="191"/>
      <c r="G32" s="191"/>
      <c r="H32" s="191"/>
      <c r="I32" s="191"/>
      <c r="J32" s="191"/>
      <c r="L32" s="8">
        <f t="shared" si="18"/>
        <v>0</v>
      </c>
      <c r="M32" s="197">
        <f t="shared" si="19"/>
        <v>0</v>
      </c>
      <c r="N32" s="197">
        <f t="shared" si="20"/>
        <v>0</v>
      </c>
      <c r="O32" s="197">
        <f t="shared" si="21"/>
        <v>0</v>
      </c>
      <c r="P32" s="197">
        <f t="shared" si="22"/>
        <v>0</v>
      </c>
      <c r="Q32" s="197">
        <f t="shared" si="23"/>
        <v>0</v>
      </c>
      <c r="R32" s="197">
        <f t="shared" si="24"/>
        <v>0</v>
      </c>
      <c r="S32" s="197">
        <f t="shared" si="25"/>
        <v>0</v>
      </c>
      <c r="T32" s="197">
        <f t="shared" si="26"/>
        <v>0</v>
      </c>
      <c r="U32" s="197">
        <f t="shared" si="27"/>
        <v>0</v>
      </c>
      <c r="V32" s="197">
        <f t="shared" si="28"/>
        <v>0</v>
      </c>
      <c r="W32" s="8" t="str">
        <f>IF(C32&lt;&gt;"",MATCH(_xlfn.NUMBERVALUE(LEFT(C32,4)),KiemTraBCD!$B$10:$B$1000,0),"")</f>
        <v/>
      </c>
      <c r="Z32" s="191">
        <f t="shared" si="35"/>
        <v>0</v>
      </c>
      <c r="AA32" s="191">
        <f t="shared" si="36"/>
        <v>0</v>
      </c>
      <c r="AB32" s="191">
        <f t="shared" si="37"/>
        <v>0</v>
      </c>
      <c r="AC32" s="191">
        <f t="shared" si="38"/>
        <v>0</v>
      </c>
      <c r="AD32" s="191">
        <f t="shared" si="39"/>
        <v>0</v>
      </c>
      <c r="AE32" s="191">
        <f t="shared" si="40"/>
        <v>0</v>
      </c>
      <c r="AI32" s="191">
        <f t="shared" si="29"/>
        <v>0</v>
      </c>
      <c r="AJ32" s="191">
        <f t="shared" si="30"/>
        <v>0</v>
      </c>
      <c r="AK32" s="191">
        <f t="shared" si="31"/>
        <v>0</v>
      </c>
      <c r="AL32" s="191">
        <f t="shared" si="32"/>
        <v>0</v>
      </c>
      <c r="AM32" s="191">
        <f t="shared" si="33"/>
        <v>0</v>
      </c>
      <c r="AN32" s="191">
        <f t="shared" si="34"/>
        <v>0</v>
      </c>
    </row>
    <row r="33" spans="5:40" x14ac:dyDescent="0.45">
      <c r="E33" s="191"/>
      <c r="F33" s="191"/>
      <c r="G33" s="191"/>
      <c r="H33" s="191"/>
      <c r="I33" s="191"/>
      <c r="J33" s="191"/>
      <c r="L33" s="8">
        <f t="shared" si="18"/>
        <v>0</v>
      </c>
      <c r="M33" s="197">
        <f t="shared" si="19"/>
        <v>0</v>
      </c>
      <c r="N33" s="197">
        <f t="shared" si="20"/>
        <v>0</v>
      </c>
      <c r="O33" s="197">
        <f t="shared" si="21"/>
        <v>0</v>
      </c>
      <c r="P33" s="197">
        <f t="shared" si="22"/>
        <v>0</v>
      </c>
      <c r="Q33" s="197">
        <f t="shared" si="23"/>
        <v>0</v>
      </c>
      <c r="R33" s="197">
        <f t="shared" si="24"/>
        <v>0</v>
      </c>
      <c r="S33" s="197">
        <f t="shared" si="25"/>
        <v>0</v>
      </c>
      <c r="T33" s="197">
        <f t="shared" si="26"/>
        <v>0</v>
      </c>
      <c r="U33" s="197">
        <f t="shared" si="27"/>
        <v>0</v>
      </c>
      <c r="V33" s="197">
        <f t="shared" si="28"/>
        <v>0</v>
      </c>
      <c r="W33" s="8" t="str">
        <f>IF(C33&lt;&gt;"",MATCH(_xlfn.NUMBERVALUE(LEFT(C33,4)),KiemTraBCD!$B$10:$B$1000,0),"")</f>
        <v/>
      </c>
      <c r="Z33" s="191">
        <f t="shared" si="35"/>
        <v>0</v>
      </c>
      <c r="AA33" s="191">
        <f t="shared" si="36"/>
        <v>0</v>
      </c>
      <c r="AB33" s="191">
        <f t="shared" si="37"/>
        <v>0</v>
      </c>
      <c r="AC33" s="191">
        <f t="shared" si="38"/>
        <v>0</v>
      </c>
      <c r="AD33" s="191">
        <f t="shared" si="39"/>
        <v>0</v>
      </c>
      <c r="AE33" s="191">
        <f t="shared" si="40"/>
        <v>0</v>
      </c>
      <c r="AI33" s="191">
        <f t="shared" si="29"/>
        <v>0</v>
      </c>
      <c r="AJ33" s="191">
        <f t="shared" si="30"/>
        <v>0</v>
      </c>
      <c r="AK33" s="191">
        <f t="shared" si="31"/>
        <v>0</v>
      </c>
      <c r="AL33" s="191">
        <f t="shared" si="32"/>
        <v>0</v>
      </c>
      <c r="AM33" s="191">
        <f t="shared" si="33"/>
        <v>0</v>
      </c>
      <c r="AN33" s="191">
        <f t="shared" si="34"/>
        <v>0</v>
      </c>
    </row>
    <row r="34" spans="5:40" x14ac:dyDescent="0.45">
      <c r="E34" s="191"/>
      <c r="F34" s="191"/>
      <c r="G34" s="191"/>
      <c r="H34" s="191"/>
      <c r="I34" s="191"/>
      <c r="J34" s="191"/>
      <c r="L34" s="8">
        <f t="shared" si="18"/>
        <v>0</v>
      </c>
      <c r="M34" s="197">
        <f t="shared" si="19"/>
        <v>0</v>
      </c>
      <c r="N34" s="197">
        <f t="shared" si="20"/>
        <v>0</v>
      </c>
      <c r="O34" s="197">
        <f t="shared" si="21"/>
        <v>0</v>
      </c>
      <c r="P34" s="197">
        <f t="shared" si="22"/>
        <v>0</v>
      </c>
      <c r="Q34" s="197">
        <f t="shared" si="23"/>
        <v>0</v>
      </c>
      <c r="R34" s="197">
        <f t="shared" si="24"/>
        <v>0</v>
      </c>
      <c r="S34" s="197">
        <f t="shared" si="25"/>
        <v>0</v>
      </c>
      <c r="T34" s="197">
        <f t="shared" si="26"/>
        <v>0</v>
      </c>
      <c r="U34" s="197">
        <f t="shared" si="27"/>
        <v>0</v>
      </c>
      <c r="V34" s="197">
        <f t="shared" si="28"/>
        <v>0</v>
      </c>
      <c r="W34" s="8" t="str">
        <f>IF(C34&lt;&gt;"",MATCH(_xlfn.NUMBERVALUE(LEFT(C34,4)),KiemTraBCD!$B$10:$B$1000,0),"")</f>
        <v/>
      </c>
      <c r="Z34" s="191">
        <f t="shared" si="35"/>
        <v>0</v>
      </c>
      <c r="AA34" s="191">
        <f t="shared" si="36"/>
        <v>0</v>
      </c>
      <c r="AB34" s="191">
        <f t="shared" si="37"/>
        <v>0</v>
      </c>
      <c r="AC34" s="191">
        <f t="shared" si="38"/>
        <v>0</v>
      </c>
      <c r="AD34" s="191">
        <f t="shared" si="39"/>
        <v>0</v>
      </c>
      <c r="AE34" s="191">
        <f t="shared" si="40"/>
        <v>0</v>
      </c>
      <c r="AI34" s="191">
        <f t="shared" ref="AI34:AI93" si="42">ROUND(E34,0)</f>
        <v>0</v>
      </c>
      <c r="AJ34" s="191">
        <f t="shared" ref="AJ34:AJ93" si="43">ROUND(F34,0)</f>
        <v>0</v>
      </c>
      <c r="AK34" s="191">
        <f t="shared" ref="AK34:AK93" si="44">ROUND(G34,0)</f>
        <v>0</v>
      </c>
      <c r="AL34" s="191">
        <f t="shared" ref="AL34:AL93" si="45">ROUND(H34,0)</f>
        <v>0</v>
      </c>
      <c r="AM34" s="191">
        <f t="shared" ref="AM34:AM93" si="46">ROUND(I34,0)</f>
        <v>0</v>
      </c>
      <c r="AN34" s="191">
        <f t="shared" ref="AN34:AN93" si="47">ROUND(J34,0)</f>
        <v>0</v>
      </c>
    </row>
    <row r="35" spans="5:40" x14ac:dyDescent="0.45">
      <c r="E35" s="191"/>
      <c r="F35" s="191"/>
      <c r="G35" s="191"/>
      <c r="H35" s="191"/>
      <c r="I35" s="191"/>
      <c r="J35" s="191"/>
      <c r="L35" s="8">
        <f t="shared" si="18"/>
        <v>0</v>
      </c>
      <c r="M35" s="197">
        <f t="shared" si="19"/>
        <v>0</v>
      </c>
      <c r="N35" s="197">
        <f t="shared" si="20"/>
        <v>0</v>
      </c>
      <c r="O35" s="197">
        <f t="shared" si="21"/>
        <v>0</v>
      </c>
      <c r="P35" s="197">
        <f t="shared" si="22"/>
        <v>0</v>
      </c>
      <c r="Q35" s="197">
        <f t="shared" si="23"/>
        <v>0</v>
      </c>
      <c r="R35" s="197">
        <f t="shared" si="24"/>
        <v>0</v>
      </c>
      <c r="S35" s="197">
        <f t="shared" si="25"/>
        <v>0</v>
      </c>
      <c r="T35" s="197">
        <f t="shared" si="26"/>
        <v>0</v>
      </c>
      <c r="U35" s="197">
        <f t="shared" si="27"/>
        <v>0</v>
      </c>
      <c r="V35" s="197">
        <f t="shared" si="28"/>
        <v>0</v>
      </c>
      <c r="W35" s="8" t="str">
        <f>IF(C35&lt;&gt;"",MATCH(_xlfn.NUMBERVALUE(LEFT(C35,4)),KiemTraBCD!$B$10:$B$1000,0),"")</f>
        <v/>
      </c>
      <c r="Z35" s="191">
        <f t="shared" si="35"/>
        <v>0</v>
      </c>
      <c r="AA35" s="191">
        <f t="shared" si="36"/>
        <v>0</v>
      </c>
      <c r="AB35" s="191">
        <f t="shared" si="37"/>
        <v>0</v>
      </c>
      <c r="AC35" s="191">
        <f t="shared" si="38"/>
        <v>0</v>
      </c>
      <c r="AD35" s="191">
        <f t="shared" si="39"/>
        <v>0</v>
      </c>
      <c r="AE35" s="191">
        <f t="shared" si="40"/>
        <v>0</v>
      </c>
      <c r="AI35" s="191">
        <f t="shared" si="42"/>
        <v>0</v>
      </c>
      <c r="AJ35" s="191">
        <f t="shared" si="43"/>
        <v>0</v>
      </c>
      <c r="AK35" s="191">
        <f t="shared" si="44"/>
        <v>0</v>
      </c>
      <c r="AL35" s="191">
        <f t="shared" si="45"/>
        <v>0</v>
      </c>
      <c r="AM35" s="191">
        <f t="shared" si="46"/>
        <v>0</v>
      </c>
      <c r="AN35" s="191">
        <f t="shared" si="47"/>
        <v>0</v>
      </c>
    </row>
    <row r="36" spans="5:40" x14ac:dyDescent="0.45">
      <c r="E36" s="191"/>
      <c r="F36" s="191"/>
      <c r="G36" s="191"/>
      <c r="H36" s="191"/>
      <c r="I36" s="191"/>
      <c r="J36" s="191"/>
      <c r="L36" s="8">
        <f t="shared" si="18"/>
        <v>0</v>
      </c>
      <c r="M36" s="197">
        <f t="shared" si="19"/>
        <v>0</v>
      </c>
      <c r="N36" s="197">
        <f t="shared" si="20"/>
        <v>0</v>
      </c>
      <c r="O36" s="197">
        <f t="shared" si="21"/>
        <v>0</v>
      </c>
      <c r="P36" s="197">
        <f t="shared" si="22"/>
        <v>0</v>
      </c>
      <c r="Q36" s="197">
        <f t="shared" si="23"/>
        <v>0</v>
      </c>
      <c r="R36" s="197">
        <f t="shared" si="24"/>
        <v>0</v>
      </c>
      <c r="S36" s="197">
        <f t="shared" si="25"/>
        <v>0</v>
      </c>
      <c r="T36" s="197">
        <f t="shared" si="26"/>
        <v>0</v>
      </c>
      <c r="U36" s="197">
        <f t="shared" si="27"/>
        <v>0</v>
      </c>
      <c r="V36" s="197">
        <f t="shared" si="28"/>
        <v>0</v>
      </c>
      <c r="W36" s="8" t="str">
        <f>IF(C36&lt;&gt;"",MATCH(_xlfn.NUMBERVALUE(LEFT(C36,4)),KiemTraBCD!$B$10:$B$1000,0),"")</f>
        <v/>
      </c>
      <c r="Z36" s="191">
        <f t="shared" si="35"/>
        <v>0</v>
      </c>
      <c r="AA36" s="191">
        <f t="shared" si="36"/>
        <v>0</v>
      </c>
      <c r="AB36" s="191">
        <f t="shared" si="37"/>
        <v>0</v>
      </c>
      <c r="AC36" s="191">
        <f t="shared" si="38"/>
        <v>0</v>
      </c>
      <c r="AD36" s="191">
        <f t="shared" si="39"/>
        <v>0</v>
      </c>
      <c r="AE36" s="191">
        <f t="shared" si="40"/>
        <v>0</v>
      </c>
      <c r="AI36" s="191">
        <f t="shared" si="42"/>
        <v>0</v>
      </c>
      <c r="AJ36" s="191">
        <f t="shared" si="43"/>
        <v>0</v>
      </c>
      <c r="AK36" s="191">
        <f t="shared" si="44"/>
        <v>0</v>
      </c>
      <c r="AL36" s="191">
        <f t="shared" si="45"/>
        <v>0</v>
      </c>
      <c r="AM36" s="191">
        <f t="shared" si="46"/>
        <v>0</v>
      </c>
      <c r="AN36" s="191">
        <f t="shared" si="47"/>
        <v>0</v>
      </c>
    </row>
    <row r="37" spans="5:40" x14ac:dyDescent="0.45">
      <c r="E37" s="191"/>
      <c r="F37" s="191"/>
      <c r="G37" s="191"/>
      <c r="H37" s="191"/>
      <c r="I37" s="191"/>
      <c r="J37" s="191"/>
      <c r="L37" s="8">
        <f t="shared" si="18"/>
        <v>0</v>
      </c>
      <c r="M37" s="197">
        <f t="shared" si="19"/>
        <v>0</v>
      </c>
      <c r="N37" s="197">
        <f t="shared" si="20"/>
        <v>0</v>
      </c>
      <c r="O37" s="197">
        <f t="shared" si="21"/>
        <v>0</v>
      </c>
      <c r="P37" s="197">
        <f t="shared" si="22"/>
        <v>0</v>
      </c>
      <c r="Q37" s="197">
        <f t="shared" si="23"/>
        <v>0</v>
      </c>
      <c r="R37" s="197">
        <f t="shared" si="24"/>
        <v>0</v>
      </c>
      <c r="S37" s="197">
        <f t="shared" si="25"/>
        <v>0</v>
      </c>
      <c r="T37" s="197">
        <f t="shared" si="26"/>
        <v>0</v>
      </c>
      <c r="U37" s="197">
        <f t="shared" si="27"/>
        <v>0</v>
      </c>
      <c r="V37" s="197">
        <f t="shared" si="28"/>
        <v>0</v>
      </c>
      <c r="W37" s="8" t="str">
        <f>IF(C37&lt;&gt;"",MATCH(_xlfn.NUMBERVALUE(LEFT(C37,4)),KiemTraBCD!$B$10:$B$1000,0),"")</f>
        <v/>
      </c>
      <c r="Z37" s="191">
        <f t="shared" si="35"/>
        <v>0</v>
      </c>
      <c r="AA37" s="191">
        <f t="shared" si="36"/>
        <v>0</v>
      </c>
      <c r="AB37" s="191">
        <f t="shared" si="37"/>
        <v>0</v>
      </c>
      <c r="AC37" s="191">
        <f t="shared" si="38"/>
        <v>0</v>
      </c>
      <c r="AD37" s="191">
        <f t="shared" si="39"/>
        <v>0</v>
      </c>
      <c r="AE37" s="191">
        <f t="shared" si="40"/>
        <v>0</v>
      </c>
      <c r="AI37" s="191">
        <f t="shared" si="42"/>
        <v>0</v>
      </c>
      <c r="AJ37" s="191">
        <f t="shared" si="43"/>
        <v>0</v>
      </c>
      <c r="AK37" s="191">
        <f t="shared" si="44"/>
        <v>0</v>
      </c>
      <c r="AL37" s="191">
        <f t="shared" si="45"/>
        <v>0</v>
      </c>
      <c r="AM37" s="191">
        <f t="shared" si="46"/>
        <v>0</v>
      </c>
      <c r="AN37" s="191">
        <f t="shared" si="47"/>
        <v>0</v>
      </c>
    </row>
    <row r="38" spans="5:40" x14ac:dyDescent="0.45">
      <c r="E38" s="191"/>
      <c r="F38" s="191"/>
      <c r="G38" s="191"/>
      <c r="H38" s="191"/>
      <c r="I38" s="191"/>
      <c r="J38" s="191"/>
      <c r="L38" s="8">
        <f t="shared" si="18"/>
        <v>0</v>
      </c>
      <c r="M38" s="197">
        <f t="shared" si="19"/>
        <v>0</v>
      </c>
      <c r="N38" s="197">
        <f t="shared" si="20"/>
        <v>0</v>
      </c>
      <c r="O38" s="197">
        <f t="shared" si="21"/>
        <v>0</v>
      </c>
      <c r="P38" s="197">
        <f t="shared" si="22"/>
        <v>0</v>
      </c>
      <c r="Q38" s="197">
        <f t="shared" si="23"/>
        <v>0</v>
      </c>
      <c r="R38" s="197">
        <f t="shared" si="24"/>
        <v>0</v>
      </c>
      <c r="S38" s="197">
        <f t="shared" si="25"/>
        <v>0</v>
      </c>
      <c r="T38" s="197">
        <f t="shared" si="26"/>
        <v>0</v>
      </c>
      <c r="U38" s="197">
        <f t="shared" si="27"/>
        <v>0</v>
      </c>
      <c r="V38" s="197">
        <f t="shared" si="28"/>
        <v>0</v>
      </c>
      <c r="W38" s="8" t="str">
        <f>IF(C38&lt;&gt;"",MATCH(_xlfn.NUMBERVALUE(LEFT(C38,4)),KiemTraBCD!$B$10:$B$1000,0),"")</f>
        <v/>
      </c>
      <c r="Z38" s="191">
        <f t="shared" si="35"/>
        <v>0</v>
      </c>
      <c r="AA38" s="191">
        <f t="shared" si="36"/>
        <v>0</v>
      </c>
      <c r="AB38" s="191">
        <f t="shared" si="37"/>
        <v>0</v>
      </c>
      <c r="AC38" s="191">
        <f t="shared" si="38"/>
        <v>0</v>
      </c>
      <c r="AD38" s="191">
        <f t="shared" si="39"/>
        <v>0</v>
      </c>
      <c r="AE38" s="191">
        <f t="shared" si="40"/>
        <v>0</v>
      </c>
      <c r="AI38" s="191">
        <f t="shared" si="42"/>
        <v>0</v>
      </c>
      <c r="AJ38" s="191">
        <f t="shared" si="43"/>
        <v>0</v>
      </c>
      <c r="AK38" s="191">
        <f t="shared" si="44"/>
        <v>0</v>
      </c>
      <c r="AL38" s="191">
        <f t="shared" si="45"/>
        <v>0</v>
      </c>
      <c r="AM38" s="191">
        <f t="shared" si="46"/>
        <v>0</v>
      </c>
      <c r="AN38" s="191">
        <f t="shared" si="47"/>
        <v>0</v>
      </c>
    </row>
    <row r="39" spans="5:40" x14ac:dyDescent="0.45">
      <c r="E39" s="191"/>
      <c r="F39" s="191"/>
      <c r="G39" s="191"/>
      <c r="H39" s="191"/>
      <c r="I39" s="191"/>
      <c r="J39" s="191"/>
      <c r="L39" s="8">
        <f t="shared" si="18"/>
        <v>0</v>
      </c>
      <c r="M39" s="197">
        <f t="shared" si="19"/>
        <v>0</v>
      </c>
      <c r="N39" s="197">
        <f t="shared" si="20"/>
        <v>0</v>
      </c>
      <c r="O39" s="197">
        <f t="shared" si="21"/>
        <v>0</v>
      </c>
      <c r="P39" s="197">
        <f t="shared" si="22"/>
        <v>0</v>
      </c>
      <c r="Q39" s="197">
        <f t="shared" si="23"/>
        <v>0</v>
      </c>
      <c r="R39" s="197">
        <f t="shared" si="24"/>
        <v>0</v>
      </c>
      <c r="S39" s="197">
        <f t="shared" si="25"/>
        <v>0</v>
      </c>
      <c r="T39" s="197">
        <f t="shared" si="26"/>
        <v>0</v>
      </c>
      <c r="U39" s="197">
        <f t="shared" si="27"/>
        <v>0</v>
      </c>
      <c r="V39" s="197">
        <f t="shared" si="28"/>
        <v>0</v>
      </c>
      <c r="W39" s="8" t="str">
        <f>IF(C39&lt;&gt;"",MATCH(_xlfn.NUMBERVALUE(LEFT(C39,4)),KiemTraBCD!$B$10:$B$1000,0),"")</f>
        <v/>
      </c>
      <c r="Z39" s="191">
        <f t="shared" si="35"/>
        <v>0</v>
      </c>
      <c r="AA39" s="191">
        <f t="shared" si="36"/>
        <v>0</v>
      </c>
      <c r="AB39" s="191">
        <f t="shared" si="37"/>
        <v>0</v>
      </c>
      <c r="AC39" s="191">
        <f t="shared" si="38"/>
        <v>0</v>
      </c>
      <c r="AD39" s="191">
        <f t="shared" si="39"/>
        <v>0</v>
      </c>
      <c r="AE39" s="191">
        <f t="shared" si="40"/>
        <v>0</v>
      </c>
      <c r="AI39" s="191">
        <f t="shared" si="42"/>
        <v>0</v>
      </c>
      <c r="AJ39" s="191">
        <f t="shared" si="43"/>
        <v>0</v>
      </c>
      <c r="AK39" s="191">
        <f t="shared" si="44"/>
        <v>0</v>
      </c>
      <c r="AL39" s="191">
        <f t="shared" si="45"/>
        <v>0</v>
      </c>
      <c r="AM39" s="191">
        <f t="shared" si="46"/>
        <v>0</v>
      </c>
      <c r="AN39" s="191">
        <f t="shared" si="47"/>
        <v>0</v>
      </c>
    </row>
    <row r="40" spans="5:40" x14ac:dyDescent="0.45">
      <c r="E40" s="191"/>
      <c r="F40" s="191"/>
      <c r="G40" s="191"/>
      <c r="H40" s="191"/>
      <c r="I40" s="191"/>
      <c r="J40" s="191"/>
      <c r="L40" s="8">
        <f t="shared" si="18"/>
        <v>0</v>
      </c>
      <c r="M40" s="197">
        <f t="shared" si="19"/>
        <v>0</v>
      </c>
      <c r="N40" s="197">
        <f t="shared" si="20"/>
        <v>0</v>
      </c>
      <c r="O40" s="197">
        <f t="shared" si="21"/>
        <v>0</v>
      </c>
      <c r="P40" s="197">
        <f t="shared" si="22"/>
        <v>0</v>
      </c>
      <c r="Q40" s="197">
        <f t="shared" si="23"/>
        <v>0</v>
      </c>
      <c r="R40" s="197">
        <f t="shared" si="24"/>
        <v>0</v>
      </c>
      <c r="S40" s="197">
        <f t="shared" si="25"/>
        <v>0</v>
      </c>
      <c r="T40" s="197">
        <f t="shared" si="26"/>
        <v>0</v>
      </c>
      <c r="U40" s="197">
        <f t="shared" si="27"/>
        <v>0</v>
      </c>
      <c r="V40" s="197">
        <f t="shared" si="28"/>
        <v>0</v>
      </c>
      <c r="W40" s="8" t="str">
        <f>IF(C40&lt;&gt;"",MATCH(_xlfn.NUMBERVALUE(LEFT(C40,4)),KiemTraBCD!$B$10:$B$1000,0),"")</f>
        <v/>
      </c>
      <c r="Z40" s="191">
        <f t="shared" si="35"/>
        <v>0</v>
      </c>
      <c r="AA40" s="191">
        <f t="shared" si="36"/>
        <v>0</v>
      </c>
      <c r="AB40" s="191">
        <f t="shared" si="37"/>
        <v>0</v>
      </c>
      <c r="AC40" s="191">
        <f t="shared" si="38"/>
        <v>0</v>
      </c>
      <c r="AD40" s="191">
        <f t="shared" si="39"/>
        <v>0</v>
      </c>
      <c r="AE40" s="191">
        <f t="shared" si="40"/>
        <v>0</v>
      </c>
      <c r="AI40" s="191">
        <f t="shared" si="42"/>
        <v>0</v>
      </c>
      <c r="AJ40" s="191">
        <f t="shared" si="43"/>
        <v>0</v>
      </c>
      <c r="AK40" s="191">
        <f t="shared" si="44"/>
        <v>0</v>
      </c>
      <c r="AL40" s="191">
        <f t="shared" si="45"/>
        <v>0</v>
      </c>
      <c r="AM40" s="191">
        <f t="shared" si="46"/>
        <v>0</v>
      </c>
      <c r="AN40" s="191">
        <f t="shared" si="47"/>
        <v>0</v>
      </c>
    </row>
    <row r="41" spans="5:40" x14ac:dyDescent="0.45">
      <c r="E41" s="191"/>
      <c r="F41" s="191"/>
      <c r="G41" s="191"/>
      <c r="H41" s="191"/>
      <c r="I41" s="191"/>
      <c r="J41" s="191"/>
      <c r="L41" s="8">
        <f t="shared" si="18"/>
        <v>0</v>
      </c>
      <c r="M41" s="197">
        <f t="shared" si="19"/>
        <v>0</v>
      </c>
      <c r="N41" s="197">
        <f t="shared" si="20"/>
        <v>0</v>
      </c>
      <c r="O41" s="197">
        <f t="shared" si="21"/>
        <v>0</v>
      </c>
      <c r="P41" s="197">
        <f t="shared" si="22"/>
        <v>0</v>
      </c>
      <c r="Q41" s="197">
        <f t="shared" si="23"/>
        <v>0</v>
      </c>
      <c r="R41" s="197">
        <f t="shared" si="24"/>
        <v>0</v>
      </c>
      <c r="S41" s="197">
        <f t="shared" si="25"/>
        <v>0</v>
      </c>
      <c r="T41" s="197">
        <f t="shared" si="26"/>
        <v>0</v>
      </c>
      <c r="U41" s="197">
        <f t="shared" si="27"/>
        <v>0</v>
      </c>
      <c r="V41" s="197">
        <f t="shared" si="28"/>
        <v>0</v>
      </c>
      <c r="W41" s="8" t="str">
        <f>IF(C41&lt;&gt;"",MATCH(_xlfn.NUMBERVALUE(LEFT(C41,4)),KiemTraBCD!$B$10:$B$1000,0),"")</f>
        <v/>
      </c>
      <c r="Z41" s="191">
        <f t="shared" si="35"/>
        <v>0</v>
      </c>
      <c r="AA41" s="191">
        <f t="shared" si="36"/>
        <v>0</v>
      </c>
      <c r="AB41" s="191">
        <f t="shared" si="37"/>
        <v>0</v>
      </c>
      <c r="AC41" s="191">
        <f t="shared" si="38"/>
        <v>0</v>
      </c>
      <c r="AD41" s="191">
        <f t="shared" si="39"/>
        <v>0</v>
      </c>
      <c r="AE41" s="191">
        <f t="shared" si="40"/>
        <v>0</v>
      </c>
      <c r="AI41" s="191">
        <f t="shared" si="42"/>
        <v>0</v>
      </c>
      <c r="AJ41" s="191">
        <f t="shared" si="43"/>
        <v>0</v>
      </c>
      <c r="AK41" s="191">
        <f t="shared" si="44"/>
        <v>0</v>
      </c>
      <c r="AL41" s="191">
        <f t="shared" si="45"/>
        <v>0</v>
      </c>
      <c r="AM41" s="191">
        <f t="shared" si="46"/>
        <v>0</v>
      </c>
      <c r="AN41" s="191">
        <f t="shared" si="47"/>
        <v>0</v>
      </c>
    </row>
    <row r="42" spans="5:40" x14ac:dyDescent="0.45">
      <c r="E42" s="191"/>
      <c r="F42" s="191"/>
      <c r="G42" s="191"/>
      <c r="H42" s="191"/>
      <c r="I42" s="191"/>
      <c r="J42" s="191"/>
      <c r="L42" s="8">
        <f t="shared" si="18"/>
        <v>0</v>
      </c>
      <c r="M42" s="197">
        <f t="shared" si="19"/>
        <v>0</v>
      </c>
      <c r="N42" s="197">
        <f t="shared" si="20"/>
        <v>0</v>
      </c>
      <c r="O42" s="197">
        <f t="shared" si="21"/>
        <v>0</v>
      </c>
      <c r="P42" s="197">
        <f t="shared" si="22"/>
        <v>0</v>
      </c>
      <c r="Q42" s="197">
        <f t="shared" si="23"/>
        <v>0</v>
      </c>
      <c r="R42" s="197">
        <f t="shared" si="24"/>
        <v>0</v>
      </c>
      <c r="S42" s="197">
        <f t="shared" si="25"/>
        <v>0</v>
      </c>
      <c r="T42" s="197">
        <f t="shared" si="26"/>
        <v>0</v>
      </c>
      <c r="U42" s="197">
        <f t="shared" si="27"/>
        <v>0</v>
      </c>
      <c r="V42" s="197">
        <f t="shared" si="28"/>
        <v>0</v>
      </c>
      <c r="W42" s="8" t="str">
        <f>IF(C42&lt;&gt;"",MATCH(_xlfn.NUMBERVALUE(LEFT(C42,4)),KiemTraBCD!$B$10:$B$1000,0),"")</f>
        <v/>
      </c>
      <c r="Z42" s="191">
        <f t="shared" si="35"/>
        <v>0</v>
      </c>
      <c r="AA42" s="191">
        <f t="shared" si="36"/>
        <v>0</v>
      </c>
      <c r="AB42" s="191">
        <f t="shared" si="37"/>
        <v>0</v>
      </c>
      <c r="AC42" s="191">
        <f t="shared" si="38"/>
        <v>0</v>
      </c>
      <c r="AD42" s="191">
        <f t="shared" si="39"/>
        <v>0</v>
      </c>
      <c r="AE42" s="191">
        <f t="shared" si="40"/>
        <v>0</v>
      </c>
      <c r="AI42" s="191">
        <f t="shared" si="42"/>
        <v>0</v>
      </c>
      <c r="AJ42" s="191">
        <f t="shared" si="43"/>
        <v>0</v>
      </c>
      <c r="AK42" s="191">
        <f t="shared" si="44"/>
        <v>0</v>
      </c>
      <c r="AL42" s="191">
        <f t="shared" si="45"/>
        <v>0</v>
      </c>
      <c r="AM42" s="191">
        <f t="shared" si="46"/>
        <v>0</v>
      </c>
      <c r="AN42" s="191">
        <f t="shared" si="47"/>
        <v>0</v>
      </c>
    </row>
    <row r="43" spans="5:40" x14ac:dyDescent="0.45">
      <c r="E43" s="191"/>
      <c r="F43" s="191"/>
      <c r="G43" s="191"/>
      <c r="H43" s="191"/>
      <c r="I43" s="191"/>
      <c r="J43" s="191"/>
      <c r="L43" s="8">
        <f t="shared" si="18"/>
        <v>0</v>
      </c>
      <c r="M43" s="197">
        <f t="shared" si="19"/>
        <v>0</v>
      </c>
      <c r="N43" s="197">
        <f t="shared" si="20"/>
        <v>0</v>
      </c>
      <c r="O43" s="197">
        <f t="shared" si="21"/>
        <v>0</v>
      </c>
      <c r="P43" s="197">
        <f t="shared" si="22"/>
        <v>0</v>
      </c>
      <c r="Q43" s="197">
        <f t="shared" si="23"/>
        <v>0</v>
      </c>
      <c r="R43" s="197">
        <f t="shared" si="24"/>
        <v>0</v>
      </c>
      <c r="S43" s="197">
        <f t="shared" si="25"/>
        <v>0</v>
      </c>
      <c r="T43" s="197">
        <f t="shared" si="26"/>
        <v>0</v>
      </c>
      <c r="U43" s="197">
        <f t="shared" si="27"/>
        <v>0</v>
      </c>
      <c r="V43" s="197">
        <f t="shared" si="28"/>
        <v>0</v>
      </c>
      <c r="W43" s="8" t="str">
        <f>IF(C43&lt;&gt;"",MATCH(_xlfn.NUMBERVALUE(LEFT(C43,4)),KiemTraBCD!$B$10:$B$1000,0),"")</f>
        <v/>
      </c>
      <c r="Z43" s="191">
        <f t="shared" si="35"/>
        <v>0</v>
      </c>
      <c r="AA43" s="191">
        <f t="shared" si="36"/>
        <v>0</v>
      </c>
      <c r="AB43" s="191">
        <f t="shared" si="37"/>
        <v>0</v>
      </c>
      <c r="AC43" s="191">
        <f t="shared" si="38"/>
        <v>0</v>
      </c>
      <c r="AD43" s="191">
        <f t="shared" si="39"/>
        <v>0</v>
      </c>
      <c r="AE43" s="191">
        <f t="shared" si="40"/>
        <v>0</v>
      </c>
      <c r="AI43" s="191">
        <f t="shared" si="42"/>
        <v>0</v>
      </c>
      <c r="AJ43" s="191">
        <f t="shared" si="43"/>
        <v>0</v>
      </c>
      <c r="AK43" s="191">
        <f t="shared" si="44"/>
        <v>0</v>
      </c>
      <c r="AL43" s="191">
        <f t="shared" si="45"/>
        <v>0</v>
      </c>
      <c r="AM43" s="191">
        <f t="shared" si="46"/>
        <v>0</v>
      </c>
      <c r="AN43" s="191">
        <f t="shared" si="47"/>
        <v>0</v>
      </c>
    </row>
    <row r="44" spans="5:40" x14ac:dyDescent="0.45">
      <c r="E44" s="191"/>
      <c r="F44" s="191"/>
      <c r="G44" s="191"/>
      <c r="H44" s="191"/>
      <c r="I44" s="191"/>
      <c r="J44" s="191"/>
      <c r="L44" s="8">
        <f t="shared" si="18"/>
        <v>0</v>
      </c>
      <c r="M44" s="197">
        <f t="shared" si="19"/>
        <v>0</v>
      </c>
      <c r="N44" s="197">
        <f t="shared" si="20"/>
        <v>0</v>
      </c>
      <c r="O44" s="197">
        <f t="shared" si="21"/>
        <v>0</v>
      </c>
      <c r="P44" s="197">
        <f t="shared" si="22"/>
        <v>0</v>
      </c>
      <c r="Q44" s="197">
        <f t="shared" si="23"/>
        <v>0</v>
      </c>
      <c r="R44" s="197">
        <f t="shared" si="24"/>
        <v>0</v>
      </c>
      <c r="S44" s="197">
        <f t="shared" si="25"/>
        <v>0</v>
      </c>
      <c r="T44" s="197">
        <f t="shared" si="26"/>
        <v>0</v>
      </c>
      <c r="U44" s="197">
        <f t="shared" si="27"/>
        <v>0</v>
      </c>
      <c r="V44" s="197">
        <f t="shared" si="28"/>
        <v>0</v>
      </c>
      <c r="W44" s="8" t="str">
        <f>IF(C44&lt;&gt;"",MATCH(_xlfn.NUMBERVALUE(LEFT(C44,4)),KiemTraBCD!$B$10:$B$1000,0),"")</f>
        <v/>
      </c>
      <c r="Z44" s="191">
        <f t="shared" si="35"/>
        <v>0</v>
      </c>
      <c r="AA44" s="191">
        <f t="shared" si="36"/>
        <v>0</v>
      </c>
      <c r="AB44" s="191">
        <f t="shared" si="37"/>
        <v>0</v>
      </c>
      <c r="AC44" s="191">
        <f t="shared" si="38"/>
        <v>0</v>
      </c>
      <c r="AD44" s="191">
        <f t="shared" si="39"/>
        <v>0</v>
      </c>
      <c r="AE44" s="191">
        <f t="shared" si="40"/>
        <v>0</v>
      </c>
      <c r="AI44" s="191">
        <f t="shared" si="42"/>
        <v>0</v>
      </c>
      <c r="AJ44" s="191">
        <f t="shared" si="43"/>
        <v>0</v>
      </c>
      <c r="AK44" s="191">
        <f t="shared" si="44"/>
        <v>0</v>
      </c>
      <c r="AL44" s="191">
        <f t="shared" si="45"/>
        <v>0</v>
      </c>
      <c r="AM44" s="191">
        <f t="shared" si="46"/>
        <v>0</v>
      </c>
      <c r="AN44" s="191">
        <f t="shared" si="47"/>
        <v>0</v>
      </c>
    </row>
    <row r="45" spans="5:40" x14ac:dyDescent="0.45">
      <c r="E45" s="191"/>
      <c r="F45" s="191"/>
      <c r="G45" s="191"/>
      <c r="H45" s="191"/>
      <c r="I45" s="191"/>
      <c r="J45" s="191"/>
      <c r="L45" s="8">
        <f t="shared" si="18"/>
        <v>0</v>
      </c>
      <c r="M45" s="197">
        <f t="shared" si="19"/>
        <v>0</v>
      </c>
      <c r="N45" s="197">
        <f t="shared" si="20"/>
        <v>0</v>
      </c>
      <c r="O45" s="197">
        <f t="shared" si="21"/>
        <v>0</v>
      </c>
      <c r="P45" s="197">
        <f t="shared" si="22"/>
        <v>0</v>
      </c>
      <c r="Q45" s="197">
        <f t="shared" si="23"/>
        <v>0</v>
      </c>
      <c r="R45" s="197">
        <f t="shared" si="24"/>
        <v>0</v>
      </c>
      <c r="S45" s="197">
        <f t="shared" si="25"/>
        <v>0</v>
      </c>
      <c r="T45" s="197">
        <f t="shared" si="26"/>
        <v>0</v>
      </c>
      <c r="U45" s="197">
        <f t="shared" si="27"/>
        <v>0</v>
      </c>
      <c r="V45" s="197">
        <f t="shared" si="28"/>
        <v>0</v>
      </c>
      <c r="W45" s="8" t="str">
        <f>IF(C45&lt;&gt;"",MATCH(_xlfn.NUMBERVALUE(LEFT(C45,4)),KiemTraBCD!$B$10:$B$1000,0),"")</f>
        <v/>
      </c>
      <c r="Z45" s="191">
        <f t="shared" si="35"/>
        <v>0</v>
      </c>
      <c r="AA45" s="191">
        <f t="shared" si="36"/>
        <v>0</v>
      </c>
      <c r="AB45" s="191">
        <f t="shared" si="37"/>
        <v>0</v>
      </c>
      <c r="AC45" s="191">
        <f t="shared" si="38"/>
        <v>0</v>
      </c>
      <c r="AD45" s="191">
        <f t="shared" si="39"/>
        <v>0</v>
      </c>
      <c r="AE45" s="191">
        <f t="shared" si="40"/>
        <v>0</v>
      </c>
      <c r="AI45" s="191">
        <f t="shared" si="42"/>
        <v>0</v>
      </c>
      <c r="AJ45" s="191">
        <f t="shared" si="43"/>
        <v>0</v>
      </c>
      <c r="AK45" s="191">
        <f t="shared" si="44"/>
        <v>0</v>
      </c>
      <c r="AL45" s="191">
        <f t="shared" si="45"/>
        <v>0</v>
      </c>
      <c r="AM45" s="191">
        <f t="shared" si="46"/>
        <v>0</v>
      </c>
      <c r="AN45" s="191">
        <f t="shared" si="47"/>
        <v>0</v>
      </c>
    </row>
    <row r="46" spans="5:40" x14ac:dyDescent="0.45">
      <c r="E46" s="191"/>
      <c r="F46" s="191"/>
      <c r="G46" s="191"/>
      <c r="H46" s="191"/>
      <c r="I46" s="191"/>
      <c r="J46" s="191"/>
      <c r="L46" s="8">
        <f t="shared" si="18"/>
        <v>0</v>
      </c>
      <c r="M46" s="197">
        <f t="shared" si="19"/>
        <v>0</v>
      </c>
      <c r="N46" s="197">
        <f t="shared" si="20"/>
        <v>0</v>
      </c>
      <c r="O46" s="197">
        <f t="shared" si="21"/>
        <v>0</v>
      </c>
      <c r="P46" s="197">
        <f t="shared" si="22"/>
        <v>0</v>
      </c>
      <c r="Q46" s="197">
        <f t="shared" si="23"/>
        <v>0</v>
      </c>
      <c r="R46" s="197">
        <f t="shared" si="24"/>
        <v>0</v>
      </c>
      <c r="S46" s="197">
        <f t="shared" si="25"/>
        <v>0</v>
      </c>
      <c r="T46" s="197">
        <f t="shared" si="26"/>
        <v>0</v>
      </c>
      <c r="U46" s="197">
        <f t="shared" si="27"/>
        <v>0</v>
      </c>
      <c r="V46" s="197">
        <f t="shared" si="28"/>
        <v>0</v>
      </c>
      <c r="W46" s="8" t="str">
        <f>IF(C46&lt;&gt;"",MATCH(_xlfn.NUMBERVALUE(LEFT(C46,4)),KiemTraBCD!$B$10:$B$1000,0),"")</f>
        <v/>
      </c>
      <c r="Z46" s="191">
        <f t="shared" si="35"/>
        <v>0</v>
      </c>
      <c r="AA46" s="191">
        <f t="shared" si="36"/>
        <v>0</v>
      </c>
      <c r="AB46" s="191">
        <f t="shared" si="37"/>
        <v>0</v>
      </c>
      <c r="AC46" s="191">
        <f t="shared" si="38"/>
        <v>0</v>
      </c>
      <c r="AD46" s="191">
        <f t="shared" si="39"/>
        <v>0</v>
      </c>
      <c r="AE46" s="191">
        <f t="shared" si="40"/>
        <v>0</v>
      </c>
      <c r="AI46" s="191">
        <f t="shared" si="42"/>
        <v>0</v>
      </c>
      <c r="AJ46" s="191">
        <f t="shared" si="43"/>
        <v>0</v>
      </c>
      <c r="AK46" s="191">
        <f t="shared" si="44"/>
        <v>0</v>
      </c>
      <c r="AL46" s="191">
        <f t="shared" si="45"/>
        <v>0</v>
      </c>
      <c r="AM46" s="191">
        <f t="shared" si="46"/>
        <v>0</v>
      </c>
      <c r="AN46" s="191">
        <f t="shared" si="47"/>
        <v>0</v>
      </c>
    </row>
    <row r="47" spans="5:40" x14ac:dyDescent="0.45">
      <c r="E47" s="191"/>
      <c r="F47" s="191"/>
      <c r="G47" s="191"/>
      <c r="H47" s="191"/>
      <c r="I47" s="191"/>
      <c r="J47" s="191"/>
      <c r="L47" s="8">
        <f t="shared" si="18"/>
        <v>0</v>
      </c>
      <c r="M47" s="197">
        <f t="shared" si="19"/>
        <v>0</v>
      </c>
      <c r="N47" s="197">
        <f t="shared" si="20"/>
        <v>0</v>
      </c>
      <c r="O47" s="197">
        <f t="shared" si="21"/>
        <v>0</v>
      </c>
      <c r="P47" s="197">
        <f t="shared" si="22"/>
        <v>0</v>
      </c>
      <c r="Q47" s="197">
        <f t="shared" si="23"/>
        <v>0</v>
      </c>
      <c r="R47" s="197">
        <f t="shared" si="24"/>
        <v>0</v>
      </c>
      <c r="S47" s="197">
        <f t="shared" si="25"/>
        <v>0</v>
      </c>
      <c r="T47" s="197">
        <f t="shared" si="26"/>
        <v>0</v>
      </c>
      <c r="U47" s="197">
        <f t="shared" si="27"/>
        <v>0</v>
      </c>
      <c r="V47" s="197">
        <f t="shared" si="28"/>
        <v>0</v>
      </c>
      <c r="W47" s="8" t="str">
        <f>IF(C47&lt;&gt;"",MATCH(_xlfn.NUMBERVALUE(LEFT(C47,4)),KiemTraBCD!$B$10:$B$1000,0),"")</f>
        <v/>
      </c>
      <c r="Z47" s="191">
        <f t="shared" si="35"/>
        <v>0</v>
      </c>
      <c r="AA47" s="191">
        <f t="shared" si="36"/>
        <v>0</v>
      </c>
      <c r="AB47" s="191">
        <f t="shared" si="37"/>
        <v>0</v>
      </c>
      <c r="AC47" s="191">
        <f t="shared" si="38"/>
        <v>0</v>
      </c>
      <c r="AD47" s="191">
        <f t="shared" si="39"/>
        <v>0</v>
      </c>
      <c r="AE47" s="191">
        <f t="shared" si="40"/>
        <v>0</v>
      </c>
      <c r="AI47" s="191">
        <f t="shared" si="42"/>
        <v>0</v>
      </c>
      <c r="AJ47" s="191">
        <f t="shared" si="43"/>
        <v>0</v>
      </c>
      <c r="AK47" s="191">
        <f t="shared" si="44"/>
        <v>0</v>
      </c>
      <c r="AL47" s="191">
        <f t="shared" si="45"/>
        <v>0</v>
      </c>
      <c r="AM47" s="191">
        <f t="shared" si="46"/>
        <v>0</v>
      </c>
      <c r="AN47" s="191">
        <f t="shared" si="47"/>
        <v>0</v>
      </c>
    </row>
    <row r="48" spans="5:40" x14ac:dyDescent="0.45">
      <c r="E48" s="191"/>
      <c r="F48" s="191"/>
      <c r="G48" s="191"/>
      <c r="H48" s="191"/>
      <c r="I48" s="191"/>
      <c r="J48" s="191"/>
      <c r="L48" s="8">
        <f t="shared" si="18"/>
        <v>0</v>
      </c>
      <c r="M48" s="197">
        <f t="shared" si="19"/>
        <v>0</v>
      </c>
      <c r="N48" s="197">
        <f t="shared" si="20"/>
        <v>0</v>
      </c>
      <c r="O48" s="197">
        <f t="shared" si="21"/>
        <v>0</v>
      </c>
      <c r="P48" s="197">
        <f t="shared" si="22"/>
        <v>0</v>
      </c>
      <c r="Q48" s="197">
        <f t="shared" si="23"/>
        <v>0</v>
      </c>
      <c r="R48" s="197">
        <f t="shared" si="24"/>
        <v>0</v>
      </c>
      <c r="S48" s="197">
        <f t="shared" si="25"/>
        <v>0</v>
      </c>
      <c r="T48" s="197">
        <f t="shared" si="26"/>
        <v>0</v>
      </c>
      <c r="U48" s="197">
        <f t="shared" si="27"/>
        <v>0</v>
      </c>
      <c r="V48" s="197">
        <f t="shared" si="28"/>
        <v>0</v>
      </c>
      <c r="W48" s="8" t="str">
        <f>IF(C48&lt;&gt;"",MATCH(_xlfn.NUMBERVALUE(LEFT(C48,4)),KiemTraBCD!$B$10:$B$1000,0),"")</f>
        <v/>
      </c>
      <c r="Z48" s="191">
        <f t="shared" si="35"/>
        <v>0</v>
      </c>
      <c r="AA48" s="191">
        <f t="shared" si="36"/>
        <v>0</v>
      </c>
      <c r="AB48" s="191">
        <f t="shared" si="37"/>
        <v>0</v>
      </c>
      <c r="AC48" s="191">
        <f t="shared" si="38"/>
        <v>0</v>
      </c>
      <c r="AD48" s="191">
        <f t="shared" si="39"/>
        <v>0</v>
      </c>
      <c r="AE48" s="191">
        <f t="shared" si="40"/>
        <v>0</v>
      </c>
      <c r="AI48" s="191">
        <f t="shared" si="42"/>
        <v>0</v>
      </c>
      <c r="AJ48" s="191">
        <f t="shared" si="43"/>
        <v>0</v>
      </c>
      <c r="AK48" s="191">
        <f t="shared" si="44"/>
        <v>0</v>
      </c>
      <c r="AL48" s="191">
        <f t="shared" si="45"/>
        <v>0</v>
      </c>
      <c r="AM48" s="191">
        <f t="shared" si="46"/>
        <v>0</v>
      </c>
      <c r="AN48" s="191">
        <f t="shared" si="47"/>
        <v>0</v>
      </c>
    </row>
    <row r="49" spans="5:40" x14ac:dyDescent="0.45">
      <c r="E49" s="191"/>
      <c r="F49" s="191"/>
      <c r="G49" s="191"/>
      <c r="H49" s="191"/>
      <c r="I49" s="191"/>
      <c r="J49" s="191"/>
      <c r="L49" s="8">
        <f t="shared" si="18"/>
        <v>0</v>
      </c>
      <c r="M49" s="197">
        <f t="shared" si="19"/>
        <v>0</v>
      </c>
      <c r="N49" s="197">
        <f t="shared" si="20"/>
        <v>0</v>
      </c>
      <c r="O49" s="197">
        <f t="shared" si="21"/>
        <v>0</v>
      </c>
      <c r="P49" s="197">
        <f t="shared" si="22"/>
        <v>0</v>
      </c>
      <c r="Q49" s="197">
        <f t="shared" si="23"/>
        <v>0</v>
      </c>
      <c r="R49" s="197">
        <f t="shared" si="24"/>
        <v>0</v>
      </c>
      <c r="S49" s="197">
        <f t="shared" si="25"/>
        <v>0</v>
      </c>
      <c r="T49" s="197">
        <f t="shared" si="26"/>
        <v>0</v>
      </c>
      <c r="U49" s="197">
        <f t="shared" si="27"/>
        <v>0</v>
      </c>
      <c r="V49" s="197">
        <f t="shared" si="28"/>
        <v>0</v>
      </c>
      <c r="Z49" s="191">
        <f t="shared" si="35"/>
        <v>0</v>
      </c>
      <c r="AA49" s="191">
        <f t="shared" si="36"/>
        <v>0</v>
      </c>
      <c r="AB49" s="191">
        <f t="shared" si="37"/>
        <v>0</v>
      </c>
      <c r="AC49" s="191">
        <f t="shared" si="38"/>
        <v>0</v>
      </c>
      <c r="AD49" s="191">
        <f t="shared" si="39"/>
        <v>0</v>
      </c>
      <c r="AE49" s="191">
        <f t="shared" si="40"/>
        <v>0</v>
      </c>
      <c r="AI49" s="191">
        <f t="shared" si="42"/>
        <v>0</v>
      </c>
      <c r="AJ49" s="191">
        <f t="shared" si="43"/>
        <v>0</v>
      </c>
      <c r="AK49" s="191">
        <f t="shared" si="44"/>
        <v>0</v>
      </c>
      <c r="AL49" s="191">
        <f t="shared" si="45"/>
        <v>0</v>
      </c>
      <c r="AM49" s="191">
        <f t="shared" si="46"/>
        <v>0</v>
      </c>
      <c r="AN49" s="191">
        <f t="shared" si="47"/>
        <v>0</v>
      </c>
    </row>
    <row r="50" spans="5:40" x14ac:dyDescent="0.45">
      <c r="E50" s="191"/>
      <c r="F50" s="191"/>
      <c r="G50" s="191"/>
      <c r="H50" s="191"/>
      <c r="I50" s="191"/>
      <c r="J50" s="191"/>
      <c r="L50" s="8">
        <f t="shared" si="18"/>
        <v>0</v>
      </c>
      <c r="M50" s="197">
        <f t="shared" si="19"/>
        <v>0</v>
      </c>
      <c r="N50" s="197">
        <f t="shared" si="20"/>
        <v>0</v>
      </c>
      <c r="O50" s="197">
        <f t="shared" si="21"/>
        <v>0</v>
      </c>
      <c r="P50" s="197">
        <f t="shared" si="22"/>
        <v>0</v>
      </c>
      <c r="Q50" s="197">
        <f t="shared" si="23"/>
        <v>0</v>
      </c>
      <c r="R50" s="197">
        <f t="shared" si="24"/>
        <v>0</v>
      </c>
      <c r="S50" s="197">
        <f t="shared" si="25"/>
        <v>0</v>
      </c>
      <c r="T50" s="197">
        <f t="shared" si="26"/>
        <v>0</v>
      </c>
      <c r="U50" s="197">
        <f t="shared" si="27"/>
        <v>0</v>
      </c>
      <c r="V50" s="197">
        <f t="shared" si="28"/>
        <v>0</v>
      </c>
      <c r="W50" s="8" t="str">
        <f>IF(C50&lt;&gt;"",MATCH(_xlfn.NUMBERVALUE(LEFT(C50,4)),KiemTraBCD!$B$10:$B$1000,0),"")</f>
        <v/>
      </c>
      <c r="Z50" s="191">
        <f t="shared" si="35"/>
        <v>0</v>
      </c>
      <c r="AA50" s="191">
        <f t="shared" si="36"/>
        <v>0</v>
      </c>
      <c r="AB50" s="191">
        <f t="shared" si="37"/>
        <v>0</v>
      </c>
      <c r="AC50" s="191">
        <f t="shared" si="38"/>
        <v>0</v>
      </c>
      <c r="AD50" s="191">
        <f t="shared" si="39"/>
        <v>0</v>
      </c>
      <c r="AE50" s="191">
        <f t="shared" si="40"/>
        <v>0</v>
      </c>
      <c r="AI50" s="191">
        <f t="shared" si="42"/>
        <v>0</v>
      </c>
      <c r="AJ50" s="191">
        <f t="shared" si="43"/>
        <v>0</v>
      </c>
      <c r="AK50" s="191">
        <f t="shared" si="44"/>
        <v>0</v>
      </c>
      <c r="AL50" s="191">
        <f t="shared" si="45"/>
        <v>0</v>
      </c>
      <c r="AM50" s="191">
        <f t="shared" si="46"/>
        <v>0</v>
      </c>
      <c r="AN50" s="191">
        <f t="shared" si="47"/>
        <v>0</v>
      </c>
    </row>
    <row r="51" spans="5:40" x14ac:dyDescent="0.45">
      <c r="E51" s="191"/>
      <c r="F51" s="191"/>
      <c r="G51" s="191"/>
      <c r="H51" s="191"/>
      <c r="I51" s="191"/>
      <c r="J51" s="191"/>
      <c r="L51" s="8">
        <f t="shared" si="18"/>
        <v>0</v>
      </c>
      <c r="M51" s="197">
        <f t="shared" si="19"/>
        <v>0</v>
      </c>
      <c r="N51" s="197">
        <f t="shared" si="20"/>
        <v>0</v>
      </c>
      <c r="O51" s="197">
        <f t="shared" si="21"/>
        <v>0</v>
      </c>
      <c r="P51" s="197">
        <f t="shared" si="22"/>
        <v>0</v>
      </c>
      <c r="Q51" s="197">
        <f t="shared" si="23"/>
        <v>0</v>
      </c>
      <c r="R51" s="197">
        <f t="shared" si="24"/>
        <v>0</v>
      </c>
      <c r="S51" s="197">
        <f t="shared" si="25"/>
        <v>0</v>
      </c>
      <c r="T51" s="197">
        <f t="shared" si="26"/>
        <v>0</v>
      </c>
      <c r="U51" s="197">
        <f t="shared" si="27"/>
        <v>0</v>
      </c>
      <c r="V51" s="197">
        <f t="shared" si="28"/>
        <v>0</v>
      </c>
      <c r="W51" s="8" t="str">
        <f>IF(C51&lt;&gt;"",MATCH(_xlfn.NUMBERVALUE(LEFT(C51,4)),KiemTraBCD!$B$10:$B$1000,0),"")</f>
        <v/>
      </c>
      <c r="Z51" s="191">
        <f t="shared" si="35"/>
        <v>0</v>
      </c>
      <c r="AA51" s="191">
        <f t="shared" si="36"/>
        <v>0</v>
      </c>
      <c r="AB51" s="191">
        <f t="shared" si="37"/>
        <v>0</v>
      </c>
      <c r="AC51" s="191">
        <f t="shared" si="38"/>
        <v>0</v>
      </c>
      <c r="AD51" s="191">
        <f t="shared" si="39"/>
        <v>0</v>
      </c>
      <c r="AE51" s="191">
        <f t="shared" si="40"/>
        <v>0</v>
      </c>
      <c r="AI51" s="191">
        <f t="shared" si="42"/>
        <v>0</v>
      </c>
      <c r="AJ51" s="191">
        <f t="shared" si="43"/>
        <v>0</v>
      </c>
      <c r="AK51" s="191">
        <f t="shared" si="44"/>
        <v>0</v>
      </c>
      <c r="AL51" s="191">
        <f t="shared" si="45"/>
        <v>0</v>
      </c>
      <c r="AM51" s="191">
        <f t="shared" si="46"/>
        <v>0</v>
      </c>
      <c r="AN51" s="191">
        <f t="shared" si="47"/>
        <v>0</v>
      </c>
    </row>
    <row r="52" spans="5:40" x14ac:dyDescent="0.45">
      <c r="E52" s="191"/>
      <c r="F52" s="191"/>
      <c r="G52" s="191"/>
      <c r="H52" s="191"/>
      <c r="I52" s="191"/>
      <c r="J52" s="191"/>
      <c r="L52" s="8">
        <f t="shared" si="18"/>
        <v>0</v>
      </c>
      <c r="M52" s="197">
        <f t="shared" si="19"/>
        <v>0</v>
      </c>
      <c r="N52" s="197">
        <f t="shared" si="20"/>
        <v>0</v>
      </c>
      <c r="O52" s="197">
        <f t="shared" si="21"/>
        <v>0</v>
      </c>
      <c r="P52" s="197">
        <f t="shared" si="22"/>
        <v>0</v>
      </c>
      <c r="Q52" s="197">
        <f t="shared" si="23"/>
        <v>0</v>
      </c>
      <c r="R52" s="197">
        <f t="shared" si="24"/>
        <v>0</v>
      </c>
      <c r="S52" s="197">
        <f t="shared" si="25"/>
        <v>0</v>
      </c>
      <c r="T52" s="197">
        <f t="shared" si="26"/>
        <v>0</v>
      </c>
      <c r="U52" s="197">
        <f t="shared" si="27"/>
        <v>0</v>
      </c>
      <c r="V52" s="197">
        <f t="shared" si="28"/>
        <v>0</v>
      </c>
      <c r="W52" s="8" t="str">
        <f>IF(C52&lt;&gt;"",MATCH(_xlfn.NUMBERVALUE(LEFT(C52,4)),KiemTraBCD!$B$10:$B$1000,0),"")</f>
        <v/>
      </c>
      <c r="Z52" s="191">
        <f t="shared" si="35"/>
        <v>0</v>
      </c>
      <c r="AA52" s="191">
        <f t="shared" si="36"/>
        <v>0</v>
      </c>
      <c r="AB52" s="191">
        <f t="shared" si="37"/>
        <v>0</v>
      </c>
      <c r="AC52" s="191">
        <f t="shared" si="38"/>
        <v>0</v>
      </c>
      <c r="AD52" s="191">
        <f t="shared" si="39"/>
        <v>0</v>
      </c>
      <c r="AE52" s="191">
        <f t="shared" si="40"/>
        <v>0</v>
      </c>
      <c r="AI52" s="191">
        <f t="shared" si="42"/>
        <v>0</v>
      </c>
      <c r="AJ52" s="191">
        <f t="shared" si="43"/>
        <v>0</v>
      </c>
      <c r="AK52" s="191">
        <f t="shared" si="44"/>
        <v>0</v>
      </c>
      <c r="AL52" s="191">
        <f t="shared" si="45"/>
        <v>0</v>
      </c>
      <c r="AM52" s="191">
        <f t="shared" si="46"/>
        <v>0</v>
      </c>
      <c r="AN52" s="191">
        <f t="shared" si="47"/>
        <v>0</v>
      </c>
    </row>
    <row r="53" spans="5:40" x14ac:dyDescent="0.45">
      <c r="E53" s="191"/>
      <c r="F53" s="191"/>
      <c r="G53" s="191"/>
      <c r="H53" s="191"/>
      <c r="I53" s="191"/>
      <c r="J53" s="191"/>
      <c r="L53" s="8">
        <f t="shared" si="18"/>
        <v>0</v>
      </c>
      <c r="M53" s="197">
        <f t="shared" si="19"/>
        <v>0</v>
      </c>
      <c r="N53" s="197">
        <f t="shared" si="20"/>
        <v>0</v>
      </c>
      <c r="O53" s="197">
        <f t="shared" si="21"/>
        <v>0</v>
      </c>
      <c r="P53" s="197">
        <f t="shared" si="22"/>
        <v>0</v>
      </c>
      <c r="Q53" s="197">
        <f t="shared" si="23"/>
        <v>0</v>
      </c>
      <c r="R53" s="197">
        <f t="shared" si="24"/>
        <v>0</v>
      </c>
      <c r="S53" s="197">
        <f t="shared" si="25"/>
        <v>0</v>
      </c>
      <c r="T53" s="197">
        <f t="shared" si="26"/>
        <v>0</v>
      </c>
      <c r="U53" s="197">
        <f t="shared" si="27"/>
        <v>0</v>
      </c>
      <c r="V53" s="197">
        <f t="shared" si="28"/>
        <v>0</v>
      </c>
      <c r="W53" s="8" t="str">
        <f>IF(C53&lt;&gt;"",MATCH(_xlfn.NUMBERVALUE(LEFT(C53,4)),KiemTraBCD!$B$10:$B$1000,0),"")</f>
        <v/>
      </c>
      <c r="Z53" s="191">
        <f t="shared" si="35"/>
        <v>0</v>
      </c>
      <c r="AA53" s="191">
        <f t="shared" si="36"/>
        <v>0</v>
      </c>
      <c r="AB53" s="191">
        <f t="shared" si="37"/>
        <v>0</v>
      </c>
      <c r="AC53" s="191">
        <f t="shared" si="38"/>
        <v>0</v>
      </c>
      <c r="AD53" s="191">
        <f t="shared" si="39"/>
        <v>0</v>
      </c>
      <c r="AE53" s="191">
        <f t="shared" si="40"/>
        <v>0</v>
      </c>
      <c r="AI53" s="191">
        <f t="shared" si="42"/>
        <v>0</v>
      </c>
      <c r="AJ53" s="191">
        <f t="shared" si="43"/>
        <v>0</v>
      </c>
      <c r="AK53" s="191">
        <f t="shared" si="44"/>
        <v>0</v>
      </c>
      <c r="AL53" s="191">
        <f t="shared" si="45"/>
        <v>0</v>
      </c>
      <c r="AM53" s="191">
        <f t="shared" si="46"/>
        <v>0</v>
      </c>
      <c r="AN53" s="191">
        <f t="shared" si="47"/>
        <v>0</v>
      </c>
    </row>
    <row r="54" spans="5:40" x14ac:dyDescent="0.45">
      <c r="E54" s="191"/>
      <c r="F54" s="191"/>
      <c r="G54" s="191"/>
      <c r="H54" s="191"/>
      <c r="I54" s="191"/>
      <c r="J54" s="191"/>
      <c r="L54" s="8">
        <f t="shared" si="18"/>
        <v>0</v>
      </c>
      <c r="M54" s="197">
        <f t="shared" si="19"/>
        <v>0</v>
      </c>
      <c r="N54" s="197">
        <f t="shared" si="20"/>
        <v>0</v>
      </c>
      <c r="O54" s="197">
        <f t="shared" si="21"/>
        <v>0</v>
      </c>
      <c r="P54" s="197">
        <f t="shared" si="22"/>
        <v>0</v>
      </c>
      <c r="Q54" s="197">
        <f t="shared" si="23"/>
        <v>0</v>
      </c>
      <c r="R54" s="197">
        <f t="shared" si="24"/>
        <v>0</v>
      </c>
      <c r="S54" s="197">
        <f t="shared" si="25"/>
        <v>0</v>
      </c>
      <c r="T54" s="197">
        <f t="shared" si="26"/>
        <v>0</v>
      </c>
      <c r="U54" s="197">
        <f t="shared" si="27"/>
        <v>0</v>
      </c>
      <c r="V54" s="197">
        <f t="shared" si="28"/>
        <v>0</v>
      </c>
      <c r="W54" s="8" t="str">
        <f>IF(C54&lt;&gt;"",MATCH(_xlfn.NUMBERVALUE(LEFT(C54,4)),KiemTraBCD!$B$10:$B$1000,0),"")</f>
        <v/>
      </c>
      <c r="Z54" s="191">
        <f t="shared" si="35"/>
        <v>0</v>
      </c>
      <c r="AA54" s="191">
        <f t="shared" si="36"/>
        <v>0</v>
      </c>
      <c r="AB54" s="191">
        <f t="shared" si="37"/>
        <v>0</v>
      </c>
      <c r="AC54" s="191">
        <f t="shared" si="38"/>
        <v>0</v>
      </c>
      <c r="AD54" s="191">
        <f t="shared" si="39"/>
        <v>0</v>
      </c>
      <c r="AE54" s="191">
        <f t="shared" si="40"/>
        <v>0</v>
      </c>
      <c r="AI54" s="191">
        <f t="shared" si="42"/>
        <v>0</v>
      </c>
      <c r="AJ54" s="191">
        <f t="shared" si="43"/>
        <v>0</v>
      </c>
      <c r="AK54" s="191">
        <f t="shared" si="44"/>
        <v>0</v>
      </c>
      <c r="AL54" s="191">
        <f t="shared" si="45"/>
        <v>0</v>
      </c>
      <c r="AM54" s="191">
        <f t="shared" si="46"/>
        <v>0</v>
      </c>
      <c r="AN54" s="191">
        <f t="shared" si="47"/>
        <v>0</v>
      </c>
    </row>
    <row r="55" spans="5:40" x14ac:dyDescent="0.45">
      <c r="E55" s="191"/>
      <c r="F55" s="191"/>
      <c r="G55" s="191"/>
      <c r="H55" s="191"/>
      <c r="I55" s="191"/>
      <c r="J55" s="191"/>
      <c r="L55" s="8">
        <f t="shared" si="18"/>
        <v>0</v>
      </c>
      <c r="M55" s="197">
        <f t="shared" si="19"/>
        <v>0</v>
      </c>
      <c r="N55" s="197">
        <f t="shared" si="20"/>
        <v>0</v>
      </c>
      <c r="O55" s="197">
        <f t="shared" si="21"/>
        <v>0</v>
      </c>
      <c r="P55" s="197">
        <f t="shared" si="22"/>
        <v>0</v>
      </c>
      <c r="Q55" s="197">
        <f t="shared" si="23"/>
        <v>0</v>
      </c>
      <c r="R55" s="197">
        <f t="shared" si="24"/>
        <v>0</v>
      </c>
      <c r="S55" s="197">
        <f t="shared" si="25"/>
        <v>0</v>
      </c>
      <c r="T55" s="197">
        <f t="shared" si="26"/>
        <v>0</v>
      </c>
      <c r="U55" s="197">
        <f t="shared" si="27"/>
        <v>0</v>
      </c>
      <c r="V55" s="197">
        <f t="shared" si="28"/>
        <v>0</v>
      </c>
      <c r="W55" s="8" t="str">
        <f>IF(C55&lt;&gt;"",MATCH(_xlfn.NUMBERVALUE(LEFT(C55,4)),KiemTraBCD!$B$10:$B$1000,0),"")</f>
        <v/>
      </c>
      <c r="Z55" s="191">
        <f t="shared" si="35"/>
        <v>0</v>
      </c>
      <c r="AA55" s="191">
        <f t="shared" si="36"/>
        <v>0</v>
      </c>
      <c r="AB55" s="191">
        <f t="shared" si="37"/>
        <v>0</v>
      </c>
      <c r="AC55" s="191">
        <f t="shared" si="38"/>
        <v>0</v>
      </c>
      <c r="AD55" s="191">
        <f t="shared" si="39"/>
        <v>0</v>
      </c>
      <c r="AE55" s="191">
        <f t="shared" si="40"/>
        <v>0</v>
      </c>
      <c r="AI55" s="191">
        <f t="shared" si="42"/>
        <v>0</v>
      </c>
      <c r="AJ55" s="191">
        <f t="shared" si="43"/>
        <v>0</v>
      </c>
      <c r="AK55" s="191">
        <f t="shared" si="44"/>
        <v>0</v>
      </c>
      <c r="AL55" s="191">
        <f t="shared" si="45"/>
        <v>0</v>
      </c>
      <c r="AM55" s="191">
        <f t="shared" si="46"/>
        <v>0</v>
      </c>
      <c r="AN55" s="191">
        <f t="shared" si="47"/>
        <v>0</v>
      </c>
    </row>
    <row r="56" spans="5:40" x14ac:dyDescent="0.45">
      <c r="E56" s="191"/>
      <c r="F56" s="191"/>
      <c r="G56" s="191"/>
      <c r="H56" s="191"/>
      <c r="I56" s="191"/>
      <c r="J56" s="191"/>
      <c r="L56" s="8">
        <f t="shared" si="18"/>
        <v>0</v>
      </c>
      <c r="M56" s="197">
        <f t="shared" si="19"/>
        <v>0</v>
      </c>
      <c r="N56" s="197">
        <f t="shared" si="20"/>
        <v>0</v>
      </c>
      <c r="O56" s="197">
        <f t="shared" si="21"/>
        <v>0</v>
      </c>
      <c r="P56" s="197">
        <f t="shared" si="22"/>
        <v>0</v>
      </c>
      <c r="Q56" s="197">
        <f t="shared" si="23"/>
        <v>0</v>
      </c>
      <c r="R56" s="197">
        <f t="shared" si="24"/>
        <v>0</v>
      </c>
      <c r="S56" s="197">
        <f t="shared" si="25"/>
        <v>0</v>
      </c>
      <c r="T56" s="197">
        <f t="shared" si="26"/>
        <v>0</v>
      </c>
      <c r="U56" s="197">
        <f t="shared" si="27"/>
        <v>0</v>
      </c>
      <c r="V56" s="197">
        <f t="shared" si="28"/>
        <v>0</v>
      </c>
      <c r="W56" s="8" t="str">
        <f>IF(C56&lt;&gt;"",MATCH(_xlfn.NUMBERVALUE(LEFT(C56,4)),KiemTraBCD!$B$10:$B$1000,0),"")</f>
        <v/>
      </c>
      <c r="Z56" s="191">
        <f t="shared" si="35"/>
        <v>0</v>
      </c>
      <c r="AA56" s="191">
        <f t="shared" si="36"/>
        <v>0</v>
      </c>
      <c r="AB56" s="191">
        <f t="shared" si="37"/>
        <v>0</v>
      </c>
      <c r="AC56" s="191">
        <f t="shared" si="38"/>
        <v>0</v>
      </c>
      <c r="AD56" s="191">
        <f t="shared" si="39"/>
        <v>0</v>
      </c>
      <c r="AE56" s="191">
        <f t="shared" si="40"/>
        <v>0</v>
      </c>
      <c r="AI56" s="191">
        <f t="shared" si="42"/>
        <v>0</v>
      </c>
      <c r="AJ56" s="191">
        <f t="shared" si="43"/>
        <v>0</v>
      </c>
      <c r="AK56" s="191">
        <f t="shared" si="44"/>
        <v>0</v>
      </c>
      <c r="AL56" s="191">
        <f t="shared" si="45"/>
        <v>0</v>
      </c>
      <c r="AM56" s="191">
        <f t="shared" si="46"/>
        <v>0</v>
      </c>
      <c r="AN56" s="191">
        <f t="shared" si="47"/>
        <v>0</v>
      </c>
    </row>
    <row r="57" spans="5:40" x14ac:dyDescent="0.45">
      <c r="E57" s="191"/>
      <c r="F57" s="191"/>
      <c r="G57" s="191"/>
      <c r="H57" s="191"/>
      <c r="I57" s="191"/>
      <c r="J57" s="191"/>
      <c r="L57" s="8">
        <f t="shared" si="18"/>
        <v>0</v>
      </c>
      <c r="M57" s="197">
        <f t="shared" si="19"/>
        <v>0</v>
      </c>
      <c r="N57" s="197">
        <f t="shared" si="20"/>
        <v>0</v>
      </c>
      <c r="O57" s="197">
        <f t="shared" si="21"/>
        <v>0</v>
      </c>
      <c r="P57" s="197">
        <f t="shared" si="22"/>
        <v>0</v>
      </c>
      <c r="Q57" s="197">
        <f t="shared" si="23"/>
        <v>0</v>
      </c>
      <c r="R57" s="197">
        <f t="shared" si="24"/>
        <v>0</v>
      </c>
      <c r="S57" s="197">
        <f t="shared" si="25"/>
        <v>0</v>
      </c>
      <c r="T57" s="197">
        <f t="shared" si="26"/>
        <v>0</v>
      </c>
      <c r="U57" s="197">
        <f t="shared" si="27"/>
        <v>0</v>
      </c>
      <c r="V57" s="197">
        <f t="shared" si="28"/>
        <v>0</v>
      </c>
      <c r="W57" s="8" t="str">
        <f>IF(C57&lt;&gt;"",MATCH(_xlfn.NUMBERVALUE(LEFT(C57,4)),KiemTraBCD!$B$10:$B$1000,0),"")</f>
        <v/>
      </c>
      <c r="Z57" s="191">
        <f t="shared" si="35"/>
        <v>0</v>
      </c>
      <c r="AA57" s="191">
        <f t="shared" si="36"/>
        <v>0</v>
      </c>
      <c r="AB57" s="191">
        <f t="shared" si="37"/>
        <v>0</v>
      </c>
      <c r="AC57" s="191">
        <f t="shared" si="38"/>
        <v>0</v>
      </c>
      <c r="AD57" s="191">
        <f t="shared" si="39"/>
        <v>0</v>
      </c>
      <c r="AE57" s="191">
        <f t="shared" si="40"/>
        <v>0</v>
      </c>
      <c r="AI57" s="191">
        <f t="shared" si="42"/>
        <v>0</v>
      </c>
      <c r="AJ57" s="191">
        <f t="shared" si="43"/>
        <v>0</v>
      </c>
      <c r="AK57" s="191">
        <f t="shared" si="44"/>
        <v>0</v>
      </c>
      <c r="AL57" s="191">
        <f t="shared" si="45"/>
        <v>0</v>
      </c>
      <c r="AM57" s="191">
        <f t="shared" si="46"/>
        <v>0</v>
      </c>
      <c r="AN57" s="191">
        <f t="shared" si="47"/>
        <v>0</v>
      </c>
    </row>
    <row r="58" spans="5:40" x14ac:dyDescent="0.45">
      <c r="E58" s="191"/>
      <c r="F58" s="191"/>
      <c r="G58" s="191"/>
      <c r="H58" s="191"/>
      <c r="I58" s="191"/>
      <c r="J58" s="191"/>
      <c r="L58" s="8">
        <f t="shared" si="18"/>
        <v>0</v>
      </c>
      <c r="M58" s="197">
        <f t="shared" si="19"/>
        <v>0</v>
      </c>
      <c r="N58" s="197">
        <f t="shared" si="20"/>
        <v>0</v>
      </c>
      <c r="O58" s="197">
        <f t="shared" si="21"/>
        <v>0</v>
      </c>
      <c r="P58" s="197">
        <f t="shared" si="22"/>
        <v>0</v>
      </c>
      <c r="Q58" s="197">
        <f t="shared" si="23"/>
        <v>0</v>
      </c>
      <c r="R58" s="197">
        <f t="shared" si="24"/>
        <v>0</v>
      </c>
      <c r="S58" s="197">
        <f t="shared" si="25"/>
        <v>0</v>
      </c>
      <c r="T58" s="197">
        <f t="shared" si="26"/>
        <v>0</v>
      </c>
      <c r="U58" s="197">
        <f t="shared" si="27"/>
        <v>0</v>
      </c>
      <c r="V58" s="197">
        <f t="shared" si="28"/>
        <v>0</v>
      </c>
      <c r="W58" s="8" t="str">
        <f>IF(C58&lt;&gt;"",MATCH(_xlfn.NUMBERVALUE(LEFT(C58,4)),KiemTraBCD!$B$10:$B$1000,0),"")</f>
        <v/>
      </c>
      <c r="Z58" s="191">
        <f t="shared" si="35"/>
        <v>0</v>
      </c>
      <c r="AA58" s="191">
        <f t="shared" si="36"/>
        <v>0</v>
      </c>
      <c r="AB58" s="191">
        <f t="shared" si="37"/>
        <v>0</v>
      </c>
      <c r="AC58" s="191">
        <f t="shared" si="38"/>
        <v>0</v>
      </c>
      <c r="AD58" s="191">
        <f t="shared" si="39"/>
        <v>0</v>
      </c>
      <c r="AE58" s="191">
        <f t="shared" si="40"/>
        <v>0</v>
      </c>
      <c r="AI58" s="191">
        <f t="shared" si="42"/>
        <v>0</v>
      </c>
      <c r="AJ58" s="191">
        <f t="shared" si="43"/>
        <v>0</v>
      </c>
      <c r="AK58" s="191">
        <f t="shared" si="44"/>
        <v>0</v>
      </c>
      <c r="AL58" s="191">
        <f t="shared" si="45"/>
        <v>0</v>
      </c>
      <c r="AM58" s="191">
        <f t="shared" si="46"/>
        <v>0</v>
      </c>
      <c r="AN58" s="191">
        <f t="shared" si="47"/>
        <v>0</v>
      </c>
    </row>
    <row r="59" spans="5:40" x14ac:dyDescent="0.45">
      <c r="E59" s="191"/>
      <c r="F59" s="191"/>
      <c r="G59" s="191"/>
      <c r="H59" s="191"/>
      <c r="I59" s="191"/>
      <c r="J59" s="191"/>
      <c r="L59" s="8">
        <f t="shared" si="18"/>
        <v>0</v>
      </c>
      <c r="M59" s="197">
        <f t="shared" si="19"/>
        <v>0</v>
      </c>
      <c r="N59" s="197">
        <f t="shared" si="20"/>
        <v>0</v>
      </c>
      <c r="O59" s="197">
        <f t="shared" si="21"/>
        <v>0</v>
      </c>
      <c r="P59" s="197">
        <f t="shared" si="22"/>
        <v>0</v>
      </c>
      <c r="Q59" s="197">
        <f t="shared" si="23"/>
        <v>0</v>
      </c>
      <c r="R59" s="197">
        <f t="shared" si="24"/>
        <v>0</v>
      </c>
      <c r="S59" s="197">
        <f t="shared" si="25"/>
        <v>0</v>
      </c>
      <c r="T59" s="197">
        <f t="shared" si="26"/>
        <v>0</v>
      </c>
      <c r="U59" s="197">
        <f t="shared" si="27"/>
        <v>0</v>
      </c>
      <c r="V59" s="197">
        <f t="shared" si="28"/>
        <v>0</v>
      </c>
      <c r="W59" s="8" t="str">
        <f>IF(C59&lt;&gt;"",MATCH(_xlfn.NUMBERVALUE(LEFT(C59,4)),KiemTraBCD!$B$10:$B$1000,0),"")</f>
        <v/>
      </c>
      <c r="Z59" s="191">
        <f t="shared" si="35"/>
        <v>0</v>
      </c>
      <c r="AA59" s="191">
        <f t="shared" si="36"/>
        <v>0</v>
      </c>
      <c r="AB59" s="191">
        <f t="shared" si="37"/>
        <v>0</v>
      </c>
      <c r="AC59" s="191">
        <f t="shared" si="38"/>
        <v>0</v>
      </c>
      <c r="AD59" s="191">
        <f t="shared" si="39"/>
        <v>0</v>
      </c>
      <c r="AE59" s="191">
        <f t="shared" si="40"/>
        <v>0</v>
      </c>
      <c r="AI59" s="191">
        <f t="shared" si="42"/>
        <v>0</v>
      </c>
      <c r="AJ59" s="191">
        <f t="shared" si="43"/>
        <v>0</v>
      </c>
      <c r="AK59" s="191">
        <f t="shared" si="44"/>
        <v>0</v>
      </c>
      <c r="AL59" s="191">
        <f t="shared" si="45"/>
        <v>0</v>
      </c>
      <c r="AM59" s="191">
        <f t="shared" si="46"/>
        <v>0</v>
      </c>
      <c r="AN59" s="191">
        <f t="shared" si="47"/>
        <v>0</v>
      </c>
    </row>
    <row r="60" spans="5:40" x14ac:dyDescent="0.45">
      <c r="E60" s="191"/>
      <c r="F60" s="191"/>
      <c r="G60" s="191"/>
      <c r="H60" s="191"/>
      <c r="I60" s="191"/>
      <c r="J60" s="191"/>
      <c r="L60" s="8">
        <f t="shared" si="18"/>
        <v>0</v>
      </c>
      <c r="M60" s="197">
        <f t="shared" si="19"/>
        <v>0</v>
      </c>
      <c r="N60" s="197">
        <f t="shared" si="20"/>
        <v>0</v>
      </c>
      <c r="O60" s="197">
        <f t="shared" si="21"/>
        <v>0</v>
      </c>
      <c r="P60" s="197">
        <f t="shared" si="22"/>
        <v>0</v>
      </c>
      <c r="Q60" s="197">
        <f t="shared" si="23"/>
        <v>0</v>
      </c>
      <c r="R60" s="197">
        <f t="shared" si="24"/>
        <v>0</v>
      </c>
      <c r="S60" s="197">
        <f t="shared" si="25"/>
        <v>0</v>
      </c>
      <c r="T60" s="197">
        <f t="shared" si="26"/>
        <v>0</v>
      </c>
      <c r="U60" s="197">
        <f t="shared" si="27"/>
        <v>0</v>
      </c>
      <c r="V60" s="197">
        <f t="shared" si="28"/>
        <v>0</v>
      </c>
      <c r="W60" s="8" t="str">
        <f>IF(C60&lt;&gt;"",MATCH(_xlfn.NUMBERVALUE(LEFT(C60,4)),KiemTraBCD!$B$10:$B$1000,0),"")</f>
        <v/>
      </c>
      <c r="Z60" s="191">
        <f t="shared" si="35"/>
        <v>0</v>
      </c>
      <c r="AA60" s="191">
        <f t="shared" si="36"/>
        <v>0</v>
      </c>
      <c r="AB60" s="191">
        <f t="shared" si="37"/>
        <v>0</v>
      </c>
      <c r="AC60" s="191">
        <f t="shared" si="38"/>
        <v>0</v>
      </c>
      <c r="AD60" s="191">
        <f t="shared" si="39"/>
        <v>0</v>
      </c>
      <c r="AE60" s="191">
        <f t="shared" si="40"/>
        <v>0</v>
      </c>
      <c r="AI60" s="191">
        <f t="shared" si="42"/>
        <v>0</v>
      </c>
      <c r="AJ60" s="191">
        <f t="shared" si="43"/>
        <v>0</v>
      </c>
      <c r="AK60" s="191">
        <f t="shared" si="44"/>
        <v>0</v>
      </c>
      <c r="AL60" s="191">
        <f t="shared" si="45"/>
        <v>0</v>
      </c>
      <c r="AM60" s="191">
        <f t="shared" si="46"/>
        <v>0</v>
      </c>
      <c r="AN60" s="191">
        <f t="shared" si="47"/>
        <v>0</v>
      </c>
    </row>
    <row r="61" spans="5:40" x14ac:dyDescent="0.45">
      <c r="E61" s="191"/>
      <c r="F61" s="191"/>
      <c r="G61" s="191"/>
      <c r="H61" s="191"/>
      <c r="I61" s="191"/>
      <c r="J61" s="191"/>
      <c r="L61" s="8">
        <f t="shared" si="18"/>
        <v>0</v>
      </c>
      <c r="M61" s="197">
        <f t="shared" si="19"/>
        <v>0</v>
      </c>
      <c r="N61" s="197">
        <f t="shared" si="20"/>
        <v>0</v>
      </c>
      <c r="O61" s="197">
        <f t="shared" si="21"/>
        <v>0</v>
      </c>
      <c r="P61" s="197">
        <f t="shared" si="22"/>
        <v>0</v>
      </c>
      <c r="Q61" s="197">
        <f t="shared" si="23"/>
        <v>0</v>
      </c>
      <c r="R61" s="197">
        <f t="shared" si="24"/>
        <v>0</v>
      </c>
      <c r="S61" s="197">
        <f t="shared" si="25"/>
        <v>0</v>
      </c>
      <c r="T61" s="197">
        <f t="shared" si="26"/>
        <v>0</v>
      </c>
      <c r="U61" s="197">
        <f t="shared" si="27"/>
        <v>0</v>
      </c>
      <c r="V61" s="197">
        <f t="shared" si="28"/>
        <v>0</v>
      </c>
      <c r="W61" s="8" t="str">
        <f>IF(C61&lt;&gt;"",MATCH(_xlfn.NUMBERVALUE(LEFT(C61,4)),KiemTraBCD!$B$10:$B$1000,0),"")</f>
        <v/>
      </c>
      <c r="Z61" s="191">
        <f t="shared" si="35"/>
        <v>0</v>
      </c>
      <c r="AA61" s="191">
        <f t="shared" si="36"/>
        <v>0</v>
      </c>
      <c r="AB61" s="191">
        <f t="shared" si="37"/>
        <v>0</v>
      </c>
      <c r="AC61" s="191">
        <f t="shared" si="38"/>
        <v>0</v>
      </c>
      <c r="AD61" s="191">
        <f t="shared" si="39"/>
        <v>0</v>
      </c>
      <c r="AE61" s="191">
        <f t="shared" si="40"/>
        <v>0</v>
      </c>
      <c r="AI61" s="191">
        <f t="shared" si="42"/>
        <v>0</v>
      </c>
      <c r="AJ61" s="191">
        <f t="shared" si="43"/>
        <v>0</v>
      </c>
      <c r="AK61" s="191">
        <f t="shared" si="44"/>
        <v>0</v>
      </c>
      <c r="AL61" s="191">
        <f t="shared" si="45"/>
        <v>0</v>
      </c>
      <c r="AM61" s="191">
        <f t="shared" si="46"/>
        <v>0</v>
      </c>
      <c r="AN61" s="191">
        <f t="shared" si="47"/>
        <v>0</v>
      </c>
    </row>
    <row r="62" spans="5:40" x14ac:dyDescent="0.45">
      <c r="E62" s="191"/>
      <c r="F62" s="191"/>
      <c r="G62" s="191"/>
      <c r="H62" s="191"/>
      <c r="I62" s="191"/>
      <c r="J62" s="191"/>
      <c r="L62" s="8">
        <f t="shared" si="18"/>
        <v>0</v>
      </c>
      <c r="M62" s="197">
        <f t="shared" si="19"/>
        <v>0</v>
      </c>
      <c r="N62" s="197">
        <f t="shared" si="20"/>
        <v>0</v>
      </c>
      <c r="O62" s="197">
        <f t="shared" si="21"/>
        <v>0</v>
      </c>
      <c r="P62" s="197">
        <f t="shared" si="22"/>
        <v>0</v>
      </c>
      <c r="Q62" s="197">
        <f t="shared" si="23"/>
        <v>0</v>
      </c>
      <c r="R62" s="197">
        <f t="shared" si="24"/>
        <v>0</v>
      </c>
      <c r="S62" s="197">
        <f t="shared" si="25"/>
        <v>0</v>
      </c>
      <c r="T62" s="197">
        <f t="shared" si="26"/>
        <v>0</v>
      </c>
      <c r="U62" s="197">
        <f t="shared" si="27"/>
        <v>0</v>
      </c>
      <c r="V62" s="197">
        <f t="shared" si="28"/>
        <v>0</v>
      </c>
      <c r="W62" s="8" t="str">
        <f>IF(C62&lt;&gt;"",MATCH(_xlfn.NUMBERVALUE(LEFT(C62,4)),KiemTraBCD!$B$10:$B$1000,0),"")</f>
        <v/>
      </c>
      <c r="Z62" s="191">
        <f t="shared" si="35"/>
        <v>0</v>
      </c>
      <c r="AA62" s="191">
        <f t="shared" si="36"/>
        <v>0</v>
      </c>
      <c r="AB62" s="191">
        <f t="shared" si="37"/>
        <v>0</v>
      </c>
      <c r="AC62" s="191">
        <f t="shared" si="38"/>
        <v>0</v>
      </c>
      <c r="AD62" s="191">
        <f t="shared" si="39"/>
        <v>0</v>
      </c>
      <c r="AE62" s="191">
        <f t="shared" si="40"/>
        <v>0</v>
      </c>
      <c r="AI62" s="191">
        <f t="shared" si="42"/>
        <v>0</v>
      </c>
      <c r="AJ62" s="191">
        <f t="shared" si="43"/>
        <v>0</v>
      </c>
      <c r="AK62" s="191">
        <f t="shared" si="44"/>
        <v>0</v>
      </c>
      <c r="AL62" s="191">
        <f t="shared" si="45"/>
        <v>0</v>
      </c>
      <c r="AM62" s="191">
        <f t="shared" si="46"/>
        <v>0</v>
      </c>
      <c r="AN62" s="191">
        <f t="shared" si="47"/>
        <v>0</v>
      </c>
    </row>
    <row r="63" spans="5:40" x14ac:dyDescent="0.45">
      <c r="E63" s="191"/>
      <c r="F63" s="191"/>
      <c r="G63" s="191"/>
      <c r="H63" s="191"/>
      <c r="I63" s="191"/>
      <c r="J63" s="191"/>
      <c r="L63" s="8">
        <f t="shared" si="18"/>
        <v>0</v>
      </c>
      <c r="M63" s="197">
        <f t="shared" si="19"/>
        <v>0</v>
      </c>
      <c r="N63" s="197">
        <f t="shared" si="20"/>
        <v>0</v>
      </c>
      <c r="O63" s="197">
        <f t="shared" si="21"/>
        <v>0</v>
      </c>
      <c r="P63" s="197">
        <f t="shared" si="22"/>
        <v>0</v>
      </c>
      <c r="Q63" s="197">
        <f t="shared" si="23"/>
        <v>0</v>
      </c>
      <c r="R63" s="197">
        <f t="shared" si="24"/>
        <v>0</v>
      </c>
      <c r="S63" s="197">
        <f t="shared" si="25"/>
        <v>0</v>
      </c>
      <c r="T63" s="197">
        <f t="shared" si="26"/>
        <v>0</v>
      </c>
      <c r="U63" s="197">
        <f t="shared" si="27"/>
        <v>0</v>
      </c>
      <c r="V63" s="197">
        <f t="shared" si="28"/>
        <v>0</v>
      </c>
      <c r="W63" s="8" t="str">
        <f>IF(C63&lt;&gt;"",MATCH(_xlfn.NUMBERVALUE(LEFT(C63,4)),KiemTraBCD!$B$10:$B$1000,0),"")</f>
        <v/>
      </c>
      <c r="Z63" s="191">
        <f t="shared" si="35"/>
        <v>0</v>
      </c>
      <c r="AA63" s="191">
        <f t="shared" si="36"/>
        <v>0</v>
      </c>
      <c r="AB63" s="191">
        <f t="shared" si="37"/>
        <v>0</v>
      </c>
      <c r="AC63" s="191">
        <f t="shared" si="38"/>
        <v>0</v>
      </c>
      <c r="AD63" s="191">
        <f t="shared" si="39"/>
        <v>0</v>
      </c>
      <c r="AE63" s="191">
        <f t="shared" si="40"/>
        <v>0</v>
      </c>
      <c r="AI63" s="191">
        <f t="shared" si="42"/>
        <v>0</v>
      </c>
      <c r="AJ63" s="191">
        <f t="shared" si="43"/>
        <v>0</v>
      </c>
      <c r="AK63" s="191">
        <f t="shared" si="44"/>
        <v>0</v>
      </c>
      <c r="AL63" s="191">
        <f t="shared" si="45"/>
        <v>0</v>
      </c>
      <c r="AM63" s="191">
        <f t="shared" si="46"/>
        <v>0</v>
      </c>
      <c r="AN63" s="191">
        <f t="shared" si="47"/>
        <v>0</v>
      </c>
    </row>
    <row r="64" spans="5:40" x14ac:dyDescent="0.45">
      <c r="E64" s="191"/>
      <c r="F64" s="191"/>
      <c r="G64" s="191"/>
      <c r="H64" s="191"/>
      <c r="I64" s="191"/>
      <c r="J64" s="191"/>
      <c r="L64" s="8">
        <f t="shared" si="18"/>
        <v>0</v>
      </c>
      <c r="M64" s="197">
        <f t="shared" si="19"/>
        <v>0</v>
      </c>
      <c r="N64" s="197">
        <f t="shared" si="20"/>
        <v>0</v>
      </c>
      <c r="O64" s="197">
        <f t="shared" si="21"/>
        <v>0</v>
      </c>
      <c r="P64" s="197">
        <f t="shared" si="22"/>
        <v>0</v>
      </c>
      <c r="Q64" s="197">
        <f t="shared" si="23"/>
        <v>0</v>
      </c>
      <c r="R64" s="197">
        <f t="shared" si="24"/>
        <v>0</v>
      </c>
      <c r="S64" s="197">
        <f t="shared" si="25"/>
        <v>0</v>
      </c>
      <c r="T64" s="197">
        <f t="shared" si="26"/>
        <v>0</v>
      </c>
      <c r="U64" s="197">
        <f t="shared" si="27"/>
        <v>0</v>
      </c>
      <c r="V64" s="197">
        <f t="shared" si="28"/>
        <v>0</v>
      </c>
      <c r="W64" s="8" t="str">
        <f>IF(C64&lt;&gt;"",MATCH(_xlfn.NUMBERVALUE(LEFT(C64,4)),KiemTraBCD!$B$10:$B$1000,0),"")</f>
        <v/>
      </c>
      <c r="Z64" s="191">
        <f t="shared" si="35"/>
        <v>0</v>
      </c>
      <c r="AA64" s="191">
        <f t="shared" si="36"/>
        <v>0</v>
      </c>
      <c r="AB64" s="191">
        <f t="shared" si="37"/>
        <v>0</v>
      </c>
      <c r="AC64" s="191">
        <f t="shared" si="38"/>
        <v>0</v>
      </c>
      <c r="AD64" s="191">
        <f t="shared" si="39"/>
        <v>0</v>
      </c>
      <c r="AE64" s="191">
        <f t="shared" si="40"/>
        <v>0</v>
      </c>
      <c r="AI64" s="191">
        <f t="shared" si="42"/>
        <v>0</v>
      </c>
      <c r="AJ64" s="191">
        <f t="shared" si="43"/>
        <v>0</v>
      </c>
      <c r="AK64" s="191">
        <f t="shared" si="44"/>
        <v>0</v>
      </c>
      <c r="AL64" s="191">
        <f t="shared" si="45"/>
        <v>0</v>
      </c>
      <c r="AM64" s="191">
        <f t="shared" si="46"/>
        <v>0</v>
      </c>
      <c r="AN64" s="191">
        <f t="shared" si="47"/>
        <v>0</v>
      </c>
    </row>
    <row r="65" spans="2:41" x14ac:dyDescent="0.45">
      <c r="E65" s="191"/>
      <c r="F65" s="191"/>
      <c r="G65" s="191"/>
      <c r="H65" s="191"/>
      <c r="I65" s="191"/>
      <c r="J65" s="191"/>
      <c r="L65" s="8">
        <f t="shared" si="18"/>
        <v>0</v>
      </c>
      <c r="M65" s="197">
        <f t="shared" si="19"/>
        <v>0</v>
      </c>
      <c r="N65" s="197">
        <f t="shared" si="20"/>
        <v>0</v>
      </c>
      <c r="O65" s="197">
        <f t="shared" si="21"/>
        <v>0</v>
      </c>
      <c r="P65" s="197">
        <f t="shared" si="22"/>
        <v>0</v>
      </c>
      <c r="Q65" s="197">
        <f t="shared" si="23"/>
        <v>0</v>
      </c>
      <c r="R65" s="197">
        <f t="shared" si="24"/>
        <v>0</v>
      </c>
      <c r="S65" s="197">
        <f t="shared" si="25"/>
        <v>0</v>
      </c>
      <c r="T65" s="197">
        <f t="shared" si="26"/>
        <v>0</v>
      </c>
      <c r="U65" s="197">
        <f t="shared" si="27"/>
        <v>0</v>
      </c>
      <c r="V65" s="197">
        <f t="shared" si="28"/>
        <v>0</v>
      </c>
      <c r="W65" s="8" t="str">
        <f>IF(C65&lt;&gt;"",MATCH(_xlfn.NUMBERVALUE(LEFT(C65,4)),KiemTraBCD!$B$10:$B$1000,0),"")</f>
        <v/>
      </c>
      <c r="Z65" s="191">
        <f t="shared" si="35"/>
        <v>0</v>
      </c>
      <c r="AA65" s="191">
        <f t="shared" si="36"/>
        <v>0</v>
      </c>
      <c r="AB65" s="191">
        <f t="shared" si="37"/>
        <v>0</v>
      </c>
      <c r="AC65" s="191">
        <f t="shared" si="38"/>
        <v>0</v>
      </c>
      <c r="AD65" s="191">
        <f t="shared" si="39"/>
        <v>0</v>
      </c>
      <c r="AE65" s="191">
        <f t="shared" si="40"/>
        <v>0</v>
      </c>
      <c r="AI65" s="191">
        <f t="shared" si="42"/>
        <v>0</v>
      </c>
      <c r="AJ65" s="191">
        <f t="shared" si="43"/>
        <v>0</v>
      </c>
      <c r="AK65" s="191">
        <f t="shared" si="44"/>
        <v>0</v>
      </c>
      <c r="AL65" s="191">
        <f t="shared" si="45"/>
        <v>0</v>
      </c>
      <c r="AM65" s="191">
        <f t="shared" si="46"/>
        <v>0</v>
      </c>
      <c r="AN65" s="191">
        <f t="shared" si="47"/>
        <v>0</v>
      </c>
    </row>
    <row r="66" spans="2:41" x14ac:dyDescent="0.45">
      <c r="E66" s="191"/>
      <c r="F66" s="191"/>
      <c r="G66" s="191"/>
      <c r="H66" s="191"/>
      <c r="I66" s="191"/>
      <c r="J66" s="191"/>
      <c r="L66" s="8">
        <f t="shared" si="18"/>
        <v>0</v>
      </c>
      <c r="M66" s="197">
        <f t="shared" si="19"/>
        <v>0</v>
      </c>
      <c r="N66" s="197">
        <f t="shared" si="20"/>
        <v>0</v>
      </c>
      <c r="O66" s="197">
        <f t="shared" si="21"/>
        <v>0</v>
      </c>
      <c r="P66" s="197">
        <f t="shared" si="22"/>
        <v>0</v>
      </c>
      <c r="Q66" s="197">
        <f t="shared" si="23"/>
        <v>0</v>
      </c>
      <c r="R66" s="197">
        <f t="shared" si="24"/>
        <v>0</v>
      </c>
      <c r="S66" s="197">
        <f t="shared" si="25"/>
        <v>0</v>
      </c>
      <c r="T66" s="197">
        <f t="shared" si="26"/>
        <v>0</v>
      </c>
      <c r="U66" s="197">
        <f t="shared" si="27"/>
        <v>0</v>
      </c>
      <c r="V66" s="197">
        <f t="shared" si="28"/>
        <v>0</v>
      </c>
      <c r="W66" s="8" t="str">
        <f>IF(C66&lt;&gt;"",MATCH(_xlfn.NUMBERVALUE(LEFT(C66,4)),KiemTraBCD!$B$10:$B$1000,0),"")</f>
        <v/>
      </c>
      <c r="Z66" s="191">
        <f t="shared" si="35"/>
        <v>0</v>
      </c>
      <c r="AA66" s="191">
        <f t="shared" si="36"/>
        <v>0</v>
      </c>
      <c r="AB66" s="191">
        <f t="shared" si="37"/>
        <v>0</v>
      </c>
      <c r="AC66" s="191">
        <f t="shared" si="38"/>
        <v>0</v>
      </c>
      <c r="AD66" s="191">
        <f t="shared" si="39"/>
        <v>0</v>
      </c>
      <c r="AE66" s="191">
        <f t="shared" si="40"/>
        <v>0</v>
      </c>
      <c r="AI66" s="191">
        <f t="shared" si="42"/>
        <v>0</v>
      </c>
      <c r="AJ66" s="191">
        <f t="shared" si="43"/>
        <v>0</v>
      </c>
      <c r="AK66" s="191">
        <f t="shared" si="44"/>
        <v>0</v>
      </c>
      <c r="AL66" s="191">
        <f t="shared" si="45"/>
        <v>0</v>
      </c>
      <c r="AM66" s="191">
        <f t="shared" si="46"/>
        <v>0</v>
      </c>
      <c r="AN66" s="191">
        <f t="shared" si="47"/>
        <v>0</v>
      </c>
    </row>
    <row r="67" spans="2:41" x14ac:dyDescent="0.45">
      <c r="E67" s="191"/>
      <c r="F67" s="191"/>
      <c r="G67" s="191"/>
      <c r="H67" s="191"/>
      <c r="I67" s="191"/>
      <c r="J67" s="191"/>
      <c r="L67" s="8">
        <f t="shared" si="18"/>
        <v>0</v>
      </c>
      <c r="M67" s="197">
        <f t="shared" si="19"/>
        <v>0</v>
      </c>
      <c r="N67" s="197">
        <f t="shared" si="20"/>
        <v>0</v>
      </c>
      <c r="O67" s="197">
        <f t="shared" si="21"/>
        <v>0</v>
      </c>
      <c r="P67" s="197">
        <f t="shared" si="22"/>
        <v>0</v>
      </c>
      <c r="Q67" s="197">
        <f t="shared" si="23"/>
        <v>0</v>
      </c>
      <c r="R67" s="197">
        <f t="shared" si="24"/>
        <v>0</v>
      </c>
      <c r="S67" s="197">
        <f t="shared" si="25"/>
        <v>0</v>
      </c>
      <c r="T67" s="197">
        <f t="shared" si="26"/>
        <v>0</v>
      </c>
      <c r="U67" s="197">
        <f t="shared" si="27"/>
        <v>0</v>
      </c>
      <c r="V67" s="197">
        <f t="shared" si="28"/>
        <v>0</v>
      </c>
      <c r="W67" s="8" t="str">
        <f>IF(C67&lt;&gt;"",MATCH(_xlfn.NUMBERVALUE(LEFT(C67,4)),KiemTraBCD!$B$10:$B$1000,0),"")</f>
        <v/>
      </c>
      <c r="AI67" s="191">
        <f t="shared" si="42"/>
        <v>0</v>
      </c>
      <c r="AJ67" s="191">
        <f t="shared" si="43"/>
        <v>0</v>
      </c>
      <c r="AK67" s="191">
        <f t="shared" si="44"/>
        <v>0</v>
      </c>
      <c r="AL67" s="191">
        <f t="shared" si="45"/>
        <v>0</v>
      </c>
      <c r="AM67" s="191">
        <f t="shared" si="46"/>
        <v>0</v>
      </c>
      <c r="AN67" s="191">
        <f t="shared" si="47"/>
        <v>0</v>
      </c>
    </row>
    <row r="68" spans="2:41" x14ac:dyDescent="0.45">
      <c r="E68" s="191"/>
      <c r="F68" s="191"/>
      <c r="G68" s="191"/>
      <c r="H68" s="191"/>
      <c r="I68" s="191"/>
      <c r="J68" s="191"/>
      <c r="L68" s="8">
        <f t="shared" si="18"/>
        <v>0</v>
      </c>
      <c r="M68" s="197">
        <f t="shared" si="19"/>
        <v>0</v>
      </c>
      <c r="N68" s="197">
        <f t="shared" si="20"/>
        <v>0</v>
      </c>
      <c r="O68" s="197">
        <f t="shared" si="21"/>
        <v>0</v>
      </c>
      <c r="P68" s="197">
        <f t="shared" si="22"/>
        <v>0</v>
      </c>
      <c r="Q68" s="197">
        <f t="shared" si="23"/>
        <v>0</v>
      </c>
      <c r="R68" s="197">
        <f t="shared" si="24"/>
        <v>0</v>
      </c>
      <c r="S68" s="197">
        <f t="shared" si="25"/>
        <v>0</v>
      </c>
      <c r="T68" s="197">
        <f t="shared" si="26"/>
        <v>0</v>
      </c>
      <c r="U68" s="197">
        <f t="shared" si="27"/>
        <v>0</v>
      </c>
      <c r="V68" s="197">
        <f t="shared" si="28"/>
        <v>0</v>
      </c>
      <c r="W68" s="8" t="str">
        <f>IF(C68&lt;&gt;"",MATCH(_xlfn.NUMBERVALUE(LEFT(C68,4)),KiemTraBCD!$B$10:$B$1000,0),"")</f>
        <v/>
      </c>
      <c r="AI68" s="191">
        <f t="shared" si="42"/>
        <v>0</v>
      </c>
      <c r="AJ68" s="191">
        <f t="shared" si="43"/>
        <v>0</v>
      </c>
      <c r="AK68" s="191">
        <f t="shared" si="44"/>
        <v>0</v>
      </c>
      <c r="AL68" s="191">
        <f t="shared" si="45"/>
        <v>0</v>
      </c>
      <c r="AM68" s="191">
        <f t="shared" si="46"/>
        <v>0</v>
      </c>
      <c r="AN68" s="191">
        <f t="shared" si="47"/>
        <v>0</v>
      </c>
    </row>
    <row r="69" spans="2:41" x14ac:dyDescent="0.45">
      <c r="E69" s="191"/>
      <c r="F69" s="191"/>
      <c r="G69" s="191"/>
      <c r="H69" s="191"/>
      <c r="I69" s="191"/>
      <c r="J69" s="191"/>
      <c r="L69" s="8">
        <f t="shared" si="18"/>
        <v>0</v>
      </c>
      <c r="M69" s="197">
        <f t="shared" si="19"/>
        <v>0</v>
      </c>
      <c r="N69" s="197">
        <f t="shared" si="20"/>
        <v>0</v>
      </c>
      <c r="O69" s="197">
        <f t="shared" si="21"/>
        <v>0</v>
      </c>
      <c r="P69" s="197">
        <f t="shared" si="22"/>
        <v>0</v>
      </c>
      <c r="Q69" s="197">
        <f t="shared" si="23"/>
        <v>0</v>
      </c>
      <c r="R69" s="197">
        <f t="shared" si="24"/>
        <v>0</v>
      </c>
      <c r="S69" s="197">
        <f t="shared" si="25"/>
        <v>0</v>
      </c>
      <c r="T69" s="197">
        <f t="shared" si="26"/>
        <v>0</v>
      </c>
      <c r="U69" s="197">
        <f t="shared" si="27"/>
        <v>0</v>
      </c>
      <c r="V69" s="197">
        <f t="shared" si="28"/>
        <v>0</v>
      </c>
      <c r="W69" s="8" t="str">
        <f>IF(C69&lt;&gt;"",MATCH(_xlfn.NUMBERVALUE(LEFT(C69,4)),KiemTraBCD!$B$10:$B$1000,0),"")</f>
        <v/>
      </c>
      <c r="AI69" s="191">
        <f t="shared" si="42"/>
        <v>0</v>
      </c>
      <c r="AJ69" s="191">
        <f t="shared" si="43"/>
        <v>0</v>
      </c>
      <c r="AK69" s="191">
        <f t="shared" si="44"/>
        <v>0</v>
      </c>
      <c r="AL69" s="191">
        <f t="shared" si="45"/>
        <v>0</v>
      </c>
      <c r="AM69" s="191">
        <f t="shared" si="46"/>
        <v>0</v>
      </c>
      <c r="AN69" s="191">
        <f t="shared" si="47"/>
        <v>0</v>
      </c>
    </row>
    <row r="70" spans="2:41" x14ac:dyDescent="0.45">
      <c r="E70" s="191"/>
      <c r="F70" s="191"/>
      <c r="G70" s="191"/>
      <c r="H70" s="191"/>
      <c r="I70" s="191"/>
      <c r="J70" s="191"/>
      <c r="L70" s="8">
        <f t="shared" si="18"/>
        <v>0</v>
      </c>
      <c r="M70" s="197">
        <f t="shared" si="19"/>
        <v>0</v>
      </c>
      <c r="N70" s="197">
        <f t="shared" si="20"/>
        <v>0</v>
      </c>
      <c r="O70" s="197">
        <f t="shared" si="21"/>
        <v>0</v>
      </c>
      <c r="P70" s="197">
        <f t="shared" si="22"/>
        <v>0</v>
      </c>
      <c r="Q70" s="197">
        <f t="shared" si="23"/>
        <v>0</v>
      </c>
      <c r="R70" s="197">
        <f t="shared" si="24"/>
        <v>0</v>
      </c>
      <c r="S70" s="197">
        <f t="shared" si="25"/>
        <v>0</v>
      </c>
      <c r="T70" s="197">
        <f t="shared" si="26"/>
        <v>0</v>
      </c>
      <c r="U70" s="197">
        <f t="shared" si="27"/>
        <v>0</v>
      </c>
      <c r="V70" s="197">
        <f t="shared" si="28"/>
        <v>0</v>
      </c>
      <c r="W70" s="8" t="str">
        <f>IF(C70&lt;&gt;"",MATCH(_xlfn.NUMBERVALUE(LEFT(C70,4)),KiemTraBCD!$B$10:$B$1000,0),"")</f>
        <v/>
      </c>
      <c r="AI70" s="191">
        <f t="shared" si="42"/>
        <v>0</v>
      </c>
      <c r="AJ70" s="191">
        <f t="shared" si="43"/>
        <v>0</v>
      </c>
      <c r="AK70" s="191">
        <f t="shared" si="44"/>
        <v>0</v>
      </c>
      <c r="AL70" s="191">
        <f t="shared" si="45"/>
        <v>0</v>
      </c>
      <c r="AM70" s="191">
        <f t="shared" si="46"/>
        <v>0</v>
      </c>
      <c r="AN70" s="191">
        <f t="shared" si="47"/>
        <v>0</v>
      </c>
    </row>
    <row r="71" spans="2:41" x14ac:dyDescent="0.45">
      <c r="E71" s="191"/>
      <c r="F71" s="191"/>
      <c r="G71" s="191"/>
      <c r="H71" s="191"/>
      <c r="I71" s="191"/>
      <c r="J71" s="191"/>
      <c r="L71" s="8">
        <f t="shared" si="18"/>
        <v>0</v>
      </c>
      <c r="M71" s="197">
        <f t="shared" si="19"/>
        <v>0</v>
      </c>
      <c r="N71" s="197">
        <f t="shared" si="20"/>
        <v>0</v>
      </c>
      <c r="O71" s="197">
        <f t="shared" si="21"/>
        <v>0</v>
      </c>
      <c r="P71" s="197">
        <f t="shared" si="22"/>
        <v>0</v>
      </c>
      <c r="Q71" s="197">
        <f t="shared" si="23"/>
        <v>0</v>
      </c>
      <c r="R71" s="197">
        <f t="shared" si="24"/>
        <v>0</v>
      </c>
      <c r="S71" s="197">
        <f t="shared" si="25"/>
        <v>0</v>
      </c>
      <c r="T71" s="197">
        <f t="shared" si="26"/>
        <v>0</v>
      </c>
      <c r="U71" s="197">
        <f t="shared" si="27"/>
        <v>0</v>
      </c>
      <c r="V71" s="197">
        <f t="shared" si="28"/>
        <v>0</v>
      </c>
      <c r="W71" s="8" t="str">
        <f>IF(C71&lt;&gt;"",MATCH(_xlfn.NUMBERVALUE(LEFT(C71,4)),KiemTraBCD!$B$10:$B$1000,0),"")</f>
        <v/>
      </c>
      <c r="AI71" s="191">
        <f t="shared" si="42"/>
        <v>0</v>
      </c>
      <c r="AJ71" s="191">
        <f t="shared" si="43"/>
        <v>0</v>
      </c>
      <c r="AK71" s="191">
        <f t="shared" si="44"/>
        <v>0</v>
      </c>
      <c r="AL71" s="191">
        <f t="shared" si="45"/>
        <v>0</v>
      </c>
      <c r="AM71" s="191">
        <f t="shared" si="46"/>
        <v>0</v>
      </c>
      <c r="AN71" s="191">
        <f t="shared" si="47"/>
        <v>0</v>
      </c>
    </row>
    <row r="72" spans="2:41" x14ac:dyDescent="0.45">
      <c r="E72" s="191"/>
      <c r="F72" s="191"/>
      <c r="G72" s="191"/>
      <c r="H72" s="191"/>
      <c r="I72" s="191"/>
      <c r="J72" s="191"/>
      <c r="L72" s="8">
        <f t="shared" ref="L72:L79" si="48">_xlfn.NUMBERVALUE(C72)</f>
        <v>0</v>
      </c>
      <c r="M72" s="197">
        <f t="shared" ref="M72:M79" si="49">ROUND(E72,0)</f>
        <v>0</v>
      </c>
      <c r="N72" s="197">
        <f t="shared" ref="N72:N79" si="50">ROUND(F72,0)</f>
        <v>0</v>
      </c>
      <c r="O72" s="197">
        <f t="shared" ref="O72:O79" si="51">ROUND(G72,0)</f>
        <v>0</v>
      </c>
      <c r="P72" s="197">
        <f t="shared" ref="P72:P79" si="52">ROUND(H72,0)</f>
        <v>0</v>
      </c>
      <c r="Q72" s="197">
        <f t="shared" ref="Q72:Q79" si="53">ROUND(I72,0)</f>
        <v>0</v>
      </c>
      <c r="R72" s="197">
        <f t="shared" ref="R72:R79" si="54">ROUND(J72,0)</f>
        <v>0</v>
      </c>
      <c r="S72" s="197">
        <f t="shared" ref="S72:S79" si="55">MAX(0,E72+G72-F72-H72)</f>
        <v>0</v>
      </c>
      <c r="T72" s="197">
        <f t="shared" ref="T72:T79" si="56">MAX(0,F72+H72-E72-G72)</f>
        <v>0</v>
      </c>
      <c r="U72" s="197">
        <f t="shared" ref="U72:U79" si="57">ABS(I72-J72)</f>
        <v>0</v>
      </c>
      <c r="V72" s="197">
        <f t="shared" ref="V72:V79" si="58">S72+T72-U72</f>
        <v>0</v>
      </c>
      <c r="W72" s="8" t="str">
        <f>IF(C72&lt;&gt;"",MATCH(_xlfn.NUMBERVALUE(LEFT(C72,4)),KiemTraBCD!$B$10:$B$1000,0),"")</f>
        <v/>
      </c>
      <c r="AI72" s="191">
        <f t="shared" si="42"/>
        <v>0</v>
      </c>
      <c r="AJ72" s="191">
        <f t="shared" si="43"/>
        <v>0</v>
      </c>
      <c r="AK72" s="191">
        <f t="shared" si="44"/>
        <v>0</v>
      </c>
      <c r="AL72" s="191">
        <f t="shared" si="45"/>
        <v>0</v>
      </c>
      <c r="AM72" s="191">
        <f t="shared" si="46"/>
        <v>0</v>
      </c>
      <c r="AN72" s="191">
        <f t="shared" si="47"/>
        <v>0</v>
      </c>
    </row>
    <row r="73" spans="2:41" x14ac:dyDescent="0.45">
      <c r="E73" s="191"/>
      <c r="F73" s="191"/>
      <c r="G73" s="191"/>
      <c r="H73" s="191"/>
      <c r="I73" s="191"/>
      <c r="J73" s="191"/>
      <c r="L73" s="8">
        <f t="shared" si="48"/>
        <v>0</v>
      </c>
      <c r="M73" s="197">
        <f t="shared" si="49"/>
        <v>0</v>
      </c>
      <c r="N73" s="197">
        <f t="shared" si="50"/>
        <v>0</v>
      </c>
      <c r="O73" s="197">
        <f t="shared" si="51"/>
        <v>0</v>
      </c>
      <c r="P73" s="197">
        <f t="shared" si="52"/>
        <v>0</v>
      </c>
      <c r="Q73" s="197">
        <f t="shared" si="53"/>
        <v>0</v>
      </c>
      <c r="R73" s="197">
        <f t="shared" si="54"/>
        <v>0</v>
      </c>
      <c r="S73" s="197">
        <f t="shared" si="55"/>
        <v>0</v>
      </c>
      <c r="T73" s="197">
        <f t="shared" si="56"/>
        <v>0</v>
      </c>
      <c r="U73" s="197">
        <f t="shared" si="57"/>
        <v>0</v>
      </c>
      <c r="V73" s="197">
        <f t="shared" si="58"/>
        <v>0</v>
      </c>
      <c r="W73" s="8" t="str">
        <f>IF(C73&lt;&gt;"",MATCH(_xlfn.NUMBERVALUE(LEFT(C73,4)),KiemTraBCD!$B$10:$B$1000,0),"")</f>
        <v/>
      </c>
      <c r="AI73" s="191">
        <f t="shared" si="42"/>
        <v>0</v>
      </c>
      <c r="AJ73" s="191">
        <f t="shared" si="43"/>
        <v>0</v>
      </c>
      <c r="AK73" s="191">
        <f t="shared" si="44"/>
        <v>0</v>
      </c>
      <c r="AL73" s="191">
        <f t="shared" si="45"/>
        <v>0</v>
      </c>
      <c r="AM73" s="191">
        <f t="shared" si="46"/>
        <v>0</v>
      </c>
      <c r="AN73" s="191">
        <f t="shared" si="47"/>
        <v>0</v>
      </c>
      <c r="AO73" s="191">
        <f>F73-E73</f>
        <v>0</v>
      </c>
    </row>
    <row r="74" spans="2:41" x14ac:dyDescent="0.45">
      <c r="E74" s="191"/>
      <c r="F74" s="191"/>
      <c r="G74" s="191"/>
      <c r="H74" s="191"/>
      <c r="I74" s="191"/>
      <c r="J74" s="191"/>
      <c r="L74" s="8">
        <f t="shared" si="48"/>
        <v>0</v>
      </c>
      <c r="M74" s="197">
        <f t="shared" si="49"/>
        <v>0</v>
      </c>
      <c r="N74" s="197">
        <f t="shared" si="50"/>
        <v>0</v>
      </c>
      <c r="O74" s="197">
        <f t="shared" si="51"/>
        <v>0</v>
      </c>
      <c r="P74" s="197">
        <f t="shared" si="52"/>
        <v>0</v>
      </c>
      <c r="Q74" s="197">
        <f t="shared" si="53"/>
        <v>0</v>
      </c>
      <c r="R74" s="197">
        <f t="shared" si="54"/>
        <v>0</v>
      </c>
      <c r="S74" s="197">
        <f t="shared" si="55"/>
        <v>0</v>
      </c>
      <c r="T74" s="197">
        <f t="shared" si="56"/>
        <v>0</v>
      </c>
      <c r="U74" s="197">
        <f t="shared" si="57"/>
        <v>0</v>
      </c>
      <c r="V74" s="197">
        <f t="shared" si="58"/>
        <v>0</v>
      </c>
      <c r="W74" s="8" t="str">
        <f>IF(C74&lt;&gt;"",MATCH(_xlfn.NUMBERVALUE(LEFT(C74,4)),KiemTraBCD!$B$10:$B$1000,0),"")</f>
        <v/>
      </c>
      <c r="AI74" s="191">
        <f t="shared" si="42"/>
        <v>0</v>
      </c>
      <c r="AJ74" s="191">
        <f t="shared" si="43"/>
        <v>0</v>
      </c>
      <c r="AK74" s="191">
        <f t="shared" si="44"/>
        <v>0</v>
      </c>
      <c r="AL74" s="191">
        <f t="shared" si="45"/>
        <v>0</v>
      </c>
      <c r="AM74" s="191">
        <f t="shared" si="46"/>
        <v>0</v>
      </c>
      <c r="AN74" s="191">
        <f t="shared" si="47"/>
        <v>0</v>
      </c>
    </row>
    <row r="75" spans="2:41" x14ac:dyDescent="0.45">
      <c r="E75" s="191"/>
      <c r="F75" s="191"/>
      <c r="G75" s="191"/>
      <c r="H75" s="191"/>
      <c r="I75" s="191"/>
      <c r="J75" s="191"/>
      <c r="L75" s="8">
        <f t="shared" si="48"/>
        <v>0</v>
      </c>
      <c r="M75" s="197">
        <f t="shared" si="49"/>
        <v>0</v>
      </c>
      <c r="N75" s="197">
        <f t="shared" si="50"/>
        <v>0</v>
      </c>
      <c r="O75" s="197">
        <f t="shared" si="51"/>
        <v>0</v>
      </c>
      <c r="P75" s="197">
        <f t="shared" si="52"/>
        <v>0</v>
      </c>
      <c r="Q75" s="197">
        <f t="shared" si="53"/>
        <v>0</v>
      </c>
      <c r="R75" s="197">
        <f t="shared" si="54"/>
        <v>0</v>
      </c>
      <c r="S75" s="197">
        <f t="shared" si="55"/>
        <v>0</v>
      </c>
      <c r="T75" s="197">
        <f t="shared" si="56"/>
        <v>0</v>
      </c>
      <c r="U75" s="197">
        <f t="shared" si="57"/>
        <v>0</v>
      </c>
      <c r="V75" s="197">
        <f t="shared" si="58"/>
        <v>0</v>
      </c>
      <c r="W75" s="8" t="str">
        <f>IF(C75&lt;&gt;"",MATCH(_xlfn.NUMBERVALUE(LEFT(C75,4)),KiemTraBCD!$B$10:$B$1000,0),"")</f>
        <v/>
      </c>
      <c r="AI75" s="191">
        <f t="shared" si="42"/>
        <v>0</v>
      </c>
      <c r="AJ75" s="191">
        <f t="shared" si="43"/>
        <v>0</v>
      </c>
      <c r="AK75" s="191">
        <f t="shared" si="44"/>
        <v>0</v>
      </c>
      <c r="AL75" s="191">
        <f t="shared" si="45"/>
        <v>0</v>
      </c>
      <c r="AM75" s="191">
        <f t="shared" si="46"/>
        <v>0</v>
      </c>
      <c r="AN75" s="191">
        <f t="shared" si="47"/>
        <v>0</v>
      </c>
    </row>
    <row r="76" spans="2:41" x14ac:dyDescent="0.45">
      <c r="E76" s="191"/>
      <c r="F76" s="191"/>
      <c r="G76" s="191"/>
      <c r="H76" s="191"/>
      <c r="I76" s="191"/>
      <c r="J76" s="191"/>
      <c r="L76" s="8">
        <f t="shared" si="48"/>
        <v>0</v>
      </c>
      <c r="M76" s="197">
        <f t="shared" si="49"/>
        <v>0</v>
      </c>
      <c r="N76" s="197">
        <f t="shared" si="50"/>
        <v>0</v>
      </c>
      <c r="O76" s="197">
        <f t="shared" si="51"/>
        <v>0</v>
      </c>
      <c r="P76" s="197">
        <f t="shared" si="52"/>
        <v>0</v>
      </c>
      <c r="Q76" s="197">
        <f t="shared" si="53"/>
        <v>0</v>
      </c>
      <c r="R76" s="197">
        <f t="shared" si="54"/>
        <v>0</v>
      </c>
      <c r="S76" s="197">
        <f t="shared" si="55"/>
        <v>0</v>
      </c>
      <c r="T76" s="197">
        <f t="shared" si="56"/>
        <v>0</v>
      </c>
      <c r="U76" s="197">
        <f t="shared" si="57"/>
        <v>0</v>
      </c>
      <c r="V76" s="197">
        <f t="shared" si="58"/>
        <v>0</v>
      </c>
      <c r="W76" s="8" t="str">
        <f>IF(C76&lt;&gt;"",MATCH(_xlfn.NUMBERVALUE(LEFT(C76,4)),KiemTraBCD!$B$10:$B$1000,0),"")</f>
        <v/>
      </c>
      <c r="AI76" s="191">
        <f t="shared" si="42"/>
        <v>0</v>
      </c>
      <c r="AJ76" s="191">
        <f t="shared" si="43"/>
        <v>0</v>
      </c>
      <c r="AK76" s="191">
        <f t="shared" si="44"/>
        <v>0</v>
      </c>
      <c r="AL76" s="191">
        <f t="shared" si="45"/>
        <v>0</v>
      </c>
      <c r="AM76" s="191">
        <f t="shared" si="46"/>
        <v>0</v>
      </c>
      <c r="AN76" s="191">
        <f t="shared" si="47"/>
        <v>0</v>
      </c>
    </row>
    <row r="77" spans="2:41" x14ac:dyDescent="0.45">
      <c r="E77" s="191"/>
      <c r="F77" s="191"/>
      <c r="G77" s="191"/>
      <c r="H77" s="191"/>
      <c r="I77" s="191"/>
      <c r="J77" s="191"/>
      <c r="L77" s="8">
        <f t="shared" si="48"/>
        <v>0</v>
      </c>
      <c r="M77" s="197">
        <f t="shared" si="49"/>
        <v>0</v>
      </c>
      <c r="N77" s="197">
        <f t="shared" si="50"/>
        <v>0</v>
      </c>
      <c r="O77" s="197">
        <f t="shared" si="51"/>
        <v>0</v>
      </c>
      <c r="P77" s="197">
        <f t="shared" si="52"/>
        <v>0</v>
      </c>
      <c r="Q77" s="197">
        <f t="shared" si="53"/>
        <v>0</v>
      </c>
      <c r="R77" s="197">
        <f t="shared" si="54"/>
        <v>0</v>
      </c>
      <c r="S77" s="197">
        <f t="shared" si="55"/>
        <v>0</v>
      </c>
      <c r="T77" s="197">
        <f t="shared" si="56"/>
        <v>0</v>
      </c>
      <c r="U77" s="197">
        <f t="shared" si="57"/>
        <v>0</v>
      </c>
      <c r="V77" s="197">
        <f t="shared" si="58"/>
        <v>0</v>
      </c>
      <c r="W77" s="8" t="str">
        <f>IF(C77&lt;&gt;"",MATCH(_xlfn.NUMBERVALUE(LEFT(C77,4)),KiemTraBCD!$B$10:$B$1000,0),"")</f>
        <v/>
      </c>
      <c r="AI77" s="191">
        <f t="shared" si="42"/>
        <v>0</v>
      </c>
      <c r="AJ77" s="191">
        <f t="shared" si="43"/>
        <v>0</v>
      </c>
      <c r="AK77" s="191">
        <f t="shared" si="44"/>
        <v>0</v>
      </c>
      <c r="AL77" s="191">
        <f t="shared" si="45"/>
        <v>0</v>
      </c>
      <c r="AM77" s="191">
        <f t="shared" si="46"/>
        <v>0</v>
      </c>
      <c r="AN77" s="191">
        <f t="shared" si="47"/>
        <v>0</v>
      </c>
    </row>
    <row r="78" spans="2:41" x14ac:dyDescent="0.45">
      <c r="E78" s="191"/>
      <c r="F78" s="191"/>
      <c r="G78" s="191"/>
      <c r="H78" s="191"/>
      <c r="I78" s="191"/>
      <c r="J78" s="191"/>
      <c r="L78" s="8">
        <f t="shared" si="48"/>
        <v>0</v>
      </c>
      <c r="M78" s="197">
        <f t="shared" si="49"/>
        <v>0</v>
      </c>
      <c r="N78" s="197">
        <f t="shared" si="50"/>
        <v>0</v>
      </c>
      <c r="O78" s="197">
        <f t="shared" si="51"/>
        <v>0</v>
      </c>
      <c r="P78" s="197">
        <f t="shared" si="52"/>
        <v>0</v>
      </c>
      <c r="Q78" s="197">
        <f t="shared" si="53"/>
        <v>0</v>
      </c>
      <c r="R78" s="197">
        <f t="shared" si="54"/>
        <v>0</v>
      </c>
      <c r="S78" s="197">
        <f t="shared" si="55"/>
        <v>0</v>
      </c>
      <c r="T78" s="197">
        <f t="shared" si="56"/>
        <v>0</v>
      </c>
      <c r="U78" s="197">
        <f t="shared" si="57"/>
        <v>0</v>
      </c>
      <c r="V78" s="197">
        <f t="shared" si="58"/>
        <v>0</v>
      </c>
      <c r="W78" s="8" t="str">
        <f>IF(C78&lt;&gt;"",MATCH(_xlfn.NUMBERVALUE(LEFT(C78,4)),KiemTraBCD!$B$10:$B$1000,0),"")</f>
        <v/>
      </c>
      <c r="AI78" s="191">
        <f t="shared" si="42"/>
        <v>0</v>
      </c>
      <c r="AJ78" s="191">
        <f t="shared" si="43"/>
        <v>0</v>
      </c>
      <c r="AK78" s="191">
        <f t="shared" si="44"/>
        <v>0</v>
      </c>
      <c r="AL78" s="191">
        <f t="shared" si="45"/>
        <v>0</v>
      </c>
      <c r="AM78" s="191">
        <f t="shared" si="46"/>
        <v>0</v>
      </c>
      <c r="AN78" s="191">
        <f t="shared" si="47"/>
        <v>0</v>
      </c>
    </row>
    <row r="79" spans="2:41" x14ac:dyDescent="0.45">
      <c r="E79" s="191"/>
      <c r="F79" s="191"/>
      <c r="G79" s="191"/>
      <c r="H79" s="191"/>
      <c r="I79" s="191"/>
      <c r="J79" s="191"/>
      <c r="L79" s="8">
        <f t="shared" si="48"/>
        <v>0</v>
      </c>
      <c r="M79" s="197">
        <f t="shared" si="49"/>
        <v>0</v>
      </c>
      <c r="N79" s="197">
        <f t="shared" si="50"/>
        <v>0</v>
      </c>
      <c r="O79" s="197">
        <f t="shared" si="51"/>
        <v>0</v>
      </c>
      <c r="P79" s="197">
        <f t="shared" si="52"/>
        <v>0</v>
      </c>
      <c r="Q79" s="197">
        <f t="shared" si="53"/>
        <v>0</v>
      </c>
      <c r="R79" s="197">
        <f t="shared" si="54"/>
        <v>0</v>
      </c>
      <c r="S79" s="197">
        <f t="shared" si="55"/>
        <v>0</v>
      </c>
      <c r="T79" s="197">
        <f t="shared" si="56"/>
        <v>0</v>
      </c>
      <c r="U79" s="197">
        <f t="shared" si="57"/>
        <v>0</v>
      </c>
      <c r="V79" s="197">
        <f t="shared" si="58"/>
        <v>0</v>
      </c>
      <c r="W79" s="8" t="str">
        <f>IF(C79&lt;&gt;"",MATCH(_xlfn.NUMBERVALUE(LEFT(C79,4)),KiemTraBCD!$B$10:$B$1000,0),"")</f>
        <v/>
      </c>
      <c r="AI79" s="191">
        <f t="shared" si="42"/>
        <v>0</v>
      </c>
      <c r="AJ79" s="191">
        <f t="shared" si="43"/>
        <v>0</v>
      </c>
      <c r="AK79" s="191">
        <f t="shared" si="44"/>
        <v>0</v>
      </c>
      <c r="AL79" s="191">
        <f t="shared" si="45"/>
        <v>0</v>
      </c>
      <c r="AM79" s="191">
        <f t="shared" si="46"/>
        <v>0</v>
      </c>
      <c r="AN79" s="191">
        <f t="shared" si="47"/>
        <v>0</v>
      </c>
    </row>
    <row r="80" spans="2:41" x14ac:dyDescent="0.45">
      <c r="B80" s="19" t="str">
        <f t="shared" ref="B80:B111" si="59">IF(C80="","",LEN(C80)-2)</f>
        <v/>
      </c>
      <c r="E80" s="191"/>
      <c r="F80" s="191"/>
      <c r="G80" s="191"/>
      <c r="H80" s="191"/>
      <c r="I80" s="191"/>
      <c r="J80" s="191"/>
      <c r="L80" s="8">
        <f t="shared" ref="L80:L89" si="60">_xlfn.NUMBERVALUE(C80)</f>
        <v>0</v>
      </c>
      <c r="M80" s="197">
        <f t="shared" ref="M80:M89" si="61">ROUND(E80,0)</f>
        <v>0</v>
      </c>
      <c r="N80" s="197">
        <f t="shared" ref="N80:N89" si="62">ROUND(F80,0)</f>
        <v>0</v>
      </c>
      <c r="O80" s="197">
        <f t="shared" ref="O80:O89" si="63">ROUND(G80,0)</f>
        <v>0</v>
      </c>
      <c r="P80" s="197">
        <f t="shared" ref="P80:P89" si="64">ROUND(H80,0)</f>
        <v>0</v>
      </c>
      <c r="Q80" s="197">
        <f t="shared" ref="Q80:Q89" si="65">ROUND(I80,0)</f>
        <v>0</v>
      </c>
      <c r="R80" s="197">
        <f t="shared" ref="R80:R89" si="66">ROUND(J80,0)</f>
        <v>0</v>
      </c>
      <c r="S80" s="197">
        <f t="shared" ref="S80:S87" si="67">MAX(0,E80+G80-F80-H80)</f>
        <v>0</v>
      </c>
      <c r="T80" s="197">
        <f t="shared" ref="T80:T87" si="68">MAX(0,F80+H80-E80-G80)</f>
        <v>0</v>
      </c>
      <c r="U80" s="197">
        <f t="shared" ref="U80:U97" si="69">ABS(I80-J80)</f>
        <v>0</v>
      </c>
      <c r="V80" s="197">
        <f t="shared" ref="V80:V89" si="70">S80+T80-U80</f>
        <v>0</v>
      </c>
      <c r="W80" s="8" t="str">
        <f>IF(C80&lt;&gt;"",MATCH(_xlfn.NUMBERVALUE(LEFT(C80,4)),KiemTraBCD!$B$10:$B$1000,0),"")</f>
        <v/>
      </c>
      <c r="AI80" s="191">
        <f t="shared" si="42"/>
        <v>0</v>
      </c>
      <c r="AJ80" s="191">
        <f t="shared" si="43"/>
        <v>0</v>
      </c>
      <c r="AK80" s="191">
        <f t="shared" si="44"/>
        <v>0</v>
      </c>
      <c r="AL80" s="191">
        <f t="shared" si="45"/>
        <v>0</v>
      </c>
      <c r="AM80" s="191">
        <f t="shared" si="46"/>
        <v>0</v>
      </c>
      <c r="AN80" s="191">
        <f t="shared" si="47"/>
        <v>0</v>
      </c>
    </row>
    <row r="81" spans="2:40" x14ac:dyDescent="0.45">
      <c r="B81" s="19" t="str">
        <f t="shared" si="59"/>
        <v/>
      </c>
      <c r="E81" s="191"/>
      <c r="F81" s="191"/>
      <c r="G81" s="191"/>
      <c r="H81" s="191"/>
      <c r="I81" s="191"/>
      <c r="J81" s="191"/>
      <c r="L81" s="8">
        <f t="shared" si="60"/>
        <v>0</v>
      </c>
      <c r="M81" s="197">
        <f t="shared" si="61"/>
        <v>0</v>
      </c>
      <c r="N81" s="197">
        <f t="shared" si="62"/>
        <v>0</v>
      </c>
      <c r="O81" s="197">
        <f t="shared" si="63"/>
        <v>0</v>
      </c>
      <c r="P81" s="197">
        <f t="shared" si="64"/>
        <v>0</v>
      </c>
      <c r="Q81" s="197">
        <f t="shared" si="65"/>
        <v>0</v>
      </c>
      <c r="R81" s="197">
        <f t="shared" si="66"/>
        <v>0</v>
      </c>
      <c r="S81" s="197">
        <f t="shared" si="67"/>
        <v>0</v>
      </c>
      <c r="T81" s="197">
        <f t="shared" si="68"/>
        <v>0</v>
      </c>
      <c r="U81" s="197">
        <f t="shared" si="69"/>
        <v>0</v>
      </c>
      <c r="V81" s="197">
        <f t="shared" si="70"/>
        <v>0</v>
      </c>
      <c r="W81" s="8" t="str">
        <f>IF(C81&lt;&gt;"",MATCH(_xlfn.NUMBERVALUE(LEFT(C81,4)),KiemTraBCD!$B$10:$B$1000,0),"")</f>
        <v/>
      </c>
      <c r="AI81" s="191">
        <f t="shared" si="42"/>
        <v>0</v>
      </c>
      <c r="AJ81" s="191">
        <f t="shared" si="43"/>
        <v>0</v>
      </c>
      <c r="AK81" s="191">
        <f t="shared" si="44"/>
        <v>0</v>
      </c>
      <c r="AL81" s="191">
        <f t="shared" si="45"/>
        <v>0</v>
      </c>
      <c r="AM81" s="191">
        <f t="shared" si="46"/>
        <v>0</v>
      </c>
      <c r="AN81" s="191">
        <f t="shared" si="47"/>
        <v>0</v>
      </c>
    </row>
    <row r="82" spans="2:40" x14ac:dyDescent="0.45">
      <c r="B82" s="19" t="str">
        <f t="shared" si="59"/>
        <v/>
      </c>
      <c r="E82" s="191"/>
      <c r="F82" s="191"/>
      <c r="G82" s="191"/>
      <c r="H82" s="191"/>
      <c r="I82" s="191"/>
      <c r="J82" s="191"/>
      <c r="L82" s="8">
        <f t="shared" si="60"/>
        <v>0</v>
      </c>
      <c r="M82" s="197">
        <f t="shared" si="61"/>
        <v>0</v>
      </c>
      <c r="N82" s="197">
        <f t="shared" si="62"/>
        <v>0</v>
      </c>
      <c r="O82" s="197">
        <f t="shared" si="63"/>
        <v>0</v>
      </c>
      <c r="P82" s="197">
        <f t="shared" si="64"/>
        <v>0</v>
      </c>
      <c r="Q82" s="197">
        <f t="shared" si="65"/>
        <v>0</v>
      </c>
      <c r="R82" s="197">
        <f t="shared" si="66"/>
        <v>0</v>
      </c>
      <c r="S82" s="197">
        <f t="shared" si="67"/>
        <v>0</v>
      </c>
      <c r="T82" s="197">
        <f t="shared" si="68"/>
        <v>0</v>
      </c>
      <c r="U82" s="197">
        <f t="shared" si="69"/>
        <v>0</v>
      </c>
      <c r="V82" s="197">
        <f t="shared" si="70"/>
        <v>0</v>
      </c>
      <c r="W82" s="8" t="str">
        <f>IF(C82&lt;&gt;"",MATCH(_xlfn.NUMBERVALUE(LEFT(C82,4)),KiemTraBCD!$B$10:$B$1000,0),"")</f>
        <v/>
      </c>
      <c r="AI82" s="191">
        <f t="shared" si="42"/>
        <v>0</v>
      </c>
      <c r="AJ82" s="191">
        <f t="shared" si="43"/>
        <v>0</v>
      </c>
      <c r="AK82" s="191">
        <f t="shared" si="44"/>
        <v>0</v>
      </c>
      <c r="AL82" s="191">
        <f t="shared" si="45"/>
        <v>0</v>
      </c>
      <c r="AM82" s="191">
        <f t="shared" si="46"/>
        <v>0</v>
      </c>
      <c r="AN82" s="191">
        <f t="shared" si="47"/>
        <v>0</v>
      </c>
    </row>
    <row r="83" spans="2:40" x14ac:dyDescent="0.45">
      <c r="B83" s="19" t="str">
        <f t="shared" si="59"/>
        <v/>
      </c>
      <c r="E83" s="191"/>
      <c r="F83" s="191"/>
      <c r="G83" s="191"/>
      <c r="H83" s="191"/>
      <c r="I83" s="191"/>
      <c r="J83" s="191"/>
      <c r="L83" s="8">
        <f t="shared" si="60"/>
        <v>0</v>
      </c>
      <c r="M83" s="197">
        <f t="shared" si="61"/>
        <v>0</v>
      </c>
      <c r="N83" s="197">
        <f t="shared" si="62"/>
        <v>0</v>
      </c>
      <c r="O83" s="197">
        <f t="shared" si="63"/>
        <v>0</v>
      </c>
      <c r="P83" s="197">
        <f t="shared" si="64"/>
        <v>0</v>
      </c>
      <c r="Q83" s="197">
        <f t="shared" si="65"/>
        <v>0</v>
      </c>
      <c r="R83" s="197">
        <f t="shared" si="66"/>
        <v>0</v>
      </c>
      <c r="S83" s="197">
        <f t="shared" si="67"/>
        <v>0</v>
      </c>
      <c r="T83" s="197">
        <f t="shared" si="68"/>
        <v>0</v>
      </c>
      <c r="U83" s="197">
        <f t="shared" si="69"/>
        <v>0</v>
      </c>
      <c r="V83" s="197">
        <f t="shared" si="70"/>
        <v>0</v>
      </c>
      <c r="W83" s="8" t="str">
        <f>IF(C83&lt;&gt;"",MATCH(_xlfn.NUMBERVALUE(LEFT(C83,4)),KiemTraBCD!$B$10:$B$1000,0),"")</f>
        <v/>
      </c>
      <c r="AI83" s="191">
        <f t="shared" si="42"/>
        <v>0</v>
      </c>
      <c r="AJ83" s="191">
        <f t="shared" si="43"/>
        <v>0</v>
      </c>
      <c r="AK83" s="191">
        <f t="shared" si="44"/>
        <v>0</v>
      </c>
      <c r="AL83" s="191">
        <f t="shared" si="45"/>
        <v>0</v>
      </c>
      <c r="AM83" s="191">
        <f t="shared" si="46"/>
        <v>0</v>
      </c>
      <c r="AN83" s="191">
        <f t="shared" si="47"/>
        <v>0</v>
      </c>
    </row>
    <row r="84" spans="2:40" x14ac:dyDescent="0.45">
      <c r="B84" s="19" t="str">
        <f t="shared" si="59"/>
        <v/>
      </c>
      <c r="E84" s="191"/>
      <c r="F84" s="191"/>
      <c r="G84" s="191"/>
      <c r="H84" s="191"/>
      <c r="I84" s="191"/>
      <c r="J84" s="191"/>
      <c r="L84" s="8">
        <f t="shared" si="60"/>
        <v>0</v>
      </c>
      <c r="M84" s="197">
        <f t="shared" si="61"/>
        <v>0</v>
      </c>
      <c r="N84" s="197">
        <f t="shared" si="62"/>
        <v>0</v>
      </c>
      <c r="O84" s="197">
        <f t="shared" si="63"/>
        <v>0</v>
      </c>
      <c r="P84" s="197">
        <f t="shared" si="64"/>
        <v>0</v>
      </c>
      <c r="Q84" s="197">
        <f t="shared" si="65"/>
        <v>0</v>
      </c>
      <c r="R84" s="197">
        <f t="shared" si="66"/>
        <v>0</v>
      </c>
      <c r="S84" s="197">
        <f t="shared" si="67"/>
        <v>0</v>
      </c>
      <c r="T84" s="197">
        <f t="shared" si="68"/>
        <v>0</v>
      </c>
      <c r="U84" s="197">
        <f t="shared" si="69"/>
        <v>0</v>
      </c>
      <c r="V84" s="197">
        <f t="shared" si="70"/>
        <v>0</v>
      </c>
      <c r="W84" s="8" t="str">
        <f>IF(C84&lt;&gt;"",MATCH(_xlfn.NUMBERVALUE(LEFT(C84,4)),KiemTraBCD!$B$10:$B$1000,0),"")</f>
        <v/>
      </c>
      <c r="AI84" s="191">
        <f t="shared" si="42"/>
        <v>0</v>
      </c>
      <c r="AJ84" s="191">
        <f t="shared" si="43"/>
        <v>0</v>
      </c>
      <c r="AK84" s="191">
        <f t="shared" si="44"/>
        <v>0</v>
      </c>
      <c r="AL84" s="191">
        <f t="shared" si="45"/>
        <v>0</v>
      </c>
      <c r="AM84" s="191">
        <f t="shared" si="46"/>
        <v>0</v>
      </c>
      <c r="AN84" s="191">
        <f t="shared" si="47"/>
        <v>0</v>
      </c>
    </row>
    <row r="85" spans="2:40" x14ac:dyDescent="0.45">
      <c r="B85" s="19" t="str">
        <f t="shared" si="59"/>
        <v/>
      </c>
      <c r="E85" s="191"/>
      <c r="F85" s="191"/>
      <c r="G85" s="191"/>
      <c r="H85" s="191"/>
      <c r="I85" s="191"/>
      <c r="J85" s="191"/>
      <c r="L85" s="8">
        <f t="shared" si="60"/>
        <v>0</v>
      </c>
      <c r="M85" s="197">
        <f t="shared" si="61"/>
        <v>0</v>
      </c>
      <c r="N85" s="197">
        <f t="shared" si="62"/>
        <v>0</v>
      </c>
      <c r="O85" s="197">
        <f t="shared" si="63"/>
        <v>0</v>
      </c>
      <c r="P85" s="197">
        <f t="shared" si="64"/>
        <v>0</v>
      </c>
      <c r="Q85" s="197">
        <f t="shared" si="65"/>
        <v>0</v>
      </c>
      <c r="R85" s="197">
        <f t="shared" si="66"/>
        <v>0</v>
      </c>
      <c r="S85" s="197">
        <f t="shared" si="67"/>
        <v>0</v>
      </c>
      <c r="T85" s="197">
        <f t="shared" si="68"/>
        <v>0</v>
      </c>
      <c r="U85" s="197">
        <f t="shared" si="69"/>
        <v>0</v>
      </c>
      <c r="V85" s="197">
        <f t="shared" si="70"/>
        <v>0</v>
      </c>
      <c r="W85" s="8" t="str">
        <f>IF(C85&lt;&gt;"",MATCH(_xlfn.NUMBERVALUE(LEFT(C85,4)),KiemTraBCD!$B$10:$B$1000,0),"")</f>
        <v/>
      </c>
      <c r="AI85" s="191">
        <f t="shared" si="42"/>
        <v>0</v>
      </c>
      <c r="AJ85" s="191">
        <f t="shared" si="43"/>
        <v>0</v>
      </c>
      <c r="AK85" s="191">
        <f t="shared" si="44"/>
        <v>0</v>
      </c>
      <c r="AL85" s="191">
        <f t="shared" si="45"/>
        <v>0</v>
      </c>
      <c r="AM85" s="191">
        <f t="shared" si="46"/>
        <v>0</v>
      </c>
      <c r="AN85" s="191">
        <f t="shared" si="47"/>
        <v>0</v>
      </c>
    </row>
    <row r="86" spans="2:40" x14ac:dyDescent="0.45">
      <c r="B86" s="19" t="str">
        <f t="shared" si="59"/>
        <v/>
      </c>
      <c r="E86" s="191"/>
      <c r="F86" s="191"/>
      <c r="G86" s="191"/>
      <c r="H86" s="191"/>
      <c r="I86" s="191"/>
      <c r="J86" s="191"/>
      <c r="L86" s="8">
        <f t="shared" si="60"/>
        <v>0</v>
      </c>
      <c r="M86" s="197">
        <f t="shared" si="61"/>
        <v>0</v>
      </c>
      <c r="N86" s="197">
        <f t="shared" si="62"/>
        <v>0</v>
      </c>
      <c r="O86" s="197">
        <f t="shared" si="63"/>
        <v>0</v>
      </c>
      <c r="P86" s="197">
        <f t="shared" si="64"/>
        <v>0</v>
      </c>
      <c r="Q86" s="197">
        <f t="shared" si="65"/>
        <v>0</v>
      </c>
      <c r="R86" s="197">
        <f t="shared" si="66"/>
        <v>0</v>
      </c>
      <c r="S86" s="197">
        <f t="shared" si="67"/>
        <v>0</v>
      </c>
      <c r="T86" s="197">
        <f t="shared" si="68"/>
        <v>0</v>
      </c>
      <c r="U86" s="197">
        <f t="shared" si="69"/>
        <v>0</v>
      </c>
      <c r="V86" s="197">
        <f t="shared" si="70"/>
        <v>0</v>
      </c>
      <c r="W86" s="8" t="str">
        <f>IF(C86&lt;&gt;"",MATCH(_xlfn.NUMBERVALUE(LEFT(C86,4)),KiemTraBCD!$B$10:$B$1000,0),"")</f>
        <v/>
      </c>
      <c r="AI86" s="191">
        <f t="shared" si="42"/>
        <v>0</v>
      </c>
      <c r="AJ86" s="191">
        <f t="shared" si="43"/>
        <v>0</v>
      </c>
      <c r="AK86" s="191">
        <f t="shared" si="44"/>
        <v>0</v>
      </c>
      <c r="AL86" s="191">
        <f t="shared" si="45"/>
        <v>0</v>
      </c>
      <c r="AM86" s="191">
        <f t="shared" si="46"/>
        <v>0</v>
      </c>
      <c r="AN86" s="191">
        <f t="shared" si="47"/>
        <v>0</v>
      </c>
    </row>
    <row r="87" spans="2:40" x14ac:dyDescent="0.45">
      <c r="B87" s="19" t="str">
        <f t="shared" si="59"/>
        <v/>
      </c>
      <c r="E87" s="191"/>
      <c r="F87" s="191"/>
      <c r="G87" s="191"/>
      <c r="H87" s="191"/>
      <c r="I87" s="191"/>
      <c r="J87" s="191"/>
      <c r="L87" s="8">
        <f t="shared" si="60"/>
        <v>0</v>
      </c>
      <c r="M87" s="197">
        <f t="shared" si="61"/>
        <v>0</v>
      </c>
      <c r="N87" s="197">
        <f t="shared" si="62"/>
        <v>0</v>
      </c>
      <c r="O87" s="197">
        <f t="shared" si="63"/>
        <v>0</v>
      </c>
      <c r="P87" s="197">
        <f t="shared" si="64"/>
        <v>0</v>
      </c>
      <c r="Q87" s="197">
        <f t="shared" si="65"/>
        <v>0</v>
      </c>
      <c r="R87" s="197">
        <f t="shared" si="66"/>
        <v>0</v>
      </c>
      <c r="S87" s="197">
        <f t="shared" si="67"/>
        <v>0</v>
      </c>
      <c r="T87" s="197">
        <f t="shared" si="68"/>
        <v>0</v>
      </c>
      <c r="U87" s="197">
        <f t="shared" si="69"/>
        <v>0</v>
      </c>
      <c r="V87" s="197">
        <f t="shared" si="70"/>
        <v>0</v>
      </c>
      <c r="W87" s="8" t="str">
        <f>IF(C87&lt;&gt;"",MATCH(_xlfn.NUMBERVALUE(LEFT(C87,4)),KiemTraBCD!$B$10:$B$1000,0),"")</f>
        <v/>
      </c>
      <c r="AI87" s="191">
        <f t="shared" si="42"/>
        <v>0</v>
      </c>
      <c r="AJ87" s="191">
        <f t="shared" si="43"/>
        <v>0</v>
      </c>
      <c r="AK87" s="191">
        <f t="shared" si="44"/>
        <v>0</v>
      </c>
      <c r="AL87" s="191">
        <f t="shared" si="45"/>
        <v>0</v>
      </c>
      <c r="AM87" s="191">
        <f t="shared" si="46"/>
        <v>0</v>
      </c>
      <c r="AN87" s="191">
        <f t="shared" si="47"/>
        <v>0</v>
      </c>
    </row>
    <row r="88" spans="2:40" x14ac:dyDescent="0.45">
      <c r="B88" s="19" t="str">
        <f t="shared" si="59"/>
        <v/>
      </c>
      <c r="E88" s="191"/>
      <c r="F88" s="191"/>
      <c r="G88" s="191"/>
      <c r="H88" s="191"/>
      <c r="I88" s="191"/>
      <c r="J88" s="191"/>
      <c r="L88" s="8">
        <f t="shared" si="60"/>
        <v>0</v>
      </c>
      <c r="M88" s="197">
        <f t="shared" si="61"/>
        <v>0</v>
      </c>
      <c r="N88" s="197">
        <f t="shared" si="62"/>
        <v>0</v>
      </c>
      <c r="O88" s="197">
        <f t="shared" si="63"/>
        <v>0</v>
      </c>
      <c r="P88" s="197">
        <f t="shared" si="64"/>
        <v>0</v>
      </c>
      <c r="Q88" s="197">
        <f t="shared" si="65"/>
        <v>0</v>
      </c>
      <c r="R88" s="197">
        <f t="shared" si="66"/>
        <v>0</v>
      </c>
      <c r="S88" s="197">
        <f t="shared" ref="S88:S119" si="71">MAX(0,E88+G88-F88-H88)</f>
        <v>0</v>
      </c>
      <c r="T88" s="197">
        <f t="shared" ref="T88:T119" si="72">MAX(0,F88+H88-E88-G88)</f>
        <v>0</v>
      </c>
      <c r="U88" s="197">
        <f t="shared" si="69"/>
        <v>0</v>
      </c>
      <c r="V88" s="197">
        <f t="shared" si="70"/>
        <v>0</v>
      </c>
      <c r="W88" s="8" t="str">
        <f>IF(C88&lt;&gt;"",MATCH(_xlfn.NUMBERVALUE(LEFT(C88,4)),KiemTraBCD!$B$10:$B$1000,0),"")</f>
        <v/>
      </c>
      <c r="AI88" s="191">
        <f t="shared" si="42"/>
        <v>0</v>
      </c>
      <c r="AJ88" s="191">
        <f t="shared" si="43"/>
        <v>0</v>
      </c>
      <c r="AK88" s="191">
        <f t="shared" si="44"/>
        <v>0</v>
      </c>
      <c r="AL88" s="191">
        <f t="shared" si="45"/>
        <v>0</v>
      </c>
      <c r="AM88" s="191">
        <f t="shared" si="46"/>
        <v>0</v>
      </c>
      <c r="AN88" s="191">
        <f t="shared" si="47"/>
        <v>0</v>
      </c>
    </row>
    <row r="89" spans="2:40" x14ac:dyDescent="0.45">
      <c r="B89" s="19" t="str">
        <f t="shared" si="59"/>
        <v/>
      </c>
      <c r="E89" s="191"/>
      <c r="F89" s="191"/>
      <c r="G89" s="191"/>
      <c r="H89" s="191"/>
      <c r="I89" s="191"/>
      <c r="J89" s="191"/>
      <c r="L89" s="8">
        <f t="shared" si="60"/>
        <v>0</v>
      </c>
      <c r="M89" s="197">
        <f t="shared" si="61"/>
        <v>0</v>
      </c>
      <c r="N89" s="197">
        <f t="shared" si="62"/>
        <v>0</v>
      </c>
      <c r="O89" s="197">
        <f t="shared" si="63"/>
        <v>0</v>
      </c>
      <c r="P89" s="197">
        <f t="shared" si="64"/>
        <v>0</v>
      </c>
      <c r="Q89" s="197">
        <f t="shared" si="65"/>
        <v>0</v>
      </c>
      <c r="R89" s="197">
        <f t="shared" si="66"/>
        <v>0</v>
      </c>
      <c r="S89" s="197">
        <f t="shared" si="71"/>
        <v>0</v>
      </c>
      <c r="T89" s="197">
        <f t="shared" si="72"/>
        <v>0</v>
      </c>
      <c r="U89" s="197">
        <f t="shared" si="69"/>
        <v>0</v>
      </c>
      <c r="V89" s="197">
        <f t="shared" si="70"/>
        <v>0</v>
      </c>
      <c r="W89" s="8" t="str">
        <f>IF(C89&lt;&gt;"",MATCH(_xlfn.NUMBERVALUE(LEFT(C89,4)),KiemTraBCD!$B$10:$B$1000,0),"")</f>
        <v/>
      </c>
      <c r="AI89" s="191">
        <f t="shared" si="42"/>
        <v>0</v>
      </c>
      <c r="AJ89" s="191">
        <f t="shared" si="43"/>
        <v>0</v>
      </c>
      <c r="AK89" s="191">
        <f t="shared" si="44"/>
        <v>0</v>
      </c>
      <c r="AL89" s="191">
        <f t="shared" si="45"/>
        <v>0</v>
      </c>
      <c r="AM89" s="191">
        <f t="shared" si="46"/>
        <v>0</v>
      </c>
      <c r="AN89" s="191">
        <f t="shared" si="47"/>
        <v>0</v>
      </c>
    </row>
    <row r="90" spans="2:40" x14ac:dyDescent="0.45">
      <c r="B90" s="19" t="str">
        <f t="shared" si="59"/>
        <v/>
      </c>
      <c r="E90" s="191"/>
      <c r="F90" s="191"/>
      <c r="G90" s="191"/>
      <c r="H90" s="191"/>
      <c r="I90" s="191"/>
      <c r="J90" s="191"/>
      <c r="S90" s="197">
        <f t="shared" si="71"/>
        <v>0</v>
      </c>
      <c r="T90" s="197">
        <f t="shared" si="72"/>
        <v>0</v>
      </c>
      <c r="U90" s="197">
        <f t="shared" si="69"/>
        <v>0</v>
      </c>
      <c r="V90" s="197">
        <f t="shared" ref="V90:V153" si="73">S90+T90-U90</f>
        <v>0</v>
      </c>
      <c r="W90" s="8" t="str">
        <f>IF(C90&lt;&gt;"",MATCH(_xlfn.NUMBERVALUE(LEFT(C90,4)),KiemTraBCD!$B$10:$B$1000,0),"")</f>
        <v/>
      </c>
      <c r="AI90" s="191">
        <f t="shared" si="42"/>
        <v>0</v>
      </c>
      <c r="AJ90" s="191">
        <f t="shared" si="43"/>
        <v>0</v>
      </c>
      <c r="AK90" s="191">
        <f t="shared" si="44"/>
        <v>0</v>
      </c>
      <c r="AL90" s="191">
        <f t="shared" si="45"/>
        <v>0</v>
      </c>
      <c r="AM90" s="191">
        <f t="shared" si="46"/>
        <v>0</v>
      </c>
      <c r="AN90" s="191">
        <f t="shared" si="47"/>
        <v>0</v>
      </c>
    </row>
    <row r="91" spans="2:40" x14ac:dyDescent="0.45">
      <c r="B91" s="19" t="str">
        <f t="shared" si="59"/>
        <v/>
      </c>
      <c r="E91" s="191"/>
      <c r="F91" s="191"/>
      <c r="G91" s="191"/>
      <c r="H91" s="191"/>
      <c r="I91" s="191"/>
      <c r="J91" s="191"/>
      <c r="S91" s="197">
        <f t="shared" si="71"/>
        <v>0</v>
      </c>
      <c r="T91" s="197">
        <f t="shared" si="72"/>
        <v>0</v>
      </c>
      <c r="U91" s="197">
        <f t="shared" si="69"/>
        <v>0</v>
      </c>
      <c r="V91" s="197">
        <f t="shared" si="73"/>
        <v>0</v>
      </c>
      <c r="W91" s="8" t="str">
        <f>IF(C91&lt;&gt;"",MATCH(_xlfn.NUMBERVALUE(LEFT(C91,4)),KiemTraBCD!$B$10:$B$1000,0),"")</f>
        <v/>
      </c>
      <c r="AI91" s="191">
        <f t="shared" si="42"/>
        <v>0</v>
      </c>
      <c r="AJ91" s="191">
        <f t="shared" si="43"/>
        <v>0</v>
      </c>
      <c r="AK91" s="191">
        <f t="shared" si="44"/>
        <v>0</v>
      </c>
      <c r="AL91" s="191">
        <f t="shared" si="45"/>
        <v>0</v>
      </c>
      <c r="AM91" s="191">
        <f t="shared" si="46"/>
        <v>0</v>
      </c>
      <c r="AN91" s="191">
        <f t="shared" si="47"/>
        <v>0</v>
      </c>
    </row>
    <row r="92" spans="2:40" x14ac:dyDescent="0.45">
      <c r="B92" s="19" t="str">
        <f t="shared" si="59"/>
        <v/>
      </c>
      <c r="E92" s="191"/>
      <c r="F92" s="191"/>
      <c r="G92" s="191"/>
      <c r="H92" s="191"/>
      <c r="I92" s="191"/>
      <c r="J92" s="191"/>
      <c r="S92" s="197">
        <f t="shared" si="71"/>
        <v>0</v>
      </c>
      <c r="T92" s="197">
        <f t="shared" si="72"/>
        <v>0</v>
      </c>
      <c r="U92" s="197">
        <f t="shared" si="69"/>
        <v>0</v>
      </c>
      <c r="V92" s="197">
        <f t="shared" si="73"/>
        <v>0</v>
      </c>
      <c r="W92" s="8" t="str">
        <f>IF(C92&lt;&gt;"",MATCH(_xlfn.NUMBERVALUE(LEFT(C92,4)),KiemTraBCD!$B$10:$B$1000,0),"")</f>
        <v/>
      </c>
      <c r="AI92" s="191">
        <f t="shared" si="42"/>
        <v>0</v>
      </c>
      <c r="AJ92" s="191">
        <f t="shared" si="43"/>
        <v>0</v>
      </c>
      <c r="AK92" s="191">
        <f t="shared" si="44"/>
        <v>0</v>
      </c>
      <c r="AL92" s="191">
        <f t="shared" si="45"/>
        <v>0</v>
      </c>
      <c r="AM92" s="191">
        <f t="shared" si="46"/>
        <v>0</v>
      </c>
      <c r="AN92" s="191">
        <f t="shared" si="47"/>
        <v>0</v>
      </c>
    </row>
    <row r="93" spans="2:40" x14ac:dyDescent="0.45">
      <c r="B93" s="19" t="str">
        <f t="shared" si="59"/>
        <v/>
      </c>
      <c r="E93" s="191"/>
      <c r="F93" s="191"/>
      <c r="G93" s="191"/>
      <c r="H93" s="191"/>
      <c r="I93" s="191"/>
      <c r="J93" s="191"/>
      <c r="S93" s="197">
        <f t="shared" si="71"/>
        <v>0</v>
      </c>
      <c r="T93" s="197">
        <f t="shared" si="72"/>
        <v>0</v>
      </c>
      <c r="U93" s="197">
        <f t="shared" si="69"/>
        <v>0</v>
      </c>
      <c r="V93" s="197">
        <f t="shared" si="73"/>
        <v>0</v>
      </c>
      <c r="W93" s="8" t="str">
        <f>IF(C93&lt;&gt;"",MATCH(_xlfn.NUMBERVALUE(LEFT(C93,4)),KiemTraBCD!$B$10:$B$1000,0),"")</f>
        <v/>
      </c>
      <c r="AI93" s="191">
        <f t="shared" si="42"/>
        <v>0</v>
      </c>
      <c r="AJ93" s="191">
        <f t="shared" si="43"/>
        <v>0</v>
      </c>
      <c r="AK93" s="191">
        <f t="shared" si="44"/>
        <v>0</v>
      </c>
      <c r="AL93" s="191">
        <f t="shared" si="45"/>
        <v>0</v>
      </c>
      <c r="AM93" s="191">
        <f t="shared" si="46"/>
        <v>0</v>
      </c>
      <c r="AN93" s="191">
        <f t="shared" si="47"/>
        <v>0</v>
      </c>
    </row>
    <row r="94" spans="2:40" x14ac:dyDescent="0.45">
      <c r="B94" s="19" t="str">
        <f t="shared" si="59"/>
        <v/>
      </c>
      <c r="E94" s="191"/>
      <c r="F94" s="191"/>
      <c r="G94" s="191"/>
      <c r="H94" s="191"/>
      <c r="I94" s="191"/>
      <c r="J94" s="191"/>
      <c r="S94" s="197">
        <f t="shared" si="71"/>
        <v>0</v>
      </c>
      <c r="T94" s="197">
        <f t="shared" si="72"/>
        <v>0</v>
      </c>
      <c r="U94" s="197">
        <f t="shared" si="69"/>
        <v>0</v>
      </c>
      <c r="V94" s="197">
        <f t="shared" si="73"/>
        <v>0</v>
      </c>
      <c r="W94" s="8" t="str">
        <f>IF(C94&lt;&gt;"",MATCH(_xlfn.NUMBERVALUE(LEFT(C94,4)),KiemTraBCD!$B$10:$B$1000,0),"")</f>
        <v/>
      </c>
      <c r="AI94" s="191">
        <f t="shared" ref="AI94:AI110" si="74">ROUND(E94,0)</f>
        <v>0</v>
      </c>
      <c r="AJ94" s="191">
        <f t="shared" ref="AJ94:AJ110" si="75">ROUND(F94,0)</f>
        <v>0</v>
      </c>
      <c r="AK94" s="191">
        <f t="shared" ref="AK94:AK110" si="76">ROUND(G94,0)</f>
        <v>0</v>
      </c>
      <c r="AL94" s="191">
        <f t="shared" ref="AL94:AL110" si="77">ROUND(H94,0)</f>
        <v>0</v>
      </c>
      <c r="AM94" s="191">
        <f t="shared" ref="AM94:AM110" si="78">ROUND(I94,0)</f>
        <v>0</v>
      </c>
      <c r="AN94" s="191">
        <f t="shared" ref="AN94:AN110" si="79">ROUND(J94,0)</f>
        <v>0</v>
      </c>
    </row>
    <row r="95" spans="2:40" x14ac:dyDescent="0.45">
      <c r="B95" s="19" t="str">
        <f t="shared" si="59"/>
        <v/>
      </c>
      <c r="E95" s="191"/>
      <c r="F95" s="191"/>
      <c r="G95" s="191"/>
      <c r="H95" s="191"/>
      <c r="I95" s="191"/>
      <c r="J95" s="191"/>
      <c r="S95" s="197">
        <f t="shared" si="71"/>
        <v>0</v>
      </c>
      <c r="T95" s="197">
        <f t="shared" si="72"/>
        <v>0</v>
      </c>
      <c r="U95" s="197">
        <f t="shared" si="69"/>
        <v>0</v>
      </c>
      <c r="V95" s="197">
        <f t="shared" si="73"/>
        <v>0</v>
      </c>
      <c r="W95" s="8" t="str">
        <f>IF(C95&lt;&gt;"",MATCH(_xlfn.NUMBERVALUE(LEFT(C95,4)),KiemTraBCD!$B$10:$B$1000,0),"")</f>
        <v/>
      </c>
      <c r="AI95" s="191">
        <f t="shared" si="74"/>
        <v>0</v>
      </c>
      <c r="AJ95" s="191">
        <f t="shared" si="75"/>
        <v>0</v>
      </c>
      <c r="AK95" s="191">
        <f t="shared" si="76"/>
        <v>0</v>
      </c>
      <c r="AL95" s="191">
        <f t="shared" si="77"/>
        <v>0</v>
      </c>
      <c r="AM95" s="191">
        <f t="shared" si="78"/>
        <v>0</v>
      </c>
      <c r="AN95" s="191">
        <f t="shared" si="79"/>
        <v>0</v>
      </c>
    </row>
    <row r="96" spans="2:40" x14ac:dyDescent="0.45">
      <c r="B96" s="19" t="str">
        <f t="shared" si="59"/>
        <v/>
      </c>
      <c r="E96" s="191"/>
      <c r="F96" s="191"/>
      <c r="G96" s="191"/>
      <c r="H96" s="191"/>
      <c r="I96" s="191"/>
      <c r="J96" s="191"/>
      <c r="S96" s="197">
        <f t="shared" si="71"/>
        <v>0</v>
      </c>
      <c r="T96" s="197">
        <f t="shared" si="72"/>
        <v>0</v>
      </c>
      <c r="U96" s="197">
        <f t="shared" si="69"/>
        <v>0</v>
      </c>
      <c r="V96" s="197">
        <f t="shared" si="73"/>
        <v>0</v>
      </c>
      <c r="W96" s="8" t="str">
        <f>IF(C96&lt;&gt;"",MATCH(_xlfn.NUMBERVALUE(LEFT(C96,4)),KiemTraBCD!$B$10:$B$1000,0),"")</f>
        <v/>
      </c>
      <c r="AI96" s="191">
        <f t="shared" si="74"/>
        <v>0</v>
      </c>
      <c r="AJ96" s="191">
        <f t="shared" si="75"/>
        <v>0</v>
      </c>
      <c r="AK96" s="191">
        <f t="shared" si="76"/>
        <v>0</v>
      </c>
      <c r="AL96" s="191">
        <f t="shared" si="77"/>
        <v>0</v>
      </c>
      <c r="AM96" s="191">
        <f t="shared" si="78"/>
        <v>0</v>
      </c>
      <c r="AN96" s="191">
        <f t="shared" si="79"/>
        <v>0</v>
      </c>
    </row>
    <row r="97" spans="2:40" x14ac:dyDescent="0.45">
      <c r="B97" s="19" t="str">
        <f t="shared" si="59"/>
        <v/>
      </c>
      <c r="E97" s="191"/>
      <c r="F97" s="191"/>
      <c r="G97" s="191"/>
      <c r="H97" s="191"/>
      <c r="I97" s="191"/>
      <c r="J97" s="191"/>
      <c r="S97" s="197">
        <f t="shared" si="71"/>
        <v>0</v>
      </c>
      <c r="T97" s="197">
        <f t="shared" si="72"/>
        <v>0</v>
      </c>
      <c r="U97" s="197">
        <f t="shared" si="69"/>
        <v>0</v>
      </c>
      <c r="V97" s="197">
        <f t="shared" si="73"/>
        <v>0</v>
      </c>
      <c r="W97" s="8" t="str">
        <f>IF(C97&lt;&gt;"",MATCH(_xlfn.NUMBERVALUE(LEFT(C97,4)),KiemTraBCD!$B$10:$B$1000,0),"")</f>
        <v/>
      </c>
      <c r="AI97" s="191">
        <f t="shared" si="74"/>
        <v>0</v>
      </c>
      <c r="AJ97" s="191">
        <f t="shared" si="75"/>
        <v>0</v>
      </c>
      <c r="AK97" s="191">
        <f t="shared" si="76"/>
        <v>0</v>
      </c>
      <c r="AL97" s="191">
        <f t="shared" si="77"/>
        <v>0</v>
      </c>
      <c r="AM97" s="191">
        <f t="shared" si="78"/>
        <v>0</v>
      </c>
      <c r="AN97" s="191">
        <f t="shared" si="79"/>
        <v>0</v>
      </c>
    </row>
    <row r="98" spans="2:40" x14ac:dyDescent="0.45">
      <c r="B98" s="19" t="str">
        <f t="shared" si="59"/>
        <v/>
      </c>
      <c r="E98" s="191"/>
      <c r="F98" s="191"/>
      <c r="G98" s="191"/>
      <c r="H98" s="191"/>
      <c r="I98" s="191"/>
      <c r="J98" s="191"/>
      <c r="S98" s="197">
        <f t="shared" si="71"/>
        <v>0</v>
      </c>
      <c r="T98" s="197">
        <f t="shared" si="72"/>
        <v>0</v>
      </c>
      <c r="U98" s="197">
        <f t="shared" ref="U98:U129" si="80">ABS(I98-J98)</f>
        <v>0</v>
      </c>
      <c r="V98" s="197">
        <f t="shared" si="73"/>
        <v>0</v>
      </c>
      <c r="W98" s="8" t="str">
        <f>IF(C98&lt;&gt;"",MATCH(_xlfn.NUMBERVALUE(LEFT(C98,4)),KiemTraBCD!$B$10:$B$1000,0),"")</f>
        <v/>
      </c>
      <c r="AI98" s="191">
        <f t="shared" si="74"/>
        <v>0</v>
      </c>
      <c r="AJ98" s="191">
        <f t="shared" si="75"/>
        <v>0</v>
      </c>
      <c r="AK98" s="191">
        <f t="shared" si="76"/>
        <v>0</v>
      </c>
      <c r="AL98" s="191">
        <f t="shared" si="77"/>
        <v>0</v>
      </c>
      <c r="AM98" s="191">
        <f t="shared" si="78"/>
        <v>0</v>
      </c>
      <c r="AN98" s="191">
        <f t="shared" si="79"/>
        <v>0</v>
      </c>
    </row>
    <row r="99" spans="2:40" x14ac:dyDescent="0.45">
      <c r="B99" s="19" t="str">
        <f t="shared" si="59"/>
        <v/>
      </c>
      <c r="E99" s="191"/>
      <c r="F99" s="191"/>
      <c r="G99" s="191"/>
      <c r="H99" s="191"/>
      <c r="I99" s="191"/>
      <c r="J99" s="191"/>
      <c r="S99" s="197">
        <f t="shared" si="71"/>
        <v>0</v>
      </c>
      <c r="T99" s="197">
        <f t="shared" si="72"/>
        <v>0</v>
      </c>
      <c r="U99" s="197">
        <f t="shared" si="80"/>
        <v>0</v>
      </c>
      <c r="V99" s="197">
        <f t="shared" si="73"/>
        <v>0</v>
      </c>
      <c r="W99" s="8" t="str">
        <f>IF(C99&lt;&gt;"",MATCH(_xlfn.NUMBERVALUE(LEFT(C99,4)),KiemTraBCD!$B$10:$B$1000,0),"")</f>
        <v/>
      </c>
      <c r="AI99" s="191">
        <f t="shared" si="74"/>
        <v>0</v>
      </c>
      <c r="AJ99" s="191">
        <f t="shared" si="75"/>
        <v>0</v>
      </c>
      <c r="AK99" s="191">
        <f t="shared" si="76"/>
        <v>0</v>
      </c>
      <c r="AL99" s="191">
        <f t="shared" si="77"/>
        <v>0</v>
      </c>
      <c r="AM99" s="191">
        <f t="shared" si="78"/>
        <v>0</v>
      </c>
      <c r="AN99" s="191">
        <f t="shared" si="79"/>
        <v>0</v>
      </c>
    </row>
    <row r="100" spans="2:40" x14ac:dyDescent="0.45">
      <c r="B100" s="19" t="str">
        <f t="shared" si="59"/>
        <v/>
      </c>
      <c r="E100" s="191"/>
      <c r="F100" s="191"/>
      <c r="G100" s="191"/>
      <c r="H100" s="191"/>
      <c r="I100" s="191"/>
      <c r="J100" s="191"/>
      <c r="S100" s="197">
        <f t="shared" si="71"/>
        <v>0</v>
      </c>
      <c r="T100" s="197">
        <f t="shared" si="72"/>
        <v>0</v>
      </c>
      <c r="U100" s="197">
        <f t="shared" si="80"/>
        <v>0</v>
      </c>
      <c r="V100" s="197">
        <f t="shared" si="73"/>
        <v>0</v>
      </c>
      <c r="W100" s="8" t="str">
        <f>IF(C100&lt;&gt;"",MATCH(_xlfn.NUMBERVALUE(LEFT(C100,4)),KiemTraBCD!$B$10:$B$1000,0),"")</f>
        <v/>
      </c>
      <c r="AI100" s="191">
        <f t="shared" si="74"/>
        <v>0</v>
      </c>
      <c r="AJ100" s="191">
        <f t="shared" si="75"/>
        <v>0</v>
      </c>
      <c r="AK100" s="191">
        <f t="shared" si="76"/>
        <v>0</v>
      </c>
      <c r="AL100" s="191">
        <f t="shared" si="77"/>
        <v>0</v>
      </c>
      <c r="AM100" s="191">
        <f t="shared" si="78"/>
        <v>0</v>
      </c>
      <c r="AN100" s="191">
        <f t="shared" si="79"/>
        <v>0</v>
      </c>
    </row>
    <row r="101" spans="2:40" x14ac:dyDescent="0.45">
      <c r="B101" s="19" t="str">
        <f t="shared" si="59"/>
        <v/>
      </c>
      <c r="E101" s="191"/>
      <c r="F101" s="191"/>
      <c r="G101" s="191"/>
      <c r="H101" s="191"/>
      <c r="I101" s="191"/>
      <c r="J101" s="191"/>
      <c r="S101" s="197">
        <f t="shared" si="71"/>
        <v>0</v>
      </c>
      <c r="T101" s="197">
        <f t="shared" si="72"/>
        <v>0</v>
      </c>
      <c r="U101" s="197">
        <f t="shared" si="80"/>
        <v>0</v>
      </c>
      <c r="V101" s="197">
        <f t="shared" si="73"/>
        <v>0</v>
      </c>
      <c r="W101" s="8" t="str">
        <f>IF(C101&lt;&gt;"",MATCH(_xlfn.NUMBERVALUE(LEFT(C101,4)),KiemTraBCD!$B$10:$B$1000,0),"")</f>
        <v/>
      </c>
      <c r="AI101" s="191">
        <f t="shared" si="74"/>
        <v>0</v>
      </c>
      <c r="AJ101" s="191">
        <f t="shared" si="75"/>
        <v>0</v>
      </c>
      <c r="AK101" s="191">
        <f t="shared" si="76"/>
        <v>0</v>
      </c>
      <c r="AL101" s="191">
        <f t="shared" si="77"/>
        <v>0</v>
      </c>
      <c r="AM101" s="191">
        <f t="shared" si="78"/>
        <v>0</v>
      </c>
      <c r="AN101" s="191">
        <f t="shared" si="79"/>
        <v>0</v>
      </c>
    </row>
    <row r="102" spans="2:40" x14ac:dyDescent="0.45">
      <c r="B102" s="19" t="str">
        <f t="shared" si="59"/>
        <v/>
      </c>
      <c r="E102" s="191"/>
      <c r="F102" s="191"/>
      <c r="G102" s="191"/>
      <c r="H102" s="191"/>
      <c r="I102" s="191"/>
      <c r="J102" s="191"/>
      <c r="S102" s="197">
        <f t="shared" si="71"/>
        <v>0</v>
      </c>
      <c r="T102" s="197">
        <f t="shared" si="72"/>
        <v>0</v>
      </c>
      <c r="U102" s="197">
        <f t="shared" si="80"/>
        <v>0</v>
      </c>
      <c r="V102" s="197">
        <f t="shared" si="73"/>
        <v>0</v>
      </c>
      <c r="W102" s="8" t="str">
        <f>IF(C102&lt;&gt;"",MATCH(_xlfn.NUMBERVALUE(LEFT(C102,4)),KiemTraBCD!$B$10:$B$1000,0),"")</f>
        <v/>
      </c>
      <c r="AI102" s="191">
        <f t="shared" si="74"/>
        <v>0</v>
      </c>
      <c r="AJ102" s="191">
        <f t="shared" si="75"/>
        <v>0</v>
      </c>
      <c r="AK102" s="191">
        <f t="shared" si="76"/>
        <v>0</v>
      </c>
      <c r="AL102" s="191">
        <f t="shared" si="77"/>
        <v>0</v>
      </c>
      <c r="AM102" s="191">
        <f t="shared" si="78"/>
        <v>0</v>
      </c>
      <c r="AN102" s="191">
        <f t="shared" si="79"/>
        <v>0</v>
      </c>
    </row>
    <row r="103" spans="2:40" x14ac:dyDescent="0.45">
      <c r="B103" s="19" t="str">
        <f t="shared" si="59"/>
        <v/>
      </c>
      <c r="E103" s="191"/>
      <c r="F103" s="191"/>
      <c r="G103" s="191"/>
      <c r="H103" s="191"/>
      <c r="I103" s="191"/>
      <c r="J103" s="191"/>
      <c r="S103" s="197">
        <f t="shared" si="71"/>
        <v>0</v>
      </c>
      <c r="T103" s="197">
        <f t="shared" si="72"/>
        <v>0</v>
      </c>
      <c r="U103" s="197">
        <f t="shared" si="80"/>
        <v>0</v>
      </c>
      <c r="V103" s="197">
        <f t="shared" si="73"/>
        <v>0</v>
      </c>
      <c r="W103" s="8" t="str">
        <f>IF(C103&lt;&gt;"",MATCH(_xlfn.NUMBERVALUE(LEFT(C103,4)),KiemTraBCD!$B$10:$B$1000,0),"")</f>
        <v/>
      </c>
      <c r="AI103" s="191">
        <f t="shared" si="74"/>
        <v>0</v>
      </c>
      <c r="AJ103" s="191">
        <f t="shared" si="75"/>
        <v>0</v>
      </c>
      <c r="AK103" s="191">
        <f t="shared" si="76"/>
        <v>0</v>
      </c>
      <c r="AL103" s="191">
        <f t="shared" si="77"/>
        <v>0</v>
      </c>
      <c r="AM103" s="191">
        <f t="shared" si="78"/>
        <v>0</v>
      </c>
      <c r="AN103" s="191">
        <f t="shared" si="79"/>
        <v>0</v>
      </c>
    </row>
    <row r="104" spans="2:40" x14ac:dyDescent="0.45">
      <c r="B104" s="19" t="str">
        <f t="shared" si="59"/>
        <v/>
      </c>
      <c r="E104" s="191"/>
      <c r="F104" s="191"/>
      <c r="G104" s="191"/>
      <c r="H104" s="191"/>
      <c r="I104" s="191"/>
      <c r="J104" s="191"/>
      <c r="S104" s="197">
        <f t="shared" si="71"/>
        <v>0</v>
      </c>
      <c r="T104" s="197">
        <f t="shared" si="72"/>
        <v>0</v>
      </c>
      <c r="U104" s="197">
        <f t="shared" si="80"/>
        <v>0</v>
      </c>
      <c r="V104" s="197">
        <f t="shared" si="73"/>
        <v>0</v>
      </c>
      <c r="W104" s="8" t="str">
        <f>IF(C104&lt;&gt;"",MATCH(_xlfn.NUMBERVALUE(LEFT(C104,4)),KiemTraBCD!$B$10:$B$1000,0),"")</f>
        <v/>
      </c>
      <c r="AI104" s="191">
        <f t="shared" si="74"/>
        <v>0</v>
      </c>
      <c r="AJ104" s="191">
        <f t="shared" si="75"/>
        <v>0</v>
      </c>
      <c r="AK104" s="191">
        <f t="shared" si="76"/>
        <v>0</v>
      </c>
      <c r="AL104" s="191">
        <f t="shared" si="77"/>
        <v>0</v>
      </c>
      <c r="AM104" s="191">
        <f t="shared" si="78"/>
        <v>0</v>
      </c>
      <c r="AN104" s="191">
        <f t="shared" si="79"/>
        <v>0</v>
      </c>
    </row>
    <row r="105" spans="2:40" x14ac:dyDescent="0.45">
      <c r="B105" s="19" t="str">
        <f t="shared" si="59"/>
        <v/>
      </c>
      <c r="E105" s="191"/>
      <c r="F105" s="191"/>
      <c r="G105" s="191"/>
      <c r="H105" s="191"/>
      <c r="I105" s="191"/>
      <c r="J105" s="191"/>
      <c r="S105" s="197">
        <f t="shared" si="71"/>
        <v>0</v>
      </c>
      <c r="T105" s="197">
        <f t="shared" si="72"/>
        <v>0</v>
      </c>
      <c r="U105" s="197">
        <f t="shared" si="80"/>
        <v>0</v>
      </c>
      <c r="V105" s="197">
        <f t="shared" si="73"/>
        <v>0</v>
      </c>
      <c r="W105" s="8" t="str">
        <f>IF(C105&lt;&gt;"",MATCH(_xlfn.NUMBERVALUE(LEFT(C105,4)),KiemTraBCD!$B$10:$B$1000,0),"")</f>
        <v/>
      </c>
      <c r="AI105" s="191">
        <f t="shared" si="74"/>
        <v>0</v>
      </c>
      <c r="AJ105" s="191">
        <f t="shared" si="75"/>
        <v>0</v>
      </c>
      <c r="AK105" s="191">
        <f t="shared" si="76"/>
        <v>0</v>
      </c>
      <c r="AL105" s="191">
        <f t="shared" si="77"/>
        <v>0</v>
      </c>
      <c r="AM105" s="191">
        <f t="shared" si="78"/>
        <v>0</v>
      </c>
      <c r="AN105" s="191">
        <f t="shared" si="79"/>
        <v>0</v>
      </c>
    </row>
    <row r="106" spans="2:40" x14ac:dyDescent="0.45">
      <c r="B106" s="19" t="str">
        <f t="shared" si="59"/>
        <v/>
      </c>
      <c r="E106" s="191"/>
      <c r="F106" s="191"/>
      <c r="G106" s="191"/>
      <c r="H106" s="191"/>
      <c r="I106" s="191"/>
      <c r="J106" s="191"/>
      <c r="S106" s="197">
        <f t="shared" si="71"/>
        <v>0</v>
      </c>
      <c r="T106" s="197">
        <f t="shared" si="72"/>
        <v>0</v>
      </c>
      <c r="U106" s="197">
        <f t="shared" si="80"/>
        <v>0</v>
      </c>
      <c r="V106" s="197">
        <f t="shared" si="73"/>
        <v>0</v>
      </c>
      <c r="W106" s="8" t="str">
        <f>IF(C106&lt;&gt;"",MATCH(_xlfn.NUMBERVALUE(LEFT(C106,4)),KiemTraBCD!$B$10:$B$1000,0),"")</f>
        <v/>
      </c>
      <c r="AI106" s="191">
        <f t="shared" si="74"/>
        <v>0</v>
      </c>
      <c r="AJ106" s="191">
        <f t="shared" si="75"/>
        <v>0</v>
      </c>
      <c r="AK106" s="191">
        <f t="shared" si="76"/>
        <v>0</v>
      </c>
      <c r="AL106" s="191">
        <f t="shared" si="77"/>
        <v>0</v>
      </c>
      <c r="AM106" s="191">
        <f t="shared" si="78"/>
        <v>0</v>
      </c>
      <c r="AN106" s="191">
        <f t="shared" si="79"/>
        <v>0</v>
      </c>
    </row>
    <row r="107" spans="2:40" x14ac:dyDescent="0.45">
      <c r="B107" s="19" t="str">
        <f t="shared" si="59"/>
        <v/>
      </c>
      <c r="E107" s="191"/>
      <c r="F107" s="191"/>
      <c r="G107" s="191"/>
      <c r="H107" s="191"/>
      <c r="I107" s="191"/>
      <c r="J107" s="191"/>
      <c r="S107" s="197">
        <f t="shared" si="71"/>
        <v>0</v>
      </c>
      <c r="T107" s="197">
        <f t="shared" si="72"/>
        <v>0</v>
      </c>
      <c r="U107" s="197">
        <f t="shared" si="80"/>
        <v>0</v>
      </c>
      <c r="V107" s="197">
        <f t="shared" si="73"/>
        <v>0</v>
      </c>
      <c r="W107" s="8" t="str">
        <f>IF(C107&lt;&gt;"",MATCH(_xlfn.NUMBERVALUE(LEFT(C107,4)),KiemTraBCD!$B$10:$B$1000,0),"")</f>
        <v/>
      </c>
      <c r="AI107" s="191">
        <f t="shared" si="74"/>
        <v>0</v>
      </c>
      <c r="AJ107" s="191">
        <f t="shared" si="75"/>
        <v>0</v>
      </c>
      <c r="AK107" s="191">
        <f t="shared" si="76"/>
        <v>0</v>
      </c>
      <c r="AL107" s="191">
        <f t="shared" si="77"/>
        <v>0</v>
      </c>
      <c r="AM107" s="191">
        <f t="shared" si="78"/>
        <v>0</v>
      </c>
      <c r="AN107" s="191">
        <f t="shared" si="79"/>
        <v>0</v>
      </c>
    </row>
    <row r="108" spans="2:40" x14ac:dyDescent="0.45">
      <c r="B108" s="19" t="str">
        <f t="shared" si="59"/>
        <v/>
      </c>
      <c r="E108" s="191"/>
      <c r="F108" s="191"/>
      <c r="G108" s="191"/>
      <c r="H108" s="191"/>
      <c r="I108" s="191"/>
      <c r="J108" s="191"/>
      <c r="S108" s="197">
        <f t="shared" si="71"/>
        <v>0</v>
      </c>
      <c r="T108" s="197">
        <f t="shared" si="72"/>
        <v>0</v>
      </c>
      <c r="U108" s="197">
        <f t="shared" si="80"/>
        <v>0</v>
      </c>
      <c r="V108" s="197">
        <f t="shared" si="73"/>
        <v>0</v>
      </c>
      <c r="W108" s="8" t="str">
        <f>IF(C108&lt;&gt;"",MATCH(_xlfn.NUMBERVALUE(LEFT(C108,4)),KiemTraBCD!$B$10:$B$1000,0),"")</f>
        <v/>
      </c>
      <c r="AI108" s="191">
        <f t="shared" si="74"/>
        <v>0</v>
      </c>
      <c r="AJ108" s="191">
        <f t="shared" si="75"/>
        <v>0</v>
      </c>
      <c r="AK108" s="191">
        <f t="shared" si="76"/>
        <v>0</v>
      </c>
      <c r="AL108" s="191">
        <f t="shared" si="77"/>
        <v>0</v>
      </c>
      <c r="AM108" s="191">
        <f t="shared" si="78"/>
        <v>0</v>
      </c>
      <c r="AN108" s="191">
        <f t="shared" si="79"/>
        <v>0</v>
      </c>
    </row>
    <row r="109" spans="2:40" x14ac:dyDescent="0.45">
      <c r="B109" s="19" t="str">
        <f t="shared" si="59"/>
        <v/>
      </c>
      <c r="E109" s="191"/>
      <c r="F109" s="191"/>
      <c r="G109" s="191"/>
      <c r="H109" s="191"/>
      <c r="I109" s="191"/>
      <c r="J109" s="191"/>
      <c r="S109" s="197">
        <f t="shared" si="71"/>
        <v>0</v>
      </c>
      <c r="T109" s="197">
        <f t="shared" si="72"/>
        <v>0</v>
      </c>
      <c r="U109" s="197">
        <f t="shared" si="80"/>
        <v>0</v>
      </c>
      <c r="V109" s="197">
        <f t="shared" si="73"/>
        <v>0</v>
      </c>
      <c r="W109" s="8" t="str">
        <f>IF(C109&lt;&gt;"",MATCH(_xlfn.NUMBERVALUE(LEFT(C109,4)),KiemTraBCD!$B$10:$B$1000,0),"")</f>
        <v/>
      </c>
      <c r="AI109" s="191">
        <f t="shared" si="74"/>
        <v>0</v>
      </c>
      <c r="AJ109" s="191">
        <f t="shared" si="75"/>
        <v>0</v>
      </c>
      <c r="AK109" s="191">
        <f t="shared" si="76"/>
        <v>0</v>
      </c>
      <c r="AL109" s="191">
        <f t="shared" si="77"/>
        <v>0</v>
      </c>
      <c r="AM109" s="191">
        <f t="shared" si="78"/>
        <v>0</v>
      </c>
      <c r="AN109" s="191">
        <f t="shared" si="79"/>
        <v>0</v>
      </c>
    </row>
    <row r="110" spans="2:40" x14ac:dyDescent="0.45">
      <c r="B110" s="19" t="str">
        <f t="shared" si="59"/>
        <v/>
      </c>
      <c r="E110" s="191"/>
      <c r="F110" s="191"/>
      <c r="G110" s="191"/>
      <c r="H110" s="191"/>
      <c r="I110" s="191"/>
      <c r="J110" s="191"/>
      <c r="S110" s="197">
        <f t="shared" si="71"/>
        <v>0</v>
      </c>
      <c r="T110" s="197">
        <f t="shared" si="72"/>
        <v>0</v>
      </c>
      <c r="U110" s="197">
        <f t="shared" si="80"/>
        <v>0</v>
      </c>
      <c r="V110" s="197">
        <f t="shared" si="73"/>
        <v>0</v>
      </c>
      <c r="W110" s="8" t="str">
        <f>IF(C110&lt;&gt;"",MATCH(_xlfn.NUMBERVALUE(LEFT(C110,4)),KiemTraBCD!$B$10:$B$1000,0),"")</f>
        <v/>
      </c>
      <c r="AI110" s="191">
        <f t="shared" si="74"/>
        <v>0</v>
      </c>
      <c r="AJ110" s="191">
        <f t="shared" si="75"/>
        <v>0</v>
      </c>
      <c r="AK110" s="191">
        <f t="shared" si="76"/>
        <v>0</v>
      </c>
      <c r="AL110" s="191">
        <f t="shared" si="77"/>
        <v>0</v>
      </c>
      <c r="AM110" s="191">
        <f t="shared" si="78"/>
        <v>0</v>
      </c>
      <c r="AN110" s="191">
        <f t="shared" si="79"/>
        <v>0</v>
      </c>
    </row>
    <row r="111" spans="2:40" x14ac:dyDescent="0.45">
      <c r="B111" s="19" t="str">
        <f t="shared" si="59"/>
        <v/>
      </c>
      <c r="E111" s="191"/>
      <c r="F111" s="191"/>
      <c r="G111" s="191"/>
      <c r="H111" s="191"/>
      <c r="I111" s="191"/>
      <c r="J111" s="191"/>
      <c r="S111" s="197">
        <f t="shared" si="71"/>
        <v>0</v>
      </c>
      <c r="T111" s="197">
        <f t="shared" si="72"/>
        <v>0</v>
      </c>
      <c r="U111" s="197">
        <f t="shared" si="80"/>
        <v>0</v>
      </c>
      <c r="V111" s="197">
        <f t="shared" si="73"/>
        <v>0</v>
      </c>
      <c r="W111" s="8" t="str">
        <f>IF(C111&lt;&gt;"",MATCH(_xlfn.NUMBERVALUE(LEFT(C111,4)),KiemTraBCD!$B$10:$B$1000,0),"")</f>
        <v/>
      </c>
    </row>
    <row r="112" spans="2:40" x14ac:dyDescent="0.45">
      <c r="B112" s="19" t="str">
        <f t="shared" ref="B112:B129" si="81">IF(C112="","",LEN(C112)-2)</f>
        <v/>
      </c>
      <c r="E112" s="191"/>
      <c r="F112" s="191"/>
      <c r="G112" s="191"/>
      <c r="H112" s="191"/>
      <c r="I112" s="191"/>
      <c r="J112" s="191"/>
      <c r="S112" s="197">
        <f t="shared" si="71"/>
        <v>0</v>
      </c>
      <c r="T112" s="197">
        <f t="shared" si="72"/>
        <v>0</v>
      </c>
      <c r="U112" s="197">
        <f t="shared" si="80"/>
        <v>0</v>
      </c>
      <c r="V112" s="197">
        <f t="shared" si="73"/>
        <v>0</v>
      </c>
      <c r="W112" s="8" t="str">
        <f>IF(C112&lt;&gt;"",MATCH(_xlfn.NUMBERVALUE(LEFT(C112,4)),KiemTraBCD!$B$10:$B$1000,0),"")</f>
        <v/>
      </c>
    </row>
    <row r="113" spans="2:23" x14ac:dyDescent="0.45">
      <c r="B113" s="19" t="str">
        <f t="shared" si="81"/>
        <v/>
      </c>
      <c r="E113" s="191"/>
      <c r="F113" s="191"/>
      <c r="G113" s="191"/>
      <c r="H113" s="191"/>
      <c r="I113" s="191"/>
      <c r="J113" s="191"/>
      <c r="S113" s="197">
        <f t="shared" si="71"/>
        <v>0</v>
      </c>
      <c r="T113" s="197">
        <f t="shared" si="72"/>
        <v>0</v>
      </c>
      <c r="U113" s="197">
        <f t="shared" si="80"/>
        <v>0</v>
      </c>
      <c r="V113" s="197">
        <f t="shared" si="73"/>
        <v>0</v>
      </c>
      <c r="W113" s="8" t="str">
        <f>IF(C113&lt;&gt;"",MATCH(_xlfn.NUMBERVALUE(LEFT(C113,4)),KiemTraBCD!$B$10:$B$1000,0),"")</f>
        <v/>
      </c>
    </row>
    <row r="114" spans="2:23" x14ac:dyDescent="0.45">
      <c r="B114" s="19" t="str">
        <f t="shared" si="81"/>
        <v/>
      </c>
      <c r="E114" s="191"/>
      <c r="F114" s="191"/>
      <c r="G114" s="191"/>
      <c r="H114" s="191"/>
      <c r="I114" s="191"/>
      <c r="J114" s="191"/>
      <c r="S114" s="197">
        <f t="shared" si="71"/>
        <v>0</v>
      </c>
      <c r="T114" s="197">
        <f t="shared" si="72"/>
        <v>0</v>
      </c>
      <c r="U114" s="197">
        <f t="shared" si="80"/>
        <v>0</v>
      </c>
      <c r="V114" s="197">
        <f t="shared" si="73"/>
        <v>0</v>
      </c>
      <c r="W114" s="8" t="str">
        <f>IF(C114&lt;&gt;"",MATCH(_xlfn.NUMBERVALUE(LEFT(C114,4)),KiemTraBCD!$B$10:$B$1000,0),"")</f>
        <v/>
      </c>
    </row>
    <row r="115" spans="2:23" x14ac:dyDescent="0.45">
      <c r="B115" s="19" t="str">
        <f t="shared" si="81"/>
        <v/>
      </c>
      <c r="E115" s="191"/>
      <c r="F115" s="191"/>
      <c r="G115" s="191"/>
      <c r="H115" s="191"/>
      <c r="I115" s="191"/>
      <c r="J115" s="191"/>
      <c r="S115" s="197">
        <f t="shared" si="71"/>
        <v>0</v>
      </c>
      <c r="T115" s="197">
        <f t="shared" si="72"/>
        <v>0</v>
      </c>
      <c r="U115" s="197">
        <f t="shared" si="80"/>
        <v>0</v>
      </c>
      <c r="V115" s="197">
        <f t="shared" si="73"/>
        <v>0</v>
      </c>
      <c r="W115" s="8" t="str">
        <f>IF(C115&lt;&gt;"",MATCH(_xlfn.NUMBERVALUE(LEFT(C115,4)),KiemTraBCD!$B$10:$B$1000,0),"")</f>
        <v/>
      </c>
    </row>
    <row r="116" spans="2:23" x14ac:dyDescent="0.45">
      <c r="B116" s="19" t="str">
        <f t="shared" si="81"/>
        <v/>
      </c>
      <c r="E116" s="191"/>
      <c r="F116" s="191"/>
      <c r="G116" s="191"/>
      <c r="H116" s="191"/>
      <c r="I116" s="191"/>
      <c r="J116" s="191"/>
      <c r="S116" s="197">
        <f t="shared" si="71"/>
        <v>0</v>
      </c>
      <c r="T116" s="197">
        <f t="shared" si="72"/>
        <v>0</v>
      </c>
      <c r="U116" s="197">
        <f t="shared" si="80"/>
        <v>0</v>
      </c>
      <c r="V116" s="197">
        <f t="shared" si="73"/>
        <v>0</v>
      </c>
      <c r="W116" s="8" t="str">
        <f>IF(C116&lt;&gt;"",MATCH(_xlfn.NUMBERVALUE(LEFT(C116,4)),KiemTraBCD!$B$10:$B$1000,0),"")</f>
        <v/>
      </c>
    </row>
    <row r="117" spans="2:23" x14ac:dyDescent="0.45">
      <c r="B117" s="19" t="str">
        <f t="shared" si="81"/>
        <v/>
      </c>
      <c r="E117" s="191"/>
      <c r="F117" s="191"/>
      <c r="G117" s="191"/>
      <c r="H117" s="191"/>
      <c r="I117" s="191"/>
      <c r="J117" s="191"/>
      <c r="S117" s="197">
        <f t="shared" si="71"/>
        <v>0</v>
      </c>
      <c r="T117" s="197">
        <f t="shared" si="72"/>
        <v>0</v>
      </c>
      <c r="U117" s="197">
        <f t="shared" si="80"/>
        <v>0</v>
      </c>
      <c r="V117" s="197">
        <f t="shared" si="73"/>
        <v>0</v>
      </c>
      <c r="W117" s="8" t="str">
        <f>IF(C117&lt;&gt;"",MATCH(_xlfn.NUMBERVALUE(LEFT(C117,4)),KiemTraBCD!$B$10:$B$1000,0),"")</f>
        <v/>
      </c>
    </row>
    <row r="118" spans="2:23" x14ac:dyDescent="0.45">
      <c r="B118" s="19" t="str">
        <f t="shared" si="81"/>
        <v/>
      </c>
      <c r="G118" s="457"/>
      <c r="H118" s="457"/>
      <c r="I118" s="191"/>
      <c r="J118" s="191"/>
      <c r="S118" s="197">
        <f t="shared" si="71"/>
        <v>0</v>
      </c>
      <c r="T118" s="197">
        <f t="shared" si="72"/>
        <v>0</v>
      </c>
      <c r="U118" s="197">
        <f t="shared" si="80"/>
        <v>0</v>
      </c>
      <c r="V118" s="197">
        <f t="shared" si="73"/>
        <v>0</v>
      </c>
      <c r="W118" s="8" t="str">
        <f>IF(C118&lt;&gt;"",MATCH(_xlfn.NUMBERVALUE(LEFT(C118,4)),KiemTraBCD!$B$10:$B$1000,0),"")</f>
        <v/>
      </c>
    </row>
    <row r="119" spans="2:23" x14ac:dyDescent="0.45">
      <c r="B119" s="19" t="str">
        <f t="shared" si="81"/>
        <v/>
      </c>
      <c r="I119" s="191"/>
      <c r="J119" s="191"/>
      <c r="S119" s="197">
        <f t="shared" si="71"/>
        <v>0</v>
      </c>
      <c r="T119" s="197">
        <f t="shared" si="72"/>
        <v>0</v>
      </c>
      <c r="U119" s="197">
        <f t="shared" si="80"/>
        <v>0</v>
      </c>
      <c r="V119" s="197">
        <f t="shared" si="73"/>
        <v>0</v>
      </c>
      <c r="W119" s="8" t="str">
        <f>IF(C119&lt;&gt;"",MATCH(_xlfn.NUMBERVALUE(LEFT(C119,4)),KiemTraBCD!$B$10:$B$1000,0),"")</f>
        <v/>
      </c>
    </row>
    <row r="120" spans="2:23" x14ac:dyDescent="0.45">
      <c r="B120" s="19" t="str">
        <f t="shared" si="81"/>
        <v/>
      </c>
      <c r="I120" s="191"/>
      <c r="J120" s="191"/>
      <c r="S120" s="197">
        <f t="shared" ref="S120:S153" si="82">MAX(0,E120+G120-F120-H120)</f>
        <v>0</v>
      </c>
      <c r="T120" s="197">
        <f t="shared" ref="T120:T153" si="83">MAX(0,F120+H120-E120-G120)</f>
        <v>0</v>
      </c>
      <c r="U120" s="197">
        <f t="shared" si="80"/>
        <v>0</v>
      </c>
      <c r="V120" s="197">
        <f t="shared" si="73"/>
        <v>0</v>
      </c>
      <c r="W120" s="8" t="str">
        <f>IF(C120&lt;&gt;"",MATCH(_xlfn.NUMBERVALUE(LEFT(C120,4)),KiemTraBCD!$B$10:$B$1000,0),"")</f>
        <v/>
      </c>
    </row>
    <row r="121" spans="2:23" x14ac:dyDescent="0.45">
      <c r="B121" s="19" t="str">
        <f t="shared" si="81"/>
        <v/>
      </c>
      <c r="G121" s="457"/>
      <c r="H121" s="457"/>
      <c r="I121" s="191"/>
      <c r="J121" s="191"/>
      <c r="S121" s="197">
        <f t="shared" si="82"/>
        <v>0</v>
      </c>
      <c r="T121" s="197">
        <f t="shared" si="83"/>
        <v>0</v>
      </c>
      <c r="U121" s="197">
        <f t="shared" si="80"/>
        <v>0</v>
      </c>
      <c r="V121" s="197">
        <f t="shared" si="73"/>
        <v>0</v>
      </c>
      <c r="W121" s="8" t="str">
        <f>IF(C121&lt;&gt;"",MATCH(_xlfn.NUMBERVALUE(LEFT(C121,4)),KiemTraBCD!$B$10:$B$1000,0),"")</f>
        <v/>
      </c>
    </row>
    <row r="122" spans="2:23" x14ac:dyDescent="0.45">
      <c r="B122" s="19" t="str">
        <f t="shared" si="81"/>
        <v/>
      </c>
      <c r="G122" s="457"/>
      <c r="H122" s="457"/>
      <c r="I122" s="191"/>
      <c r="J122" s="191"/>
      <c r="S122" s="197">
        <f t="shared" si="82"/>
        <v>0</v>
      </c>
      <c r="T122" s="197">
        <f t="shared" si="83"/>
        <v>0</v>
      </c>
      <c r="U122" s="197">
        <f t="shared" si="80"/>
        <v>0</v>
      </c>
      <c r="V122" s="197">
        <f t="shared" si="73"/>
        <v>0</v>
      </c>
      <c r="W122" s="8" t="str">
        <f>IF(C122&lt;&gt;"",MATCH(_xlfn.NUMBERVALUE(LEFT(C122,4)),KiemTraBCD!$B$10:$B$1000,0),"")</f>
        <v/>
      </c>
    </row>
    <row r="123" spans="2:23" x14ac:dyDescent="0.45">
      <c r="B123" s="19" t="str">
        <f t="shared" si="81"/>
        <v/>
      </c>
      <c r="G123" s="457"/>
      <c r="H123" s="457"/>
      <c r="I123" s="191"/>
      <c r="J123" s="191"/>
      <c r="S123" s="197">
        <f t="shared" si="82"/>
        <v>0</v>
      </c>
      <c r="T123" s="197">
        <f t="shared" si="83"/>
        <v>0</v>
      </c>
      <c r="U123" s="197">
        <f t="shared" si="80"/>
        <v>0</v>
      </c>
      <c r="V123" s="197">
        <f t="shared" si="73"/>
        <v>0</v>
      </c>
      <c r="W123" s="8" t="str">
        <f>IF(C123&lt;&gt;"",MATCH(_xlfn.NUMBERVALUE(LEFT(C123,4)),KiemTraBCD!$B$10:$B$1000,0),"")</f>
        <v/>
      </c>
    </row>
    <row r="124" spans="2:23" x14ac:dyDescent="0.45">
      <c r="B124" s="19" t="str">
        <f t="shared" si="81"/>
        <v/>
      </c>
      <c r="G124" s="457"/>
      <c r="H124" s="457"/>
      <c r="I124" s="191"/>
      <c r="J124" s="191"/>
      <c r="S124" s="197">
        <f t="shared" si="82"/>
        <v>0</v>
      </c>
      <c r="T124" s="197">
        <f t="shared" si="83"/>
        <v>0</v>
      </c>
      <c r="U124" s="197">
        <f t="shared" si="80"/>
        <v>0</v>
      </c>
      <c r="V124" s="197">
        <f t="shared" si="73"/>
        <v>0</v>
      </c>
      <c r="W124" s="8" t="str">
        <f>IF(C124&lt;&gt;"",MATCH(_xlfn.NUMBERVALUE(LEFT(C124,4)),KiemTraBCD!$B$10:$B$1000,0),"")</f>
        <v/>
      </c>
    </row>
    <row r="125" spans="2:23" x14ac:dyDescent="0.45">
      <c r="B125" s="19" t="str">
        <f t="shared" si="81"/>
        <v/>
      </c>
      <c r="G125" s="457"/>
      <c r="H125" s="457"/>
      <c r="I125" s="191"/>
      <c r="J125" s="191"/>
      <c r="S125" s="197">
        <f t="shared" si="82"/>
        <v>0</v>
      </c>
      <c r="T125" s="197">
        <f t="shared" si="83"/>
        <v>0</v>
      </c>
      <c r="U125" s="197">
        <f t="shared" si="80"/>
        <v>0</v>
      </c>
      <c r="V125" s="197">
        <f t="shared" si="73"/>
        <v>0</v>
      </c>
      <c r="W125" s="8" t="str">
        <f>IF(C125&lt;&gt;"",MATCH(_xlfn.NUMBERVALUE(LEFT(C125,4)),KiemTraBCD!$B$10:$B$1000,0),"")</f>
        <v/>
      </c>
    </row>
    <row r="126" spans="2:23" x14ac:dyDescent="0.45">
      <c r="B126" s="19" t="str">
        <f t="shared" si="81"/>
        <v/>
      </c>
      <c r="G126" s="457"/>
      <c r="H126" s="457"/>
      <c r="I126" s="191"/>
      <c r="J126" s="191"/>
      <c r="S126" s="197">
        <f t="shared" si="82"/>
        <v>0</v>
      </c>
      <c r="T126" s="197">
        <f t="shared" si="83"/>
        <v>0</v>
      </c>
      <c r="U126" s="197">
        <f t="shared" si="80"/>
        <v>0</v>
      </c>
      <c r="V126" s="197">
        <f t="shared" si="73"/>
        <v>0</v>
      </c>
      <c r="W126" s="8" t="str">
        <f>IF(C126&lt;&gt;"",MATCH(_xlfn.NUMBERVALUE(LEFT(C126,4)),KiemTraBCD!$B$10:$B$1000,0),"")</f>
        <v/>
      </c>
    </row>
    <row r="127" spans="2:23" x14ac:dyDescent="0.45">
      <c r="B127" s="19" t="str">
        <f t="shared" si="81"/>
        <v/>
      </c>
      <c r="G127" s="457"/>
      <c r="H127" s="457"/>
      <c r="I127" s="191"/>
      <c r="J127" s="191"/>
      <c r="S127" s="197">
        <f t="shared" si="82"/>
        <v>0</v>
      </c>
      <c r="T127" s="197">
        <f t="shared" si="83"/>
        <v>0</v>
      </c>
      <c r="U127" s="197">
        <f t="shared" si="80"/>
        <v>0</v>
      </c>
      <c r="V127" s="197">
        <f t="shared" si="73"/>
        <v>0</v>
      </c>
      <c r="W127" s="8" t="str">
        <f>IF(C127&lt;&gt;"",MATCH(_xlfn.NUMBERVALUE(LEFT(C127,4)),KiemTraBCD!$B$10:$B$1000,0),"")</f>
        <v/>
      </c>
    </row>
    <row r="128" spans="2:23" x14ac:dyDescent="0.45">
      <c r="B128" s="19" t="str">
        <f t="shared" si="81"/>
        <v/>
      </c>
      <c r="G128" s="457"/>
      <c r="H128" s="457"/>
      <c r="I128" s="191"/>
      <c r="J128" s="191"/>
      <c r="S128" s="197">
        <f t="shared" si="82"/>
        <v>0</v>
      </c>
      <c r="T128" s="197">
        <f t="shared" si="83"/>
        <v>0</v>
      </c>
      <c r="U128" s="197">
        <f t="shared" si="80"/>
        <v>0</v>
      </c>
      <c r="V128" s="197">
        <f t="shared" si="73"/>
        <v>0</v>
      </c>
      <c r="W128" s="8" t="str">
        <f>IF(C128&lt;&gt;"",MATCH(_xlfn.NUMBERVALUE(LEFT(C128,4)),KiemTraBCD!$B$10:$B$1000,0),"")</f>
        <v/>
      </c>
    </row>
    <row r="129" spans="2:23" x14ac:dyDescent="0.45">
      <c r="B129" s="19" t="str">
        <f t="shared" si="81"/>
        <v/>
      </c>
      <c r="G129" s="457"/>
      <c r="H129" s="457"/>
      <c r="I129" s="191"/>
      <c r="J129" s="191"/>
      <c r="S129" s="197">
        <f t="shared" si="82"/>
        <v>0</v>
      </c>
      <c r="T129" s="197">
        <f t="shared" si="83"/>
        <v>0</v>
      </c>
      <c r="U129" s="197">
        <f t="shared" si="80"/>
        <v>0</v>
      </c>
      <c r="V129" s="197">
        <f t="shared" si="73"/>
        <v>0</v>
      </c>
      <c r="W129" s="8" t="str">
        <f>IF(C129&lt;&gt;"",MATCH(_xlfn.NUMBERVALUE(LEFT(C129,4)),KiemTraBCD!$B$10:$B$1000,0),"")</f>
        <v/>
      </c>
    </row>
    <row r="130" spans="2:23" x14ac:dyDescent="0.45">
      <c r="S130" s="197">
        <f t="shared" si="82"/>
        <v>0</v>
      </c>
      <c r="T130" s="197">
        <f t="shared" si="83"/>
        <v>0</v>
      </c>
      <c r="U130" s="197">
        <f t="shared" ref="U130:U153" si="84">ABS(I130-J130)</f>
        <v>0</v>
      </c>
      <c r="V130" s="197">
        <f t="shared" si="73"/>
        <v>0</v>
      </c>
      <c r="W130" s="8" t="str">
        <f>IF(C130&lt;&gt;"",MATCH(_xlfn.NUMBERVALUE(LEFT(C130,4)),KiemTraBCD!$B$10:$B$1000,0),"")</f>
        <v/>
      </c>
    </row>
    <row r="131" spans="2:23" x14ac:dyDescent="0.45">
      <c r="H131" s="458"/>
      <c r="S131" s="197">
        <f t="shared" si="82"/>
        <v>0</v>
      </c>
      <c r="T131" s="197">
        <f t="shared" si="83"/>
        <v>0</v>
      </c>
      <c r="U131" s="197">
        <f t="shared" si="84"/>
        <v>0</v>
      </c>
      <c r="V131" s="197">
        <f t="shared" si="73"/>
        <v>0</v>
      </c>
      <c r="W131" s="8" t="str">
        <f>IF(C131&lt;&gt;"",MATCH(_xlfn.NUMBERVALUE(LEFT(C131,4)),KiemTraBCD!$B$10:$B$1000,0),"")</f>
        <v/>
      </c>
    </row>
    <row r="132" spans="2:23" x14ac:dyDescent="0.45">
      <c r="S132" s="197">
        <f t="shared" si="82"/>
        <v>0</v>
      </c>
      <c r="T132" s="197">
        <f t="shared" si="83"/>
        <v>0</v>
      </c>
      <c r="U132" s="197">
        <f t="shared" si="84"/>
        <v>0</v>
      </c>
      <c r="V132" s="197">
        <f t="shared" si="73"/>
        <v>0</v>
      </c>
      <c r="W132" s="8" t="str">
        <f>IF(C132&lt;&gt;"",MATCH(_xlfn.NUMBERVALUE(LEFT(C132,4)),KiemTraBCD!$B$10:$B$1000,0),"")</f>
        <v/>
      </c>
    </row>
    <row r="133" spans="2:23" x14ac:dyDescent="0.45">
      <c r="H133" s="458"/>
      <c r="S133" s="197">
        <f t="shared" si="82"/>
        <v>0</v>
      </c>
      <c r="T133" s="197">
        <f t="shared" si="83"/>
        <v>0</v>
      </c>
      <c r="U133" s="197">
        <f t="shared" si="84"/>
        <v>0</v>
      </c>
      <c r="V133" s="197">
        <f t="shared" si="73"/>
        <v>0</v>
      </c>
      <c r="W133" s="8" t="str">
        <f>IF(C133&lt;&gt;"",MATCH(_xlfn.NUMBERVALUE(LEFT(C133,4)),KiemTraBCD!$B$10:$B$1000,0),"")</f>
        <v/>
      </c>
    </row>
    <row r="134" spans="2:23" x14ac:dyDescent="0.45">
      <c r="S134" s="197">
        <f t="shared" si="82"/>
        <v>0</v>
      </c>
      <c r="T134" s="197">
        <f t="shared" si="83"/>
        <v>0</v>
      </c>
      <c r="U134" s="197">
        <f t="shared" si="84"/>
        <v>0</v>
      </c>
      <c r="V134" s="197">
        <f t="shared" si="73"/>
        <v>0</v>
      </c>
      <c r="W134" s="8" t="str">
        <f>IF(C134&lt;&gt;"",MATCH(_xlfn.NUMBERVALUE(LEFT(C134,4)),KiemTraBCD!$B$10:$B$1000,0),"")</f>
        <v/>
      </c>
    </row>
    <row r="135" spans="2:23" x14ac:dyDescent="0.45">
      <c r="S135" s="197">
        <f t="shared" si="82"/>
        <v>0</v>
      </c>
      <c r="T135" s="197">
        <f t="shared" si="83"/>
        <v>0</v>
      </c>
      <c r="U135" s="197">
        <f t="shared" si="84"/>
        <v>0</v>
      </c>
      <c r="V135" s="197">
        <f t="shared" si="73"/>
        <v>0</v>
      </c>
      <c r="W135" s="8" t="str">
        <f>IF(C135&lt;&gt;"",MATCH(_xlfn.NUMBERVALUE(LEFT(C135,4)),KiemTraBCD!$B$10:$B$1000,0),"")</f>
        <v/>
      </c>
    </row>
    <row r="136" spans="2:23" x14ac:dyDescent="0.45">
      <c r="S136" s="197">
        <f t="shared" si="82"/>
        <v>0</v>
      </c>
      <c r="T136" s="197">
        <f t="shared" si="83"/>
        <v>0</v>
      </c>
      <c r="U136" s="197">
        <f t="shared" si="84"/>
        <v>0</v>
      </c>
      <c r="V136" s="197">
        <f t="shared" si="73"/>
        <v>0</v>
      </c>
      <c r="W136" s="8" t="str">
        <f>IF(C136&lt;&gt;"",MATCH(_xlfn.NUMBERVALUE(LEFT(C136,4)),KiemTraBCD!$B$10:$B$1000,0),"")</f>
        <v/>
      </c>
    </row>
    <row r="137" spans="2:23" x14ac:dyDescent="0.45">
      <c r="S137" s="197">
        <f t="shared" si="82"/>
        <v>0</v>
      </c>
      <c r="T137" s="197">
        <f t="shared" si="83"/>
        <v>0</v>
      </c>
      <c r="U137" s="197">
        <f t="shared" si="84"/>
        <v>0</v>
      </c>
      <c r="V137" s="197">
        <f t="shared" si="73"/>
        <v>0</v>
      </c>
      <c r="W137" s="8" t="str">
        <f>IF(C137&lt;&gt;"",MATCH(_xlfn.NUMBERVALUE(LEFT(C137,4)),KiemTraBCD!$B$10:$B$1000,0),"")</f>
        <v/>
      </c>
    </row>
    <row r="138" spans="2:23" x14ac:dyDescent="0.45">
      <c r="S138" s="197">
        <f t="shared" si="82"/>
        <v>0</v>
      </c>
      <c r="T138" s="197">
        <f t="shared" si="83"/>
        <v>0</v>
      </c>
      <c r="U138" s="197">
        <f t="shared" si="84"/>
        <v>0</v>
      </c>
      <c r="V138" s="197">
        <f t="shared" si="73"/>
        <v>0</v>
      </c>
      <c r="W138" s="8" t="str">
        <f>IF(C138&lt;&gt;"",MATCH(_xlfn.NUMBERVALUE(LEFT(C138,4)),KiemTraBCD!$B$10:$B$1000,0),"")</f>
        <v/>
      </c>
    </row>
    <row r="139" spans="2:23" x14ac:dyDescent="0.45">
      <c r="S139" s="197">
        <f t="shared" si="82"/>
        <v>0</v>
      </c>
      <c r="T139" s="197">
        <f t="shared" si="83"/>
        <v>0</v>
      </c>
      <c r="U139" s="197">
        <f t="shared" si="84"/>
        <v>0</v>
      </c>
      <c r="V139" s="197">
        <f t="shared" si="73"/>
        <v>0</v>
      </c>
      <c r="W139" s="8" t="str">
        <f>IF(C139&lt;&gt;"",MATCH(_xlfn.NUMBERVALUE(LEFT(C139,4)),KiemTraBCD!$B$10:$B$1000,0),"")</f>
        <v/>
      </c>
    </row>
    <row r="140" spans="2:23" x14ac:dyDescent="0.45">
      <c r="S140" s="197">
        <f t="shared" si="82"/>
        <v>0</v>
      </c>
      <c r="T140" s="197">
        <f t="shared" si="83"/>
        <v>0</v>
      </c>
      <c r="U140" s="197">
        <f t="shared" si="84"/>
        <v>0</v>
      </c>
      <c r="V140" s="197">
        <f t="shared" si="73"/>
        <v>0</v>
      </c>
      <c r="W140" s="8" t="str">
        <f>IF(C140&lt;&gt;"",MATCH(_xlfn.NUMBERVALUE(LEFT(C140,4)),KiemTraBCD!$B$10:$B$1000,0),"")</f>
        <v/>
      </c>
    </row>
    <row r="141" spans="2:23" x14ac:dyDescent="0.45">
      <c r="S141" s="197">
        <f t="shared" si="82"/>
        <v>0</v>
      </c>
      <c r="T141" s="197">
        <f t="shared" si="83"/>
        <v>0</v>
      </c>
      <c r="U141" s="197">
        <f t="shared" si="84"/>
        <v>0</v>
      </c>
      <c r="V141" s="197">
        <f t="shared" si="73"/>
        <v>0</v>
      </c>
      <c r="W141" s="8" t="str">
        <f>IF(C141&lt;&gt;"",MATCH(_xlfn.NUMBERVALUE(LEFT(C141,4)),KiemTraBCD!$B$10:$B$1000,0),"")</f>
        <v/>
      </c>
    </row>
    <row r="142" spans="2:23" x14ac:dyDescent="0.45">
      <c r="S142" s="197">
        <f t="shared" si="82"/>
        <v>0</v>
      </c>
      <c r="T142" s="197">
        <f t="shared" si="83"/>
        <v>0</v>
      </c>
      <c r="U142" s="197">
        <f t="shared" si="84"/>
        <v>0</v>
      </c>
      <c r="V142" s="197">
        <f t="shared" si="73"/>
        <v>0</v>
      </c>
      <c r="W142" s="8" t="str">
        <f>IF(C142&lt;&gt;"",MATCH(_xlfn.NUMBERVALUE(LEFT(C142,4)),KiemTraBCD!$B$10:$B$1000,0),"")</f>
        <v/>
      </c>
    </row>
    <row r="143" spans="2:23" x14ac:dyDescent="0.45">
      <c r="S143" s="197">
        <f t="shared" si="82"/>
        <v>0</v>
      </c>
      <c r="T143" s="197">
        <f t="shared" si="83"/>
        <v>0</v>
      </c>
      <c r="U143" s="197">
        <f t="shared" si="84"/>
        <v>0</v>
      </c>
      <c r="V143" s="197">
        <f t="shared" si="73"/>
        <v>0</v>
      </c>
      <c r="W143" s="8" t="str">
        <f>IF(C143&lt;&gt;"",MATCH(_xlfn.NUMBERVALUE(LEFT(C143,4)),KiemTraBCD!$B$10:$B$1000,0),"")</f>
        <v/>
      </c>
    </row>
    <row r="144" spans="2:23" x14ac:dyDescent="0.45">
      <c r="S144" s="197">
        <f t="shared" si="82"/>
        <v>0</v>
      </c>
      <c r="T144" s="197">
        <f t="shared" si="83"/>
        <v>0</v>
      </c>
      <c r="U144" s="197">
        <f t="shared" si="84"/>
        <v>0</v>
      </c>
      <c r="V144" s="197">
        <f t="shared" si="73"/>
        <v>0</v>
      </c>
      <c r="W144" s="8" t="str">
        <f>IF(C144&lt;&gt;"",MATCH(_xlfn.NUMBERVALUE(LEFT(C144,4)),KiemTraBCD!$B$10:$B$1000,0),"")</f>
        <v/>
      </c>
    </row>
    <row r="145" spans="19:23" x14ac:dyDescent="0.45">
      <c r="S145" s="197">
        <f t="shared" si="82"/>
        <v>0</v>
      </c>
      <c r="T145" s="197">
        <f t="shared" si="83"/>
        <v>0</v>
      </c>
      <c r="U145" s="197">
        <f t="shared" si="84"/>
        <v>0</v>
      </c>
      <c r="V145" s="197">
        <f t="shared" si="73"/>
        <v>0</v>
      </c>
      <c r="W145" s="8" t="str">
        <f>IF(C145&lt;&gt;"",MATCH(_xlfn.NUMBERVALUE(LEFT(C145,4)),KiemTraBCD!$B$10:$B$1000,0),"")</f>
        <v/>
      </c>
    </row>
    <row r="146" spans="19:23" x14ac:dyDescent="0.45">
      <c r="S146" s="197">
        <f t="shared" si="82"/>
        <v>0</v>
      </c>
      <c r="T146" s="197">
        <f t="shared" si="83"/>
        <v>0</v>
      </c>
      <c r="U146" s="197">
        <f t="shared" si="84"/>
        <v>0</v>
      </c>
      <c r="V146" s="197">
        <f t="shared" si="73"/>
        <v>0</v>
      </c>
      <c r="W146" s="8" t="str">
        <f>IF(C146&lt;&gt;"",MATCH(_xlfn.NUMBERVALUE(LEFT(C146,4)),KiemTraBCD!$B$10:$B$1000,0),"")</f>
        <v/>
      </c>
    </row>
    <row r="147" spans="19:23" x14ac:dyDescent="0.45">
      <c r="S147" s="197">
        <f t="shared" si="82"/>
        <v>0</v>
      </c>
      <c r="T147" s="197">
        <f t="shared" si="83"/>
        <v>0</v>
      </c>
      <c r="U147" s="197">
        <f t="shared" si="84"/>
        <v>0</v>
      </c>
      <c r="V147" s="197">
        <f t="shared" si="73"/>
        <v>0</v>
      </c>
      <c r="W147" s="8" t="str">
        <f>IF(C147&lt;&gt;"",MATCH(_xlfn.NUMBERVALUE(LEFT(C147,4)),KiemTraBCD!$B$10:$B$1000,0),"")</f>
        <v/>
      </c>
    </row>
    <row r="148" spans="19:23" x14ac:dyDescent="0.45">
      <c r="S148" s="197">
        <f t="shared" si="82"/>
        <v>0</v>
      </c>
      <c r="T148" s="197">
        <f t="shared" si="83"/>
        <v>0</v>
      </c>
      <c r="U148" s="197">
        <f t="shared" si="84"/>
        <v>0</v>
      </c>
      <c r="V148" s="197">
        <f t="shared" si="73"/>
        <v>0</v>
      </c>
      <c r="W148" s="8" t="str">
        <f>IF(C148&lt;&gt;"",MATCH(_xlfn.NUMBERVALUE(LEFT(C148,4)),KiemTraBCD!$B$10:$B$1000,0),"")</f>
        <v/>
      </c>
    </row>
    <row r="149" spans="19:23" x14ac:dyDescent="0.45">
      <c r="S149" s="197">
        <f t="shared" si="82"/>
        <v>0</v>
      </c>
      <c r="T149" s="197">
        <f t="shared" si="83"/>
        <v>0</v>
      </c>
      <c r="U149" s="197">
        <f t="shared" si="84"/>
        <v>0</v>
      </c>
      <c r="V149" s="197">
        <f t="shared" si="73"/>
        <v>0</v>
      </c>
      <c r="W149" s="8" t="str">
        <f>IF(C149&lt;&gt;"",MATCH(_xlfn.NUMBERVALUE(LEFT(C149,4)),KiemTraBCD!$B$10:$B$1000,0),"")</f>
        <v/>
      </c>
    </row>
    <row r="150" spans="19:23" x14ac:dyDescent="0.45">
      <c r="S150" s="197">
        <f t="shared" si="82"/>
        <v>0</v>
      </c>
      <c r="T150" s="197">
        <f t="shared" si="83"/>
        <v>0</v>
      </c>
      <c r="U150" s="197">
        <f t="shared" si="84"/>
        <v>0</v>
      </c>
      <c r="V150" s="197">
        <f t="shared" si="73"/>
        <v>0</v>
      </c>
      <c r="W150" s="8" t="str">
        <f>IF(C150&lt;&gt;"",MATCH(_xlfn.NUMBERVALUE(LEFT(C150,4)),KiemTraBCD!$B$10:$B$1000,0),"")</f>
        <v/>
      </c>
    </row>
    <row r="151" spans="19:23" x14ac:dyDescent="0.45">
      <c r="S151" s="197">
        <f t="shared" si="82"/>
        <v>0</v>
      </c>
      <c r="T151" s="197">
        <f t="shared" si="83"/>
        <v>0</v>
      </c>
      <c r="U151" s="197">
        <f t="shared" si="84"/>
        <v>0</v>
      </c>
      <c r="V151" s="197">
        <f t="shared" si="73"/>
        <v>0</v>
      </c>
      <c r="W151" s="8" t="str">
        <f>IF(C151&lt;&gt;"",MATCH(_xlfn.NUMBERVALUE(LEFT(C151,4)),KiemTraBCD!$B$10:$B$1000,0),"")</f>
        <v/>
      </c>
    </row>
    <row r="152" spans="19:23" x14ac:dyDescent="0.45">
      <c r="S152" s="197">
        <f t="shared" si="82"/>
        <v>0</v>
      </c>
      <c r="T152" s="197">
        <f t="shared" si="83"/>
        <v>0</v>
      </c>
      <c r="U152" s="197">
        <f t="shared" si="84"/>
        <v>0</v>
      </c>
      <c r="V152" s="197">
        <f t="shared" si="73"/>
        <v>0</v>
      </c>
      <c r="W152" s="8" t="str">
        <f>IF(C152&lt;&gt;"",MATCH(_xlfn.NUMBERVALUE(LEFT(C152,4)),KiemTraBCD!$B$10:$B$1000,0),"")</f>
        <v/>
      </c>
    </row>
    <row r="153" spans="19:23" x14ac:dyDescent="0.45">
      <c r="S153" s="197">
        <f t="shared" si="82"/>
        <v>0</v>
      </c>
      <c r="T153" s="197">
        <f t="shared" si="83"/>
        <v>0</v>
      </c>
      <c r="U153" s="197">
        <f t="shared" si="84"/>
        <v>0</v>
      </c>
      <c r="V153" s="197">
        <f t="shared" si="73"/>
        <v>0</v>
      </c>
      <c r="W153" s="8" t="str">
        <f>IF(C153&lt;&gt;"",MATCH(_xlfn.NUMBERVALUE(LEFT(C153,4)),KiemTraBCD!$B$10:$B$1000,0),"")</f>
        <v/>
      </c>
    </row>
    <row r="154" spans="19:23" x14ac:dyDescent="0.45">
      <c r="S154" s="197">
        <f t="shared" ref="S154:S217" si="85">MAX(0,E154+G154-F154-H154)</f>
        <v>0</v>
      </c>
      <c r="T154" s="197">
        <f t="shared" ref="T154:T217" si="86">MAX(0,F154+H154-E154-G154)</f>
        <v>0</v>
      </c>
      <c r="U154" s="197">
        <f t="shared" ref="U154:U217" si="87">ABS(I154-J154)</f>
        <v>0</v>
      </c>
      <c r="V154" s="197">
        <f t="shared" ref="V154:V217" si="88">S154+T154-U154</f>
        <v>0</v>
      </c>
      <c r="W154" s="8" t="str">
        <f>IF(C154&lt;&gt;"",MATCH(_xlfn.NUMBERVALUE(LEFT(C154,4)),KiemTraBCD!$B$10:$B$1000,0),"")</f>
        <v/>
      </c>
    </row>
    <row r="155" spans="19:23" x14ac:dyDescent="0.45">
      <c r="S155" s="197">
        <f t="shared" si="85"/>
        <v>0</v>
      </c>
      <c r="T155" s="197">
        <f t="shared" si="86"/>
        <v>0</v>
      </c>
      <c r="U155" s="197">
        <f t="shared" si="87"/>
        <v>0</v>
      </c>
      <c r="V155" s="197">
        <f t="shared" si="88"/>
        <v>0</v>
      </c>
      <c r="W155" s="8" t="str">
        <f>IF(C155&lt;&gt;"",MATCH(_xlfn.NUMBERVALUE(LEFT(C155,4)),KiemTraBCD!$B$10:$B$1000,0),"")</f>
        <v/>
      </c>
    </row>
    <row r="156" spans="19:23" x14ac:dyDescent="0.45">
      <c r="S156" s="197">
        <f t="shared" si="85"/>
        <v>0</v>
      </c>
      <c r="T156" s="197">
        <f t="shared" si="86"/>
        <v>0</v>
      </c>
      <c r="U156" s="197">
        <f t="shared" si="87"/>
        <v>0</v>
      </c>
      <c r="V156" s="197">
        <f t="shared" si="88"/>
        <v>0</v>
      </c>
      <c r="W156" s="8" t="str">
        <f>IF(C156&lt;&gt;"",MATCH(_xlfn.NUMBERVALUE(LEFT(C156,4)),KiemTraBCD!$B$10:$B$1000,0),"")</f>
        <v/>
      </c>
    </row>
    <row r="157" spans="19:23" x14ac:dyDescent="0.45">
      <c r="S157" s="197">
        <f t="shared" si="85"/>
        <v>0</v>
      </c>
      <c r="T157" s="197">
        <f t="shared" si="86"/>
        <v>0</v>
      </c>
      <c r="U157" s="197">
        <f t="shared" si="87"/>
        <v>0</v>
      </c>
      <c r="V157" s="197">
        <f t="shared" si="88"/>
        <v>0</v>
      </c>
      <c r="W157" s="8" t="str">
        <f>IF(C157&lt;&gt;"",MATCH(_xlfn.NUMBERVALUE(LEFT(C157,4)),KiemTraBCD!$B$10:$B$1000,0),"")</f>
        <v/>
      </c>
    </row>
    <row r="158" spans="19:23" x14ac:dyDescent="0.45">
      <c r="S158" s="197">
        <f t="shared" si="85"/>
        <v>0</v>
      </c>
      <c r="T158" s="197">
        <f t="shared" si="86"/>
        <v>0</v>
      </c>
      <c r="U158" s="197">
        <f t="shared" si="87"/>
        <v>0</v>
      </c>
      <c r="V158" s="197">
        <f t="shared" si="88"/>
        <v>0</v>
      </c>
      <c r="W158" s="8" t="str">
        <f>IF(C158&lt;&gt;"",MATCH(_xlfn.NUMBERVALUE(LEFT(C158,4)),KiemTraBCD!$B$10:$B$1000,0),"")</f>
        <v/>
      </c>
    </row>
    <row r="159" spans="19:23" x14ac:dyDescent="0.45">
      <c r="S159" s="197">
        <f t="shared" si="85"/>
        <v>0</v>
      </c>
      <c r="T159" s="197">
        <f t="shared" si="86"/>
        <v>0</v>
      </c>
      <c r="U159" s="197">
        <f t="shared" si="87"/>
        <v>0</v>
      </c>
      <c r="V159" s="197">
        <f t="shared" si="88"/>
        <v>0</v>
      </c>
      <c r="W159" s="8" t="str">
        <f>IF(C159&lt;&gt;"",MATCH(_xlfn.NUMBERVALUE(LEFT(C159,4)),KiemTraBCD!$B$10:$B$1000,0),"")</f>
        <v/>
      </c>
    </row>
    <row r="160" spans="19:23" x14ac:dyDescent="0.45">
      <c r="S160" s="197">
        <f t="shared" si="85"/>
        <v>0</v>
      </c>
      <c r="T160" s="197">
        <f t="shared" si="86"/>
        <v>0</v>
      </c>
      <c r="U160" s="197">
        <f t="shared" si="87"/>
        <v>0</v>
      </c>
      <c r="V160" s="197">
        <f t="shared" si="88"/>
        <v>0</v>
      </c>
      <c r="W160" s="8" t="str">
        <f>IF(C160&lt;&gt;"",MATCH(_xlfn.NUMBERVALUE(LEFT(C160,4)),KiemTraBCD!$B$10:$B$1000,0),"")</f>
        <v/>
      </c>
    </row>
    <row r="161" spans="19:23" x14ac:dyDescent="0.45">
      <c r="S161" s="197">
        <f t="shared" si="85"/>
        <v>0</v>
      </c>
      <c r="T161" s="197">
        <f t="shared" si="86"/>
        <v>0</v>
      </c>
      <c r="U161" s="197">
        <f t="shared" si="87"/>
        <v>0</v>
      </c>
      <c r="V161" s="197">
        <f t="shared" si="88"/>
        <v>0</v>
      </c>
      <c r="W161" s="8" t="str">
        <f>IF(C161&lt;&gt;"",MATCH(_xlfn.NUMBERVALUE(LEFT(C161,4)),KiemTraBCD!$B$10:$B$1000,0),"")</f>
        <v/>
      </c>
    </row>
    <row r="162" spans="19:23" x14ac:dyDescent="0.45">
      <c r="S162" s="197">
        <f t="shared" si="85"/>
        <v>0</v>
      </c>
      <c r="T162" s="197">
        <f t="shared" si="86"/>
        <v>0</v>
      </c>
      <c r="U162" s="197">
        <f t="shared" si="87"/>
        <v>0</v>
      </c>
      <c r="V162" s="197">
        <f t="shared" si="88"/>
        <v>0</v>
      </c>
      <c r="W162" s="8" t="str">
        <f>IF(C162&lt;&gt;"",MATCH(_xlfn.NUMBERVALUE(LEFT(C162,4)),KiemTraBCD!$B$10:$B$1000,0),"")</f>
        <v/>
      </c>
    </row>
    <row r="163" spans="19:23" x14ac:dyDescent="0.45">
      <c r="S163" s="197">
        <f t="shared" si="85"/>
        <v>0</v>
      </c>
      <c r="T163" s="197">
        <f t="shared" si="86"/>
        <v>0</v>
      </c>
      <c r="U163" s="197">
        <f t="shared" si="87"/>
        <v>0</v>
      </c>
      <c r="V163" s="197">
        <f t="shared" si="88"/>
        <v>0</v>
      </c>
      <c r="W163" s="8" t="str">
        <f>IF(C163&lt;&gt;"",MATCH(_xlfn.NUMBERVALUE(LEFT(C163,4)),KiemTraBCD!$B$10:$B$1000,0),"")</f>
        <v/>
      </c>
    </row>
    <row r="164" spans="19:23" x14ac:dyDescent="0.45">
      <c r="S164" s="197">
        <f t="shared" si="85"/>
        <v>0</v>
      </c>
      <c r="T164" s="197">
        <f t="shared" si="86"/>
        <v>0</v>
      </c>
      <c r="U164" s="197">
        <f t="shared" si="87"/>
        <v>0</v>
      </c>
      <c r="V164" s="197">
        <f t="shared" si="88"/>
        <v>0</v>
      </c>
      <c r="W164" s="8" t="str">
        <f>IF(C164&lt;&gt;"",MATCH(_xlfn.NUMBERVALUE(LEFT(C164,4)),KiemTraBCD!$B$10:$B$1000,0),"")</f>
        <v/>
      </c>
    </row>
    <row r="165" spans="19:23" x14ac:dyDescent="0.45">
      <c r="S165" s="197">
        <f t="shared" si="85"/>
        <v>0</v>
      </c>
      <c r="T165" s="197">
        <f t="shared" si="86"/>
        <v>0</v>
      </c>
      <c r="U165" s="197">
        <f t="shared" si="87"/>
        <v>0</v>
      </c>
      <c r="V165" s="197">
        <f t="shared" si="88"/>
        <v>0</v>
      </c>
      <c r="W165" s="8" t="str">
        <f>IF(C165&lt;&gt;"",MATCH(_xlfn.NUMBERVALUE(LEFT(C165,4)),KiemTraBCD!$B$10:$B$1000,0),"")</f>
        <v/>
      </c>
    </row>
    <row r="166" spans="19:23" x14ac:dyDescent="0.45">
      <c r="S166" s="197">
        <f t="shared" si="85"/>
        <v>0</v>
      </c>
      <c r="T166" s="197">
        <f t="shared" si="86"/>
        <v>0</v>
      </c>
      <c r="U166" s="197">
        <f t="shared" si="87"/>
        <v>0</v>
      </c>
      <c r="V166" s="197">
        <f t="shared" si="88"/>
        <v>0</v>
      </c>
      <c r="W166" s="8" t="str">
        <f>IF(C166&lt;&gt;"",MATCH(_xlfn.NUMBERVALUE(LEFT(C166,4)),KiemTraBCD!$B$10:$B$1000,0),"")</f>
        <v/>
      </c>
    </row>
    <row r="167" spans="19:23" x14ac:dyDescent="0.45">
      <c r="S167" s="197">
        <f t="shared" si="85"/>
        <v>0</v>
      </c>
      <c r="T167" s="197">
        <f t="shared" si="86"/>
        <v>0</v>
      </c>
      <c r="U167" s="197">
        <f t="shared" si="87"/>
        <v>0</v>
      </c>
      <c r="V167" s="197">
        <f t="shared" si="88"/>
        <v>0</v>
      </c>
      <c r="W167" s="8" t="str">
        <f>IF(C167&lt;&gt;"",MATCH(_xlfn.NUMBERVALUE(LEFT(C167,4)),KiemTraBCD!$B$10:$B$1000,0),"")</f>
        <v/>
      </c>
    </row>
    <row r="168" spans="19:23" x14ac:dyDescent="0.45">
      <c r="S168" s="197">
        <f t="shared" si="85"/>
        <v>0</v>
      </c>
      <c r="T168" s="197">
        <f t="shared" si="86"/>
        <v>0</v>
      </c>
      <c r="U168" s="197">
        <f t="shared" si="87"/>
        <v>0</v>
      </c>
      <c r="V168" s="197">
        <f t="shared" si="88"/>
        <v>0</v>
      </c>
      <c r="W168" s="8" t="str">
        <f>IF(C168&lt;&gt;"",MATCH(_xlfn.NUMBERVALUE(LEFT(C168,4)),KiemTraBCD!$B$10:$B$1000,0),"")</f>
        <v/>
      </c>
    </row>
    <row r="169" spans="19:23" x14ac:dyDescent="0.45">
      <c r="S169" s="197">
        <f t="shared" si="85"/>
        <v>0</v>
      </c>
      <c r="T169" s="197">
        <f t="shared" si="86"/>
        <v>0</v>
      </c>
      <c r="U169" s="197">
        <f t="shared" si="87"/>
        <v>0</v>
      </c>
      <c r="V169" s="197">
        <f t="shared" si="88"/>
        <v>0</v>
      </c>
      <c r="W169" s="8" t="str">
        <f>IF(C169&lt;&gt;"",MATCH(_xlfn.NUMBERVALUE(LEFT(C169,4)),KiemTraBCD!$B$10:$B$1000,0),"")</f>
        <v/>
      </c>
    </row>
    <row r="170" spans="19:23" x14ac:dyDescent="0.45">
      <c r="S170" s="197">
        <f t="shared" si="85"/>
        <v>0</v>
      </c>
      <c r="T170" s="197">
        <f t="shared" si="86"/>
        <v>0</v>
      </c>
      <c r="U170" s="197">
        <f t="shared" si="87"/>
        <v>0</v>
      </c>
      <c r="V170" s="197">
        <f t="shared" si="88"/>
        <v>0</v>
      </c>
      <c r="W170" s="8" t="str">
        <f>IF(C170&lt;&gt;"",MATCH(_xlfn.NUMBERVALUE(LEFT(C170,4)),KiemTraBCD!$B$10:$B$1000,0),"")</f>
        <v/>
      </c>
    </row>
    <row r="171" spans="19:23" x14ac:dyDescent="0.45">
      <c r="S171" s="197">
        <f t="shared" si="85"/>
        <v>0</v>
      </c>
      <c r="T171" s="197">
        <f t="shared" si="86"/>
        <v>0</v>
      </c>
      <c r="U171" s="197">
        <f t="shared" si="87"/>
        <v>0</v>
      </c>
      <c r="V171" s="197">
        <f t="shared" si="88"/>
        <v>0</v>
      </c>
      <c r="W171" s="8" t="str">
        <f>IF(C171&lt;&gt;"",MATCH(_xlfn.NUMBERVALUE(LEFT(C171,4)),KiemTraBCD!$B$10:$B$1000,0),"")</f>
        <v/>
      </c>
    </row>
    <row r="172" spans="19:23" x14ac:dyDescent="0.45">
      <c r="S172" s="197">
        <f t="shared" si="85"/>
        <v>0</v>
      </c>
      <c r="T172" s="197">
        <f t="shared" si="86"/>
        <v>0</v>
      </c>
      <c r="U172" s="197">
        <f t="shared" si="87"/>
        <v>0</v>
      </c>
      <c r="V172" s="197">
        <f t="shared" si="88"/>
        <v>0</v>
      </c>
      <c r="W172" s="8" t="str">
        <f>IF(C172&lt;&gt;"",MATCH(_xlfn.NUMBERVALUE(LEFT(C172,4)),KiemTraBCD!$B$10:$B$1000,0),"")</f>
        <v/>
      </c>
    </row>
    <row r="173" spans="19:23" x14ac:dyDescent="0.45">
      <c r="S173" s="197">
        <f t="shared" si="85"/>
        <v>0</v>
      </c>
      <c r="T173" s="197">
        <f t="shared" si="86"/>
        <v>0</v>
      </c>
      <c r="U173" s="197">
        <f t="shared" si="87"/>
        <v>0</v>
      </c>
      <c r="V173" s="197">
        <f t="shared" si="88"/>
        <v>0</v>
      </c>
      <c r="W173" s="8" t="str">
        <f>IF(C173&lt;&gt;"",MATCH(_xlfn.NUMBERVALUE(LEFT(C173,4)),KiemTraBCD!$B$10:$B$1000,0),"")</f>
        <v/>
      </c>
    </row>
    <row r="174" spans="19:23" x14ac:dyDescent="0.45">
      <c r="S174" s="197">
        <f t="shared" si="85"/>
        <v>0</v>
      </c>
      <c r="T174" s="197">
        <f t="shared" si="86"/>
        <v>0</v>
      </c>
      <c r="U174" s="197">
        <f t="shared" si="87"/>
        <v>0</v>
      </c>
      <c r="V174" s="197">
        <f t="shared" si="88"/>
        <v>0</v>
      </c>
      <c r="W174" s="8" t="str">
        <f>IF(C174&lt;&gt;"",MATCH(_xlfn.NUMBERVALUE(LEFT(C174,4)),KiemTraBCD!$B$10:$B$1000,0),"")</f>
        <v/>
      </c>
    </row>
    <row r="175" spans="19:23" x14ac:dyDescent="0.45">
      <c r="S175" s="197">
        <f t="shared" si="85"/>
        <v>0</v>
      </c>
      <c r="T175" s="197">
        <f t="shared" si="86"/>
        <v>0</v>
      </c>
      <c r="U175" s="197">
        <f t="shared" si="87"/>
        <v>0</v>
      </c>
      <c r="V175" s="197">
        <f t="shared" si="88"/>
        <v>0</v>
      </c>
      <c r="W175" s="8" t="str">
        <f>IF(C175&lt;&gt;"",MATCH(_xlfn.NUMBERVALUE(LEFT(C175,4)),KiemTraBCD!$B$10:$B$1000,0),"")</f>
        <v/>
      </c>
    </row>
    <row r="176" spans="19:23" x14ac:dyDescent="0.45">
      <c r="S176" s="197">
        <f t="shared" si="85"/>
        <v>0</v>
      </c>
      <c r="T176" s="197">
        <f t="shared" si="86"/>
        <v>0</v>
      </c>
      <c r="U176" s="197">
        <f t="shared" si="87"/>
        <v>0</v>
      </c>
      <c r="V176" s="197">
        <f t="shared" si="88"/>
        <v>0</v>
      </c>
      <c r="W176" s="8" t="str">
        <f>IF(C176&lt;&gt;"",MATCH(_xlfn.NUMBERVALUE(LEFT(C176,4)),KiemTraBCD!$B$10:$B$1000,0),"")</f>
        <v/>
      </c>
    </row>
    <row r="177" spans="19:23" x14ac:dyDescent="0.45">
      <c r="S177" s="197">
        <f t="shared" si="85"/>
        <v>0</v>
      </c>
      <c r="T177" s="197">
        <f t="shared" si="86"/>
        <v>0</v>
      </c>
      <c r="U177" s="197">
        <f t="shared" si="87"/>
        <v>0</v>
      </c>
      <c r="V177" s="197">
        <f t="shared" si="88"/>
        <v>0</v>
      </c>
      <c r="W177" s="8" t="str">
        <f>IF(C177&lt;&gt;"",MATCH(_xlfn.NUMBERVALUE(LEFT(C177,4)),KiemTraBCD!$B$10:$B$1000,0),"")</f>
        <v/>
      </c>
    </row>
    <row r="178" spans="19:23" x14ac:dyDescent="0.45">
      <c r="S178" s="197">
        <f t="shared" si="85"/>
        <v>0</v>
      </c>
      <c r="T178" s="197">
        <f t="shared" si="86"/>
        <v>0</v>
      </c>
      <c r="U178" s="197">
        <f t="shared" si="87"/>
        <v>0</v>
      </c>
      <c r="V178" s="197">
        <f t="shared" si="88"/>
        <v>0</v>
      </c>
      <c r="W178" s="8" t="str">
        <f>IF(C178&lt;&gt;"",MATCH(_xlfn.NUMBERVALUE(LEFT(C178,4)),KiemTraBCD!$B$10:$B$1000,0),"")</f>
        <v/>
      </c>
    </row>
    <row r="179" spans="19:23" x14ac:dyDescent="0.45">
      <c r="S179" s="197">
        <f t="shared" si="85"/>
        <v>0</v>
      </c>
      <c r="T179" s="197">
        <f t="shared" si="86"/>
        <v>0</v>
      </c>
      <c r="U179" s="197">
        <f t="shared" si="87"/>
        <v>0</v>
      </c>
      <c r="V179" s="197">
        <f t="shared" si="88"/>
        <v>0</v>
      </c>
      <c r="W179" s="8" t="str">
        <f>IF(C179&lt;&gt;"",MATCH(_xlfn.NUMBERVALUE(LEFT(C179,4)),KiemTraBCD!$B$10:$B$1000,0),"")</f>
        <v/>
      </c>
    </row>
    <row r="180" spans="19:23" x14ac:dyDescent="0.45">
      <c r="S180" s="197">
        <f t="shared" si="85"/>
        <v>0</v>
      </c>
      <c r="T180" s="197">
        <f t="shared" si="86"/>
        <v>0</v>
      </c>
      <c r="U180" s="197">
        <f t="shared" si="87"/>
        <v>0</v>
      </c>
      <c r="V180" s="197">
        <f t="shared" si="88"/>
        <v>0</v>
      </c>
      <c r="W180" s="8" t="str">
        <f>IF(C180&lt;&gt;"",MATCH(_xlfn.NUMBERVALUE(LEFT(C180,4)),KiemTraBCD!$B$10:$B$1000,0),"")</f>
        <v/>
      </c>
    </row>
    <row r="181" spans="19:23" x14ac:dyDescent="0.45">
      <c r="S181" s="197">
        <f t="shared" si="85"/>
        <v>0</v>
      </c>
      <c r="T181" s="197">
        <f t="shared" si="86"/>
        <v>0</v>
      </c>
      <c r="U181" s="197">
        <f t="shared" si="87"/>
        <v>0</v>
      </c>
      <c r="V181" s="197">
        <f t="shared" si="88"/>
        <v>0</v>
      </c>
      <c r="W181" s="8" t="str">
        <f>IF(C181&lt;&gt;"",MATCH(_xlfn.NUMBERVALUE(LEFT(C181,4)),KiemTraBCD!$B$10:$B$1000,0),"")</f>
        <v/>
      </c>
    </row>
    <row r="182" spans="19:23" x14ac:dyDescent="0.45">
      <c r="S182" s="197">
        <f t="shared" si="85"/>
        <v>0</v>
      </c>
      <c r="T182" s="197">
        <f t="shared" si="86"/>
        <v>0</v>
      </c>
      <c r="U182" s="197">
        <f t="shared" si="87"/>
        <v>0</v>
      </c>
      <c r="V182" s="197">
        <f t="shared" si="88"/>
        <v>0</v>
      </c>
      <c r="W182" s="8" t="str">
        <f>IF(C182&lt;&gt;"",MATCH(_xlfn.NUMBERVALUE(LEFT(C182,4)),KiemTraBCD!$B$10:$B$1000,0),"")</f>
        <v/>
      </c>
    </row>
    <row r="183" spans="19:23" x14ac:dyDescent="0.45">
      <c r="S183" s="197">
        <f t="shared" si="85"/>
        <v>0</v>
      </c>
      <c r="T183" s="197">
        <f t="shared" si="86"/>
        <v>0</v>
      </c>
      <c r="U183" s="197">
        <f t="shared" si="87"/>
        <v>0</v>
      </c>
      <c r="V183" s="197">
        <f t="shared" si="88"/>
        <v>0</v>
      </c>
      <c r="W183" s="8" t="str">
        <f>IF(C183&lt;&gt;"",MATCH(_xlfn.NUMBERVALUE(LEFT(C183,4)),KiemTraBCD!$B$10:$B$1000,0),"")</f>
        <v/>
      </c>
    </row>
    <row r="184" spans="19:23" x14ac:dyDescent="0.45">
      <c r="S184" s="197">
        <f t="shared" si="85"/>
        <v>0</v>
      </c>
      <c r="T184" s="197">
        <f t="shared" si="86"/>
        <v>0</v>
      </c>
      <c r="U184" s="197">
        <f t="shared" si="87"/>
        <v>0</v>
      </c>
      <c r="V184" s="197">
        <f t="shared" si="88"/>
        <v>0</v>
      </c>
      <c r="W184" s="8" t="str">
        <f>IF(C184&lt;&gt;"",MATCH(_xlfn.NUMBERVALUE(LEFT(C184,4)),KiemTraBCD!$B$10:$B$1000,0),"")</f>
        <v/>
      </c>
    </row>
    <row r="185" spans="19:23" x14ac:dyDescent="0.45">
      <c r="S185" s="197">
        <f t="shared" si="85"/>
        <v>0</v>
      </c>
      <c r="T185" s="197">
        <f t="shared" si="86"/>
        <v>0</v>
      </c>
      <c r="U185" s="197">
        <f t="shared" si="87"/>
        <v>0</v>
      </c>
      <c r="V185" s="197">
        <f t="shared" si="88"/>
        <v>0</v>
      </c>
      <c r="W185" s="8" t="str">
        <f>IF(C185&lt;&gt;"",MATCH(_xlfn.NUMBERVALUE(LEFT(C185,4)),KiemTraBCD!$B$10:$B$1000,0),"")</f>
        <v/>
      </c>
    </row>
    <row r="186" spans="19:23" x14ac:dyDescent="0.45">
      <c r="S186" s="197">
        <f t="shared" si="85"/>
        <v>0</v>
      </c>
      <c r="T186" s="197">
        <f t="shared" si="86"/>
        <v>0</v>
      </c>
      <c r="U186" s="197">
        <f t="shared" si="87"/>
        <v>0</v>
      </c>
      <c r="V186" s="197">
        <f t="shared" si="88"/>
        <v>0</v>
      </c>
      <c r="W186" s="8" t="str">
        <f>IF(C186&lt;&gt;"",MATCH(_xlfn.NUMBERVALUE(LEFT(C186,4)),KiemTraBCD!$B$10:$B$1000,0),"")</f>
        <v/>
      </c>
    </row>
    <row r="187" spans="19:23" x14ac:dyDescent="0.45">
      <c r="S187" s="197">
        <f t="shared" si="85"/>
        <v>0</v>
      </c>
      <c r="T187" s="197">
        <f t="shared" si="86"/>
        <v>0</v>
      </c>
      <c r="U187" s="197">
        <f t="shared" si="87"/>
        <v>0</v>
      </c>
      <c r="V187" s="197">
        <f t="shared" si="88"/>
        <v>0</v>
      </c>
      <c r="W187" s="8" t="str">
        <f>IF(C187&lt;&gt;"",MATCH(_xlfn.NUMBERVALUE(LEFT(C187,4)),KiemTraBCD!$B$10:$B$1000,0),"")</f>
        <v/>
      </c>
    </row>
    <row r="188" spans="19:23" x14ac:dyDescent="0.45">
      <c r="S188" s="197">
        <f t="shared" si="85"/>
        <v>0</v>
      </c>
      <c r="T188" s="197">
        <f t="shared" si="86"/>
        <v>0</v>
      </c>
      <c r="U188" s="197">
        <f t="shared" si="87"/>
        <v>0</v>
      </c>
      <c r="V188" s="197">
        <f t="shared" si="88"/>
        <v>0</v>
      </c>
      <c r="W188" s="8" t="str">
        <f>IF(C188&lt;&gt;"",MATCH(_xlfn.NUMBERVALUE(LEFT(C188,4)),KiemTraBCD!$B$10:$B$1000,0),"")</f>
        <v/>
      </c>
    </row>
    <row r="189" spans="19:23" x14ac:dyDescent="0.45">
      <c r="S189" s="197">
        <f t="shared" si="85"/>
        <v>0</v>
      </c>
      <c r="T189" s="197">
        <f t="shared" si="86"/>
        <v>0</v>
      </c>
      <c r="U189" s="197">
        <f t="shared" si="87"/>
        <v>0</v>
      </c>
      <c r="V189" s="197">
        <f t="shared" si="88"/>
        <v>0</v>
      </c>
      <c r="W189" s="8" t="str">
        <f>IF(C189&lt;&gt;"",MATCH(_xlfn.NUMBERVALUE(LEFT(C189,4)),KiemTraBCD!$B$10:$B$1000,0),"")</f>
        <v/>
      </c>
    </row>
    <row r="190" spans="19:23" x14ac:dyDescent="0.45">
      <c r="S190" s="197">
        <f t="shared" si="85"/>
        <v>0</v>
      </c>
      <c r="T190" s="197">
        <f t="shared" si="86"/>
        <v>0</v>
      </c>
      <c r="U190" s="197">
        <f t="shared" si="87"/>
        <v>0</v>
      </c>
      <c r="V190" s="197">
        <f t="shared" si="88"/>
        <v>0</v>
      </c>
      <c r="W190" s="8" t="str">
        <f>IF(C190&lt;&gt;"",MATCH(_xlfn.NUMBERVALUE(LEFT(C190,4)),KiemTraBCD!$B$10:$B$1000,0),"")</f>
        <v/>
      </c>
    </row>
    <row r="191" spans="19:23" x14ac:dyDescent="0.45">
      <c r="S191" s="197">
        <f t="shared" si="85"/>
        <v>0</v>
      </c>
      <c r="T191" s="197">
        <f t="shared" si="86"/>
        <v>0</v>
      </c>
      <c r="U191" s="197">
        <f t="shared" si="87"/>
        <v>0</v>
      </c>
      <c r="V191" s="197">
        <f t="shared" si="88"/>
        <v>0</v>
      </c>
      <c r="W191" s="8" t="str">
        <f>IF(C191&lt;&gt;"",MATCH(_xlfn.NUMBERVALUE(LEFT(C191,4)),KiemTraBCD!$B$10:$B$1000,0),"")</f>
        <v/>
      </c>
    </row>
    <row r="192" spans="19:23" x14ac:dyDescent="0.45">
      <c r="S192" s="197">
        <f t="shared" si="85"/>
        <v>0</v>
      </c>
      <c r="T192" s="197">
        <f t="shared" si="86"/>
        <v>0</v>
      </c>
      <c r="U192" s="197">
        <f t="shared" si="87"/>
        <v>0</v>
      </c>
      <c r="V192" s="197">
        <f t="shared" si="88"/>
        <v>0</v>
      </c>
      <c r="W192" s="8" t="str">
        <f>IF(C192&lt;&gt;"",MATCH(_xlfn.NUMBERVALUE(LEFT(C192,4)),KiemTraBCD!$B$10:$B$1000,0),"")</f>
        <v/>
      </c>
    </row>
    <row r="193" spans="19:23" x14ac:dyDescent="0.45">
      <c r="S193" s="197">
        <f t="shared" si="85"/>
        <v>0</v>
      </c>
      <c r="T193" s="197">
        <f t="shared" si="86"/>
        <v>0</v>
      </c>
      <c r="U193" s="197">
        <f t="shared" si="87"/>
        <v>0</v>
      </c>
      <c r="V193" s="197">
        <f t="shared" si="88"/>
        <v>0</v>
      </c>
      <c r="W193" s="8" t="str">
        <f>IF(C193&lt;&gt;"",MATCH(_xlfn.NUMBERVALUE(LEFT(C193,4)),KiemTraBCD!$B$10:$B$1000,0),"")</f>
        <v/>
      </c>
    </row>
    <row r="194" spans="19:23" x14ac:dyDescent="0.45">
      <c r="S194" s="197">
        <f t="shared" si="85"/>
        <v>0</v>
      </c>
      <c r="T194" s="197">
        <f t="shared" si="86"/>
        <v>0</v>
      </c>
      <c r="U194" s="197">
        <f t="shared" si="87"/>
        <v>0</v>
      </c>
      <c r="V194" s="197">
        <f t="shared" si="88"/>
        <v>0</v>
      </c>
      <c r="W194" s="8" t="str">
        <f>IF(C194&lt;&gt;"",MATCH(_xlfn.NUMBERVALUE(LEFT(C194,4)),KiemTraBCD!$B$10:$B$1000,0),"")</f>
        <v/>
      </c>
    </row>
    <row r="195" spans="19:23" x14ac:dyDescent="0.45">
      <c r="S195" s="197">
        <f t="shared" si="85"/>
        <v>0</v>
      </c>
      <c r="T195" s="197">
        <f t="shared" si="86"/>
        <v>0</v>
      </c>
      <c r="U195" s="197">
        <f t="shared" si="87"/>
        <v>0</v>
      </c>
      <c r="V195" s="197">
        <f t="shared" si="88"/>
        <v>0</v>
      </c>
      <c r="W195" s="8" t="str">
        <f>IF(C195&lt;&gt;"",MATCH(_xlfn.NUMBERVALUE(LEFT(C195,4)),KiemTraBCD!$B$10:$B$1000,0),"")</f>
        <v/>
      </c>
    </row>
    <row r="196" spans="19:23" x14ac:dyDescent="0.45">
      <c r="S196" s="197">
        <f t="shared" si="85"/>
        <v>0</v>
      </c>
      <c r="T196" s="197">
        <f t="shared" si="86"/>
        <v>0</v>
      </c>
      <c r="U196" s="197">
        <f t="shared" si="87"/>
        <v>0</v>
      </c>
      <c r="V196" s="197">
        <f t="shared" si="88"/>
        <v>0</v>
      </c>
      <c r="W196" s="8" t="str">
        <f>IF(C196&lt;&gt;"",MATCH(_xlfn.NUMBERVALUE(LEFT(C196,4)),KiemTraBCD!$B$10:$B$1000,0),"")</f>
        <v/>
      </c>
    </row>
    <row r="197" spans="19:23" x14ac:dyDescent="0.45">
      <c r="S197" s="197">
        <f t="shared" si="85"/>
        <v>0</v>
      </c>
      <c r="T197" s="197">
        <f t="shared" si="86"/>
        <v>0</v>
      </c>
      <c r="U197" s="197">
        <f t="shared" si="87"/>
        <v>0</v>
      </c>
      <c r="V197" s="197">
        <f t="shared" si="88"/>
        <v>0</v>
      </c>
      <c r="W197" s="8" t="str">
        <f>IF(C197&lt;&gt;"",MATCH(_xlfn.NUMBERVALUE(LEFT(C197,4)),KiemTraBCD!$B$10:$B$1000,0),"")</f>
        <v/>
      </c>
    </row>
    <row r="198" spans="19:23" x14ac:dyDescent="0.45">
      <c r="S198" s="197">
        <f t="shared" si="85"/>
        <v>0</v>
      </c>
      <c r="T198" s="197">
        <f t="shared" si="86"/>
        <v>0</v>
      </c>
      <c r="U198" s="197">
        <f t="shared" si="87"/>
        <v>0</v>
      </c>
      <c r="V198" s="197">
        <f t="shared" si="88"/>
        <v>0</v>
      </c>
      <c r="W198" s="8" t="str">
        <f>IF(C198&lt;&gt;"",MATCH(_xlfn.NUMBERVALUE(LEFT(C198,4)),KiemTraBCD!$B$10:$B$1000,0),"")</f>
        <v/>
      </c>
    </row>
    <row r="199" spans="19:23" x14ac:dyDescent="0.45">
      <c r="S199" s="197">
        <f t="shared" si="85"/>
        <v>0</v>
      </c>
      <c r="T199" s="197">
        <f t="shared" si="86"/>
        <v>0</v>
      </c>
      <c r="U199" s="197">
        <f t="shared" si="87"/>
        <v>0</v>
      </c>
      <c r="V199" s="197">
        <f t="shared" si="88"/>
        <v>0</v>
      </c>
      <c r="W199" s="8" t="str">
        <f>IF(C199&lt;&gt;"",MATCH(_xlfn.NUMBERVALUE(LEFT(C199,4)),KiemTraBCD!$B$10:$B$1000,0),"")</f>
        <v/>
      </c>
    </row>
    <row r="200" spans="19:23" x14ac:dyDescent="0.45">
      <c r="S200" s="197">
        <f t="shared" si="85"/>
        <v>0</v>
      </c>
      <c r="T200" s="197">
        <f t="shared" si="86"/>
        <v>0</v>
      </c>
      <c r="U200" s="197">
        <f t="shared" si="87"/>
        <v>0</v>
      </c>
      <c r="V200" s="197">
        <f t="shared" si="88"/>
        <v>0</v>
      </c>
      <c r="W200" s="8" t="str">
        <f>IF(C200&lt;&gt;"",MATCH(_xlfn.NUMBERVALUE(LEFT(C200,4)),KiemTraBCD!$B$10:$B$1000,0),"")</f>
        <v/>
      </c>
    </row>
    <row r="201" spans="19:23" x14ac:dyDescent="0.45">
      <c r="S201" s="197">
        <f t="shared" si="85"/>
        <v>0</v>
      </c>
      <c r="T201" s="197">
        <f t="shared" si="86"/>
        <v>0</v>
      </c>
      <c r="U201" s="197">
        <f t="shared" si="87"/>
        <v>0</v>
      </c>
      <c r="V201" s="197">
        <f t="shared" si="88"/>
        <v>0</v>
      </c>
      <c r="W201" s="8" t="str">
        <f>IF(C201&lt;&gt;"",MATCH(_xlfn.NUMBERVALUE(LEFT(C201,4)),KiemTraBCD!$B$10:$B$1000,0),"")</f>
        <v/>
      </c>
    </row>
    <row r="202" spans="19:23" x14ac:dyDescent="0.45">
      <c r="S202" s="197">
        <f t="shared" si="85"/>
        <v>0</v>
      </c>
      <c r="T202" s="197">
        <f t="shared" si="86"/>
        <v>0</v>
      </c>
      <c r="U202" s="197">
        <f t="shared" si="87"/>
        <v>0</v>
      </c>
      <c r="V202" s="197">
        <f t="shared" si="88"/>
        <v>0</v>
      </c>
      <c r="W202" s="8" t="str">
        <f>IF(C202&lt;&gt;"",MATCH(_xlfn.NUMBERVALUE(LEFT(C202,4)),KiemTraBCD!$B$10:$B$1000,0),"")</f>
        <v/>
      </c>
    </row>
    <row r="203" spans="19:23" x14ac:dyDescent="0.45">
      <c r="S203" s="197">
        <f t="shared" si="85"/>
        <v>0</v>
      </c>
      <c r="T203" s="197">
        <f t="shared" si="86"/>
        <v>0</v>
      </c>
      <c r="U203" s="197">
        <f t="shared" si="87"/>
        <v>0</v>
      </c>
      <c r="V203" s="197">
        <f t="shared" si="88"/>
        <v>0</v>
      </c>
      <c r="W203" s="8" t="str">
        <f>IF(C203&lt;&gt;"",MATCH(_xlfn.NUMBERVALUE(LEFT(C203,4)),KiemTraBCD!$B$10:$B$1000,0),"")</f>
        <v/>
      </c>
    </row>
    <row r="204" spans="19:23" x14ac:dyDescent="0.45">
      <c r="S204" s="197">
        <f t="shared" si="85"/>
        <v>0</v>
      </c>
      <c r="T204" s="197">
        <f t="shared" si="86"/>
        <v>0</v>
      </c>
      <c r="U204" s="197">
        <f t="shared" si="87"/>
        <v>0</v>
      </c>
      <c r="V204" s="197">
        <f t="shared" si="88"/>
        <v>0</v>
      </c>
      <c r="W204" s="8" t="str">
        <f>IF(C204&lt;&gt;"",MATCH(_xlfn.NUMBERVALUE(LEFT(C204,4)),KiemTraBCD!$B$10:$B$1000,0),"")</f>
        <v/>
      </c>
    </row>
    <row r="205" spans="19:23" x14ac:dyDescent="0.45">
      <c r="S205" s="197">
        <f t="shared" si="85"/>
        <v>0</v>
      </c>
      <c r="T205" s="197">
        <f t="shared" si="86"/>
        <v>0</v>
      </c>
      <c r="U205" s="197">
        <f t="shared" si="87"/>
        <v>0</v>
      </c>
      <c r="V205" s="197">
        <f t="shared" si="88"/>
        <v>0</v>
      </c>
      <c r="W205" s="8" t="str">
        <f>IF(C205&lt;&gt;"",MATCH(_xlfn.NUMBERVALUE(LEFT(C205,4)),KiemTraBCD!$B$10:$B$1000,0),"")</f>
        <v/>
      </c>
    </row>
    <row r="206" spans="19:23" x14ac:dyDescent="0.45">
      <c r="S206" s="197">
        <f t="shared" si="85"/>
        <v>0</v>
      </c>
      <c r="T206" s="197">
        <f t="shared" si="86"/>
        <v>0</v>
      </c>
      <c r="U206" s="197">
        <f t="shared" si="87"/>
        <v>0</v>
      </c>
      <c r="V206" s="197">
        <f t="shared" si="88"/>
        <v>0</v>
      </c>
      <c r="W206" s="8" t="str">
        <f>IF(C206&lt;&gt;"",MATCH(_xlfn.NUMBERVALUE(LEFT(C206,4)),KiemTraBCD!$B$10:$B$1000,0),"")</f>
        <v/>
      </c>
    </row>
    <row r="207" spans="19:23" x14ac:dyDescent="0.45">
      <c r="S207" s="197">
        <f t="shared" si="85"/>
        <v>0</v>
      </c>
      <c r="T207" s="197">
        <f t="shared" si="86"/>
        <v>0</v>
      </c>
      <c r="U207" s="197">
        <f t="shared" si="87"/>
        <v>0</v>
      </c>
      <c r="V207" s="197">
        <f t="shared" si="88"/>
        <v>0</v>
      </c>
      <c r="W207" s="8" t="str">
        <f>IF(C207&lt;&gt;"",MATCH(_xlfn.NUMBERVALUE(LEFT(C207,4)),KiemTraBCD!$B$10:$B$1000,0),"")</f>
        <v/>
      </c>
    </row>
    <row r="208" spans="19:23" x14ac:dyDescent="0.45">
      <c r="S208" s="197">
        <f t="shared" si="85"/>
        <v>0</v>
      </c>
      <c r="T208" s="197">
        <f t="shared" si="86"/>
        <v>0</v>
      </c>
      <c r="U208" s="197">
        <f t="shared" si="87"/>
        <v>0</v>
      </c>
      <c r="V208" s="197">
        <f t="shared" si="88"/>
        <v>0</v>
      </c>
      <c r="W208" s="8" t="str">
        <f>IF(C208&lt;&gt;"",MATCH(_xlfn.NUMBERVALUE(LEFT(C208,4)),KiemTraBCD!$B$10:$B$1000,0),"")</f>
        <v/>
      </c>
    </row>
    <row r="209" spans="19:23" x14ac:dyDescent="0.45">
      <c r="S209" s="197">
        <f t="shared" si="85"/>
        <v>0</v>
      </c>
      <c r="T209" s="197">
        <f t="shared" si="86"/>
        <v>0</v>
      </c>
      <c r="U209" s="197">
        <f t="shared" si="87"/>
        <v>0</v>
      </c>
      <c r="V209" s="197">
        <f t="shared" si="88"/>
        <v>0</v>
      </c>
      <c r="W209" s="8" t="str">
        <f>IF(C209&lt;&gt;"",MATCH(_xlfn.NUMBERVALUE(LEFT(C209,4)),KiemTraBCD!$B$10:$B$1000,0),"")</f>
        <v/>
      </c>
    </row>
    <row r="210" spans="19:23" x14ac:dyDescent="0.45">
      <c r="S210" s="197">
        <f t="shared" si="85"/>
        <v>0</v>
      </c>
      <c r="T210" s="197">
        <f t="shared" si="86"/>
        <v>0</v>
      </c>
      <c r="U210" s="197">
        <f t="shared" si="87"/>
        <v>0</v>
      </c>
      <c r="V210" s="197">
        <f t="shared" si="88"/>
        <v>0</v>
      </c>
      <c r="W210" s="8" t="str">
        <f>IF(C210&lt;&gt;"",MATCH(_xlfn.NUMBERVALUE(LEFT(C210,4)),KiemTraBCD!$B$10:$B$1000,0),"")</f>
        <v/>
      </c>
    </row>
    <row r="211" spans="19:23" x14ac:dyDescent="0.45">
      <c r="S211" s="197">
        <f t="shared" si="85"/>
        <v>0</v>
      </c>
      <c r="T211" s="197">
        <f t="shared" si="86"/>
        <v>0</v>
      </c>
      <c r="U211" s="197">
        <f t="shared" si="87"/>
        <v>0</v>
      </c>
      <c r="V211" s="197">
        <f t="shared" si="88"/>
        <v>0</v>
      </c>
      <c r="W211" s="8" t="str">
        <f>IF(C211&lt;&gt;"",MATCH(_xlfn.NUMBERVALUE(LEFT(C211,4)),KiemTraBCD!$B$10:$B$1000,0),"")</f>
        <v/>
      </c>
    </row>
    <row r="212" spans="19:23" x14ac:dyDescent="0.45">
      <c r="S212" s="197">
        <f t="shared" si="85"/>
        <v>0</v>
      </c>
      <c r="T212" s="197">
        <f t="shared" si="86"/>
        <v>0</v>
      </c>
      <c r="U212" s="197">
        <f t="shared" si="87"/>
        <v>0</v>
      </c>
      <c r="V212" s="197">
        <f t="shared" si="88"/>
        <v>0</v>
      </c>
      <c r="W212" s="8" t="str">
        <f>IF(C212&lt;&gt;"",MATCH(_xlfn.NUMBERVALUE(LEFT(C212,4)),KiemTraBCD!$B$10:$B$1000,0),"")</f>
        <v/>
      </c>
    </row>
    <row r="213" spans="19:23" x14ac:dyDescent="0.45">
      <c r="S213" s="197">
        <f t="shared" si="85"/>
        <v>0</v>
      </c>
      <c r="T213" s="197">
        <f t="shared" si="86"/>
        <v>0</v>
      </c>
      <c r="U213" s="197">
        <f t="shared" si="87"/>
        <v>0</v>
      </c>
      <c r="V213" s="197">
        <f t="shared" si="88"/>
        <v>0</v>
      </c>
      <c r="W213" s="8" t="str">
        <f>IF(C213&lt;&gt;"",MATCH(_xlfn.NUMBERVALUE(LEFT(C213,4)),KiemTraBCD!$B$10:$B$1000,0),"")</f>
        <v/>
      </c>
    </row>
    <row r="214" spans="19:23" x14ac:dyDescent="0.45">
      <c r="S214" s="197">
        <f t="shared" si="85"/>
        <v>0</v>
      </c>
      <c r="T214" s="197">
        <f t="shared" si="86"/>
        <v>0</v>
      </c>
      <c r="U214" s="197">
        <f t="shared" si="87"/>
        <v>0</v>
      </c>
      <c r="V214" s="197">
        <f t="shared" si="88"/>
        <v>0</v>
      </c>
      <c r="W214" s="8" t="str">
        <f>IF(C214&lt;&gt;"",MATCH(_xlfn.NUMBERVALUE(LEFT(C214,4)),KiemTraBCD!$B$10:$B$1000,0),"")</f>
        <v/>
      </c>
    </row>
    <row r="215" spans="19:23" x14ac:dyDescent="0.45">
      <c r="S215" s="197">
        <f t="shared" si="85"/>
        <v>0</v>
      </c>
      <c r="T215" s="197">
        <f t="shared" si="86"/>
        <v>0</v>
      </c>
      <c r="U215" s="197">
        <f t="shared" si="87"/>
        <v>0</v>
      </c>
      <c r="V215" s="197">
        <f t="shared" si="88"/>
        <v>0</v>
      </c>
      <c r="W215" s="8" t="str">
        <f>IF(C215&lt;&gt;"",MATCH(_xlfn.NUMBERVALUE(LEFT(C215,4)),KiemTraBCD!$B$10:$B$1000,0),"")</f>
        <v/>
      </c>
    </row>
    <row r="216" spans="19:23" x14ac:dyDescent="0.45">
      <c r="S216" s="197">
        <f t="shared" si="85"/>
        <v>0</v>
      </c>
      <c r="T216" s="197">
        <f t="shared" si="86"/>
        <v>0</v>
      </c>
      <c r="U216" s="197">
        <f t="shared" si="87"/>
        <v>0</v>
      </c>
      <c r="V216" s="197">
        <f t="shared" si="88"/>
        <v>0</v>
      </c>
      <c r="W216" s="8" t="str">
        <f>IF(C216&lt;&gt;"",MATCH(_xlfn.NUMBERVALUE(LEFT(C216,4)),KiemTraBCD!$B$10:$B$1000,0),"")</f>
        <v/>
      </c>
    </row>
    <row r="217" spans="19:23" x14ac:dyDescent="0.45">
      <c r="S217" s="197">
        <f t="shared" si="85"/>
        <v>0</v>
      </c>
      <c r="T217" s="197">
        <f t="shared" si="86"/>
        <v>0</v>
      </c>
      <c r="U217" s="197">
        <f t="shared" si="87"/>
        <v>0</v>
      </c>
      <c r="V217" s="197">
        <f t="shared" si="88"/>
        <v>0</v>
      </c>
      <c r="W217" s="8" t="str">
        <f>IF(C217&lt;&gt;"",MATCH(_xlfn.NUMBERVALUE(LEFT(C217,4)),KiemTraBCD!$B$10:$B$1000,0),"")</f>
        <v/>
      </c>
    </row>
    <row r="218" spans="19:23" x14ac:dyDescent="0.45">
      <c r="S218" s="197">
        <f t="shared" ref="S218:S281" si="89">MAX(0,E218+G218-F218-H218)</f>
        <v>0</v>
      </c>
      <c r="T218" s="197">
        <f t="shared" ref="T218:T281" si="90">MAX(0,F218+H218-E218-G218)</f>
        <v>0</v>
      </c>
      <c r="U218" s="197">
        <f t="shared" ref="U218:U281" si="91">ABS(I218-J218)</f>
        <v>0</v>
      </c>
      <c r="V218" s="197">
        <f t="shared" ref="V218:V281" si="92">S218+T218-U218</f>
        <v>0</v>
      </c>
      <c r="W218" s="8" t="str">
        <f>IF(C218&lt;&gt;"",MATCH(_xlfn.NUMBERVALUE(LEFT(C218,4)),KiemTraBCD!$B$10:$B$1000,0),"")</f>
        <v/>
      </c>
    </row>
    <row r="219" spans="19:23" x14ac:dyDescent="0.45">
      <c r="S219" s="197">
        <f t="shared" si="89"/>
        <v>0</v>
      </c>
      <c r="T219" s="197">
        <f t="shared" si="90"/>
        <v>0</v>
      </c>
      <c r="U219" s="197">
        <f t="shared" si="91"/>
        <v>0</v>
      </c>
      <c r="V219" s="197">
        <f t="shared" si="92"/>
        <v>0</v>
      </c>
      <c r="W219" s="8" t="str">
        <f>IF(C219&lt;&gt;"",MATCH(_xlfn.NUMBERVALUE(LEFT(C219,4)),KiemTraBCD!$B$10:$B$1000,0),"")</f>
        <v/>
      </c>
    </row>
    <row r="220" spans="19:23" x14ac:dyDescent="0.45">
      <c r="S220" s="197">
        <f t="shared" si="89"/>
        <v>0</v>
      </c>
      <c r="T220" s="197">
        <f t="shared" si="90"/>
        <v>0</v>
      </c>
      <c r="U220" s="197">
        <f t="shared" si="91"/>
        <v>0</v>
      </c>
      <c r="V220" s="197">
        <f t="shared" si="92"/>
        <v>0</v>
      </c>
      <c r="W220" s="8" t="str">
        <f>IF(C220&lt;&gt;"",MATCH(_xlfn.NUMBERVALUE(LEFT(C220,4)),KiemTraBCD!$B$10:$B$1000,0),"")</f>
        <v/>
      </c>
    </row>
    <row r="221" spans="19:23" x14ac:dyDescent="0.45">
      <c r="S221" s="197">
        <f t="shared" si="89"/>
        <v>0</v>
      </c>
      <c r="T221" s="197">
        <f t="shared" si="90"/>
        <v>0</v>
      </c>
      <c r="U221" s="197">
        <f t="shared" si="91"/>
        <v>0</v>
      </c>
      <c r="V221" s="197">
        <f t="shared" si="92"/>
        <v>0</v>
      </c>
      <c r="W221" s="8" t="str">
        <f>IF(C221&lt;&gt;"",MATCH(_xlfn.NUMBERVALUE(LEFT(C221,4)),KiemTraBCD!$B$10:$B$1000,0),"")</f>
        <v/>
      </c>
    </row>
    <row r="222" spans="19:23" x14ac:dyDescent="0.45">
      <c r="S222" s="197">
        <f t="shared" si="89"/>
        <v>0</v>
      </c>
      <c r="T222" s="197">
        <f t="shared" si="90"/>
        <v>0</v>
      </c>
      <c r="U222" s="197">
        <f t="shared" si="91"/>
        <v>0</v>
      </c>
      <c r="V222" s="197">
        <f t="shared" si="92"/>
        <v>0</v>
      </c>
      <c r="W222" s="8" t="str">
        <f>IF(C222&lt;&gt;"",MATCH(_xlfn.NUMBERVALUE(LEFT(C222,4)),KiemTraBCD!$B$10:$B$1000,0),"")</f>
        <v/>
      </c>
    </row>
    <row r="223" spans="19:23" x14ac:dyDescent="0.45">
      <c r="S223" s="197">
        <f t="shared" si="89"/>
        <v>0</v>
      </c>
      <c r="T223" s="197">
        <f t="shared" si="90"/>
        <v>0</v>
      </c>
      <c r="U223" s="197">
        <f t="shared" si="91"/>
        <v>0</v>
      </c>
      <c r="V223" s="197">
        <f t="shared" si="92"/>
        <v>0</v>
      </c>
      <c r="W223" s="8" t="str">
        <f>IF(C223&lt;&gt;"",MATCH(_xlfn.NUMBERVALUE(LEFT(C223,4)),KiemTraBCD!$B$10:$B$1000,0),"")</f>
        <v/>
      </c>
    </row>
    <row r="224" spans="19:23" x14ac:dyDescent="0.45">
      <c r="S224" s="197">
        <f t="shared" si="89"/>
        <v>0</v>
      </c>
      <c r="T224" s="197">
        <f t="shared" si="90"/>
        <v>0</v>
      </c>
      <c r="U224" s="197">
        <f t="shared" si="91"/>
        <v>0</v>
      </c>
      <c r="V224" s="197">
        <f t="shared" si="92"/>
        <v>0</v>
      </c>
      <c r="W224" s="8" t="str">
        <f>IF(C224&lt;&gt;"",MATCH(_xlfn.NUMBERVALUE(LEFT(C224,4)),KiemTraBCD!$B$10:$B$1000,0),"")</f>
        <v/>
      </c>
    </row>
    <row r="225" spans="19:23" x14ac:dyDescent="0.45">
      <c r="S225" s="197">
        <f t="shared" si="89"/>
        <v>0</v>
      </c>
      <c r="T225" s="197">
        <f t="shared" si="90"/>
        <v>0</v>
      </c>
      <c r="U225" s="197">
        <f t="shared" si="91"/>
        <v>0</v>
      </c>
      <c r="V225" s="197">
        <f t="shared" si="92"/>
        <v>0</v>
      </c>
      <c r="W225" s="8" t="str">
        <f>IF(C225&lt;&gt;"",MATCH(_xlfn.NUMBERVALUE(LEFT(C225,4)),KiemTraBCD!$B$10:$B$1000,0),"")</f>
        <v/>
      </c>
    </row>
    <row r="226" spans="19:23" x14ac:dyDescent="0.45">
      <c r="S226" s="197">
        <f t="shared" si="89"/>
        <v>0</v>
      </c>
      <c r="T226" s="197">
        <f t="shared" si="90"/>
        <v>0</v>
      </c>
      <c r="U226" s="197">
        <f t="shared" si="91"/>
        <v>0</v>
      </c>
      <c r="V226" s="197">
        <f t="shared" si="92"/>
        <v>0</v>
      </c>
      <c r="W226" s="8" t="str">
        <f>IF(C226&lt;&gt;"",MATCH(_xlfn.NUMBERVALUE(LEFT(C226,4)),KiemTraBCD!$B$10:$B$1000,0),"")</f>
        <v/>
      </c>
    </row>
    <row r="227" spans="19:23" x14ac:dyDescent="0.45">
      <c r="S227" s="197">
        <f t="shared" si="89"/>
        <v>0</v>
      </c>
      <c r="T227" s="197">
        <f t="shared" si="90"/>
        <v>0</v>
      </c>
      <c r="U227" s="197">
        <f t="shared" si="91"/>
        <v>0</v>
      </c>
      <c r="V227" s="197">
        <f t="shared" si="92"/>
        <v>0</v>
      </c>
      <c r="W227" s="8" t="str">
        <f>IF(C227&lt;&gt;"",MATCH(_xlfn.NUMBERVALUE(LEFT(C227,4)),KiemTraBCD!$B$10:$B$1000,0),"")</f>
        <v/>
      </c>
    </row>
    <row r="228" spans="19:23" x14ac:dyDescent="0.45">
      <c r="S228" s="197">
        <f t="shared" si="89"/>
        <v>0</v>
      </c>
      <c r="T228" s="197">
        <f t="shared" si="90"/>
        <v>0</v>
      </c>
      <c r="U228" s="197">
        <f t="shared" si="91"/>
        <v>0</v>
      </c>
      <c r="V228" s="197">
        <f t="shared" si="92"/>
        <v>0</v>
      </c>
      <c r="W228" s="8" t="str">
        <f>IF(C228&lt;&gt;"",MATCH(_xlfn.NUMBERVALUE(LEFT(C228,4)),KiemTraBCD!$B$10:$B$1000,0),"")</f>
        <v/>
      </c>
    </row>
    <row r="229" spans="19:23" x14ac:dyDescent="0.45">
      <c r="S229" s="197">
        <f t="shared" si="89"/>
        <v>0</v>
      </c>
      <c r="T229" s="197">
        <f t="shared" si="90"/>
        <v>0</v>
      </c>
      <c r="U229" s="197">
        <f t="shared" si="91"/>
        <v>0</v>
      </c>
      <c r="V229" s="197">
        <f t="shared" si="92"/>
        <v>0</v>
      </c>
      <c r="W229" s="8" t="str">
        <f>IF(C229&lt;&gt;"",MATCH(_xlfn.NUMBERVALUE(LEFT(C229,4)),KiemTraBCD!$B$10:$B$1000,0),"")</f>
        <v/>
      </c>
    </row>
    <row r="230" spans="19:23" x14ac:dyDescent="0.45">
      <c r="S230" s="197">
        <f t="shared" si="89"/>
        <v>0</v>
      </c>
      <c r="T230" s="197">
        <f t="shared" si="90"/>
        <v>0</v>
      </c>
      <c r="U230" s="197">
        <f t="shared" si="91"/>
        <v>0</v>
      </c>
      <c r="V230" s="197">
        <f t="shared" si="92"/>
        <v>0</v>
      </c>
      <c r="W230" s="8" t="str">
        <f>IF(C230&lt;&gt;"",MATCH(_xlfn.NUMBERVALUE(LEFT(C230,4)),KiemTraBCD!$B$10:$B$1000,0),"")</f>
        <v/>
      </c>
    </row>
    <row r="231" spans="19:23" x14ac:dyDescent="0.45">
      <c r="S231" s="197">
        <f t="shared" si="89"/>
        <v>0</v>
      </c>
      <c r="T231" s="197">
        <f t="shared" si="90"/>
        <v>0</v>
      </c>
      <c r="U231" s="197">
        <f t="shared" si="91"/>
        <v>0</v>
      </c>
      <c r="V231" s="197">
        <f t="shared" si="92"/>
        <v>0</v>
      </c>
      <c r="W231" s="8" t="str">
        <f>IF(C231&lt;&gt;"",MATCH(_xlfn.NUMBERVALUE(LEFT(C231,4)),KiemTraBCD!$B$10:$B$1000,0),"")</f>
        <v/>
      </c>
    </row>
    <row r="232" spans="19:23" x14ac:dyDescent="0.45">
      <c r="S232" s="197">
        <f t="shared" si="89"/>
        <v>0</v>
      </c>
      <c r="T232" s="197">
        <f t="shared" si="90"/>
        <v>0</v>
      </c>
      <c r="U232" s="197">
        <f t="shared" si="91"/>
        <v>0</v>
      </c>
      <c r="V232" s="197">
        <f t="shared" si="92"/>
        <v>0</v>
      </c>
      <c r="W232" s="8" t="str">
        <f>IF(C232&lt;&gt;"",MATCH(_xlfn.NUMBERVALUE(LEFT(C232,4)),KiemTraBCD!$B$10:$B$1000,0),"")</f>
        <v/>
      </c>
    </row>
    <row r="233" spans="19:23" x14ac:dyDescent="0.45">
      <c r="S233" s="197">
        <f t="shared" si="89"/>
        <v>0</v>
      </c>
      <c r="T233" s="197">
        <f t="shared" si="90"/>
        <v>0</v>
      </c>
      <c r="U233" s="197">
        <f t="shared" si="91"/>
        <v>0</v>
      </c>
      <c r="V233" s="197">
        <f t="shared" si="92"/>
        <v>0</v>
      </c>
      <c r="W233" s="8" t="str">
        <f>IF(C233&lt;&gt;"",MATCH(_xlfn.NUMBERVALUE(LEFT(C233,4)),KiemTraBCD!$B$10:$B$1000,0),"")</f>
        <v/>
      </c>
    </row>
    <row r="234" spans="19:23" x14ac:dyDescent="0.45">
      <c r="S234" s="197">
        <f t="shared" si="89"/>
        <v>0</v>
      </c>
      <c r="T234" s="197">
        <f t="shared" si="90"/>
        <v>0</v>
      </c>
      <c r="U234" s="197">
        <f t="shared" si="91"/>
        <v>0</v>
      </c>
      <c r="V234" s="197">
        <f t="shared" si="92"/>
        <v>0</v>
      </c>
      <c r="W234" s="8" t="str">
        <f>IF(C234&lt;&gt;"",MATCH(_xlfn.NUMBERVALUE(LEFT(C234,4)),KiemTraBCD!$B$10:$B$1000,0),"")</f>
        <v/>
      </c>
    </row>
    <row r="235" spans="19:23" x14ac:dyDescent="0.45">
      <c r="S235" s="197">
        <f t="shared" si="89"/>
        <v>0</v>
      </c>
      <c r="T235" s="197">
        <f t="shared" si="90"/>
        <v>0</v>
      </c>
      <c r="U235" s="197">
        <f t="shared" si="91"/>
        <v>0</v>
      </c>
      <c r="V235" s="197">
        <f t="shared" si="92"/>
        <v>0</v>
      </c>
      <c r="W235" s="8" t="str">
        <f>IF(C235&lt;&gt;"",MATCH(_xlfn.NUMBERVALUE(LEFT(C235,4)),KiemTraBCD!$B$10:$B$1000,0),"")</f>
        <v/>
      </c>
    </row>
    <row r="236" spans="19:23" x14ac:dyDescent="0.45">
      <c r="S236" s="197">
        <f t="shared" si="89"/>
        <v>0</v>
      </c>
      <c r="T236" s="197">
        <f t="shared" si="90"/>
        <v>0</v>
      </c>
      <c r="U236" s="197">
        <f t="shared" si="91"/>
        <v>0</v>
      </c>
      <c r="V236" s="197">
        <f t="shared" si="92"/>
        <v>0</v>
      </c>
      <c r="W236" s="8" t="str">
        <f>IF(C236&lt;&gt;"",MATCH(_xlfn.NUMBERVALUE(LEFT(C236,4)),KiemTraBCD!$B$10:$B$1000,0),"")</f>
        <v/>
      </c>
    </row>
    <row r="237" spans="19:23" x14ac:dyDescent="0.45">
      <c r="S237" s="197">
        <f t="shared" si="89"/>
        <v>0</v>
      </c>
      <c r="T237" s="197">
        <f t="shared" si="90"/>
        <v>0</v>
      </c>
      <c r="U237" s="197">
        <f t="shared" si="91"/>
        <v>0</v>
      </c>
      <c r="V237" s="197">
        <f t="shared" si="92"/>
        <v>0</v>
      </c>
      <c r="W237" s="8" t="str">
        <f>IF(C237&lt;&gt;"",MATCH(_xlfn.NUMBERVALUE(LEFT(C237,4)),KiemTraBCD!$B$10:$B$1000,0),"")</f>
        <v/>
      </c>
    </row>
    <row r="238" spans="19:23" x14ac:dyDescent="0.45">
      <c r="S238" s="197">
        <f t="shared" si="89"/>
        <v>0</v>
      </c>
      <c r="T238" s="197">
        <f t="shared" si="90"/>
        <v>0</v>
      </c>
      <c r="U238" s="197">
        <f t="shared" si="91"/>
        <v>0</v>
      </c>
      <c r="V238" s="197">
        <f t="shared" si="92"/>
        <v>0</v>
      </c>
      <c r="W238" s="8" t="str">
        <f>IF(C238&lt;&gt;"",MATCH(_xlfn.NUMBERVALUE(LEFT(C238,4)),KiemTraBCD!$B$10:$B$1000,0),"")</f>
        <v/>
      </c>
    </row>
    <row r="239" spans="19:23" x14ac:dyDescent="0.45">
      <c r="S239" s="197">
        <f t="shared" si="89"/>
        <v>0</v>
      </c>
      <c r="T239" s="197">
        <f t="shared" si="90"/>
        <v>0</v>
      </c>
      <c r="U239" s="197">
        <f t="shared" si="91"/>
        <v>0</v>
      </c>
      <c r="V239" s="197">
        <f t="shared" si="92"/>
        <v>0</v>
      </c>
      <c r="W239" s="8" t="str">
        <f>IF(C239&lt;&gt;"",MATCH(_xlfn.NUMBERVALUE(LEFT(C239,4)),KiemTraBCD!$B$10:$B$1000,0),"")</f>
        <v/>
      </c>
    </row>
    <row r="240" spans="19:23" x14ac:dyDescent="0.45">
      <c r="S240" s="197">
        <f t="shared" si="89"/>
        <v>0</v>
      </c>
      <c r="T240" s="197">
        <f t="shared" si="90"/>
        <v>0</v>
      </c>
      <c r="U240" s="197">
        <f t="shared" si="91"/>
        <v>0</v>
      </c>
      <c r="V240" s="197">
        <f t="shared" si="92"/>
        <v>0</v>
      </c>
      <c r="W240" s="8" t="str">
        <f>IF(C240&lt;&gt;"",MATCH(_xlfn.NUMBERVALUE(LEFT(C240,4)),KiemTraBCD!$B$10:$B$1000,0),"")</f>
        <v/>
      </c>
    </row>
    <row r="241" spans="19:23" x14ac:dyDescent="0.45">
      <c r="S241" s="197">
        <f t="shared" si="89"/>
        <v>0</v>
      </c>
      <c r="T241" s="197">
        <f t="shared" si="90"/>
        <v>0</v>
      </c>
      <c r="U241" s="197">
        <f t="shared" si="91"/>
        <v>0</v>
      </c>
      <c r="V241" s="197">
        <f t="shared" si="92"/>
        <v>0</v>
      </c>
      <c r="W241" s="8" t="str">
        <f>IF(C241&lt;&gt;"",MATCH(_xlfn.NUMBERVALUE(LEFT(C241,4)),KiemTraBCD!$B$10:$B$1000,0),"")</f>
        <v/>
      </c>
    </row>
    <row r="242" spans="19:23" x14ac:dyDescent="0.45">
      <c r="S242" s="197">
        <f t="shared" si="89"/>
        <v>0</v>
      </c>
      <c r="T242" s="197">
        <f t="shared" si="90"/>
        <v>0</v>
      </c>
      <c r="U242" s="197">
        <f t="shared" si="91"/>
        <v>0</v>
      </c>
      <c r="V242" s="197">
        <f t="shared" si="92"/>
        <v>0</v>
      </c>
      <c r="W242" s="8" t="str">
        <f>IF(C242&lt;&gt;"",MATCH(_xlfn.NUMBERVALUE(LEFT(C242,4)),KiemTraBCD!$B$10:$B$1000,0),"")</f>
        <v/>
      </c>
    </row>
    <row r="243" spans="19:23" x14ac:dyDescent="0.45">
      <c r="S243" s="197">
        <f t="shared" si="89"/>
        <v>0</v>
      </c>
      <c r="T243" s="197">
        <f t="shared" si="90"/>
        <v>0</v>
      </c>
      <c r="U243" s="197">
        <f t="shared" si="91"/>
        <v>0</v>
      </c>
      <c r="V243" s="197">
        <f t="shared" si="92"/>
        <v>0</v>
      </c>
      <c r="W243" s="8" t="str">
        <f>IF(C243&lt;&gt;"",MATCH(_xlfn.NUMBERVALUE(LEFT(C243,4)),KiemTraBCD!$B$10:$B$1000,0),"")</f>
        <v/>
      </c>
    </row>
    <row r="244" spans="19:23" x14ac:dyDescent="0.45">
      <c r="S244" s="197">
        <f t="shared" si="89"/>
        <v>0</v>
      </c>
      <c r="T244" s="197">
        <f t="shared" si="90"/>
        <v>0</v>
      </c>
      <c r="U244" s="197">
        <f t="shared" si="91"/>
        <v>0</v>
      </c>
      <c r="V244" s="197">
        <f t="shared" si="92"/>
        <v>0</v>
      </c>
      <c r="W244" s="8" t="str">
        <f>IF(C244&lt;&gt;"",MATCH(_xlfn.NUMBERVALUE(LEFT(C244,4)),KiemTraBCD!$B$10:$B$1000,0),"")</f>
        <v/>
      </c>
    </row>
    <row r="245" spans="19:23" x14ac:dyDescent="0.45">
      <c r="S245" s="197">
        <f t="shared" si="89"/>
        <v>0</v>
      </c>
      <c r="T245" s="197">
        <f t="shared" si="90"/>
        <v>0</v>
      </c>
      <c r="U245" s="197">
        <f t="shared" si="91"/>
        <v>0</v>
      </c>
      <c r="V245" s="197">
        <f t="shared" si="92"/>
        <v>0</v>
      </c>
      <c r="W245" s="8" t="str">
        <f>IF(C245&lt;&gt;"",MATCH(_xlfn.NUMBERVALUE(LEFT(C245,4)),KiemTraBCD!$B$10:$B$1000,0),"")</f>
        <v/>
      </c>
    </row>
    <row r="246" spans="19:23" x14ac:dyDescent="0.45">
      <c r="S246" s="197">
        <f t="shared" si="89"/>
        <v>0</v>
      </c>
      <c r="T246" s="197">
        <f t="shared" si="90"/>
        <v>0</v>
      </c>
      <c r="U246" s="197">
        <f t="shared" si="91"/>
        <v>0</v>
      </c>
      <c r="V246" s="197">
        <f t="shared" si="92"/>
        <v>0</v>
      </c>
      <c r="W246" s="8" t="str">
        <f>IF(C246&lt;&gt;"",MATCH(_xlfn.NUMBERVALUE(LEFT(C246,4)),KiemTraBCD!$B$10:$B$1000,0),"")</f>
        <v/>
      </c>
    </row>
    <row r="247" spans="19:23" x14ac:dyDescent="0.45">
      <c r="S247" s="197">
        <f t="shared" si="89"/>
        <v>0</v>
      </c>
      <c r="T247" s="197">
        <f t="shared" si="90"/>
        <v>0</v>
      </c>
      <c r="U247" s="197">
        <f t="shared" si="91"/>
        <v>0</v>
      </c>
      <c r="V247" s="197">
        <f t="shared" si="92"/>
        <v>0</v>
      </c>
      <c r="W247" s="8" t="str">
        <f>IF(C247&lt;&gt;"",MATCH(_xlfn.NUMBERVALUE(LEFT(C247,4)),KiemTraBCD!$B$10:$B$1000,0),"")</f>
        <v/>
      </c>
    </row>
    <row r="248" spans="19:23" x14ac:dyDescent="0.45">
      <c r="S248" s="197">
        <f t="shared" si="89"/>
        <v>0</v>
      </c>
      <c r="T248" s="197">
        <f t="shared" si="90"/>
        <v>0</v>
      </c>
      <c r="U248" s="197">
        <f t="shared" si="91"/>
        <v>0</v>
      </c>
      <c r="V248" s="197">
        <f t="shared" si="92"/>
        <v>0</v>
      </c>
      <c r="W248" s="8" t="str">
        <f>IF(C248&lt;&gt;"",MATCH(_xlfn.NUMBERVALUE(LEFT(C248,4)),KiemTraBCD!$B$10:$B$1000,0),"")</f>
        <v/>
      </c>
    </row>
    <row r="249" spans="19:23" x14ac:dyDescent="0.45">
      <c r="S249" s="197">
        <f t="shared" si="89"/>
        <v>0</v>
      </c>
      <c r="T249" s="197">
        <f t="shared" si="90"/>
        <v>0</v>
      </c>
      <c r="U249" s="197">
        <f t="shared" si="91"/>
        <v>0</v>
      </c>
      <c r="V249" s="197">
        <f t="shared" si="92"/>
        <v>0</v>
      </c>
      <c r="W249" s="8" t="str">
        <f>IF(C249&lt;&gt;"",MATCH(_xlfn.NUMBERVALUE(LEFT(C249,4)),KiemTraBCD!$B$10:$B$1000,0),"")</f>
        <v/>
      </c>
    </row>
    <row r="250" spans="19:23" x14ac:dyDescent="0.45">
      <c r="S250" s="197">
        <f t="shared" si="89"/>
        <v>0</v>
      </c>
      <c r="T250" s="197">
        <f t="shared" si="90"/>
        <v>0</v>
      </c>
      <c r="U250" s="197">
        <f t="shared" si="91"/>
        <v>0</v>
      </c>
      <c r="V250" s="197">
        <f t="shared" si="92"/>
        <v>0</v>
      </c>
      <c r="W250" s="8" t="str">
        <f>IF(C250&lt;&gt;"",MATCH(_xlfn.NUMBERVALUE(LEFT(C250,4)),KiemTraBCD!$B$10:$B$1000,0),"")</f>
        <v/>
      </c>
    </row>
    <row r="251" spans="19:23" x14ac:dyDescent="0.45">
      <c r="S251" s="197">
        <f t="shared" si="89"/>
        <v>0</v>
      </c>
      <c r="T251" s="197">
        <f t="shared" si="90"/>
        <v>0</v>
      </c>
      <c r="U251" s="197">
        <f t="shared" si="91"/>
        <v>0</v>
      </c>
      <c r="V251" s="197">
        <f t="shared" si="92"/>
        <v>0</v>
      </c>
      <c r="W251" s="8" t="str">
        <f>IF(C251&lt;&gt;"",MATCH(_xlfn.NUMBERVALUE(LEFT(C251,4)),KiemTraBCD!$B$10:$B$1000,0),"")</f>
        <v/>
      </c>
    </row>
    <row r="252" spans="19:23" x14ac:dyDescent="0.45">
      <c r="S252" s="197">
        <f t="shared" si="89"/>
        <v>0</v>
      </c>
      <c r="T252" s="197">
        <f t="shared" si="90"/>
        <v>0</v>
      </c>
      <c r="U252" s="197">
        <f t="shared" si="91"/>
        <v>0</v>
      </c>
      <c r="V252" s="197">
        <f t="shared" si="92"/>
        <v>0</v>
      </c>
      <c r="W252" s="8" t="str">
        <f>IF(C252&lt;&gt;"",MATCH(_xlfn.NUMBERVALUE(LEFT(C252,4)),KiemTraBCD!$B$10:$B$1000,0),"")</f>
        <v/>
      </c>
    </row>
    <row r="253" spans="19:23" x14ac:dyDescent="0.45">
      <c r="S253" s="197">
        <f t="shared" si="89"/>
        <v>0</v>
      </c>
      <c r="T253" s="197">
        <f t="shared" si="90"/>
        <v>0</v>
      </c>
      <c r="U253" s="197">
        <f t="shared" si="91"/>
        <v>0</v>
      </c>
      <c r="V253" s="197">
        <f t="shared" si="92"/>
        <v>0</v>
      </c>
      <c r="W253" s="8" t="str">
        <f>IF(C253&lt;&gt;"",MATCH(_xlfn.NUMBERVALUE(LEFT(C253,4)),KiemTraBCD!$B$10:$B$1000,0),"")</f>
        <v/>
      </c>
    </row>
    <row r="254" spans="19:23" x14ac:dyDescent="0.45">
      <c r="S254" s="197">
        <f t="shared" si="89"/>
        <v>0</v>
      </c>
      <c r="T254" s="197">
        <f t="shared" si="90"/>
        <v>0</v>
      </c>
      <c r="U254" s="197">
        <f t="shared" si="91"/>
        <v>0</v>
      </c>
      <c r="V254" s="197">
        <f t="shared" si="92"/>
        <v>0</v>
      </c>
      <c r="W254" s="8" t="str">
        <f>IF(C254&lt;&gt;"",MATCH(_xlfn.NUMBERVALUE(LEFT(C254,4)),KiemTraBCD!$B$10:$B$1000,0),"")</f>
        <v/>
      </c>
    </row>
    <row r="255" spans="19:23" x14ac:dyDescent="0.45">
      <c r="S255" s="197">
        <f t="shared" si="89"/>
        <v>0</v>
      </c>
      <c r="T255" s="197">
        <f t="shared" si="90"/>
        <v>0</v>
      </c>
      <c r="U255" s="197">
        <f t="shared" si="91"/>
        <v>0</v>
      </c>
      <c r="V255" s="197">
        <f t="shared" si="92"/>
        <v>0</v>
      </c>
      <c r="W255" s="8" t="str">
        <f>IF(C255&lt;&gt;"",MATCH(_xlfn.NUMBERVALUE(LEFT(C255,4)),KiemTraBCD!$B$10:$B$1000,0),"")</f>
        <v/>
      </c>
    </row>
    <row r="256" spans="19:23" x14ac:dyDescent="0.45">
      <c r="S256" s="197">
        <f t="shared" si="89"/>
        <v>0</v>
      </c>
      <c r="T256" s="197">
        <f t="shared" si="90"/>
        <v>0</v>
      </c>
      <c r="U256" s="197">
        <f t="shared" si="91"/>
        <v>0</v>
      </c>
      <c r="V256" s="197">
        <f t="shared" si="92"/>
        <v>0</v>
      </c>
      <c r="W256" s="8" t="str">
        <f>IF(C256&lt;&gt;"",MATCH(_xlfn.NUMBERVALUE(LEFT(C256,4)),KiemTraBCD!$B$10:$B$1000,0),"")</f>
        <v/>
      </c>
    </row>
    <row r="257" spans="19:23" x14ac:dyDescent="0.45">
      <c r="S257" s="197">
        <f t="shared" si="89"/>
        <v>0</v>
      </c>
      <c r="T257" s="197">
        <f t="shared" si="90"/>
        <v>0</v>
      </c>
      <c r="U257" s="197">
        <f t="shared" si="91"/>
        <v>0</v>
      </c>
      <c r="V257" s="197">
        <f t="shared" si="92"/>
        <v>0</v>
      </c>
      <c r="W257" s="8" t="str">
        <f>IF(C257&lt;&gt;"",MATCH(_xlfn.NUMBERVALUE(LEFT(C257,4)),KiemTraBCD!$B$10:$B$1000,0),"")</f>
        <v/>
      </c>
    </row>
    <row r="258" spans="19:23" x14ac:dyDescent="0.45">
      <c r="S258" s="197">
        <f t="shared" si="89"/>
        <v>0</v>
      </c>
      <c r="T258" s="197">
        <f t="shared" si="90"/>
        <v>0</v>
      </c>
      <c r="U258" s="197">
        <f t="shared" si="91"/>
        <v>0</v>
      </c>
      <c r="V258" s="197">
        <f t="shared" si="92"/>
        <v>0</v>
      </c>
      <c r="W258" s="8" t="str">
        <f>IF(C258&lt;&gt;"",MATCH(_xlfn.NUMBERVALUE(LEFT(C258,4)),KiemTraBCD!$B$10:$B$1000,0),"")</f>
        <v/>
      </c>
    </row>
    <row r="259" spans="19:23" x14ac:dyDescent="0.45">
      <c r="S259" s="197">
        <f t="shared" si="89"/>
        <v>0</v>
      </c>
      <c r="T259" s="197">
        <f t="shared" si="90"/>
        <v>0</v>
      </c>
      <c r="U259" s="197">
        <f t="shared" si="91"/>
        <v>0</v>
      </c>
      <c r="V259" s="197">
        <f t="shared" si="92"/>
        <v>0</v>
      </c>
      <c r="W259" s="8" t="str">
        <f>IF(C259&lt;&gt;"",MATCH(_xlfn.NUMBERVALUE(LEFT(C259,4)),KiemTraBCD!$B$10:$B$1000,0),"")</f>
        <v/>
      </c>
    </row>
    <row r="260" spans="19:23" x14ac:dyDescent="0.45">
      <c r="S260" s="197">
        <f t="shared" si="89"/>
        <v>0</v>
      </c>
      <c r="T260" s="197">
        <f t="shared" si="90"/>
        <v>0</v>
      </c>
      <c r="U260" s="197">
        <f t="shared" si="91"/>
        <v>0</v>
      </c>
      <c r="V260" s="197">
        <f t="shared" si="92"/>
        <v>0</v>
      </c>
      <c r="W260" s="8" t="str">
        <f>IF(C260&lt;&gt;"",MATCH(_xlfn.NUMBERVALUE(LEFT(C260,4)),KiemTraBCD!$B$10:$B$1000,0),"")</f>
        <v/>
      </c>
    </row>
    <row r="261" spans="19:23" x14ac:dyDescent="0.45">
      <c r="S261" s="197">
        <f t="shared" si="89"/>
        <v>0</v>
      </c>
      <c r="T261" s="197">
        <f t="shared" si="90"/>
        <v>0</v>
      </c>
      <c r="U261" s="197">
        <f t="shared" si="91"/>
        <v>0</v>
      </c>
      <c r="V261" s="197">
        <f t="shared" si="92"/>
        <v>0</v>
      </c>
      <c r="W261" s="8" t="str">
        <f>IF(C261&lt;&gt;"",MATCH(_xlfn.NUMBERVALUE(LEFT(C261,4)),KiemTraBCD!$B$10:$B$1000,0),"")</f>
        <v/>
      </c>
    </row>
    <row r="262" spans="19:23" x14ac:dyDescent="0.45">
      <c r="S262" s="197">
        <f t="shared" si="89"/>
        <v>0</v>
      </c>
      <c r="T262" s="197">
        <f t="shared" si="90"/>
        <v>0</v>
      </c>
      <c r="U262" s="197">
        <f t="shared" si="91"/>
        <v>0</v>
      </c>
      <c r="V262" s="197">
        <f t="shared" si="92"/>
        <v>0</v>
      </c>
      <c r="W262" s="8" t="str">
        <f>IF(C262&lt;&gt;"",MATCH(_xlfn.NUMBERVALUE(LEFT(C262,4)),KiemTraBCD!$B$10:$B$1000,0),"")</f>
        <v/>
      </c>
    </row>
    <row r="263" spans="19:23" x14ac:dyDescent="0.45">
      <c r="S263" s="197">
        <f t="shared" si="89"/>
        <v>0</v>
      </c>
      <c r="T263" s="197">
        <f t="shared" si="90"/>
        <v>0</v>
      </c>
      <c r="U263" s="197">
        <f t="shared" si="91"/>
        <v>0</v>
      </c>
      <c r="V263" s="197">
        <f t="shared" si="92"/>
        <v>0</v>
      </c>
      <c r="W263" s="8" t="str">
        <f>IF(C263&lt;&gt;"",MATCH(_xlfn.NUMBERVALUE(LEFT(C263,4)),KiemTraBCD!$B$10:$B$1000,0),"")</f>
        <v/>
      </c>
    </row>
    <row r="264" spans="19:23" x14ac:dyDescent="0.45">
      <c r="S264" s="197">
        <f t="shared" si="89"/>
        <v>0</v>
      </c>
      <c r="T264" s="197">
        <f t="shared" si="90"/>
        <v>0</v>
      </c>
      <c r="U264" s="197">
        <f t="shared" si="91"/>
        <v>0</v>
      </c>
      <c r="V264" s="197">
        <f t="shared" si="92"/>
        <v>0</v>
      </c>
      <c r="W264" s="8" t="str">
        <f>IF(C264&lt;&gt;"",MATCH(_xlfn.NUMBERVALUE(LEFT(C264,4)),KiemTraBCD!$B$10:$B$1000,0),"")</f>
        <v/>
      </c>
    </row>
    <row r="265" spans="19:23" x14ac:dyDescent="0.45">
      <c r="S265" s="197">
        <f t="shared" si="89"/>
        <v>0</v>
      </c>
      <c r="T265" s="197">
        <f t="shared" si="90"/>
        <v>0</v>
      </c>
      <c r="U265" s="197">
        <f t="shared" si="91"/>
        <v>0</v>
      </c>
      <c r="V265" s="197">
        <f t="shared" si="92"/>
        <v>0</v>
      </c>
      <c r="W265" s="8" t="str">
        <f>IF(C265&lt;&gt;"",MATCH(_xlfn.NUMBERVALUE(LEFT(C265,4)),KiemTraBCD!$B$10:$B$1000,0),"")</f>
        <v/>
      </c>
    </row>
    <row r="266" spans="19:23" x14ac:dyDescent="0.45">
      <c r="S266" s="197">
        <f t="shared" si="89"/>
        <v>0</v>
      </c>
      <c r="T266" s="197">
        <f t="shared" si="90"/>
        <v>0</v>
      </c>
      <c r="U266" s="197">
        <f t="shared" si="91"/>
        <v>0</v>
      </c>
      <c r="V266" s="197">
        <f t="shared" si="92"/>
        <v>0</v>
      </c>
      <c r="W266" s="8" t="str">
        <f>IF(C266&lt;&gt;"",MATCH(_xlfn.NUMBERVALUE(LEFT(C266,4)),KiemTraBCD!$B$10:$B$1000,0),"")</f>
        <v/>
      </c>
    </row>
    <row r="267" spans="19:23" x14ac:dyDescent="0.45">
      <c r="S267" s="197">
        <f t="shared" si="89"/>
        <v>0</v>
      </c>
      <c r="T267" s="197">
        <f t="shared" si="90"/>
        <v>0</v>
      </c>
      <c r="U267" s="197">
        <f t="shared" si="91"/>
        <v>0</v>
      </c>
      <c r="V267" s="197">
        <f t="shared" si="92"/>
        <v>0</v>
      </c>
      <c r="W267" s="8" t="str">
        <f>IF(C267&lt;&gt;"",MATCH(_xlfn.NUMBERVALUE(LEFT(C267,4)),KiemTraBCD!$B$10:$B$1000,0),"")</f>
        <v/>
      </c>
    </row>
    <row r="268" spans="19:23" x14ac:dyDescent="0.45">
      <c r="S268" s="197">
        <f t="shared" si="89"/>
        <v>0</v>
      </c>
      <c r="T268" s="197">
        <f t="shared" si="90"/>
        <v>0</v>
      </c>
      <c r="U268" s="197">
        <f t="shared" si="91"/>
        <v>0</v>
      </c>
      <c r="V268" s="197">
        <f t="shared" si="92"/>
        <v>0</v>
      </c>
      <c r="W268" s="8" t="str">
        <f>IF(C268&lt;&gt;"",MATCH(_xlfn.NUMBERVALUE(LEFT(C268,4)),KiemTraBCD!$B$10:$B$1000,0),"")</f>
        <v/>
      </c>
    </row>
    <row r="269" spans="19:23" x14ac:dyDescent="0.45">
      <c r="S269" s="197">
        <f t="shared" si="89"/>
        <v>0</v>
      </c>
      <c r="T269" s="197">
        <f t="shared" si="90"/>
        <v>0</v>
      </c>
      <c r="U269" s="197">
        <f t="shared" si="91"/>
        <v>0</v>
      </c>
      <c r="V269" s="197">
        <f t="shared" si="92"/>
        <v>0</v>
      </c>
      <c r="W269" s="8" t="str">
        <f>IF(C269&lt;&gt;"",MATCH(_xlfn.NUMBERVALUE(LEFT(C269,4)),KiemTraBCD!$B$10:$B$1000,0),"")</f>
        <v/>
      </c>
    </row>
    <row r="270" spans="19:23" x14ac:dyDescent="0.45">
      <c r="S270" s="197">
        <f t="shared" si="89"/>
        <v>0</v>
      </c>
      <c r="T270" s="197">
        <f t="shared" si="90"/>
        <v>0</v>
      </c>
      <c r="U270" s="197">
        <f t="shared" si="91"/>
        <v>0</v>
      </c>
      <c r="V270" s="197">
        <f t="shared" si="92"/>
        <v>0</v>
      </c>
      <c r="W270" s="8" t="str">
        <f>IF(C270&lt;&gt;"",MATCH(_xlfn.NUMBERVALUE(LEFT(C270,4)),KiemTraBCD!$B$10:$B$1000,0),"")</f>
        <v/>
      </c>
    </row>
    <row r="271" spans="19:23" x14ac:dyDescent="0.45">
      <c r="S271" s="197">
        <f t="shared" si="89"/>
        <v>0</v>
      </c>
      <c r="T271" s="197">
        <f t="shared" si="90"/>
        <v>0</v>
      </c>
      <c r="U271" s="197">
        <f t="shared" si="91"/>
        <v>0</v>
      </c>
      <c r="V271" s="197">
        <f t="shared" si="92"/>
        <v>0</v>
      </c>
      <c r="W271" s="8" t="str">
        <f>IF(C271&lt;&gt;"",MATCH(_xlfn.NUMBERVALUE(LEFT(C271,4)),KiemTraBCD!$B$10:$B$1000,0),"")</f>
        <v/>
      </c>
    </row>
    <row r="272" spans="19:23" x14ac:dyDescent="0.45">
      <c r="S272" s="197">
        <f t="shared" si="89"/>
        <v>0</v>
      </c>
      <c r="T272" s="197">
        <f t="shared" si="90"/>
        <v>0</v>
      </c>
      <c r="U272" s="197">
        <f t="shared" si="91"/>
        <v>0</v>
      </c>
      <c r="V272" s="197">
        <f t="shared" si="92"/>
        <v>0</v>
      </c>
      <c r="W272" s="8" t="str">
        <f>IF(C272&lt;&gt;"",MATCH(_xlfn.NUMBERVALUE(LEFT(C272,4)),KiemTraBCD!$B$10:$B$1000,0),"")</f>
        <v/>
      </c>
    </row>
    <row r="273" spans="19:23" x14ac:dyDescent="0.45">
      <c r="S273" s="197">
        <f t="shared" si="89"/>
        <v>0</v>
      </c>
      <c r="T273" s="197">
        <f t="shared" si="90"/>
        <v>0</v>
      </c>
      <c r="U273" s="197">
        <f t="shared" si="91"/>
        <v>0</v>
      </c>
      <c r="V273" s="197">
        <f t="shared" si="92"/>
        <v>0</v>
      </c>
      <c r="W273" s="8" t="str">
        <f>IF(C273&lt;&gt;"",MATCH(_xlfn.NUMBERVALUE(LEFT(C273,4)),KiemTraBCD!$B$10:$B$1000,0),"")</f>
        <v/>
      </c>
    </row>
    <row r="274" spans="19:23" x14ac:dyDescent="0.45">
      <c r="S274" s="197">
        <f t="shared" si="89"/>
        <v>0</v>
      </c>
      <c r="T274" s="197">
        <f t="shared" si="90"/>
        <v>0</v>
      </c>
      <c r="U274" s="197">
        <f t="shared" si="91"/>
        <v>0</v>
      </c>
      <c r="V274" s="197">
        <f t="shared" si="92"/>
        <v>0</v>
      </c>
      <c r="W274" s="8" t="str">
        <f>IF(C274&lt;&gt;"",MATCH(_xlfn.NUMBERVALUE(LEFT(C274,4)),KiemTraBCD!$B$10:$B$1000,0),"")</f>
        <v/>
      </c>
    </row>
    <row r="275" spans="19:23" x14ac:dyDescent="0.45">
      <c r="S275" s="197">
        <f t="shared" si="89"/>
        <v>0</v>
      </c>
      <c r="T275" s="197">
        <f t="shared" si="90"/>
        <v>0</v>
      </c>
      <c r="U275" s="197">
        <f t="shared" si="91"/>
        <v>0</v>
      </c>
      <c r="V275" s="197">
        <f t="shared" si="92"/>
        <v>0</v>
      </c>
      <c r="W275" s="8" t="str">
        <f>IF(C275&lt;&gt;"",MATCH(_xlfn.NUMBERVALUE(LEFT(C275,4)),KiemTraBCD!$B$10:$B$1000,0),"")</f>
        <v/>
      </c>
    </row>
    <row r="276" spans="19:23" x14ac:dyDescent="0.45">
      <c r="S276" s="197">
        <f t="shared" si="89"/>
        <v>0</v>
      </c>
      <c r="T276" s="197">
        <f t="shared" si="90"/>
        <v>0</v>
      </c>
      <c r="U276" s="197">
        <f t="shared" si="91"/>
        <v>0</v>
      </c>
      <c r="V276" s="197">
        <f t="shared" si="92"/>
        <v>0</v>
      </c>
      <c r="W276" s="8" t="str">
        <f>IF(C276&lt;&gt;"",MATCH(_xlfn.NUMBERVALUE(LEFT(C276,4)),KiemTraBCD!$B$10:$B$1000,0),"")</f>
        <v/>
      </c>
    </row>
    <row r="277" spans="19:23" x14ac:dyDescent="0.45">
      <c r="S277" s="197">
        <f t="shared" si="89"/>
        <v>0</v>
      </c>
      <c r="T277" s="197">
        <f t="shared" si="90"/>
        <v>0</v>
      </c>
      <c r="U277" s="197">
        <f t="shared" si="91"/>
        <v>0</v>
      </c>
      <c r="V277" s="197">
        <f t="shared" si="92"/>
        <v>0</v>
      </c>
      <c r="W277" s="8" t="str">
        <f>IF(C277&lt;&gt;"",MATCH(_xlfn.NUMBERVALUE(LEFT(C277,4)),KiemTraBCD!$B$10:$B$1000,0),"")</f>
        <v/>
      </c>
    </row>
    <row r="278" spans="19:23" x14ac:dyDescent="0.45">
      <c r="S278" s="197">
        <f t="shared" si="89"/>
        <v>0</v>
      </c>
      <c r="T278" s="197">
        <f t="shared" si="90"/>
        <v>0</v>
      </c>
      <c r="U278" s="197">
        <f t="shared" si="91"/>
        <v>0</v>
      </c>
      <c r="V278" s="197">
        <f t="shared" si="92"/>
        <v>0</v>
      </c>
      <c r="W278" s="8" t="str">
        <f>IF(C278&lt;&gt;"",MATCH(_xlfn.NUMBERVALUE(LEFT(C278,4)),KiemTraBCD!$B$10:$B$1000,0),"")</f>
        <v/>
      </c>
    </row>
    <row r="279" spans="19:23" x14ac:dyDescent="0.45">
      <c r="S279" s="197">
        <f t="shared" si="89"/>
        <v>0</v>
      </c>
      <c r="T279" s="197">
        <f t="shared" si="90"/>
        <v>0</v>
      </c>
      <c r="U279" s="197">
        <f t="shared" si="91"/>
        <v>0</v>
      </c>
      <c r="V279" s="197">
        <f t="shared" si="92"/>
        <v>0</v>
      </c>
      <c r="W279" s="8" t="str">
        <f>IF(C279&lt;&gt;"",MATCH(_xlfn.NUMBERVALUE(LEFT(C279,4)),KiemTraBCD!$B$10:$B$1000,0),"")</f>
        <v/>
      </c>
    </row>
    <row r="280" spans="19:23" x14ac:dyDescent="0.45">
      <c r="S280" s="197">
        <f t="shared" si="89"/>
        <v>0</v>
      </c>
      <c r="T280" s="197">
        <f t="shared" si="90"/>
        <v>0</v>
      </c>
      <c r="U280" s="197">
        <f t="shared" si="91"/>
        <v>0</v>
      </c>
      <c r="V280" s="197">
        <f t="shared" si="92"/>
        <v>0</v>
      </c>
      <c r="W280" s="8" t="str">
        <f>IF(C280&lt;&gt;"",MATCH(_xlfn.NUMBERVALUE(LEFT(C280,4)),KiemTraBCD!$B$10:$B$1000,0),"")</f>
        <v/>
      </c>
    </row>
    <row r="281" spans="19:23" x14ac:dyDescent="0.45">
      <c r="S281" s="197">
        <f t="shared" si="89"/>
        <v>0</v>
      </c>
      <c r="T281" s="197">
        <f t="shared" si="90"/>
        <v>0</v>
      </c>
      <c r="U281" s="197">
        <f t="shared" si="91"/>
        <v>0</v>
      </c>
      <c r="V281" s="197">
        <f t="shared" si="92"/>
        <v>0</v>
      </c>
      <c r="W281" s="8" t="str">
        <f>IF(C281&lt;&gt;"",MATCH(_xlfn.NUMBERVALUE(LEFT(C281,4)),KiemTraBCD!$B$10:$B$1000,0),"")</f>
        <v/>
      </c>
    </row>
    <row r="282" spans="19:23" x14ac:dyDescent="0.45">
      <c r="S282" s="197">
        <f t="shared" ref="S282:S345" si="93">MAX(0,E282+G282-F282-H282)</f>
        <v>0</v>
      </c>
      <c r="T282" s="197">
        <f t="shared" ref="T282:T345" si="94">MAX(0,F282+H282-E282-G282)</f>
        <v>0</v>
      </c>
      <c r="U282" s="197">
        <f t="shared" ref="U282:U345" si="95">ABS(I282-J282)</f>
        <v>0</v>
      </c>
      <c r="V282" s="197">
        <f t="shared" ref="V282:V345" si="96">S282+T282-U282</f>
        <v>0</v>
      </c>
      <c r="W282" s="8" t="str">
        <f>IF(C282&lt;&gt;"",MATCH(_xlfn.NUMBERVALUE(LEFT(C282,4)),KiemTraBCD!$B$10:$B$1000,0),"")</f>
        <v/>
      </c>
    </row>
    <row r="283" spans="19:23" x14ac:dyDescent="0.45">
      <c r="S283" s="197">
        <f t="shared" si="93"/>
        <v>0</v>
      </c>
      <c r="T283" s="197">
        <f t="shared" si="94"/>
        <v>0</v>
      </c>
      <c r="U283" s="197">
        <f t="shared" si="95"/>
        <v>0</v>
      </c>
      <c r="V283" s="197">
        <f t="shared" si="96"/>
        <v>0</v>
      </c>
      <c r="W283" s="8" t="str">
        <f>IF(C283&lt;&gt;"",MATCH(_xlfn.NUMBERVALUE(LEFT(C283,4)),KiemTraBCD!$B$10:$B$1000,0),"")</f>
        <v/>
      </c>
    </row>
    <row r="284" spans="19:23" x14ac:dyDescent="0.45">
      <c r="S284" s="197">
        <f t="shared" si="93"/>
        <v>0</v>
      </c>
      <c r="T284" s="197">
        <f t="shared" si="94"/>
        <v>0</v>
      </c>
      <c r="U284" s="197">
        <f t="shared" si="95"/>
        <v>0</v>
      </c>
      <c r="V284" s="197">
        <f t="shared" si="96"/>
        <v>0</v>
      </c>
      <c r="W284" s="8" t="str">
        <f>IF(C284&lt;&gt;"",MATCH(_xlfn.NUMBERVALUE(LEFT(C284,4)),KiemTraBCD!$B$10:$B$1000,0),"")</f>
        <v/>
      </c>
    </row>
    <row r="285" spans="19:23" x14ac:dyDescent="0.45">
      <c r="S285" s="197">
        <f t="shared" si="93"/>
        <v>0</v>
      </c>
      <c r="T285" s="197">
        <f t="shared" si="94"/>
        <v>0</v>
      </c>
      <c r="U285" s="197">
        <f t="shared" si="95"/>
        <v>0</v>
      </c>
      <c r="V285" s="197">
        <f t="shared" si="96"/>
        <v>0</v>
      </c>
      <c r="W285" s="8" t="str">
        <f>IF(C285&lt;&gt;"",MATCH(_xlfn.NUMBERVALUE(LEFT(C285,4)),KiemTraBCD!$B$10:$B$1000,0),"")</f>
        <v/>
      </c>
    </row>
    <row r="286" spans="19:23" x14ac:dyDescent="0.45">
      <c r="S286" s="197">
        <f t="shared" si="93"/>
        <v>0</v>
      </c>
      <c r="T286" s="197">
        <f t="shared" si="94"/>
        <v>0</v>
      </c>
      <c r="U286" s="197">
        <f t="shared" si="95"/>
        <v>0</v>
      </c>
      <c r="V286" s="197">
        <f t="shared" si="96"/>
        <v>0</v>
      </c>
      <c r="W286" s="8" t="str">
        <f>IF(C286&lt;&gt;"",MATCH(_xlfn.NUMBERVALUE(LEFT(C286,4)),KiemTraBCD!$B$10:$B$1000,0),"")</f>
        <v/>
      </c>
    </row>
    <row r="287" spans="19:23" x14ac:dyDescent="0.45">
      <c r="S287" s="197">
        <f t="shared" si="93"/>
        <v>0</v>
      </c>
      <c r="T287" s="197">
        <f t="shared" si="94"/>
        <v>0</v>
      </c>
      <c r="U287" s="197">
        <f t="shared" si="95"/>
        <v>0</v>
      </c>
      <c r="V287" s="197">
        <f t="shared" si="96"/>
        <v>0</v>
      </c>
      <c r="W287" s="8" t="str">
        <f>IF(C287&lt;&gt;"",MATCH(_xlfn.NUMBERVALUE(LEFT(C287,4)),KiemTraBCD!$B$10:$B$1000,0),"")</f>
        <v/>
      </c>
    </row>
    <row r="288" spans="19:23" x14ac:dyDescent="0.45">
      <c r="S288" s="197">
        <f t="shared" si="93"/>
        <v>0</v>
      </c>
      <c r="T288" s="197">
        <f t="shared" si="94"/>
        <v>0</v>
      </c>
      <c r="U288" s="197">
        <f t="shared" si="95"/>
        <v>0</v>
      </c>
      <c r="V288" s="197">
        <f t="shared" si="96"/>
        <v>0</v>
      </c>
      <c r="W288" s="8" t="str">
        <f>IF(C288&lt;&gt;"",MATCH(_xlfn.NUMBERVALUE(LEFT(C288,4)),KiemTraBCD!$B$10:$B$1000,0),"")</f>
        <v/>
      </c>
    </row>
    <row r="289" spans="19:23" x14ac:dyDescent="0.45">
      <c r="S289" s="197">
        <f t="shared" si="93"/>
        <v>0</v>
      </c>
      <c r="T289" s="197">
        <f t="shared" si="94"/>
        <v>0</v>
      </c>
      <c r="U289" s="197">
        <f t="shared" si="95"/>
        <v>0</v>
      </c>
      <c r="V289" s="197">
        <f t="shared" si="96"/>
        <v>0</v>
      </c>
      <c r="W289" s="8" t="str">
        <f>IF(C289&lt;&gt;"",MATCH(_xlfn.NUMBERVALUE(LEFT(C289,4)),KiemTraBCD!$B$10:$B$1000,0),"")</f>
        <v/>
      </c>
    </row>
    <row r="290" spans="19:23" x14ac:dyDescent="0.45">
      <c r="S290" s="197">
        <f t="shared" si="93"/>
        <v>0</v>
      </c>
      <c r="T290" s="197">
        <f t="shared" si="94"/>
        <v>0</v>
      </c>
      <c r="U290" s="197">
        <f t="shared" si="95"/>
        <v>0</v>
      </c>
      <c r="V290" s="197">
        <f t="shared" si="96"/>
        <v>0</v>
      </c>
      <c r="W290" s="8" t="str">
        <f>IF(C290&lt;&gt;"",MATCH(_xlfn.NUMBERVALUE(LEFT(C290,4)),KiemTraBCD!$B$10:$B$1000,0),"")</f>
        <v/>
      </c>
    </row>
    <row r="291" spans="19:23" x14ac:dyDescent="0.45">
      <c r="S291" s="197">
        <f t="shared" si="93"/>
        <v>0</v>
      </c>
      <c r="T291" s="197">
        <f t="shared" si="94"/>
        <v>0</v>
      </c>
      <c r="U291" s="197">
        <f t="shared" si="95"/>
        <v>0</v>
      </c>
      <c r="V291" s="197">
        <f t="shared" si="96"/>
        <v>0</v>
      </c>
      <c r="W291" s="8" t="str">
        <f>IF(C291&lt;&gt;"",MATCH(_xlfn.NUMBERVALUE(LEFT(C291,4)),KiemTraBCD!$B$10:$B$1000,0),"")</f>
        <v/>
      </c>
    </row>
    <row r="292" spans="19:23" x14ac:dyDescent="0.45">
      <c r="S292" s="197">
        <f t="shared" si="93"/>
        <v>0</v>
      </c>
      <c r="T292" s="197">
        <f t="shared" si="94"/>
        <v>0</v>
      </c>
      <c r="U292" s="197">
        <f t="shared" si="95"/>
        <v>0</v>
      </c>
      <c r="V292" s="197">
        <f t="shared" si="96"/>
        <v>0</v>
      </c>
      <c r="W292" s="8" t="str">
        <f>IF(C292&lt;&gt;"",MATCH(_xlfn.NUMBERVALUE(LEFT(C292,4)),KiemTraBCD!$B$10:$B$1000,0),"")</f>
        <v/>
      </c>
    </row>
    <row r="293" spans="19:23" x14ac:dyDescent="0.45">
      <c r="S293" s="197">
        <f t="shared" si="93"/>
        <v>0</v>
      </c>
      <c r="T293" s="197">
        <f t="shared" si="94"/>
        <v>0</v>
      </c>
      <c r="U293" s="197">
        <f t="shared" si="95"/>
        <v>0</v>
      </c>
      <c r="V293" s="197">
        <f t="shared" si="96"/>
        <v>0</v>
      </c>
      <c r="W293" s="8" t="str">
        <f>IF(C293&lt;&gt;"",MATCH(_xlfn.NUMBERVALUE(LEFT(C293,4)),KiemTraBCD!$B$10:$B$1000,0),"")</f>
        <v/>
      </c>
    </row>
    <row r="294" spans="19:23" x14ac:dyDescent="0.45">
      <c r="S294" s="197">
        <f t="shared" si="93"/>
        <v>0</v>
      </c>
      <c r="T294" s="197">
        <f t="shared" si="94"/>
        <v>0</v>
      </c>
      <c r="U294" s="197">
        <f t="shared" si="95"/>
        <v>0</v>
      </c>
      <c r="V294" s="197">
        <f t="shared" si="96"/>
        <v>0</v>
      </c>
      <c r="W294" s="8" t="str">
        <f>IF(C294&lt;&gt;"",MATCH(_xlfn.NUMBERVALUE(LEFT(C294,4)),KiemTraBCD!$B$10:$B$1000,0),"")</f>
        <v/>
      </c>
    </row>
    <row r="295" spans="19:23" x14ac:dyDescent="0.45">
      <c r="S295" s="197">
        <f t="shared" si="93"/>
        <v>0</v>
      </c>
      <c r="T295" s="197">
        <f t="shared" si="94"/>
        <v>0</v>
      </c>
      <c r="U295" s="197">
        <f t="shared" si="95"/>
        <v>0</v>
      </c>
      <c r="V295" s="197">
        <f t="shared" si="96"/>
        <v>0</v>
      </c>
      <c r="W295" s="8" t="str">
        <f>IF(C295&lt;&gt;"",MATCH(_xlfn.NUMBERVALUE(LEFT(C295,4)),KiemTraBCD!$B$10:$B$1000,0),"")</f>
        <v/>
      </c>
    </row>
    <row r="296" spans="19:23" x14ac:dyDescent="0.45">
      <c r="S296" s="197">
        <f t="shared" si="93"/>
        <v>0</v>
      </c>
      <c r="T296" s="197">
        <f t="shared" si="94"/>
        <v>0</v>
      </c>
      <c r="U296" s="197">
        <f t="shared" si="95"/>
        <v>0</v>
      </c>
      <c r="V296" s="197">
        <f t="shared" si="96"/>
        <v>0</v>
      </c>
      <c r="W296" s="8" t="str">
        <f>IF(C296&lt;&gt;"",MATCH(_xlfn.NUMBERVALUE(LEFT(C296,4)),KiemTraBCD!$B$10:$B$1000,0),"")</f>
        <v/>
      </c>
    </row>
    <row r="297" spans="19:23" x14ac:dyDescent="0.45">
      <c r="S297" s="197">
        <f t="shared" si="93"/>
        <v>0</v>
      </c>
      <c r="T297" s="197">
        <f t="shared" si="94"/>
        <v>0</v>
      </c>
      <c r="U297" s="197">
        <f t="shared" si="95"/>
        <v>0</v>
      </c>
      <c r="V297" s="197">
        <f t="shared" si="96"/>
        <v>0</v>
      </c>
      <c r="W297" s="8" t="str">
        <f>IF(C297&lt;&gt;"",MATCH(_xlfn.NUMBERVALUE(LEFT(C297,4)),KiemTraBCD!$B$10:$B$1000,0),"")</f>
        <v/>
      </c>
    </row>
    <row r="298" spans="19:23" x14ac:dyDescent="0.45">
      <c r="S298" s="197">
        <f t="shared" si="93"/>
        <v>0</v>
      </c>
      <c r="T298" s="197">
        <f t="shared" si="94"/>
        <v>0</v>
      </c>
      <c r="U298" s="197">
        <f t="shared" si="95"/>
        <v>0</v>
      </c>
      <c r="V298" s="197">
        <f t="shared" si="96"/>
        <v>0</v>
      </c>
      <c r="W298" s="8" t="str">
        <f>IF(C298&lt;&gt;"",MATCH(_xlfn.NUMBERVALUE(LEFT(C298,4)),KiemTraBCD!$B$10:$B$1000,0),"")</f>
        <v/>
      </c>
    </row>
    <row r="299" spans="19:23" x14ac:dyDescent="0.45">
      <c r="S299" s="197">
        <f t="shared" si="93"/>
        <v>0</v>
      </c>
      <c r="T299" s="197">
        <f t="shared" si="94"/>
        <v>0</v>
      </c>
      <c r="U299" s="197">
        <f t="shared" si="95"/>
        <v>0</v>
      </c>
      <c r="V299" s="197">
        <f t="shared" si="96"/>
        <v>0</v>
      </c>
      <c r="W299" s="8" t="str">
        <f>IF(C299&lt;&gt;"",MATCH(_xlfn.NUMBERVALUE(LEFT(C299,4)),KiemTraBCD!$B$10:$B$1000,0),"")</f>
        <v/>
      </c>
    </row>
    <row r="300" spans="19:23" x14ac:dyDescent="0.45">
      <c r="S300" s="197">
        <f t="shared" si="93"/>
        <v>0</v>
      </c>
      <c r="T300" s="197">
        <f t="shared" si="94"/>
        <v>0</v>
      </c>
      <c r="U300" s="197">
        <f t="shared" si="95"/>
        <v>0</v>
      </c>
      <c r="V300" s="197">
        <f t="shared" si="96"/>
        <v>0</v>
      </c>
      <c r="W300" s="8" t="str">
        <f>IF(C300&lt;&gt;"",MATCH(_xlfn.NUMBERVALUE(LEFT(C300,4)),KiemTraBCD!$B$10:$B$1000,0),"")</f>
        <v/>
      </c>
    </row>
    <row r="301" spans="19:23" x14ac:dyDescent="0.45">
      <c r="S301" s="197">
        <f t="shared" si="93"/>
        <v>0</v>
      </c>
      <c r="T301" s="197">
        <f t="shared" si="94"/>
        <v>0</v>
      </c>
      <c r="U301" s="197">
        <f t="shared" si="95"/>
        <v>0</v>
      </c>
      <c r="V301" s="197">
        <f t="shared" si="96"/>
        <v>0</v>
      </c>
      <c r="W301" s="8" t="str">
        <f>IF(C301&lt;&gt;"",MATCH(_xlfn.NUMBERVALUE(LEFT(C301,4)),KiemTraBCD!$B$10:$B$1000,0),"")</f>
        <v/>
      </c>
    </row>
    <row r="302" spans="19:23" x14ac:dyDescent="0.45">
      <c r="S302" s="197">
        <f t="shared" si="93"/>
        <v>0</v>
      </c>
      <c r="T302" s="197">
        <f t="shared" si="94"/>
        <v>0</v>
      </c>
      <c r="U302" s="197">
        <f t="shared" si="95"/>
        <v>0</v>
      </c>
      <c r="V302" s="197">
        <f t="shared" si="96"/>
        <v>0</v>
      </c>
      <c r="W302" s="8" t="str">
        <f>IF(C302&lt;&gt;"",MATCH(_xlfn.NUMBERVALUE(LEFT(C302,4)),KiemTraBCD!$B$10:$B$1000,0),"")</f>
        <v/>
      </c>
    </row>
    <row r="303" spans="19:23" x14ac:dyDescent="0.45">
      <c r="S303" s="197">
        <f t="shared" si="93"/>
        <v>0</v>
      </c>
      <c r="T303" s="197">
        <f t="shared" si="94"/>
        <v>0</v>
      </c>
      <c r="U303" s="197">
        <f t="shared" si="95"/>
        <v>0</v>
      </c>
      <c r="V303" s="197">
        <f t="shared" si="96"/>
        <v>0</v>
      </c>
      <c r="W303" s="8" t="str">
        <f>IF(C303&lt;&gt;"",MATCH(_xlfn.NUMBERVALUE(LEFT(C303,4)),KiemTraBCD!$B$10:$B$1000,0),"")</f>
        <v/>
      </c>
    </row>
    <row r="304" spans="19:23" x14ac:dyDescent="0.45">
      <c r="S304" s="197">
        <f t="shared" si="93"/>
        <v>0</v>
      </c>
      <c r="T304" s="197">
        <f t="shared" si="94"/>
        <v>0</v>
      </c>
      <c r="U304" s="197">
        <f t="shared" si="95"/>
        <v>0</v>
      </c>
      <c r="V304" s="197">
        <f t="shared" si="96"/>
        <v>0</v>
      </c>
      <c r="W304" s="8" t="str">
        <f>IF(C304&lt;&gt;"",MATCH(_xlfn.NUMBERVALUE(LEFT(C304,4)),KiemTraBCD!$B$10:$B$1000,0),"")</f>
        <v/>
      </c>
    </row>
    <row r="305" spans="19:23" x14ac:dyDescent="0.45">
      <c r="S305" s="197">
        <f t="shared" si="93"/>
        <v>0</v>
      </c>
      <c r="T305" s="197">
        <f t="shared" si="94"/>
        <v>0</v>
      </c>
      <c r="U305" s="197">
        <f t="shared" si="95"/>
        <v>0</v>
      </c>
      <c r="V305" s="197">
        <f t="shared" si="96"/>
        <v>0</v>
      </c>
      <c r="W305" s="8" t="str">
        <f>IF(C305&lt;&gt;"",MATCH(_xlfn.NUMBERVALUE(LEFT(C305,4)),KiemTraBCD!$B$10:$B$1000,0),"")</f>
        <v/>
      </c>
    </row>
    <row r="306" spans="19:23" x14ac:dyDescent="0.45">
      <c r="S306" s="197">
        <f t="shared" si="93"/>
        <v>0</v>
      </c>
      <c r="T306" s="197">
        <f t="shared" si="94"/>
        <v>0</v>
      </c>
      <c r="U306" s="197">
        <f t="shared" si="95"/>
        <v>0</v>
      </c>
      <c r="V306" s="197">
        <f t="shared" si="96"/>
        <v>0</v>
      </c>
      <c r="W306" s="8" t="str">
        <f>IF(C306&lt;&gt;"",MATCH(_xlfn.NUMBERVALUE(LEFT(C306,4)),KiemTraBCD!$B$10:$B$1000,0),"")</f>
        <v/>
      </c>
    </row>
    <row r="307" spans="19:23" x14ac:dyDescent="0.45">
      <c r="S307" s="197">
        <f t="shared" si="93"/>
        <v>0</v>
      </c>
      <c r="T307" s="197">
        <f t="shared" si="94"/>
        <v>0</v>
      </c>
      <c r="U307" s="197">
        <f t="shared" si="95"/>
        <v>0</v>
      </c>
      <c r="V307" s="197">
        <f t="shared" si="96"/>
        <v>0</v>
      </c>
      <c r="W307" s="8" t="str">
        <f>IF(C307&lt;&gt;"",MATCH(_xlfn.NUMBERVALUE(LEFT(C307,4)),KiemTraBCD!$B$10:$B$1000,0),"")</f>
        <v/>
      </c>
    </row>
    <row r="308" spans="19:23" x14ac:dyDescent="0.45">
      <c r="S308" s="197">
        <f t="shared" si="93"/>
        <v>0</v>
      </c>
      <c r="T308" s="197">
        <f t="shared" si="94"/>
        <v>0</v>
      </c>
      <c r="U308" s="197">
        <f t="shared" si="95"/>
        <v>0</v>
      </c>
      <c r="V308" s="197">
        <f t="shared" si="96"/>
        <v>0</v>
      </c>
      <c r="W308" s="8" t="str">
        <f>IF(C308&lt;&gt;"",MATCH(_xlfn.NUMBERVALUE(LEFT(C308,4)),KiemTraBCD!$B$10:$B$1000,0),"")</f>
        <v/>
      </c>
    </row>
    <row r="309" spans="19:23" x14ac:dyDescent="0.45">
      <c r="S309" s="197">
        <f t="shared" si="93"/>
        <v>0</v>
      </c>
      <c r="T309" s="197">
        <f t="shared" si="94"/>
        <v>0</v>
      </c>
      <c r="U309" s="197">
        <f t="shared" si="95"/>
        <v>0</v>
      </c>
      <c r="V309" s="197">
        <f t="shared" si="96"/>
        <v>0</v>
      </c>
      <c r="W309" s="8" t="str">
        <f>IF(C309&lt;&gt;"",MATCH(_xlfn.NUMBERVALUE(LEFT(C309,4)),KiemTraBCD!$B$10:$B$1000,0),"")</f>
        <v/>
      </c>
    </row>
    <row r="310" spans="19:23" x14ac:dyDescent="0.45">
      <c r="S310" s="197">
        <f t="shared" si="93"/>
        <v>0</v>
      </c>
      <c r="T310" s="197">
        <f t="shared" si="94"/>
        <v>0</v>
      </c>
      <c r="U310" s="197">
        <f t="shared" si="95"/>
        <v>0</v>
      </c>
      <c r="V310" s="197">
        <f t="shared" si="96"/>
        <v>0</v>
      </c>
      <c r="W310" s="8" t="str">
        <f>IF(C310&lt;&gt;"",MATCH(_xlfn.NUMBERVALUE(LEFT(C310,4)),KiemTraBCD!$B$10:$B$1000,0),"")</f>
        <v/>
      </c>
    </row>
    <row r="311" spans="19:23" x14ac:dyDescent="0.45">
      <c r="S311" s="197">
        <f t="shared" si="93"/>
        <v>0</v>
      </c>
      <c r="T311" s="197">
        <f t="shared" si="94"/>
        <v>0</v>
      </c>
      <c r="U311" s="197">
        <f t="shared" si="95"/>
        <v>0</v>
      </c>
      <c r="V311" s="197">
        <f t="shared" si="96"/>
        <v>0</v>
      </c>
      <c r="W311" s="8" t="str">
        <f>IF(C311&lt;&gt;"",MATCH(_xlfn.NUMBERVALUE(LEFT(C311,4)),KiemTraBCD!$B$10:$B$1000,0),"")</f>
        <v/>
      </c>
    </row>
    <row r="312" spans="19:23" x14ac:dyDescent="0.45">
      <c r="S312" s="197">
        <f t="shared" si="93"/>
        <v>0</v>
      </c>
      <c r="T312" s="197">
        <f t="shared" si="94"/>
        <v>0</v>
      </c>
      <c r="U312" s="197">
        <f t="shared" si="95"/>
        <v>0</v>
      </c>
      <c r="V312" s="197">
        <f t="shared" si="96"/>
        <v>0</v>
      </c>
      <c r="W312" s="8" t="str">
        <f>IF(C312&lt;&gt;"",MATCH(_xlfn.NUMBERVALUE(LEFT(C312,4)),KiemTraBCD!$B$10:$B$1000,0),"")</f>
        <v/>
      </c>
    </row>
    <row r="313" spans="19:23" x14ac:dyDescent="0.45">
      <c r="S313" s="197">
        <f t="shared" si="93"/>
        <v>0</v>
      </c>
      <c r="T313" s="197">
        <f t="shared" si="94"/>
        <v>0</v>
      </c>
      <c r="U313" s="197">
        <f t="shared" si="95"/>
        <v>0</v>
      </c>
      <c r="V313" s="197">
        <f t="shared" si="96"/>
        <v>0</v>
      </c>
      <c r="W313" s="8" t="str">
        <f>IF(C313&lt;&gt;"",MATCH(_xlfn.NUMBERVALUE(LEFT(C313,4)),KiemTraBCD!$B$10:$B$1000,0),"")</f>
        <v/>
      </c>
    </row>
    <row r="314" spans="19:23" x14ac:dyDescent="0.45">
      <c r="S314" s="197">
        <f t="shared" si="93"/>
        <v>0</v>
      </c>
      <c r="T314" s="197">
        <f t="shared" si="94"/>
        <v>0</v>
      </c>
      <c r="U314" s="197">
        <f t="shared" si="95"/>
        <v>0</v>
      </c>
      <c r="V314" s="197">
        <f t="shared" si="96"/>
        <v>0</v>
      </c>
      <c r="W314" s="8" t="str">
        <f>IF(C314&lt;&gt;"",MATCH(_xlfn.NUMBERVALUE(LEFT(C314,4)),KiemTraBCD!$B$10:$B$1000,0),"")</f>
        <v/>
      </c>
    </row>
    <row r="315" spans="19:23" x14ac:dyDescent="0.45">
      <c r="S315" s="197">
        <f t="shared" si="93"/>
        <v>0</v>
      </c>
      <c r="T315" s="197">
        <f t="shared" si="94"/>
        <v>0</v>
      </c>
      <c r="U315" s="197">
        <f t="shared" si="95"/>
        <v>0</v>
      </c>
      <c r="V315" s="197">
        <f t="shared" si="96"/>
        <v>0</v>
      </c>
      <c r="W315" s="8" t="str">
        <f>IF(C315&lt;&gt;"",MATCH(_xlfn.NUMBERVALUE(LEFT(C315,4)),KiemTraBCD!$B$10:$B$1000,0),"")</f>
        <v/>
      </c>
    </row>
    <row r="316" spans="19:23" x14ac:dyDescent="0.45">
      <c r="S316" s="197">
        <f t="shared" si="93"/>
        <v>0</v>
      </c>
      <c r="T316" s="197">
        <f t="shared" si="94"/>
        <v>0</v>
      </c>
      <c r="U316" s="197">
        <f t="shared" si="95"/>
        <v>0</v>
      </c>
      <c r="V316" s="197">
        <f t="shared" si="96"/>
        <v>0</v>
      </c>
      <c r="W316" s="8" t="str">
        <f>IF(C316&lt;&gt;"",MATCH(_xlfn.NUMBERVALUE(LEFT(C316,4)),KiemTraBCD!$B$10:$B$1000,0),"")</f>
        <v/>
      </c>
    </row>
    <row r="317" spans="19:23" x14ac:dyDescent="0.45">
      <c r="S317" s="197">
        <f t="shared" si="93"/>
        <v>0</v>
      </c>
      <c r="T317" s="197">
        <f t="shared" si="94"/>
        <v>0</v>
      </c>
      <c r="U317" s="197">
        <f t="shared" si="95"/>
        <v>0</v>
      </c>
      <c r="V317" s="197">
        <f t="shared" si="96"/>
        <v>0</v>
      </c>
      <c r="W317" s="8" t="str">
        <f>IF(C317&lt;&gt;"",MATCH(_xlfn.NUMBERVALUE(LEFT(C317,4)),KiemTraBCD!$B$10:$B$1000,0),"")</f>
        <v/>
      </c>
    </row>
    <row r="318" spans="19:23" x14ac:dyDescent="0.45">
      <c r="S318" s="197">
        <f t="shared" si="93"/>
        <v>0</v>
      </c>
      <c r="T318" s="197">
        <f t="shared" si="94"/>
        <v>0</v>
      </c>
      <c r="U318" s="197">
        <f t="shared" si="95"/>
        <v>0</v>
      </c>
      <c r="V318" s="197">
        <f t="shared" si="96"/>
        <v>0</v>
      </c>
      <c r="W318" s="8" t="str">
        <f>IF(C318&lt;&gt;"",MATCH(_xlfn.NUMBERVALUE(LEFT(C318,4)),KiemTraBCD!$B$10:$B$1000,0),"")</f>
        <v/>
      </c>
    </row>
    <row r="319" spans="19:23" x14ac:dyDescent="0.45">
      <c r="S319" s="197">
        <f t="shared" si="93"/>
        <v>0</v>
      </c>
      <c r="T319" s="197">
        <f t="shared" si="94"/>
        <v>0</v>
      </c>
      <c r="U319" s="197">
        <f t="shared" si="95"/>
        <v>0</v>
      </c>
      <c r="V319" s="197">
        <f t="shared" si="96"/>
        <v>0</v>
      </c>
      <c r="W319" s="8" t="str">
        <f>IF(C319&lt;&gt;"",MATCH(_xlfn.NUMBERVALUE(LEFT(C319,4)),KiemTraBCD!$B$10:$B$1000,0),"")</f>
        <v/>
      </c>
    </row>
    <row r="320" spans="19:23" x14ac:dyDescent="0.45">
      <c r="S320" s="197">
        <f t="shared" si="93"/>
        <v>0</v>
      </c>
      <c r="T320" s="197">
        <f t="shared" si="94"/>
        <v>0</v>
      </c>
      <c r="U320" s="197">
        <f t="shared" si="95"/>
        <v>0</v>
      </c>
      <c r="V320" s="197">
        <f t="shared" si="96"/>
        <v>0</v>
      </c>
      <c r="W320" s="8" t="str">
        <f>IF(C320&lt;&gt;"",MATCH(_xlfn.NUMBERVALUE(LEFT(C320,4)),KiemTraBCD!$B$10:$B$1000,0),"")</f>
        <v/>
      </c>
    </row>
    <row r="321" spans="19:23" x14ac:dyDescent="0.45">
      <c r="S321" s="197">
        <f t="shared" si="93"/>
        <v>0</v>
      </c>
      <c r="T321" s="197">
        <f t="shared" si="94"/>
        <v>0</v>
      </c>
      <c r="U321" s="197">
        <f t="shared" si="95"/>
        <v>0</v>
      </c>
      <c r="V321" s="197">
        <f t="shared" si="96"/>
        <v>0</v>
      </c>
      <c r="W321" s="8" t="str">
        <f>IF(C321&lt;&gt;"",MATCH(_xlfn.NUMBERVALUE(LEFT(C321,4)),KiemTraBCD!$B$10:$B$1000,0),"")</f>
        <v/>
      </c>
    </row>
    <row r="322" spans="19:23" x14ac:dyDescent="0.45">
      <c r="S322" s="197">
        <f t="shared" si="93"/>
        <v>0</v>
      </c>
      <c r="T322" s="197">
        <f t="shared" si="94"/>
        <v>0</v>
      </c>
      <c r="U322" s="197">
        <f t="shared" si="95"/>
        <v>0</v>
      </c>
      <c r="V322" s="197">
        <f t="shared" si="96"/>
        <v>0</v>
      </c>
      <c r="W322" s="8" t="str">
        <f>IF(C322&lt;&gt;"",MATCH(_xlfn.NUMBERVALUE(LEFT(C322,4)),KiemTraBCD!$B$10:$B$1000,0),"")</f>
        <v/>
      </c>
    </row>
    <row r="323" spans="19:23" x14ac:dyDescent="0.45">
      <c r="S323" s="197">
        <f t="shared" si="93"/>
        <v>0</v>
      </c>
      <c r="T323" s="197">
        <f t="shared" si="94"/>
        <v>0</v>
      </c>
      <c r="U323" s="197">
        <f t="shared" si="95"/>
        <v>0</v>
      </c>
      <c r="V323" s="197">
        <f t="shared" si="96"/>
        <v>0</v>
      </c>
      <c r="W323" s="8" t="str">
        <f>IF(C323&lt;&gt;"",MATCH(_xlfn.NUMBERVALUE(LEFT(C323,4)),KiemTraBCD!$B$10:$B$1000,0),"")</f>
        <v/>
      </c>
    </row>
    <row r="324" spans="19:23" x14ac:dyDescent="0.45">
      <c r="S324" s="197">
        <f t="shared" si="93"/>
        <v>0</v>
      </c>
      <c r="T324" s="197">
        <f t="shared" si="94"/>
        <v>0</v>
      </c>
      <c r="U324" s="197">
        <f t="shared" si="95"/>
        <v>0</v>
      </c>
      <c r="V324" s="197">
        <f t="shared" si="96"/>
        <v>0</v>
      </c>
      <c r="W324" s="8" t="str">
        <f>IF(C324&lt;&gt;"",MATCH(_xlfn.NUMBERVALUE(LEFT(C324,4)),KiemTraBCD!$B$10:$B$1000,0),"")</f>
        <v/>
      </c>
    </row>
    <row r="325" spans="19:23" x14ac:dyDescent="0.45">
      <c r="S325" s="197">
        <f t="shared" si="93"/>
        <v>0</v>
      </c>
      <c r="T325" s="197">
        <f t="shared" si="94"/>
        <v>0</v>
      </c>
      <c r="U325" s="197">
        <f t="shared" si="95"/>
        <v>0</v>
      </c>
      <c r="V325" s="197">
        <f t="shared" si="96"/>
        <v>0</v>
      </c>
      <c r="W325" s="8" t="str">
        <f>IF(C325&lt;&gt;"",MATCH(_xlfn.NUMBERVALUE(LEFT(C325,4)),KiemTraBCD!$B$10:$B$1000,0),"")</f>
        <v/>
      </c>
    </row>
    <row r="326" spans="19:23" x14ac:dyDescent="0.45">
      <c r="S326" s="197">
        <f t="shared" si="93"/>
        <v>0</v>
      </c>
      <c r="T326" s="197">
        <f t="shared" si="94"/>
        <v>0</v>
      </c>
      <c r="U326" s="197">
        <f t="shared" si="95"/>
        <v>0</v>
      </c>
      <c r="V326" s="197">
        <f t="shared" si="96"/>
        <v>0</v>
      </c>
      <c r="W326" s="8" t="str">
        <f>IF(C326&lt;&gt;"",MATCH(_xlfn.NUMBERVALUE(LEFT(C326,4)),KiemTraBCD!$B$10:$B$1000,0),"")</f>
        <v/>
      </c>
    </row>
    <row r="327" spans="19:23" x14ac:dyDescent="0.45">
      <c r="S327" s="197">
        <f t="shared" si="93"/>
        <v>0</v>
      </c>
      <c r="T327" s="197">
        <f t="shared" si="94"/>
        <v>0</v>
      </c>
      <c r="U327" s="197">
        <f t="shared" si="95"/>
        <v>0</v>
      </c>
      <c r="V327" s="197">
        <f t="shared" si="96"/>
        <v>0</v>
      </c>
      <c r="W327" s="8" t="str">
        <f>IF(C327&lt;&gt;"",MATCH(_xlfn.NUMBERVALUE(LEFT(C327,4)),KiemTraBCD!$B$10:$B$1000,0),"")</f>
        <v/>
      </c>
    </row>
    <row r="328" spans="19:23" x14ac:dyDescent="0.45">
      <c r="S328" s="197">
        <f t="shared" si="93"/>
        <v>0</v>
      </c>
      <c r="T328" s="197">
        <f t="shared" si="94"/>
        <v>0</v>
      </c>
      <c r="U328" s="197">
        <f t="shared" si="95"/>
        <v>0</v>
      </c>
      <c r="V328" s="197">
        <f t="shared" si="96"/>
        <v>0</v>
      </c>
      <c r="W328" s="8" t="str">
        <f>IF(C328&lt;&gt;"",MATCH(_xlfn.NUMBERVALUE(LEFT(C328,4)),KiemTraBCD!$B$10:$B$1000,0),"")</f>
        <v/>
      </c>
    </row>
    <row r="329" spans="19:23" x14ac:dyDescent="0.45">
      <c r="S329" s="197">
        <f t="shared" si="93"/>
        <v>0</v>
      </c>
      <c r="T329" s="197">
        <f t="shared" si="94"/>
        <v>0</v>
      </c>
      <c r="U329" s="197">
        <f t="shared" si="95"/>
        <v>0</v>
      </c>
      <c r="V329" s="197">
        <f t="shared" si="96"/>
        <v>0</v>
      </c>
      <c r="W329" s="8" t="str">
        <f>IF(C329&lt;&gt;"",MATCH(_xlfn.NUMBERVALUE(LEFT(C329,4)),KiemTraBCD!$B$10:$B$1000,0),"")</f>
        <v/>
      </c>
    </row>
    <row r="330" spans="19:23" x14ac:dyDescent="0.45">
      <c r="S330" s="197">
        <f t="shared" si="93"/>
        <v>0</v>
      </c>
      <c r="T330" s="197">
        <f t="shared" si="94"/>
        <v>0</v>
      </c>
      <c r="U330" s="197">
        <f t="shared" si="95"/>
        <v>0</v>
      </c>
      <c r="V330" s="197">
        <f t="shared" si="96"/>
        <v>0</v>
      </c>
      <c r="W330" s="8" t="str">
        <f>IF(C330&lt;&gt;"",MATCH(_xlfn.NUMBERVALUE(LEFT(C330,4)),KiemTraBCD!$B$10:$B$1000,0),"")</f>
        <v/>
      </c>
    </row>
    <row r="331" spans="19:23" x14ac:dyDescent="0.45">
      <c r="S331" s="197">
        <f t="shared" si="93"/>
        <v>0</v>
      </c>
      <c r="T331" s="197">
        <f t="shared" si="94"/>
        <v>0</v>
      </c>
      <c r="U331" s="197">
        <f t="shared" si="95"/>
        <v>0</v>
      </c>
      <c r="V331" s="197">
        <f t="shared" si="96"/>
        <v>0</v>
      </c>
      <c r="W331" s="8" t="str">
        <f>IF(C331&lt;&gt;"",MATCH(_xlfn.NUMBERVALUE(LEFT(C331,4)),KiemTraBCD!$B$10:$B$1000,0),"")</f>
        <v/>
      </c>
    </row>
    <row r="332" spans="19:23" x14ac:dyDescent="0.45">
      <c r="S332" s="197">
        <f t="shared" si="93"/>
        <v>0</v>
      </c>
      <c r="T332" s="197">
        <f t="shared" si="94"/>
        <v>0</v>
      </c>
      <c r="U332" s="197">
        <f t="shared" si="95"/>
        <v>0</v>
      </c>
      <c r="V332" s="197">
        <f t="shared" si="96"/>
        <v>0</v>
      </c>
      <c r="W332" s="8" t="str">
        <f>IF(C332&lt;&gt;"",MATCH(_xlfn.NUMBERVALUE(LEFT(C332,4)),KiemTraBCD!$B$10:$B$1000,0),"")</f>
        <v/>
      </c>
    </row>
    <row r="333" spans="19:23" x14ac:dyDescent="0.45">
      <c r="S333" s="197">
        <f t="shared" si="93"/>
        <v>0</v>
      </c>
      <c r="T333" s="197">
        <f t="shared" si="94"/>
        <v>0</v>
      </c>
      <c r="U333" s="197">
        <f t="shared" si="95"/>
        <v>0</v>
      </c>
      <c r="V333" s="197">
        <f t="shared" si="96"/>
        <v>0</v>
      </c>
      <c r="W333" s="8" t="str">
        <f>IF(C333&lt;&gt;"",MATCH(_xlfn.NUMBERVALUE(LEFT(C333,4)),KiemTraBCD!$B$10:$B$1000,0),"")</f>
        <v/>
      </c>
    </row>
    <row r="334" spans="19:23" x14ac:dyDescent="0.45">
      <c r="S334" s="197">
        <f t="shared" si="93"/>
        <v>0</v>
      </c>
      <c r="T334" s="197">
        <f t="shared" si="94"/>
        <v>0</v>
      </c>
      <c r="U334" s="197">
        <f t="shared" si="95"/>
        <v>0</v>
      </c>
      <c r="V334" s="197">
        <f t="shared" si="96"/>
        <v>0</v>
      </c>
      <c r="W334" s="8" t="str">
        <f>IF(C334&lt;&gt;"",MATCH(_xlfn.NUMBERVALUE(LEFT(C334,4)),KiemTraBCD!$B$10:$B$1000,0),"")</f>
        <v/>
      </c>
    </row>
    <row r="335" spans="19:23" x14ac:dyDescent="0.45">
      <c r="S335" s="197">
        <f t="shared" si="93"/>
        <v>0</v>
      </c>
      <c r="T335" s="197">
        <f t="shared" si="94"/>
        <v>0</v>
      </c>
      <c r="U335" s="197">
        <f t="shared" si="95"/>
        <v>0</v>
      </c>
      <c r="V335" s="197">
        <f t="shared" si="96"/>
        <v>0</v>
      </c>
      <c r="W335" s="8" t="str">
        <f>IF(C335&lt;&gt;"",MATCH(_xlfn.NUMBERVALUE(LEFT(C335,4)),KiemTraBCD!$B$10:$B$1000,0),"")</f>
        <v/>
      </c>
    </row>
    <row r="336" spans="19:23" x14ac:dyDescent="0.45">
      <c r="S336" s="197">
        <f t="shared" si="93"/>
        <v>0</v>
      </c>
      <c r="T336" s="197">
        <f t="shared" si="94"/>
        <v>0</v>
      </c>
      <c r="U336" s="197">
        <f t="shared" si="95"/>
        <v>0</v>
      </c>
      <c r="V336" s="197">
        <f t="shared" si="96"/>
        <v>0</v>
      </c>
      <c r="W336" s="8" t="str">
        <f>IF(C336&lt;&gt;"",MATCH(_xlfn.NUMBERVALUE(LEFT(C336,4)),KiemTraBCD!$B$10:$B$1000,0),"")</f>
        <v/>
      </c>
    </row>
    <row r="337" spans="19:23" x14ac:dyDescent="0.45">
      <c r="S337" s="197">
        <f t="shared" si="93"/>
        <v>0</v>
      </c>
      <c r="T337" s="197">
        <f t="shared" si="94"/>
        <v>0</v>
      </c>
      <c r="U337" s="197">
        <f t="shared" si="95"/>
        <v>0</v>
      </c>
      <c r="V337" s="197">
        <f t="shared" si="96"/>
        <v>0</v>
      </c>
      <c r="W337" s="8" t="str">
        <f>IF(C337&lt;&gt;"",MATCH(_xlfn.NUMBERVALUE(LEFT(C337,4)),KiemTraBCD!$B$10:$B$1000,0),"")</f>
        <v/>
      </c>
    </row>
    <row r="338" spans="19:23" x14ac:dyDescent="0.45">
      <c r="S338" s="197">
        <f t="shared" si="93"/>
        <v>0</v>
      </c>
      <c r="T338" s="197">
        <f t="shared" si="94"/>
        <v>0</v>
      </c>
      <c r="U338" s="197">
        <f t="shared" si="95"/>
        <v>0</v>
      </c>
      <c r="V338" s="197">
        <f t="shared" si="96"/>
        <v>0</v>
      </c>
      <c r="W338" s="8" t="str">
        <f>IF(C338&lt;&gt;"",MATCH(_xlfn.NUMBERVALUE(LEFT(C338,4)),KiemTraBCD!$B$10:$B$1000,0),"")</f>
        <v/>
      </c>
    </row>
    <row r="339" spans="19:23" x14ac:dyDescent="0.45">
      <c r="S339" s="197">
        <f t="shared" si="93"/>
        <v>0</v>
      </c>
      <c r="T339" s="197">
        <f t="shared" si="94"/>
        <v>0</v>
      </c>
      <c r="U339" s="197">
        <f t="shared" si="95"/>
        <v>0</v>
      </c>
      <c r="V339" s="197">
        <f t="shared" si="96"/>
        <v>0</v>
      </c>
      <c r="W339" s="8" t="str">
        <f>IF(C339&lt;&gt;"",MATCH(_xlfn.NUMBERVALUE(LEFT(C339,4)),KiemTraBCD!$B$10:$B$1000,0),"")</f>
        <v/>
      </c>
    </row>
    <row r="340" spans="19:23" x14ac:dyDescent="0.45">
      <c r="S340" s="197">
        <f t="shared" si="93"/>
        <v>0</v>
      </c>
      <c r="T340" s="197">
        <f t="shared" si="94"/>
        <v>0</v>
      </c>
      <c r="U340" s="197">
        <f t="shared" si="95"/>
        <v>0</v>
      </c>
      <c r="V340" s="197">
        <f t="shared" si="96"/>
        <v>0</v>
      </c>
      <c r="W340" s="8" t="str">
        <f>IF(C340&lt;&gt;"",MATCH(_xlfn.NUMBERVALUE(LEFT(C340,4)),KiemTraBCD!$B$10:$B$1000,0),"")</f>
        <v/>
      </c>
    </row>
    <row r="341" spans="19:23" x14ac:dyDescent="0.45">
      <c r="S341" s="197">
        <f t="shared" si="93"/>
        <v>0</v>
      </c>
      <c r="T341" s="197">
        <f t="shared" si="94"/>
        <v>0</v>
      </c>
      <c r="U341" s="197">
        <f t="shared" si="95"/>
        <v>0</v>
      </c>
      <c r="V341" s="197">
        <f t="shared" si="96"/>
        <v>0</v>
      </c>
      <c r="W341" s="8" t="str">
        <f>IF(C341&lt;&gt;"",MATCH(_xlfn.NUMBERVALUE(LEFT(C341,4)),KiemTraBCD!$B$10:$B$1000,0),"")</f>
        <v/>
      </c>
    </row>
    <row r="342" spans="19:23" x14ac:dyDescent="0.45">
      <c r="S342" s="197">
        <f t="shared" si="93"/>
        <v>0</v>
      </c>
      <c r="T342" s="197">
        <f t="shared" si="94"/>
        <v>0</v>
      </c>
      <c r="U342" s="197">
        <f t="shared" si="95"/>
        <v>0</v>
      </c>
      <c r="V342" s="197">
        <f t="shared" si="96"/>
        <v>0</v>
      </c>
      <c r="W342" s="8" t="str">
        <f>IF(C342&lt;&gt;"",MATCH(_xlfn.NUMBERVALUE(LEFT(C342,4)),KiemTraBCD!$B$10:$B$1000,0),"")</f>
        <v/>
      </c>
    </row>
    <row r="343" spans="19:23" x14ac:dyDescent="0.45">
      <c r="S343" s="197">
        <f t="shared" si="93"/>
        <v>0</v>
      </c>
      <c r="T343" s="197">
        <f t="shared" si="94"/>
        <v>0</v>
      </c>
      <c r="U343" s="197">
        <f t="shared" si="95"/>
        <v>0</v>
      </c>
      <c r="V343" s="197">
        <f t="shared" si="96"/>
        <v>0</v>
      </c>
      <c r="W343" s="8" t="str">
        <f>IF(C343&lt;&gt;"",MATCH(_xlfn.NUMBERVALUE(LEFT(C343,4)),KiemTraBCD!$B$10:$B$1000,0),"")</f>
        <v/>
      </c>
    </row>
    <row r="344" spans="19:23" x14ac:dyDescent="0.45">
      <c r="S344" s="197">
        <f t="shared" si="93"/>
        <v>0</v>
      </c>
      <c r="T344" s="197">
        <f t="shared" si="94"/>
        <v>0</v>
      </c>
      <c r="U344" s="197">
        <f t="shared" si="95"/>
        <v>0</v>
      </c>
      <c r="V344" s="197">
        <f t="shared" si="96"/>
        <v>0</v>
      </c>
      <c r="W344" s="8" t="str">
        <f>IF(C344&lt;&gt;"",MATCH(_xlfn.NUMBERVALUE(LEFT(C344,4)),KiemTraBCD!$B$10:$B$1000,0),"")</f>
        <v/>
      </c>
    </row>
    <row r="345" spans="19:23" x14ac:dyDescent="0.45">
      <c r="S345" s="197">
        <f t="shared" si="93"/>
        <v>0</v>
      </c>
      <c r="T345" s="197">
        <f t="shared" si="94"/>
        <v>0</v>
      </c>
      <c r="U345" s="197">
        <f t="shared" si="95"/>
        <v>0</v>
      </c>
      <c r="V345" s="197">
        <f t="shared" si="96"/>
        <v>0</v>
      </c>
      <c r="W345" s="8" t="str">
        <f>IF(C345&lt;&gt;"",MATCH(_xlfn.NUMBERVALUE(LEFT(C345,4)),KiemTraBCD!$B$10:$B$1000,0),"")</f>
        <v/>
      </c>
    </row>
    <row r="346" spans="19:23" x14ac:dyDescent="0.45">
      <c r="S346" s="197">
        <f t="shared" ref="S346:S351" si="97">MAX(0,E346+G346-F346-H346)</f>
        <v>0</v>
      </c>
      <c r="T346" s="197">
        <f t="shared" ref="T346:T351" si="98">MAX(0,F346+H346-E346-G346)</f>
        <v>0</v>
      </c>
      <c r="U346" s="197">
        <f t="shared" ref="U346:U351" si="99">ABS(I346-J346)</f>
        <v>0</v>
      </c>
      <c r="V346" s="197">
        <f t="shared" ref="V346:V351" si="100">S346+T346-U346</f>
        <v>0</v>
      </c>
      <c r="W346" s="8" t="str">
        <f>IF(C346&lt;&gt;"",MATCH(_xlfn.NUMBERVALUE(LEFT(C346,4)),KiemTraBCD!$B$10:$B$1000,0),"")</f>
        <v/>
      </c>
    </row>
    <row r="347" spans="19:23" x14ac:dyDescent="0.45">
      <c r="S347" s="197">
        <f t="shared" si="97"/>
        <v>0</v>
      </c>
      <c r="T347" s="197">
        <f t="shared" si="98"/>
        <v>0</v>
      </c>
      <c r="U347" s="197">
        <f t="shared" si="99"/>
        <v>0</v>
      </c>
      <c r="V347" s="197">
        <f t="shared" si="100"/>
        <v>0</v>
      </c>
      <c r="W347" s="8" t="str">
        <f>IF(C347&lt;&gt;"",MATCH(_xlfn.NUMBERVALUE(LEFT(C347,4)),KiemTraBCD!$B$10:$B$1000,0),"")</f>
        <v/>
      </c>
    </row>
    <row r="348" spans="19:23" x14ac:dyDescent="0.45">
      <c r="S348" s="197">
        <f t="shared" si="97"/>
        <v>0</v>
      </c>
      <c r="T348" s="197">
        <f t="shared" si="98"/>
        <v>0</v>
      </c>
      <c r="U348" s="197">
        <f t="shared" si="99"/>
        <v>0</v>
      </c>
      <c r="V348" s="197">
        <f t="shared" si="100"/>
        <v>0</v>
      </c>
      <c r="W348" s="8" t="str">
        <f>IF(C348&lt;&gt;"",MATCH(_xlfn.NUMBERVALUE(LEFT(C348,4)),KiemTraBCD!$B$10:$B$1000,0),"")</f>
        <v/>
      </c>
    </row>
    <row r="349" spans="19:23" x14ac:dyDescent="0.45">
      <c r="S349" s="197">
        <f t="shared" si="97"/>
        <v>0</v>
      </c>
      <c r="T349" s="197">
        <f t="shared" si="98"/>
        <v>0</v>
      </c>
      <c r="U349" s="197">
        <f t="shared" si="99"/>
        <v>0</v>
      </c>
      <c r="V349" s="197">
        <f t="shared" si="100"/>
        <v>0</v>
      </c>
      <c r="W349" s="8" t="str">
        <f>IF(C349&lt;&gt;"",MATCH(_xlfn.NUMBERVALUE(LEFT(C349,4)),KiemTraBCD!$B$10:$B$1000,0),"")</f>
        <v/>
      </c>
    </row>
    <row r="350" spans="19:23" x14ac:dyDescent="0.45">
      <c r="S350" s="197">
        <f t="shared" si="97"/>
        <v>0</v>
      </c>
      <c r="T350" s="197">
        <f t="shared" si="98"/>
        <v>0</v>
      </c>
      <c r="U350" s="197">
        <f t="shared" si="99"/>
        <v>0</v>
      </c>
      <c r="V350" s="197">
        <f t="shared" si="100"/>
        <v>0</v>
      </c>
      <c r="W350" s="8" t="str">
        <f>IF(C350&lt;&gt;"",MATCH(_xlfn.NUMBERVALUE(LEFT(C350,4)),KiemTraBCD!$B$10:$B$1000,0),"")</f>
        <v/>
      </c>
    </row>
    <row r="351" spans="19:23" x14ac:dyDescent="0.45">
      <c r="S351" s="197">
        <f t="shared" si="97"/>
        <v>0</v>
      </c>
      <c r="T351" s="197">
        <f t="shared" si="98"/>
        <v>0</v>
      </c>
      <c r="U351" s="197">
        <f t="shared" si="99"/>
        <v>0</v>
      </c>
      <c r="V351" s="197">
        <f t="shared" si="100"/>
        <v>0</v>
      </c>
      <c r="W351" s="8" t="str">
        <f>IF(C351&lt;&gt;"",MATCH(_xlfn.NUMBERVALUE(LEFT(C351,4)),KiemTraBCD!$B$10:$B$1000,0),"")</f>
        <v/>
      </c>
    </row>
  </sheetData>
  <autoFilter ref="B6:C110" xr:uid="{00000000-0009-0000-0000-000002000000}"/>
  <mergeCells count="8">
    <mergeCell ref="B4:B5"/>
    <mergeCell ref="V4:V5"/>
    <mergeCell ref="S4:T4"/>
    <mergeCell ref="E4:F4"/>
    <mergeCell ref="G4:H4"/>
    <mergeCell ref="I4:J4"/>
    <mergeCell ref="D4:D5"/>
    <mergeCell ref="C4:C5"/>
  </mergeCells>
  <conditionalFormatting sqref="B130:V685 B7:B129 K7:V129">
    <cfRule type="expression" dxfId="17" priority="8">
      <formula>$V7&lt;&gt;0</formula>
    </cfRule>
    <cfRule type="expression" dxfId="16" priority="9">
      <formula>$B7=1</formula>
    </cfRule>
  </conditionalFormatting>
  <conditionalFormatting sqref="G6:H6">
    <cfRule type="duplicateValues" dxfId="15" priority="7"/>
  </conditionalFormatting>
  <conditionalFormatting sqref="I6:J6">
    <cfRule type="duplicateValues" dxfId="14" priority="6"/>
  </conditionalFormatting>
  <conditionalFormatting sqref="E6:F6">
    <cfRule type="duplicateValues" dxfId="13" priority="5"/>
  </conditionalFormatting>
  <conditionalFormatting sqref="K26:R26 B130:J3185 B7:B129">
    <cfRule type="expression" dxfId="12" priority="4">
      <formula>ISERROR($W7)</formula>
    </cfRule>
  </conditionalFormatting>
  <conditionalFormatting sqref="C7:J129">
    <cfRule type="expression" dxfId="11" priority="2">
      <formula>$V7&lt;&gt;0</formula>
    </cfRule>
    <cfRule type="expression" dxfId="10" priority="3">
      <formula>$B7=1</formula>
    </cfRule>
  </conditionalFormatting>
  <conditionalFormatting sqref="C7:J129">
    <cfRule type="expression" dxfId="9" priority="1">
      <formula>ISERROR($W7)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KiemTra">
    <tabColor theme="4"/>
  </sheetPr>
  <dimension ref="A2:P132"/>
  <sheetViews>
    <sheetView showGridLines="0" workbookViewId="0">
      <selection activeCell="G60" sqref="G60:H61"/>
    </sheetView>
  </sheetViews>
  <sheetFormatPr defaultRowHeight="14.25" x14ac:dyDescent="0.45"/>
  <cols>
    <col min="1" max="1" width="9.265625" style="206"/>
    <col min="2" max="2" width="8.73046875" style="215" customWidth="1"/>
    <col min="3" max="3" width="44.86328125" customWidth="1"/>
    <col min="4" max="5" width="16.73046875" customWidth="1"/>
    <col min="6" max="7" width="18.265625" customWidth="1"/>
    <col min="8" max="9" width="16.73046875" customWidth="1"/>
    <col min="10" max="16" width="13.86328125" customWidth="1"/>
  </cols>
  <sheetData>
    <row r="2" spans="1:16" ht="19.899999999999999" thickBot="1" x14ac:dyDescent="0.65">
      <c r="C2" s="1" t="s">
        <v>1351</v>
      </c>
      <c r="D2" s="1"/>
      <c r="E2" s="1"/>
      <c r="F2" s="1"/>
      <c r="G2" s="1"/>
      <c r="H2" s="1"/>
      <c r="I2" s="1"/>
    </row>
    <row r="3" spans="1:16" ht="14.65" thickTop="1" x14ac:dyDescent="0.45">
      <c r="E3" s="236">
        <f>E8-E9</f>
        <v>0</v>
      </c>
    </row>
    <row r="4" spans="1:16" x14ac:dyDescent="0.45">
      <c r="D4" s="236"/>
      <c r="E4" s="18" t="str">
        <f>IF(SUM(D8:E9)/4&lt;&gt;D8,"ERROR","")</f>
        <v/>
      </c>
      <c r="F4" s="236"/>
      <c r="G4" s="18" t="str">
        <f>IF(SUM(F8:G9)/4&lt;&gt;F8,"ERROR","")</f>
        <v/>
      </c>
      <c r="H4" s="236"/>
      <c r="I4" s="18" t="str">
        <f>IF(SUM(H8:I9)/4&lt;&gt;H8,"ERROR","")</f>
        <v/>
      </c>
      <c r="J4">
        <v>3</v>
      </c>
      <c r="K4">
        <v>4</v>
      </c>
      <c r="L4">
        <v>5</v>
      </c>
      <c r="M4">
        <v>6</v>
      </c>
      <c r="N4">
        <v>7</v>
      </c>
      <c r="O4">
        <v>8</v>
      </c>
    </row>
    <row r="5" spans="1:16" x14ac:dyDescent="0.45">
      <c r="D5" s="236">
        <f>D8-D9</f>
        <v>0</v>
      </c>
      <c r="F5" s="236">
        <f>F8-F9</f>
        <v>0</v>
      </c>
      <c r="G5" s="236">
        <f>G9-F9</f>
        <v>0</v>
      </c>
      <c r="H5" s="236">
        <f>H8-H9</f>
        <v>0</v>
      </c>
      <c r="J5" s="477" t="s">
        <v>1350</v>
      </c>
      <c r="K5" s="477"/>
      <c r="L5" s="477"/>
      <c r="M5" s="477"/>
      <c r="N5" s="477"/>
      <c r="O5" s="477"/>
      <c r="P5" s="18"/>
    </row>
    <row r="6" spans="1:16" ht="14.85" customHeight="1" x14ac:dyDescent="0.45">
      <c r="A6" s="471" t="s">
        <v>1</v>
      </c>
      <c r="B6" s="474" t="s">
        <v>2</v>
      </c>
      <c r="C6" s="478" t="s">
        <v>3</v>
      </c>
      <c r="D6" s="480" t="s">
        <v>4</v>
      </c>
      <c r="E6" s="480"/>
      <c r="F6" s="480" t="s">
        <v>5</v>
      </c>
      <c r="G6" s="480"/>
      <c r="H6" s="481" t="s">
        <v>6</v>
      </c>
      <c r="I6" s="482"/>
      <c r="J6" s="18"/>
      <c r="K6" s="18"/>
      <c r="L6" s="18"/>
      <c r="M6" s="18"/>
      <c r="N6" s="18"/>
      <c r="O6" s="18"/>
      <c r="P6" s="18"/>
    </row>
    <row r="7" spans="1:16" x14ac:dyDescent="0.45">
      <c r="A7" s="472"/>
      <c r="B7" s="475"/>
      <c r="C7" s="479"/>
      <c r="D7" s="210" t="s">
        <v>10</v>
      </c>
      <c r="E7" s="210" t="s">
        <v>11</v>
      </c>
      <c r="F7" s="210" t="s">
        <v>10</v>
      </c>
      <c r="G7" s="210" t="s">
        <v>11</v>
      </c>
      <c r="H7" s="210" t="s">
        <v>10</v>
      </c>
      <c r="I7" s="211" t="s">
        <v>11</v>
      </c>
      <c r="J7" s="18"/>
      <c r="K7" s="18"/>
      <c r="L7" s="18"/>
      <c r="M7" s="18"/>
      <c r="N7" s="18"/>
      <c r="O7" s="18"/>
      <c r="P7" s="18"/>
    </row>
    <row r="8" spans="1:16" x14ac:dyDescent="0.45">
      <c r="A8" s="473"/>
      <c r="B8" s="476"/>
      <c r="C8" s="208" t="s">
        <v>1349</v>
      </c>
      <c r="D8" s="229">
        <f>INPUT!E6</f>
        <v>0</v>
      </c>
      <c r="E8" s="229">
        <f>INPUT!F6</f>
        <v>0</v>
      </c>
      <c r="F8" s="229">
        <f>INPUT!G6</f>
        <v>0</v>
      </c>
      <c r="G8" s="229">
        <f>INPUT!H6</f>
        <v>0</v>
      </c>
      <c r="H8" s="229">
        <f>INPUT!I6</f>
        <v>0</v>
      </c>
      <c r="I8" s="229">
        <f>INPUT!J6</f>
        <v>0</v>
      </c>
      <c r="J8" s="18"/>
      <c r="K8" s="18"/>
      <c r="L8" s="18"/>
      <c r="M8" s="18"/>
      <c r="N8" s="18"/>
      <c r="O8" s="18"/>
      <c r="P8" s="18"/>
    </row>
    <row r="9" spans="1:16" x14ac:dyDescent="0.45">
      <c r="A9" s="155"/>
      <c r="B9" s="212"/>
      <c r="C9" s="209" t="s">
        <v>4360</v>
      </c>
      <c r="D9" s="229">
        <f t="shared" ref="D9:I9" si="0">SUMIFS(D10:D1000,$A$10:$A$1000,1)</f>
        <v>0</v>
      </c>
      <c r="E9" s="229">
        <f t="shared" si="0"/>
        <v>0</v>
      </c>
      <c r="F9" s="229">
        <f>SUMIFS(F10:F1000,$A$10:$A$1000,1)</f>
        <v>0</v>
      </c>
      <c r="G9" s="229">
        <f t="shared" si="0"/>
        <v>0</v>
      </c>
      <c r="H9" s="229">
        <f t="shared" si="0"/>
        <v>0</v>
      </c>
      <c r="I9" s="229">
        <f t="shared" si="0"/>
        <v>0</v>
      </c>
      <c r="J9" s="18"/>
      <c r="K9" s="18"/>
      <c r="L9" s="18"/>
      <c r="M9" s="18"/>
      <c r="N9" s="18"/>
      <c r="O9" s="18"/>
      <c r="P9" s="18"/>
    </row>
    <row r="10" spans="1:16" x14ac:dyDescent="0.45">
      <c r="A10" s="216">
        <f>LEN(B10)-2</f>
        <v>1</v>
      </c>
      <c r="B10" s="217">
        <v>111</v>
      </c>
      <c r="C10" s="218" t="s">
        <v>12</v>
      </c>
      <c r="D10" s="227">
        <f>SUM(D11:D12)</f>
        <v>0</v>
      </c>
      <c r="E10" s="227">
        <f t="shared" ref="E10:I10" si="1">SUM(E11:E12)</f>
        <v>0</v>
      </c>
      <c r="F10" s="227">
        <f t="shared" si="1"/>
        <v>0</v>
      </c>
      <c r="G10" s="227">
        <f t="shared" si="1"/>
        <v>0</v>
      </c>
      <c r="H10" s="227">
        <f>SUM(H11:H12)</f>
        <v>0</v>
      </c>
      <c r="I10" s="227">
        <f t="shared" si="1"/>
        <v>0</v>
      </c>
      <c r="J10" s="234" t="str">
        <f>IFERROR(IF($A10=1,D10-VLOOKUP($B10,INPUT!$C$7:$J$6985,J$4,0),0),"A")</f>
        <v>A</v>
      </c>
      <c r="K10" s="234" t="str">
        <f>IFERROR(IF($A10=1,E10-VLOOKUP($B10,INPUT!$C$7:$J$6985,K$4,0),0),"A")</f>
        <v>A</v>
      </c>
      <c r="L10" s="234" t="str">
        <f>IFERROR(IF($A10=1,F10-VLOOKUP($B10,INPUT!$C$7:$J$6985,L$4,0),0),"A")</f>
        <v>A</v>
      </c>
      <c r="M10" s="234" t="str">
        <f>IFERROR(IF($A10=1,G10-VLOOKUP($B10,INPUT!$C$7:$J$6985,M$4,0),0),"A")</f>
        <v>A</v>
      </c>
      <c r="N10" s="234" t="str">
        <f>IFERROR(IF($A10=1,H10-VLOOKUP($B10,INPUT!$C$7:$J$6985,N$4,0),0),"A")</f>
        <v>A</v>
      </c>
      <c r="O10" s="234" t="str">
        <f>IFERROR(IF($A10=1,I10-VLOOKUP($B10,INPUT!$C$7:$J$6985,O$4,0),0),"A")</f>
        <v>A</v>
      </c>
      <c r="P10" s="235">
        <f>SUM(J10:O10)</f>
        <v>0</v>
      </c>
    </row>
    <row r="11" spans="1:16" x14ac:dyDescent="0.45">
      <c r="A11" s="207">
        <f t="shared" ref="A11:A74" si="2">LEN(B11)-2</f>
        <v>2</v>
      </c>
      <c r="B11" s="213">
        <v>1111</v>
      </c>
      <c r="C11" s="164" t="s">
        <v>13</v>
      </c>
      <c r="D11" s="228">
        <f>SUMIFS(INPUT!E$7:E$6985,INPUT!$C$7:$C$6985,$B11)</f>
        <v>0</v>
      </c>
      <c r="E11" s="228">
        <f>SUMIFS(INPUT!F$7:F$6985,INPUT!$C$7:$C$6985,$B11)</f>
        <v>0</v>
      </c>
      <c r="F11" s="228">
        <f>SUMIFS(INPUT!G$7:G$6985,INPUT!$C$7:$C$6985,$B11)</f>
        <v>0</v>
      </c>
      <c r="G11" s="228">
        <f>SUMIFS(INPUT!H$7:H$6985,INPUT!$C$7:$C$6985,$B11)</f>
        <v>0</v>
      </c>
      <c r="H11" s="228">
        <f>SUMIFS(INPUT!I$7:I$6985,INPUT!$C$7:$C$6985,$B11)</f>
        <v>0</v>
      </c>
      <c r="I11" s="228">
        <f>SUMIFS(INPUT!J$7:J$6985,INPUT!$C$7:$C$6985,$B11)</f>
        <v>0</v>
      </c>
      <c r="J11" s="234">
        <f>IFERROR(IF($A11=1,D11-VLOOKUP($B11,INPUT!$C$7:$J$6985,J$4,0),0),"A")</f>
        <v>0</v>
      </c>
      <c r="K11" s="234">
        <f>IFERROR(IF($A11=1,E11-VLOOKUP($B11,INPUT!$C$7:$J$6985,K$4,0),0),"A")</f>
        <v>0</v>
      </c>
      <c r="L11" s="234">
        <f>IFERROR(IF($A11=1,F11-VLOOKUP($B11,INPUT!$C$7:$J$6985,L$4,0),0),"A")</f>
        <v>0</v>
      </c>
      <c r="M11" s="234">
        <f>IFERROR(IF($A11=1,G11-VLOOKUP($B11,INPUT!$C$7:$J$6985,M$4,0),0),"A")</f>
        <v>0</v>
      </c>
      <c r="N11" s="234">
        <f>IFERROR(IF($A11=1,H11-VLOOKUP($B11,INPUT!$C$7:$J$6985,N$4,0),0),"A")</f>
        <v>0</v>
      </c>
      <c r="O11" s="234">
        <f>IFERROR(IF($A11=1,I11-VLOOKUP($B11,INPUT!$C$7:$J$6985,O$4,0),0),"A")</f>
        <v>0</v>
      </c>
      <c r="P11" s="235">
        <f t="shared" ref="P11:P74" si="3">SUM(J11:O11)</f>
        <v>0</v>
      </c>
    </row>
    <row r="12" spans="1:16" x14ac:dyDescent="0.45">
      <c r="A12" s="207">
        <f t="shared" si="2"/>
        <v>2</v>
      </c>
      <c r="B12" s="213">
        <v>1112</v>
      </c>
      <c r="C12" s="164" t="s">
        <v>14</v>
      </c>
      <c r="D12" s="228">
        <f>SUMIFS(INPUT!E$7:E$6985,INPUT!$C$7:$C$6985,$B12)</f>
        <v>0</v>
      </c>
      <c r="E12" s="228">
        <f>SUMIFS(INPUT!F$7:F$6985,INPUT!$C$7:$C$6985,$B12)</f>
        <v>0</v>
      </c>
      <c r="F12" s="228">
        <f>SUMIFS(INPUT!G$7:G$6985,INPUT!$C$7:$C$6985,$B12)</f>
        <v>0</v>
      </c>
      <c r="G12" s="228">
        <f>SUMIFS(INPUT!H$7:H$6985,INPUT!$C$7:$C$6985,$B12)</f>
        <v>0</v>
      </c>
      <c r="H12" s="228">
        <f>SUMIFS(INPUT!I$7:I$6985,INPUT!$C$7:$C$6985,$B12)</f>
        <v>0</v>
      </c>
      <c r="I12" s="228">
        <f>SUMIFS(INPUT!J$7:J$6985,INPUT!$C$7:$C$6985,$B12)</f>
        <v>0</v>
      </c>
      <c r="J12" s="234">
        <f>IFERROR(IF($A12=1,D12-VLOOKUP($B12,INPUT!$C$7:$J$6985,J$4,0),0),"A")</f>
        <v>0</v>
      </c>
      <c r="K12" s="234">
        <f>IFERROR(IF($A12=1,E12-VLOOKUP($B12,INPUT!$C$7:$J$6985,K$4,0),0),"A")</f>
        <v>0</v>
      </c>
      <c r="L12" s="234">
        <f>IFERROR(IF($A12=1,F12-VLOOKUP($B12,INPUT!$C$7:$J$6985,L$4,0),0),"A")</f>
        <v>0</v>
      </c>
      <c r="M12" s="234">
        <f>IFERROR(IF($A12=1,G12-VLOOKUP($B12,INPUT!$C$7:$J$6985,M$4,0),0),"A")</f>
        <v>0</v>
      </c>
      <c r="N12" s="234">
        <f>IFERROR(IF($A12=1,H12-VLOOKUP($B12,INPUT!$C$7:$J$6985,N$4,0),0),"A")</f>
        <v>0</v>
      </c>
      <c r="O12" s="234">
        <f>IFERROR(IF($A12=1,I12-VLOOKUP($B12,INPUT!$C$7:$J$6985,O$4,0),0),"A")</f>
        <v>0</v>
      </c>
      <c r="P12" s="235">
        <f t="shared" si="3"/>
        <v>0</v>
      </c>
    </row>
    <row r="13" spans="1:16" x14ac:dyDescent="0.45">
      <c r="A13" s="216">
        <f t="shared" si="2"/>
        <v>1</v>
      </c>
      <c r="B13" s="217">
        <v>112</v>
      </c>
      <c r="C13" s="218" t="s">
        <v>15</v>
      </c>
      <c r="D13" s="227">
        <f>SUM(D14:D15)</f>
        <v>0</v>
      </c>
      <c r="E13" s="227">
        <f t="shared" ref="E13:I13" si="4">SUM(E14:E15)</f>
        <v>0</v>
      </c>
      <c r="F13" s="227">
        <f>SUM(F14:F15)</f>
        <v>0</v>
      </c>
      <c r="G13" s="227">
        <f t="shared" si="4"/>
        <v>0</v>
      </c>
      <c r="H13" s="227">
        <f t="shared" si="4"/>
        <v>0</v>
      </c>
      <c r="I13" s="227">
        <f t="shared" si="4"/>
        <v>0</v>
      </c>
      <c r="J13" s="234" t="str">
        <f>IFERROR(IF($A13=1,D13-VLOOKUP($B13,INPUT!$C$7:$J$6985,J$4,0),0),"A")</f>
        <v>A</v>
      </c>
      <c r="K13" s="234" t="str">
        <f>IFERROR(IF($A13=1,E13-VLOOKUP($B13,INPUT!$C$7:$J$6985,K$4,0),0),"A")</f>
        <v>A</v>
      </c>
      <c r="L13" s="234" t="str">
        <f>IFERROR(IF($A13=1,F13-VLOOKUP($B13,INPUT!$C$7:$J$6985,L$4,0),0),"A")</f>
        <v>A</v>
      </c>
      <c r="M13" s="234" t="str">
        <f>IFERROR(IF($A13=1,G13-VLOOKUP($B13,INPUT!$C$7:$J$6985,M$4,0),0),"A")</f>
        <v>A</v>
      </c>
      <c r="N13" s="234" t="str">
        <f>IFERROR(IF($A13=1,H13-VLOOKUP($B13,INPUT!$C$7:$J$6985,N$4,0),0),"A")</f>
        <v>A</v>
      </c>
      <c r="O13" s="234" t="str">
        <f>IFERROR(IF($A13=1,I13-VLOOKUP($B13,INPUT!$C$7:$J$6985,O$4,0),0),"A")</f>
        <v>A</v>
      </c>
      <c r="P13" s="235">
        <f t="shared" si="3"/>
        <v>0</v>
      </c>
    </row>
    <row r="14" spans="1:16" x14ac:dyDescent="0.45">
      <c r="A14" s="207">
        <f t="shared" si="2"/>
        <v>2</v>
      </c>
      <c r="B14" s="213">
        <v>1121</v>
      </c>
      <c r="C14" s="164" t="s">
        <v>16</v>
      </c>
      <c r="D14" s="228">
        <f>SUMIFS(INPUT!E$7:E$6985,INPUT!$C$7:$C$6985,$B14)</f>
        <v>0</v>
      </c>
      <c r="E14" s="228">
        <f>SUMIFS(INPUT!F$7:F$6985,INPUT!$C$7:$C$6985,$B14)</f>
        <v>0</v>
      </c>
      <c r="F14" s="228">
        <f>SUMIFS(INPUT!G$7:G$6985,INPUT!$C$7:$C$6985,$B14)</f>
        <v>0</v>
      </c>
      <c r="G14" s="228">
        <f>SUMIFS(INPUT!H$7:H$6985,INPUT!$C$7:$C$6985,$B14)</f>
        <v>0</v>
      </c>
      <c r="H14" s="228">
        <f>+D14+F14-G14</f>
        <v>0</v>
      </c>
      <c r="I14" s="228">
        <f>SUMIFS(INPUT!J$7:J$6985,INPUT!$C$7:$C$6985,$B14)</f>
        <v>0</v>
      </c>
      <c r="J14" s="234">
        <f>IFERROR(IF($A14=1,D14-VLOOKUP($B14,INPUT!$C$7:$J$6985,J$4,0),0),"A")</f>
        <v>0</v>
      </c>
      <c r="K14" s="234">
        <f>IFERROR(IF($A14=1,E14-VLOOKUP($B14,INPUT!$C$7:$J$6985,K$4,0),0),"A")</f>
        <v>0</v>
      </c>
      <c r="L14" s="234">
        <f>IFERROR(IF($A14=1,F14-VLOOKUP($B14,INPUT!$C$7:$J$6985,L$4,0),0),"A")</f>
        <v>0</v>
      </c>
      <c r="M14" s="234">
        <f>IFERROR(IF($A14=1,G14-VLOOKUP($B14,INPUT!$C$7:$J$6985,M$4,0),0),"A")</f>
        <v>0</v>
      </c>
      <c r="N14" s="234">
        <f>IFERROR(IF($A14=1,H14-VLOOKUP($B14,INPUT!$C$7:$J$6985,N$4,0),0),"A")</f>
        <v>0</v>
      </c>
      <c r="O14" s="234">
        <f>IFERROR(IF($A14=1,I14-VLOOKUP($B14,INPUT!$C$7:$J$6985,O$4,0),0),"A")</f>
        <v>0</v>
      </c>
      <c r="P14" s="235">
        <f t="shared" si="3"/>
        <v>0</v>
      </c>
    </row>
    <row r="15" spans="1:16" x14ac:dyDescent="0.45">
      <c r="A15" s="207">
        <f t="shared" si="2"/>
        <v>2</v>
      </c>
      <c r="B15" s="213">
        <v>1122</v>
      </c>
      <c r="C15" s="164" t="s">
        <v>17</v>
      </c>
      <c r="D15" s="228">
        <f>SUMIFS(INPUT!E$7:E$6985,INPUT!$C$7:$C$6985,$B15)</f>
        <v>0</v>
      </c>
      <c r="E15" s="228">
        <f>SUMIFS(INPUT!F$7:F$6985,INPUT!$C$7:$C$6985,$B15)</f>
        <v>0</v>
      </c>
      <c r="F15" s="228">
        <f>SUMIFS(INPUT!G$7:G$6985,INPUT!$C$7:$C$6985,$B15)</f>
        <v>0</v>
      </c>
      <c r="G15" s="228">
        <f>SUMIFS(INPUT!H$7:H$6985,INPUT!$C$7:$C$6985,$B15)</f>
        <v>0</v>
      </c>
      <c r="H15" s="228">
        <f>SUMIFS(INPUT!I$7:I$6985,INPUT!$C$7:$C$6985,$B15)</f>
        <v>0</v>
      </c>
      <c r="I15" s="228">
        <f>SUMIFS(INPUT!J$7:J$6985,INPUT!$C$7:$C$6985,$B15)</f>
        <v>0</v>
      </c>
      <c r="J15" s="234">
        <f>IFERROR(IF($A15=1,D15-VLOOKUP($B15,INPUT!$C$7:$J$6985,J$4,0),0),"A")</f>
        <v>0</v>
      </c>
      <c r="K15" s="234">
        <f>IFERROR(IF($A15=1,E15-VLOOKUP($B15,INPUT!$C$7:$J$6985,K$4,0),0),"A")</f>
        <v>0</v>
      </c>
      <c r="L15" s="234">
        <f>IFERROR(IF($A15=1,F15-VLOOKUP($B15,INPUT!$C$7:$J$6985,L$4,0),0),"A")</f>
        <v>0</v>
      </c>
      <c r="M15" s="234">
        <f>IFERROR(IF($A15=1,G15-VLOOKUP($B15,INPUT!$C$7:$J$6985,M$4,0),0),"A")</f>
        <v>0</v>
      </c>
      <c r="N15" s="234">
        <f>IFERROR(IF($A15=1,H15-VLOOKUP($B15,INPUT!$C$7:$J$6985,N$4,0),0),"A")</f>
        <v>0</v>
      </c>
      <c r="O15" s="234">
        <f>IFERROR(IF($A15=1,I15-VLOOKUP($B15,INPUT!$C$7:$J$6985,O$4,0),0),"A")</f>
        <v>0</v>
      </c>
      <c r="P15" s="235">
        <f t="shared" si="3"/>
        <v>0</v>
      </c>
    </row>
    <row r="16" spans="1:16" x14ac:dyDescent="0.45">
      <c r="A16" s="216">
        <f t="shared" si="2"/>
        <v>1</v>
      </c>
      <c r="B16" s="217">
        <v>121</v>
      </c>
      <c r="C16" s="218" t="s">
        <v>18</v>
      </c>
      <c r="D16" s="227">
        <f>SUMIFS(INPUT!E$7:E$6985,INPUT!$C$7:$C$6985,$B16)</f>
        <v>0</v>
      </c>
      <c r="E16" s="227">
        <f>SUMIFS(INPUT!F$7:F$6985,INPUT!$C$7:$C$6985,$B16)</f>
        <v>0</v>
      </c>
      <c r="F16" s="227">
        <f>SUMIFS(INPUT!G$7:G$6985,INPUT!$C$7:$C$6985,$B16)</f>
        <v>0</v>
      </c>
      <c r="G16" s="227">
        <f>SUMIFS(INPUT!H$7:H$6985,INPUT!$C$7:$C$6985,$B16)</f>
        <v>0</v>
      </c>
      <c r="H16" s="227">
        <f>SUMIFS(INPUT!I$7:I$6985,INPUT!$C$7:$C$6985,$B16)</f>
        <v>0</v>
      </c>
      <c r="I16" s="227">
        <f>SUMIFS(INPUT!J$7:J$6985,INPUT!$C$7:$C$6985,$B16)</f>
        <v>0</v>
      </c>
      <c r="J16" s="234" t="str">
        <f>IFERROR(IF($A16=1,D16-VLOOKUP($B16,INPUT!$C$7:$J$6985,J$4,0),0),"A")</f>
        <v>A</v>
      </c>
      <c r="K16" s="234" t="str">
        <f>IFERROR(IF($A16=1,E16-VLOOKUP($B16,INPUT!$C$7:$J$6985,K$4,0),0),"A")</f>
        <v>A</v>
      </c>
      <c r="L16" s="234" t="str">
        <f>IFERROR(IF($A16=1,F16-VLOOKUP($B16,INPUT!$C$7:$J$6985,L$4,0),0),"A")</f>
        <v>A</v>
      </c>
      <c r="M16" s="234" t="str">
        <f>IFERROR(IF($A16=1,G16-VLOOKUP($B16,INPUT!$C$7:$J$6985,M$4,0),0),"A")</f>
        <v>A</v>
      </c>
      <c r="N16" s="234" t="str">
        <f>IFERROR(IF($A16=1,H16-VLOOKUP($B16,INPUT!$C$7:$J$6985,N$4,0),0),"A")</f>
        <v>A</v>
      </c>
      <c r="O16" s="234" t="str">
        <f>IFERROR(IF($A16=1,I16-VLOOKUP($B16,INPUT!$C$7:$J$6985,O$4,0),0),"A")</f>
        <v>A</v>
      </c>
      <c r="P16" s="235">
        <f t="shared" si="3"/>
        <v>0</v>
      </c>
    </row>
    <row r="17" spans="1:16" x14ac:dyDescent="0.45">
      <c r="A17" s="216">
        <f t="shared" si="2"/>
        <v>1</v>
      </c>
      <c r="B17" s="217">
        <v>128</v>
      </c>
      <c r="C17" s="218" t="s">
        <v>19</v>
      </c>
      <c r="D17" s="227">
        <f>SUM(D18:D19)</f>
        <v>0</v>
      </c>
      <c r="E17" s="227">
        <f t="shared" ref="E17:I17" si="5">SUM(E18:E19)</f>
        <v>0</v>
      </c>
      <c r="F17" s="227">
        <f t="shared" si="5"/>
        <v>0</v>
      </c>
      <c r="G17" s="227">
        <f t="shared" si="5"/>
        <v>0</v>
      </c>
      <c r="H17" s="227">
        <f t="shared" si="5"/>
        <v>0</v>
      </c>
      <c r="I17" s="227">
        <f t="shared" si="5"/>
        <v>0</v>
      </c>
      <c r="J17" s="234" t="str">
        <f>IFERROR(IF($A17=1,D17-VLOOKUP($B17,INPUT!$C$7:$J$6985,J$4,0),0),"A")</f>
        <v>A</v>
      </c>
      <c r="K17" s="234" t="str">
        <f>IFERROR(IF($A17=1,E17-VLOOKUP($B17,INPUT!$C$7:$J$6985,K$4,0),0),"A")</f>
        <v>A</v>
      </c>
      <c r="L17" s="234" t="str">
        <f>IFERROR(IF($A17=1,F17-VLOOKUP($B17,INPUT!$C$7:$J$6985,L$4,0),0),"A")</f>
        <v>A</v>
      </c>
      <c r="M17" s="234" t="str">
        <f>IFERROR(IF($A17=1,G17-VLOOKUP($B17,INPUT!$C$7:$J$6985,M$4,0),0),"A")</f>
        <v>A</v>
      </c>
      <c r="N17" s="234" t="str">
        <f>IFERROR(IF($A17=1,H17-VLOOKUP($B17,INPUT!$C$7:$J$6985,N$4,0),0),"A")</f>
        <v>A</v>
      </c>
      <c r="O17" s="234" t="str">
        <f>IFERROR(IF($A17=1,I17-VLOOKUP($B17,INPUT!$C$7:$J$6985,O$4,0),0),"A")</f>
        <v>A</v>
      </c>
      <c r="P17" s="235">
        <f t="shared" si="3"/>
        <v>0</v>
      </c>
    </row>
    <row r="18" spans="1:16" x14ac:dyDescent="0.45">
      <c r="A18" s="207">
        <f t="shared" si="2"/>
        <v>2</v>
      </c>
      <c r="B18" s="213">
        <v>1281</v>
      </c>
      <c r="C18" s="164" t="s">
        <v>20</v>
      </c>
      <c r="D18" s="228">
        <f>SUMIFS(INPUT!E$7:E$6985,INPUT!$C$7:$C$6985,$B18)</f>
        <v>0</v>
      </c>
      <c r="E18" s="228">
        <f>SUMIFS(INPUT!F$7:F$6985,INPUT!$C$7:$C$6985,$B18)</f>
        <v>0</v>
      </c>
      <c r="F18" s="228">
        <f>SUMIFS(INPUT!G$7:G$6985,INPUT!$C$7:$C$6985,$B18)</f>
        <v>0</v>
      </c>
      <c r="G18" s="228">
        <f>SUMIFS(INPUT!H$7:H$6985,INPUT!$C$7:$C$6985,$B18)</f>
        <v>0</v>
      </c>
      <c r="H18" s="228">
        <f>SUMIFS(INPUT!I$7:I$6985,INPUT!$C$7:$C$6985,$B18)</f>
        <v>0</v>
      </c>
      <c r="I18" s="228">
        <f>SUMIFS(INPUT!J$7:J$6985,INPUT!$C$7:$C$6985,$B18)</f>
        <v>0</v>
      </c>
      <c r="J18" s="234">
        <f>IFERROR(IF($A18=1,D18-VLOOKUP($B18,INPUT!$C$7:$J$6985,J$4,0),0),"A")</f>
        <v>0</v>
      </c>
      <c r="K18" s="234">
        <f>IFERROR(IF($A18=1,E18-VLOOKUP($B18,INPUT!$C$7:$J$6985,K$4,0),0),"A")</f>
        <v>0</v>
      </c>
      <c r="L18" s="234">
        <f>IFERROR(IF($A18=1,F18-VLOOKUP($B18,INPUT!$C$7:$J$6985,L$4,0),0),"A")</f>
        <v>0</v>
      </c>
      <c r="M18" s="234">
        <f>IFERROR(IF($A18=1,G18-VLOOKUP($B18,INPUT!$C$7:$J$6985,M$4,0),0),"A")</f>
        <v>0</v>
      </c>
      <c r="N18" s="234">
        <f>IFERROR(IF($A18=1,H18-VLOOKUP($B18,INPUT!$C$7:$J$6985,N$4,0),0),"A")</f>
        <v>0</v>
      </c>
      <c r="O18" s="234">
        <f>IFERROR(IF($A18=1,I18-VLOOKUP($B18,INPUT!$C$7:$J$6985,O$4,0),0),"A")</f>
        <v>0</v>
      </c>
      <c r="P18" s="235">
        <f t="shared" si="3"/>
        <v>0</v>
      </c>
    </row>
    <row r="19" spans="1:16" x14ac:dyDescent="0.45">
      <c r="A19" s="207">
        <f t="shared" si="2"/>
        <v>2</v>
      </c>
      <c r="B19" s="213">
        <v>1288</v>
      </c>
      <c r="C19" s="164" t="s">
        <v>21</v>
      </c>
      <c r="D19" s="228">
        <f>SUMIFS(INPUT!E$7:E$6985,INPUT!$C$7:$C$6985,$B19)</f>
        <v>0</v>
      </c>
      <c r="E19" s="228">
        <f>SUMIFS(INPUT!F$7:F$6985,INPUT!$C$7:$C$6985,$B19)</f>
        <v>0</v>
      </c>
      <c r="F19" s="228">
        <f>SUMIFS(INPUT!G$7:G$6985,INPUT!$C$7:$C$6985,$B19)</f>
        <v>0</v>
      </c>
      <c r="G19" s="228">
        <f>SUMIFS(INPUT!H$7:H$6985,INPUT!$C$7:$C$6985,$B19)</f>
        <v>0</v>
      </c>
      <c r="H19" s="228">
        <f>SUMIFS(INPUT!I$7:I$6985,INPUT!$C$7:$C$6985,$B19)</f>
        <v>0</v>
      </c>
      <c r="I19" s="228">
        <f>SUMIFS(INPUT!J$7:J$6985,INPUT!$C$7:$C$6985,$B19)</f>
        <v>0</v>
      </c>
      <c r="J19" s="234">
        <f>IFERROR(IF($A19=1,D19-VLOOKUP($B19,INPUT!$C$7:$J$6985,J$4,0),0),"A")</f>
        <v>0</v>
      </c>
      <c r="K19" s="234">
        <f>IFERROR(IF($A19=1,E19-VLOOKUP($B19,INPUT!$C$7:$J$6985,K$4,0),0),"A")</f>
        <v>0</v>
      </c>
      <c r="L19" s="234">
        <f>IFERROR(IF($A19=1,F19-VLOOKUP($B19,INPUT!$C$7:$J$6985,L$4,0),0),"A")</f>
        <v>0</v>
      </c>
      <c r="M19" s="234">
        <f>IFERROR(IF($A19=1,G19-VLOOKUP($B19,INPUT!$C$7:$J$6985,M$4,0),0),"A")</f>
        <v>0</v>
      </c>
      <c r="N19" s="234">
        <f>IFERROR(IF($A19=1,H19-VLOOKUP($B19,INPUT!$C$7:$J$6985,N$4,0),0),"A")</f>
        <v>0</v>
      </c>
      <c r="O19" s="234">
        <f>IFERROR(IF($A19=1,I19-VLOOKUP($B19,INPUT!$C$7:$J$6985,O$4,0),0),"A")</f>
        <v>0</v>
      </c>
      <c r="P19" s="235">
        <f t="shared" si="3"/>
        <v>0</v>
      </c>
    </row>
    <row r="20" spans="1:16" x14ac:dyDescent="0.45">
      <c r="A20" s="216">
        <f t="shared" si="2"/>
        <v>1</v>
      </c>
      <c r="B20" s="217">
        <v>131</v>
      </c>
      <c r="C20" s="218" t="s">
        <v>23</v>
      </c>
      <c r="D20" s="227">
        <f>SUMIFS(INPUT!E$7:E$6985,INPUT!$C$7:$C$6985,$B20)</f>
        <v>0</v>
      </c>
      <c r="E20" s="227">
        <f>SUMIFS(INPUT!F$7:F$6985,INPUT!$C$7:$C$6985,$B20)</f>
        <v>0</v>
      </c>
      <c r="F20" s="227">
        <f>SUMIFS(INPUT!G$7:G$6985,INPUT!$C$7:$C$6985,$B20)</f>
        <v>0</v>
      </c>
      <c r="G20" s="227">
        <f>SUMIFS(INPUT!H$7:H$6985,INPUT!$C$7:$C$6985,$B20)</f>
        <v>0</v>
      </c>
      <c r="H20" s="227">
        <f>SUMIFS(INPUT!I$7:I$6985,INPUT!$C$7:$C$6985,$B20)</f>
        <v>0</v>
      </c>
      <c r="I20" s="227">
        <f>SUMIFS(INPUT!J$7:J$6985,INPUT!$C$7:$C$6985,$B20)</f>
        <v>0</v>
      </c>
      <c r="J20" s="234" t="str">
        <f>IFERROR(IF($A20=1,D20-VLOOKUP($B20,INPUT!$C$7:$J$6985,J$4,0),0),"A")</f>
        <v>A</v>
      </c>
      <c r="K20" s="234" t="str">
        <f>IFERROR(IF($A20=1,E20-VLOOKUP($B20,INPUT!$C$7:$J$6985,K$4,0),0),"A")</f>
        <v>A</v>
      </c>
      <c r="L20" s="234" t="str">
        <f>IFERROR(IF($A20=1,F20-VLOOKUP($B20,INPUT!$C$7:$J$6985,L$4,0),0),"A")</f>
        <v>A</v>
      </c>
      <c r="M20" s="234" t="str">
        <f>IFERROR(IF($A20=1,G20-VLOOKUP($B20,INPUT!$C$7:$J$6985,M$4,0),0),"A")</f>
        <v>A</v>
      </c>
      <c r="N20" s="234" t="str">
        <f>IFERROR(IF($A20=1,H20-VLOOKUP($B20,INPUT!$C$7:$J$6985,N$4,0),0),"A")</f>
        <v>A</v>
      </c>
      <c r="O20" s="234" t="str">
        <f>IFERROR(IF($A20=1,I20-VLOOKUP($B20,INPUT!$C$7:$J$6985,O$4,0),0),"A")</f>
        <v>A</v>
      </c>
      <c r="P20" s="235">
        <f t="shared" si="3"/>
        <v>0</v>
      </c>
    </row>
    <row r="21" spans="1:16" x14ac:dyDescent="0.45">
      <c r="A21" s="216">
        <f t="shared" si="2"/>
        <v>1</v>
      </c>
      <c r="B21" s="217">
        <v>133</v>
      </c>
      <c r="C21" s="218" t="s">
        <v>24</v>
      </c>
      <c r="D21" s="227">
        <f>SUM(D22:D23)</f>
        <v>0</v>
      </c>
      <c r="E21" s="227">
        <f t="shared" ref="E21:I21" si="6">SUM(E22:E23)</f>
        <v>0</v>
      </c>
      <c r="F21" s="227">
        <f t="shared" si="6"/>
        <v>0</v>
      </c>
      <c r="G21" s="227">
        <f t="shared" si="6"/>
        <v>0</v>
      </c>
      <c r="H21" s="227">
        <f t="shared" si="6"/>
        <v>0</v>
      </c>
      <c r="I21" s="227">
        <f t="shared" si="6"/>
        <v>0</v>
      </c>
      <c r="J21" s="234" t="str">
        <f>IFERROR(IF($A21=1,D21-VLOOKUP($B21,INPUT!$C$7:$J$6985,J$4,0),0),"A")</f>
        <v>A</v>
      </c>
      <c r="K21" s="234" t="str">
        <f>IFERROR(IF($A21=1,E21-VLOOKUP($B21,INPUT!$C$7:$J$6985,K$4,0),0),"A")</f>
        <v>A</v>
      </c>
      <c r="L21" s="234" t="str">
        <f>IFERROR(IF($A21=1,F21-VLOOKUP($B21,INPUT!$C$7:$J$6985,L$4,0),0),"A")</f>
        <v>A</v>
      </c>
      <c r="M21" s="234" t="str">
        <f>IFERROR(IF($A21=1,G21-VLOOKUP($B21,INPUT!$C$7:$J$6985,M$4,0),0),"A")</f>
        <v>A</v>
      </c>
      <c r="N21" s="234" t="str">
        <f>IFERROR(IF($A21=1,H21-VLOOKUP($B21,INPUT!$C$7:$J$6985,N$4,0),0),"A")</f>
        <v>A</v>
      </c>
      <c r="O21" s="234" t="str">
        <f>IFERROR(IF($A21=1,I21-VLOOKUP($B21,INPUT!$C$7:$J$6985,O$4,0),0),"A")</f>
        <v>A</v>
      </c>
      <c r="P21" s="235">
        <f t="shared" si="3"/>
        <v>0</v>
      </c>
    </row>
    <row r="22" spans="1:16" x14ac:dyDescent="0.45">
      <c r="A22" s="207">
        <f t="shared" si="2"/>
        <v>2</v>
      </c>
      <c r="B22" s="213">
        <v>1331</v>
      </c>
      <c r="C22" s="164" t="s">
        <v>25</v>
      </c>
      <c r="D22" s="228">
        <f>SUMIFS(INPUT!E$7:E$6985,INPUT!$C$7:$C$6985,$B22)</f>
        <v>0</v>
      </c>
      <c r="E22" s="228">
        <f>SUMIFS(INPUT!F$7:F$6985,INPUT!$C$7:$C$6985,$B22)</f>
        <v>0</v>
      </c>
      <c r="F22" s="228">
        <f>SUMIFS(INPUT!G$7:G$6985,INPUT!$C$7:$C$6985,$B22)</f>
        <v>0</v>
      </c>
      <c r="G22" s="228">
        <f>SUMIFS(INPUT!H$7:H$6985,INPUT!$C$7:$C$6985,$B22)</f>
        <v>0</v>
      </c>
      <c r="H22" s="228">
        <f>SUMIFS(INPUT!I$7:I$6985,INPUT!$C$7:$C$6985,$B22)</f>
        <v>0</v>
      </c>
      <c r="I22" s="228">
        <f>SUMIFS(INPUT!J$7:J$6985,INPUT!$C$7:$C$6985,$B22)</f>
        <v>0</v>
      </c>
      <c r="J22" s="234">
        <f>IFERROR(IF($A22=1,D22-VLOOKUP($B22,INPUT!$C$7:$J$6985,J$4,0),0),"A")</f>
        <v>0</v>
      </c>
      <c r="K22" s="234">
        <f>IFERROR(IF($A22=1,E22-VLOOKUP($B22,INPUT!$C$7:$J$6985,K$4,0),0),"A")</f>
        <v>0</v>
      </c>
      <c r="L22" s="234">
        <f>IFERROR(IF($A22=1,F22-VLOOKUP($B22,INPUT!$C$7:$J$6985,L$4,0),0),"A")</f>
        <v>0</v>
      </c>
      <c r="M22" s="234">
        <f>IFERROR(IF($A22=1,G22-VLOOKUP($B22,INPUT!$C$7:$J$6985,M$4,0),0),"A")</f>
        <v>0</v>
      </c>
      <c r="N22" s="234">
        <f>IFERROR(IF($A22=1,H22-VLOOKUP($B22,INPUT!$C$7:$J$6985,N$4,0),0),"A")</f>
        <v>0</v>
      </c>
      <c r="O22" s="234">
        <f>IFERROR(IF($A22=1,I22-VLOOKUP($B22,INPUT!$C$7:$J$6985,O$4,0),0),"A")</f>
        <v>0</v>
      </c>
      <c r="P22" s="235">
        <f t="shared" si="3"/>
        <v>0</v>
      </c>
    </row>
    <row r="23" spans="1:16" x14ac:dyDescent="0.45">
      <c r="A23" s="207">
        <f t="shared" si="2"/>
        <v>2</v>
      </c>
      <c r="B23" s="213">
        <v>1332</v>
      </c>
      <c r="C23" s="164" t="s">
        <v>26</v>
      </c>
      <c r="D23" s="228">
        <f>SUMIFS(INPUT!E$7:E$6985,INPUT!$C$7:$C$6985,$B23)</f>
        <v>0</v>
      </c>
      <c r="E23" s="228">
        <f>SUMIFS(INPUT!F$7:F$6985,INPUT!$C$7:$C$6985,$B23)</f>
        <v>0</v>
      </c>
      <c r="F23" s="228">
        <f>SUMIFS(INPUT!G$7:G$6985,INPUT!$C$7:$C$6985,$B23)</f>
        <v>0</v>
      </c>
      <c r="G23" s="228">
        <f>SUMIFS(INPUT!H$7:H$6985,INPUT!$C$7:$C$6985,$B23)</f>
        <v>0</v>
      </c>
      <c r="H23" s="228">
        <f>SUMIFS(INPUT!I$7:I$6985,INPUT!$C$7:$C$6985,$B23)</f>
        <v>0</v>
      </c>
      <c r="I23" s="228">
        <f>SUMIFS(INPUT!J$7:J$6985,INPUT!$C$7:$C$6985,$B23)</f>
        <v>0</v>
      </c>
      <c r="J23" s="234">
        <f>IFERROR(IF($A23=1,D23-VLOOKUP($B23,INPUT!$C$7:$J$6985,J$4,0),0),"A")</f>
        <v>0</v>
      </c>
      <c r="K23" s="234">
        <f>IFERROR(IF($A23=1,E23-VLOOKUP($B23,INPUT!$C$7:$J$6985,K$4,0),0),"A")</f>
        <v>0</v>
      </c>
      <c r="L23" s="234">
        <f>IFERROR(IF($A23=1,F23-VLOOKUP($B23,INPUT!$C$7:$J$6985,L$4,0),0),"A")</f>
        <v>0</v>
      </c>
      <c r="M23" s="234">
        <f>IFERROR(IF($A23=1,G23-VLOOKUP($B23,INPUT!$C$7:$J$6985,M$4,0),0),"A")</f>
        <v>0</v>
      </c>
      <c r="N23" s="234">
        <f>IFERROR(IF($A23=1,H23-VLOOKUP($B23,INPUT!$C$7:$J$6985,N$4,0),0),"A")</f>
        <v>0</v>
      </c>
      <c r="O23" s="234">
        <f>IFERROR(IF($A23=1,I23-VLOOKUP($B23,INPUT!$C$7:$J$6985,O$4,0),0),"A")</f>
        <v>0</v>
      </c>
      <c r="P23" s="235">
        <f t="shared" si="3"/>
        <v>0</v>
      </c>
    </row>
    <row r="24" spans="1:16" x14ac:dyDescent="0.45">
      <c r="A24" s="216">
        <f t="shared" si="2"/>
        <v>1</v>
      </c>
      <c r="B24" s="217">
        <v>136</v>
      </c>
      <c r="C24" s="218" t="s">
        <v>27</v>
      </c>
      <c r="D24" s="227">
        <f>SUM(D25:D26)</f>
        <v>0</v>
      </c>
      <c r="E24" s="227">
        <f t="shared" ref="E24:I24" si="7">SUM(E25:E26)</f>
        <v>0</v>
      </c>
      <c r="F24" s="227">
        <f t="shared" si="7"/>
        <v>0</v>
      </c>
      <c r="G24" s="227">
        <f t="shared" si="7"/>
        <v>0</v>
      </c>
      <c r="H24" s="227">
        <f t="shared" si="7"/>
        <v>0</v>
      </c>
      <c r="I24" s="227">
        <f t="shared" si="7"/>
        <v>0</v>
      </c>
      <c r="J24" s="234" t="str">
        <f>IFERROR(IF($A24=1,D24-VLOOKUP($B24,INPUT!$C$7:$J$6985,J$4,0),0),"A")</f>
        <v>A</v>
      </c>
      <c r="K24" s="234" t="str">
        <f>IFERROR(IF($A24=1,E24-VLOOKUP($B24,INPUT!$C$7:$J$6985,K$4,0),0),"A")</f>
        <v>A</v>
      </c>
      <c r="L24" s="234" t="str">
        <f>IFERROR(IF($A24=1,F24-VLOOKUP($B24,INPUT!$C$7:$J$6985,L$4,0),0),"A")</f>
        <v>A</v>
      </c>
      <c r="M24" s="234" t="str">
        <f>IFERROR(IF($A24=1,G24-VLOOKUP($B24,INPUT!$C$7:$J$6985,M$4,0),0),"A")</f>
        <v>A</v>
      </c>
      <c r="N24" s="234" t="str">
        <f>IFERROR(IF($A24=1,H24-VLOOKUP($B24,INPUT!$C$7:$J$6985,N$4,0),0),"A")</f>
        <v>A</v>
      </c>
      <c r="O24" s="234" t="str">
        <f>IFERROR(IF($A24=1,I24-VLOOKUP($B24,INPUT!$C$7:$J$6985,O$4,0),0),"A")</f>
        <v>A</v>
      </c>
      <c r="P24" s="235">
        <f t="shared" si="3"/>
        <v>0</v>
      </c>
    </row>
    <row r="25" spans="1:16" x14ac:dyDescent="0.45">
      <c r="A25" s="207">
        <f t="shared" si="2"/>
        <v>2</v>
      </c>
      <c r="B25" s="213">
        <v>1361</v>
      </c>
      <c r="C25" s="164" t="s">
        <v>28</v>
      </c>
      <c r="D25" s="228">
        <f>SUMIFS(INPUT!E$7:E$6985,INPUT!$C$7:$C$6985,$B25)</f>
        <v>0</v>
      </c>
      <c r="E25" s="228">
        <f>SUMIFS(INPUT!F$7:F$6985,INPUT!$C$7:$C$6985,$B25)</f>
        <v>0</v>
      </c>
      <c r="F25" s="228">
        <f>SUMIFS(INPUT!G$7:G$6985,INPUT!$C$7:$C$6985,$B25)</f>
        <v>0</v>
      </c>
      <c r="G25" s="228">
        <f>SUMIFS(INPUT!H$7:H$6985,INPUT!$C$7:$C$6985,$B25)</f>
        <v>0</v>
      </c>
      <c r="H25" s="228">
        <f>SUMIFS(INPUT!I$7:I$6985,INPUT!$C$7:$C$6985,$B25)</f>
        <v>0</v>
      </c>
      <c r="I25" s="228">
        <f>SUMIFS(INPUT!J$7:J$6985,INPUT!$C$7:$C$6985,$B25)</f>
        <v>0</v>
      </c>
      <c r="J25" s="234">
        <f>IFERROR(IF($A25=1,D25-VLOOKUP($B25,INPUT!$C$7:$J$6985,J$4,0),0),"A")</f>
        <v>0</v>
      </c>
      <c r="K25" s="234">
        <f>IFERROR(IF($A25=1,E25-VLOOKUP($B25,INPUT!$C$7:$J$6985,K$4,0),0),"A")</f>
        <v>0</v>
      </c>
      <c r="L25" s="234">
        <f>IFERROR(IF($A25=1,F25-VLOOKUP($B25,INPUT!$C$7:$J$6985,L$4,0),0),"A")</f>
        <v>0</v>
      </c>
      <c r="M25" s="234">
        <f>IFERROR(IF($A25=1,G25-VLOOKUP($B25,INPUT!$C$7:$J$6985,M$4,0),0),"A")</f>
        <v>0</v>
      </c>
      <c r="N25" s="234">
        <f>IFERROR(IF($A25=1,H25-VLOOKUP($B25,INPUT!$C$7:$J$6985,N$4,0),0),"A")</f>
        <v>0</v>
      </c>
      <c r="O25" s="234">
        <f>IFERROR(IF($A25=1,I25-VLOOKUP($B25,INPUT!$C$7:$J$6985,O$4,0),0),"A")</f>
        <v>0</v>
      </c>
      <c r="P25" s="235">
        <f t="shared" si="3"/>
        <v>0</v>
      </c>
    </row>
    <row r="26" spans="1:16" x14ac:dyDescent="0.45">
      <c r="A26" s="207">
        <f t="shared" si="2"/>
        <v>2</v>
      </c>
      <c r="B26" s="213">
        <v>1368</v>
      </c>
      <c r="C26" s="164" t="s">
        <v>29</v>
      </c>
      <c r="D26" s="228">
        <f>SUMIFS(INPUT!E$7:E$6985,INPUT!$C$7:$C$6985,$B26)</f>
        <v>0</v>
      </c>
      <c r="E26" s="228">
        <f>SUMIFS(INPUT!F$7:F$6985,INPUT!$C$7:$C$6985,$B26)</f>
        <v>0</v>
      </c>
      <c r="F26" s="228">
        <f>SUMIFS(INPUT!G$7:G$6985,INPUT!$C$7:$C$6985,$B26)</f>
        <v>0</v>
      </c>
      <c r="G26" s="228">
        <f>SUMIFS(INPUT!H$7:H$6985,INPUT!$C$7:$C$6985,$B26)</f>
        <v>0</v>
      </c>
      <c r="H26" s="228">
        <f>SUMIFS(INPUT!I$7:I$6985,INPUT!$C$7:$C$6985,$B26)</f>
        <v>0</v>
      </c>
      <c r="I26" s="228">
        <f>SUMIFS(INPUT!J$7:J$6985,INPUT!$C$7:$C$6985,$B26)</f>
        <v>0</v>
      </c>
      <c r="J26" s="234">
        <f>IFERROR(IF($A26=1,D26-VLOOKUP($B26,INPUT!$C$7:$J$6985,J$4,0),0),"A")</f>
        <v>0</v>
      </c>
      <c r="K26" s="234">
        <f>IFERROR(IF($A26=1,E26-VLOOKUP($B26,INPUT!$C$7:$J$6985,K$4,0),0),"A")</f>
        <v>0</v>
      </c>
      <c r="L26" s="234">
        <f>IFERROR(IF($A26=1,F26-VLOOKUP($B26,INPUT!$C$7:$J$6985,L$4,0),0),"A")</f>
        <v>0</v>
      </c>
      <c r="M26" s="234">
        <f>IFERROR(IF($A26=1,G26-VLOOKUP($B26,INPUT!$C$7:$J$6985,M$4,0),0),"A")</f>
        <v>0</v>
      </c>
      <c r="N26" s="234">
        <f>IFERROR(IF($A26=1,H26-VLOOKUP($B26,INPUT!$C$7:$J$6985,N$4,0),0),"A")</f>
        <v>0</v>
      </c>
      <c r="O26" s="234">
        <f>IFERROR(IF($A26=1,I26-VLOOKUP($B26,INPUT!$C$7:$J$6985,O$4,0),0),"A")</f>
        <v>0</v>
      </c>
      <c r="P26" s="235">
        <f t="shared" si="3"/>
        <v>0</v>
      </c>
    </row>
    <row r="27" spans="1:16" x14ac:dyDescent="0.45">
      <c r="A27" s="216">
        <f t="shared" si="2"/>
        <v>1</v>
      </c>
      <c r="B27" s="217">
        <v>138</v>
      </c>
      <c r="C27" s="218" t="s">
        <v>30</v>
      </c>
      <c r="D27" s="227">
        <f>SUM(D28:D30)</f>
        <v>0</v>
      </c>
      <c r="E27" s="227">
        <f t="shared" ref="E27:I27" si="8">SUM(E28:E30)</f>
        <v>0</v>
      </c>
      <c r="F27" s="227">
        <f t="shared" si="8"/>
        <v>0</v>
      </c>
      <c r="G27" s="227">
        <f t="shared" si="8"/>
        <v>0</v>
      </c>
      <c r="H27" s="227">
        <f t="shared" si="8"/>
        <v>0</v>
      </c>
      <c r="I27" s="227">
        <f t="shared" si="8"/>
        <v>0</v>
      </c>
      <c r="J27" s="234" t="str">
        <f>IFERROR(IF($A27=1,D27-VLOOKUP($B27,INPUT!$C$7:$J$6985,J$4,0),0),"A")</f>
        <v>A</v>
      </c>
      <c r="K27" s="234" t="str">
        <f>IFERROR(IF($A27=1,E27-VLOOKUP($B27,INPUT!$C$7:$J$6985,K$4,0),0),"A")</f>
        <v>A</v>
      </c>
      <c r="L27" s="234" t="str">
        <f>IFERROR(IF($A27=1,F27-VLOOKUP($B27,INPUT!$C$7:$J$6985,L$4,0),0),"A")</f>
        <v>A</v>
      </c>
      <c r="M27" s="234" t="str">
        <f>IFERROR(IF($A27=1,G27-VLOOKUP($B27,INPUT!$C$7:$J$6985,M$4,0),0),"A")</f>
        <v>A</v>
      </c>
      <c r="N27" s="234" t="str">
        <f>IFERROR(IF($A27=1,H27-VLOOKUP($B27,INPUT!$C$7:$J$6985,N$4,0),0),"A")</f>
        <v>A</v>
      </c>
      <c r="O27" s="234" t="str">
        <f>IFERROR(IF($A27=1,I27-VLOOKUP($B27,INPUT!$C$7:$J$6985,O$4,0),0),"A")</f>
        <v>A</v>
      </c>
      <c r="P27" s="235">
        <f t="shared" si="3"/>
        <v>0</v>
      </c>
    </row>
    <row r="28" spans="1:16" x14ac:dyDescent="0.45">
      <c r="A28" s="207">
        <f t="shared" si="2"/>
        <v>2</v>
      </c>
      <c r="B28" s="213">
        <v>1381</v>
      </c>
      <c r="C28" s="164" t="s">
        <v>31</v>
      </c>
      <c r="D28" s="228">
        <f>SUMIFS(INPUT!E$7:E$6985,INPUT!$C$7:$C$6985,$B28)</f>
        <v>0</v>
      </c>
      <c r="E28" s="228">
        <f>SUMIFS(INPUT!F$7:F$6985,INPUT!$C$7:$C$6985,$B28)</f>
        <v>0</v>
      </c>
      <c r="F28" s="228">
        <f>SUMIFS(INPUT!G$7:G$6985,INPUT!$C$7:$C$6985,$B28)</f>
        <v>0</v>
      </c>
      <c r="G28" s="228">
        <f>SUMIFS(INPUT!H$7:H$6985,INPUT!$C$7:$C$6985,$B28)</f>
        <v>0</v>
      </c>
      <c r="H28" s="228">
        <f>SUMIFS(INPUT!I$7:I$6985,INPUT!$C$7:$C$6985,$B28)</f>
        <v>0</v>
      </c>
      <c r="I28" s="228">
        <f>SUMIFS(INPUT!J$7:J$6985,INPUT!$C$7:$C$6985,$B28)</f>
        <v>0</v>
      </c>
      <c r="J28" s="234">
        <f>IFERROR(IF($A28=1,D28-VLOOKUP($B28,INPUT!$C$7:$J$6985,J$4,0),0),"A")</f>
        <v>0</v>
      </c>
      <c r="K28" s="234">
        <f>IFERROR(IF($A28=1,E28-VLOOKUP($B28,INPUT!$C$7:$J$6985,K$4,0),0),"A")</f>
        <v>0</v>
      </c>
      <c r="L28" s="234">
        <f>IFERROR(IF($A28=1,F28-VLOOKUP($B28,INPUT!$C$7:$J$6985,L$4,0),0),"A")</f>
        <v>0</v>
      </c>
      <c r="M28" s="234">
        <f>IFERROR(IF($A28=1,G28-VLOOKUP($B28,INPUT!$C$7:$J$6985,M$4,0),0),"A")</f>
        <v>0</v>
      </c>
      <c r="N28" s="234">
        <f>IFERROR(IF($A28=1,H28-VLOOKUP($B28,INPUT!$C$7:$J$6985,N$4,0),0),"A")</f>
        <v>0</v>
      </c>
      <c r="O28" s="234">
        <f>IFERROR(IF($A28=1,I28-VLOOKUP($B28,INPUT!$C$7:$J$6985,O$4,0),0),"A")</f>
        <v>0</v>
      </c>
      <c r="P28" s="235">
        <f t="shared" si="3"/>
        <v>0</v>
      </c>
    </row>
    <row r="29" spans="1:16" x14ac:dyDescent="0.45">
      <c r="A29" s="207">
        <f t="shared" si="2"/>
        <v>2</v>
      </c>
      <c r="B29" s="213">
        <v>1386</v>
      </c>
      <c r="C29" s="164" t="s">
        <v>32</v>
      </c>
      <c r="D29" s="228">
        <f>SUMIFS(INPUT!E$7:E$6985,INPUT!$C$7:$C$6985,$B29)</f>
        <v>0</v>
      </c>
      <c r="E29" s="228">
        <f>SUMIFS(INPUT!F$7:F$6985,INPUT!$C$7:$C$6985,$B29)</f>
        <v>0</v>
      </c>
      <c r="F29" s="228">
        <f>SUMIFS(INPUT!G$7:G$6985,INPUT!$C$7:$C$6985,$B29)</f>
        <v>0</v>
      </c>
      <c r="G29" s="228">
        <f>SUMIFS(INPUT!H$7:H$6985,INPUT!$C$7:$C$6985,$B29)</f>
        <v>0</v>
      </c>
      <c r="H29" s="228">
        <f>SUMIFS(INPUT!I$7:I$6985,INPUT!$C$7:$C$6985,$B29)</f>
        <v>0</v>
      </c>
      <c r="I29" s="228">
        <f>SUMIFS(INPUT!J$7:J$6985,INPUT!$C$7:$C$6985,$B29)</f>
        <v>0</v>
      </c>
      <c r="J29" s="234">
        <f>IFERROR(IF($A29=1,D29-VLOOKUP($B29,INPUT!$C$7:$J$6985,J$4,0),0),"A")</f>
        <v>0</v>
      </c>
      <c r="K29" s="234">
        <f>IFERROR(IF($A29=1,E29-VLOOKUP($B29,INPUT!$C$7:$J$6985,K$4,0),0),"A")</f>
        <v>0</v>
      </c>
      <c r="L29" s="234">
        <f>IFERROR(IF($A29=1,F29-VLOOKUP($B29,INPUT!$C$7:$J$6985,L$4,0),0),"A")</f>
        <v>0</v>
      </c>
      <c r="M29" s="234">
        <f>IFERROR(IF($A29=1,G29-VLOOKUP($B29,INPUT!$C$7:$J$6985,M$4,0),0),"A")</f>
        <v>0</v>
      </c>
      <c r="N29" s="234">
        <f>IFERROR(IF($A29=1,H29-VLOOKUP($B29,INPUT!$C$7:$J$6985,N$4,0),0),"A")</f>
        <v>0</v>
      </c>
      <c r="O29" s="234">
        <f>IFERROR(IF($A29=1,I29-VLOOKUP($B29,INPUT!$C$7:$J$6985,O$4,0),0),"A")</f>
        <v>0</v>
      </c>
      <c r="P29" s="235">
        <f t="shared" si="3"/>
        <v>0</v>
      </c>
    </row>
    <row r="30" spans="1:16" x14ac:dyDescent="0.45">
      <c r="A30" s="207">
        <f t="shared" si="2"/>
        <v>2</v>
      </c>
      <c r="B30" s="213">
        <v>1388</v>
      </c>
      <c r="C30" s="164" t="s">
        <v>30</v>
      </c>
      <c r="D30" s="228">
        <f>SUMIFS(INPUT!E$7:E$6985,INPUT!$C$7:$C$6985,$B30)</f>
        <v>0</v>
      </c>
      <c r="E30" s="228">
        <f>SUMIFS(INPUT!F$7:F$6985,INPUT!$C$7:$C$6985,$B30)</f>
        <v>0</v>
      </c>
      <c r="F30" s="228">
        <f>SUMIFS(INPUT!G$7:G$6985,INPUT!$C$7:$C$6985,$B30)</f>
        <v>0</v>
      </c>
      <c r="G30" s="228">
        <f>SUMIFS(INPUT!H$7:H$6985,INPUT!$C$7:$C$6985,$B30)</f>
        <v>0</v>
      </c>
      <c r="H30" s="228">
        <f>SUMIFS(INPUT!I$7:I$6985,INPUT!$C$7:$C$6985,$B30)</f>
        <v>0</v>
      </c>
      <c r="I30" s="228">
        <f>SUMIFS(INPUT!J$7:J$6985,INPUT!$C$7:$C$6985,$B30)</f>
        <v>0</v>
      </c>
      <c r="J30" s="234">
        <f>IFERROR(IF($A30=1,D30-VLOOKUP($B30,INPUT!$C$7:$J$6985,J$4,0),0),"A")</f>
        <v>0</v>
      </c>
      <c r="K30" s="234">
        <f>IFERROR(IF($A30=1,E30-VLOOKUP($B30,INPUT!$C$7:$J$6985,K$4,0),0),"A")</f>
        <v>0</v>
      </c>
      <c r="L30" s="234">
        <f>IFERROR(IF($A30=1,F30-VLOOKUP($B30,INPUT!$C$7:$J$6985,L$4,0),0),"A")</f>
        <v>0</v>
      </c>
      <c r="M30" s="234">
        <f>IFERROR(IF($A30=1,G30-VLOOKUP($B30,INPUT!$C$7:$J$6985,M$4,0),0),"A")</f>
        <v>0</v>
      </c>
      <c r="N30" s="234">
        <f>IFERROR(IF($A30=1,H30-VLOOKUP($B30,INPUT!$C$7:$J$6985,N$4,0),0),"A")</f>
        <v>0</v>
      </c>
      <c r="O30" s="234">
        <f>IFERROR(IF($A30=1,I30-VLOOKUP($B30,INPUT!$C$7:$J$6985,O$4,0),0),"A")</f>
        <v>0</v>
      </c>
      <c r="P30" s="235">
        <f t="shared" si="3"/>
        <v>0</v>
      </c>
    </row>
    <row r="31" spans="1:16" x14ac:dyDescent="0.45">
      <c r="A31" s="216">
        <f t="shared" si="2"/>
        <v>1</v>
      </c>
      <c r="B31" s="217">
        <v>141</v>
      </c>
      <c r="C31" s="218" t="s">
        <v>34</v>
      </c>
      <c r="D31" s="227">
        <f>SUMIFS(INPUT!E$7:E$6985,INPUT!$C$7:$C$6985,$B31)</f>
        <v>0</v>
      </c>
      <c r="E31" s="227">
        <f>SUMIFS(INPUT!F$7:F$6985,INPUT!$C$7:$C$6985,$B31)</f>
        <v>0</v>
      </c>
      <c r="F31" s="227">
        <f>SUMIFS(INPUT!G$7:G$6985,INPUT!$C$7:$C$6985,$B31)</f>
        <v>0</v>
      </c>
      <c r="G31" s="227">
        <f>SUMIFS(INPUT!H$7:H$6985,INPUT!$C$7:$C$6985,$B31)</f>
        <v>0</v>
      </c>
      <c r="H31" s="227">
        <f>SUMIFS(INPUT!I$7:I$6985,INPUT!$C$7:$C$6985,$B31)</f>
        <v>0</v>
      </c>
      <c r="I31" s="227">
        <f>SUMIFS(INPUT!J$7:J$6985,INPUT!$C$7:$C$6985,$B31)</f>
        <v>0</v>
      </c>
      <c r="J31" s="234" t="str">
        <f>IFERROR(IF($A31=1,D31-VLOOKUP($B31,INPUT!$C$7:$J$6985,J$4,0),0),"A")</f>
        <v>A</v>
      </c>
      <c r="K31" s="234" t="str">
        <f>IFERROR(IF($A31=1,E31-VLOOKUP($B31,INPUT!$C$7:$J$6985,K$4,0),0),"A")</f>
        <v>A</v>
      </c>
      <c r="L31" s="234" t="str">
        <f>IFERROR(IF($A31=1,F31-VLOOKUP($B31,INPUT!$C$7:$J$6985,L$4,0),0),"A")</f>
        <v>A</v>
      </c>
      <c r="M31" s="234" t="str">
        <f>IFERROR(IF($A31=1,G31-VLOOKUP($B31,INPUT!$C$7:$J$6985,M$4,0),0),"A")</f>
        <v>A</v>
      </c>
      <c r="N31" s="234" t="str">
        <f>IFERROR(IF($A31=1,H31-VLOOKUP($B31,INPUT!$C$7:$J$6985,N$4,0),0),"A")</f>
        <v>A</v>
      </c>
      <c r="O31" s="234" t="str">
        <f>IFERROR(IF($A31=1,I31-VLOOKUP($B31,INPUT!$C$7:$J$6985,O$4,0),0),"A")</f>
        <v>A</v>
      </c>
      <c r="P31" s="235">
        <f t="shared" si="3"/>
        <v>0</v>
      </c>
    </row>
    <row r="32" spans="1:16" x14ac:dyDescent="0.45">
      <c r="A32" s="216">
        <f t="shared" si="2"/>
        <v>1</v>
      </c>
      <c r="B32" s="217">
        <v>151</v>
      </c>
      <c r="C32" s="218" t="s">
        <v>35</v>
      </c>
      <c r="D32" s="227">
        <f>SUMIFS(INPUT!E$7:E$6985,INPUT!$C$7:$C$6985,$B32)</f>
        <v>0</v>
      </c>
      <c r="E32" s="227">
        <f>SUMIFS(INPUT!F$7:F$6985,INPUT!$C$7:$C$6985,$B32)</f>
        <v>0</v>
      </c>
      <c r="F32" s="227">
        <f>SUMIFS(INPUT!G$7:G$6985,INPUT!$C$7:$C$6985,$B32)</f>
        <v>0</v>
      </c>
      <c r="G32" s="227">
        <f>SUMIFS(INPUT!H$7:H$6985,INPUT!$C$7:$C$6985,$B32)</f>
        <v>0</v>
      </c>
      <c r="H32" s="227">
        <f>SUMIFS(INPUT!I$7:I$6985,INPUT!$C$7:$C$6985,$B32)</f>
        <v>0</v>
      </c>
      <c r="I32" s="227">
        <f>SUMIFS(INPUT!J$7:J$6985,INPUT!$C$7:$C$6985,$B32)</f>
        <v>0</v>
      </c>
      <c r="J32" s="234" t="str">
        <f>IFERROR(IF($A32=1,D32-VLOOKUP($B32,INPUT!$C$7:$J$6985,J$4,0),0),"A")</f>
        <v>A</v>
      </c>
      <c r="K32" s="234" t="str">
        <f>IFERROR(IF($A32=1,E32-VLOOKUP($B32,INPUT!$C$7:$J$6985,K$4,0),0),"A")</f>
        <v>A</v>
      </c>
      <c r="L32" s="234" t="str">
        <f>IFERROR(IF($A32=1,F32-VLOOKUP($B32,INPUT!$C$7:$J$6985,L$4,0),0),"A")</f>
        <v>A</v>
      </c>
      <c r="M32" s="234" t="str">
        <f>IFERROR(IF($A32=1,G32-VLOOKUP($B32,INPUT!$C$7:$J$6985,M$4,0),0),"A")</f>
        <v>A</v>
      </c>
      <c r="N32" s="234" t="str">
        <f>IFERROR(IF($A32=1,H32-VLOOKUP($B32,INPUT!$C$7:$J$6985,N$4,0),0),"A")</f>
        <v>A</v>
      </c>
      <c r="O32" s="234" t="str">
        <f>IFERROR(IF($A32=1,I32-VLOOKUP($B32,INPUT!$C$7:$J$6985,O$4,0),0),"A")</f>
        <v>A</v>
      </c>
      <c r="P32" s="235">
        <f t="shared" si="3"/>
        <v>0</v>
      </c>
    </row>
    <row r="33" spans="1:16" x14ac:dyDescent="0.45">
      <c r="A33" s="216">
        <f t="shared" si="2"/>
        <v>1</v>
      </c>
      <c r="B33" s="217">
        <v>152</v>
      </c>
      <c r="C33" s="218" t="s">
        <v>36</v>
      </c>
      <c r="D33" s="227">
        <f>SUMIFS(INPUT!E$7:E$6985,INPUT!$C$7:$C$6985,$B33)</f>
        <v>0</v>
      </c>
      <c r="E33" s="227">
        <f>SUMIFS(INPUT!F$7:F$6985,INPUT!$C$7:$C$6985,$B33)</f>
        <v>0</v>
      </c>
      <c r="F33" s="227">
        <f>SUMIFS(INPUT!G$7:G$6985,INPUT!$C$7:$C$6985,$B33)</f>
        <v>0</v>
      </c>
      <c r="G33" s="227">
        <f>SUMIFS(INPUT!H$7:H$6985,INPUT!$C$7:$C$6985,$B33)</f>
        <v>0</v>
      </c>
      <c r="H33" s="227">
        <f>SUMIFS(INPUT!I$7:I$6985,INPUT!$C$7:$C$6985,$B33)</f>
        <v>0</v>
      </c>
      <c r="I33" s="227">
        <f>SUMIFS(INPUT!J$7:J$6985,INPUT!$C$7:$C$6985,$B33)</f>
        <v>0</v>
      </c>
      <c r="J33" s="234" t="str">
        <f>IFERROR(IF($A33=1,D33-VLOOKUP($B33,INPUT!$C$7:$J$6985,J$4,0),0),"A")</f>
        <v>A</v>
      </c>
      <c r="K33" s="234" t="str">
        <f>IFERROR(IF($A33=1,E33-VLOOKUP($B33,INPUT!$C$7:$J$6985,K$4,0),0),"A")</f>
        <v>A</v>
      </c>
      <c r="L33" s="234" t="str">
        <f>IFERROR(IF($A33=1,F33-VLOOKUP($B33,INPUT!$C$7:$J$6985,L$4,0),0),"A")</f>
        <v>A</v>
      </c>
      <c r="M33" s="234" t="str">
        <f>IFERROR(IF($A33=1,G33-VLOOKUP($B33,INPUT!$C$7:$J$6985,M$4,0),0),"A")</f>
        <v>A</v>
      </c>
      <c r="N33" s="234" t="str">
        <f>IFERROR(IF($A33=1,H33-VLOOKUP($B33,INPUT!$C$7:$J$6985,N$4,0),0),"A")</f>
        <v>A</v>
      </c>
      <c r="O33" s="234" t="str">
        <f>IFERROR(IF($A33=1,I33-VLOOKUP($B33,INPUT!$C$7:$J$6985,O$4,0),0),"A")</f>
        <v>A</v>
      </c>
      <c r="P33" s="235">
        <f t="shared" si="3"/>
        <v>0</v>
      </c>
    </row>
    <row r="34" spans="1:16" x14ac:dyDescent="0.45">
      <c r="A34" s="216">
        <f t="shared" si="2"/>
        <v>1</v>
      </c>
      <c r="B34" s="217">
        <v>153</v>
      </c>
      <c r="C34" s="218" t="s">
        <v>37</v>
      </c>
      <c r="D34" s="227">
        <f>SUMIFS(INPUT!E$7:E$6985,INPUT!$C$7:$C$6985,$B34)</f>
        <v>0</v>
      </c>
      <c r="E34" s="227">
        <f>SUMIFS(INPUT!F$7:F$6985,INPUT!$C$7:$C$6985,$B34)</f>
        <v>0</v>
      </c>
      <c r="F34" s="227">
        <f>SUMIFS(INPUT!G$7:G$6985,INPUT!$C$7:$C$6985,$B34)</f>
        <v>0</v>
      </c>
      <c r="G34" s="227">
        <f>SUMIFS(INPUT!H$7:H$6985,INPUT!$C$7:$C$6985,$B34)</f>
        <v>0</v>
      </c>
      <c r="H34" s="227">
        <f>SUMIFS(INPUT!I$7:I$6985,INPUT!$C$7:$C$6985,$B34)</f>
        <v>0</v>
      </c>
      <c r="I34" s="227">
        <f>SUMIFS(INPUT!J$7:J$6985,INPUT!$C$7:$C$6985,$B34)</f>
        <v>0</v>
      </c>
      <c r="J34" s="234" t="str">
        <f>IFERROR(IF($A34=1,D34-VLOOKUP($B34,INPUT!$C$7:$J$6985,J$4,0),0),"A")</f>
        <v>A</v>
      </c>
      <c r="K34" s="234" t="str">
        <f>IFERROR(IF($A34=1,E34-VLOOKUP($B34,INPUT!$C$7:$J$6985,K$4,0),0),"A")</f>
        <v>A</v>
      </c>
      <c r="L34" s="234" t="str">
        <f>IFERROR(IF($A34=1,F34-VLOOKUP($B34,INPUT!$C$7:$J$6985,L$4,0),0),"A")</f>
        <v>A</v>
      </c>
      <c r="M34" s="234" t="str">
        <f>IFERROR(IF($A34=1,G34-VLOOKUP($B34,INPUT!$C$7:$J$6985,M$4,0),0),"A")</f>
        <v>A</v>
      </c>
      <c r="N34" s="234" t="str">
        <f>IFERROR(IF($A34=1,H34-VLOOKUP($B34,INPUT!$C$7:$J$6985,N$4,0),0),"A")</f>
        <v>A</v>
      </c>
      <c r="O34" s="234" t="str">
        <f>IFERROR(IF($A34=1,I34-VLOOKUP($B34,INPUT!$C$7:$J$6985,O$4,0),0),"A")</f>
        <v>A</v>
      </c>
      <c r="P34" s="235">
        <f t="shared" si="3"/>
        <v>0</v>
      </c>
    </row>
    <row r="35" spans="1:16" x14ac:dyDescent="0.45">
      <c r="A35" s="216">
        <f t="shared" si="2"/>
        <v>1</v>
      </c>
      <c r="B35" s="217">
        <v>154</v>
      </c>
      <c r="C35" s="218" t="s">
        <v>38</v>
      </c>
      <c r="D35" s="227">
        <f>SUMIFS(INPUT!E$7:E$6985,INPUT!$C$7:$C$6985,$B35)</f>
        <v>0</v>
      </c>
      <c r="E35" s="227">
        <f>SUMIFS(INPUT!F$7:F$6985,INPUT!$C$7:$C$6985,$B35)</f>
        <v>0</v>
      </c>
      <c r="F35" s="227">
        <f>SUMIFS(INPUT!G$7:G$6985,INPUT!$C$7:$C$6985,$B35)</f>
        <v>0</v>
      </c>
      <c r="G35" s="227">
        <f>SUMIFS(INPUT!H$7:H$6985,INPUT!$C$7:$C$6985,$B35)</f>
        <v>0</v>
      </c>
      <c r="H35" s="227">
        <f>SUMIFS(INPUT!I$7:I$6985,INPUT!$C$7:$C$6985,$B35)</f>
        <v>0</v>
      </c>
      <c r="I35" s="227">
        <f>SUMIFS(INPUT!J$7:J$6985,INPUT!$C$7:$C$6985,$B35)</f>
        <v>0</v>
      </c>
      <c r="J35" s="234" t="str">
        <f>IFERROR(IF($A35=1,D35-VLOOKUP($B35,INPUT!$C$7:$J$6985,J$4,0),0),"A")</f>
        <v>A</v>
      </c>
      <c r="K35" s="234" t="str">
        <f>IFERROR(IF($A35=1,E35-VLOOKUP($B35,INPUT!$C$7:$J$6985,K$4,0),0),"A")</f>
        <v>A</v>
      </c>
      <c r="L35" s="234" t="str">
        <f>IFERROR(IF($A35=1,F35-VLOOKUP($B35,INPUT!$C$7:$J$6985,L$4,0),0),"A")</f>
        <v>A</v>
      </c>
      <c r="M35" s="234" t="str">
        <f>IFERROR(IF($A35=1,G35-VLOOKUP($B35,INPUT!$C$7:$J$6985,M$4,0),0),"A")</f>
        <v>A</v>
      </c>
      <c r="N35" s="234" t="str">
        <f>IFERROR(IF($A35=1,H35-VLOOKUP($B35,INPUT!$C$7:$J$6985,N$4,0),0),"A")</f>
        <v>A</v>
      </c>
      <c r="O35" s="234" t="str">
        <f>IFERROR(IF($A35=1,I35-VLOOKUP($B35,INPUT!$C$7:$J$6985,O$4,0),0),"A")</f>
        <v>A</v>
      </c>
      <c r="P35" s="235">
        <f t="shared" si="3"/>
        <v>0</v>
      </c>
    </row>
    <row r="36" spans="1:16" x14ac:dyDescent="0.45">
      <c r="A36" s="216">
        <f t="shared" si="2"/>
        <v>1</v>
      </c>
      <c r="B36" s="217">
        <v>155</v>
      </c>
      <c r="C36" s="218" t="s">
        <v>39</v>
      </c>
      <c r="D36" s="227">
        <f>SUMIFS(INPUT!E$7:E$6985,INPUT!$C$7:$C$6985,$B36)</f>
        <v>0</v>
      </c>
      <c r="E36" s="227">
        <f>SUMIFS(INPUT!F$7:F$6985,INPUT!$C$7:$C$6985,$B36)</f>
        <v>0</v>
      </c>
      <c r="F36" s="227">
        <f>SUMIFS(INPUT!G$7:G$6985,INPUT!$C$7:$C$6985,$B36)</f>
        <v>0</v>
      </c>
      <c r="G36" s="227">
        <f>SUMIFS(INPUT!H$7:H$6985,INPUT!$C$7:$C$6985,$B36)</f>
        <v>0</v>
      </c>
      <c r="H36" s="227">
        <f>SUMIFS(INPUT!I$7:I$6985,INPUT!$C$7:$C$6985,$B36)</f>
        <v>0</v>
      </c>
      <c r="I36" s="227">
        <f>SUMIFS(INPUT!J$7:J$6985,INPUT!$C$7:$C$6985,$B36)</f>
        <v>0</v>
      </c>
      <c r="J36" s="234" t="str">
        <f>IFERROR(IF($A36=1,D36-VLOOKUP($B36,INPUT!$C$7:$J$6985,J$4,0),0),"A")</f>
        <v>A</v>
      </c>
      <c r="K36" s="234" t="str">
        <f>IFERROR(IF($A36=1,E36-VLOOKUP($B36,INPUT!$C$7:$J$6985,K$4,0),0),"A")</f>
        <v>A</v>
      </c>
      <c r="L36" s="234" t="str">
        <f>IFERROR(IF($A36=1,F36-VLOOKUP($B36,INPUT!$C$7:$J$6985,L$4,0),0),"A")</f>
        <v>A</v>
      </c>
      <c r="M36" s="234" t="str">
        <f>IFERROR(IF($A36=1,G36-VLOOKUP($B36,INPUT!$C$7:$J$6985,M$4,0),0),"A")</f>
        <v>A</v>
      </c>
      <c r="N36" s="234" t="str">
        <f>IFERROR(IF($A36=1,H36-VLOOKUP($B36,INPUT!$C$7:$J$6985,N$4,0),0),"A")</f>
        <v>A</v>
      </c>
      <c r="O36" s="234" t="str">
        <f>IFERROR(IF($A36=1,I36-VLOOKUP($B36,INPUT!$C$7:$J$6985,O$4,0),0),"A")</f>
        <v>A</v>
      </c>
      <c r="P36" s="235">
        <f t="shared" si="3"/>
        <v>0</v>
      </c>
    </row>
    <row r="37" spans="1:16" x14ac:dyDescent="0.45">
      <c r="A37" s="216">
        <f t="shared" si="2"/>
        <v>1</v>
      </c>
      <c r="B37" s="217">
        <v>156</v>
      </c>
      <c r="C37" s="218" t="s">
        <v>40</v>
      </c>
      <c r="D37" s="227">
        <f>SUMIFS(INPUT!E$7:E$6985,INPUT!$C$7:$C$6985,$B37)</f>
        <v>0</v>
      </c>
      <c r="E37" s="227">
        <f>SUMIFS(INPUT!F$7:F$6985,INPUT!$C$7:$C$6985,$B37)</f>
        <v>0</v>
      </c>
      <c r="F37" s="227">
        <f>SUMIFS(INPUT!G$7:G$6985,INPUT!$C$7:$C$6985,$B37)</f>
        <v>0</v>
      </c>
      <c r="G37" s="227">
        <f>SUMIFS(INPUT!H$7:H$6985,INPUT!$C$7:$C$6985,$B37)</f>
        <v>0</v>
      </c>
      <c r="H37" s="227">
        <f>SUMIFS(INPUT!I$7:I$6985,INPUT!$C$7:$C$6985,$B37)</f>
        <v>0</v>
      </c>
      <c r="I37" s="227">
        <f>SUMIFS(INPUT!J$7:J$6985,INPUT!$C$7:$C$6985,$B37)</f>
        <v>0</v>
      </c>
      <c r="J37" s="234" t="str">
        <f>IFERROR(IF($A37=1,D37-VLOOKUP($B37,INPUT!$C$7:$J$6985,J$4,0),0),"A")</f>
        <v>A</v>
      </c>
      <c r="K37" s="234" t="str">
        <f>IFERROR(IF($A37=1,E37-VLOOKUP($B37,INPUT!$C$7:$J$6985,K$4,0),0),"A")</f>
        <v>A</v>
      </c>
      <c r="L37" s="234" t="str">
        <f>IFERROR(IF($A37=1,F37-VLOOKUP($B37,INPUT!$C$7:$J$6985,L$4,0),0),"A")</f>
        <v>A</v>
      </c>
      <c r="M37" s="234" t="str">
        <f>IFERROR(IF($A37=1,G37-VLOOKUP($B37,INPUT!$C$7:$J$6985,M$4,0),0),"A")</f>
        <v>A</v>
      </c>
      <c r="N37" s="234" t="str">
        <f>IFERROR(IF($A37=1,H37-VLOOKUP($B37,INPUT!$C$7:$J$6985,N$4,0),0),"A")</f>
        <v>A</v>
      </c>
      <c r="O37" s="234" t="str">
        <f>IFERROR(IF($A37=1,I37-VLOOKUP($B37,INPUT!$C$7:$J$6985,O$4,0),0),"A")</f>
        <v>A</v>
      </c>
      <c r="P37" s="235">
        <f t="shared" si="3"/>
        <v>0</v>
      </c>
    </row>
    <row r="38" spans="1:16" x14ac:dyDescent="0.45">
      <c r="A38" s="216">
        <f t="shared" si="2"/>
        <v>1</v>
      </c>
      <c r="B38" s="217">
        <v>157</v>
      </c>
      <c r="C38" s="218" t="s">
        <v>41</v>
      </c>
      <c r="D38" s="227">
        <f>SUMIFS(INPUT!E$7:E$6985,INPUT!$C$7:$C$6985,$B38)</f>
        <v>0</v>
      </c>
      <c r="E38" s="227">
        <f>SUMIFS(INPUT!F$7:F$6985,INPUT!$C$7:$C$6985,$B38)</f>
        <v>0</v>
      </c>
      <c r="F38" s="227">
        <f>SUMIFS(INPUT!G$7:G$6985,INPUT!$C$7:$C$6985,$B38)</f>
        <v>0</v>
      </c>
      <c r="G38" s="227">
        <f>SUMIFS(INPUT!H$7:H$6985,INPUT!$C$7:$C$6985,$B38)</f>
        <v>0</v>
      </c>
      <c r="H38" s="227">
        <f>SUMIFS(INPUT!I$7:I$6985,INPUT!$C$7:$C$6985,$B38)</f>
        <v>0</v>
      </c>
      <c r="I38" s="227">
        <f>SUMIFS(INPUT!J$7:J$6985,INPUT!$C$7:$C$6985,$B38)</f>
        <v>0</v>
      </c>
      <c r="J38" s="234" t="str">
        <f>IFERROR(IF($A38=1,D38-VLOOKUP($B38,INPUT!$C$7:$J$6985,J$4,0),0),"A")</f>
        <v>A</v>
      </c>
      <c r="K38" s="234" t="str">
        <f>IFERROR(IF($A38=1,E38-VLOOKUP($B38,INPUT!$C$7:$J$6985,K$4,0),0),"A")</f>
        <v>A</v>
      </c>
      <c r="L38" s="234" t="str">
        <f>IFERROR(IF($A38=1,F38-VLOOKUP($B38,INPUT!$C$7:$J$6985,L$4,0),0),"A")</f>
        <v>A</v>
      </c>
      <c r="M38" s="234" t="str">
        <f>IFERROR(IF($A38=1,G38-VLOOKUP($B38,INPUT!$C$7:$J$6985,M$4,0),0),"A")</f>
        <v>A</v>
      </c>
      <c r="N38" s="234" t="str">
        <f>IFERROR(IF($A38=1,H38-VLOOKUP($B38,INPUT!$C$7:$J$6985,N$4,0),0),"A")</f>
        <v>A</v>
      </c>
      <c r="O38" s="234" t="str">
        <f>IFERROR(IF($A38=1,I38-VLOOKUP($B38,INPUT!$C$7:$J$6985,O$4,0),0),"A")</f>
        <v>A</v>
      </c>
      <c r="P38" s="235">
        <f t="shared" si="3"/>
        <v>0</v>
      </c>
    </row>
    <row r="39" spans="1:16" x14ac:dyDescent="0.45">
      <c r="A39" s="216">
        <f t="shared" si="2"/>
        <v>1</v>
      </c>
      <c r="B39" s="217">
        <v>211</v>
      </c>
      <c r="C39" s="218" t="s">
        <v>42</v>
      </c>
      <c r="D39" s="227">
        <f>SUM(D40:D42)</f>
        <v>0</v>
      </c>
      <c r="E39" s="227">
        <f t="shared" ref="E39:I39" si="9">SUM(E40:E42)</f>
        <v>0</v>
      </c>
      <c r="F39" s="227">
        <f t="shared" si="9"/>
        <v>0</v>
      </c>
      <c r="G39" s="227">
        <f t="shared" si="9"/>
        <v>0</v>
      </c>
      <c r="H39" s="227">
        <f t="shared" si="9"/>
        <v>0</v>
      </c>
      <c r="I39" s="227">
        <f t="shared" si="9"/>
        <v>0</v>
      </c>
      <c r="J39" s="234" t="str">
        <f>IFERROR(IF($A39=1,D39-VLOOKUP($B39,INPUT!$C$7:$J$6985,J$4,0),0),"A")</f>
        <v>A</v>
      </c>
      <c r="K39" s="234" t="str">
        <f>IFERROR(IF($A39=1,E39-VLOOKUP($B39,INPUT!$C$7:$J$6985,K$4,0),0),"A")</f>
        <v>A</v>
      </c>
      <c r="L39" s="234" t="str">
        <f>IFERROR(IF($A39=1,F39-VLOOKUP($B39,INPUT!$C$7:$J$6985,L$4,0),0),"A")</f>
        <v>A</v>
      </c>
      <c r="M39" s="234" t="str">
        <f>IFERROR(IF($A39=1,G39-VLOOKUP($B39,INPUT!$C$7:$J$6985,M$4,0),0),"A")</f>
        <v>A</v>
      </c>
      <c r="N39" s="234" t="str">
        <f>IFERROR(IF($A39=1,H39-VLOOKUP($B39,INPUT!$C$7:$J$6985,N$4,0),0),"A")</f>
        <v>A</v>
      </c>
      <c r="O39" s="234" t="str">
        <f>IFERROR(IF($A39=1,I39-VLOOKUP($B39,INPUT!$C$7:$J$6985,O$4,0),0),"A")</f>
        <v>A</v>
      </c>
      <c r="P39" s="235">
        <f t="shared" si="3"/>
        <v>0</v>
      </c>
    </row>
    <row r="40" spans="1:16" x14ac:dyDescent="0.45">
      <c r="A40" s="207">
        <f t="shared" si="2"/>
        <v>2</v>
      </c>
      <c r="B40" s="213">
        <v>2111</v>
      </c>
      <c r="C40" s="164" t="s">
        <v>43</v>
      </c>
      <c r="D40" s="228">
        <f>SUMIFS(INPUT!E$7:E$6985,INPUT!$C$7:$C$6985,$B40)</f>
        <v>0</v>
      </c>
      <c r="E40" s="228">
        <f>SUMIFS(INPUT!F$7:F$6985,INPUT!$C$7:$C$6985,$B40)</f>
        <v>0</v>
      </c>
      <c r="F40" s="228">
        <f>SUMIFS(INPUT!G$7:G$6985,INPUT!$C$7:$C$6985,$B40)</f>
        <v>0</v>
      </c>
      <c r="G40" s="228">
        <f>SUMIFS(INPUT!H$7:H$6985,INPUT!$C$7:$C$6985,$B40)</f>
        <v>0</v>
      </c>
      <c r="H40" s="228">
        <f>SUMIFS(INPUT!I$7:I$6985,INPUT!$C$7:$C$6985,$B40)</f>
        <v>0</v>
      </c>
      <c r="I40" s="228">
        <f>SUMIFS(INPUT!J$7:J$6985,INPUT!$C$7:$C$6985,$B40)</f>
        <v>0</v>
      </c>
      <c r="J40" s="234">
        <f>IFERROR(IF($A40=1,D40-VLOOKUP($B40,INPUT!$C$7:$J$6985,J$4,0),0),"A")</f>
        <v>0</v>
      </c>
      <c r="K40" s="234">
        <f>IFERROR(IF($A40=1,E40-VLOOKUP($B40,INPUT!$C$7:$J$6985,K$4,0),0),"A")</f>
        <v>0</v>
      </c>
      <c r="L40" s="234">
        <f>IFERROR(IF($A40=1,F40-VLOOKUP($B40,INPUT!$C$7:$J$6985,L$4,0),0),"A")</f>
        <v>0</v>
      </c>
      <c r="M40" s="234">
        <f>IFERROR(IF($A40=1,G40-VLOOKUP($B40,INPUT!$C$7:$J$6985,M$4,0),0),"A")</f>
        <v>0</v>
      </c>
      <c r="N40" s="234">
        <f>IFERROR(IF($A40=1,H40-VLOOKUP($B40,INPUT!$C$7:$J$6985,N$4,0),0),"A")</f>
        <v>0</v>
      </c>
      <c r="O40" s="234">
        <f>IFERROR(IF($A40=1,I40-VLOOKUP($B40,INPUT!$C$7:$J$6985,O$4,0),0),"A")</f>
        <v>0</v>
      </c>
      <c r="P40" s="235">
        <f t="shared" si="3"/>
        <v>0</v>
      </c>
    </row>
    <row r="41" spans="1:16" x14ac:dyDescent="0.45">
      <c r="A41" s="207">
        <f t="shared" si="2"/>
        <v>2</v>
      </c>
      <c r="B41" s="213">
        <v>2112</v>
      </c>
      <c r="C41" s="164" t="s">
        <v>44</v>
      </c>
      <c r="D41" s="228">
        <f>SUMIFS(INPUT!E$7:E$6985,INPUT!$C$7:$C$6985,$B41)</f>
        <v>0</v>
      </c>
      <c r="E41" s="228">
        <f>SUMIFS(INPUT!F$7:F$6985,INPUT!$C$7:$C$6985,$B41)</f>
        <v>0</v>
      </c>
      <c r="F41" s="228">
        <f>SUMIFS(INPUT!G$7:G$6985,INPUT!$C$7:$C$6985,$B41)</f>
        <v>0</v>
      </c>
      <c r="G41" s="228">
        <f>SUMIFS(INPUT!H$7:H$6985,INPUT!$C$7:$C$6985,$B41)</f>
        <v>0</v>
      </c>
      <c r="H41" s="228">
        <f>SUMIFS(INPUT!I$7:I$6985,INPUT!$C$7:$C$6985,$B41)</f>
        <v>0</v>
      </c>
      <c r="I41" s="228">
        <f>SUMIFS(INPUT!J$7:J$6985,INPUT!$C$7:$C$6985,$B41)</f>
        <v>0</v>
      </c>
      <c r="J41" s="234">
        <f>IFERROR(IF($A41=1,D41-VLOOKUP($B41,INPUT!$C$7:$J$6985,J$4,0),0),"A")</f>
        <v>0</v>
      </c>
      <c r="K41" s="234">
        <f>IFERROR(IF($A41=1,E41-VLOOKUP($B41,INPUT!$C$7:$J$6985,K$4,0),0),"A")</f>
        <v>0</v>
      </c>
      <c r="L41" s="234">
        <f>IFERROR(IF($A41=1,F41-VLOOKUP($B41,INPUT!$C$7:$J$6985,L$4,0),0),"A")</f>
        <v>0</v>
      </c>
      <c r="M41" s="234">
        <f>IFERROR(IF($A41=1,G41-VLOOKUP($B41,INPUT!$C$7:$J$6985,M$4,0),0),"A")</f>
        <v>0</v>
      </c>
      <c r="N41" s="234">
        <f>IFERROR(IF($A41=1,H41-VLOOKUP($B41,INPUT!$C$7:$J$6985,N$4,0),0),"A")</f>
        <v>0</v>
      </c>
      <c r="O41" s="234">
        <f>IFERROR(IF($A41=1,I41-VLOOKUP($B41,INPUT!$C$7:$J$6985,O$4,0),0),"A")</f>
        <v>0</v>
      </c>
      <c r="P41" s="235">
        <f t="shared" si="3"/>
        <v>0</v>
      </c>
    </row>
    <row r="42" spans="1:16" x14ac:dyDescent="0.45">
      <c r="A42" s="207">
        <f t="shared" si="2"/>
        <v>2</v>
      </c>
      <c r="B42" s="213">
        <v>2113</v>
      </c>
      <c r="C42" s="164" t="s">
        <v>45</v>
      </c>
      <c r="D42" s="228">
        <f>SUMIFS(INPUT!E$7:E$6985,INPUT!$C$7:$C$6985,$B42)</f>
        <v>0</v>
      </c>
      <c r="E42" s="228">
        <f>SUMIFS(INPUT!F$7:F$6985,INPUT!$C$7:$C$6985,$B42)</f>
        <v>0</v>
      </c>
      <c r="F42" s="228">
        <f>SUMIFS(INPUT!G$7:G$6985,INPUT!$C$7:$C$6985,$B42)</f>
        <v>0</v>
      </c>
      <c r="G42" s="228">
        <f>SUMIFS(INPUT!H$7:H$6985,INPUT!$C$7:$C$6985,$B42)</f>
        <v>0</v>
      </c>
      <c r="H42" s="228">
        <f>SUMIFS(INPUT!I$7:I$6985,INPUT!$C$7:$C$6985,$B42)</f>
        <v>0</v>
      </c>
      <c r="I42" s="228">
        <f>SUMIFS(INPUT!J$7:J$6985,INPUT!$C$7:$C$6985,$B42)</f>
        <v>0</v>
      </c>
      <c r="J42" s="234">
        <f>IFERROR(IF($A42=1,D42-VLOOKUP($B42,INPUT!$C$7:$J$6985,J$4,0),0),"A")</f>
        <v>0</v>
      </c>
      <c r="K42" s="234">
        <f>IFERROR(IF($A42=1,E42-VLOOKUP($B42,INPUT!$C$7:$J$6985,K$4,0),0),"A")</f>
        <v>0</v>
      </c>
      <c r="L42" s="234">
        <f>IFERROR(IF($A42=1,F42-VLOOKUP($B42,INPUT!$C$7:$J$6985,L$4,0),0),"A")</f>
        <v>0</v>
      </c>
      <c r="M42" s="234">
        <f>IFERROR(IF($A42=1,G42-VLOOKUP($B42,INPUT!$C$7:$J$6985,M$4,0),0),"A")</f>
        <v>0</v>
      </c>
      <c r="N42" s="234">
        <f>IFERROR(IF($A42=1,H42-VLOOKUP($B42,INPUT!$C$7:$J$6985,N$4,0),0),"A")</f>
        <v>0</v>
      </c>
      <c r="O42" s="234">
        <f>IFERROR(IF($A42=1,I42-VLOOKUP($B42,INPUT!$C$7:$J$6985,O$4,0),0),"A")</f>
        <v>0</v>
      </c>
      <c r="P42" s="235">
        <f t="shared" si="3"/>
        <v>0</v>
      </c>
    </row>
    <row r="43" spans="1:16" x14ac:dyDescent="0.45">
      <c r="A43" s="216">
        <f t="shared" si="2"/>
        <v>1</v>
      </c>
      <c r="B43" s="217">
        <v>214</v>
      </c>
      <c r="C43" s="218" t="s">
        <v>46</v>
      </c>
      <c r="D43" s="227">
        <f>SUM(D44:D47)</f>
        <v>0</v>
      </c>
      <c r="E43" s="227">
        <f t="shared" ref="E43:I43" si="10">SUM(E44:E47)</f>
        <v>0</v>
      </c>
      <c r="F43" s="227">
        <f t="shared" si="10"/>
        <v>0</v>
      </c>
      <c r="G43" s="227">
        <f t="shared" si="10"/>
        <v>0</v>
      </c>
      <c r="H43" s="227">
        <f t="shared" si="10"/>
        <v>0</v>
      </c>
      <c r="I43" s="227">
        <f t="shared" si="10"/>
        <v>0</v>
      </c>
      <c r="J43" s="234" t="str">
        <f>IFERROR(IF($A43=1,D43-VLOOKUP($B43,INPUT!$C$7:$J$6985,J$4,0),0),"A")</f>
        <v>A</v>
      </c>
      <c r="K43" s="234" t="str">
        <f>IFERROR(IF($A43=1,E43-VLOOKUP($B43,INPUT!$C$7:$J$6985,K$4,0),0),"A")</f>
        <v>A</v>
      </c>
      <c r="L43" s="234" t="str">
        <f>IFERROR(IF($A43=1,F43-VLOOKUP($B43,INPUT!$C$7:$J$6985,L$4,0),0),"A")</f>
        <v>A</v>
      </c>
      <c r="M43" s="234" t="str">
        <f>IFERROR(IF($A43=1,G43-VLOOKUP($B43,INPUT!$C$7:$J$6985,M$4,0),0),"A")</f>
        <v>A</v>
      </c>
      <c r="N43" s="234" t="str">
        <f>IFERROR(IF($A43=1,H43-VLOOKUP($B43,INPUT!$C$7:$J$6985,N$4,0),0),"A")</f>
        <v>A</v>
      </c>
      <c r="O43" s="234" t="str">
        <f>IFERROR(IF($A43=1,I43-VLOOKUP($B43,INPUT!$C$7:$J$6985,O$4,0),0),"A")</f>
        <v>A</v>
      </c>
      <c r="P43" s="235">
        <f t="shared" si="3"/>
        <v>0</v>
      </c>
    </row>
    <row r="44" spans="1:16" x14ac:dyDescent="0.45">
      <c r="A44" s="207">
        <f t="shared" si="2"/>
        <v>2</v>
      </c>
      <c r="B44" s="213">
        <v>2141</v>
      </c>
      <c r="C44" s="164" t="s">
        <v>47</v>
      </c>
      <c r="D44" s="228">
        <f>SUMIFS(INPUT!E$7:E$6985,INPUT!$C$7:$C$6985,$B44)</f>
        <v>0</v>
      </c>
      <c r="E44" s="228">
        <f>SUMIFS(INPUT!F$7:F$6985,INPUT!$C$7:$C$6985,$B44)</f>
        <v>0</v>
      </c>
      <c r="F44" s="228">
        <f>SUMIFS(INPUT!G$7:G$6985,INPUT!$C$7:$C$6985,$B44)</f>
        <v>0</v>
      </c>
      <c r="G44" s="228">
        <f>SUMIFS(INPUT!H$7:H$6985,INPUT!$C$7:$C$6985,$B44)</f>
        <v>0</v>
      </c>
      <c r="H44" s="228">
        <f>SUMIFS(INPUT!I$7:I$6985,INPUT!$C$7:$C$6985,$B44)</f>
        <v>0</v>
      </c>
      <c r="I44" s="228">
        <f>SUMIFS(INPUT!J$7:J$6985,INPUT!$C$7:$C$6985,$B44)</f>
        <v>0</v>
      </c>
      <c r="J44" s="234">
        <f>IFERROR(IF($A44=1,D44-VLOOKUP($B44,INPUT!$C$7:$J$6985,J$4,0),0),"A")</f>
        <v>0</v>
      </c>
      <c r="K44" s="234">
        <f>IFERROR(IF($A44=1,E44-VLOOKUP($B44,INPUT!$C$7:$J$6985,K$4,0),0),"A")</f>
        <v>0</v>
      </c>
      <c r="L44" s="234">
        <f>IFERROR(IF($A44=1,F44-VLOOKUP($B44,INPUT!$C$7:$J$6985,L$4,0),0),"A")</f>
        <v>0</v>
      </c>
      <c r="M44" s="234">
        <f>IFERROR(IF($A44=1,G44-VLOOKUP($B44,INPUT!$C$7:$J$6985,M$4,0),0),"A")</f>
        <v>0</v>
      </c>
      <c r="N44" s="234">
        <f>IFERROR(IF($A44=1,H44-VLOOKUP($B44,INPUT!$C$7:$J$6985,N$4,0),0),"A")</f>
        <v>0</v>
      </c>
      <c r="O44" s="234">
        <f>IFERROR(IF($A44=1,I44-VLOOKUP($B44,INPUT!$C$7:$J$6985,O$4,0),0),"A")</f>
        <v>0</v>
      </c>
      <c r="P44" s="235">
        <f t="shared" si="3"/>
        <v>0</v>
      </c>
    </row>
    <row r="45" spans="1:16" x14ac:dyDescent="0.45">
      <c r="A45" s="207">
        <f t="shared" si="2"/>
        <v>2</v>
      </c>
      <c r="B45" s="213">
        <v>2142</v>
      </c>
      <c r="C45" s="164" t="s">
        <v>48</v>
      </c>
      <c r="D45" s="228">
        <f>SUMIFS(INPUT!E$7:E$6985,INPUT!$C$7:$C$6985,$B45)</f>
        <v>0</v>
      </c>
      <c r="E45" s="228">
        <f>SUMIFS(INPUT!F$7:F$6985,INPUT!$C$7:$C$6985,$B45)</f>
        <v>0</v>
      </c>
      <c r="F45" s="228">
        <f>SUMIFS(INPUT!G$7:G$6985,INPUT!$C$7:$C$6985,$B45)</f>
        <v>0</v>
      </c>
      <c r="G45" s="228">
        <f>SUMIFS(INPUT!H$7:H$6985,INPUT!$C$7:$C$6985,$B45)</f>
        <v>0</v>
      </c>
      <c r="H45" s="228">
        <f>SUMIFS(INPUT!I$7:I$6985,INPUT!$C$7:$C$6985,$B45)</f>
        <v>0</v>
      </c>
      <c r="I45" s="228">
        <f>SUMIFS(INPUT!J$7:J$6985,INPUT!$C$7:$C$6985,$B45)</f>
        <v>0</v>
      </c>
      <c r="J45" s="234">
        <f>IFERROR(IF($A45=1,D45-VLOOKUP($B45,INPUT!$C$7:$J$6985,J$4,0),0),"A")</f>
        <v>0</v>
      </c>
      <c r="K45" s="234">
        <f>IFERROR(IF($A45=1,E45-VLOOKUP($B45,INPUT!$C$7:$J$6985,K$4,0),0),"A")</f>
        <v>0</v>
      </c>
      <c r="L45" s="234">
        <f>IFERROR(IF($A45=1,F45-VLOOKUP($B45,INPUT!$C$7:$J$6985,L$4,0),0),"A")</f>
        <v>0</v>
      </c>
      <c r="M45" s="234">
        <f>IFERROR(IF($A45=1,G45-VLOOKUP($B45,INPUT!$C$7:$J$6985,M$4,0),0),"A")</f>
        <v>0</v>
      </c>
      <c r="N45" s="234">
        <f>IFERROR(IF($A45=1,H45-VLOOKUP($B45,INPUT!$C$7:$J$6985,N$4,0),0),"A")</f>
        <v>0</v>
      </c>
      <c r="O45" s="234">
        <f>IFERROR(IF($A45=1,I45-VLOOKUP($B45,INPUT!$C$7:$J$6985,O$4,0),0),"A")</f>
        <v>0</v>
      </c>
      <c r="P45" s="235">
        <f t="shared" si="3"/>
        <v>0</v>
      </c>
    </row>
    <row r="46" spans="1:16" x14ac:dyDescent="0.45">
      <c r="A46" s="207">
        <f t="shared" si="2"/>
        <v>2</v>
      </c>
      <c r="B46" s="213">
        <v>2143</v>
      </c>
      <c r="C46" s="164" t="s">
        <v>49</v>
      </c>
      <c r="D46" s="228">
        <f>SUMIFS(INPUT!E$7:E$6985,INPUT!$C$7:$C$6985,$B46)</f>
        <v>0</v>
      </c>
      <c r="E46" s="228">
        <f>SUMIFS(INPUT!F$7:F$6985,INPUT!$C$7:$C$6985,$B46)</f>
        <v>0</v>
      </c>
      <c r="F46" s="228">
        <f>SUMIFS(INPUT!G$7:G$6985,INPUT!$C$7:$C$6985,$B46)</f>
        <v>0</v>
      </c>
      <c r="G46" s="228">
        <f>SUMIFS(INPUT!H$7:H$6985,INPUT!$C$7:$C$6985,$B46)</f>
        <v>0</v>
      </c>
      <c r="H46" s="228">
        <f>SUMIFS(INPUT!I$7:I$6985,INPUT!$C$7:$C$6985,$B46)</f>
        <v>0</v>
      </c>
      <c r="I46" s="228">
        <f>SUMIFS(INPUT!J$7:J$6985,INPUT!$C$7:$C$6985,$B46)</f>
        <v>0</v>
      </c>
      <c r="J46" s="234">
        <f>IFERROR(IF($A46=1,D46-VLOOKUP($B46,INPUT!$C$7:$J$6985,J$4,0),0),"A")</f>
        <v>0</v>
      </c>
      <c r="K46" s="234">
        <f>IFERROR(IF($A46=1,E46-VLOOKUP($B46,INPUT!$C$7:$J$6985,K$4,0),0),"A")</f>
        <v>0</v>
      </c>
      <c r="L46" s="234">
        <f>IFERROR(IF($A46=1,F46-VLOOKUP($B46,INPUT!$C$7:$J$6985,L$4,0),0),"A")</f>
        <v>0</v>
      </c>
      <c r="M46" s="234">
        <f>IFERROR(IF($A46=1,G46-VLOOKUP($B46,INPUT!$C$7:$J$6985,M$4,0),0),"A")</f>
        <v>0</v>
      </c>
      <c r="N46" s="234">
        <f>IFERROR(IF($A46=1,H46-VLOOKUP($B46,INPUT!$C$7:$J$6985,N$4,0),0),"A")</f>
        <v>0</v>
      </c>
      <c r="O46" s="234">
        <f>IFERROR(IF($A46=1,I46-VLOOKUP($B46,INPUT!$C$7:$J$6985,O$4,0),0),"A")</f>
        <v>0</v>
      </c>
      <c r="P46" s="235">
        <f t="shared" si="3"/>
        <v>0</v>
      </c>
    </row>
    <row r="47" spans="1:16" x14ac:dyDescent="0.45">
      <c r="A47" s="207">
        <f t="shared" si="2"/>
        <v>2</v>
      </c>
      <c r="B47" s="213">
        <v>2147</v>
      </c>
      <c r="C47" s="164" t="s">
        <v>50</v>
      </c>
      <c r="D47" s="228">
        <f>SUMIFS(INPUT!E$7:E$6985,INPUT!$C$7:$C$6985,$B47)</f>
        <v>0</v>
      </c>
      <c r="E47" s="228">
        <f>SUMIFS(INPUT!F$7:F$6985,INPUT!$C$7:$C$6985,$B47)</f>
        <v>0</v>
      </c>
      <c r="F47" s="228">
        <f>SUMIFS(INPUT!G$7:G$6985,INPUT!$C$7:$C$6985,$B47)</f>
        <v>0</v>
      </c>
      <c r="G47" s="228">
        <f>SUMIFS(INPUT!H$7:H$6985,INPUT!$C$7:$C$6985,$B47)</f>
        <v>0</v>
      </c>
      <c r="H47" s="228">
        <f>SUMIFS(INPUT!I$7:I$6985,INPUT!$C$7:$C$6985,$B47)</f>
        <v>0</v>
      </c>
      <c r="I47" s="228">
        <f>SUMIFS(INPUT!J$7:J$6985,INPUT!$C$7:$C$6985,$B47)</f>
        <v>0</v>
      </c>
      <c r="J47" s="234">
        <f>IFERROR(IF($A47=1,D47-VLOOKUP($B47,INPUT!$C$7:$J$6985,J$4,0),0),"A")</f>
        <v>0</v>
      </c>
      <c r="K47" s="234">
        <f>IFERROR(IF($A47=1,E47-VLOOKUP($B47,INPUT!$C$7:$J$6985,K$4,0),0),"A")</f>
        <v>0</v>
      </c>
      <c r="L47" s="234">
        <f>IFERROR(IF($A47=1,F47-VLOOKUP($B47,INPUT!$C$7:$J$6985,L$4,0),0),"A")</f>
        <v>0</v>
      </c>
      <c r="M47" s="234">
        <f>IFERROR(IF($A47=1,G47-VLOOKUP($B47,INPUT!$C$7:$J$6985,M$4,0),0),"A")</f>
        <v>0</v>
      </c>
      <c r="N47" s="234">
        <f>IFERROR(IF($A47=1,H47-VLOOKUP($B47,INPUT!$C$7:$J$6985,N$4,0),0),"A")</f>
        <v>0</v>
      </c>
      <c r="O47" s="234">
        <f>IFERROR(IF($A47=1,I47-VLOOKUP($B47,INPUT!$C$7:$J$6985,O$4,0),0),"A")</f>
        <v>0</v>
      </c>
      <c r="P47" s="235">
        <f t="shared" si="3"/>
        <v>0</v>
      </c>
    </row>
    <row r="48" spans="1:16" x14ac:dyDescent="0.45">
      <c r="A48" s="216">
        <f t="shared" si="2"/>
        <v>1</v>
      </c>
      <c r="B48" s="217">
        <v>217</v>
      </c>
      <c r="C48" s="218" t="s">
        <v>51</v>
      </c>
      <c r="D48" s="227">
        <f>SUMIFS(INPUT!E$7:E$6985,INPUT!$C$7:$C$6985,$B48)</f>
        <v>0</v>
      </c>
      <c r="E48" s="227">
        <f>SUMIFS(INPUT!F$7:F$6985,INPUT!$C$7:$C$6985,$B48)</f>
        <v>0</v>
      </c>
      <c r="F48" s="227">
        <f>SUMIFS(INPUT!G$7:G$6985,INPUT!$C$7:$C$6985,$B48)</f>
        <v>0</v>
      </c>
      <c r="G48" s="227">
        <f>SUMIFS(INPUT!H$7:H$6985,INPUT!$C$7:$C$6985,$B48)</f>
        <v>0</v>
      </c>
      <c r="H48" s="227">
        <f>SUMIFS(INPUT!I$7:I$6985,INPUT!$C$7:$C$6985,$B48)</f>
        <v>0</v>
      </c>
      <c r="I48" s="227">
        <f>SUMIFS(INPUT!J$7:J$6985,INPUT!$C$7:$C$6985,$B48)</f>
        <v>0</v>
      </c>
      <c r="J48" s="234" t="str">
        <f>IFERROR(IF($A48=1,D48-VLOOKUP($B48,INPUT!$C$7:$J$6985,J$4,0),0),"A")</f>
        <v>A</v>
      </c>
      <c r="K48" s="234" t="str">
        <f>IFERROR(IF($A48=1,E48-VLOOKUP($B48,INPUT!$C$7:$J$6985,K$4,0),0),"A")</f>
        <v>A</v>
      </c>
      <c r="L48" s="234" t="str">
        <f>IFERROR(IF($A48=1,F48-VLOOKUP($B48,INPUT!$C$7:$J$6985,L$4,0),0),"A")</f>
        <v>A</v>
      </c>
      <c r="M48" s="234" t="str">
        <f>IFERROR(IF($A48=1,G48-VLOOKUP($B48,INPUT!$C$7:$J$6985,M$4,0),0),"A")</f>
        <v>A</v>
      </c>
      <c r="N48" s="234" t="str">
        <f>IFERROR(IF($A48=1,H48-VLOOKUP($B48,INPUT!$C$7:$J$6985,N$4,0),0),"A")</f>
        <v>A</v>
      </c>
      <c r="O48" s="234" t="str">
        <f>IFERROR(IF($A48=1,I48-VLOOKUP($B48,INPUT!$C$7:$J$6985,O$4,0),0),"A")</f>
        <v>A</v>
      </c>
      <c r="P48" s="235">
        <f t="shared" si="3"/>
        <v>0</v>
      </c>
    </row>
    <row r="49" spans="1:16" x14ac:dyDescent="0.45">
      <c r="A49" s="216">
        <f t="shared" si="2"/>
        <v>1</v>
      </c>
      <c r="B49" s="217">
        <v>228</v>
      </c>
      <c r="C49" s="218" t="s">
        <v>52</v>
      </c>
      <c r="D49" s="227">
        <f>SUM(D50:D51)</f>
        <v>0</v>
      </c>
      <c r="E49" s="227">
        <f t="shared" ref="E49:I49" si="11">SUM(E50:E51)</f>
        <v>0</v>
      </c>
      <c r="F49" s="227">
        <f t="shared" si="11"/>
        <v>0</v>
      </c>
      <c r="G49" s="227">
        <f t="shared" si="11"/>
        <v>0</v>
      </c>
      <c r="H49" s="227">
        <f t="shared" si="11"/>
        <v>0</v>
      </c>
      <c r="I49" s="227">
        <f t="shared" si="11"/>
        <v>0</v>
      </c>
      <c r="J49" s="234" t="str">
        <f>IFERROR(IF($A49=1,D49-VLOOKUP($B49,INPUT!$C$7:$J$6985,J$4,0),0),"A")</f>
        <v>A</v>
      </c>
      <c r="K49" s="234" t="str">
        <f>IFERROR(IF($A49=1,E49-VLOOKUP($B49,INPUT!$C$7:$J$6985,K$4,0),0),"A")</f>
        <v>A</v>
      </c>
      <c r="L49" s="234" t="str">
        <f>IFERROR(IF($A49=1,F49-VLOOKUP($B49,INPUT!$C$7:$J$6985,L$4,0),0),"A")</f>
        <v>A</v>
      </c>
      <c r="M49" s="234" t="str">
        <f>IFERROR(IF($A49=1,G49-VLOOKUP($B49,INPUT!$C$7:$J$6985,M$4,0),0),"A")</f>
        <v>A</v>
      </c>
      <c r="N49" s="234" t="str">
        <f>IFERROR(IF($A49=1,H49-VLOOKUP($B49,INPUT!$C$7:$J$6985,N$4,0),0),"A")</f>
        <v>A</v>
      </c>
      <c r="O49" s="234" t="str">
        <f>IFERROR(IF($A49=1,I49-VLOOKUP($B49,INPUT!$C$7:$J$6985,O$4,0),0),"A")</f>
        <v>A</v>
      </c>
      <c r="P49" s="235">
        <f t="shared" si="3"/>
        <v>0</v>
      </c>
    </row>
    <row r="50" spans="1:16" x14ac:dyDescent="0.45">
      <c r="A50" s="207">
        <f t="shared" si="2"/>
        <v>2</v>
      </c>
      <c r="B50" s="213">
        <v>2281</v>
      </c>
      <c r="C50" s="164" t="s">
        <v>53</v>
      </c>
      <c r="D50" s="228">
        <f>SUMIFS(INPUT!E$7:E$6985,INPUT!$C$7:$C$6985,$B50)</f>
        <v>0</v>
      </c>
      <c r="E50" s="228">
        <f>SUMIFS(INPUT!F$7:F$6985,INPUT!$C$7:$C$6985,$B50)</f>
        <v>0</v>
      </c>
      <c r="F50" s="228">
        <f>SUMIFS(INPUT!G$7:G$6985,INPUT!$C$7:$C$6985,$B50)</f>
        <v>0</v>
      </c>
      <c r="G50" s="228">
        <f>SUMIFS(INPUT!H$7:H$6985,INPUT!$C$7:$C$6985,$B50)</f>
        <v>0</v>
      </c>
      <c r="H50" s="228">
        <f>SUMIFS(INPUT!I$7:I$6985,INPUT!$C$7:$C$6985,$B50)</f>
        <v>0</v>
      </c>
      <c r="I50" s="228">
        <f>SUMIFS(INPUT!J$7:J$6985,INPUT!$C$7:$C$6985,$B50)</f>
        <v>0</v>
      </c>
      <c r="J50" s="234">
        <f>IFERROR(IF($A50=1,D50-VLOOKUP($B50,INPUT!$C$7:$J$6985,J$4,0),0),"A")</f>
        <v>0</v>
      </c>
      <c r="K50" s="234">
        <f>IFERROR(IF($A50=1,E50-VLOOKUP($B50,INPUT!$C$7:$J$6985,K$4,0),0),"A")</f>
        <v>0</v>
      </c>
      <c r="L50" s="234">
        <f>IFERROR(IF($A50=1,F50-VLOOKUP($B50,INPUT!$C$7:$J$6985,L$4,0),0),"A")</f>
        <v>0</v>
      </c>
      <c r="M50" s="234">
        <f>IFERROR(IF($A50=1,G50-VLOOKUP($B50,INPUT!$C$7:$J$6985,M$4,0),0),"A")</f>
        <v>0</v>
      </c>
      <c r="N50" s="234">
        <f>IFERROR(IF($A50=1,H50-VLOOKUP($B50,INPUT!$C$7:$J$6985,N$4,0),0),"A")</f>
        <v>0</v>
      </c>
      <c r="O50" s="234">
        <f>IFERROR(IF($A50=1,I50-VLOOKUP($B50,INPUT!$C$7:$J$6985,O$4,0),0),"A")</f>
        <v>0</v>
      </c>
      <c r="P50" s="235">
        <f t="shared" si="3"/>
        <v>0</v>
      </c>
    </row>
    <row r="51" spans="1:16" x14ac:dyDescent="0.45">
      <c r="A51" s="207">
        <f t="shared" si="2"/>
        <v>2</v>
      </c>
      <c r="B51" s="213">
        <v>2288</v>
      </c>
      <c r="C51" s="164" t="s">
        <v>54</v>
      </c>
      <c r="D51" s="228">
        <f>SUMIFS(INPUT!E$7:E$6985,INPUT!$C$7:$C$6985,$B51)</f>
        <v>0</v>
      </c>
      <c r="E51" s="228">
        <f>SUMIFS(INPUT!F$7:F$6985,INPUT!$C$7:$C$6985,$B51)</f>
        <v>0</v>
      </c>
      <c r="F51" s="228">
        <f>SUMIFS(INPUT!G$7:G$6985,INPUT!$C$7:$C$6985,$B51)</f>
        <v>0</v>
      </c>
      <c r="G51" s="228">
        <f>SUMIFS(INPUT!H$7:H$6985,INPUT!$C$7:$C$6985,$B51)</f>
        <v>0</v>
      </c>
      <c r="H51" s="228">
        <f>SUMIFS(INPUT!I$7:I$6985,INPUT!$C$7:$C$6985,$B51)</f>
        <v>0</v>
      </c>
      <c r="I51" s="228">
        <f>SUMIFS(INPUT!J$7:J$6985,INPUT!$C$7:$C$6985,$B51)</f>
        <v>0</v>
      </c>
      <c r="J51" s="234">
        <f>IFERROR(IF($A51=1,D51-VLOOKUP($B51,INPUT!$C$7:$J$6985,J$4,0),0),"A")</f>
        <v>0</v>
      </c>
      <c r="K51" s="234">
        <f>IFERROR(IF($A51=1,E51-VLOOKUP($B51,INPUT!$C$7:$J$6985,K$4,0),0),"A")</f>
        <v>0</v>
      </c>
      <c r="L51" s="234">
        <f>IFERROR(IF($A51=1,F51-VLOOKUP($B51,INPUT!$C$7:$J$6985,L$4,0),0),"A")</f>
        <v>0</v>
      </c>
      <c r="M51" s="234">
        <f>IFERROR(IF($A51=1,G51-VLOOKUP($B51,INPUT!$C$7:$J$6985,M$4,0),0),"A")</f>
        <v>0</v>
      </c>
      <c r="N51" s="234">
        <f>IFERROR(IF($A51=1,H51-VLOOKUP($B51,INPUT!$C$7:$J$6985,N$4,0),0),"A")</f>
        <v>0</v>
      </c>
      <c r="O51" s="234">
        <f>IFERROR(IF($A51=1,I51-VLOOKUP($B51,INPUT!$C$7:$J$6985,O$4,0),0),"A")</f>
        <v>0</v>
      </c>
      <c r="P51" s="235">
        <f t="shared" si="3"/>
        <v>0</v>
      </c>
    </row>
    <row r="52" spans="1:16" x14ac:dyDescent="0.45">
      <c r="A52" s="216">
        <f t="shared" si="2"/>
        <v>1</v>
      </c>
      <c r="B52" s="217">
        <v>229</v>
      </c>
      <c r="C52" s="218" t="s">
        <v>55</v>
      </c>
      <c r="D52" s="227">
        <f>SUM(D53:D56)</f>
        <v>0</v>
      </c>
      <c r="E52" s="227">
        <f t="shared" ref="E52:I52" si="12">SUM(E53:E56)</f>
        <v>0</v>
      </c>
      <c r="F52" s="227">
        <f t="shared" si="12"/>
        <v>0</v>
      </c>
      <c r="G52" s="227">
        <f t="shared" si="12"/>
        <v>0</v>
      </c>
      <c r="H52" s="227">
        <f t="shared" si="12"/>
        <v>0</v>
      </c>
      <c r="I52" s="227">
        <f t="shared" si="12"/>
        <v>0</v>
      </c>
      <c r="J52" s="234" t="str">
        <f>IFERROR(IF($A52=1,D52-VLOOKUP($B52,INPUT!$C$7:$J$6985,J$4,0),0),"A")</f>
        <v>A</v>
      </c>
      <c r="K52" s="234" t="str">
        <f>IFERROR(IF($A52=1,E52-VLOOKUP($B52,INPUT!$C$7:$J$6985,K$4,0),0),"A")</f>
        <v>A</v>
      </c>
      <c r="L52" s="234" t="str">
        <f>IFERROR(IF($A52=1,F52-VLOOKUP($B52,INPUT!$C$7:$J$6985,L$4,0),0),"A")</f>
        <v>A</v>
      </c>
      <c r="M52" s="234" t="str">
        <f>IFERROR(IF($A52=1,G52-VLOOKUP($B52,INPUT!$C$7:$J$6985,M$4,0),0),"A")</f>
        <v>A</v>
      </c>
      <c r="N52" s="234" t="str">
        <f>IFERROR(IF($A52=1,H52-VLOOKUP($B52,INPUT!$C$7:$J$6985,N$4,0),0),"A")</f>
        <v>A</v>
      </c>
      <c r="O52" s="234" t="str">
        <f>IFERROR(IF($A52=1,I52-VLOOKUP($B52,INPUT!$C$7:$J$6985,O$4,0),0),"A")</f>
        <v>A</v>
      </c>
      <c r="P52" s="235">
        <f t="shared" si="3"/>
        <v>0</v>
      </c>
    </row>
    <row r="53" spans="1:16" x14ac:dyDescent="0.45">
      <c r="A53" s="207">
        <f t="shared" si="2"/>
        <v>2</v>
      </c>
      <c r="B53" s="213">
        <v>2291</v>
      </c>
      <c r="C53" s="164" t="s">
        <v>56</v>
      </c>
      <c r="D53" s="228">
        <f>SUMIFS(INPUT!E$7:E$6985,INPUT!$C$7:$C$6985,$B53)</f>
        <v>0</v>
      </c>
      <c r="E53" s="228">
        <f>SUMIFS(INPUT!F$7:F$6985,INPUT!$C$7:$C$6985,$B53)</f>
        <v>0</v>
      </c>
      <c r="F53" s="228">
        <f>SUMIFS(INPUT!G$7:G$6985,INPUT!$C$7:$C$6985,$B53)</f>
        <v>0</v>
      </c>
      <c r="G53" s="228">
        <f>SUMIFS(INPUT!H$7:H$6985,INPUT!$C$7:$C$6985,$B53)</f>
        <v>0</v>
      </c>
      <c r="H53" s="228">
        <f>SUMIFS(INPUT!I$7:I$6985,INPUT!$C$7:$C$6985,$B53)</f>
        <v>0</v>
      </c>
      <c r="I53" s="228">
        <f>SUMIFS(INPUT!J$7:J$6985,INPUT!$C$7:$C$6985,$B53)</f>
        <v>0</v>
      </c>
      <c r="J53" s="234">
        <f>IFERROR(IF($A53=1,D53-VLOOKUP($B53,INPUT!$C$7:$J$6985,J$4,0),0),"A")</f>
        <v>0</v>
      </c>
      <c r="K53" s="234">
        <f>IFERROR(IF($A53=1,E53-VLOOKUP($B53,INPUT!$C$7:$J$6985,K$4,0),0),"A")</f>
        <v>0</v>
      </c>
      <c r="L53" s="234">
        <f>IFERROR(IF($A53=1,F53-VLOOKUP($B53,INPUT!$C$7:$J$6985,L$4,0),0),"A")</f>
        <v>0</v>
      </c>
      <c r="M53" s="234">
        <f>IFERROR(IF($A53=1,G53-VLOOKUP($B53,INPUT!$C$7:$J$6985,M$4,0),0),"A")</f>
        <v>0</v>
      </c>
      <c r="N53" s="234">
        <f>IFERROR(IF($A53=1,H53-VLOOKUP($B53,INPUT!$C$7:$J$6985,N$4,0),0),"A")</f>
        <v>0</v>
      </c>
      <c r="O53" s="234">
        <f>IFERROR(IF($A53=1,I53-VLOOKUP($B53,INPUT!$C$7:$J$6985,O$4,0),0),"A")</f>
        <v>0</v>
      </c>
      <c r="P53" s="235">
        <f t="shared" si="3"/>
        <v>0</v>
      </c>
    </row>
    <row r="54" spans="1:16" x14ac:dyDescent="0.45">
      <c r="A54" s="207">
        <f t="shared" si="2"/>
        <v>2</v>
      </c>
      <c r="B54" s="213">
        <v>2292</v>
      </c>
      <c r="C54" s="164" t="s">
        <v>57</v>
      </c>
      <c r="D54" s="228">
        <f>SUMIFS(INPUT!E$7:E$6985,INPUT!$C$7:$C$6985,$B54)</f>
        <v>0</v>
      </c>
      <c r="E54" s="228">
        <f>SUMIFS(INPUT!F$7:F$6985,INPUT!$C$7:$C$6985,$B54)</f>
        <v>0</v>
      </c>
      <c r="F54" s="228">
        <f>SUMIFS(INPUT!G$7:G$6985,INPUT!$C$7:$C$6985,$B54)</f>
        <v>0</v>
      </c>
      <c r="G54" s="228">
        <f>SUMIFS(INPUT!H$7:H$6985,INPUT!$C$7:$C$6985,$B54)</f>
        <v>0</v>
      </c>
      <c r="H54" s="228">
        <f>SUMIFS(INPUT!I$7:I$6985,INPUT!$C$7:$C$6985,$B54)</f>
        <v>0</v>
      </c>
      <c r="I54" s="228">
        <f>SUMIFS(INPUT!J$7:J$6985,INPUT!$C$7:$C$6985,$B54)</f>
        <v>0</v>
      </c>
      <c r="J54" s="234">
        <f>IFERROR(IF($A54=1,D54-VLOOKUP($B54,INPUT!$C$7:$J$6985,J$4,0),0),"A")</f>
        <v>0</v>
      </c>
      <c r="K54" s="234">
        <f>IFERROR(IF($A54=1,E54-VLOOKUP($B54,INPUT!$C$7:$J$6985,K$4,0),0),"A")</f>
        <v>0</v>
      </c>
      <c r="L54" s="234">
        <f>IFERROR(IF($A54=1,F54-VLOOKUP($B54,INPUT!$C$7:$J$6985,L$4,0),0),"A")</f>
        <v>0</v>
      </c>
      <c r="M54" s="234">
        <f>IFERROR(IF($A54=1,G54-VLOOKUP($B54,INPUT!$C$7:$J$6985,M$4,0),0),"A")</f>
        <v>0</v>
      </c>
      <c r="N54" s="234">
        <f>IFERROR(IF($A54=1,H54-VLOOKUP($B54,INPUT!$C$7:$J$6985,N$4,0),0),"A")</f>
        <v>0</v>
      </c>
      <c r="O54" s="234">
        <f>IFERROR(IF($A54=1,I54-VLOOKUP($B54,INPUT!$C$7:$J$6985,O$4,0),0),"A")</f>
        <v>0</v>
      </c>
      <c r="P54" s="235">
        <f t="shared" si="3"/>
        <v>0</v>
      </c>
    </row>
    <row r="55" spans="1:16" x14ac:dyDescent="0.45">
      <c r="A55" s="207">
        <f t="shared" si="2"/>
        <v>2</v>
      </c>
      <c r="B55" s="213">
        <v>2293</v>
      </c>
      <c r="C55" s="164" t="s">
        <v>58</v>
      </c>
      <c r="D55" s="228">
        <f>SUMIFS(INPUT!E$7:E$6985,INPUT!$C$7:$C$6985,$B55)</f>
        <v>0</v>
      </c>
      <c r="E55" s="228">
        <f>SUMIFS(INPUT!F$7:F$6985,INPUT!$C$7:$C$6985,$B55)</f>
        <v>0</v>
      </c>
      <c r="F55" s="228">
        <f>SUMIFS(INPUT!G$7:G$6985,INPUT!$C$7:$C$6985,$B55)</f>
        <v>0</v>
      </c>
      <c r="G55" s="228">
        <f>SUMIFS(INPUT!H$7:H$6985,INPUT!$C$7:$C$6985,$B55)</f>
        <v>0</v>
      </c>
      <c r="H55" s="228">
        <f>SUMIFS(INPUT!I$7:I$6985,INPUT!$C$7:$C$6985,$B55)</f>
        <v>0</v>
      </c>
      <c r="I55" s="228">
        <f>SUMIFS(INPUT!J$7:J$6985,INPUT!$C$7:$C$6985,$B55)</f>
        <v>0</v>
      </c>
      <c r="J55" s="234">
        <f>IFERROR(IF($A55=1,D55-VLOOKUP($B55,INPUT!$C$7:$J$6985,J$4,0),0),"A")</f>
        <v>0</v>
      </c>
      <c r="K55" s="234">
        <f>IFERROR(IF($A55=1,E55-VLOOKUP($B55,INPUT!$C$7:$J$6985,K$4,0),0),"A")</f>
        <v>0</v>
      </c>
      <c r="L55" s="234">
        <f>IFERROR(IF($A55=1,F55-VLOOKUP($B55,INPUT!$C$7:$J$6985,L$4,0),0),"A")</f>
        <v>0</v>
      </c>
      <c r="M55" s="234">
        <f>IFERROR(IF($A55=1,G55-VLOOKUP($B55,INPUT!$C$7:$J$6985,M$4,0),0),"A")</f>
        <v>0</v>
      </c>
      <c r="N55" s="234">
        <f>IFERROR(IF($A55=1,H55-VLOOKUP($B55,INPUT!$C$7:$J$6985,N$4,0),0),"A")</f>
        <v>0</v>
      </c>
      <c r="O55" s="234">
        <f>IFERROR(IF($A55=1,I55-VLOOKUP($B55,INPUT!$C$7:$J$6985,O$4,0),0),"A")</f>
        <v>0</v>
      </c>
      <c r="P55" s="235">
        <f t="shared" si="3"/>
        <v>0</v>
      </c>
    </row>
    <row r="56" spans="1:16" x14ac:dyDescent="0.45">
      <c r="A56" s="207">
        <f t="shared" si="2"/>
        <v>2</v>
      </c>
      <c r="B56" s="213">
        <v>2294</v>
      </c>
      <c r="C56" s="164" t="s">
        <v>59</v>
      </c>
      <c r="D56" s="228">
        <f>SUMIFS(INPUT!E$7:E$6985,INPUT!$C$7:$C$6985,$B56)</f>
        <v>0</v>
      </c>
      <c r="E56" s="228">
        <f>SUMIFS(INPUT!F$7:F$6985,INPUT!$C$7:$C$6985,$B56)</f>
        <v>0</v>
      </c>
      <c r="F56" s="228">
        <f>SUMIFS(INPUT!G$7:G$6985,INPUT!$C$7:$C$6985,$B56)</f>
        <v>0</v>
      </c>
      <c r="G56" s="228">
        <f>SUMIFS(INPUT!H$7:H$6985,INPUT!$C$7:$C$6985,$B56)</f>
        <v>0</v>
      </c>
      <c r="H56" s="228">
        <f>SUMIFS(INPUT!I$7:I$6985,INPUT!$C$7:$C$6985,$B56)</f>
        <v>0</v>
      </c>
      <c r="I56" s="228">
        <f>SUMIFS(INPUT!J$7:J$6985,INPUT!$C$7:$C$6985,$B56)</f>
        <v>0</v>
      </c>
      <c r="J56" s="234">
        <f>IFERROR(IF($A56=1,D56-VLOOKUP($B56,INPUT!$C$7:$J$6985,J$4,0),0),"A")</f>
        <v>0</v>
      </c>
      <c r="K56" s="234">
        <f>IFERROR(IF($A56=1,E56-VLOOKUP($B56,INPUT!$C$7:$J$6985,K$4,0),0),"A")</f>
        <v>0</v>
      </c>
      <c r="L56" s="234">
        <f>IFERROR(IF($A56=1,F56-VLOOKUP($B56,INPUT!$C$7:$J$6985,L$4,0),0),"A")</f>
        <v>0</v>
      </c>
      <c r="M56" s="234">
        <f>IFERROR(IF($A56=1,G56-VLOOKUP($B56,INPUT!$C$7:$J$6985,M$4,0),0),"A")</f>
        <v>0</v>
      </c>
      <c r="N56" s="234">
        <f>IFERROR(IF($A56=1,H56-VLOOKUP($B56,INPUT!$C$7:$J$6985,N$4,0),0),"A")</f>
        <v>0</v>
      </c>
      <c r="O56" s="234">
        <f>IFERROR(IF($A56=1,I56-VLOOKUP($B56,INPUT!$C$7:$J$6985,O$4,0),0),"A")</f>
        <v>0</v>
      </c>
      <c r="P56" s="235">
        <f t="shared" si="3"/>
        <v>0</v>
      </c>
    </row>
    <row r="57" spans="1:16" x14ac:dyDescent="0.45">
      <c r="A57" s="216">
        <f t="shared" si="2"/>
        <v>1</v>
      </c>
      <c r="B57" s="217">
        <v>241</v>
      </c>
      <c r="C57" s="218" t="s">
        <v>60</v>
      </c>
      <c r="D57" s="227">
        <f>SUM(D58:D60)</f>
        <v>0</v>
      </c>
      <c r="E57" s="227">
        <f t="shared" ref="E57:I57" si="13">SUM(E58:E60)</f>
        <v>0</v>
      </c>
      <c r="F57" s="227">
        <f t="shared" si="13"/>
        <v>0</v>
      </c>
      <c r="G57" s="227">
        <f t="shared" si="13"/>
        <v>0</v>
      </c>
      <c r="H57" s="227">
        <f t="shared" si="13"/>
        <v>0</v>
      </c>
      <c r="I57" s="227">
        <f t="shared" si="13"/>
        <v>0</v>
      </c>
      <c r="J57" s="234" t="str">
        <f>IFERROR(IF($A57=1,D57-VLOOKUP($B57,INPUT!$C$7:$J$6985,J$4,0),0),"A")</f>
        <v>A</v>
      </c>
      <c r="K57" s="234" t="str">
        <f>IFERROR(IF($A57=1,E57-VLOOKUP($B57,INPUT!$C$7:$J$6985,K$4,0),0),"A")</f>
        <v>A</v>
      </c>
      <c r="L57" s="234" t="str">
        <f>IFERROR(IF($A57=1,F57-VLOOKUP($B57,INPUT!$C$7:$J$6985,L$4,0),0),"A")</f>
        <v>A</v>
      </c>
      <c r="M57" s="234" t="str">
        <f>IFERROR(IF($A57=1,G57-VLOOKUP($B57,INPUT!$C$7:$J$6985,M$4,0),0),"A")</f>
        <v>A</v>
      </c>
      <c r="N57" s="234" t="str">
        <f>IFERROR(IF($A57=1,H57-VLOOKUP($B57,INPUT!$C$7:$J$6985,N$4,0),0),"A")</f>
        <v>A</v>
      </c>
      <c r="O57" s="234" t="str">
        <f>IFERROR(IF($A57=1,I57-VLOOKUP($B57,INPUT!$C$7:$J$6985,O$4,0),0),"A")</f>
        <v>A</v>
      </c>
      <c r="P57" s="235">
        <f t="shared" si="3"/>
        <v>0</v>
      </c>
    </row>
    <row r="58" spans="1:16" x14ac:dyDescent="0.45">
      <c r="A58" s="207">
        <f t="shared" si="2"/>
        <v>2</v>
      </c>
      <c r="B58" s="213">
        <v>2411</v>
      </c>
      <c r="C58" s="164" t="s">
        <v>61</v>
      </c>
      <c r="D58" s="228">
        <f>SUMIFS(INPUT!E$7:E$6985,INPUT!$C$7:$C$6985,$B58)</f>
        <v>0</v>
      </c>
      <c r="E58" s="228">
        <f>SUMIFS(INPUT!F$7:F$6985,INPUT!$C$7:$C$6985,$B58)</f>
        <v>0</v>
      </c>
      <c r="F58" s="228">
        <f>SUMIFS(INPUT!G$7:G$6985,INPUT!$C$7:$C$6985,$B58)</f>
        <v>0</v>
      </c>
      <c r="G58" s="228">
        <f>SUMIFS(INPUT!H$7:H$6985,INPUT!$C$7:$C$6985,$B58)</f>
        <v>0</v>
      </c>
      <c r="H58" s="228">
        <f>SUMIFS(INPUT!I$7:I$6985,INPUT!$C$7:$C$6985,$B58)</f>
        <v>0</v>
      </c>
      <c r="I58" s="228">
        <f>SUMIFS(INPUT!J$7:J$6985,INPUT!$C$7:$C$6985,$B58)</f>
        <v>0</v>
      </c>
      <c r="J58" s="234">
        <f>IFERROR(IF($A58=1,D58-VLOOKUP($B58,INPUT!$C$7:$J$6985,J$4,0),0),"A")</f>
        <v>0</v>
      </c>
      <c r="K58" s="234">
        <f>IFERROR(IF($A58=1,E58-VLOOKUP($B58,INPUT!$C$7:$J$6985,K$4,0),0),"A")</f>
        <v>0</v>
      </c>
      <c r="L58" s="234">
        <f>IFERROR(IF($A58=1,F58-VLOOKUP($B58,INPUT!$C$7:$J$6985,L$4,0),0),"A")</f>
        <v>0</v>
      </c>
      <c r="M58" s="234">
        <f>IFERROR(IF($A58=1,G58-VLOOKUP($B58,INPUT!$C$7:$J$6985,M$4,0),0),"A")</f>
        <v>0</v>
      </c>
      <c r="N58" s="234">
        <f>IFERROR(IF($A58=1,H58-VLOOKUP($B58,INPUT!$C$7:$J$6985,N$4,0),0),"A")</f>
        <v>0</v>
      </c>
      <c r="O58" s="234">
        <f>IFERROR(IF($A58=1,I58-VLOOKUP($B58,INPUT!$C$7:$J$6985,O$4,0),0),"A")</f>
        <v>0</v>
      </c>
      <c r="P58" s="235">
        <f t="shared" si="3"/>
        <v>0</v>
      </c>
    </row>
    <row r="59" spans="1:16" x14ac:dyDescent="0.45">
      <c r="A59" s="207">
        <f t="shared" si="2"/>
        <v>2</v>
      </c>
      <c r="B59" s="213">
        <v>2412</v>
      </c>
      <c r="C59" s="164" t="s">
        <v>62</v>
      </c>
      <c r="D59" s="228">
        <f>SUMIFS(INPUT!E$7:E$6985,INPUT!$C$7:$C$6985,$B59)</f>
        <v>0</v>
      </c>
      <c r="E59" s="228">
        <f>SUMIFS(INPUT!F$7:F$6985,INPUT!$C$7:$C$6985,$B59)</f>
        <v>0</v>
      </c>
      <c r="F59" s="228">
        <f>SUMIFS(INPUT!G$7:G$6985,INPUT!$C$7:$C$6985,$B59)</f>
        <v>0</v>
      </c>
      <c r="G59" s="228">
        <f>SUMIFS(INPUT!H$7:H$6985,INPUT!$C$7:$C$6985,$B59)</f>
        <v>0</v>
      </c>
      <c r="H59" s="228">
        <f>SUMIFS(INPUT!I$7:I$6985,INPUT!$C$7:$C$6985,$B59)</f>
        <v>0</v>
      </c>
      <c r="I59" s="228">
        <f>SUMIFS(INPUT!J$7:J$6985,INPUT!$C$7:$C$6985,$B59)</f>
        <v>0</v>
      </c>
      <c r="J59" s="234">
        <f>IFERROR(IF($A59=1,D59-VLOOKUP($B59,INPUT!$C$7:$J$6985,J$4,0),0),"A")</f>
        <v>0</v>
      </c>
      <c r="K59" s="234">
        <f>IFERROR(IF($A59=1,E59-VLOOKUP($B59,INPUT!$C$7:$J$6985,K$4,0),0),"A")</f>
        <v>0</v>
      </c>
      <c r="L59" s="234">
        <f>IFERROR(IF($A59=1,F59-VLOOKUP($B59,INPUT!$C$7:$J$6985,L$4,0),0),"A")</f>
        <v>0</v>
      </c>
      <c r="M59" s="234">
        <f>IFERROR(IF($A59=1,G59-VLOOKUP($B59,INPUT!$C$7:$J$6985,M$4,0),0),"A")</f>
        <v>0</v>
      </c>
      <c r="N59" s="234">
        <f>IFERROR(IF($A59=1,H59-VLOOKUP($B59,INPUT!$C$7:$J$6985,N$4,0),0),"A")</f>
        <v>0</v>
      </c>
      <c r="O59" s="234">
        <f>IFERROR(IF($A59=1,I59-VLOOKUP($B59,INPUT!$C$7:$J$6985,O$4,0),0),"A")</f>
        <v>0</v>
      </c>
      <c r="P59" s="235">
        <f t="shared" si="3"/>
        <v>0</v>
      </c>
    </row>
    <row r="60" spans="1:16" x14ac:dyDescent="0.45">
      <c r="A60" s="207">
        <f t="shared" si="2"/>
        <v>2</v>
      </c>
      <c r="B60" s="213">
        <v>2413</v>
      </c>
      <c r="C60" s="164" t="s">
        <v>63</v>
      </c>
      <c r="D60" s="228">
        <f>SUMIFS(INPUT!E$7:E$6985,INPUT!$C$7:$C$6985,$B60)</f>
        <v>0</v>
      </c>
      <c r="E60" s="228">
        <f>SUMIFS(INPUT!F$7:F$6985,INPUT!$C$7:$C$6985,$B60)</f>
        <v>0</v>
      </c>
      <c r="F60" s="228">
        <f>SUMIFS(INPUT!G$7:G$6985,INPUT!$C$7:$C$6985,$B60)</f>
        <v>0</v>
      </c>
      <c r="G60" s="228">
        <f>SUMIFS(INPUT!H$7:H$6985,INPUT!$C$7:$C$6985,$B60)</f>
        <v>0</v>
      </c>
      <c r="H60" s="228">
        <f>SUMIFS(INPUT!I$7:I$6985,INPUT!$C$7:$C$6985,$B60)</f>
        <v>0</v>
      </c>
      <c r="I60" s="228">
        <f>SUMIFS(INPUT!J$7:J$6985,INPUT!$C$7:$C$6985,$B60)</f>
        <v>0</v>
      </c>
      <c r="J60" s="234">
        <f>IFERROR(IF($A60=1,D60-VLOOKUP($B60,INPUT!$C$7:$J$6985,J$4,0),0),"A")</f>
        <v>0</v>
      </c>
      <c r="K60" s="234">
        <f>IFERROR(IF($A60=1,E60-VLOOKUP($B60,INPUT!$C$7:$J$6985,K$4,0),0),"A")</f>
        <v>0</v>
      </c>
      <c r="L60" s="234">
        <f>IFERROR(IF($A60=1,F60-VLOOKUP($B60,INPUT!$C$7:$J$6985,L$4,0),0),"A")</f>
        <v>0</v>
      </c>
      <c r="M60" s="234">
        <f>IFERROR(IF($A60=1,G60-VLOOKUP($B60,INPUT!$C$7:$J$6985,M$4,0),0),"A")</f>
        <v>0</v>
      </c>
      <c r="N60" s="234">
        <f>IFERROR(IF($A60=1,H60-VLOOKUP($B60,INPUT!$C$7:$J$6985,N$4,0),0),"A")</f>
        <v>0</v>
      </c>
      <c r="O60" s="234">
        <f>IFERROR(IF($A60=1,I60-VLOOKUP($B60,INPUT!$C$7:$J$6985,O$4,0),0),"A")</f>
        <v>0</v>
      </c>
      <c r="P60" s="235">
        <f t="shared" si="3"/>
        <v>0</v>
      </c>
    </row>
    <row r="61" spans="1:16" x14ac:dyDescent="0.45">
      <c r="A61" s="216">
        <f t="shared" si="2"/>
        <v>1</v>
      </c>
      <c r="B61" s="217">
        <v>242</v>
      </c>
      <c r="C61" s="218" t="s">
        <v>64</v>
      </c>
      <c r="D61" s="227">
        <f>SUMIFS(INPUT!E$7:E$6985,INPUT!$C$7:$C$6985,$B61)</f>
        <v>0</v>
      </c>
      <c r="E61" s="227">
        <f>SUMIFS(INPUT!F$7:F$6985,INPUT!$C$7:$C$6985,$B61)</f>
        <v>0</v>
      </c>
      <c r="F61" s="227">
        <f>SUMIFS(INPUT!G$7:G$6985,INPUT!$C$7:$C$6985,$B61)</f>
        <v>0</v>
      </c>
      <c r="G61" s="228">
        <f>SUMIFS(INPUT!H$7:H$6985,INPUT!$C$7:$C$6985,$B61)</f>
        <v>0</v>
      </c>
      <c r="H61" s="228">
        <f>SUMIFS(INPUT!I$7:I$6985,INPUT!$C$7:$C$6985,$B61)</f>
        <v>0</v>
      </c>
      <c r="I61" s="227">
        <f>SUMIFS(INPUT!J$7:J$6985,INPUT!$C$7:$C$6985,$B61)</f>
        <v>0</v>
      </c>
      <c r="J61" s="234" t="str">
        <f>IFERROR(IF($A61=1,D61-VLOOKUP($B61,INPUT!$C$7:$J$6985,J$4,0),0),"A")</f>
        <v>A</v>
      </c>
      <c r="K61" s="234" t="str">
        <f>IFERROR(IF($A61=1,E61-VLOOKUP($B61,INPUT!$C$7:$J$6985,K$4,0),0),"A")</f>
        <v>A</v>
      </c>
      <c r="L61" s="234" t="str">
        <f>IFERROR(IF($A61=1,F61-VLOOKUP($B61,INPUT!$C$7:$J$6985,L$4,0),0),"A")</f>
        <v>A</v>
      </c>
      <c r="M61" s="234" t="str">
        <f>IFERROR(IF($A61=1,G61-VLOOKUP($B61,INPUT!$C$7:$J$6985,M$4,0),0),"A")</f>
        <v>A</v>
      </c>
      <c r="N61" s="234" t="str">
        <f>IFERROR(IF($A61=1,H61-VLOOKUP($B61,INPUT!$C$7:$J$6985,N$4,0),0),"A")</f>
        <v>A</v>
      </c>
      <c r="O61" s="234" t="str">
        <f>IFERROR(IF($A61=1,I61-VLOOKUP($B61,INPUT!$C$7:$J$6985,O$4,0),0),"A")</f>
        <v>A</v>
      </c>
      <c r="P61" s="235">
        <f t="shared" si="3"/>
        <v>0</v>
      </c>
    </row>
    <row r="62" spans="1:16" x14ac:dyDescent="0.45">
      <c r="A62" s="216">
        <f t="shared" si="2"/>
        <v>1</v>
      </c>
      <c r="B62" s="217">
        <v>331</v>
      </c>
      <c r="C62" s="218" t="s">
        <v>66</v>
      </c>
      <c r="D62" s="227">
        <f>SUMIFS(INPUT!E$7:E$6985,INPUT!$C$7:$C$6985,$B62)</f>
        <v>0</v>
      </c>
      <c r="E62" s="227">
        <f>SUMIFS(INPUT!F$7:F$6985,INPUT!$C$7:$C$6985,$B62)</f>
        <v>0</v>
      </c>
      <c r="F62" s="227">
        <f>SUMIFS(INPUT!G$7:G$6985,INPUT!$C$7:$C$6985,$B62)</f>
        <v>0</v>
      </c>
      <c r="G62" s="227">
        <f>SUMIFS(INPUT!H$7:H$6985,INPUT!$C$7:$C$6985,$B62)</f>
        <v>0</v>
      </c>
      <c r="H62" s="227">
        <f>SUMIFS(INPUT!I$7:I$6985,INPUT!$C$7:$C$6985,$B62)</f>
        <v>0</v>
      </c>
      <c r="I62" s="227">
        <f>SUMIFS(INPUT!J$7:J$6985,INPUT!$C$7:$C$6985,$B62)</f>
        <v>0</v>
      </c>
      <c r="J62" s="234" t="str">
        <f>IFERROR(IF($A62=1,D62-VLOOKUP($B62,INPUT!$C$7:$J$6985,J$4,0),0),"A")</f>
        <v>A</v>
      </c>
      <c r="K62" s="234" t="str">
        <f>IFERROR(IF($A62=1,E62-VLOOKUP($B62,INPUT!$C$7:$J$6985,K$4,0),0),"A")</f>
        <v>A</v>
      </c>
      <c r="L62" s="234" t="str">
        <f>IFERROR(IF($A62=1,F62-VLOOKUP($B62,INPUT!$C$7:$J$6985,L$4,0),0),"A")</f>
        <v>A</v>
      </c>
      <c r="M62" s="234" t="str">
        <f>IFERROR(IF($A62=1,G62-VLOOKUP($B62,INPUT!$C$7:$J$6985,M$4,0),0),"A")</f>
        <v>A</v>
      </c>
      <c r="N62" s="234" t="str">
        <f>IFERROR(IF($A62=1,H62-VLOOKUP($B62,INPUT!$C$7:$J$6985,N$4,0),0),"A")</f>
        <v>A</v>
      </c>
      <c r="O62" s="234" t="str">
        <f>IFERROR(IF($A62=1,I62-VLOOKUP($B62,INPUT!$C$7:$J$6985,O$4,0),0),"A")</f>
        <v>A</v>
      </c>
      <c r="P62" s="235">
        <f t="shared" si="3"/>
        <v>0</v>
      </c>
    </row>
    <row r="63" spans="1:16" x14ac:dyDescent="0.45">
      <c r="A63" s="216">
        <f t="shared" si="2"/>
        <v>1</v>
      </c>
      <c r="B63" s="217">
        <v>333</v>
      </c>
      <c r="C63" s="218" t="s">
        <v>68</v>
      </c>
      <c r="D63" s="227">
        <f>D64+D67+D68+D69+D70+D71+D72+D73+D76</f>
        <v>0</v>
      </c>
      <c r="E63" s="227">
        <f t="shared" ref="E63:I63" si="14">E64+E67+E68+E69+E70+E71+E72+E73+E76</f>
        <v>0</v>
      </c>
      <c r="F63" s="227">
        <f t="shared" si="14"/>
        <v>0</v>
      </c>
      <c r="G63" s="227">
        <f t="shared" si="14"/>
        <v>0</v>
      </c>
      <c r="H63" s="227">
        <f t="shared" si="14"/>
        <v>0</v>
      </c>
      <c r="I63" s="227">
        <f t="shared" si="14"/>
        <v>0</v>
      </c>
      <c r="J63" s="234" t="str">
        <f>IFERROR(IF($A63=1,D63-VLOOKUP($B63,INPUT!$C$7:$J$6985,J$4,0),0),"A")</f>
        <v>A</v>
      </c>
      <c r="K63" s="234" t="str">
        <f>IFERROR(IF($A63=1,E63-VLOOKUP($B63,INPUT!$C$7:$J$6985,K$4,0),0),"A")</f>
        <v>A</v>
      </c>
      <c r="L63" s="234" t="str">
        <f>IFERROR(IF($A63=1,F63-VLOOKUP($B63,INPUT!$C$7:$J$6985,L$4,0),0),"A")</f>
        <v>A</v>
      </c>
      <c r="M63" s="234" t="str">
        <f>IFERROR(IF($A63=1,G63-VLOOKUP($B63,INPUT!$C$7:$J$6985,M$4,0),0),"A")</f>
        <v>A</v>
      </c>
      <c r="N63" s="234" t="str">
        <f>IFERROR(IF($A63=1,H63-VLOOKUP($B63,INPUT!$C$7:$J$6985,N$4,0),0),"A")</f>
        <v>A</v>
      </c>
      <c r="O63" s="234" t="str">
        <f>IFERROR(IF($A63=1,I63-VLOOKUP($B63,INPUT!$C$7:$J$6985,O$4,0),0),"A")</f>
        <v>A</v>
      </c>
      <c r="P63" s="235">
        <f t="shared" si="3"/>
        <v>0</v>
      </c>
    </row>
    <row r="64" spans="1:16" x14ac:dyDescent="0.45">
      <c r="A64" s="230">
        <f t="shared" si="2"/>
        <v>2</v>
      </c>
      <c r="B64" s="231">
        <v>3331</v>
      </c>
      <c r="C64" s="232" t="s">
        <v>69</v>
      </c>
      <c r="D64" s="228">
        <f>D65+D66</f>
        <v>0</v>
      </c>
      <c r="E64" s="228">
        <f t="shared" ref="E64:I64" si="15">E65+E66</f>
        <v>0</v>
      </c>
      <c r="F64" s="228">
        <f t="shared" si="15"/>
        <v>0</v>
      </c>
      <c r="G64" s="228">
        <f t="shared" si="15"/>
        <v>0</v>
      </c>
      <c r="H64" s="228">
        <f t="shared" si="15"/>
        <v>0</v>
      </c>
      <c r="I64" s="228">
        <f t="shared" si="15"/>
        <v>0</v>
      </c>
      <c r="J64" s="234">
        <f>IFERROR(IF($A64=1,D64-VLOOKUP($B64,INPUT!$C$7:$J$6985,J$4,0),0),"A")</f>
        <v>0</v>
      </c>
      <c r="K64" s="234">
        <f>IFERROR(IF($A64=1,E64-VLOOKUP($B64,INPUT!$C$7:$J$6985,K$4,0),0),"A")</f>
        <v>0</v>
      </c>
      <c r="L64" s="234">
        <f>IFERROR(IF($A64=1,F64-VLOOKUP($B64,INPUT!$C$7:$J$6985,L$4,0),0),"A")</f>
        <v>0</v>
      </c>
      <c r="M64" s="234">
        <f>IFERROR(IF($A64=1,G64-VLOOKUP($B64,INPUT!$C$7:$J$6985,M$4,0),0),"A")</f>
        <v>0</v>
      </c>
      <c r="N64" s="234">
        <f>IFERROR(IF($A64=1,H64-VLOOKUP($B64,INPUT!$C$7:$J$6985,N$4,0),0),"A")</f>
        <v>0</v>
      </c>
      <c r="O64" s="234">
        <f>IFERROR(IF($A64=1,I64-VLOOKUP($B64,INPUT!$C$7:$J$6985,O$4,0),0),"A")</f>
        <v>0</v>
      </c>
      <c r="P64" s="235">
        <f t="shared" si="3"/>
        <v>0</v>
      </c>
    </row>
    <row r="65" spans="1:16" x14ac:dyDescent="0.45">
      <c r="A65" s="207">
        <f t="shared" si="2"/>
        <v>3</v>
      </c>
      <c r="B65" s="214">
        <v>33311</v>
      </c>
      <c r="C65" s="171" t="s">
        <v>70</v>
      </c>
      <c r="D65" s="228">
        <f>SUMIFS(INPUT!E$7:E$6985,INPUT!$C$7:$C$6985,$B65)</f>
        <v>0</v>
      </c>
      <c r="E65" s="228">
        <f>SUMIFS(INPUT!F$7:F$6985,INPUT!$C$7:$C$6985,$B65)</f>
        <v>0</v>
      </c>
      <c r="F65" s="228">
        <f>SUMIFS(INPUT!G$7:G$6985,INPUT!$C$7:$C$6985,$B65)</f>
        <v>0</v>
      </c>
      <c r="G65" s="228">
        <f>SUMIFS(INPUT!H$7:H$6985,INPUT!$C$7:$C$6985,$B65)</f>
        <v>0</v>
      </c>
      <c r="H65" s="228">
        <f>SUMIFS(INPUT!I$7:I$6985,INPUT!$C$7:$C$6985,$B65)</f>
        <v>0</v>
      </c>
      <c r="I65" s="228">
        <f>SUMIFS(INPUT!J$7:J$6985,INPUT!$C$7:$C$6985,$B65)</f>
        <v>0</v>
      </c>
      <c r="J65" s="234">
        <f>IFERROR(IF($A65=1,D65-VLOOKUP($B65,INPUT!$C$7:$J$6985,J$4,0),0),"A")</f>
        <v>0</v>
      </c>
      <c r="K65" s="234">
        <f>IFERROR(IF($A65=1,E65-VLOOKUP($B65,INPUT!$C$7:$J$6985,K$4,0),0),"A")</f>
        <v>0</v>
      </c>
      <c r="L65" s="234">
        <f>IFERROR(IF($A65=1,F65-VLOOKUP($B65,INPUT!$C$7:$J$6985,L$4,0),0),"A")</f>
        <v>0</v>
      </c>
      <c r="M65" s="234">
        <f>IFERROR(IF($A65=1,G65-VLOOKUP($B65,INPUT!$C$7:$J$6985,M$4,0),0),"A")</f>
        <v>0</v>
      </c>
      <c r="N65" s="234">
        <f>IFERROR(IF($A65=1,H65-VLOOKUP($B65,INPUT!$C$7:$J$6985,N$4,0),0),"A")</f>
        <v>0</v>
      </c>
      <c r="O65" s="234">
        <f>IFERROR(IF($A65=1,I65-VLOOKUP($B65,INPUT!$C$7:$J$6985,O$4,0),0),"A")</f>
        <v>0</v>
      </c>
      <c r="P65" s="235">
        <f t="shared" si="3"/>
        <v>0</v>
      </c>
    </row>
    <row r="66" spans="1:16" x14ac:dyDescent="0.45">
      <c r="A66" s="207">
        <f t="shared" si="2"/>
        <v>3</v>
      </c>
      <c r="B66" s="214">
        <v>33312</v>
      </c>
      <c r="C66" s="171" t="s">
        <v>71</v>
      </c>
      <c r="D66" s="228">
        <f>SUMIFS(INPUT!E$7:E$6985,INPUT!$C$7:$C$6985,$B66)</f>
        <v>0</v>
      </c>
      <c r="E66" s="228">
        <f>SUMIFS(INPUT!F$7:F$6985,INPUT!$C$7:$C$6985,$B66)</f>
        <v>0</v>
      </c>
      <c r="F66" s="228">
        <f>SUMIFS(INPUT!G$7:G$6985,INPUT!$C$7:$C$6985,$B66)</f>
        <v>0</v>
      </c>
      <c r="G66" s="228">
        <f>SUMIFS(INPUT!H$7:H$6985,INPUT!$C$7:$C$6985,$B66)</f>
        <v>0</v>
      </c>
      <c r="H66" s="228">
        <f>SUMIFS(INPUT!I$7:I$6985,INPUT!$C$7:$C$6985,$B66)</f>
        <v>0</v>
      </c>
      <c r="I66" s="228">
        <f>SUMIFS(INPUT!J$7:J$6985,INPUT!$C$7:$C$6985,$B66)</f>
        <v>0</v>
      </c>
      <c r="J66" s="234">
        <f>IFERROR(IF($A66=1,D66-VLOOKUP($B66,INPUT!$C$7:$J$6985,J$4,0),0),"A")</f>
        <v>0</v>
      </c>
      <c r="K66" s="234">
        <f>IFERROR(IF($A66=1,E66-VLOOKUP($B66,INPUT!$C$7:$J$6985,K$4,0),0),"A")</f>
        <v>0</v>
      </c>
      <c r="L66" s="234">
        <f>IFERROR(IF($A66=1,F66-VLOOKUP($B66,INPUT!$C$7:$J$6985,L$4,0),0),"A")</f>
        <v>0</v>
      </c>
      <c r="M66" s="234">
        <f>IFERROR(IF($A66=1,G66-VLOOKUP($B66,INPUT!$C$7:$J$6985,M$4,0),0),"A")</f>
        <v>0</v>
      </c>
      <c r="N66" s="234">
        <f>IFERROR(IF($A66=1,H66-VLOOKUP($B66,INPUT!$C$7:$J$6985,N$4,0),0),"A")</f>
        <v>0</v>
      </c>
      <c r="O66" s="234">
        <f>IFERROR(IF($A66=1,I66-VLOOKUP($B66,INPUT!$C$7:$J$6985,O$4,0),0),"A")</f>
        <v>0</v>
      </c>
      <c r="P66" s="235">
        <f t="shared" si="3"/>
        <v>0</v>
      </c>
    </row>
    <row r="67" spans="1:16" x14ac:dyDescent="0.45">
      <c r="A67" s="207">
        <f t="shared" si="2"/>
        <v>2</v>
      </c>
      <c r="B67" s="213">
        <v>3332</v>
      </c>
      <c r="C67" s="164" t="s">
        <v>72</v>
      </c>
      <c r="D67" s="228">
        <f>SUMIFS(INPUT!E$7:E$6985,INPUT!$C$7:$C$6985,$B67)</f>
        <v>0</v>
      </c>
      <c r="E67" s="228">
        <f>SUMIFS(INPUT!F$7:F$6985,INPUT!$C$7:$C$6985,$B67)</f>
        <v>0</v>
      </c>
      <c r="F67" s="228">
        <f>SUMIFS(INPUT!G$7:G$6985,INPUT!$C$7:$C$6985,$B67)</f>
        <v>0</v>
      </c>
      <c r="G67" s="228">
        <f>SUMIFS(INPUT!H$7:H$6985,INPUT!$C$7:$C$6985,$B67)</f>
        <v>0</v>
      </c>
      <c r="H67" s="228">
        <f>SUMIFS(INPUT!I$7:I$6985,INPUT!$C$7:$C$6985,$B67)</f>
        <v>0</v>
      </c>
      <c r="I67" s="228">
        <f>SUMIFS(INPUT!J$7:J$6985,INPUT!$C$7:$C$6985,$B67)</f>
        <v>0</v>
      </c>
      <c r="J67" s="234">
        <f>IFERROR(IF($A67=1,D67-VLOOKUP($B67,INPUT!$C$7:$J$6985,J$4,0),0),"A")</f>
        <v>0</v>
      </c>
      <c r="K67" s="234">
        <f>IFERROR(IF($A67=1,E67-VLOOKUP($B67,INPUT!$C$7:$J$6985,K$4,0),0),"A")</f>
        <v>0</v>
      </c>
      <c r="L67" s="234">
        <f>IFERROR(IF($A67=1,F67-VLOOKUP($B67,INPUT!$C$7:$J$6985,L$4,0),0),"A")</f>
        <v>0</v>
      </c>
      <c r="M67" s="234">
        <f>IFERROR(IF($A67=1,G67-VLOOKUP($B67,INPUT!$C$7:$J$6985,M$4,0),0),"A")</f>
        <v>0</v>
      </c>
      <c r="N67" s="234">
        <f>IFERROR(IF($A67=1,H67-VLOOKUP($B67,INPUT!$C$7:$J$6985,N$4,0),0),"A")</f>
        <v>0</v>
      </c>
      <c r="O67" s="234">
        <f>IFERROR(IF($A67=1,I67-VLOOKUP($B67,INPUT!$C$7:$J$6985,O$4,0),0),"A")</f>
        <v>0</v>
      </c>
      <c r="P67" s="235">
        <f t="shared" si="3"/>
        <v>0</v>
      </c>
    </row>
    <row r="68" spans="1:16" x14ac:dyDescent="0.45">
      <c r="A68" s="207">
        <f t="shared" si="2"/>
        <v>2</v>
      </c>
      <c r="B68" s="213">
        <v>3333</v>
      </c>
      <c r="C68" s="164" t="s">
        <v>73</v>
      </c>
      <c r="D68" s="228">
        <f>SUMIFS(INPUT!E$7:E$6985,INPUT!$C$7:$C$6985,$B68)</f>
        <v>0</v>
      </c>
      <c r="E68" s="228">
        <f>SUMIFS(INPUT!F$7:F$6985,INPUT!$C$7:$C$6985,$B68)</f>
        <v>0</v>
      </c>
      <c r="F68" s="228">
        <f>SUMIFS(INPUT!G$7:G$6985,INPUT!$C$7:$C$6985,$B68)</f>
        <v>0</v>
      </c>
      <c r="G68" s="228">
        <f>SUMIFS(INPUT!H$7:H$6985,INPUT!$C$7:$C$6985,$B68)</f>
        <v>0</v>
      </c>
      <c r="H68" s="228">
        <f>SUMIFS(INPUT!I$7:I$6985,INPUT!$C$7:$C$6985,$B68)</f>
        <v>0</v>
      </c>
      <c r="I68" s="228">
        <f>SUMIFS(INPUT!J$7:J$6985,INPUT!$C$7:$C$6985,$B68)</f>
        <v>0</v>
      </c>
      <c r="J68" s="234">
        <f>IFERROR(IF($A68=1,D68-VLOOKUP($B68,INPUT!$C$7:$J$6985,J$4,0),0),"A")</f>
        <v>0</v>
      </c>
      <c r="K68" s="234">
        <f>IFERROR(IF($A68=1,E68-VLOOKUP($B68,INPUT!$C$7:$J$6985,K$4,0),0),"A")</f>
        <v>0</v>
      </c>
      <c r="L68" s="234">
        <f>IFERROR(IF($A68=1,F68-VLOOKUP($B68,INPUT!$C$7:$J$6985,L$4,0),0),"A")</f>
        <v>0</v>
      </c>
      <c r="M68" s="234">
        <f>IFERROR(IF($A68=1,G68-VLOOKUP($B68,INPUT!$C$7:$J$6985,M$4,0),0),"A")</f>
        <v>0</v>
      </c>
      <c r="N68" s="234">
        <f>IFERROR(IF($A68=1,H68-VLOOKUP($B68,INPUT!$C$7:$J$6985,N$4,0),0),"A")</f>
        <v>0</v>
      </c>
      <c r="O68" s="234">
        <f>IFERROR(IF($A68=1,I68-VLOOKUP($B68,INPUT!$C$7:$J$6985,O$4,0),0),"A")</f>
        <v>0</v>
      </c>
      <c r="P68" s="235">
        <f t="shared" si="3"/>
        <v>0</v>
      </c>
    </row>
    <row r="69" spans="1:16" x14ac:dyDescent="0.45">
      <c r="A69" s="207">
        <f t="shared" si="2"/>
        <v>2</v>
      </c>
      <c r="B69" s="213">
        <v>3334</v>
      </c>
      <c r="C69" s="164" t="s">
        <v>74</v>
      </c>
      <c r="D69" s="228">
        <f>SUMIFS(INPUT!E$7:E$6985,INPUT!$C$7:$C$6985,$B69)</f>
        <v>0</v>
      </c>
      <c r="E69" s="228">
        <f>SUMIFS(INPUT!F$7:F$6985,INPUT!$C$7:$C$6985,$B69)</f>
        <v>0</v>
      </c>
      <c r="F69" s="228">
        <f>SUMIFS(INPUT!G$7:G$6985,INPUT!$C$7:$C$6985,$B69)</f>
        <v>0</v>
      </c>
      <c r="G69" s="228">
        <f>SUMIFS(INPUT!H$7:H$6985,INPUT!$C$7:$C$6985,$B69)</f>
        <v>0</v>
      </c>
      <c r="H69" s="228">
        <f>SUMIFS(INPUT!I$7:I$6985,INPUT!$C$7:$C$6985,$B69)</f>
        <v>0</v>
      </c>
      <c r="I69" s="228">
        <f>SUMIFS(INPUT!J$7:J$6985,INPUT!$C$7:$C$6985,$B69)</f>
        <v>0</v>
      </c>
      <c r="J69" s="234">
        <f>IFERROR(IF($A69=1,D69-VLOOKUP($B69,INPUT!$C$7:$J$6985,J$4,0),0),"A")</f>
        <v>0</v>
      </c>
      <c r="K69" s="234">
        <f>IFERROR(IF($A69=1,E69-VLOOKUP($B69,INPUT!$C$7:$J$6985,K$4,0),0),"A")</f>
        <v>0</v>
      </c>
      <c r="L69" s="234">
        <f>IFERROR(IF($A69=1,F69-VLOOKUP($B69,INPUT!$C$7:$J$6985,L$4,0),0),"A")</f>
        <v>0</v>
      </c>
      <c r="M69" s="234">
        <f>IFERROR(IF($A69=1,G69-VLOOKUP($B69,INPUT!$C$7:$J$6985,M$4,0),0),"A")</f>
        <v>0</v>
      </c>
      <c r="N69" s="234">
        <f>IFERROR(IF($A69=1,H69-VLOOKUP($B69,INPUT!$C$7:$J$6985,N$4,0),0),"A")</f>
        <v>0</v>
      </c>
      <c r="O69" s="234">
        <f>IFERROR(IF($A69=1,I69-VLOOKUP($B69,INPUT!$C$7:$J$6985,O$4,0),0),"A")</f>
        <v>0</v>
      </c>
      <c r="P69" s="235">
        <f t="shared" si="3"/>
        <v>0</v>
      </c>
    </row>
    <row r="70" spans="1:16" x14ac:dyDescent="0.45">
      <c r="A70" s="207">
        <f t="shared" si="2"/>
        <v>2</v>
      </c>
      <c r="B70" s="213">
        <v>3335</v>
      </c>
      <c r="C70" s="164" t="s">
        <v>75</v>
      </c>
      <c r="D70" s="228">
        <f>SUMIFS(INPUT!E$7:E$6985,INPUT!$C$7:$C$6985,$B70)</f>
        <v>0</v>
      </c>
      <c r="E70" s="228">
        <f>SUMIFS(INPUT!F$7:F$6985,INPUT!$C$7:$C$6985,$B70)</f>
        <v>0</v>
      </c>
      <c r="F70" s="228">
        <f>SUMIFS(INPUT!G$7:G$6985,INPUT!$C$7:$C$6985,$B70)</f>
        <v>0</v>
      </c>
      <c r="G70" s="228">
        <f>SUMIFS(INPUT!H$7:H$6985,INPUT!$C$7:$C$6985,$B70)</f>
        <v>0</v>
      </c>
      <c r="H70" s="228">
        <f>SUMIFS(INPUT!I$7:I$6985,INPUT!$C$7:$C$6985,$B70)</f>
        <v>0</v>
      </c>
      <c r="I70" s="228">
        <f>SUMIFS(INPUT!J$7:J$6985,INPUT!$C$7:$C$6985,$B70)</f>
        <v>0</v>
      </c>
      <c r="J70" s="234">
        <f>IFERROR(IF($A70=1,D70-VLOOKUP($B70,INPUT!$C$7:$J$6985,J$4,0),0),"A")</f>
        <v>0</v>
      </c>
      <c r="K70" s="234">
        <f>IFERROR(IF($A70=1,E70-VLOOKUP($B70,INPUT!$C$7:$J$6985,K$4,0),0),"A")</f>
        <v>0</v>
      </c>
      <c r="L70" s="234">
        <f>IFERROR(IF($A70=1,F70-VLOOKUP($B70,INPUT!$C$7:$J$6985,L$4,0),0),"A")</f>
        <v>0</v>
      </c>
      <c r="M70" s="234">
        <f>IFERROR(IF($A70=1,G70-VLOOKUP($B70,INPUT!$C$7:$J$6985,M$4,0),0),"A")</f>
        <v>0</v>
      </c>
      <c r="N70" s="234">
        <f>IFERROR(IF($A70=1,H70-VLOOKUP($B70,INPUT!$C$7:$J$6985,N$4,0),0),"A")</f>
        <v>0</v>
      </c>
      <c r="O70" s="234">
        <f>IFERROR(IF($A70=1,I70-VLOOKUP($B70,INPUT!$C$7:$J$6985,O$4,0),0),"A")</f>
        <v>0</v>
      </c>
      <c r="P70" s="235">
        <f t="shared" si="3"/>
        <v>0</v>
      </c>
    </row>
    <row r="71" spans="1:16" x14ac:dyDescent="0.45">
      <c r="A71" s="207">
        <f t="shared" si="2"/>
        <v>2</v>
      </c>
      <c r="B71" s="213">
        <v>3336</v>
      </c>
      <c r="C71" s="164" t="s">
        <v>76</v>
      </c>
      <c r="D71" s="228">
        <f>SUMIFS(INPUT!E$7:E$6985,INPUT!$C$7:$C$6985,$B71)</f>
        <v>0</v>
      </c>
      <c r="E71" s="228">
        <f>SUMIFS(INPUT!F$7:F$6985,INPUT!$C$7:$C$6985,$B71)</f>
        <v>0</v>
      </c>
      <c r="F71" s="228">
        <f>SUMIFS(INPUT!G$7:G$6985,INPUT!$C$7:$C$6985,$B71)</f>
        <v>0</v>
      </c>
      <c r="G71" s="228">
        <f>SUMIFS(INPUT!H$7:H$6985,INPUT!$C$7:$C$6985,$B71)</f>
        <v>0</v>
      </c>
      <c r="H71" s="228">
        <f>SUMIFS(INPUT!I$7:I$6985,INPUT!$C$7:$C$6985,$B71)</f>
        <v>0</v>
      </c>
      <c r="I71" s="228">
        <f>SUMIFS(INPUT!J$7:J$6985,INPUT!$C$7:$C$6985,$B71)</f>
        <v>0</v>
      </c>
      <c r="J71" s="234">
        <f>IFERROR(IF($A71=1,D71-VLOOKUP($B71,INPUT!$C$7:$J$6985,J$4,0),0),"A")</f>
        <v>0</v>
      </c>
      <c r="K71" s="234">
        <f>IFERROR(IF($A71=1,E71-VLOOKUP($B71,INPUT!$C$7:$J$6985,K$4,0),0),"A")</f>
        <v>0</v>
      </c>
      <c r="L71" s="234">
        <f>IFERROR(IF($A71=1,F71-VLOOKUP($B71,INPUT!$C$7:$J$6985,L$4,0),0),"A")</f>
        <v>0</v>
      </c>
      <c r="M71" s="234">
        <f>IFERROR(IF($A71=1,G71-VLOOKUP($B71,INPUT!$C$7:$J$6985,M$4,0),0),"A")</f>
        <v>0</v>
      </c>
      <c r="N71" s="234">
        <f>IFERROR(IF($A71=1,H71-VLOOKUP($B71,INPUT!$C$7:$J$6985,N$4,0),0),"A")</f>
        <v>0</v>
      </c>
      <c r="O71" s="234">
        <f>IFERROR(IF($A71=1,I71-VLOOKUP($B71,INPUT!$C$7:$J$6985,O$4,0),0),"A")</f>
        <v>0</v>
      </c>
      <c r="P71" s="235">
        <f t="shared" si="3"/>
        <v>0</v>
      </c>
    </row>
    <row r="72" spans="1:16" x14ac:dyDescent="0.45">
      <c r="A72" s="207">
        <f t="shared" si="2"/>
        <v>2</v>
      </c>
      <c r="B72" s="213">
        <v>3337</v>
      </c>
      <c r="C72" s="164" t="s">
        <v>77</v>
      </c>
      <c r="D72" s="228">
        <f>SUMIFS(INPUT!E$7:E$6985,INPUT!$C$7:$C$6985,$B72)</f>
        <v>0</v>
      </c>
      <c r="E72" s="228">
        <f>SUMIFS(INPUT!F$7:F$6985,INPUT!$C$7:$C$6985,$B72)</f>
        <v>0</v>
      </c>
      <c r="F72" s="228">
        <f>SUMIFS(INPUT!G$7:G$6985,INPUT!$C$7:$C$6985,$B72)</f>
        <v>0</v>
      </c>
      <c r="G72" s="228">
        <f>SUMIFS(INPUT!H$7:H$6985,INPUT!$C$7:$C$6985,$B72)</f>
        <v>0</v>
      </c>
      <c r="H72" s="228">
        <f>SUMIFS(INPUT!I$7:I$6985,INPUT!$C$7:$C$6985,$B72)</f>
        <v>0</v>
      </c>
      <c r="I72" s="228">
        <f>SUMIFS(INPUT!J$7:J$6985,INPUT!$C$7:$C$6985,$B72)</f>
        <v>0</v>
      </c>
      <c r="J72" s="234">
        <f>IFERROR(IF($A72=1,D72-VLOOKUP($B72,INPUT!$C$7:$J$6985,J$4,0),0),"A")</f>
        <v>0</v>
      </c>
      <c r="K72" s="234">
        <f>IFERROR(IF($A72=1,E72-VLOOKUP($B72,INPUT!$C$7:$J$6985,K$4,0),0),"A")</f>
        <v>0</v>
      </c>
      <c r="L72" s="234">
        <f>IFERROR(IF($A72=1,F72-VLOOKUP($B72,INPUT!$C$7:$J$6985,L$4,0),0),"A")</f>
        <v>0</v>
      </c>
      <c r="M72" s="234">
        <f>IFERROR(IF($A72=1,G72-VLOOKUP($B72,INPUT!$C$7:$J$6985,M$4,0),0),"A")</f>
        <v>0</v>
      </c>
      <c r="N72" s="234">
        <f>IFERROR(IF($A72=1,H72-VLOOKUP($B72,INPUT!$C$7:$J$6985,N$4,0),0),"A")</f>
        <v>0</v>
      </c>
      <c r="O72" s="234">
        <f>IFERROR(IF($A72=1,I72-VLOOKUP($B72,INPUT!$C$7:$J$6985,O$4,0),0),"A")</f>
        <v>0</v>
      </c>
      <c r="P72" s="235">
        <f t="shared" si="3"/>
        <v>0</v>
      </c>
    </row>
    <row r="73" spans="1:16" x14ac:dyDescent="0.45">
      <c r="A73" s="230">
        <f t="shared" si="2"/>
        <v>2</v>
      </c>
      <c r="B73" s="231">
        <v>3338</v>
      </c>
      <c r="C73" s="232" t="s">
        <v>78</v>
      </c>
      <c r="D73" s="233">
        <f>SUM(D74:D75)</f>
        <v>0</v>
      </c>
      <c r="E73" s="233">
        <f t="shared" ref="E73:I73" si="16">SUM(E74:E75)</f>
        <v>0</v>
      </c>
      <c r="F73" s="233">
        <f t="shared" si="16"/>
        <v>0</v>
      </c>
      <c r="G73" s="233">
        <f t="shared" si="16"/>
        <v>0</v>
      </c>
      <c r="H73" s="233">
        <f t="shared" si="16"/>
        <v>0</v>
      </c>
      <c r="I73" s="233">
        <f t="shared" si="16"/>
        <v>0</v>
      </c>
      <c r="J73" s="234">
        <f>IFERROR(IF($A73=1,D73-VLOOKUP($B73,INPUT!$C$7:$J$6985,J$4,0),0),"A")</f>
        <v>0</v>
      </c>
      <c r="K73" s="234">
        <f>IFERROR(IF($A73=1,E73-VLOOKUP($B73,INPUT!$C$7:$J$6985,K$4,0),0),"A")</f>
        <v>0</v>
      </c>
      <c r="L73" s="234">
        <f>IFERROR(IF($A73=1,F73-VLOOKUP($B73,INPUT!$C$7:$J$6985,L$4,0),0),"A")</f>
        <v>0</v>
      </c>
      <c r="M73" s="234">
        <f>IFERROR(IF($A73=1,G73-VLOOKUP($B73,INPUT!$C$7:$J$6985,M$4,0),0),"A")</f>
        <v>0</v>
      </c>
      <c r="N73" s="234">
        <f>IFERROR(IF($A73=1,H73-VLOOKUP($B73,INPUT!$C$7:$J$6985,N$4,0),0),"A")</f>
        <v>0</v>
      </c>
      <c r="O73" s="234">
        <f>IFERROR(IF($A73=1,I73-VLOOKUP($B73,INPUT!$C$7:$J$6985,O$4,0),0),"A")</f>
        <v>0</v>
      </c>
      <c r="P73" s="235">
        <f t="shared" si="3"/>
        <v>0</v>
      </c>
    </row>
    <row r="74" spans="1:16" x14ac:dyDescent="0.45">
      <c r="A74" s="207">
        <f t="shared" si="2"/>
        <v>3</v>
      </c>
      <c r="B74" s="214">
        <v>33381</v>
      </c>
      <c r="C74" s="171" t="s">
        <v>79</v>
      </c>
      <c r="D74" s="228">
        <f>SUMIFS(INPUT!E$7:E$6985,INPUT!$C$7:$C$6985,$B74)</f>
        <v>0</v>
      </c>
      <c r="E74" s="228">
        <f>SUMIFS(INPUT!F$7:F$6985,INPUT!$C$7:$C$6985,$B74)</f>
        <v>0</v>
      </c>
      <c r="F74" s="228">
        <f>SUMIFS(INPUT!G$7:G$6985,INPUT!$C$7:$C$6985,$B74)</f>
        <v>0</v>
      </c>
      <c r="G74" s="228">
        <f>SUMIFS(INPUT!H$7:H$6985,INPUT!$C$7:$C$6985,$B74)</f>
        <v>0</v>
      </c>
      <c r="H74" s="228">
        <f>SUMIFS(INPUT!I$7:I$6985,INPUT!$C$7:$C$6985,$B74)</f>
        <v>0</v>
      </c>
      <c r="I74" s="228">
        <f>SUMIFS(INPUT!J$7:J$6985,INPUT!$C$7:$C$6985,$B74)</f>
        <v>0</v>
      </c>
      <c r="J74" s="234">
        <f>IFERROR(IF($A74=1,D74-VLOOKUP($B74,INPUT!$C$7:$J$6985,J$4,0),0),"A")</f>
        <v>0</v>
      </c>
      <c r="K74" s="234">
        <f>IFERROR(IF($A74=1,E74-VLOOKUP($B74,INPUT!$C$7:$J$6985,K$4,0),0),"A")</f>
        <v>0</v>
      </c>
      <c r="L74" s="234">
        <f>IFERROR(IF($A74=1,F74-VLOOKUP($B74,INPUT!$C$7:$J$6985,L$4,0),0),"A")</f>
        <v>0</v>
      </c>
      <c r="M74" s="234">
        <f>IFERROR(IF($A74=1,G74-VLOOKUP($B74,INPUT!$C$7:$J$6985,M$4,0),0),"A")</f>
        <v>0</v>
      </c>
      <c r="N74" s="234">
        <f>IFERROR(IF($A74=1,H74-VLOOKUP($B74,INPUT!$C$7:$J$6985,N$4,0),0),"A")</f>
        <v>0</v>
      </c>
      <c r="O74" s="234">
        <f>IFERROR(IF($A74=1,I74-VLOOKUP($B74,INPUT!$C$7:$J$6985,O$4,0),0),"A")</f>
        <v>0</v>
      </c>
      <c r="P74" s="235">
        <f t="shared" si="3"/>
        <v>0</v>
      </c>
    </row>
    <row r="75" spans="1:16" x14ac:dyDescent="0.45">
      <c r="A75" s="207">
        <f t="shared" ref="A75:A132" si="17">LEN(B75)-2</f>
        <v>3</v>
      </c>
      <c r="B75" s="214">
        <v>33382</v>
      </c>
      <c r="C75" s="171" t="s">
        <v>80</v>
      </c>
      <c r="D75" s="228">
        <f>SUMIFS(INPUT!E$7:E$6985,INPUT!$C$7:$C$6985,$B75)</f>
        <v>0</v>
      </c>
      <c r="E75" s="228">
        <f>SUMIFS(INPUT!F$7:F$6985,INPUT!$C$7:$C$6985,$B75)</f>
        <v>0</v>
      </c>
      <c r="F75" s="228">
        <f>SUMIFS(INPUT!G$7:G$6985,INPUT!$C$7:$C$6985,$B75)</f>
        <v>0</v>
      </c>
      <c r="G75" s="228">
        <f>SUMIFS(INPUT!H$7:H$6985,INPUT!$C$7:$C$6985,$B75)</f>
        <v>0</v>
      </c>
      <c r="H75" s="228">
        <f>SUMIFS(INPUT!I$7:I$6985,INPUT!$C$7:$C$6985,$B75)</f>
        <v>0</v>
      </c>
      <c r="I75" s="228">
        <f>SUMIFS(INPUT!J$7:J$6985,INPUT!$C$7:$C$6985,$B75)</f>
        <v>0</v>
      </c>
      <c r="J75" s="234">
        <f>IFERROR(IF($A75=1,D75-VLOOKUP($B75,INPUT!$C$7:$J$6985,J$4,0),0),"A")</f>
        <v>0</v>
      </c>
      <c r="K75" s="234">
        <f>IFERROR(IF($A75=1,E75-VLOOKUP($B75,INPUT!$C$7:$J$6985,K$4,0),0),"A")</f>
        <v>0</v>
      </c>
      <c r="L75" s="234">
        <f>IFERROR(IF($A75=1,F75-VLOOKUP($B75,INPUT!$C$7:$J$6985,L$4,0),0),"A")</f>
        <v>0</v>
      </c>
      <c r="M75" s="234">
        <f>IFERROR(IF($A75=1,G75-VLOOKUP($B75,INPUT!$C$7:$J$6985,M$4,0),0),"A")</f>
        <v>0</v>
      </c>
      <c r="N75" s="234">
        <f>IFERROR(IF($A75=1,H75-VLOOKUP($B75,INPUT!$C$7:$J$6985,N$4,0),0),"A")</f>
        <v>0</v>
      </c>
      <c r="O75" s="234">
        <f>IFERROR(IF($A75=1,I75-VLOOKUP($B75,INPUT!$C$7:$J$6985,O$4,0),0),"A")</f>
        <v>0</v>
      </c>
      <c r="P75" s="235">
        <f t="shared" ref="P75:P132" si="18">SUM(J75:O75)</f>
        <v>0</v>
      </c>
    </row>
    <row r="76" spans="1:16" x14ac:dyDescent="0.45">
      <c r="A76" s="207">
        <f t="shared" si="17"/>
        <v>2</v>
      </c>
      <c r="B76" s="213">
        <v>3339</v>
      </c>
      <c r="C76" s="164" t="s">
        <v>81</v>
      </c>
      <c r="D76" s="228">
        <f>SUMIFS(INPUT!E$7:E$6985,INPUT!$C$7:$C$6985,$B76)</f>
        <v>0</v>
      </c>
      <c r="E76" s="228">
        <f>SUMIFS(INPUT!F$7:F$6985,INPUT!$C$7:$C$6985,$B76)</f>
        <v>0</v>
      </c>
      <c r="F76" s="228">
        <f>SUMIFS(INPUT!G$7:G$6985,INPUT!$C$7:$C$6985,$B76)</f>
        <v>0</v>
      </c>
      <c r="G76" s="228">
        <f>SUMIFS(INPUT!H$7:H$6985,INPUT!$C$7:$C$6985,$B76)</f>
        <v>0</v>
      </c>
      <c r="H76" s="228">
        <f>SUMIFS(INPUT!I$7:I$6985,INPUT!$C$7:$C$6985,$B76)</f>
        <v>0</v>
      </c>
      <c r="I76" s="228">
        <f>SUMIFS(INPUT!J$7:J$6985,INPUT!$C$7:$C$6985,$B76)</f>
        <v>0</v>
      </c>
      <c r="J76" s="234">
        <f>IFERROR(IF($A76=1,D76-VLOOKUP($B76,INPUT!$C$7:$J$6985,J$4,0),0),"A")</f>
        <v>0</v>
      </c>
      <c r="K76" s="234">
        <f>IFERROR(IF($A76=1,E76-VLOOKUP($B76,INPUT!$C$7:$J$6985,K$4,0),0),"A")</f>
        <v>0</v>
      </c>
      <c r="L76" s="234">
        <f>IFERROR(IF($A76=1,F76-VLOOKUP($B76,INPUT!$C$7:$J$6985,L$4,0),0),"A")</f>
        <v>0</v>
      </c>
      <c r="M76" s="234">
        <f>IFERROR(IF($A76=1,G76-VLOOKUP($B76,INPUT!$C$7:$J$6985,M$4,0),0),"A")</f>
        <v>0</v>
      </c>
      <c r="N76" s="234">
        <f>IFERROR(IF($A76=1,H76-VLOOKUP($B76,INPUT!$C$7:$J$6985,N$4,0),0),"A")</f>
        <v>0</v>
      </c>
      <c r="O76" s="234">
        <f>IFERROR(IF($A76=1,I76-VLOOKUP($B76,INPUT!$C$7:$J$6985,O$4,0),0),"A")</f>
        <v>0</v>
      </c>
      <c r="P76" s="235">
        <f t="shared" si="18"/>
        <v>0</v>
      </c>
    </row>
    <row r="77" spans="1:16" x14ac:dyDescent="0.45">
      <c r="A77" s="216">
        <f t="shared" si="17"/>
        <v>1</v>
      </c>
      <c r="B77" s="217">
        <v>334</v>
      </c>
      <c r="C77" s="218" t="s">
        <v>83</v>
      </c>
      <c r="D77" s="227">
        <f>SUMIFS(INPUT!E$7:E$6985,INPUT!$C$7:$C$6985,$B77)</f>
        <v>0</v>
      </c>
      <c r="E77" s="227">
        <f>SUMIFS(INPUT!F$7:F$6985,INPUT!$C$7:$C$6985,$B77)</f>
        <v>0</v>
      </c>
      <c r="F77" s="227">
        <f>SUMIFS(INPUT!G$7:G$6985,INPUT!$C$7:$C$6985,$B77)</f>
        <v>0</v>
      </c>
      <c r="G77" s="227">
        <f>SUMIFS(INPUT!H$7:H$6985,INPUT!$C$7:$C$6985,$B77)</f>
        <v>0</v>
      </c>
      <c r="H77" s="227">
        <f>SUMIFS(INPUT!I$7:I$6985,INPUT!$C$7:$C$6985,$B77)</f>
        <v>0</v>
      </c>
      <c r="I77" s="227">
        <f>SUMIFS(INPUT!J$7:J$6985,INPUT!$C$7:$C$6985,$B77)</f>
        <v>0</v>
      </c>
      <c r="J77" s="234" t="str">
        <f>IFERROR(IF($A77=1,D77-VLOOKUP($B77,INPUT!$C$7:$J$6985,J$4,0),0),"A")</f>
        <v>A</v>
      </c>
      <c r="K77" s="234" t="str">
        <f>IFERROR(IF($A77=1,E77-VLOOKUP($B77,INPUT!$C$7:$J$6985,K$4,0),0),"A")</f>
        <v>A</v>
      </c>
      <c r="L77" s="234" t="str">
        <f>IFERROR(IF($A77=1,F77-VLOOKUP($B77,INPUT!$C$7:$J$6985,L$4,0),0),"A")</f>
        <v>A</v>
      </c>
      <c r="M77" s="234" t="str">
        <f>IFERROR(IF($A77=1,G77-VLOOKUP($B77,INPUT!$C$7:$J$6985,M$4,0),0),"A")</f>
        <v>A</v>
      </c>
      <c r="N77" s="234" t="str">
        <f>IFERROR(IF($A77=1,H77-VLOOKUP($B77,INPUT!$C$7:$J$6985,N$4,0),0),"A")</f>
        <v>A</v>
      </c>
      <c r="O77" s="234" t="str">
        <f>IFERROR(IF($A77=1,I77-VLOOKUP($B77,INPUT!$C$7:$J$6985,O$4,0),0),"A")</f>
        <v>A</v>
      </c>
      <c r="P77" s="235">
        <f t="shared" si="18"/>
        <v>0</v>
      </c>
    </row>
    <row r="78" spans="1:16" x14ac:dyDescent="0.45">
      <c r="A78" s="216">
        <f t="shared" si="17"/>
        <v>1</v>
      </c>
      <c r="B78" s="217">
        <v>335</v>
      </c>
      <c r="C78" s="218" t="s">
        <v>84</v>
      </c>
      <c r="D78" s="227">
        <f>SUMIFS(INPUT!E$7:E$6985,INPUT!$C$7:$C$6985,$B78)</f>
        <v>0</v>
      </c>
      <c r="E78" s="227">
        <f>SUMIFS(INPUT!F$7:F$6985,INPUT!$C$7:$C$6985,$B78)</f>
        <v>0</v>
      </c>
      <c r="F78" s="227">
        <f>SUMIFS(INPUT!G$7:G$6985,INPUT!$C$7:$C$6985,$B78)</f>
        <v>0</v>
      </c>
      <c r="G78" s="227">
        <f>SUMIFS(INPUT!H$7:H$6985,INPUT!$C$7:$C$6985,$B78)</f>
        <v>0</v>
      </c>
      <c r="H78" s="227">
        <f>SUMIFS(INPUT!I$7:I$6985,INPUT!$C$7:$C$6985,$B78)</f>
        <v>0</v>
      </c>
      <c r="I78" s="227">
        <f>SUMIFS(INPUT!J$7:J$6985,INPUT!$C$7:$C$6985,$B78)</f>
        <v>0</v>
      </c>
      <c r="J78" s="234" t="str">
        <f>IFERROR(IF($A78=1,D78-VLOOKUP($B78,INPUT!$C$7:$J$6985,J$4,0),0),"A")</f>
        <v>A</v>
      </c>
      <c r="K78" s="234" t="str">
        <f>IFERROR(IF($A78=1,E78-VLOOKUP($B78,INPUT!$C$7:$J$6985,K$4,0),0),"A")</f>
        <v>A</v>
      </c>
      <c r="L78" s="234" t="str">
        <f>IFERROR(IF($A78=1,F78-VLOOKUP($B78,INPUT!$C$7:$J$6985,L$4,0),0),"A")</f>
        <v>A</v>
      </c>
      <c r="M78" s="234" t="str">
        <f>IFERROR(IF($A78=1,G78-VLOOKUP($B78,INPUT!$C$7:$J$6985,M$4,0),0),"A")</f>
        <v>A</v>
      </c>
      <c r="N78" s="234" t="str">
        <f>IFERROR(IF($A78=1,H78-VLOOKUP($B78,INPUT!$C$7:$J$6985,N$4,0),0),"A")</f>
        <v>A</v>
      </c>
      <c r="O78" s="234" t="str">
        <f>IFERROR(IF($A78=1,I78-VLOOKUP($B78,INPUT!$C$7:$J$6985,O$4,0),0),"A")</f>
        <v>A</v>
      </c>
      <c r="P78" s="235">
        <f t="shared" si="18"/>
        <v>0</v>
      </c>
    </row>
    <row r="79" spans="1:16" x14ac:dyDescent="0.45">
      <c r="A79" s="216">
        <f t="shared" si="17"/>
        <v>1</v>
      </c>
      <c r="B79" s="217">
        <v>336</v>
      </c>
      <c r="C79" s="218" t="s">
        <v>85</v>
      </c>
      <c r="D79" s="227">
        <f>SUM(D80:D81)</f>
        <v>0</v>
      </c>
      <c r="E79" s="227">
        <f t="shared" ref="E79:I79" si="19">SUM(E80:E81)</f>
        <v>0</v>
      </c>
      <c r="F79" s="227">
        <f t="shared" si="19"/>
        <v>0</v>
      </c>
      <c r="G79" s="227">
        <f t="shared" si="19"/>
        <v>0</v>
      </c>
      <c r="H79" s="227">
        <f t="shared" si="19"/>
        <v>0</v>
      </c>
      <c r="I79" s="227">
        <f t="shared" si="19"/>
        <v>0</v>
      </c>
      <c r="J79" s="234" t="str">
        <f>IFERROR(IF($A79=1,D79-VLOOKUP($B79,INPUT!$C$7:$J$6985,J$4,0),0),"A")</f>
        <v>A</v>
      </c>
      <c r="K79" s="234" t="str">
        <f>IFERROR(IF($A79=1,E79-VLOOKUP($B79,INPUT!$C$7:$J$6985,K$4,0),0),"A")</f>
        <v>A</v>
      </c>
      <c r="L79" s="234" t="str">
        <f>IFERROR(IF($A79=1,F79-VLOOKUP($B79,INPUT!$C$7:$J$6985,L$4,0),0),"A")</f>
        <v>A</v>
      </c>
      <c r="M79" s="234" t="str">
        <f>IFERROR(IF($A79=1,G79-VLOOKUP($B79,INPUT!$C$7:$J$6985,M$4,0),0),"A")</f>
        <v>A</v>
      </c>
      <c r="N79" s="234" t="str">
        <f>IFERROR(IF($A79=1,H79-VLOOKUP($B79,INPUT!$C$7:$J$6985,N$4,0),0),"A")</f>
        <v>A</v>
      </c>
      <c r="O79" s="234" t="str">
        <f>IFERROR(IF($A79=1,I79-VLOOKUP($B79,INPUT!$C$7:$J$6985,O$4,0),0),"A")</f>
        <v>A</v>
      </c>
      <c r="P79" s="235">
        <f t="shared" si="18"/>
        <v>0</v>
      </c>
    </row>
    <row r="80" spans="1:16" x14ac:dyDescent="0.45">
      <c r="A80" s="207">
        <f t="shared" si="17"/>
        <v>2</v>
      </c>
      <c r="B80" s="213">
        <v>3361</v>
      </c>
      <c r="C80" s="164" t="s">
        <v>86</v>
      </c>
      <c r="D80" s="228">
        <f>SUMIFS(INPUT!E$7:E$6985,INPUT!$C$7:$C$6985,$B80)</f>
        <v>0</v>
      </c>
      <c r="E80" s="228">
        <f>SUMIFS(INPUT!F$7:F$6985,INPUT!$C$7:$C$6985,$B80)</f>
        <v>0</v>
      </c>
      <c r="F80" s="228">
        <f>SUMIFS(INPUT!G$7:G$6985,INPUT!$C$7:$C$6985,$B80)</f>
        <v>0</v>
      </c>
      <c r="G80" s="228">
        <f>SUMIFS(INPUT!H$7:H$6985,INPUT!$C$7:$C$6985,$B80)</f>
        <v>0</v>
      </c>
      <c r="H80" s="228">
        <f>SUMIFS(INPUT!I$7:I$6985,INPUT!$C$7:$C$6985,$B80)</f>
        <v>0</v>
      </c>
      <c r="I80" s="228">
        <f>SUMIFS(INPUT!J$7:J$6985,INPUT!$C$7:$C$6985,$B80)</f>
        <v>0</v>
      </c>
      <c r="J80" s="234">
        <f>IFERROR(IF($A80=1,D80-VLOOKUP($B80,INPUT!$C$7:$J$6985,J$4,0),0),"A")</f>
        <v>0</v>
      </c>
      <c r="K80" s="234">
        <f>IFERROR(IF($A80=1,E80-VLOOKUP($B80,INPUT!$C$7:$J$6985,K$4,0),0),"A")</f>
        <v>0</v>
      </c>
      <c r="L80" s="234">
        <f>IFERROR(IF($A80=1,F80-VLOOKUP($B80,INPUT!$C$7:$J$6985,L$4,0),0),"A")</f>
        <v>0</v>
      </c>
      <c r="M80" s="234">
        <f>IFERROR(IF($A80=1,G80-VLOOKUP($B80,INPUT!$C$7:$J$6985,M$4,0),0),"A")</f>
        <v>0</v>
      </c>
      <c r="N80" s="234">
        <f>IFERROR(IF($A80=1,H80-VLOOKUP($B80,INPUT!$C$7:$J$6985,N$4,0),0),"A")</f>
        <v>0</v>
      </c>
      <c r="O80" s="234">
        <f>IFERROR(IF($A80=1,I80-VLOOKUP($B80,INPUT!$C$7:$J$6985,O$4,0),0),"A")</f>
        <v>0</v>
      </c>
      <c r="P80" s="235">
        <f t="shared" si="18"/>
        <v>0</v>
      </c>
    </row>
    <row r="81" spans="1:16" x14ac:dyDescent="0.45">
      <c r="A81" s="207">
        <f t="shared" si="17"/>
        <v>2</v>
      </c>
      <c r="B81" s="213">
        <v>3368</v>
      </c>
      <c r="C81" s="164" t="s">
        <v>87</v>
      </c>
      <c r="D81" s="228">
        <f>SUMIFS(INPUT!E$7:E$6985,INPUT!$C$7:$C$6985,$B81)</f>
        <v>0</v>
      </c>
      <c r="E81" s="228">
        <f>SUMIFS(INPUT!F$7:F$6985,INPUT!$C$7:$C$6985,$B81)</f>
        <v>0</v>
      </c>
      <c r="F81" s="228">
        <f>SUMIFS(INPUT!G$7:G$6985,INPUT!$C$7:$C$6985,$B81)</f>
        <v>0</v>
      </c>
      <c r="G81" s="228">
        <f>SUMIFS(INPUT!H$7:H$6985,INPUT!$C$7:$C$6985,$B81)</f>
        <v>0</v>
      </c>
      <c r="H81" s="228">
        <f>SUMIFS(INPUT!I$7:I$6985,INPUT!$C$7:$C$6985,$B81)</f>
        <v>0</v>
      </c>
      <c r="I81" s="228">
        <f>SUMIFS(INPUT!J$7:J$6985,INPUT!$C$7:$C$6985,$B81)</f>
        <v>0</v>
      </c>
      <c r="J81" s="234">
        <f>IFERROR(IF($A81=1,D81-VLOOKUP($B81,INPUT!$C$7:$J$6985,J$4,0),0),"A")</f>
        <v>0</v>
      </c>
      <c r="K81" s="234">
        <f>IFERROR(IF($A81=1,E81-VLOOKUP($B81,INPUT!$C$7:$J$6985,K$4,0),0),"A")</f>
        <v>0</v>
      </c>
      <c r="L81" s="234">
        <f>IFERROR(IF($A81=1,F81-VLOOKUP($B81,INPUT!$C$7:$J$6985,L$4,0),0),"A")</f>
        <v>0</v>
      </c>
      <c r="M81" s="234">
        <f>IFERROR(IF($A81=1,G81-VLOOKUP($B81,INPUT!$C$7:$J$6985,M$4,0),0),"A")</f>
        <v>0</v>
      </c>
      <c r="N81" s="234">
        <f>IFERROR(IF($A81=1,H81-VLOOKUP($B81,INPUT!$C$7:$J$6985,N$4,0),0),"A")</f>
        <v>0</v>
      </c>
      <c r="O81" s="234">
        <f>IFERROR(IF($A81=1,I81-VLOOKUP($B81,INPUT!$C$7:$J$6985,O$4,0),0),"A")</f>
        <v>0</v>
      </c>
      <c r="P81" s="235">
        <f t="shared" si="18"/>
        <v>0</v>
      </c>
    </row>
    <row r="82" spans="1:16" x14ac:dyDescent="0.45">
      <c r="A82" s="216">
        <f t="shared" si="17"/>
        <v>1</v>
      </c>
      <c r="B82" s="217">
        <v>338</v>
      </c>
      <c r="C82" s="218" t="s">
        <v>88</v>
      </c>
      <c r="D82" s="227">
        <f>SUM(D83:D90)</f>
        <v>0</v>
      </c>
      <c r="E82" s="227">
        <f t="shared" ref="E82:I82" si="20">SUM(E83:E90)</f>
        <v>0</v>
      </c>
      <c r="F82" s="227">
        <f t="shared" si="20"/>
        <v>0</v>
      </c>
      <c r="G82" s="227">
        <f t="shared" si="20"/>
        <v>0</v>
      </c>
      <c r="H82" s="227">
        <f t="shared" si="20"/>
        <v>0</v>
      </c>
      <c r="I82" s="227">
        <f t="shared" si="20"/>
        <v>0</v>
      </c>
      <c r="J82" s="234" t="str">
        <f>IFERROR(IF($A82=1,D82-VLOOKUP($B82,INPUT!$C$7:$J$6985,J$4,0),0),"A")</f>
        <v>A</v>
      </c>
      <c r="K82" s="234" t="str">
        <f>IFERROR(IF($A82=1,E82-VLOOKUP($B82,INPUT!$C$7:$J$6985,K$4,0),0),"A")</f>
        <v>A</v>
      </c>
      <c r="L82" s="234" t="str">
        <f>IFERROR(IF($A82=1,F82-VLOOKUP($B82,INPUT!$C$7:$J$6985,L$4,0),0),"A")</f>
        <v>A</v>
      </c>
      <c r="M82" s="234" t="str">
        <f>IFERROR(IF($A82=1,G82-VLOOKUP($B82,INPUT!$C$7:$J$6985,M$4,0),0),"A")</f>
        <v>A</v>
      </c>
      <c r="N82" s="234" t="str">
        <f>IFERROR(IF($A82=1,H82-VLOOKUP($B82,INPUT!$C$7:$J$6985,N$4,0),0),"A")</f>
        <v>A</v>
      </c>
      <c r="O82" s="234" t="str">
        <f>IFERROR(IF($A82=1,I82-VLOOKUP($B82,INPUT!$C$7:$J$6985,O$4,0),0),"A")</f>
        <v>A</v>
      </c>
      <c r="P82" s="235">
        <f t="shared" si="18"/>
        <v>0</v>
      </c>
    </row>
    <row r="83" spans="1:16" x14ac:dyDescent="0.45">
      <c r="A83" s="207">
        <f t="shared" si="17"/>
        <v>2</v>
      </c>
      <c r="B83" s="213">
        <v>3381</v>
      </c>
      <c r="C83" s="164" t="s">
        <v>89</v>
      </c>
      <c r="D83" s="228">
        <f>SUMIFS(INPUT!E$7:E$6985,INPUT!$C$7:$C$6985,$B83)</f>
        <v>0</v>
      </c>
      <c r="E83" s="228">
        <f>SUMIFS(INPUT!F$7:F$6985,INPUT!$C$7:$C$6985,$B83)</f>
        <v>0</v>
      </c>
      <c r="F83" s="228">
        <f>SUMIFS(INPUT!G$7:G$6985,INPUT!$C$7:$C$6985,$B83)</f>
        <v>0</v>
      </c>
      <c r="G83" s="228">
        <f>SUMIFS(INPUT!H$7:H$6985,INPUT!$C$7:$C$6985,$B83)</f>
        <v>0</v>
      </c>
      <c r="H83" s="228">
        <f>SUMIFS(INPUT!I$7:I$6985,INPUT!$C$7:$C$6985,$B83)</f>
        <v>0</v>
      </c>
      <c r="I83" s="228">
        <f>SUMIFS(INPUT!J$7:J$6985,INPUT!$C$7:$C$6985,$B83)</f>
        <v>0</v>
      </c>
      <c r="J83" s="234">
        <f>IFERROR(IF($A83=1,D83-VLOOKUP($B83,INPUT!$C$7:$J$6985,J$4,0),0),"A")</f>
        <v>0</v>
      </c>
      <c r="K83" s="234">
        <f>IFERROR(IF($A83=1,E83-VLOOKUP($B83,INPUT!$C$7:$J$6985,K$4,0),0),"A")</f>
        <v>0</v>
      </c>
      <c r="L83" s="234">
        <f>IFERROR(IF($A83=1,F83-VLOOKUP($B83,INPUT!$C$7:$J$6985,L$4,0),0),"A")</f>
        <v>0</v>
      </c>
      <c r="M83" s="234">
        <f>IFERROR(IF($A83=1,G83-VLOOKUP($B83,INPUT!$C$7:$J$6985,M$4,0),0),"A")</f>
        <v>0</v>
      </c>
      <c r="N83" s="234">
        <f>IFERROR(IF($A83=1,H83-VLOOKUP($B83,INPUT!$C$7:$J$6985,N$4,0),0),"A")</f>
        <v>0</v>
      </c>
      <c r="O83" s="234">
        <f>IFERROR(IF($A83=1,I83-VLOOKUP($B83,INPUT!$C$7:$J$6985,O$4,0),0),"A")</f>
        <v>0</v>
      </c>
      <c r="P83" s="235">
        <f t="shared" si="18"/>
        <v>0</v>
      </c>
    </row>
    <row r="84" spans="1:16" x14ac:dyDescent="0.45">
      <c r="A84" s="207">
        <f t="shared" si="17"/>
        <v>2</v>
      </c>
      <c r="B84" s="213">
        <v>3382</v>
      </c>
      <c r="C84" s="164" t="s">
        <v>90</v>
      </c>
      <c r="D84" s="228">
        <f>SUMIFS(INPUT!E$7:E$6985,INPUT!$C$7:$C$6985,$B84)</f>
        <v>0</v>
      </c>
      <c r="E84" s="228">
        <f>SUMIFS(INPUT!F$7:F$6985,INPUT!$C$7:$C$6985,$B84)</f>
        <v>0</v>
      </c>
      <c r="F84" s="228">
        <f>SUMIFS(INPUT!G$7:G$6985,INPUT!$C$7:$C$6985,$B84)</f>
        <v>0</v>
      </c>
      <c r="G84" s="228">
        <f>SUMIFS(INPUT!H$7:H$6985,INPUT!$C$7:$C$6985,$B84)</f>
        <v>0</v>
      </c>
      <c r="H84" s="228">
        <f>SUMIFS(INPUT!I$7:I$6985,INPUT!$C$7:$C$6985,$B84)</f>
        <v>0</v>
      </c>
      <c r="I84" s="228">
        <f>SUMIFS(INPUT!J$7:J$6985,INPUT!$C$7:$C$6985,$B84)</f>
        <v>0</v>
      </c>
      <c r="J84" s="234">
        <f>IFERROR(IF($A84=1,D84-VLOOKUP($B84,INPUT!$C$7:$J$6985,J$4,0),0),"A")</f>
        <v>0</v>
      </c>
      <c r="K84" s="234">
        <f>IFERROR(IF($A84=1,E84-VLOOKUP($B84,INPUT!$C$7:$J$6985,K$4,0),0),"A")</f>
        <v>0</v>
      </c>
      <c r="L84" s="234">
        <f>IFERROR(IF($A84=1,F84-VLOOKUP($B84,INPUT!$C$7:$J$6985,L$4,0),0),"A")</f>
        <v>0</v>
      </c>
      <c r="M84" s="234">
        <f>IFERROR(IF($A84=1,G84-VLOOKUP($B84,INPUT!$C$7:$J$6985,M$4,0),0),"A")</f>
        <v>0</v>
      </c>
      <c r="N84" s="234">
        <f>IFERROR(IF($A84=1,H84-VLOOKUP($B84,INPUT!$C$7:$J$6985,N$4,0),0),"A")</f>
        <v>0</v>
      </c>
      <c r="O84" s="234">
        <f>IFERROR(IF($A84=1,I84-VLOOKUP($B84,INPUT!$C$7:$J$6985,O$4,0),0),"A")</f>
        <v>0</v>
      </c>
      <c r="P84" s="235">
        <f t="shared" si="18"/>
        <v>0</v>
      </c>
    </row>
    <row r="85" spans="1:16" x14ac:dyDescent="0.45">
      <c r="A85" s="207">
        <f t="shared" si="17"/>
        <v>2</v>
      </c>
      <c r="B85" s="213">
        <v>3383</v>
      </c>
      <c r="C85" s="164" t="s">
        <v>91</v>
      </c>
      <c r="D85" s="228">
        <f>SUMIFS(INPUT!E$7:E$6985,INPUT!$C$7:$C$6985,$B85)</f>
        <v>0</v>
      </c>
      <c r="E85" s="228">
        <f>SUMIFS(INPUT!F$7:F$6985,INPUT!$C$7:$C$6985,$B85)</f>
        <v>0</v>
      </c>
      <c r="F85" s="228">
        <f>SUMIFS(INPUT!G$7:G$6985,INPUT!$C$7:$C$6985,$B85)</f>
        <v>0</v>
      </c>
      <c r="G85" s="228">
        <f>SUMIFS(INPUT!H$7:H$6985,INPUT!$C$7:$C$6985,$B85)</f>
        <v>0</v>
      </c>
      <c r="H85" s="228">
        <f>SUMIFS(INPUT!I$7:I$6985,INPUT!$C$7:$C$6985,$B85)</f>
        <v>0</v>
      </c>
      <c r="I85" s="228">
        <f>SUMIFS(INPUT!J$7:J$6985,INPUT!$C$7:$C$6985,$B85)</f>
        <v>0</v>
      </c>
      <c r="J85" s="234">
        <f>IFERROR(IF($A85=1,D85-VLOOKUP($B85,INPUT!$C$7:$J$6985,J$4,0),0),"A")</f>
        <v>0</v>
      </c>
      <c r="K85" s="234">
        <f>IFERROR(IF($A85=1,E85-VLOOKUP($B85,INPUT!$C$7:$J$6985,K$4,0),0),"A")</f>
        <v>0</v>
      </c>
      <c r="L85" s="234">
        <f>IFERROR(IF($A85=1,F85-VLOOKUP($B85,INPUT!$C$7:$J$6985,L$4,0),0),"A")</f>
        <v>0</v>
      </c>
      <c r="M85" s="234">
        <f>IFERROR(IF($A85=1,G85-VLOOKUP($B85,INPUT!$C$7:$J$6985,M$4,0),0),"A")</f>
        <v>0</v>
      </c>
      <c r="N85" s="234">
        <f>IFERROR(IF($A85=1,H85-VLOOKUP($B85,INPUT!$C$7:$J$6985,N$4,0),0),"A")</f>
        <v>0</v>
      </c>
      <c r="O85" s="234">
        <f>IFERROR(IF($A85=1,I85-VLOOKUP($B85,INPUT!$C$7:$J$6985,O$4,0),0),"A")</f>
        <v>0</v>
      </c>
      <c r="P85" s="235">
        <f t="shared" si="18"/>
        <v>0</v>
      </c>
    </row>
    <row r="86" spans="1:16" x14ac:dyDescent="0.45">
      <c r="A86" s="207">
        <f t="shared" si="17"/>
        <v>2</v>
      </c>
      <c r="B86" s="213">
        <v>3384</v>
      </c>
      <c r="C86" s="164" t="s">
        <v>92</v>
      </c>
      <c r="D86" s="228">
        <f>SUMIFS(INPUT!E$7:E$6985,INPUT!$C$7:$C$6985,$B86)</f>
        <v>0</v>
      </c>
      <c r="E86" s="228">
        <f>SUMIFS(INPUT!F$7:F$6985,INPUT!$C$7:$C$6985,$B86)</f>
        <v>0</v>
      </c>
      <c r="F86" s="228">
        <f>SUMIFS(INPUT!G$7:G$6985,INPUT!$C$7:$C$6985,$B86)</f>
        <v>0</v>
      </c>
      <c r="G86" s="228">
        <f>SUMIFS(INPUT!H$7:H$6985,INPUT!$C$7:$C$6985,$B86)</f>
        <v>0</v>
      </c>
      <c r="H86" s="228">
        <f>SUMIFS(INPUT!I$7:I$6985,INPUT!$C$7:$C$6985,$B86)</f>
        <v>0</v>
      </c>
      <c r="I86" s="228">
        <f>SUMIFS(INPUT!J$7:J$6985,INPUT!$C$7:$C$6985,$B86)</f>
        <v>0</v>
      </c>
      <c r="J86" s="234">
        <f>IFERROR(IF($A86=1,D86-VLOOKUP($B86,INPUT!$C$7:$J$6985,J$4,0),0),"A")</f>
        <v>0</v>
      </c>
      <c r="K86" s="234">
        <f>IFERROR(IF($A86=1,E86-VLOOKUP($B86,INPUT!$C$7:$J$6985,K$4,0),0),"A")</f>
        <v>0</v>
      </c>
      <c r="L86" s="234">
        <f>IFERROR(IF($A86=1,F86-VLOOKUP($B86,INPUT!$C$7:$J$6985,L$4,0),0),"A")</f>
        <v>0</v>
      </c>
      <c r="M86" s="234">
        <f>IFERROR(IF($A86=1,G86-VLOOKUP($B86,INPUT!$C$7:$J$6985,M$4,0),0),"A")</f>
        <v>0</v>
      </c>
      <c r="N86" s="234">
        <f>IFERROR(IF($A86=1,H86-VLOOKUP($B86,INPUT!$C$7:$J$6985,N$4,0),0),"A")</f>
        <v>0</v>
      </c>
      <c r="O86" s="234">
        <f>IFERROR(IF($A86=1,I86-VLOOKUP($B86,INPUT!$C$7:$J$6985,O$4,0),0),"A")</f>
        <v>0</v>
      </c>
      <c r="P86" s="235">
        <f t="shared" si="18"/>
        <v>0</v>
      </c>
    </row>
    <row r="87" spans="1:16" x14ac:dyDescent="0.45">
      <c r="A87" s="207">
        <f t="shared" si="17"/>
        <v>2</v>
      </c>
      <c r="B87" s="213">
        <v>3385</v>
      </c>
      <c r="C87" s="164" t="s">
        <v>93</v>
      </c>
      <c r="D87" s="228">
        <f>SUMIFS(INPUT!E$7:E$6985,INPUT!$C$7:$C$6985,$B87)</f>
        <v>0</v>
      </c>
      <c r="E87" s="228">
        <f>SUMIFS(INPUT!F$7:F$6985,INPUT!$C$7:$C$6985,$B87)</f>
        <v>0</v>
      </c>
      <c r="F87" s="228">
        <f>SUMIFS(INPUT!G$7:G$6985,INPUT!$C$7:$C$6985,$B87)</f>
        <v>0</v>
      </c>
      <c r="G87" s="228">
        <f>SUMIFS(INPUT!H$7:H$6985,INPUT!$C$7:$C$6985,$B87)</f>
        <v>0</v>
      </c>
      <c r="H87" s="228">
        <f>SUMIFS(INPUT!I$7:I$6985,INPUT!$C$7:$C$6985,$B87)</f>
        <v>0</v>
      </c>
      <c r="I87" s="228">
        <f>SUMIFS(INPUT!J$7:J$6985,INPUT!$C$7:$C$6985,$B87)</f>
        <v>0</v>
      </c>
      <c r="J87" s="234">
        <f>IFERROR(IF($A87=1,D87-VLOOKUP($B87,INPUT!$C$7:$J$6985,J$4,0),0),"A")</f>
        <v>0</v>
      </c>
      <c r="K87" s="234">
        <f>IFERROR(IF($A87=1,E87-VLOOKUP($B87,INPUT!$C$7:$J$6985,K$4,0),0),"A")</f>
        <v>0</v>
      </c>
      <c r="L87" s="234">
        <f>IFERROR(IF($A87=1,F87-VLOOKUP($B87,INPUT!$C$7:$J$6985,L$4,0),0),"A")</f>
        <v>0</v>
      </c>
      <c r="M87" s="234">
        <f>IFERROR(IF($A87=1,G87-VLOOKUP($B87,INPUT!$C$7:$J$6985,M$4,0),0),"A")</f>
        <v>0</v>
      </c>
      <c r="N87" s="234">
        <f>IFERROR(IF($A87=1,H87-VLOOKUP($B87,INPUT!$C$7:$J$6985,N$4,0),0),"A")</f>
        <v>0</v>
      </c>
      <c r="O87" s="234">
        <f>IFERROR(IF($A87=1,I87-VLOOKUP($B87,INPUT!$C$7:$J$6985,O$4,0),0),"A")</f>
        <v>0</v>
      </c>
      <c r="P87" s="235">
        <f t="shared" si="18"/>
        <v>0</v>
      </c>
    </row>
    <row r="88" spans="1:16" x14ac:dyDescent="0.45">
      <c r="A88" s="207">
        <f t="shared" si="17"/>
        <v>2</v>
      </c>
      <c r="B88" s="213">
        <v>3386</v>
      </c>
      <c r="C88" s="164" t="s">
        <v>94</v>
      </c>
      <c r="D88" s="228">
        <f>SUMIFS(INPUT!E$7:E$6985,INPUT!$C$7:$C$6985,$B88)</f>
        <v>0</v>
      </c>
      <c r="E88" s="228">
        <f>SUMIFS(INPUT!F$7:F$6985,INPUT!$C$7:$C$6985,$B88)</f>
        <v>0</v>
      </c>
      <c r="F88" s="228">
        <f>SUMIFS(INPUT!G$7:G$6985,INPUT!$C$7:$C$6985,$B88)</f>
        <v>0</v>
      </c>
      <c r="G88" s="228">
        <f>SUMIFS(INPUT!H$7:H$6985,INPUT!$C$7:$C$6985,$B88)</f>
        <v>0</v>
      </c>
      <c r="H88" s="228">
        <f>SUMIFS(INPUT!I$7:I$6985,INPUT!$C$7:$C$6985,$B88)</f>
        <v>0</v>
      </c>
      <c r="I88" s="228">
        <f>SUMIFS(INPUT!J$7:J$6985,INPUT!$C$7:$C$6985,$B88)</f>
        <v>0</v>
      </c>
      <c r="J88" s="234">
        <f>IFERROR(IF($A88=1,D88-VLOOKUP($B88,INPUT!$C$7:$J$6985,J$4,0),0),"A")</f>
        <v>0</v>
      </c>
      <c r="K88" s="234">
        <f>IFERROR(IF($A88=1,E88-VLOOKUP($B88,INPUT!$C$7:$J$6985,K$4,0),0),"A")</f>
        <v>0</v>
      </c>
      <c r="L88" s="234">
        <f>IFERROR(IF($A88=1,F88-VLOOKUP($B88,INPUT!$C$7:$J$6985,L$4,0),0),"A")</f>
        <v>0</v>
      </c>
      <c r="M88" s="234">
        <f>IFERROR(IF($A88=1,G88-VLOOKUP($B88,INPUT!$C$7:$J$6985,M$4,0),0),"A")</f>
        <v>0</v>
      </c>
      <c r="N88" s="234">
        <f>IFERROR(IF($A88=1,H88-VLOOKUP($B88,INPUT!$C$7:$J$6985,N$4,0),0),"A")</f>
        <v>0</v>
      </c>
      <c r="O88" s="234">
        <f>IFERROR(IF($A88=1,I88-VLOOKUP($B88,INPUT!$C$7:$J$6985,O$4,0),0),"A")</f>
        <v>0</v>
      </c>
      <c r="P88" s="235">
        <f t="shared" si="18"/>
        <v>0</v>
      </c>
    </row>
    <row r="89" spans="1:16" x14ac:dyDescent="0.45">
      <c r="A89" s="207">
        <f t="shared" si="17"/>
        <v>2</v>
      </c>
      <c r="B89" s="213">
        <v>3387</v>
      </c>
      <c r="C89" s="164" t="s">
        <v>95</v>
      </c>
      <c r="D89" s="228">
        <f>SUMIFS(INPUT!E$7:E$6985,INPUT!$C$7:$C$6985,$B89)</f>
        <v>0</v>
      </c>
      <c r="E89" s="228">
        <f>SUMIFS(INPUT!F$7:F$6985,INPUT!$C$7:$C$6985,$B89)</f>
        <v>0</v>
      </c>
      <c r="F89" s="228">
        <f>SUMIFS(INPUT!G$7:G$6985,INPUT!$C$7:$C$6985,$B89)</f>
        <v>0</v>
      </c>
      <c r="G89" s="228">
        <f>SUMIFS(INPUT!H$7:H$6985,INPUT!$C$7:$C$6985,$B89)</f>
        <v>0</v>
      </c>
      <c r="H89" s="228">
        <f>SUMIFS(INPUT!I$7:I$6985,INPUT!$C$7:$C$6985,$B89)</f>
        <v>0</v>
      </c>
      <c r="I89" s="228">
        <f>SUMIFS(INPUT!J$7:J$6985,INPUT!$C$7:$C$6985,$B89)</f>
        <v>0</v>
      </c>
      <c r="J89" s="234">
        <f>IFERROR(IF($A89=1,D89-VLOOKUP($B89,INPUT!$C$7:$J$6985,J$4,0),0),"A")</f>
        <v>0</v>
      </c>
      <c r="K89" s="234">
        <f>IFERROR(IF($A89=1,E89-VLOOKUP($B89,INPUT!$C$7:$J$6985,K$4,0),0),"A")</f>
        <v>0</v>
      </c>
      <c r="L89" s="234">
        <f>IFERROR(IF($A89=1,F89-VLOOKUP($B89,INPUT!$C$7:$J$6985,L$4,0),0),"A")</f>
        <v>0</v>
      </c>
      <c r="M89" s="234">
        <f>IFERROR(IF($A89=1,G89-VLOOKUP($B89,INPUT!$C$7:$J$6985,M$4,0),0),"A")</f>
        <v>0</v>
      </c>
      <c r="N89" s="234">
        <f>IFERROR(IF($A89=1,H89-VLOOKUP($B89,INPUT!$C$7:$J$6985,N$4,0),0),"A")</f>
        <v>0</v>
      </c>
      <c r="O89" s="234">
        <f>IFERROR(IF($A89=1,I89-VLOOKUP($B89,INPUT!$C$7:$J$6985,O$4,0),0),"A")</f>
        <v>0</v>
      </c>
      <c r="P89" s="235">
        <f t="shared" si="18"/>
        <v>0</v>
      </c>
    </row>
    <row r="90" spans="1:16" x14ac:dyDescent="0.45">
      <c r="A90" s="207">
        <f t="shared" si="17"/>
        <v>2</v>
      </c>
      <c r="B90" s="213">
        <v>3388</v>
      </c>
      <c r="C90" s="164" t="s">
        <v>88</v>
      </c>
      <c r="D90" s="228">
        <f>SUMIFS(INPUT!E$7:E$6985,INPUT!$C$7:$C$6985,$B90)</f>
        <v>0</v>
      </c>
      <c r="E90" s="228">
        <f>SUMIFS(INPUT!F$7:F$6985,INPUT!$C$7:$C$6985,$B90)</f>
        <v>0</v>
      </c>
      <c r="F90" s="228">
        <f>SUMIFS(INPUT!G$7:G$6985,INPUT!$C$7:$C$6985,$B90)</f>
        <v>0</v>
      </c>
      <c r="G90" s="228">
        <f>SUMIFS(INPUT!H$7:H$6985,INPUT!$C$7:$C$6985,$B90)</f>
        <v>0</v>
      </c>
      <c r="H90" s="228">
        <f>SUMIFS(INPUT!I$7:I$6985,INPUT!$C$7:$C$6985,$B90)</f>
        <v>0</v>
      </c>
      <c r="I90" s="228">
        <f>SUMIFS(INPUT!J$7:J$6985,INPUT!$C$7:$C$6985,$B90)</f>
        <v>0</v>
      </c>
      <c r="J90" s="234">
        <f>IFERROR(IF($A90=1,D90-VLOOKUP($B90,INPUT!$C$7:$J$6985,J$4,0),0),"A")</f>
        <v>0</v>
      </c>
      <c r="K90" s="234">
        <f>IFERROR(IF($A90=1,E90-VLOOKUP($B90,INPUT!$C$7:$J$6985,K$4,0),0),"A")</f>
        <v>0</v>
      </c>
      <c r="L90" s="234">
        <f>IFERROR(IF($A90=1,F90-VLOOKUP($B90,INPUT!$C$7:$J$6985,L$4,0),0),"A")</f>
        <v>0</v>
      </c>
      <c r="M90" s="234">
        <f>IFERROR(IF($A90=1,G90-VLOOKUP($B90,INPUT!$C$7:$J$6985,M$4,0),0),"A")</f>
        <v>0</v>
      </c>
      <c r="N90" s="234">
        <f>IFERROR(IF($A90=1,H90-VLOOKUP($B90,INPUT!$C$7:$J$6985,N$4,0),0),"A")</f>
        <v>0</v>
      </c>
      <c r="O90" s="234">
        <f>IFERROR(IF($A90=1,I90-VLOOKUP($B90,INPUT!$C$7:$J$6985,O$4,0),0),"A")</f>
        <v>0</v>
      </c>
      <c r="P90" s="235">
        <f t="shared" si="18"/>
        <v>0</v>
      </c>
    </row>
    <row r="91" spans="1:16" x14ac:dyDescent="0.45">
      <c r="A91" s="216">
        <f t="shared" si="17"/>
        <v>1</v>
      </c>
      <c r="B91" s="217">
        <v>341</v>
      </c>
      <c r="C91" s="218" t="s">
        <v>97</v>
      </c>
      <c r="D91" s="227">
        <f>SUM(D92:D93)</f>
        <v>0</v>
      </c>
      <c r="E91" s="227">
        <f t="shared" ref="E91:I91" si="21">SUM(E92:E93)</f>
        <v>0</v>
      </c>
      <c r="F91" s="227">
        <f t="shared" si="21"/>
        <v>0</v>
      </c>
      <c r="G91" s="227">
        <f t="shared" si="21"/>
        <v>0</v>
      </c>
      <c r="H91" s="227">
        <f t="shared" si="21"/>
        <v>0</v>
      </c>
      <c r="I91" s="227">
        <f t="shared" si="21"/>
        <v>0</v>
      </c>
      <c r="J91" s="234" t="str">
        <f>IFERROR(IF($A91=1,D91-VLOOKUP($B91,INPUT!$C$7:$J$6985,J$4,0),0),"A")</f>
        <v>A</v>
      </c>
      <c r="K91" s="234" t="str">
        <f>IFERROR(IF($A91=1,E91-VLOOKUP($B91,INPUT!$C$7:$J$6985,K$4,0),0),"A")</f>
        <v>A</v>
      </c>
      <c r="L91" s="234" t="str">
        <f>IFERROR(IF($A91=1,F91-VLOOKUP($B91,INPUT!$C$7:$J$6985,L$4,0),0),"A")</f>
        <v>A</v>
      </c>
      <c r="M91" s="234" t="str">
        <f>IFERROR(IF($A91=1,G91-VLOOKUP($B91,INPUT!$C$7:$J$6985,M$4,0),0),"A")</f>
        <v>A</v>
      </c>
      <c r="N91" s="234" t="str">
        <f>IFERROR(IF($A91=1,H91-VLOOKUP($B91,INPUT!$C$7:$J$6985,N$4,0),0),"A")</f>
        <v>A</v>
      </c>
      <c r="O91" s="234" t="str">
        <f>IFERROR(IF($A91=1,I91-VLOOKUP($B91,INPUT!$C$7:$J$6985,O$4,0),0),"A")</f>
        <v>A</v>
      </c>
      <c r="P91" s="235">
        <f t="shared" si="18"/>
        <v>0</v>
      </c>
    </row>
    <row r="92" spans="1:16" x14ac:dyDescent="0.45">
      <c r="A92" s="207">
        <f t="shared" si="17"/>
        <v>2</v>
      </c>
      <c r="B92" s="213">
        <v>3411</v>
      </c>
      <c r="C92" s="164" t="s">
        <v>98</v>
      </c>
      <c r="D92" s="228">
        <f>SUMIFS(INPUT!E$7:E$6985,INPUT!$C$7:$C$6985,$B92)</f>
        <v>0</v>
      </c>
      <c r="E92" s="228">
        <f>SUMIFS(INPUT!F$7:F$6985,INPUT!$C$7:$C$6985,$B92)</f>
        <v>0</v>
      </c>
      <c r="F92" s="228">
        <f>SUMIFS(INPUT!G$7:G$6985,INPUT!$C$7:$C$6985,$B92)</f>
        <v>0</v>
      </c>
      <c r="G92" s="228">
        <f>SUMIFS(INPUT!H$7:H$6985,INPUT!$C$7:$C$6985,$B92)</f>
        <v>0</v>
      </c>
      <c r="H92" s="228">
        <f>SUMIFS(INPUT!I$7:I$6985,INPUT!$C$7:$C$6985,$B92)</f>
        <v>0</v>
      </c>
      <c r="I92" s="228">
        <f>SUMIFS(INPUT!J$7:J$6985,INPUT!$C$7:$C$6985,$B92)</f>
        <v>0</v>
      </c>
      <c r="J92" s="234">
        <f>IFERROR(IF($A92=1,D92-VLOOKUP($B92,INPUT!$C$7:$J$6985,J$4,0),0),"A")</f>
        <v>0</v>
      </c>
      <c r="K92" s="234">
        <f>IFERROR(IF($A92=1,E92-VLOOKUP($B92,INPUT!$C$7:$J$6985,K$4,0),0),"A")</f>
        <v>0</v>
      </c>
      <c r="L92" s="234">
        <f>IFERROR(IF($A92=1,F92-VLOOKUP($B92,INPUT!$C$7:$J$6985,L$4,0),0),"A")</f>
        <v>0</v>
      </c>
      <c r="M92" s="234">
        <f>IFERROR(IF($A92=1,G92-VLOOKUP($B92,INPUT!$C$7:$J$6985,M$4,0),0),"A")</f>
        <v>0</v>
      </c>
      <c r="N92" s="234">
        <f>IFERROR(IF($A92=1,H92-VLOOKUP($B92,INPUT!$C$7:$J$6985,N$4,0),0),"A")</f>
        <v>0</v>
      </c>
      <c r="O92" s="234">
        <f>IFERROR(IF($A92=1,I92-VLOOKUP($B92,INPUT!$C$7:$J$6985,O$4,0),0),"A")</f>
        <v>0</v>
      </c>
      <c r="P92" s="235">
        <f t="shared" si="18"/>
        <v>0</v>
      </c>
    </row>
    <row r="93" spans="1:16" x14ac:dyDescent="0.45">
      <c r="A93" s="207">
        <f t="shared" si="17"/>
        <v>2</v>
      </c>
      <c r="B93" s="213">
        <v>3412</v>
      </c>
      <c r="C93" s="164" t="s">
        <v>99</v>
      </c>
      <c r="D93" s="228">
        <f>SUMIFS(INPUT!E$7:E$6985,INPUT!$C$7:$C$6985,$B93)</f>
        <v>0</v>
      </c>
      <c r="E93" s="228">
        <f>SUMIFS(INPUT!F$7:F$6985,INPUT!$C$7:$C$6985,$B93)</f>
        <v>0</v>
      </c>
      <c r="F93" s="228">
        <f>SUMIFS(INPUT!G$7:G$6985,INPUT!$C$7:$C$6985,$B93)</f>
        <v>0</v>
      </c>
      <c r="G93" s="228">
        <f>SUMIFS(INPUT!H$7:H$6985,INPUT!$C$7:$C$6985,$B93)</f>
        <v>0</v>
      </c>
      <c r="H93" s="228">
        <f>SUMIFS(INPUT!I$7:I$6985,INPUT!$C$7:$C$6985,$B93)</f>
        <v>0</v>
      </c>
      <c r="I93" s="228">
        <f>SUMIFS(INPUT!J$7:J$6985,INPUT!$C$7:$C$6985,$B93)</f>
        <v>0</v>
      </c>
      <c r="J93" s="234">
        <f>IFERROR(IF($A93=1,D93-VLOOKUP($B93,INPUT!$C$7:$J$6985,J$4,0),0),"A")</f>
        <v>0</v>
      </c>
      <c r="K93" s="234">
        <f>IFERROR(IF($A93=1,E93-VLOOKUP($B93,INPUT!$C$7:$J$6985,K$4,0),0),"A")</f>
        <v>0</v>
      </c>
      <c r="L93" s="234">
        <f>IFERROR(IF($A93=1,F93-VLOOKUP($B93,INPUT!$C$7:$J$6985,L$4,0),0),"A")</f>
        <v>0</v>
      </c>
      <c r="M93" s="234">
        <f>IFERROR(IF($A93=1,G93-VLOOKUP($B93,INPUT!$C$7:$J$6985,M$4,0),0),"A")</f>
        <v>0</v>
      </c>
      <c r="N93" s="234">
        <f>IFERROR(IF($A93=1,H93-VLOOKUP($B93,INPUT!$C$7:$J$6985,N$4,0),0),"A")</f>
        <v>0</v>
      </c>
      <c r="O93" s="234">
        <f>IFERROR(IF($A93=1,I93-VLOOKUP($B93,INPUT!$C$7:$J$6985,O$4,0),0),"A")</f>
        <v>0</v>
      </c>
      <c r="P93" s="235">
        <f t="shared" si="18"/>
        <v>0</v>
      </c>
    </row>
    <row r="94" spans="1:16" x14ac:dyDescent="0.45">
      <c r="A94" s="216">
        <f t="shared" si="17"/>
        <v>1</v>
      </c>
      <c r="B94" s="217">
        <v>352</v>
      </c>
      <c r="C94" s="218" t="s">
        <v>101</v>
      </c>
      <c r="D94" s="227">
        <f>SUM(D95:D97)</f>
        <v>0</v>
      </c>
      <c r="E94" s="227">
        <f t="shared" ref="E94:I94" si="22">SUM(E95:E97)</f>
        <v>0</v>
      </c>
      <c r="F94" s="227">
        <f t="shared" si="22"/>
        <v>0</v>
      </c>
      <c r="G94" s="227">
        <f t="shared" si="22"/>
        <v>0</v>
      </c>
      <c r="H94" s="227">
        <f t="shared" si="22"/>
        <v>0</v>
      </c>
      <c r="I94" s="227">
        <f t="shared" si="22"/>
        <v>0</v>
      </c>
      <c r="J94" s="234" t="str">
        <f>IFERROR(IF($A94=1,D94-VLOOKUP($B94,INPUT!$C$7:$J$6985,J$4,0),0),"A")</f>
        <v>A</v>
      </c>
      <c r="K94" s="234" t="str">
        <f>IFERROR(IF($A94=1,E94-VLOOKUP($B94,INPUT!$C$7:$J$6985,K$4,0),0),"A")</f>
        <v>A</v>
      </c>
      <c r="L94" s="234" t="str">
        <f>IFERROR(IF($A94=1,F94-VLOOKUP($B94,INPUT!$C$7:$J$6985,L$4,0),0),"A")</f>
        <v>A</v>
      </c>
      <c r="M94" s="234" t="str">
        <f>IFERROR(IF($A94=1,G94-VLOOKUP($B94,INPUT!$C$7:$J$6985,M$4,0),0),"A")</f>
        <v>A</v>
      </c>
      <c r="N94" s="234" t="str">
        <f>IFERROR(IF($A94=1,H94-VLOOKUP($B94,INPUT!$C$7:$J$6985,N$4,0),0),"A")</f>
        <v>A</v>
      </c>
      <c r="O94" s="234" t="str">
        <f>IFERROR(IF($A94=1,I94-VLOOKUP($B94,INPUT!$C$7:$J$6985,O$4,0),0),"A")</f>
        <v>A</v>
      </c>
      <c r="P94" s="235">
        <f t="shared" si="18"/>
        <v>0</v>
      </c>
    </row>
    <row r="95" spans="1:16" x14ac:dyDescent="0.45">
      <c r="A95" s="207">
        <f t="shared" si="17"/>
        <v>2</v>
      </c>
      <c r="B95" s="213">
        <v>3521</v>
      </c>
      <c r="C95" s="164" t="s">
        <v>102</v>
      </c>
      <c r="D95" s="228">
        <f>SUMIFS(INPUT!E$7:E$6985,INPUT!$C$7:$C$6985,$B95)</f>
        <v>0</v>
      </c>
      <c r="E95" s="228">
        <f>SUMIFS(INPUT!F$7:F$6985,INPUT!$C$7:$C$6985,$B95)</f>
        <v>0</v>
      </c>
      <c r="F95" s="228">
        <f>SUMIFS(INPUT!G$7:G$6985,INPUT!$C$7:$C$6985,$B95)</f>
        <v>0</v>
      </c>
      <c r="G95" s="228">
        <f>SUMIFS(INPUT!H$7:H$6985,INPUT!$C$7:$C$6985,$B95)</f>
        <v>0</v>
      </c>
      <c r="H95" s="228">
        <f>SUMIFS(INPUT!I$7:I$6985,INPUT!$C$7:$C$6985,$B95)</f>
        <v>0</v>
      </c>
      <c r="I95" s="228">
        <f>SUMIFS(INPUT!J$7:J$6985,INPUT!$C$7:$C$6985,$B95)</f>
        <v>0</v>
      </c>
      <c r="J95" s="234">
        <f>IFERROR(IF($A95=1,D95-VLOOKUP($B95,INPUT!$C$7:$J$6985,J$4,0),0),"A")</f>
        <v>0</v>
      </c>
      <c r="K95" s="234">
        <f>IFERROR(IF($A95=1,E95-VLOOKUP($B95,INPUT!$C$7:$J$6985,K$4,0),0),"A")</f>
        <v>0</v>
      </c>
      <c r="L95" s="234">
        <f>IFERROR(IF($A95=1,F95-VLOOKUP($B95,INPUT!$C$7:$J$6985,L$4,0),0),"A")</f>
        <v>0</v>
      </c>
      <c r="M95" s="234">
        <f>IFERROR(IF($A95=1,G95-VLOOKUP($B95,INPUT!$C$7:$J$6985,M$4,0),0),"A")</f>
        <v>0</v>
      </c>
      <c r="N95" s="234">
        <f>IFERROR(IF($A95=1,H95-VLOOKUP($B95,INPUT!$C$7:$J$6985,N$4,0),0),"A")</f>
        <v>0</v>
      </c>
      <c r="O95" s="234">
        <f>IFERROR(IF($A95=1,I95-VLOOKUP($B95,INPUT!$C$7:$J$6985,O$4,0),0),"A")</f>
        <v>0</v>
      </c>
      <c r="P95" s="235">
        <f t="shared" si="18"/>
        <v>0</v>
      </c>
    </row>
    <row r="96" spans="1:16" x14ac:dyDescent="0.45">
      <c r="A96" s="207">
        <f t="shared" si="17"/>
        <v>2</v>
      </c>
      <c r="B96" s="213">
        <v>3522</v>
      </c>
      <c r="C96" s="164" t="s">
        <v>103</v>
      </c>
      <c r="D96" s="228">
        <f>SUMIFS(INPUT!E$7:E$6985,INPUT!$C$7:$C$6985,$B96)</f>
        <v>0</v>
      </c>
      <c r="E96" s="228">
        <f>SUMIFS(INPUT!F$7:F$6985,INPUT!$C$7:$C$6985,$B96)</f>
        <v>0</v>
      </c>
      <c r="F96" s="228">
        <f>SUMIFS(INPUT!G$7:G$6985,INPUT!$C$7:$C$6985,$B96)</f>
        <v>0</v>
      </c>
      <c r="G96" s="228">
        <f>SUMIFS(INPUT!H$7:H$6985,INPUT!$C$7:$C$6985,$B96)</f>
        <v>0</v>
      </c>
      <c r="H96" s="228">
        <f>SUMIFS(INPUT!I$7:I$6985,INPUT!$C$7:$C$6985,$B96)</f>
        <v>0</v>
      </c>
      <c r="I96" s="228">
        <f>SUMIFS(INPUT!J$7:J$6985,INPUT!$C$7:$C$6985,$B96)</f>
        <v>0</v>
      </c>
      <c r="J96" s="234">
        <f>IFERROR(IF($A96=1,D96-VLOOKUP($B96,INPUT!$C$7:$J$6985,J$4,0),0),"A")</f>
        <v>0</v>
      </c>
      <c r="K96" s="234">
        <f>IFERROR(IF($A96=1,E96-VLOOKUP($B96,INPUT!$C$7:$J$6985,K$4,0),0),"A")</f>
        <v>0</v>
      </c>
      <c r="L96" s="234">
        <f>IFERROR(IF($A96=1,F96-VLOOKUP($B96,INPUT!$C$7:$J$6985,L$4,0),0),"A")</f>
        <v>0</v>
      </c>
      <c r="M96" s="234">
        <f>IFERROR(IF($A96=1,G96-VLOOKUP($B96,INPUT!$C$7:$J$6985,M$4,0),0),"A")</f>
        <v>0</v>
      </c>
      <c r="N96" s="234">
        <f>IFERROR(IF($A96=1,H96-VLOOKUP($B96,INPUT!$C$7:$J$6985,N$4,0),0),"A")</f>
        <v>0</v>
      </c>
      <c r="O96" s="234">
        <f>IFERROR(IF($A96=1,I96-VLOOKUP($B96,INPUT!$C$7:$J$6985,O$4,0),0),"A")</f>
        <v>0</v>
      </c>
      <c r="P96" s="235">
        <f t="shared" si="18"/>
        <v>0</v>
      </c>
    </row>
    <row r="97" spans="1:16" x14ac:dyDescent="0.45">
      <c r="A97" s="207">
        <f t="shared" si="17"/>
        <v>2</v>
      </c>
      <c r="B97" s="213">
        <v>3524</v>
      </c>
      <c r="C97" s="164" t="s">
        <v>104</v>
      </c>
      <c r="D97" s="228">
        <f>SUMIFS(INPUT!E$7:E$6985,INPUT!$C$7:$C$6985,$B97)</f>
        <v>0</v>
      </c>
      <c r="E97" s="228">
        <f>SUMIFS(INPUT!F$7:F$6985,INPUT!$C$7:$C$6985,$B97)</f>
        <v>0</v>
      </c>
      <c r="F97" s="228">
        <f>SUMIFS(INPUT!G$7:G$6985,INPUT!$C$7:$C$6985,$B97)</f>
        <v>0</v>
      </c>
      <c r="G97" s="228">
        <f>SUMIFS(INPUT!H$7:H$6985,INPUT!$C$7:$C$6985,$B97)</f>
        <v>0</v>
      </c>
      <c r="H97" s="228">
        <f>SUMIFS(INPUT!I$7:I$6985,INPUT!$C$7:$C$6985,$B97)</f>
        <v>0</v>
      </c>
      <c r="I97" s="228">
        <f>SUMIFS(INPUT!J$7:J$6985,INPUT!$C$7:$C$6985,$B97)</f>
        <v>0</v>
      </c>
      <c r="J97" s="234">
        <f>IFERROR(IF($A97=1,D97-VLOOKUP($B97,INPUT!$C$7:$J$6985,J$4,0),0),"A")</f>
        <v>0</v>
      </c>
      <c r="K97" s="234">
        <f>IFERROR(IF($A97=1,E97-VLOOKUP($B97,INPUT!$C$7:$J$6985,K$4,0),0),"A")</f>
        <v>0</v>
      </c>
      <c r="L97" s="234">
        <f>IFERROR(IF($A97=1,F97-VLOOKUP($B97,INPUT!$C$7:$J$6985,L$4,0),0),"A")</f>
        <v>0</v>
      </c>
      <c r="M97" s="234">
        <f>IFERROR(IF($A97=1,G97-VLOOKUP($B97,INPUT!$C$7:$J$6985,M$4,0),0),"A")</f>
        <v>0</v>
      </c>
      <c r="N97" s="234">
        <f>IFERROR(IF($A97=1,H97-VLOOKUP($B97,INPUT!$C$7:$J$6985,N$4,0),0),"A")</f>
        <v>0</v>
      </c>
      <c r="O97" s="234">
        <f>IFERROR(IF($A97=1,I97-VLOOKUP($B97,INPUT!$C$7:$J$6985,O$4,0),0),"A")</f>
        <v>0</v>
      </c>
      <c r="P97" s="235">
        <f t="shared" si="18"/>
        <v>0</v>
      </c>
    </row>
    <row r="98" spans="1:16" x14ac:dyDescent="0.45">
      <c r="A98" s="216">
        <f t="shared" si="17"/>
        <v>1</v>
      </c>
      <c r="B98" s="217">
        <v>353</v>
      </c>
      <c r="C98" s="218" t="s">
        <v>106</v>
      </c>
      <c r="D98" s="227">
        <f>SUM(D99:D102)</f>
        <v>0</v>
      </c>
      <c r="E98" s="227">
        <f t="shared" ref="E98:I98" si="23">SUM(E99:E102)</f>
        <v>0</v>
      </c>
      <c r="F98" s="227">
        <f t="shared" si="23"/>
        <v>0</v>
      </c>
      <c r="G98" s="227">
        <f t="shared" si="23"/>
        <v>0</v>
      </c>
      <c r="H98" s="227">
        <f t="shared" si="23"/>
        <v>0</v>
      </c>
      <c r="I98" s="227">
        <f t="shared" si="23"/>
        <v>0</v>
      </c>
      <c r="J98" s="234" t="str">
        <f>IFERROR(IF($A98=1,D98-VLOOKUP($B98,INPUT!$C$7:$J$6985,J$4,0),0),"A")</f>
        <v>A</v>
      </c>
      <c r="K98" s="234" t="str">
        <f>IFERROR(IF($A98=1,E98-VLOOKUP($B98,INPUT!$C$7:$J$6985,K$4,0),0),"A")</f>
        <v>A</v>
      </c>
      <c r="L98" s="234" t="str">
        <f>IFERROR(IF($A98=1,F98-VLOOKUP($B98,INPUT!$C$7:$J$6985,L$4,0),0),"A")</f>
        <v>A</v>
      </c>
      <c r="M98" s="234" t="str">
        <f>IFERROR(IF($A98=1,G98-VLOOKUP($B98,INPUT!$C$7:$J$6985,M$4,0),0),"A")</f>
        <v>A</v>
      </c>
      <c r="N98" s="234" t="str">
        <f>IFERROR(IF($A98=1,H98-VLOOKUP($B98,INPUT!$C$7:$J$6985,N$4,0),0),"A")</f>
        <v>A</v>
      </c>
      <c r="O98" s="234" t="str">
        <f>IFERROR(IF($A98=1,I98-VLOOKUP($B98,INPUT!$C$7:$J$6985,O$4,0),0),"A")</f>
        <v>A</v>
      </c>
      <c r="P98" s="235">
        <f t="shared" si="18"/>
        <v>0</v>
      </c>
    </row>
    <row r="99" spans="1:16" x14ac:dyDescent="0.45">
      <c r="A99" s="207">
        <f t="shared" si="17"/>
        <v>2</v>
      </c>
      <c r="B99" s="213">
        <v>3531</v>
      </c>
      <c r="C99" s="164" t="s">
        <v>107</v>
      </c>
      <c r="D99" s="228">
        <f>SUMIFS(INPUT!E$7:E$6985,INPUT!$C$7:$C$6985,$B99)</f>
        <v>0</v>
      </c>
      <c r="E99" s="228">
        <f>SUMIFS(INPUT!F$7:F$6985,INPUT!$C$7:$C$6985,$B99)</f>
        <v>0</v>
      </c>
      <c r="F99" s="228">
        <f>SUMIFS(INPUT!G$7:G$6985,INPUT!$C$7:$C$6985,$B99)</f>
        <v>0</v>
      </c>
      <c r="G99" s="228">
        <f>SUMIFS(INPUT!H$7:H$6985,INPUT!$C$7:$C$6985,$B99)</f>
        <v>0</v>
      </c>
      <c r="H99" s="228">
        <f>SUMIFS(INPUT!I$7:I$6985,INPUT!$C$7:$C$6985,$B99)</f>
        <v>0</v>
      </c>
      <c r="I99" s="228">
        <f>SUMIFS(INPUT!J$7:J$6985,INPUT!$C$7:$C$6985,$B99)</f>
        <v>0</v>
      </c>
      <c r="J99" s="234">
        <f>IFERROR(IF($A99=1,D99-VLOOKUP($B99,INPUT!$C$7:$J$6985,J$4,0),0),"A")</f>
        <v>0</v>
      </c>
      <c r="K99" s="234">
        <f>IFERROR(IF($A99=1,E99-VLOOKUP($B99,INPUT!$C$7:$J$6985,K$4,0),0),"A")</f>
        <v>0</v>
      </c>
      <c r="L99" s="234">
        <f>IFERROR(IF($A99=1,F99-VLOOKUP($B99,INPUT!$C$7:$J$6985,L$4,0),0),"A")</f>
        <v>0</v>
      </c>
      <c r="M99" s="234">
        <f>IFERROR(IF($A99=1,G99-VLOOKUP($B99,INPUT!$C$7:$J$6985,M$4,0),0),"A")</f>
        <v>0</v>
      </c>
      <c r="N99" s="234">
        <f>IFERROR(IF($A99=1,H99-VLOOKUP($B99,INPUT!$C$7:$J$6985,N$4,0),0),"A")</f>
        <v>0</v>
      </c>
      <c r="O99" s="234">
        <f>IFERROR(IF($A99=1,I99-VLOOKUP($B99,INPUT!$C$7:$J$6985,O$4,0),0),"A")</f>
        <v>0</v>
      </c>
      <c r="P99" s="235">
        <f t="shared" si="18"/>
        <v>0</v>
      </c>
    </row>
    <row r="100" spans="1:16" x14ac:dyDescent="0.45">
      <c r="A100" s="207">
        <f t="shared" si="17"/>
        <v>2</v>
      </c>
      <c r="B100" s="213">
        <v>3532</v>
      </c>
      <c r="C100" s="164" t="s">
        <v>108</v>
      </c>
      <c r="D100" s="228">
        <f>SUMIFS(INPUT!E$7:E$6985,INPUT!$C$7:$C$6985,$B100)</f>
        <v>0</v>
      </c>
      <c r="E100" s="228">
        <f>SUMIFS(INPUT!F$7:F$6985,INPUT!$C$7:$C$6985,$B100)</f>
        <v>0</v>
      </c>
      <c r="F100" s="228">
        <f>SUMIFS(INPUT!G$7:G$6985,INPUT!$C$7:$C$6985,$B100)</f>
        <v>0</v>
      </c>
      <c r="G100" s="228">
        <f>SUMIFS(INPUT!H$7:H$6985,INPUT!$C$7:$C$6985,$B100)</f>
        <v>0</v>
      </c>
      <c r="H100" s="228">
        <f>SUMIFS(INPUT!I$7:I$6985,INPUT!$C$7:$C$6985,$B100)</f>
        <v>0</v>
      </c>
      <c r="I100" s="228">
        <f>SUMIFS(INPUT!J$7:J$6985,INPUT!$C$7:$C$6985,$B100)</f>
        <v>0</v>
      </c>
      <c r="J100" s="234">
        <f>IFERROR(IF($A100=1,D100-VLOOKUP($B100,INPUT!$C$7:$J$6985,J$4,0),0),"A")</f>
        <v>0</v>
      </c>
      <c r="K100" s="234">
        <f>IFERROR(IF($A100=1,E100-VLOOKUP($B100,INPUT!$C$7:$J$6985,K$4,0),0),"A")</f>
        <v>0</v>
      </c>
      <c r="L100" s="234">
        <f>IFERROR(IF($A100=1,F100-VLOOKUP($B100,INPUT!$C$7:$J$6985,L$4,0),0),"A")</f>
        <v>0</v>
      </c>
      <c r="M100" s="234">
        <f>IFERROR(IF($A100=1,G100-VLOOKUP($B100,INPUT!$C$7:$J$6985,M$4,0),0),"A")</f>
        <v>0</v>
      </c>
      <c r="N100" s="234">
        <f>IFERROR(IF($A100=1,H100-VLOOKUP($B100,INPUT!$C$7:$J$6985,N$4,0),0),"A")</f>
        <v>0</v>
      </c>
      <c r="O100" s="234">
        <f>IFERROR(IF($A100=1,I100-VLOOKUP($B100,INPUT!$C$7:$J$6985,O$4,0),0),"A")</f>
        <v>0</v>
      </c>
      <c r="P100" s="235">
        <f t="shared" si="18"/>
        <v>0</v>
      </c>
    </row>
    <row r="101" spans="1:16" x14ac:dyDescent="0.45">
      <c r="A101" s="207">
        <f t="shared" si="17"/>
        <v>2</v>
      </c>
      <c r="B101" s="213">
        <v>3533</v>
      </c>
      <c r="C101" s="164" t="s">
        <v>109</v>
      </c>
      <c r="D101" s="228">
        <f>SUMIFS(INPUT!E$7:E$6985,INPUT!$C$7:$C$6985,$B101)</f>
        <v>0</v>
      </c>
      <c r="E101" s="228">
        <f>SUMIFS(INPUT!F$7:F$6985,INPUT!$C$7:$C$6985,$B101)</f>
        <v>0</v>
      </c>
      <c r="F101" s="228">
        <f>SUMIFS(INPUT!G$7:G$6985,INPUT!$C$7:$C$6985,$B101)</f>
        <v>0</v>
      </c>
      <c r="G101" s="228">
        <f>SUMIFS(INPUT!H$7:H$6985,INPUT!$C$7:$C$6985,$B101)</f>
        <v>0</v>
      </c>
      <c r="H101" s="228">
        <f>SUMIFS(INPUT!I$7:I$6985,INPUT!$C$7:$C$6985,$B101)</f>
        <v>0</v>
      </c>
      <c r="I101" s="228">
        <f>SUMIFS(INPUT!J$7:J$6985,INPUT!$C$7:$C$6985,$B101)</f>
        <v>0</v>
      </c>
      <c r="J101" s="234">
        <f>IFERROR(IF($A101=1,D101-VLOOKUP($B101,INPUT!$C$7:$J$6985,J$4,0),0),"A")</f>
        <v>0</v>
      </c>
      <c r="K101" s="234">
        <f>IFERROR(IF($A101=1,E101-VLOOKUP($B101,INPUT!$C$7:$J$6985,K$4,0),0),"A")</f>
        <v>0</v>
      </c>
      <c r="L101" s="234">
        <f>IFERROR(IF($A101=1,F101-VLOOKUP($B101,INPUT!$C$7:$J$6985,L$4,0),0),"A")</f>
        <v>0</v>
      </c>
      <c r="M101" s="234">
        <f>IFERROR(IF($A101=1,G101-VLOOKUP($B101,INPUT!$C$7:$J$6985,M$4,0),0),"A")</f>
        <v>0</v>
      </c>
      <c r="N101" s="234">
        <f>IFERROR(IF($A101=1,H101-VLOOKUP($B101,INPUT!$C$7:$J$6985,N$4,0),0),"A")</f>
        <v>0</v>
      </c>
      <c r="O101" s="234">
        <f>IFERROR(IF($A101=1,I101-VLOOKUP($B101,INPUT!$C$7:$J$6985,O$4,0),0),"A")</f>
        <v>0</v>
      </c>
      <c r="P101" s="235">
        <f t="shared" si="18"/>
        <v>0</v>
      </c>
    </row>
    <row r="102" spans="1:16" x14ac:dyDescent="0.45">
      <c r="A102" s="207">
        <f t="shared" si="17"/>
        <v>2</v>
      </c>
      <c r="B102" s="213">
        <v>3534</v>
      </c>
      <c r="C102" s="164" t="s">
        <v>110</v>
      </c>
      <c r="D102" s="228">
        <f>SUMIFS(INPUT!E$7:E$6985,INPUT!$C$7:$C$6985,$B102)</f>
        <v>0</v>
      </c>
      <c r="E102" s="228">
        <f>SUMIFS(INPUT!F$7:F$6985,INPUT!$C$7:$C$6985,$B102)</f>
        <v>0</v>
      </c>
      <c r="F102" s="228">
        <f>SUMIFS(INPUT!G$7:G$6985,INPUT!$C$7:$C$6985,$B102)</f>
        <v>0</v>
      </c>
      <c r="G102" s="228">
        <f>SUMIFS(INPUT!H$7:H$6985,INPUT!$C$7:$C$6985,$B102)</f>
        <v>0</v>
      </c>
      <c r="H102" s="228">
        <f>SUMIFS(INPUT!I$7:I$6985,INPUT!$C$7:$C$6985,$B102)</f>
        <v>0</v>
      </c>
      <c r="I102" s="228">
        <f>SUMIFS(INPUT!J$7:J$6985,INPUT!$C$7:$C$6985,$B102)</f>
        <v>0</v>
      </c>
      <c r="J102" s="234">
        <f>IFERROR(IF($A102=1,D102-VLOOKUP($B102,INPUT!$C$7:$J$6985,J$4,0),0),"A")</f>
        <v>0</v>
      </c>
      <c r="K102" s="234">
        <f>IFERROR(IF($A102=1,E102-VLOOKUP($B102,INPUT!$C$7:$J$6985,K$4,0),0),"A")</f>
        <v>0</v>
      </c>
      <c r="L102" s="234">
        <f>IFERROR(IF($A102=1,F102-VLOOKUP($B102,INPUT!$C$7:$J$6985,L$4,0),0),"A")</f>
        <v>0</v>
      </c>
      <c r="M102" s="234">
        <f>IFERROR(IF($A102=1,G102-VLOOKUP($B102,INPUT!$C$7:$J$6985,M$4,0),0),"A")</f>
        <v>0</v>
      </c>
      <c r="N102" s="234">
        <f>IFERROR(IF($A102=1,H102-VLOOKUP($B102,INPUT!$C$7:$J$6985,N$4,0),0),"A")</f>
        <v>0</v>
      </c>
      <c r="O102" s="234">
        <f>IFERROR(IF($A102=1,I102-VLOOKUP($B102,INPUT!$C$7:$J$6985,O$4,0),0),"A")</f>
        <v>0</v>
      </c>
      <c r="P102" s="235">
        <f t="shared" si="18"/>
        <v>0</v>
      </c>
    </row>
    <row r="103" spans="1:16" x14ac:dyDescent="0.45">
      <c r="A103" s="216">
        <f t="shared" si="17"/>
        <v>1</v>
      </c>
      <c r="B103" s="217">
        <v>356</v>
      </c>
      <c r="C103" s="218" t="s">
        <v>112</v>
      </c>
      <c r="D103" s="227">
        <f>SUM(D104:D105)</f>
        <v>0</v>
      </c>
      <c r="E103" s="227">
        <f t="shared" ref="E103:I103" si="24">SUM(E104:E105)</f>
        <v>0</v>
      </c>
      <c r="F103" s="227">
        <f t="shared" si="24"/>
        <v>0</v>
      </c>
      <c r="G103" s="227">
        <f t="shared" si="24"/>
        <v>0</v>
      </c>
      <c r="H103" s="227">
        <f t="shared" si="24"/>
        <v>0</v>
      </c>
      <c r="I103" s="227">
        <f t="shared" si="24"/>
        <v>0</v>
      </c>
      <c r="J103" s="234" t="str">
        <f>IFERROR(IF($A103=1,D103-VLOOKUP($B103,INPUT!$C$7:$J$6985,J$4,0),0),"A")</f>
        <v>A</v>
      </c>
      <c r="K103" s="234" t="str">
        <f>IFERROR(IF($A103=1,E103-VLOOKUP($B103,INPUT!$C$7:$J$6985,K$4,0),0),"A")</f>
        <v>A</v>
      </c>
      <c r="L103" s="234" t="str">
        <f>IFERROR(IF($A103=1,F103-VLOOKUP($B103,INPUT!$C$7:$J$6985,L$4,0),0),"A")</f>
        <v>A</v>
      </c>
      <c r="M103" s="234" t="str">
        <f>IFERROR(IF($A103=1,G103-VLOOKUP($B103,INPUT!$C$7:$J$6985,M$4,0),0),"A")</f>
        <v>A</v>
      </c>
      <c r="N103" s="234" t="str">
        <f>IFERROR(IF($A103=1,H103-VLOOKUP($B103,INPUT!$C$7:$J$6985,N$4,0),0),"A")</f>
        <v>A</v>
      </c>
      <c r="O103" s="234" t="str">
        <f>IFERROR(IF($A103=1,I103-VLOOKUP($B103,INPUT!$C$7:$J$6985,O$4,0),0),"A")</f>
        <v>A</v>
      </c>
      <c r="P103" s="235">
        <f t="shared" si="18"/>
        <v>0</v>
      </c>
    </row>
    <row r="104" spans="1:16" x14ac:dyDescent="0.45">
      <c r="A104" s="207">
        <f t="shared" si="17"/>
        <v>2</v>
      </c>
      <c r="B104" s="213">
        <v>3561</v>
      </c>
      <c r="C104" s="164" t="s">
        <v>112</v>
      </c>
      <c r="D104" s="228">
        <f>SUMIFS(INPUT!E$7:E$6985,INPUT!$C$7:$C$6985,$B104)</f>
        <v>0</v>
      </c>
      <c r="E104" s="228">
        <f>SUMIFS(INPUT!F$7:F$6985,INPUT!$C$7:$C$6985,$B104)</f>
        <v>0</v>
      </c>
      <c r="F104" s="228">
        <f>SUMIFS(INPUT!G$7:G$6985,INPUT!$C$7:$C$6985,$B104)</f>
        <v>0</v>
      </c>
      <c r="G104" s="228">
        <f>SUMIFS(INPUT!H$7:H$6985,INPUT!$C$7:$C$6985,$B104)</f>
        <v>0</v>
      </c>
      <c r="H104" s="228">
        <f>SUMIFS(INPUT!I$7:I$6985,INPUT!$C$7:$C$6985,$B104)</f>
        <v>0</v>
      </c>
      <c r="I104" s="228">
        <f>SUMIFS(INPUT!J$7:J$6985,INPUT!$C$7:$C$6985,$B104)</f>
        <v>0</v>
      </c>
      <c r="J104" s="234">
        <f>IFERROR(IF($A104=1,D104-VLOOKUP($B104,INPUT!$C$7:$J$6985,J$4,0),0),"A")</f>
        <v>0</v>
      </c>
      <c r="K104" s="234">
        <f>IFERROR(IF($A104=1,E104-VLOOKUP($B104,INPUT!$C$7:$J$6985,K$4,0),0),"A")</f>
        <v>0</v>
      </c>
      <c r="L104" s="234">
        <f>IFERROR(IF($A104=1,F104-VLOOKUP($B104,INPUT!$C$7:$J$6985,L$4,0),0),"A")</f>
        <v>0</v>
      </c>
      <c r="M104" s="234">
        <f>IFERROR(IF($A104=1,G104-VLOOKUP($B104,INPUT!$C$7:$J$6985,M$4,0),0),"A")</f>
        <v>0</v>
      </c>
      <c r="N104" s="234">
        <f>IFERROR(IF($A104=1,H104-VLOOKUP($B104,INPUT!$C$7:$J$6985,N$4,0),0),"A")</f>
        <v>0</v>
      </c>
      <c r="O104" s="234">
        <f>IFERROR(IF($A104=1,I104-VLOOKUP($B104,INPUT!$C$7:$J$6985,O$4,0),0),"A")</f>
        <v>0</v>
      </c>
      <c r="P104" s="235">
        <f t="shared" si="18"/>
        <v>0</v>
      </c>
    </row>
    <row r="105" spans="1:16" x14ac:dyDescent="0.45">
      <c r="A105" s="207">
        <f t="shared" si="17"/>
        <v>2</v>
      </c>
      <c r="B105" s="213">
        <v>3562</v>
      </c>
      <c r="C105" s="164" t="s">
        <v>113</v>
      </c>
      <c r="D105" s="228">
        <f>SUMIFS(INPUT!E$7:E$6985,INPUT!$C$7:$C$6985,$B105)</f>
        <v>0</v>
      </c>
      <c r="E105" s="228">
        <f>SUMIFS(INPUT!F$7:F$6985,INPUT!$C$7:$C$6985,$B105)</f>
        <v>0</v>
      </c>
      <c r="F105" s="228">
        <f>SUMIFS(INPUT!G$7:G$6985,INPUT!$C$7:$C$6985,$B105)</f>
        <v>0</v>
      </c>
      <c r="G105" s="228">
        <f>SUMIFS(INPUT!H$7:H$6985,INPUT!$C$7:$C$6985,$B105)</f>
        <v>0</v>
      </c>
      <c r="H105" s="228">
        <f>SUMIFS(INPUT!I$7:I$6985,INPUT!$C$7:$C$6985,$B105)</f>
        <v>0</v>
      </c>
      <c r="I105" s="228">
        <f>SUMIFS(INPUT!J$7:J$6985,INPUT!$C$7:$C$6985,$B105)</f>
        <v>0</v>
      </c>
      <c r="J105" s="234">
        <f>IFERROR(IF($A105=1,D105-VLOOKUP($B105,INPUT!$C$7:$J$6985,J$4,0),0),"A")</f>
        <v>0</v>
      </c>
      <c r="K105" s="234">
        <f>IFERROR(IF($A105=1,E105-VLOOKUP($B105,INPUT!$C$7:$J$6985,K$4,0),0),"A")</f>
        <v>0</v>
      </c>
      <c r="L105" s="234">
        <f>IFERROR(IF($A105=1,F105-VLOOKUP($B105,INPUT!$C$7:$J$6985,L$4,0),0),"A")</f>
        <v>0</v>
      </c>
      <c r="M105" s="234">
        <f>IFERROR(IF($A105=1,G105-VLOOKUP($B105,INPUT!$C$7:$J$6985,M$4,0),0),"A")</f>
        <v>0</v>
      </c>
      <c r="N105" s="234">
        <f>IFERROR(IF($A105=1,H105-VLOOKUP($B105,INPUT!$C$7:$J$6985,N$4,0),0),"A")</f>
        <v>0</v>
      </c>
      <c r="O105" s="234">
        <f>IFERROR(IF($A105=1,I105-VLOOKUP($B105,INPUT!$C$7:$J$6985,O$4,0),0),"A")</f>
        <v>0</v>
      </c>
      <c r="P105" s="235">
        <f t="shared" si="18"/>
        <v>0</v>
      </c>
    </row>
    <row r="106" spans="1:16" x14ac:dyDescent="0.45">
      <c r="A106" s="216">
        <f t="shared" si="17"/>
        <v>1</v>
      </c>
      <c r="B106" s="217">
        <v>411</v>
      </c>
      <c r="C106" s="218" t="s">
        <v>114</v>
      </c>
      <c r="D106" s="227">
        <f>SUM(D107:D109)</f>
        <v>0</v>
      </c>
      <c r="E106" s="227">
        <f t="shared" ref="E106:I106" si="25">SUM(E107:E109)</f>
        <v>0</v>
      </c>
      <c r="F106" s="227">
        <f t="shared" si="25"/>
        <v>0</v>
      </c>
      <c r="G106" s="227">
        <f t="shared" si="25"/>
        <v>0</v>
      </c>
      <c r="H106" s="227">
        <f t="shared" si="25"/>
        <v>0</v>
      </c>
      <c r="I106" s="227">
        <f t="shared" si="25"/>
        <v>0</v>
      </c>
      <c r="J106" s="234" t="str">
        <f>IFERROR(IF($A106=1,D106-VLOOKUP($B106,INPUT!$C$7:$J$6985,J$4,0),0),"A")</f>
        <v>A</v>
      </c>
      <c r="K106" s="234" t="str">
        <f>IFERROR(IF($A106=1,E106-VLOOKUP($B106,INPUT!$C$7:$J$6985,K$4,0),0),"A")</f>
        <v>A</v>
      </c>
      <c r="L106" s="234" t="str">
        <f>IFERROR(IF($A106=1,F106-VLOOKUP($B106,INPUT!$C$7:$J$6985,L$4,0),0),"A")</f>
        <v>A</v>
      </c>
      <c r="M106" s="234" t="str">
        <f>IFERROR(IF($A106=1,G106-VLOOKUP($B106,INPUT!$C$7:$J$6985,M$4,0),0),"A")</f>
        <v>A</v>
      </c>
      <c r="N106" s="234" t="str">
        <f>IFERROR(IF($A106=1,H106-VLOOKUP($B106,INPUT!$C$7:$J$6985,N$4,0),0),"A")</f>
        <v>A</v>
      </c>
      <c r="O106" s="234" t="str">
        <f>IFERROR(IF($A106=1,I106-VLOOKUP($B106,INPUT!$C$7:$J$6985,O$4,0),0),"A")</f>
        <v>A</v>
      </c>
      <c r="P106" s="235">
        <f t="shared" si="18"/>
        <v>0</v>
      </c>
    </row>
    <row r="107" spans="1:16" x14ac:dyDescent="0.45">
      <c r="A107" s="207">
        <f t="shared" si="17"/>
        <v>2</v>
      </c>
      <c r="B107" s="213">
        <v>4111</v>
      </c>
      <c r="C107" s="164" t="s">
        <v>116</v>
      </c>
      <c r="D107" s="228">
        <f>SUMIFS(INPUT!E$7:E$6985,INPUT!$C$7:$C$6985,$B107)</f>
        <v>0</v>
      </c>
      <c r="E107" s="228">
        <f>SUMIFS(INPUT!F$7:F$6985,INPUT!$C$7:$C$6985,$B107)</f>
        <v>0</v>
      </c>
      <c r="F107" s="228">
        <f>SUMIFS(INPUT!G$7:G$6985,INPUT!$C$7:$C$6985,$B107)</f>
        <v>0</v>
      </c>
      <c r="G107" s="228">
        <f>SUMIFS(INPUT!H$7:H$6985,INPUT!$C$7:$C$6985,$B107)</f>
        <v>0</v>
      </c>
      <c r="H107" s="228">
        <f>SUMIFS(INPUT!I$7:I$6985,INPUT!$C$7:$C$6985,$B107)</f>
        <v>0</v>
      </c>
      <c r="I107" s="228">
        <f>SUMIFS(INPUT!J$7:J$6985,INPUT!$C$7:$C$6985,$B107)</f>
        <v>0</v>
      </c>
      <c r="J107" s="234">
        <f>IFERROR(IF($A107=1,D107-VLOOKUP($B107,INPUT!$C$7:$J$6985,J$4,0),0),"A")</f>
        <v>0</v>
      </c>
      <c r="K107" s="234">
        <f>IFERROR(IF($A107=1,E107-VLOOKUP($B107,INPUT!$C$7:$J$6985,K$4,0),0),"A")</f>
        <v>0</v>
      </c>
      <c r="L107" s="234">
        <f>IFERROR(IF($A107=1,F107-VLOOKUP($B107,INPUT!$C$7:$J$6985,L$4,0),0),"A")</f>
        <v>0</v>
      </c>
      <c r="M107" s="234">
        <f>IFERROR(IF($A107=1,G107-VLOOKUP($B107,INPUT!$C$7:$J$6985,M$4,0),0),"A")</f>
        <v>0</v>
      </c>
      <c r="N107" s="234">
        <f>IFERROR(IF($A107=1,H107-VLOOKUP($B107,INPUT!$C$7:$J$6985,N$4,0),0),"A")</f>
        <v>0</v>
      </c>
      <c r="O107" s="234">
        <f>IFERROR(IF($A107=1,I107-VLOOKUP($B107,INPUT!$C$7:$J$6985,O$4,0),0),"A")</f>
        <v>0</v>
      </c>
      <c r="P107" s="235">
        <f t="shared" si="18"/>
        <v>0</v>
      </c>
    </row>
    <row r="108" spans="1:16" x14ac:dyDescent="0.45">
      <c r="A108" s="207">
        <f t="shared" si="17"/>
        <v>2</v>
      </c>
      <c r="B108" s="213">
        <v>4112</v>
      </c>
      <c r="C108" s="164" t="s">
        <v>118</v>
      </c>
      <c r="D108" s="228">
        <f>SUMIFS(INPUT!E$7:E$6985,INPUT!$C$7:$C$6985,$B108)</f>
        <v>0</v>
      </c>
      <c r="E108" s="228">
        <f>SUMIFS(INPUT!F$7:F$6985,INPUT!$C$7:$C$6985,$B108)</f>
        <v>0</v>
      </c>
      <c r="F108" s="228">
        <f>SUMIFS(INPUT!G$7:G$6985,INPUT!$C$7:$C$6985,$B108)</f>
        <v>0</v>
      </c>
      <c r="G108" s="228">
        <f>SUMIFS(INPUT!H$7:H$6985,INPUT!$C$7:$C$6985,$B108)</f>
        <v>0</v>
      </c>
      <c r="H108" s="228">
        <f>SUMIFS(INPUT!I$7:I$6985,INPUT!$C$7:$C$6985,$B108)</f>
        <v>0</v>
      </c>
      <c r="I108" s="228">
        <f>SUMIFS(INPUT!J$7:J$6985,INPUT!$C$7:$C$6985,$B108)</f>
        <v>0</v>
      </c>
      <c r="J108" s="234">
        <f>IFERROR(IF($A108=1,D108-VLOOKUP($B108,INPUT!$C$7:$J$6985,J$4,0),0),"A")</f>
        <v>0</v>
      </c>
      <c r="K108" s="234">
        <f>IFERROR(IF($A108=1,E108-VLOOKUP($B108,INPUT!$C$7:$J$6985,K$4,0),0),"A")</f>
        <v>0</v>
      </c>
      <c r="L108" s="234">
        <f>IFERROR(IF($A108=1,F108-VLOOKUP($B108,INPUT!$C$7:$J$6985,L$4,0),0),"A")</f>
        <v>0</v>
      </c>
      <c r="M108" s="234">
        <f>IFERROR(IF($A108=1,G108-VLOOKUP($B108,INPUT!$C$7:$J$6985,M$4,0),0),"A")</f>
        <v>0</v>
      </c>
      <c r="N108" s="234">
        <f>IFERROR(IF($A108=1,H108-VLOOKUP($B108,INPUT!$C$7:$J$6985,N$4,0),0),"A")</f>
        <v>0</v>
      </c>
      <c r="O108" s="234">
        <f>IFERROR(IF($A108=1,I108-VLOOKUP($B108,INPUT!$C$7:$J$6985,O$4,0),0),"A")</f>
        <v>0</v>
      </c>
      <c r="P108" s="235">
        <f t="shared" si="18"/>
        <v>0</v>
      </c>
    </row>
    <row r="109" spans="1:16" x14ac:dyDescent="0.45">
      <c r="A109" s="207">
        <f t="shared" si="17"/>
        <v>2</v>
      </c>
      <c r="B109" s="213">
        <v>4118</v>
      </c>
      <c r="C109" s="164" t="s">
        <v>120</v>
      </c>
      <c r="D109" s="228">
        <f>SUMIFS(INPUT!E$7:E$6985,INPUT!$C$7:$C$6985,$B109)</f>
        <v>0</v>
      </c>
      <c r="E109" s="228">
        <f>SUMIFS(INPUT!F$7:F$6985,INPUT!$C$7:$C$6985,$B109)</f>
        <v>0</v>
      </c>
      <c r="F109" s="228">
        <f>SUMIFS(INPUT!G$7:G$6985,INPUT!$C$7:$C$6985,$B109)</f>
        <v>0</v>
      </c>
      <c r="G109" s="228">
        <f>SUMIFS(INPUT!H$7:H$6985,INPUT!$C$7:$C$6985,$B109)</f>
        <v>0</v>
      </c>
      <c r="H109" s="228">
        <f>SUMIFS(INPUT!I$7:I$6985,INPUT!$C$7:$C$6985,$B109)</f>
        <v>0</v>
      </c>
      <c r="I109" s="228">
        <f>SUMIFS(INPUT!J$7:J$6985,INPUT!$C$7:$C$6985,$B109)</f>
        <v>0</v>
      </c>
      <c r="J109" s="234">
        <f>IFERROR(IF($A109=1,D109-VLOOKUP($B109,INPUT!$C$7:$J$6985,J$4,0),0),"A")</f>
        <v>0</v>
      </c>
      <c r="K109" s="234">
        <f>IFERROR(IF($A109=1,E109-VLOOKUP($B109,INPUT!$C$7:$J$6985,K$4,0),0),"A")</f>
        <v>0</v>
      </c>
      <c r="L109" s="234">
        <f>IFERROR(IF($A109=1,F109-VLOOKUP($B109,INPUT!$C$7:$J$6985,L$4,0),0),"A")</f>
        <v>0</v>
      </c>
      <c r="M109" s="234">
        <f>IFERROR(IF($A109=1,G109-VLOOKUP($B109,INPUT!$C$7:$J$6985,M$4,0),0),"A")</f>
        <v>0</v>
      </c>
      <c r="N109" s="234">
        <f>IFERROR(IF($A109=1,H109-VLOOKUP($B109,INPUT!$C$7:$J$6985,N$4,0),0),"A")</f>
        <v>0</v>
      </c>
      <c r="O109" s="234">
        <f>IFERROR(IF($A109=1,I109-VLOOKUP($B109,INPUT!$C$7:$J$6985,O$4,0),0),"A")</f>
        <v>0</v>
      </c>
      <c r="P109" s="235">
        <f t="shared" si="18"/>
        <v>0</v>
      </c>
    </row>
    <row r="110" spans="1:16" x14ac:dyDescent="0.45">
      <c r="A110" s="216">
        <f t="shared" si="17"/>
        <v>1</v>
      </c>
      <c r="B110" s="217">
        <v>413</v>
      </c>
      <c r="C110" s="218" t="s">
        <v>122</v>
      </c>
      <c r="D110" s="227">
        <f>SUMIFS(INPUT!E$7:E$6985,INPUT!$C$7:$C$6985,$B110)</f>
        <v>0</v>
      </c>
      <c r="E110" s="227">
        <f>SUMIFS(INPUT!F$7:F$6985,INPUT!$C$7:$C$6985,$B110)</f>
        <v>0</v>
      </c>
      <c r="F110" s="227">
        <f>SUMIFS(INPUT!G$7:G$6985,INPUT!$C$7:$C$6985,$B110)</f>
        <v>0</v>
      </c>
      <c r="G110" s="227">
        <f>SUMIFS(INPUT!H$7:H$6985,INPUT!$C$7:$C$6985,$B110)</f>
        <v>0</v>
      </c>
      <c r="H110" s="227">
        <f>SUMIFS(INPUT!I$7:I$6985,INPUT!$C$7:$C$6985,$B110)</f>
        <v>0</v>
      </c>
      <c r="I110" s="227">
        <f>SUMIFS(INPUT!J$7:J$6985,INPUT!$C$7:$C$6985,$B110)</f>
        <v>0</v>
      </c>
      <c r="J110" s="234" t="str">
        <f>IFERROR(IF($A110=1,D110-VLOOKUP($B110,INPUT!$C$7:$J$6985,J$4,0),0),"A")</f>
        <v>A</v>
      </c>
      <c r="K110" s="234" t="str">
        <f>IFERROR(IF($A110=1,E110-VLOOKUP($B110,INPUT!$C$7:$J$6985,K$4,0),0),"A")</f>
        <v>A</v>
      </c>
      <c r="L110" s="234" t="str">
        <f>IFERROR(IF($A110=1,F110-VLOOKUP($B110,INPUT!$C$7:$J$6985,L$4,0),0),"A")</f>
        <v>A</v>
      </c>
      <c r="M110" s="234" t="str">
        <f>IFERROR(IF($A110=1,G110-VLOOKUP($B110,INPUT!$C$7:$J$6985,M$4,0),0),"A")</f>
        <v>A</v>
      </c>
      <c r="N110" s="234" t="str">
        <f>IFERROR(IF($A110=1,H110-VLOOKUP($B110,INPUT!$C$7:$J$6985,N$4,0),0),"A")</f>
        <v>A</v>
      </c>
      <c r="O110" s="234" t="str">
        <f>IFERROR(IF($A110=1,I110-VLOOKUP($B110,INPUT!$C$7:$J$6985,O$4,0),0),"A")</f>
        <v>A</v>
      </c>
      <c r="P110" s="235">
        <f t="shared" si="18"/>
        <v>0</v>
      </c>
    </row>
    <row r="111" spans="1:16" x14ac:dyDescent="0.45">
      <c r="A111" s="216">
        <f t="shared" si="17"/>
        <v>1</v>
      </c>
      <c r="B111" s="217">
        <v>418</v>
      </c>
      <c r="C111" s="218" t="s">
        <v>124</v>
      </c>
      <c r="D111" s="227">
        <f>SUMIFS(INPUT!E$7:E$6985,INPUT!$C$7:$C$6985,$B111)</f>
        <v>0</v>
      </c>
      <c r="E111" s="227">
        <f>SUMIFS(INPUT!F$7:F$6985,INPUT!$C$7:$C$6985,$B111)</f>
        <v>0</v>
      </c>
      <c r="F111" s="227">
        <f>SUMIFS(INPUT!G$7:G$6985,INPUT!$C$7:$C$6985,$B111)</f>
        <v>0</v>
      </c>
      <c r="G111" s="227">
        <f>SUMIFS(INPUT!H$7:H$6985,INPUT!$C$7:$C$6985,$B111)</f>
        <v>0</v>
      </c>
      <c r="H111" s="227">
        <f>SUMIFS(INPUT!I$7:I$6985,INPUT!$C$7:$C$6985,$B111)</f>
        <v>0</v>
      </c>
      <c r="I111" s="227">
        <f>SUMIFS(INPUT!J$7:J$6985,INPUT!$C$7:$C$6985,$B111)</f>
        <v>0</v>
      </c>
      <c r="J111" s="234" t="str">
        <f>IFERROR(IF($A111=1,D111-VLOOKUP($B111,INPUT!$C$7:$J$6985,J$4,0),0),"A")</f>
        <v>A</v>
      </c>
      <c r="K111" s="234" t="str">
        <f>IFERROR(IF($A111=1,E111-VLOOKUP($B111,INPUT!$C$7:$J$6985,K$4,0),0),"A")</f>
        <v>A</v>
      </c>
      <c r="L111" s="234" t="str">
        <f>IFERROR(IF($A111=1,F111-VLOOKUP($B111,INPUT!$C$7:$J$6985,L$4,0),0),"A")</f>
        <v>A</v>
      </c>
      <c r="M111" s="234" t="str">
        <f>IFERROR(IF($A111=1,G111-VLOOKUP($B111,INPUT!$C$7:$J$6985,M$4,0),0),"A")</f>
        <v>A</v>
      </c>
      <c r="N111" s="234" t="str">
        <f>IFERROR(IF($A111=1,H111-VLOOKUP($B111,INPUT!$C$7:$J$6985,N$4,0),0),"A")</f>
        <v>A</v>
      </c>
      <c r="O111" s="234" t="str">
        <f>IFERROR(IF($A111=1,I111-VLOOKUP($B111,INPUT!$C$7:$J$6985,O$4,0),0),"A")</f>
        <v>A</v>
      </c>
      <c r="P111" s="235">
        <f t="shared" si="18"/>
        <v>0</v>
      </c>
    </row>
    <row r="112" spans="1:16" x14ac:dyDescent="0.45">
      <c r="A112" s="216">
        <f t="shared" si="17"/>
        <v>1</v>
      </c>
      <c r="B112" s="217">
        <v>419</v>
      </c>
      <c r="C112" s="218" t="s">
        <v>126</v>
      </c>
      <c r="D112" s="227">
        <f>SUMIFS(INPUT!E$7:E$6985,INPUT!$C$7:$C$6985,$B112)</f>
        <v>0</v>
      </c>
      <c r="E112" s="227">
        <f>SUMIFS(INPUT!F$7:F$6985,INPUT!$C$7:$C$6985,$B112)</f>
        <v>0</v>
      </c>
      <c r="F112" s="227">
        <f>SUMIFS(INPUT!G$7:G$6985,INPUT!$C$7:$C$6985,$B112)</f>
        <v>0</v>
      </c>
      <c r="G112" s="227">
        <f>SUMIFS(INPUT!H$7:H$6985,INPUT!$C$7:$C$6985,$B112)</f>
        <v>0</v>
      </c>
      <c r="H112" s="227">
        <f>SUMIFS(INPUT!I$7:I$6985,INPUT!$C$7:$C$6985,$B112)</f>
        <v>0</v>
      </c>
      <c r="I112" s="227">
        <f>SUMIFS(INPUT!J$7:J$6985,INPUT!$C$7:$C$6985,$B112)</f>
        <v>0</v>
      </c>
      <c r="J112" s="234" t="str">
        <f>IFERROR(IF($A112=1,D112-VLOOKUP($B112,INPUT!$C$7:$J$6985,J$4,0),0),"A")</f>
        <v>A</v>
      </c>
      <c r="K112" s="234" t="str">
        <f>IFERROR(IF($A112=1,E112-VLOOKUP($B112,INPUT!$C$7:$J$6985,K$4,0),0),"A")</f>
        <v>A</v>
      </c>
      <c r="L112" s="234" t="str">
        <f>IFERROR(IF($A112=1,F112-VLOOKUP($B112,INPUT!$C$7:$J$6985,L$4,0),0),"A")</f>
        <v>A</v>
      </c>
      <c r="M112" s="234" t="str">
        <f>IFERROR(IF($A112=1,G112-VLOOKUP($B112,INPUT!$C$7:$J$6985,M$4,0),0),"A")</f>
        <v>A</v>
      </c>
      <c r="N112" s="234" t="str">
        <f>IFERROR(IF($A112=1,H112-VLOOKUP($B112,INPUT!$C$7:$J$6985,N$4,0),0),"A")</f>
        <v>A</v>
      </c>
      <c r="O112" s="234" t="str">
        <f>IFERROR(IF($A112=1,I112-VLOOKUP($B112,INPUT!$C$7:$J$6985,O$4,0),0),"A")</f>
        <v>A</v>
      </c>
      <c r="P112" s="235">
        <f t="shared" si="18"/>
        <v>0</v>
      </c>
    </row>
    <row r="113" spans="1:16" x14ac:dyDescent="0.45">
      <c r="A113" s="216">
        <f t="shared" si="17"/>
        <v>1</v>
      </c>
      <c r="B113" s="217">
        <v>421</v>
      </c>
      <c r="C113" s="218" t="s">
        <v>128</v>
      </c>
      <c r="D113" s="227">
        <f>SUM(D114:D115)</f>
        <v>0</v>
      </c>
      <c r="E113" s="227">
        <f t="shared" ref="E113:I113" si="26">SUM(E114:E115)</f>
        <v>0</v>
      </c>
      <c r="F113" s="227">
        <f t="shared" si="26"/>
        <v>0</v>
      </c>
      <c r="G113" s="227">
        <f t="shared" si="26"/>
        <v>0</v>
      </c>
      <c r="H113" s="227">
        <f t="shared" si="26"/>
        <v>0</v>
      </c>
      <c r="I113" s="227">
        <f t="shared" si="26"/>
        <v>0</v>
      </c>
      <c r="J113" s="234" t="str">
        <f>IFERROR(IF($A113=1,D113-VLOOKUP($B113,INPUT!$C$7:$J$6985,J$4,0),0),"A")</f>
        <v>A</v>
      </c>
      <c r="K113" s="234" t="str">
        <f>IFERROR(IF($A113=1,E113-VLOOKUP($B113,INPUT!$C$7:$J$6985,K$4,0),0),"A")</f>
        <v>A</v>
      </c>
      <c r="L113" s="234" t="str">
        <f>IFERROR(IF($A113=1,F113-VLOOKUP($B113,INPUT!$C$7:$J$6985,L$4,0),0),"A")</f>
        <v>A</v>
      </c>
      <c r="M113" s="234" t="str">
        <f>IFERROR(IF($A113=1,G113-VLOOKUP($B113,INPUT!$C$7:$J$6985,M$4,0),0),"A")</f>
        <v>A</v>
      </c>
      <c r="N113" s="234" t="str">
        <f>IFERROR(IF($A113=1,H113-VLOOKUP($B113,INPUT!$C$7:$J$6985,N$4,0),0),"A")</f>
        <v>A</v>
      </c>
      <c r="O113" s="234" t="str">
        <f>IFERROR(IF($A113=1,I113-VLOOKUP($B113,INPUT!$C$7:$J$6985,O$4,0),0),"A")</f>
        <v>A</v>
      </c>
      <c r="P113" s="235">
        <f t="shared" si="18"/>
        <v>0</v>
      </c>
    </row>
    <row r="114" spans="1:16" x14ac:dyDescent="0.45">
      <c r="A114" s="207">
        <f t="shared" si="17"/>
        <v>2</v>
      </c>
      <c r="B114" s="213">
        <v>4211</v>
      </c>
      <c r="C114" s="164" t="s">
        <v>129</v>
      </c>
      <c r="D114" s="228">
        <f>SUMIFS(INPUT!E$7:E$6985,INPUT!$C$7:$C$6985,$B114)</f>
        <v>0</v>
      </c>
      <c r="E114" s="228">
        <f>SUMIFS(INPUT!F$7:F$6985,INPUT!$C$7:$C$6985,$B114)</f>
        <v>0</v>
      </c>
      <c r="F114" s="228">
        <f>SUMIFS(INPUT!G$7:G$6985,INPUT!$C$7:$C$6985,$B114)</f>
        <v>0</v>
      </c>
      <c r="G114" s="228">
        <f>SUMIFS(INPUT!H$7:H$6985,INPUT!$C$7:$C$6985,$B114)</f>
        <v>0</v>
      </c>
      <c r="H114" s="228">
        <f>SUMIFS(INPUT!I$7:I$6985,INPUT!$C$7:$C$6985,$B114)</f>
        <v>0</v>
      </c>
      <c r="I114" s="228">
        <f>SUMIFS(INPUT!J$7:J$6985,INPUT!$C$7:$C$6985,$B114)</f>
        <v>0</v>
      </c>
      <c r="J114" s="234">
        <f>IFERROR(IF($A114=1,D114-VLOOKUP($B114,INPUT!$C$7:$J$6985,J$4,0),0),"A")</f>
        <v>0</v>
      </c>
      <c r="K114" s="234">
        <f>IFERROR(IF($A114=1,E114-VLOOKUP($B114,INPUT!$C$7:$J$6985,K$4,0),0),"A")</f>
        <v>0</v>
      </c>
      <c r="L114" s="234">
        <f>IFERROR(IF($A114=1,F114-VLOOKUP($B114,INPUT!$C$7:$J$6985,L$4,0),0),"A")</f>
        <v>0</v>
      </c>
      <c r="M114" s="234">
        <f>IFERROR(IF($A114=1,G114-VLOOKUP($B114,INPUT!$C$7:$J$6985,M$4,0),0),"A")</f>
        <v>0</v>
      </c>
      <c r="N114" s="234">
        <f>IFERROR(IF($A114=1,H114-VLOOKUP($B114,INPUT!$C$7:$J$6985,N$4,0),0),"A")</f>
        <v>0</v>
      </c>
      <c r="O114" s="234">
        <f>IFERROR(IF($A114=1,I114-VLOOKUP($B114,INPUT!$C$7:$J$6985,O$4,0),0),"A")</f>
        <v>0</v>
      </c>
      <c r="P114" s="235">
        <f t="shared" si="18"/>
        <v>0</v>
      </c>
    </row>
    <row r="115" spans="1:16" x14ac:dyDescent="0.45">
      <c r="A115" s="207">
        <f t="shared" si="17"/>
        <v>2</v>
      </c>
      <c r="B115" s="213">
        <v>4212</v>
      </c>
      <c r="C115" s="164" t="s">
        <v>130</v>
      </c>
      <c r="D115" s="228">
        <f>SUMIFS(INPUT!E$7:E$6985,INPUT!$C$7:$C$6985,$B115)</f>
        <v>0</v>
      </c>
      <c r="E115" s="228">
        <f>SUMIFS(INPUT!F$7:F$6985,INPUT!$C$7:$C$6985,$B115)</f>
        <v>0</v>
      </c>
      <c r="F115" s="228">
        <f>SUMIFS(INPUT!G$7:G$6985,INPUT!$C$7:$C$6985,$B115)</f>
        <v>0</v>
      </c>
      <c r="G115" s="228">
        <f>SUMIFS(INPUT!H$7:H$6985,INPUT!$C$7:$C$6985,$B115)</f>
        <v>0</v>
      </c>
      <c r="H115" s="228">
        <f>SUMIFS(INPUT!I$7:I$6985,INPUT!$C$7:$C$6985,$B115)</f>
        <v>0</v>
      </c>
      <c r="I115" s="228">
        <f>SUMIFS(INPUT!J$7:J$6985,INPUT!$C$7:$C$6985,$B115)</f>
        <v>0</v>
      </c>
      <c r="J115" s="234">
        <f>IFERROR(IF($A115=1,D115-VLOOKUP($B115,INPUT!$C$7:$J$6985,J$4,0),0),"A")</f>
        <v>0</v>
      </c>
      <c r="K115" s="234">
        <f>IFERROR(IF($A115=1,E115-VLOOKUP($B115,INPUT!$C$7:$J$6985,K$4,0),0),"A")</f>
        <v>0</v>
      </c>
      <c r="L115" s="234">
        <f>IFERROR(IF($A115=1,F115-VLOOKUP($B115,INPUT!$C$7:$J$6985,L$4,0),0),"A")</f>
        <v>0</v>
      </c>
      <c r="M115" s="234">
        <f>IFERROR(IF($A115=1,G115-VLOOKUP($B115,INPUT!$C$7:$J$6985,M$4,0),0),"A")</f>
        <v>0</v>
      </c>
      <c r="N115" s="234">
        <f>IFERROR(IF($A115=1,H115-VLOOKUP($B115,INPUT!$C$7:$J$6985,N$4,0),0),"A")</f>
        <v>0</v>
      </c>
      <c r="O115" s="234">
        <f>IFERROR(IF($A115=1,I115-VLOOKUP($B115,INPUT!$C$7:$J$6985,O$4,0),0),"A")</f>
        <v>0</v>
      </c>
      <c r="P115" s="235">
        <f t="shared" si="18"/>
        <v>0</v>
      </c>
    </row>
    <row r="116" spans="1:16" x14ac:dyDescent="0.45">
      <c r="A116" s="216">
        <f t="shared" si="17"/>
        <v>1</v>
      </c>
      <c r="B116" s="217">
        <v>511</v>
      </c>
      <c r="C116" s="218" t="s">
        <v>132</v>
      </c>
      <c r="D116" s="227">
        <f>SUM(D117:D120)</f>
        <v>0</v>
      </c>
      <c r="E116" s="227">
        <f t="shared" ref="E116:I116" si="27">SUM(E117:E120)</f>
        <v>0</v>
      </c>
      <c r="F116" s="227">
        <f t="shared" si="27"/>
        <v>0</v>
      </c>
      <c r="G116" s="227">
        <f t="shared" si="27"/>
        <v>0</v>
      </c>
      <c r="H116" s="227">
        <f t="shared" si="27"/>
        <v>0</v>
      </c>
      <c r="I116" s="227">
        <f t="shared" si="27"/>
        <v>0</v>
      </c>
      <c r="J116" s="234" t="str">
        <f>IFERROR(IF($A116=1,D116-VLOOKUP($B116,INPUT!$C$7:$J$6985,J$4,0),0),"A")</f>
        <v>A</v>
      </c>
      <c r="K116" s="234" t="str">
        <f>IFERROR(IF($A116=1,E116-VLOOKUP($B116,INPUT!$C$7:$J$6985,K$4,0),0),"A")</f>
        <v>A</v>
      </c>
      <c r="L116" s="234" t="str">
        <f>IFERROR(IF($A116=1,F116-VLOOKUP($B116,INPUT!$C$7:$J$6985,L$4,0),0),"A")</f>
        <v>A</v>
      </c>
      <c r="M116" s="234" t="str">
        <f>IFERROR(IF($A116=1,G116-VLOOKUP($B116,INPUT!$C$7:$J$6985,M$4,0),0),"A")</f>
        <v>A</v>
      </c>
      <c r="N116" s="234" t="str">
        <f>IFERROR(IF($A116=1,H116-VLOOKUP($B116,INPUT!$C$7:$J$6985,N$4,0),0),"A")</f>
        <v>A</v>
      </c>
      <c r="O116" s="234" t="str">
        <f>IFERROR(IF($A116=1,I116-VLOOKUP($B116,INPUT!$C$7:$J$6985,O$4,0),0),"A")</f>
        <v>A</v>
      </c>
      <c r="P116" s="235">
        <f t="shared" si="18"/>
        <v>0</v>
      </c>
    </row>
    <row r="117" spans="1:16" x14ac:dyDescent="0.45">
      <c r="A117" s="207">
        <f t="shared" si="17"/>
        <v>2</v>
      </c>
      <c r="B117" s="213">
        <v>5111</v>
      </c>
      <c r="C117" s="164" t="s">
        <v>133</v>
      </c>
      <c r="D117" s="228">
        <f>SUMIFS(INPUT!E$7:E$6985,INPUT!$C$7:$C$6985,$B117)</f>
        <v>0</v>
      </c>
      <c r="E117" s="228">
        <f>SUMIFS(INPUT!F$7:F$6985,INPUT!$C$7:$C$6985,$B117)</f>
        <v>0</v>
      </c>
      <c r="F117" s="228">
        <f>SUMIFS(INPUT!G$7:G$6985,INPUT!$C$7:$C$6985,$B117)</f>
        <v>0</v>
      </c>
      <c r="G117" s="228">
        <f>SUMIFS(INPUT!H$7:H$6985,INPUT!$C$7:$C$6985,$B117)</f>
        <v>0</v>
      </c>
      <c r="H117" s="228">
        <f>SUMIFS(INPUT!I$7:I$6985,INPUT!$C$7:$C$6985,$B117)</f>
        <v>0</v>
      </c>
      <c r="I117" s="228">
        <f>SUMIFS(INPUT!J$7:J$6985,INPUT!$C$7:$C$6985,$B117)</f>
        <v>0</v>
      </c>
      <c r="J117" s="234">
        <f>IFERROR(IF($A117=1,D117-VLOOKUP($B117,INPUT!$C$7:$J$6985,J$4,0),0),"A")</f>
        <v>0</v>
      </c>
      <c r="K117" s="234">
        <f>IFERROR(IF($A117=1,E117-VLOOKUP($B117,INPUT!$C$7:$J$6985,K$4,0),0),"A")</f>
        <v>0</v>
      </c>
      <c r="L117" s="234">
        <f>IFERROR(IF($A117=1,F117-VLOOKUP($B117,INPUT!$C$7:$J$6985,L$4,0),0),"A")</f>
        <v>0</v>
      </c>
      <c r="M117" s="234">
        <f>IFERROR(IF($A117=1,G117-VLOOKUP($B117,INPUT!$C$7:$J$6985,M$4,0),0),"A")</f>
        <v>0</v>
      </c>
      <c r="N117" s="234">
        <f>IFERROR(IF($A117=1,H117-VLOOKUP($B117,INPUT!$C$7:$J$6985,N$4,0),0),"A")</f>
        <v>0</v>
      </c>
      <c r="O117" s="234">
        <f>IFERROR(IF($A117=1,I117-VLOOKUP($B117,INPUT!$C$7:$J$6985,O$4,0),0),"A")</f>
        <v>0</v>
      </c>
      <c r="P117" s="235">
        <f t="shared" si="18"/>
        <v>0</v>
      </c>
    </row>
    <row r="118" spans="1:16" x14ac:dyDescent="0.45">
      <c r="A118" s="207">
        <f t="shared" si="17"/>
        <v>2</v>
      </c>
      <c r="B118" s="213">
        <v>5112</v>
      </c>
      <c r="C118" s="164" t="s">
        <v>134</v>
      </c>
      <c r="D118" s="228">
        <f>SUMIFS(INPUT!E$7:E$6985,INPUT!$C$7:$C$6985,$B118)</f>
        <v>0</v>
      </c>
      <c r="E118" s="228">
        <f>SUMIFS(INPUT!F$7:F$6985,INPUT!$C$7:$C$6985,$B118)</f>
        <v>0</v>
      </c>
      <c r="F118" s="228">
        <f>SUMIFS(INPUT!G$7:G$6985,INPUT!$C$7:$C$6985,$B118)</f>
        <v>0</v>
      </c>
      <c r="G118" s="228">
        <f>SUMIFS(INPUT!H$7:H$6985,INPUT!$C$7:$C$6985,$B118)</f>
        <v>0</v>
      </c>
      <c r="H118" s="228">
        <f>SUMIFS(INPUT!I$7:I$6985,INPUT!$C$7:$C$6985,$B118)</f>
        <v>0</v>
      </c>
      <c r="I118" s="228">
        <f>SUMIFS(INPUT!J$7:J$6985,INPUT!$C$7:$C$6985,$B118)</f>
        <v>0</v>
      </c>
      <c r="J118" s="234">
        <f>IFERROR(IF($A118=1,D118-VLOOKUP($B118,INPUT!$C$7:$J$6985,J$4,0),0),"A")</f>
        <v>0</v>
      </c>
      <c r="K118" s="234">
        <f>IFERROR(IF($A118=1,E118-VLOOKUP($B118,INPUT!$C$7:$J$6985,K$4,0),0),"A")</f>
        <v>0</v>
      </c>
      <c r="L118" s="234">
        <f>IFERROR(IF($A118=1,F118-VLOOKUP($B118,INPUT!$C$7:$J$6985,L$4,0),0),"A")</f>
        <v>0</v>
      </c>
      <c r="M118" s="234">
        <f>IFERROR(IF($A118=1,G118-VLOOKUP($B118,INPUT!$C$7:$J$6985,M$4,0),0),"A")</f>
        <v>0</v>
      </c>
      <c r="N118" s="234">
        <f>IFERROR(IF($A118=1,H118-VLOOKUP($B118,INPUT!$C$7:$J$6985,N$4,0),0),"A")</f>
        <v>0</v>
      </c>
      <c r="O118" s="234">
        <f>IFERROR(IF($A118=1,I118-VLOOKUP($B118,INPUT!$C$7:$J$6985,O$4,0),0),"A")</f>
        <v>0</v>
      </c>
      <c r="P118" s="235">
        <f t="shared" si="18"/>
        <v>0</v>
      </c>
    </row>
    <row r="119" spans="1:16" x14ac:dyDescent="0.45">
      <c r="A119" s="207">
        <f t="shared" si="17"/>
        <v>2</v>
      </c>
      <c r="B119" s="213">
        <v>5113</v>
      </c>
      <c r="C119" s="164" t="s">
        <v>135</v>
      </c>
      <c r="D119" s="228">
        <f>SUMIFS(INPUT!E$7:E$6985,INPUT!$C$7:$C$6985,$B119)</f>
        <v>0</v>
      </c>
      <c r="E119" s="228">
        <f>SUMIFS(INPUT!F$7:F$6985,INPUT!$C$7:$C$6985,$B119)</f>
        <v>0</v>
      </c>
      <c r="F119" s="228">
        <f>SUMIFS(INPUT!G$7:G$6985,INPUT!$C$7:$C$6985,$B119)</f>
        <v>0</v>
      </c>
      <c r="G119" s="228">
        <f>SUMIFS(INPUT!H$7:H$6985,INPUT!$C$7:$C$6985,$B119)</f>
        <v>0</v>
      </c>
      <c r="H119" s="228">
        <f>SUMIFS(INPUT!I$7:I$6985,INPUT!$C$7:$C$6985,$B119)</f>
        <v>0</v>
      </c>
      <c r="I119" s="228">
        <f>SUMIFS(INPUT!J$7:J$6985,INPUT!$C$7:$C$6985,$B119)</f>
        <v>0</v>
      </c>
      <c r="J119" s="234">
        <f>IFERROR(IF($A119=1,D119-VLOOKUP($B119,INPUT!$C$7:$J$6985,J$4,0),0),"A")</f>
        <v>0</v>
      </c>
      <c r="K119" s="234">
        <f>IFERROR(IF($A119=1,E119-VLOOKUP($B119,INPUT!$C$7:$J$6985,K$4,0),0),"A")</f>
        <v>0</v>
      </c>
      <c r="L119" s="234">
        <f>IFERROR(IF($A119=1,F119-VLOOKUP($B119,INPUT!$C$7:$J$6985,L$4,0),0),"A")</f>
        <v>0</v>
      </c>
      <c r="M119" s="234">
        <f>IFERROR(IF($A119=1,G119-VLOOKUP($B119,INPUT!$C$7:$J$6985,M$4,0),0),"A")</f>
        <v>0</v>
      </c>
      <c r="N119" s="234">
        <f>IFERROR(IF($A119=1,H119-VLOOKUP($B119,INPUT!$C$7:$J$6985,N$4,0),0),"A")</f>
        <v>0</v>
      </c>
      <c r="O119" s="234">
        <f>IFERROR(IF($A119=1,I119-VLOOKUP($B119,INPUT!$C$7:$J$6985,O$4,0),0),"A")</f>
        <v>0</v>
      </c>
      <c r="P119" s="235">
        <f t="shared" si="18"/>
        <v>0</v>
      </c>
    </row>
    <row r="120" spans="1:16" x14ac:dyDescent="0.45">
      <c r="A120" s="207">
        <f t="shared" si="17"/>
        <v>2</v>
      </c>
      <c r="B120" s="213">
        <v>5118</v>
      </c>
      <c r="C120" s="164" t="s">
        <v>136</v>
      </c>
      <c r="D120" s="228">
        <f>SUMIFS(INPUT!E$7:E$6985,INPUT!$C$7:$C$6985,$B120)</f>
        <v>0</v>
      </c>
      <c r="E120" s="228">
        <f>SUMIFS(INPUT!F$7:F$6985,INPUT!$C$7:$C$6985,$B120)</f>
        <v>0</v>
      </c>
      <c r="F120" s="228">
        <f>SUMIFS(INPUT!G$7:G$6985,INPUT!$C$7:$C$6985,$B120)</f>
        <v>0</v>
      </c>
      <c r="G120" s="228">
        <f>SUMIFS(INPUT!H$7:H$6985,INPUT!$C$7:$C$6985,$B120)</f>
        <v>0</v>
      </c>
      <c r="H120" s="228">
        <f>SUMIFS(INPUT!I$7:I$6985,INPUT!$C$7:$C$6985,$B120)</f>
        <v>0</v>
      </c>
      <c r="I120" s="228">
        <f>SUMIFS(INPUT!J$7:J$6985,INPUT!$C$7:$C$6985,$B120)</f>
        <v>0</v>
      </c>
      <c r="J120" s="234">
        <f>IFERROR(IF($A120=1,D120-VLOOKUP($B120,INPUT!$C$7:$J$6985,J$4,0),0),"A")</f>
        <v>0</v>
      </c>
      <c r="K120" s="234">
        <f>IFERROR(IF($A120=1,E120-VLOOKUP($B120,INPUT!$C$7:$J$6985,K$4,0),0),"A")</f>
        <v>0</v>
      </c>
      <c r="L120" s="234">
        <f>IFERROR(IF($A120=1,F120-VLOOKUP($B120,INPUT!$C$7:$J$6985,L$4,0),0),"A")</f>
        <v>0</v>
      </c>
      <c r="M120" s="234">
        <f>IFERROR(IF($A120=1,G120-VLOOKUP($B120,INPUT!$C$7:$J$6985,M$4,0),0),"A")</f>
        <v>0</v>
      </c>
      <c r="N120" s="234">
        <f>IFERROR(IF($A120=1,H120-VLOOKUP($B120,INPUT!$C$7:$J$6985,N$4,0),0),"A")</f>
        <v>0</v>
      </c>
      <c r="O120" s="234">
        <f>IFERROR(IF($A120=1,I120-VLOOKUP($B120,INPUT!$C$7:$J$6985,O$4,0),0),"A")</f>
        <v>0</v>
      </c>
      <c r="P120" s="235">
        <f t="shared" si="18"/>
        <v>0</v>
      </c>
    </row>
    <row r="121" spans="1:16" x14ac:dyDescent="0.45">
      <c r="A121" s="216">
        <f t="shared" si="17"/>
        <v>1</v>
      </c>
      <c r="B121" s="217">
        <v>515</v>
      </c>
      <c r="C121" s="218" t="s">
        <v>138</v>
      </c>
      <c r="D121" s="227">
        <f>SUMIFS(INPUT!E$7:E$6985,INPUT!$C$7:$C$6985,$B121)</f>
        <v>0</v>
      </c>
      <c r="E121" s="227">
        <f>SUMIFS(INPUT!F$7:F$6985,INPUT!$C$7:$C$6985,$B121)</f>
        <v>0</v>
      </c>
      <c r="F121" s="227">
        <f>SUMIFS(INPUT!G$7:G$6985,INPUT!$C$7:$C$6985,$B121)</f>
        <v>0</v>
      </c>
      <c r="G121" s="227">
        <f>SUMIFS(INPUT!H$7:H$6985,INPUT!$C$7:$C$6985,$B121)</f>
        <v>0</v>
      </c>
      <c r="H121" s="227">
        <f>SUMIFS(INPUT!I$7:I$6985,INPUT!$C$7:$C$6985,$B121)</f>
        <v>0</v>
      </c>
      <c r="I121" s="227">
        <f>SUMIFS(INPUT!J$7:J$6985,INPUT!$C$7:$C$6985,$B121)</f>
        <v>0</v>
      </c>
      <c r="J121" s="234" t="str">
        <f>IFERROR(IF($A121=1,D121-VLOOKUP($B121,INPUT!$C$7:$J$6985,J$4,0),0),"A")</f>
        <v>A</v>
      </c>
      <c r="K121" s="234" t="str">
        <f>IFERROR(IF($A121=1,E121-VLOOKUP($B121,INPUT!$C$7:$J$6985,K$4,0),0),"A")</f>
        <v>A</v>
      </c>
      <c r="L121" s="234" t="str">
        <f>IFERROR(IF($A121=1,F121-VLOOKUP($B121,INPUT!$C$7:$J$6985,L$4,0),0),"A")</f>
        <v>A</v>
      </c>
      <c r="M121" s="234" t="str">
        <f>IFERROR(IF($A121=1,G121-VLOOKUP($B121,INPUT!$C$7:$J$6985,M$4,0),0),"A")</f>
        <v>A</v>
      </c>
      <c r="N121" s="234" t="str">
        <f>IFERROR(IF($A121=1,H121-VLOOKUP($B121,INPUT!$C$7:$J$6985,N$4,0),0),"A")</f>
        <v>A</v>
      </c>
      <c r="O121" s="234" t="str">
        <f>IFERROR(IF($A121=1,I121-VLOOKUP($B121,INPUT!$C$7:$J$6985,O$4,0),0),"A")</f>
        <v>A</v>
      </c>
      <c r="P121" s="235">
        <f t="shared" si="18"/>
        <v>0</v>
      </c>
    </row>
    <row r="122" spans="1:16" x14ac:dyDescent="0.45">
      <c r="A122" s="216">
        <f t="shared" si="17"/>
        <v>1</v>
      </c>
      <c r="B122" s="217">
        <v>611</v>
      </c>
      <c r="C122" s="218" t="s">
        <v>139</v>
      </c>
      <c r="D122" s="227">
        <f>SUMIFS(INPUT!E$7:E$6985,INPUT!$C$7:$C$6985,$B122)</f>
        <v>0</v>
      </c>
      <c r="E122" s="227">
        <f>SUMIFS(INPUT!F$7:F$6985,INPUT!$C$7:$C$6985,$B122)</f>
        <v>0</v>
      </c>
      <c r="F122" s="227">
        <f>SUMIFS(INPUT!G$7:G$6985,INPUT!$C$7:$C$6985,$B122)</f>
        <v>0</v>
      </c>
      <c r="G122" s="227">
        <f>SUMIFS(INPUT!H$7:H$6985,INPUT!$C$7:$C$6985,$B122)</f>
        <v>0</v>
      </c>
      <c r="H122" s="227">
        <f>SUMIFS(INPUT!I$7:I$6985,INPUT!$C$7:$C$6985,$B122)</f>
        <v>0</v>
      </c>
      <c r="I122" s="227">
        <f>SUMIFS(INPUT!J$7:J$6985,INPUT!$C$7:$C$6985,$B122)</f>
        <v>0</v>
      </c>
      <c r="J122" s="234" t="str">
        <f>IFERROR(IF($A122=1,D122-VLOOKUP($B122,INPUT!$C$7:$J$6985,J$4,0),0),"A")</f>
        <v>A</v>
      </c>
      <c r="K122" s="234" t="str">
        <f>IFERROR(IF($A122=1,E122-VLOOKUP($B122,INPUT!$C$7:$J$6985,K$4,0),0),"A")</f>
        <v>A</v>
      </c>
      <c r="L122" s="234" t="str">
        <f>IFERROR(IF($A122=1,F122-VLOOKUP($B122,INPUT!$C$7:$J$6985,L$4,0),0),"A")</f>
        <v>A</v>
      </c>
      <c r="M122" s="234" t="str">
        <f>IFERROR(IF($A122=1,G122-VLOOKUP($B122,INPUT!$C$7:$J$6985,M$4,0),0),"A")</f>
        <v>A</v>
      </c>
      <c r="N122" s="234" t="str">
        <f>IFERROR(IF($A122=1,H122-VLOOKUP($B122,INPUT!$C$7:$J$6985,N$4,0),0),"A")</f>
        <v>A</v>
      </c>
      <c r="O122" s="234" t="str">
        <f>IFERROR(IF($A122=1,I122-VLOOKUP($B122,INPUT!$C$7:$J$6985,O$4,0),0),"A")</f>
        <v>A</v>
      </c>
      <c r="P122" s="235">
        <f t="shared" si="18"/>
        <v>0</v>
      </c>
    </row>
    <row r="123" spans="1:16" x14ac:dyDescent="0.45">
      <c r="A123" s="216">
        <f t="shared" si="17"/>
        <v>1</v>
      </c>
      <c r="B123" s="217">
        <v>631</v>
      </c>
      <c r="C123" s="218" t="s">
        <v>140</v>
      </c>
      <c r="D123" s="227">
        <f>SUMIFS(INPUT!E$7:E$6985,INPUT!$C$7:$C$6985,$B123)</f>
        <v>0</v>
      </c>
      <c r="E123" s="227">
        <f>SUMIFS(INPUT!F$7:F$6985,INPUT!$C$7:$C$6985,$B123)</f>
        <v>0</v>
      </c>
      <c r="F123" s="227">
        <f>SUMIFS(INPUT!G$7:G$6985,INPUT!$C$7:$C$6985,$B123)</f>
        <v>0</v>
      </c>
      <c r="G123" s="227">
        <f>SUMIFS(INPUT!H$7:H$6985,INPUT!$C$7:$C$6985,$B123)</f>
        <v>0</v>
      </c>
      <c r="H123" s="227">
        <f>SUMIFS(INPUT!I$7:I$6985,INPUT!$C$7:$C$6985,$B123)</f>
        <v>0</v>
      </c>
      <c r="I123" s="227">
        <f>SUMIFS(INPUT!J$7:J$6985,INPUT!$C$7:$C$6985,$B123)</f>
        <v>0</v>
      </c>
      <c r="J123" s="234" t="str">
        <f>IFERROR(IF($A123=1,D123-VLOOKUP($B123,INPUT!$C$7:$J$6985,J$4,0),0),"A")</f>
        <v>A</v>
      </c>
      <c r="K123" s="234" t="str">
        <f>IFERROR(IF($A123=1,E123-VLOOKUP($B123,INPUT!$C$7:$J$6985,K$4,0),0),"A")</f>
        <v>A</v>
      </c>
      <c r="L123" s="234" t="str">
        <f>IFERROR(IF($A123=1,F123-VLOOKUP($B123,INPUT!$C$7:$J$6985,L$4,0),0),"A")</f>
        <v>A</v>
      </c>
      <c r="M123" s="234" t="str">
        <f>IFERROR(IF($A123=1,G123-VLOOKUP($B123,INPUT!$C$7:$J$6985,M$4,0),0),"A")</f>
        <v>A</v>
      </c>
      <c r="N123" s="234" t="str">
        <f>IFERROR(IF($A123=1,H123-VLOOKUP($B123,INPUT!$C$7:$J$6985,N$4,0),0),"A")</f>
        <v>A</v>
      </c>
      <c r="O123" s="234" t="str">
        <f>IFERROR(IF($A123=1,I123-VLOOKUP($B123,INPUT!$C$7:$J$6985,O$4,0),0),"A")</f>
        <v>A</v>
      </c>
      <c r="P123" s="235">
        <f t="shared" si="18"/>
        <v>0</v>
      </c>
    </row>
    <row r="124" spans="1:16" x14ac:dyDescent="0.45">
      <c r="A124" s="216">
        <f t="shared" si="17"/>
        <v>1</v>
      </c>
      <c r="B124" s="217">
        <v>632</v>
      </c>
      <c r="C124" s="218" t="s">
        <v>142</v>
      </c>
      <c r="D124" s="227">
        <f>SUMIFS(INPUT!E$7:E$6985,INPUT!$C$7:$C$6985,$B124)</f>
        <v>0</v>
      </c>
      <c r="E124" s="227">
        <f>SUMIFS(INPUT!F$7:F$6985,INPUT!$C$7:$C$6985,$B124)</f>
        <v>0</v>
      </c>
      <c r="F124" s="227">
        <f>SUMIFS(INPUT!G$7:G$6985,INPUT!$C$7:$C$6985,$B124)</f>
        <v>0</v>
      </c>
      <c r="G124" s="227">
        <f>SUMIFS(INPUT!H$7:H$6985,INPUT!$C$7:$C$6985,$B124)</f>
        <v>0</v>
      </c>
      <c r="H124" s="227">
        <f>SUMIFS(INPUT!I$7:I$6985,INPUT!$C$7:$C$6985,$B124)</f>
        <v>0</v>
      </c>
      <c r="I124" s="227">
        <f>SUMIFS(INPUT!J$7:J$6985,INPUT!$C$7:$C$6985,$B124)</f>
        <v>0</v>
      </c>
      <c r="J124" s="234" t="str">
        <f>IFERROR(IF($A124=1,D124-VLOOKUP($B124,INPUT!$C$7:$J$6985,J$4,0),0),"A")</f>
        <v>A</v>
      </c>
      <c r="K124" s="234" t="str">
        <f>IFERROR(IF($A124=1,E124-VLOOKUP($B124,INPUT!$C$7:$J$6985,K$4,0),0),"A")</f>
        <v>A</v>
      </c>
      <c r="L124" s="234" t="str">
        <f>IFERROR(IF($A124=1,F124-VLOOKUP($B124,INPUT!$C$7:$J$6985,L$4,0),0),"A")</f>
        <v>A</v>
      </c>
      <c r="M124" s="234" t="str">
        <f>IFERROR(IF($A124=1,G124-VLOOKUP($B124,INPUT!$C$7:$J$6985,M$4,0),0),"A")</f>
        <v>A</v>
      </c>
      <c r="N124" s="234" t="str">
        <f>IFERROR(IF($A124=1,H124-VLOOKUP($B124,INPUT!$C$7:$J$6985,N$4,0),0),"A")</f>
        <v>A</v>
      </c>
      <c r="O124" s="234" t="str">
        <f>IFERROR(IF($A124=1,I124-VLOOKUP($B124,INPUT!$C$7:$J$6985,O$4,0),0),"A")</f>
        <v>A</v>
      </c>
      <c r="P124" s="235">
        <f t="shared" si="18"/>
        <v>0</v>
      </c>
    </row>
    <row r="125" spans="1:16" x14ac:dyDescent="0.45">
      <c r="A125" s="216">
        <f t="shared" si="17"/>
        <v>1</v>
      </c>
      <c r="B125" s="217">
        <v>635</v>
      </c>
      <c r="C125" s="218" t="s">
        <v>144</v>
      </c>
      <c r="D125" s="227">
        <f>SUMIFS(INPUT!E$7:E$6985,INPUT!$C$7:$C$6985,$B125)</f>
        <v>0</v>
      </c>
      <c r="E125" s="227">
        <f>SUMIFS(INPUT!F$7:F$6985,INPUT!$C$7:$C$6985,$B125)</f>
        <v>0</v>
      </c>
      <c r="F125" s="227">
        <f>SUMIFS(INPUT!G$7:G$6985,INPUT!$C$7:$C$6985,$B125)</f>
        <v>0</v>
      </c>
      <c r="G125" s="227">
        <f>SUMIFS(INPUT!H$7:H$6985,INPUT!$C$7:$C$6985,$B125)</f>
        <v>0</v>
      </c>
      <c r="H125" s="227">
        <f>SUMIFS(INPUT!I$7:I$6985,INPUT!$C$7:$C$6985,$B125)</f>
        <v>0</v>
      </c>
      <c r="I125" s="227">
        <f>SUMIFS(INPUT!J$7:J$6985,INPUT!$C$7:$C$6985,$B125)</f>
        <v>0</v>
      </c>
      <c r="J125" s="234" t="str">
        <f>IFERROR(IF($A125=1,D125-VLOOKUP($B125,INPUT!$C$7:$J$6985,J$4,0),0),"A")</f>
        <v>A</v>
      </c>
      <c r="K125" s="234" t="str">
        <f>IFERROR(IF($A125=1,E125-VLOOKUP($B125,INPUT!$C$7:$J$6985,K$4,0),0),"A")</f>
        <v>A</v>
      </c>
      <c r="L125" s="234" t="str">
        <f>IFERROR(IF($A125=1,F125-VLOOKUP($B125,INPUT!$C$7:$J$6985,L$4,0),0),"A")</f>
        <v>A</v>
      </c>
      <c r="M125" s="234" t="str">
        <f>IFERROR(IF($A125=1,G125-VLOOKUP($B125,INPUT!$C$7:$J$6985,M$4,0),0),"A")</f>
        <v>A</v>
      </c>
      <c r="N125" s="234" t="str">
        <f>IFERROR(IF($A125=1,H125-VLOOKUP($B125,INPUT!$C$7:$J$6985,N$4,0),0),"A")</f>
        <v>A</v>
      </c>
      <c r="O125" s="234" t="str">
        <f>IFERROR(IF($A125=1,I125-VLOOKUP($B125,INPUT!$C$7:$J$6985,O$4,0),0),"A")</f>
        <v>A</v>
      </c>
      <c r="P125" s="235">
        <f t="shared" si="18"/>
        <v>0</v>
      </c>
    </row>
    <row r="126" spans="1:16" x14ac:dyDescent="0.45">
      <c r="A126" s="216">
        <f t="shared" si="17"/>
        <v>1</v>
      </c>
      <c r="B126" s="217">
        <v>642</v>
      </c>
      <c r="C126" s="218" t="s">
        <v>146</v>
      </c>
      <c r="D126" s="227">
        <f>SUM(D127:D128)</f>
        <v>0</v>
      </c>
      <c r="E126" s="227">
        <f t="shared" ref="E126:I126" si="28">SUM(E127:E128)</f>
        <v>0</v>
      </c>
      <c r="F126" s="227">
        <f t="shared" si="28"/>
        <v>0</v>
      </c>
      <c r="G126" s="227">
        <f t="shared" si="28"/>
        <v>0</v>
      </c>
      <c r="H126" s="227">
        <f t="shared" si="28"/>
        <v>0</v>
      </c>
      <c r="I126" s="227">
        <f t="shared" si="28"/>
        <v>0</v>
      </c>
      <c r="J126" s="234" t="str">
        <f>IFERROR(IF($A126=1,D126-VLOOKUP($B126,INPUT!$C$7:$J$6985,J$4,0),0),"A")</f>
        <v>A</v>
      </c>
      <c r="K126" s="234" t="str">
        <f>IFERROR(IF($A126=1,E126-VLOOKUP($B126,INPUT!$C$7:$J$6985,K$4,0),0),"A")</f>
        <v>A</v>
      </c>
      <c r="L126" s="234" t="str">
        <f>IFERROR(IF($A126=1,F126-VLOOKUP($B126,INPUT!$C$7:$J$6985,L$4,0),0),"A")</f>
        <v>A</v>
      </c>
      <c r="M126" s="234" t="str">
        <f>IFERROR(IF($A126=1,G126-VLOOKUP($B126,INPUT!$C$7:$J$6985,M$4,0),0),"A")</f>
        <v>A</v>
      </c>
      <c r="N126" s="234" t="str">
        <f>IFERROR(IF($A126=1,H126-VLOOKUP($B126,INPUT!$C$7:$J$6985,N$4,0),0),"A")</f>
        <v>A</v>
      </c>
      <c r="O126" s="234" t="str">
        <f>IFERROR(IF($A126=1,I126-VLOOKUP($B126,INPUT!$C$7:$J$6985,O$4,0),0),"A")</f>
        <v>A</v>
      </c>
      <c r="P126" s="235">
        <f t="shared" si="18"/>
        <v>0</v>
      </c>
    </row>
    <row r="127" spans="1:16" x14ac:dyDescent="0.45">
      <c r="A127" s="207">
        <f t="shared" si="17"/>
        <v>2</v>
      </c>
      <c r="B127" s="213">
        <v>6421</v>
      </c>
      <c r="C127" s="164" t="s">
        <v>147</v>
      </c>
      <c r="D127" s="228">
        <f>SUMIFS(INPUT!E$7:E$6985,INPUT!$C$7:$C$6985,$B127)</f>
        <v>0</v>
      </c>
      <c r="E127" s="228">
        <f>SUMIFS(INPUT!F$7:F$6985,INPUT!$C$7:$C$6985,$B127)</f>
        <v>0</v>
      </c>
      <c r="F127" s="228">
        <f>SUMIFS(INPUT!G$7:G$6985,INPUT!$C$7:$C$6985,$B127)</f>
        <v>0</v>
      </c>
      <c r="G127" s="228">
        <f>SUMIFS(INPUT!H$7:H$6985,INPUT!$C$7:$C$6985,$B127)</f>
        <v>0</v>
      </c>
      <c r="H127" s="228">
        <f>SUMIFS(INPUT!I$7:I$6985,INPUT!$C$7:$C$6985,$B127)</f>
        <v>0</v>
      </c>
      <c r="I127" s="228">
        <f>SUMIFS(INPUT!J$7:J$6985,INPUT!$C$7:$C$6985,$B127)</f>
        <v>0</v>
      </c>
      <c r="J127" s="234">
        <f>IFERROR(IF($A127=1,D127-VLOOKUP($B127,INPUT!$C$7:$J$6985,J$4,0),0),"A")</f>
        <v>0</v>
      </c>
      <c r="K127" s="234">
        <f>IFERROR(IF($A127=1,E127-VLOOKUP($B127,INPUT!$C$7:$J$6985,K$4,0),0),"A")</f>
        <v>0</v>
      </c>
      <c r="L127" s="234">
        <f>IFERROR(IF($A127=1,F127-VLOOKUP($B127,INPUT!$C$7:$J$6985,L$4,0),0),"A")</f>
        <v>0</v>
      </c>
      <c r="M127" s="234">
        <f>IFERROR(IF($A127=1,G127-VLOOKUP($B127,INPUT!$C$7:$J$6985,M$4,0),0),"A")</f>
        <v>0</v>
      </c>
      <c r="N127" s="234">
        <f>IFERROR(IF($A127=1,H127-VLOOKUP($B127,INPUT!$C$7:$J$6985,N$4,0),0),"A")</f>
        <v>0</v>
      </c>
      <c r="O127" s="234">
        <f>IFERROR(IF($A127=1,I127-VLOOKUP($B127,INPUT!$C$7:$J$6985,O$4,0),0),"A")</f>
        <v>0</v>
      </c>
      <c r="P127" s="235">
        <f t="shared" si="18"/>
        <v>0</v>
      </c>
    </row>
    <row r="128" spans="1:16" x14ac:dyDescent="0.45">
      <c r="A128" s="207">
        <f t="shared" si="17"/>
        <v>2</v>
      </c>
      <c r="B128" s="213">
        <v>6422</v>
      </c>
      <c r="C128" s="164" t="s">
        <v>148</v>
      </c>
      <c r="D128" s="228">
        <f>SUMIFS(INPUT!E$7:E$6985,INPUT!$C$7:$C$6985,$B128)</f>
        <v>0</v>
      </c>
      <c r="E128" s="228">
        <f>SUMIFS(INPUT!F$7:F$6985,INPUT!$C$7:$C$6985,$B128)</f>
        <v>0</v>
      </c>
      <c r="F128" s="228">
        <f>SUMIFS(INPUT!G$7:G$6985,INPUT!$C$7:$C$6985,$B128)</f>
        <v>0</v>
      </c>
      <c r="G128" s="228">
        <f>SUMIFS(INPUT!H$7:H$6985,INPUT!$C$7:$C$6985,$B128)</f>
        <v>0</v>
      </c>
      <c r="H128" s="228">
        <f>SUMIFS(INPUT!I$7:I$6985,INPUT!$C$7:$C$6985,$B128)</f>
        <v>0</v>
      </c>
      <c r="I128" s="228">
        <f>SUMIFS(INPUT!J$7:J$6985,INPUT!$C$7:$C$6985,$B128)</f>
        <v>0</v>
      </c>
      <c r="J128" s="234">
        <f>IFERROR(IF($A128=1,D128-VLOOKUP($B128,INPUT!$C$7:$J$6985,J$4,0),0),"A")</f>
        <v>0</v>
      </c>
      <c r="K128" s="234">
        <f>IFERROR(IF($A128=1,E128-VLOOKUP($B128,INPUT!$C$7:$J$6985,K$4,0),0),"A")</f>
        <v>0</v>
      </c>
      <c r="L128" s="234">
        <f>IFERROR(IF($A128=1,F128-VLOOKUP($B128,INPUT!$C$7:$J$6985,L$4,0),0),"A")</f>
        <v>0</v>
      </c>
      <c r="M128" s="234">
        <f>IFERROR(IF($A128=1,G128-VLOOKUP($B128,INPUT!$C$7:$J$6985,M$4,0),0),"A")</f>
        <v>0</v>
      </c>
      <c r="N128" s="234">
        <f>IFERROR(IF($A128=1,H128-VLOOKUP($B128,INPUT!$C$7:$J$6985,N$4,0),0),"A")</f>
        <v>0</v>
      </c>
      <c r="O128" s="234">
        <f>IFERROR(IF($A128=1,I128-VLOOKUP($B128,INPUT!$C$7:$J$6985,O$4,0),0),"A")</f>
        <v>0</v>
      </c>
      <c r="P128" s="235">
        <f t="shared" si="18"/>
        <v>0</v>
      </c>
    </row>
    <row r="129" spans="1:16" x14ac:dyDescent="0.45">
      <c r="A129" s="216">
        <f t="shared" si="17"/>
        <v>1</v>
      </c>
      <c r="B129" s="217">
        <v>711</v>
      </c>
      <c r="C129" s="218" t="s">
        <v>150</v>
      </c>
      <c r="D129" s="227">
        <f>SUMIFS(INPUT!E$7:E$6985,INPUT!$C$7:$C$6985,$B129)</f>
        <v>0</v>
      </c>
      <c r="E129" s="227">
        <f>SUMIFS(INPUT!F$7:F$6985,INPUT!$C$7:$C$6985,$B129)</f>
        <v>0</v>
      </c>
      <c r="F129" s="227">
        <f>SUMIFS(INPUT!G$7:G$6985,INPUT!$C$7:$C$6985,$B129)</f>
        <v>0</v>
      </c>
      <c r="G129" s="227">
        <f>SUMIFS(INPUT!H$7:H$6985,INPUT!$C$7:$C$6985,$B129)</f>
        <v>0</v>
      </c>
      <c r="H129" s="227">
        <f>SUMIFS(INPUT!I$7:I$6985,INPUT!$C$7:$C$6985,$B129)</f>
        <v>0</v>
      </c>
      <c r="I129" s="227">
        <f>SUMIFS(INPUT!J$7:J$6985,INPUT!$C$7:$C$6985,$B129)</f>
        <v>0</v>
      </c>
      <c r="J129" s="234" t="str">
        <f>IFERROR(IF($A129=1,D129-VLOOKUP($B129,INPUT!$C$7:$J$6985,J$4,0),0),"A")</f>
        <v>A</v>
      </c>
      <c r="K129" s="234" t="str">
        <f>IFERROR(IF($A129=1,E129-VLOOKUP($B129,INPUT!$C$7:$J$6985,K$4,0),0),"A")</f>
        <v>A</v>
      </c>
      <c r="L129" s="234" t="str">
        <f>IFERROR(IF($A129=1,F129-VLOOKUP($B129,INPUT!$C$7:$J$6985,L$4,0),0),"A")</f>
        <v>A</v>
      </c>
      <c r="M129" s="234" t="str">
        <f>IFERROR(IF($A129=1,G129-VLOOKUP($B129,INPUT!$C$7:$J$6985,M$4,0),0),"A")</f>
        <v>A</v>
      </c>
      <c r="N129" s="234" t="str">
        <f>IFERROR(IF($A129=1,H129-VLOOKUP($B129,INPUT!$C$7:$J$6985,N$4,0),0),"A")</f>
        <v>A</v>
      </c>
      <c r="O129" s="234" t="str">
        <f>IFERROR(IF($A129=1,I129-VLOOKUP($B129,INPUT!$C$7:$J$6985,O$4,0),0),"A")</f>
        <v>A</v>
      </c>
      <c r="P129" s="235">
        <f t="shared" si="18"/>
        <v>0</v>
      </c>
    </row>
    <row r="130" spans="1:16" x14ac:dyDescent="0.45">
      <c r="A130" s="216">
        <f t="shared" si="17"/>
        <v>1</v>
      </c>
      <c r="B130" s="217">
        <v>811</v>
      </c>
      <c r="C130" s="218" t="s">
        <v>152</v>
      </c>
      <c r="D130" s="227">
        <f>SUMIFS(INPUT!E$7:E$6985,INPUT!$C$7:$C$6985,$B130)</f>
        <v>0</v>
      </c>
      <c r="E130" s="227">
        <f>SUMIFS(INPUT!F$7:F$6985,INPUT!$C$7:$C$6985,$B130)</f>
        <v>0</v>
      </c>
      <c r="F130" s="227">
        <f>SUMIFS(INPUT!G$7:G$6985,INPUT!$C$7:$C$6985,$B130)</f>
        <v>0</v>
      </c>
      <c r="G130" s="227">
        <f>SUMIFS(INPUT!H$7:H$6985,INPUT!$C$7:$C$6985,$B130)</f>
        <v>0</v>
      </c>
      <c r="H130" s="227">
        <f>SUMIFS(INPUT!I$7:I$6985,INPUT!$C$7:$C$6985,$B130)</f>
        <v>0</v>
      </c>
      <c r="I130" s="227">
        <f>SUMIFS(INPUT!J$7:J$6985,INPUT!$C$7:$C$6985,$B130)</f>
        <v>0</v>
      </c>
      <c r="J130" s="234" t="str">
        <f>IFERROR(IF($A130=1,D130-VLOOKUP($B130,INPUT!$C$7:$J$6985,J$4,0),0),"A")</f>
        <v>A</v>
      </c>
      <c r="K130" s="234" t="str">
        <f>IFERROR(IF($A130=1,E130-VLOOKUP($B130,INPUT!$C$7:$J$6985,K$4,0),0),"A")</f>
        <v>A</v>
      </c>
      <c r="L130" s="234" t="str">
        <f>IFERROR(IF($A130=1,F130-VLOOKUP($B130,INPUT!$C$7:$J$6985,L$4,0),0),"A")</f>
        <v>A</v>
      </c>
      <c r="M130" s="234" t="str">
        <f>IFERROR(IF($A130=1,G130-VLOOKUP($B130,INPUT!$C$7:$J$6985,M$4,0),0),"A")</f>
        <v>A</v>
      </c>
      <c r="N130" s="234" t="str">
        <f>IFERROR(IF($A130=1,H130-VLOOKUP($B130,INPUT!$C$7:$J$6985,N$4,0),0),"A")</f>
        <v>A</v>
      </c>
      <c r="O130" s="234" t="str">
        <f>IFERROR(IF($A130=1,I130-VLOOKUP($B130,INPUT!$C$7:$J$6985,O$4,0),0),"A")</f>
        <v>A</v>
      </c>
      <c r="P130" s="235">
        <f t="shared" si="18"/>
        <v>0</v>
      </c>
    </row>
    <row r="131" spans="1:16" x14ac:dyDescent="0.45">
      <c r="A131" s="216">
        <f t="shared" si="17"/>
        <v>1</v>
      </c>
      <c r="B131" s="217">
        <v>821</v>
      </c>
      <c r="C131" s="218" t="s">
        <v>154</v>
      </c>
      <c r="D131" s="227">
        <f>SUMIFS(INPUT!E$7:E$6985,INPUT!$C$7:$C$6985,$B131)</f>
        <v>0</v>
      </c>
      <c r="E131" s="227">
        <f>SUMIFS(INPUT!F$7:F$6985,INPUT!$C$7:$C$6985,$B131)</f>
        <v>0</v>
      </c>
      <c r="F131" s="227">
        <f>SUMIFS(INPUT!G$7:G$6985,INPUT!$C$7:$C$6985,$B131)</f>
        <v>0</v>
      </c>
      <c r="G131" s="227">
        <f>SUMIFS(INPUT!H$7:H$6985,INPUT!$C$7:$C$6985,$B131)</f>
        <v>0</v>
      </c>
      <c r="H131" s="227">
        <f>SUMIFS(INPUT!I$7:I$6985,INPUT!$C$7:$C$6985,$B131)</f>
        <v>0</v>
      </c>
      <c r="I131" s="227">
        <f>SUMIFS(INPUT!J$7:J$6985,INPUT!$C$7:$C$6985,$B131)</f>
        <v>0</v>
      </c>
      <c r="J131" s="234" t="str">
        <f>IFERROR(IF($A131=1,D131-VLOOKUP($B131,INPUT!$C$7:$J$6985,J$4,0),0),"A")</f>
        <v>A</v>
      </c>
      <c r="K131" s="234" t="str">
        <f>IFERROR(IF($A131=1,E131-VLOOKUP($B131,INPUT!$C$7:$J$6985,K$4,0),0),"A")</f>
        <v>A</v>
      </c>
      <c r="L131" s="234" t="str">
        <f>IFERROR(IF($A131=1,F131-VLOOKUP($B131,INPUT!$C$7:$J$6985,L$4,0),0),"A")</f>
        <v>A</v>
      </c>
      <c r="M131" s="234" t="str">
        <f>IFERROR(IF($A131=1,G131-VLOOKUP($B131,INPUT!$C$7:$J$6985,M$4,0),0),"A")</f>
        <v>A</v>
      </c>
      <c r="N131" s="234" t="str">
        <f>IFERROR(IF($A131=1,H131-VLOOKUP($B131,INPUT!$C$7:$J$6985,N$4,0),0),"A")</f>
        <v>A</v>
      </c>
      <c r="O131" s="234" t="str">
        <f>IFERROR(IF($A131=1,I131-VLOOKUP($B131,INPUT!$C$7:$J$6985,O$4,0),0),"A")</f>
        <v>A</v>
      </c>
      <c r="P131" s="235">
        <f t="shared" si="18"/>
        <v>0</v>
      </c>
    </row>
    <row r="132" spans="1:16" x14ac:dyDescent="0.45">
      <c r="A132" s="216">
        <f t="shared" si="17"/>
        <v>1</v>
      </c>
      <c r="B132" s="217">
        <v>911</v>
      </c>
      <c r="C132" s="218" t="s">
        <v>155</v>
      </c>
      <c r="D132" s="227">
        <f>SUMIFS(INPUT!E$7:E$6985,INPUT!$C$7:$C$6985,$B132)</f>
        <v>0</v>
      </c>
      <c r="E132" s="227">
        <f>SUMIFS(INPUT!F$7:F$6985,INPUT!$C$7:$C$6985,$B132)</f>
        <v>0</v>
      </c>
      <c r="F132" s="227">
        <f>SUMIFS(INPUT!G$7:G$6985,INPUT!$C$7:$C$6985,$B132)</f>
        <v>0</v>
      </c>
      <c r="G132" s="227">
        <f>SUMIFS(INPUT!H$7:H$6985,INPUT!$C$7:$C$6985,$B132)</f>
        <v>0</v>
      </c>
      <c r="H132" s="227">
        <f>SUMIFS(INPUT!I$7:I$6985,INPUT!$C$7:$C$6985,$B132)</f>
        <v>0</v>
      </c>
      <c r="I132" s="227">
        <f>SUMIFS(INPUT!J$7:J$6985,INPUT!$C$7:$C$6985,$B132)</f>
        <v>0</v>
      </c>
      <c r="J132" s="234" t="str">
        <f>IFERROR(IF($A132=1,D132-VLOOKUP($B132,INPUT!$C$7:$J$6985,J$4,0),0),"A")</f>
        <v>A</v>
      </c>
      <c r="K132" s="234" t="str">
        <f>IFERROR(IF($A132=1,E132-VLOOKUP($B132,INPUT!$C$7:$J$6985,K$4,0),0),"A")</f>
        <v>A</v>
      </c>
      <c r="L132" s="234" t="str">
        <f>IFERROR(IF($A132=1,F132-VLOOKUP($B132,INPUT!$C$7:$J$6985,L$4,0),0),"A")</f>
        <v>A</v>
      </c>
      <c r="M132" s="234" t="str">
        <f>IFERROR(IF($A132=1,G132-VLOOKUP($B132,INPUT!$C$7:$J$6985,M$4,0),0),"A")</f>
        <v>A</v>
      </c>
      <c r="N132" s="234" t="str">
        <f>IFERROR(IF($A132=1,H132-VLOOKUP($B132,INPUT!$C$7:$J$6985,N$4,0),0),"A")</f>
        <v>A</v>
      </c>
      <c r="O132" s="234" t="str">
        <f>IFERROR(IF($A132=1,I132-VLOOKUP($B132,INPUT!$C$7:$J$6985,O$4,0),0),"A")</f>
        <v>A</v>
      </c>
      <c r="P132" s="235">
        <f t="shared" si="18"/>
        <v>0</v>
      </c>
    </row>
  </sheetData>
  <autoFilter ref="A9:B132" xr:uid="{00000000-0009-0000-0000-000003000000}"/>
  <mergeCells count="7">
    <mergeCell ref="A6:A8"/>
    <mergeCell ref="B6:B8"/>
    <mergeCell ref="J5:O5"/>
    <mergeCell ref="C6:C7"/>
    <mergeCell ref="D6:E6"/>
    <mergeCell ref="F6:G6"/>
    <mergeCell ref="H6:I6"/>
  </mergeCells>
  <conditionalFormatting sqref="F8:G9">
    <cfRule type="duplicateValues" dxfId="8" priority="5"/>
  </conditionalFormatting>
  <conditionalFormatting sqref="H8:I9">
    <cfRule type="duplicateValues" dxfId="7" priority="2"/>
    <cfRule type="duplicateValues" dxfId="6" priority="4"/>
  </conditionalFormatting>
  <conditionalFormatting sqref="D8:E9">
    <cfRule type="duplicateValues" dxfId="5" priority="3"/>
  </conditionalFormatting>
  <conditionalFormatting sqref="A10:I132">
    <cfRule type="expression" dxfId="4" priority="1">
      <formula>$P10&lt;&gt;0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NDN">
    <tabColor theme="3"/>
  </sheetPr>
  <dimension ref="B2:AA96"/>
  <sheetViews>
    <sheetView showGridLines="0" topLeftCell="B65" workbookViewId="0">
      <selection activeCell="E96" sqref="E96"/>
    </sheetView>
  </sheetViews>
  <sheetFormatPr defaultRowHeight="14.25" x14ac:dyDescent="0.45"/>
  <cols>
    <col min="2" max="2" width="7.1328125" customWidth="1"/>
    <col min="3" max="3" width="66" bestFit="1" customWidth="1"/>
    <col min="4" max="4" width="5.73046875" customWidth="1"/>
    <col min="5" max="5" width="15.73046875" customWidth="1"/>
    <col min="7" max="7" width="7.1328125" customWidth="1"/>
    <col min="8" max="8" width="66" bestFit="1" customWidth="1"/>
    <col min="9" max="9" width="6.1328125" customWidth="1"/>
    <col min="10" max="10" width="15.86328125" customWidth="1"/>
    <col min="14" max="14" width="8.265625" bestFit="1" customWidth="1"/>
    <col min="15" max="15" width="10.1328125" customWidth="1"/>
    <col min="16" max="16" width="11.73046875" bestFit="1" customWidth="1"/>
    <col min="17" max="17" width="21.265625" bestFit="1" customWidth="1"/>
    <col min="18" max="18" width="17.265625" bestFit="1" customWidth="1"/>
    <col min="19" max="19" width="19.265625" bestFit="1" customWidth="1"/>
    <col min="22" max="22" width="8.265625" bestFit="1" customWidth="1"/>
    <col min="23" max="23" width="10.1328125" customWidth="1"/>
    <col min="24" max="24" width="13.86328125" customWidth="1"/>
    <col min="25" max="25" width="21.265625" bestFit="1" customWidth="1"/>
    <col min="26" max="26" width="17.265625" bestFit="1" customWidth="1"/>
    <col min="27" max="27" width="19.265625" bestFit="1" customWidth="1"/>
  </cols>
  <sheetData>
    <row r="2" spans="2:10" hidden="1" x14ac:dyDescent="0.45"/>
    <row r="3" spans="2:10" hidden="1" x14ac:dyDescent="0.45"/>
    <row r="4" spans="2:10" hidden="1" x14ac:dyDescent="0.45"/>
    <row r="5" spans="2:10" hidden="1" x14ac:dyDescent="0.45"/>
    <row r="7" spans="2:10" ht="19.899999999999999" thickBot="1" x14ac:dyDescent="0.65">
      <c r="B7" s="1" t="s">
        <v>1045</v>
      </c>
      <c r="C7" s="1"/>
      <c r="D7" s="1"/>
      <c r="E7" s="266">
        <f ca="1">NOW()</f>
        <v>45942.488246990739</v>
      </c>
      <c r="G7" s="1" t="s">
        <v>1221</v>
      </c>
      <c r="H7" s="1"/>
      <c r="I7" s="1"/>
      <c r="J7" s="266">
        <f ca="1">NOW()</f>
        <v>45942.488246990739</v>
      </c>
    </row>
    <row r="8" spans="2:10" ht="14.65" thickTop="1" x14ac:dyDescent="0.45">
      <c r="B8" s="9" t="str">
        <f>"Từ ngày: "&amp;TEXT(MAIN!D14,"dd/mm/yyyy")&amp;" Đến ngày: "&amp;TEXT(MAIN!D15,"dd/mm/yyyy")</f>
        <v>Từ ngày: 01/01/2024 Đến ngày: 31/12/2024</v>
      </c>
      <c r="G8" s="9" t="str">
        <f>"From date: "&amp;TEXT(MAIN!D14,"dd/mm/yyyy")&amp;" to date: "&amp;TEXT(MAIN!D15,"dd/mm/yyyy")</f>
        <v>From date: 01/01/2024 to date: 31/12/2024</v>
      </c>
    </row>
    <row r="12" spans="2:10" ht="24.4" customHeight="1" x14ac:dyDescent="0.45">
      <c r="B12" s="267" t="s">
        <v>1046</v>
      </c>
      <c r="C12" s="268" t="s">
        <v>1047</v>
      </c>
      <c r="D12" s="187" t="s">
        <v>1048</v>
      </c>
      <c r="E12" s="269" t="s">
        <v>1049</v>
      </c>
      <c r="G12" s="267" t="s">
        <v>1176</v>
      </c>
      <c r="H12" s="268" t="s">
        <v>367</v>
      </c>
      <c r="I12" s="268" t="s">
        <v>212</v>
      </c>
      <c r="J12" s="269" t="s">
        <v>1175</v>
      </c>
    </row>
    <row r="13" spans="2:10" x14ac:dyDescent="0.45">
      <c r="B13" s="32" t="s">
        <v>1050</v>
      </c>
      <c r="C13" s="33" t="s">
        <v>1051</v>
      </c>
      <c r="D13" s="34" t="s">
        <v>1050</v>
      </c>
      <c r="E13" s="35"/>
      <c r="G13" s="32" t="s">
        <v>1050</v>
      </c>
      <c r="H13" s="33" t="s">
        <v>1267</v>
      </c>
      <c r="I13" s="34" t="s">
        <v>1050</v>
      </c>
      <c r="J13" s="35"/>
    </row>
    <row r="14" spans="2:10" x14ac:dyDescent="0.45">
      <c r="B14" s="26" t="s">
        <v>1052</v>
      </c>
      <c r="C14" s="27" t="s">
        <v>1053</v>
      </c>
      <c r="D14" s="28" t="s">
        <v>1054</v>
      </c>
      <c r="E14" s="48">
        <f>E93</f>
        <v>9958009</v>
      </c>
      <c r="G14" s="26" t="s">
        <v>1052</v>
      </c>
      <c r="H14" s="27" t="s">
        <v>1177</v>
      </c>
      <c r="I14" s="28" t="s">
        <v>1054</v>
      </c>
      <c r="J14" s="48">
        <f>IF(E14="","",E14)</f>
        <v>9958009</v>
      </c>
    </row>
    <row r="15" spans="2:10" x14ac:dyDescent="0.45">
      <c r="B15" s="36" t="s">
        <v>1055</v>
      </c>
      <c r="C15" s="37" t="s">
        <v>1056</v>
      </c>
      <c r="D15" s="38" t="s">
        <v>1055</v>
      </c>
      <c r="E15" s="39"/>
      <c r="G15" s="36" t="s">
        <v>1055</v>
      </c>
      <c r="H15" s="37" t="s">
        <v>1798</v>
      </c>
      <c r="I15" s="38" t="s">
        <v>1055</v>
      </c>
      <c r="J15" s="39" t="str">
        <f t="shared" ref="J15:J63" si="0">IF(E15="","",E15)</f>
        <v/>
      </c>
    </row>
    <row r="16" spans="2:10" ht="19.5" x14ac:dyDescent="0.45">
      <c r="B16" s="36" t="s">
        <v>1052</v>
      </c>
      <c r="C16" s="46" t="s">
        <v>1057</v>
      </c>
      <c r="D16" s="41" t="s">
        <v>1058</v>
      </c>
      <c r="E16" s="42">
        <f>SUM(E17:E22)</f>
        <v>0</v>
      </c>
      <c r="G16" s="36" t="s">
        <v>1052</v>
      </c>
      <c r="H16" s="46" t="s">
        <v>1289</v>
      </c>
      <c r="I16" s="38" t="s">
        <v>1058</v>
      </c>
      <c r="J16" s="43">
        <f t="shared" si="0"/>
        <v>0</v>
      </c>
    </row>
    <row r="17" spans="2:10" x14ac:dyDescent="0.45">
      <c r="B17" s="26" t="s">
        <v>1059</v>
      </c>
      <c r="C17" s="27" t="s">
        <v>1060</v>
      </c>
      <c r="D17" s="28" t="s">
        <v>1061</v>
      </c>
      <c r="E17" s="49">
        <v>0</v>
      </c>
      <c r="G17" s="26" t="s">
        <v>1059</v>
      </c>
      <c r="H17" s="27" t="s">
        <v>1184</v>
      </c>
      <c r="I17" s="28" t="s">
        <v>1061</v>
      </c>
      <c r="J17" s="49">
        <f t="shared" si="0"/>
        <v>0</v>
      </c>
    </row>
    <row r="18" spans="2:10" x14ac:dyDescent="0.45">
      <c r="B18" s="26" t="s">
        <v>1062</v>
      </c>
      <c r="C18" s="27" t="s">
        <v>1063</v>
      </c>
      <c r="D18" s="28" t="s">
        <v>1064</v>
      </c>
      <c r="E18" s="49">
        <v>0</v>
      </c>
      <c r="G18" s="26" t="s">
        <v>1062</v>
      </c>
      <c r="H18" s="27" t="s">
        <v>1186</v>
      </c>
      <c r="I18" s="28" t="s">
        <v>1064</v>
      </c>
      <c r="J18" s="49">
        <f t="shared" si="0"/>
        <v>0</v>
      </c>
    </row>
    <row r="19" spans="2:10" x14ac:dyDescent="0.45">
      <c r="B19" s="26" t="s">
        <v>1065</v>
      </c>
      <c r="C19" s="27" t="s">
        <v>1066</v>
      </c>
      <c r="D19" s="28" t="s">
        <v>1067</v>
      </c>
      <c r="E19" s="49">
        <f>IFERROR(VLOOKUP(8112,INPUT!C7:J5985,5,0),0)</f>
        <v>0</v>
      </c>
      <c r="G19" s="26" t="s">
        <v>1065</v>
      </c>
      <c r="H19" s="29" t="s">
        <v>1178</v>
      </c>
      <c r="I19" s="28" t="s">
        <v>1067</v>
      </c>
      <c r="J19" s="49">
        <f t="shared" si="0"/>
        <v>0</v>
      </c>
    </row>
    <row r="20" spans="2:10" x14ac:dyDescent="0.45">
      <c r="B20" s="26" t="s">
        <v>1068</v>
      </c>
      <c r="C20" s="27" t="s">
        <v>1069</v>
      </c>
      <c r="D20" s="28" t="s">
        <v>1070</v>
      </c>
      <c r="E20" s="49">
        <v>0</v>
      </c>
      <c r="G20" s="26" t="s">
        <v>1068</v>
      </c>
      <c r="H20" s="27" t="s">
        <v>1179</v>
      </c>
      <c r="I20" s="28" t="s">
        <v>1070</v>
      </c>
      <c r="J20" s="49">
        <f t="shared" si="0"/>
        <v>0</v>
      </c>
    </row>
    <row r="21" spans="2:10" ht="19.5" x14ac:dyDescent="0.45">
      <c r="B21" s="26" t="s">
        <v>1071</v>
      </c>
      <c r="C21" s="29" t="s">
        <v>1072</v>
      </c>
      <c r="D21" s="28" t="s">
        <v>1073</v>
      </c>
      <c r="E21" s="49">
        <v>0</v>
      </c>
      <c r="G21" s="26" t="s">
        <v>1071</v>
      </c>
      <c r="H21" s="29" t="s">
        <v>1180</v>
      </c>
      <c r="I21" s="28" t="s">
        <v>1073</v>
      </c>
      <c r="J21" s="49">
        <f t="shared" si="0"/>
        <v>0</v>
      </c>
    </row>
    <row r="22" spans="2:10" x14ac:dyDescent="0.45">
      <c r="B22" s="26" t="s">
        <v>1074</v>
      </c>
      <c r="C22" s="27" t="s">
        <v>1075</v>
      </c>
      <c r="D22" s="28" t="s">
        <v>1076</v>
      </c>
      <c r="E22" s="49">
        <v>0</v>
      </c>
      <c r="G22" s="26" t="s">
        <v>1074</v>
      </c>
      <c r="H22" s="27" t="s">
        <v>1181</v>
      </c>
      <c r="I22" s="28" t="s">
        <v>1076</v>
      </c>
      <c r="J22" s="49">
        <f t="shared" si="0"/>
        <v>0</v>
      </c>
    </row>
    <row r="23" spans="2:10" x14ac:dyDescent="0.45">
      <c r="B23" s="36" t="s">
        <v>1077</v>
      </c>
      <c r="C23" s="37" t="s">
        <v>1078</v>
      </c>
      <c r="D23" s="38" t="s">
        <v>1079</v>
      </c>
      <c r="E23" s="43">
        <f>SUM(E24:E26)</f>
        <v>0</v>
      </c>
      <c r="G23" s="36" t="s">
        <v>1077</v>
      </c>
      <c r="H23" s="37" t="s">
        <v>1182</v>
      </c>
      <c r="I23" s="38" t="s">
        <v>1079</v>
      </c>
      <c r="J23" s="43">
        <f t="shared" si="0"/>
        <v>0</v>
      </c>
    </row>
    <row r="24" spans="2:10" x14ac:dyDescent="0.45">
      <c r="B24" s="26" t="s">
        <v>1080</v>
      </c>
      <c r="C24" s="27" t="s">
        <v>1081</v>
      </c>
      <c r="D24" s="28" t="s">
        <v>1082</v>
      </c>
      <c r="E24" s="49">
        <v>0</v>
      </c>
      <c r="G24" s="26" t="s">
        <v>1080</v>
      </c>
      <c r="H24" s="27" t="s">
        <v>1183</v>
      </c>
      <c r="I24" s="28" t="s">
        <v>1082</v>
      </c>
      <c r="J24" s="49">
        <f t="shared" si="0"/>
        <v>0</v>
      </c>
    </row>
    <row r="25" spans="2:10" x14ac:dyDescent="0.45">
      <c r="B25" s="26" t="s">
        <v>1083</v>
      </c>
      <c r="C25" s="27" t="s">
        <v>1084</v>
      </c>
      <c r="D25" s="28" t="s">
        <v>1085</v>
      </c>
      <c r="E25" s="49">
        <v>0</v>
      </c>
      <c r="G25" s="26" t="s">
        <v>1083</v>
      </c>
      <c r="H25" s="27" t="s">
        <v>1185</v>
      </c>
      <c r="I25" s="28" t="s">
        <v>1085</v>
      </c>
      <c r="J25" s="49">
        <f t="shared" si="0"/>
        <v>0</v>
      </c>
    </row>
    <row r="26" spans="2:10" x14ac:dyDescent="0.45">
      <c r="B26" s="26" t="s">
        <v>1086</v>
      </c>
      <c r="C26" s="188" t="s">
        <v>1087</v>
      </c>
      <c r="D26" s="28" t="s">
        <v>1088</v>
      </c>
      <c r="E26" s="49">
        <v>0</v>
      </c>
      <c r="G26" s="26" t="s">
        <v>1086</v>
      </c>
      <c r="H26" s="27" t="s">
        <v>1187</v>
      </c>
      <c r="I26" s="28" t="s">
        <v>1088</v>
      </c>
      <c r="J26" s="49">
        <f t="shared" si="0"/>
        <v>0</v>
      </c>
    </row>
    <row r="27" spans="2:10" x14ac:dyDescent="0.45">
      <c r="B27" s="36" t="s">
        <v>1089</v>
      </c>
      <c r="C27" s="37" t="s">
        <v>1090</v>
      </c>
      <c r="D27" s="38" t="s">
        <v>1091</v>
      </c>
      <c r="E27" s="43">
        <f>E14+E16-E23</f>
        <v>9958009</v>
      </c>
      <c r="G27" s="36" t="s">
        <v>1089</v>
      </c>
      <c r="H27" s="37" t="s">
        <v>1188</v>
      </c>
      <c r="I27" s="38" t="s">
        <v>1091</v>
      </c>
      <c r="J27" s="43">
        <f t="shared" si="0"/>
        <v>9958009</v>
      </c>
    </row>
    <row r="28" spans="2:10" x14ac:dyDescent="0.45">
      <c r="B28" s="26" t="s">
        <v>1092</v>
      </c>
      <c r="C28" s="27" t="s">
        <v>1093</v>
      </c>
      <c r="D28" s="28" t="s">
        <v>1094</v>
      </c>
      <c r="E28" s="49">
        <f>E27</f>
        <v>9958009</v>
      </c>
      <c r="G28" s="26" t="s">
        <v>1092</v>
      </c>
      <c r="H28" s="27" t="s">
        <v>1189</v>
      </c>
      <c r="I28" s="28" t="s">
        <v>1094</v>
      </c>
      <c r="J28" s="49">
        <f t="shared" si="0"/>
        <v>9958009</v>
      </c>
    </row>
    <row r="29" spans="2:10" x14ac:dyDescent="0.45">
      <c r="B29" s="44" t="s">
        <v>1095</v>
      </c>
      <c r="C29" s="40" t="s">
        <v>1096</v>
      </c>
      <c r="D29" s="41" t="s">
        <v>1097</v>
      </c>
      <c r="E29" s="42">
        <f>E27-E28</f>
        <v>0</v>
      </c>
      <c r="G29" s="44" t="s">
        <v>1095</v>
      </c>
      <c r="H29" s="40" t="s">
        <v>1190</v>
      </c>
      <c r="I29" s="41" t="s">
        <v>1097</v>
      </c>
      <c r="J29" s="42">
        <f t="shared" si="0"/>
        <v>0</v>
      </c>
    </row>
    <row r="30" spans="2:10" x14ac:dyDescent="0.45">
      <c r="B30" s="36" t="s">
        <v>11</v>
      </c>
      <c r="C30" s="46" t="s">
        <v>1098</v>
      </c>
      <c r="D30" s="38"/>
      <c r="E30" s="39"/>
      <c r="G30" s="36" t="s">
        <v>11</v>
      </c>
      <c r="H30" s="46" t="s">
        <v>1191</v>
      </c>
      <c r="I30" s="38"/>
      <c r="J30" s="39" t="str">
        <f t="shared" si="0"/>
        <v/>
      </c>
    </row>
    <row r="31" spans="2:10" x14ac:dyDescent="0.45">
      <c r="B31" s="44" t="s">
        <v>1052</v>
      </c>
      <c r="C31" s="40" t="s">
        <v>1099</v>
      </c>
      <c r="D31" s="41" t="s">
        <v>1100</v>
      </c>
      <c r="E31" s="42">
        <f>E28</f>
        <v>9958009</v>
      </c>
      <c r="G31" s="44" t="s">
        <v>1052</v>
      </c>
      <c r="H31" s="40" t="s">
        <v>1192</v>
      </c>
      <c r="I31" s="41" t="s">
        <v>1100</v>
      </c>
      <c r="J31" s="42">
        <f t="shared" si="0"/>
        <v>9958009</v>
      </c>
    </row>
    <row r="32" spans="2:10" x14ac:dyDescent="0.45">
      <c r="B32" s="26" t="s">
        <v>1077</v>
      </c>
      <c r="C32" s="29" t="s">
        <v>1101</v>
      </c>
      <c r="D32" s="28" t="s">
        <v>1102</v>
      </c>
      <c r="E32" s="49">
        <v>0</v>
      </c>
      <c r="G32" s="26" t="s">
        <v>1077</v>
      </c>
      <c r="H32" s="29" t="s">
        <v>1193</v>
      </c>
      <c r="I32" s="28" t="s">
        <v>1102</v>
      </c>
      <c r="J32" s="49">
        <f t="shared" si="0"/>
        <v>0</v>
      </c>
    </row>
    <row r="33" spans="2:10" x14ac:dyDescent="0.45">
      <c r="B33" s="44" t="s">
        <v>1089</v>
      </c>
      <c r="C33" s="45" t="s">
        <v>1103</v>
      </c>
      <c r="D33" s="41" t="s">
        <v>1104</v>
      </c>
      <c r="E33" s="42">
        <f>SUM(E34:E35)</f>
        <v>0</v>
      </c>
      <c r="G33" s="44" t="s">
        <v>1089</v>
      </c>
      <c r="H33" s="45" t="s">
        <v>1194</v>
      </c>
      <c r="I33" s="41" t="s">
        <v>1104</v>
      </c>
      <c r="J33" s="42">
        <f t="shared" si="0"/>
        <v>0</v>
      </c>
    </row>
    <row r="34" spans="2:10" x14ac:dyDescent="0.45">
      <c r="B34" s="26" t="s">
        <v>1092</v>
      </c>
      <c r="C34" s="27" t="s">
        <v>1105</v>
      </c>
      <c r="D34" s="28" t="s">
        <v>1106</v>
      </c>
      <c r="E34" s="48">
        <v>0</v>
      </c>
      <c r="G34" s="26" t="s">
        <v>1092</v>
      </c>
      <c r="H34" s="27" t="s">
        <v>1195</v>
      </c>
      <c r="I34" s="28" t="s">
        <v>1106</v>
      </c>
      <c r="J34" s="48">
        <f t="shared" si="0"/>
        <v>0</v>
      </c>
    </row>
    <row r="35" spans="2:10" x14ac:dyDescent="0.45">
      <c r="B35" s="26" t="s">
        <v>1095</v>
      </c>
      <c r="C35" s="27" t="s">
        <v>1107</v>
      </c>
      <c r="D35" s="28" t="s">
        <v>1108</v>
      </c>
      <c r="E35" s="48">
        <v>0</v>
      </c>
      <c r="G35" s="26" t="s">
        <v>1095</v>
      </c>
      <c r="H35" s="27" t="s">
        <v>1196</v>
      </c>
      <c r="I35" s="28" t="s">
        <v>1108</v>
      </c>
      <c r="J35" s="48">
        <f t="shared" si="0"/>
        <v>0</v>
      </c>
    </row>
    <row r="36" spans="2:10" x14ac:dyDescent="0.45">
      <c r="B36" s="44" t="s">
        <v>1109</v>
      </c>
      <c r="C36" s="45" t="s">
        <v>1110</v>
      </c>
      <c r="D36" s="41" t="s">
        <v>1111</v>
      </c>
      <c r="E36" s="42">
        <f>MAX(0,E31-E32-E34-E35)</f>
        <v>9958009</v>
      </c>
      <c r="G36" s="44" t="s">
        <v>1109</v>
      </c>
      <c r="H36" s="45" t="s">
        <v>1197</v>
      </c>
      <c r="I36" s="41" t="s">
        <v>1111</v>
      </c>
      <c r="J36" s="42">
        <f t="shared" si="0"/>
        <v>9958009</v>
      </c>
    </row>
    <row r="37" spans="2:10" x14ac:dyDescent="0.45">
      <c r="B37" s="26" t="s">
        <v>1112</v>
      </c>
      <c r="C37" s="27" t="s">
        <v>1113</v>
      </c>
      <c r="D37" s="28" t="s">
        <v>1114</v>
      </c>
      <c r="E37" s="48">
        <v>0</v>
      </c>
      <c r="G37" s="26" t="s">
        <v>1112</v>
      </c>
      <c r="H37" s="27" t="s">
        <v>4356</v>
      </c>
      <c r="I37" s="28" t="s">
        <v>1114</v>
      </c>
      <c r="J37" s="48">
        <f t="shared" si="0"/>
        <v>0</v>
      </c>
    </row>
    <row r="38" spans="2:10" x14ac:dyDescent="0.45">
      <c r="B38" s="44" t="s">
        <v>1115</v>
      </c>
      <c r="C38" s="40" t="s">
        <v>1116</v>
      </c>
      <c r="D38" s="41" t="s">
        <v>1117</v>
      </c>
      <c r="E38" s="42">
        <f>E36-E37</f>
        <v>9958009</v>
      </c>
      <c r="G38" s="44" t="s">
        <v>1115</v>
      </c>
      <c r="H38" s="40" t="s">
        <v>1198</v>
      </c>
      <c r="I38" s="41" t="s">
        <v>1117</v>
      </c>
      <c r="J38" s="42">
        <f t="shared" si="0"/>
        <v>9958009</v>
      </c>
    </row>
    <row r="39" spans="2:10" ht="19.5" x14ac:dyDescent="0.45">
      <c r="B39" s="26" t="s">
        <v>1118</v>
      </c>
      <c r="C39" s="29" t="s">
        <v>1119</v>
      </c>
      <c r="D39" s="28" t="s">
        <v>1120</v>
      </c>
      <c r="E39" s="48">
        <v>0</v>
      </c>
      <c r="G39" s="26" t="s">
        <v>1118</v>
      </c>
      <c r="H39" s="29" t="s">
        <v>1199</v>
      </c>
      <c r="I39" s="28" t="s">
        <v>1120</v>
      </c>
      <c r="J39" s="48">
        <f t="shared" si="0"/>
        <v>0</v>
      </c>
    </row>
    <row r="40" spans="2:10" ht="19.5" x14ac:dyDescent="0.45">
      <c r="B40" s="26" t="s">
        <v>1121</v>
      </c>
      <c r="C40" s="29" t="s">
        <v>1122</v>
      </c>
      <c r="D40" s="28" t="s">
        <v>1123</v>
      </c>
      <c r="E40" s="48">
        <f>E36</f>
        <v>9958009</v>
      </c>
      <c r="G40" s="26" t="s">
        <v>1121</v>
      </c>
      <c r="H40" s="29" t="s">
        <v>1799</v>
      </c>
      <c r="I40" s="28" t="s">
        <v>1123</v>
      </c>
      <c r="J40" s="48">
        <f t="shared" si="0"/>
        <v>9958009</v>
      </c>
    </row>
    <row r="41" spans="2:10" x14ac:dyDescent="0.45">
      <c r="B41" s="483" t="s">
        <v>1124</v>
      </c>
      <c r="C41" s="29" t="s">
        <v>1125</v>
      </c>
      <c r="D41" s="28" t="s">
        <v>1126</v>
      </c>
      <c r="E41" s="50">
        <v>0</v>
      </c>
      <c r="G41" s="483" t="s">
        <v>1124</v>
      </c>
      <c r="H41" s="29" t="s">
        <v>1200</v>
      </c>
      <c r="I41" s="28" t="s">
        <v>1126</v>
      </c>
      <c r="J41" s="50">
        <f t="shared" si="0"/>
        <v>0</v>
      </c>
    </row>
    <row r="42" spans="2:10" x14ac:dyDescent="0.45">
      <c r="B42" s="484"/>
      <c r="C42" s="27" t="s">
        <v>1127</v>
      </c>
      <c r="D42" s="30" t="s">
        <v>1128</v>
      </c>
      <c r="E42" s="270">
        <v>0</v>
      </c>
      <c r="G42" s="484"/>
      <c r="H42" s="27" t="s">
        <v>1201</v>
      </c>
      <c r="I42" s="30" t="s">
        <v>1128</v>
      </c>
      <c r="J42" s="51">
        <f t="shared" si="0"/>
        <v>0</v>
      </c>
    </row>
    <row r="43" spans="2:10" ht="19.5" x14ac:dyDescent="0.45">
      <c r="B43" s="44" t="s">
        <v>1129</v>
      </c>
      <c r="C43" s="40" t="s">
        <v>1130</v>
      </c>
      <c r="D43" s="41" t="s">
        <v>1131</v>
      </c>
      <c r="E43" s="52">
        <f>E39*22%+E40*20%+E41*E42</f>
        <v>1991601.8</v>
      </c>
      <c r="G43" s="44" t="s">
        <v>1129</v>
      </c>
      <c r="H43" s="40" t="s">
        <v>1202</v>
      </c>
      <c r="I43" s="41" t="s">
        <v>1131</v>
      </c>
      <c r="J43" s="52">
        <f t="shared" si="0"/>
        <v>1991601.8</v>
      </c>
    </row>
    <row r="44" spans="2:10" x14ac:dyDescent="0.45">
      <c r="B44" s="26" t="s">
        <v>1132</v>
      </c>
      <c r="C44" s="27" t="s">
        <v>1133</v>
      </c>
      <c r="D44" s="28" t="s">
        <v>1134</v>
      </c>
      <c r="E44" s="49">
        <v>0</v>
      </c>
      <c r="G44" s="26" t="s">
        <v>1132</v>
      </c>
      <c r="H44" s="27" t="s">
        <v>1203</v>
      </c>
      <c r="I44" s="28" t="s">
        <v>1134</v>
      </c>
      <c r="J44" s="49">
        <f t="shared" si="0"/>
        <v>0</v>
      </c>
    </row>
    <row r="45" spans="2:10" x14ac:dyDescent="0.45">
      <c r="B45" s="26" t="s">
        <v>1135</v>
      </c>
      <c r="C45" s="27" t="s">
        <v>1136</v>
      </c>
      <c r="D45" s="28" t="s">
        <v>1137</v>
      </c>
      <c r="E45" s="48">
        <f>E46+E47</f>
        <v>597480.54</v>
      </c>
      <c r="G45" s="26" t="s">
        <v>1135</v>
      </c>
      <c r="H45" s="27" t="s">
        <v>1204</v>
      </c>
      <c r="I45" s="28" t="s">
        <v>1137</v>
      </c>
      <c r="J45" s="48">
        <f t="shared" si="0"/>
        <v>597480.54</v>
      </c>
    </row>
    <row r="46" spans="2:10" x14ac:dyDescent="0.45">
      <c r="B46" s="26" t="s">
        <v>1138</v>
      </c>
      <c r="C46" s="27" t="s">
        <v>1139</v>
      </c>
      <c r="D46" s="28" t="s">
        <v>1140</v>
      </c>
      <c r="E46" s="49">
        <v>0</v>
      </c>
      <c r="G46" s="26" t="s">
        <v>1138</v>
      </c>
      <c r="H46" s="27" t="s">
        <v>1205</v>
      </c>
      <c r="I46" s="28" t="s">
        <v>1140</v>
      </c>
      <c r="J46" s="49">
        <f t="shared" si="0"/>
        <v>0</v>
      </c>
    </row>
    <row r="47" spans="2:10" x14ac:dyDescent="0.45">
      <c r="B47" s="26" t="s">
        <v>1141</v>
      </c>
      <c r="C47" s="27" t="s">
        <v>1142</v>
      </c>
      <c r="D47" s="28" t="s">
        <v>1143</v>
      </c>
      <c r="E47" s="48">
        <f>E43*30%</f>
        <v>597480.54</v>
      </c>
      <c r="G47" s="26" t="s">
        <v>1141</v>
      </c>
      <c r="H47" s="47" t="s">
        <v>1206</v>
      </c>
      <c r="I47" s="28" t="s">
        <v>1143</v>
      </c>
      <c r="J47" s="48">
        <f t="shared" si="0"/>
        <v>597480.54</v>
      </c>
    </row>
    <row r="48" spans="2:10" x14ac:dyDescent="0.45">
      <c r="B48" s="26" t="s">
        <v>141</v>
      </c>
      <c r="C48" s="27" t="s">
        <v>1144</v>
      </c>
      <c r="D48" s="28" t="s">
        <v>1145</v>
      </c>
      <c r="E48" s="49">
        <v>0</v>
      </c>
      <c r="G48" s="26" t="s">
        <v>141</v>
      </c>
      <c r="H48" s="27" t="s">
        <v>1207</v>
      </c>
      <c r="I48" s="28" t="s">
        <v>1145</v>
      </c>
      <c r="J48" s="49">
        <f t="shared" si="0"/>
        <v>0</v>
      </c>
    </row>
    <row r="49" spans="2:10" x14ac:dyDescent="0.45">
      <c r="B49" s="44" t="s">
        <v>1146</v>
      </c>
      <c r="C49" s="45" t="s">
        <v>1147</v>
      </c>
      <c r="D49" s="41" t="s">
        <v>1148</v>
      </c>
      <c r="E49" s="42">
        <f>E43-E44-E45-E48</f>
        <v>1394121.26</v>
      </c>
      <c r="G49" s="44" t="s">
        <v>1146</v>
      </c>
      <c r="H49" s="45" t="s">
        <v>1208</v>
      </c>
      <c r="I49" s="41" t="s">
        <v>1148</v>
      </c>
      <c r="J49" s="42">
        <f t="shared" si="0"/>
        <v>1394121.26</v>
      </c>
    </row>
    <row r="50" spans="2:10" x14ac:dyDescent="0.45">
      <c r="B50" s="36" t="s">
        <v>1149</v>
      </c>
      <c r="C50" s="46" t="s">
        <v>1150</v>
      </c>
      <c r="D50" s="38" t="s">
        <v>1149</v>
      </c>
      <c r="E50" s="43">
        <f>E51+E52+E53</f>
        <v>1394121.26</v>
      </c>
      <c r="G50" s="36" t="s">
        <v>1149</v>
      </c>
      <c r="H50" s="46" t="s">
        <v>1214</v>
      </c>
      <c r="I50" s="38" t="s">
        <v>1149</v>
      </c>
      <c r="J50" s="43">
        <f t="shared" si="0"/>
        <v>1394121.26</v>
      </c>
    </row>
    <row r="51" spans="2:10" x14ac:dyDescent="0.45">
      <c r="B51" s="44" t="s">
        <v>1052</v>
      </c>
      <c r="C51" s="45" t="s">
        <v>1151</v>
      </c>
      <c r="D51" s="41" t="s">
        <v>1152</v>
      </c>
      <c r="E51" s="42">
        <f>E49</f>
        <v>1394121.26</v>
      </c>
      <c r="G51" s="44" t="s">
        <v>1052</v>
      </c>
      <c r="H51" s="45" t="s">
        <v>1209</v>
      </c>
      <c r="I51" s="41" t="s">
        <v>1152</v>
      </c>
      <c r="J51" s="42">
        <f t="shared" si="0"/>
        <v>1394121.26</v>
      </c>
    </row>
    <row r="52" spans="2:10" x14ac:dyDescent="0.45">
      <c r="B52" s="26" t="s">
        <v>1077</v>
      </c>
      <c r="C52" s="27" t="s">
        <v>1153</v>
      </c>
      <c r="D52" s="28" t="s">
        <v>1154</v>
      </c>
      <c r="E52" s="49">
        <v>0</v>
      </c>
      <c r="G52" s="26" t="s">
        <v>1077</v>
      </c>
      <c r="H52" s="27" t="s">
        <v>1210</v>
      </c>
      <c r="I52" s="28" t="s">
        <v>1154</v>
      </c>
      <c r="J52" s="49">
        <f t="shared" si="0"/>
        <v>0</v>
      </c>
    </row>
    <row r="53" spans="2:10" x14ac:dyDescent="0.45">
      <c r="B53" s="26" t="s">
        <v>1089</v>
      </c>
      <c r="C53" s="27" t="s">
        <v>1155</v>
      </c>
      <c r="D53" s="28" t="s">
        <v>1156</v>
      </c>
      <c r="E53" s="49">
        <v>0</v>
      </c>
      <c r="G53" s="26" t="s">
        <v>1089</v>
      </c>
      <c r="H53" s="27" t="s">
        <v>1216</v>
      </c>
      <c r="I53" s="28" t="s">
        <v>1156</v>
      </c>
      <c r="J53" s="49">
        <f t="shared" si="0"/>
        <v>0</v>
      </c>
    </row>
    <row r="54" spans="2:10" x14ac:dyDescent="0.45">
      <c r="B54" s="36" t="s">
        <v>1157</v>
      </c>
      <c r="C54" s="37" t="s">
        <v>1158</v>
      </c>
      <c r="D54" s="38" t="s">
        <v>1157</v>
      </c>
      <c r="E54" s="43">
        <f>SUM(E55:E57)</f>
        <v>0</v>
      </c>
      <c r="G54" s="36" t="s">
        <v>1157</v>
      </c>
      <c r="H54" s="37" t="s">
        <v>1211</v>
      </c>
      <c r="I54" s="38" t="s">
        <v>1157</v>
      </c>
      <c r="J54" s="43">
        <f t="shared" si="0"/>
        <v>0</v>
      </c>
    </row>
    <row r="55" spans="2:10" x14ac:dyDescent="0.45">
      <c r="B55" s="31" t="s">
        <v>1052</v>
      </c>
      <c r="C55" s="29" t="s">
        <v>1159</v>
      </c>
      <c r="D55" s="28" t="s">
        <v>1160</v>
      </c>
      <c r="E55" s="49">
        <v>0</v>
      </c>
      <c r="G55" s="31" t="s">
        <v>1052</v>
      </c>
      <c r="H55" s="29" t="s">
        <v>1212</v>
      </c>
      <c r="I55" s="28" t="s">
        <v>1160</v>
      </c>
      <c r="J55" s="49">
        <f t="shared" si="0"/>
        <v>0</v>
      </c>
    </row>
    <row r="56" spans="2:10" x14ac:dyDescent="0.45">
      <c r="B56" s="26" t="s">
        <v>1077</v>
      </c>
      <c r="C56" s="29" t="s">
        <v>1153</v>
      </c>
      <c r="D56" s="28" t="s">
        <v>1161</v>
      </c>
      <c r="E56" s="49">
        <v>0</v>
      </c>
      <c r="G56" s="26" t="s">
        <v>1077</v>
      </c>
      <c r="H56" s="29" t="s">
        <v>1210</v>
      </c>
      <c r="I56" s="28" t="s">
        <v>1161</v>
      </c>
      <c r="J56" s="49">
        <f t="shared" si="0"/>
        <v>0</v>
      </c>
    </row>
    <row r="57" spans="2:10" x14ac:dyDescent="0.45">
      <c r="B57" s="26" t="s">
        <v>1089</v>
      </c>
      <c r="C57" s="29" t="s">
        <v>1155</v>
      </c>
      <c r="D57" s="28" t="s">
        <v>1162</v>
      </c>
      <c r="E57" s="49">
        <v>0</v>
      </c>
      <c r="G57" s="26" t="s">
        <v>1089</v>
      </c>
      <c r="H57" s="27" t="s">
        <v>1216</v>
      </c>
      <c r="I57" s="28" t="s">
        <v>1162</v>
      </c>
      <c r="J57" s="49">
        <f t="shared" si="0"/>
        <v>0</v>
      </c>
    </row>
    <row r="58" spans="2:10" x14ac:dyDescent="0.45">
      <c r="B58" s="36" t="s">
        <v>1163</v>
      </c>
      <c r="C58" s="37" t="s">
        <v>1164</v>
      </c>
      <c r="D58" s="38" t="s">
        <v>1163</v>
      </c>
      <c r="E58" s="43">
        <f>E59+E60+E61</f>
        <v>1394121.26</v>
      </c>
      <c r="G58" s="36" t="s">
        <v>1163</v>
      </c>
      <c r="H58" s="37" t="s">
        <v>1213</v>
      </c>
      <c r="I58" s="38" t="s">
        <v>1163</v>
      </c>
      <c r="J58" s="43">
        <f t="shared" si="0"/>
        <v>1394121.26</v>
      </c>
    </row>
    <row r="59" spans="2:10" x14ac:dyDescent="0.45">
      <c r="B59" s="44" t="s">
        <v>1052</v>
      </c>
      <c r="C59" s="40" t="s">
        <v>1165</v>
      </c>
      <c r="D59" s="41" t="s">
        <v>1166</v>
      </c>
      <c r="E59" s="42">
        <f>E51-E55</f>
        <v>1394121.26</v>
      </c>
      <c r="G59" s="44" t="s">
        <v>1052</v>
      </c>
      <c r="H59" s="40" t="s">
        <v>1215</v>
      </c>
      <c r="I59" s="41" t="s">
        <v>1166</v>
      </c>
      <c r="J59" s="42">
        <f t="shared" si="0"/>
        <v>1394121.26</v>
      </c>
    </row>
    <row r="60" spans="2:10" x14ac:dyDescent="0.45">
      <c r="B60" s="44" t="s">
        <v>1077</v>
      </c>
      <c r="C60" s="40" t="s">
        <v>1167</v>
      </c>
      <c r="D60" s="41" t="s">
        <v>1168</v>
      </c>
      <c r="E60" s="42">
        <f>E52-E56</f>
        <v>0</v>
      </c>
      <c r="G60" s="44" t="s">
        <v>1077</v>
      </c>
      <c r="H60" s="40" t="s">
        <v>1217</v>
      </c>
      <c r="I60" s="41" t="s">
        <v>1168</v>
      </c>
      <c r="J60" s="42">
        <f t="shared" si="0"/>
        <v>0</v>
      </c>
    </row>
    <row r="61" spans="2:10" x14ac:dyDescent="0.45">
      <c r="B61" s="44" t="s">
        <v>1089</v>
      </c>
      <c r="C61" s="40" t="s">
        <v>1169</v>
      </c>
      <c r="D61" s="41" t="s">
        <v>1170</v>
      </c>
      <c r="E61" s="42">
        <f>E53-E57</f>
        <v>0</v>
      </c>
      <c r="G61" s="44" t="s">
        <v>1089</v>
      </c>
      <c r="H61" s="40" t="s">
        <v>1218</v>
      </c>
      <c r="I61" s="41" t="s">
        <v>1170</v>
      </c>
      <c r="J61" s="42">
        <f t="shared" si="0"/>
        <v>0</v>
      </c>
    </row>
    <row r="62" spans="2:10" x14ac:dyDescent="0.45">
      <c r="B62" s="36" t="s">
        <v>1171</v>
      </c>
      <c r="C62" s="37" t="s">
        <v>1172</v>
      </c>
      <c r="D62" s="38" t="s">
        <v>1171</v>
      </c>
      <c r="E62" s="43">
        <f>E50*20%</f>
        <v>278824.25200000004</v>
      </c>
      <c r="G62" s="36" t="s">
        <v>1171</v>
      </c>
      <c r="H62" s="37" t="s">
        <v>1219</v>
      </c>
      <c r="I62" s="38" t="s">
        <v>1171</v>
      </c>
      <c r="J62" s="43">
        <f t="shared" si="0"/>
        <v>278824.25200000004</v>
      </c>
    </row>
    <row r="63" spans="2:10" ht="19.5" x14ac:dyDescent="0.45">
      <c r="B63" s="36" t="s">
        <v>1173</v>
      </c>
      <c r="C63" s="46" t="s">
        <v>1174</v>
      </c>
      <c r="D63" s="38" t="s">
        <v>1173</v>
      </c>
      <c r="E63" s="43">
        <f>E58-E62</f>
        <v>1115297.0079999999</v>
      </c>
      <c r="G63" s="36" t="s">
        <v>1173</v>
      </c>
      <c r="H63" s="46" t="s">
        <v>1220</v>
      </c>
      <c r="I63" s="38" t="s">
        <v>1173</v>
      </c>
      <c r="J63" s="43">
        <f t="shared" si="0"/>
        <v>1115297.0079999999</v>
      </c>
    </row>
    <row r="68" spans="2:27" x14ac:dyDescent="0.45">
      <c r="B68" t="s">
        <v>1222</v>
      </c>
      <c r="G68" t="s">
        <v>1265</v>
      </c>
      <c r="N68" t="s">
        <v>1294</v>
      </c>
      <c r="V68" t="s">
        <v>1296</v>
      </c>
    </row>
    <row r="69" spans="2:27" ht="19.899999999999999" thickBot="1" x14ac:dyDescent="0.65">
      <c r="B69" s="1" t="s">
        <v>1223</v>
      </c>
      <c r="C69" s="1"/>
      <c r="D69" s="1"/>
      <c r="E69" s="1"/>
      <c r="G69" s="1" t="s">
        <v>1266</v>
      </c>
      <c r="H69" s="1"/>
      <c r="I69" s="1"/>
      <c r="J69" s="1"/>
      <c r="N69" s="1" t="s">
        <v>1295</v>
      </c>
      <c r="O69" s="1"/>
      <c r="P69" s="1"/>
      <c r="Q69" s="1"/>
      <c r="R69" s="1"/>
      <c r="S69" s="1"/>
      <c r="V69" s="1" t="s">
        <v>1297</v>
      </c>
      <c r="W69" s="1"/>
      <c r="X69" s="1"/>
      <c r="Y69" s="1"/>
      <c r="Z69" s="1"/>
      <c r="AA69" s="1"/>
    </row>
    <row r="70" spans="2:27" ht="14.65" thickTop="1" x14ac:dyDescent="0.45"/>
    <row r="72" spans="2:27" ht="25.15" customHeight="1" x14ac:dyDescent="0.45">
      <c r="B72" s="60" t="s">
        <v>1046</v>
      </c>
      <c r="C72" s="60" t="s">
        <v>1047</v>
      </c>
      <c r="D72" s="60" t="s">
        <v>1048</v>
      </c>
      <c r="E72" s="60" t="s">
        <v>1049</v>
      </c>
      <c r="G72" s="60" t="s">
        <v>1046</v>
      </c>
      <c r="H72" s="60" t="s">
        <v>1047</v>
      </c>
      <c r="I72" s="60" t="s">
        <v>1048</v>
      </c>
      <c r="J72" s="60" t="s">
        <v>1049</v>
      </c>
      <c r="N72" s="60" t="s">
        <v>1046</v>
      </c>
      <c r="O72" s="60" t="s">
        <v>1281</v>
      </c>
      <c r="P72" s="70" t="s">
        <v>1282</v>
      </c>
      <c r="Q72" s="71" t="s">
        <v>1283</v>
      </c>
      <c r="R72" s="71" t="s">
        <v>1284</v>
      </c>
      <c r="S72" s="71" t="s">
        <v>1285</v>
      </c>
      <c r="V72" s="60" t="s">
        <v>1176</v>
      </c>
      <c r="W72" s="60" t="s">
        <v>1290</v>
      </c>
      <c r="X72" s="70" t="s">
        <v>1291</v>
      </c>
      <c r="Y72" s="71" t="s">
        <v>1292</v>
      </c>
      <c r="Z72" s="71" t="s">
        <v>1293</v>
      </c>
      <c r="AA72" s="154" t="s">
        <v>1298</v>
      </c>
    </row>
    <row r="73" spans="2:27" x14ac:dyDescent="0.45">
      <c r="B73" s="61" t="s">
        <v>1224</v>
      </c>
      <c r="C73" s="61" t="s">
        <v>1225</v>
      </c>
      <c r="D73" s="61" t="s">
        <v>1226</v>
      </c>
      <c r="E73" s="61" t="s">
        <v>1227</v>
      </c>
      <c r="G73" s="61" t="s">
        <v>1224</v>
      </c>
      <c r="H73" s="61" t="s">
        <v>1225</v>
      </c>
      <c r="I73" s="61" t="s">
        <v>1226</v>
      </c>
      <c r="J73" s="61" t="s">
        <v>1227</v>
      </c>
      <c r="N73" s="61" t="s">
        <v>1224</v>
      </c>
      <c r="O73" s="61" t="s">
        <v>1225</v>
      </c>
      <c r="P73" s="72" t="s">
        <v>1226</v>
      </c>
      <c r="Q73" s="73" t="s">
        <v>1227</v>
      </c>
      <c r="R73" s="73" t="s">
        <v>1286</v>
      </c>
      <c r="S73" s="76" t="s">
        <v>1287</v>
      </c>
      <c r="V73" s="61" t="s">
        <v>1224</v>
      </c>
      <c r="W73" s="61" t="s">
        <v>1225</v>
      </c>
      <c r="X73" s="72" t="s">
        <v>1226</v>
      </c>
      <c r="Y73" s="73" t="s">
        <v>1227</v>
      </c>
      <c r="Z73" s="73" t="s">
        <v>1286</v>
      </c>
      <c r="AA73" s="185" t="s">
        <v>1287</v>
      </c>
    </row>
    <row r="74" spans="2:27" x14ac:dyDescent="0.45">
      <c r="B74" s="62"/>
      <c r="C74" s="63" t="s">
        <v>1228</v>
      </c>
      <c r="D74" s="64"/>
      <c r="E74" s="65"/>
      <c r="G74" s="62"/>
      <c r="H74" s="63" t="s">
        <v>1267</v>
      </c>
      <c r="I74" s="64"/>
      <c r="J74" s="65"/>
      <c r="N74" s="68">
        <v>1</v>
      </c>
      <c r="O74" s="69">
        <f t="shared" ref="O74:O76" si="1">O75-1</f>
        <v>2019</v>
      </c>
      <c r="P74" s="77"/>
      <c r="Q74" s="78"/>
      <c r="R74" s="78"/>
      <c r="S74" s="79">
        <f>P74-Q74-R74</f>
        <v>0</v>
      </c>
      <c r="V74" s="68">
        <v>1</v>
      </c>
      <c r="W74" s="69">
        <f>O74</f>
        <v>2019</v>
      </c>
      <c r="X74" s="85">
        <f>P74</f>
        <v>0</v>
      </c>
      <c r="Y74" s="85">
        <f t="shared" ref="Y74:Y80" si="2">Q74</f>
        <v>0</v>
      </c>
      <c r="Z74" s="85">
        <f t="shared" ref="Z74:Z80" si="3">R74</f>
        <v>0</v>
      </c>
      <c r="AA74" s="186">
        <f t="shared" ref="AA74:AA80" si="4">S74</f>
        <v>0</v>
      </c>
    </row>
    <row r="75" spans="2:27" x14ac:dyDescent="0.45">
      <c r="B75" s="53">
        <v>1</v>
      </c>
      <c r="C75" s="54" t="s">
        <v>1229</v>
      </c>
      <c r="D75" s="55" t="s">
        <v>1230</v>
      </c>
      <c r="E75" s="452">
        <f>BCKQKD!G9</f>
        <v>244520964</v>
      </c>
      <c r="G75" s="53">
        <v>1</v>
      </c>
      <c r="H75" s="54" t="s">
        <v>354</v>
      </c>
      <c r="I75" s="55" t="s">
        <v>1230</v>
      </c>
      <c r="J75" s="86">
        <f>E75</f>
        <v>244520964</v>
      </c>
      <c r="N75" s="68">
        <v>2</v>
      </c>
      <c r="O75" s="69">
        <f t="shared" si="1"/>
        <v>2020</v>
      </c>
      <c r="P75" s="77"/>
      <c r="Q75" s="78"/>
      <c r="R75" s="78"/>
      <c r="S75" s="79">
        <f t="shared" ref="S75:S79" si="5">P75-Q75-R75</f>
        <v>0</v>
      </c>
      <c r="V75" s="68">
        <v>2</v>
      </c>
      <c r="W75" s="69">
        <f t="shared" ref="W75:W78" si="6">O75</f>
        <v>2020</v>
      </c>
      <c r="X75" s="85">
        <f t="shared" ref="X75:X80" si="7">P75</f>
        <v>0</v>
      </c>
      <c r="Y75" s="85">
        <f t="shared" si="2"/>
        <v>0</v>
      </c>
      <c r="Z75" s="85">
        <f t="shared" si="3"/>
        <v>0</v>
      </c>
      <c r="AA75" s="186">
        <f t="shared" si="4"/>
        <v>0</v>
      </c>
    </row>
    <row r="76" spans="2:27" x14ac:dyDescent="0.45">
      <c r="B76" s="56"/>
      <c r="C76" s="57" t="s">
        <v>1231</v>
      </c>
      <c r="D76" s="58" t="s">
        <v>1232</v>
      </c>
      <c r="E76" s="453">
        <v>0</v>
      </c>
      <c r="G76" s="56"/>
      <c r="H76" s="57" t="s">
        <v>1268</v>
      </c>
      <c r="I76" s="58" t="s">
        <v>1232</v>
      </c>
      <c r="J76" s="48">
        <f t="shared" ref="J76:J93" si="8">E76</f>
        <v>0</v>
      </c>
      <c r="N76" s="68">
        <v>3</v>
      </c>
      <c r="O76" s="69">
        <f t="shared" si="1"/>
        <v>2021</v>
      </c>
      <c r="P76" s="77"/>
      <c r="Q76" s="78"/>
      <c r="R76" s="78"/>
      <c r="S76" s="79">
        <f t="shared" si="5"/>
        <v>0</v>
      </c>
      <c r="V76" s="68">
        <v>3</v>
      </c>
      <c r="W76" s="69">
        <f t="shared" si="6"/>
        <v>2021</v>
      </c>
      <c r="X76" s="85">
        <f t="shared" si="7"/>
        <v>0</v>
      </c>
      <c r="Y76" s="85">
        <f t="shared" si="2"/>
        <v>0</v>
      </c>
      <c r="Z76" s="85">
        <f t="shared" si="3"/>
        <v>0</v>
      </c>
      <c r="AA76" s="186">
        <f t="shared" si="4"/>
        <v>0</v>
      </c>
    </row>
    <row r="77" spans="2:27" x14ac:dyDescent="0.45">
      <c r="B77" s="66">
        <v>2</v>
      </c>
      <c r="C77" s="63" t="s">
        <v>1233</v>
      </c>
      <c r="D77" s="67" t="s">
        <v>1234</v>
      </c>
      <c r="E77" s="454">
        <f>SUM(E78:E81)</f>
        <v>0</v>
      </c>
      <c r="G77" s="66">
        <v>2</v>
      </c>
      <c r="H77" s="63" t="s">
        <v>1269</v>
      </c>
      <c r="I77" s="67" t="s">
        <v>1234</v>
      </c>
      <c r="J77" s="43">
        <f t="shared" si="8"/>
        <v>0</v>
      </c>
      <c r="N77" s="68">
        <v>4</v>
      </c>
      <c r="O77" s="69">
        <f>O78-1</f>
        <v>2022</v>
      </c>
      <c r="P77" s="77"/>
      <c r="Q77" s="78"/>
      <c r="R77" s="78"/>
      <c r="S77" s="79">
        <f t="shared" si="5"/>
        <v>0</v>
      </c>
      <c r="V77" s="68">
        <v>4</v>
      </c>
      <c r="W77" s="69">
        <f t="shared" si="6"/>
        <v>2022</v>
      </c>
      <c r="X77" s="85">
        <f t="shared" si="7"/>
        <v>0</v>
      </c>
      <c r="Y77" s="85">
        <f t="shared" si="2"/>
        <v>0</v>
      </c>
      <c r="Z77" s="85">
        <f t="shared" si="3"/>
        <v>0</v>
      </c>
      <c r="AA77" s="186">
        <f t="shared" si="4"/>
        <v>0</v>
      </c>
    </row>
    <row r="78" spans="2:27" x14ac:dyDescent="0.45">
      <c r="B78" s="56" t="s">
        <v>1235</v>
      </c>
      <c r="C78" s="57" t="s">
        <v>1236</v>
      </c>
      <c r="D78" s="58" t="s">
        <v>1237</v>
      </c>
      <c r="E78" s="455">
        <v>0</v>
      </c>
      <c r="G78" s="56" t="s">
        <v>1235</v>
      </c>
      <c r="H78" s="57" t="s">
        <v>1270</v>
      </c>
      <c r="I78" s="58" t="s">
        <v>1237</v>
      </c>
      <c r="J78" s="49">
        <f t="shared" si="8"/>
        <v>0</v>
      </c>
      <c r="N78" s="68">
        <v>5</v>
      </c>
      <c r="O78" s="69">
        <f>MAIN!D6-1</f>
        <v>2023</v>
      </c>
      <c r="P78" s="77"/>
      <c r="Q78" s="78"/>
      <c r="R78" s="78"/>
      <c r="S78" s="79">
        <f t="shared" si="5"/>
        <v>0</v>
      </c>
      <c r="V78" s="68">
        <v>5</v>
      </c>
      <c r="W78" s="69">
        <f t="shared" si="6"/>
        <v>2023</v>
      </c>
      <c r="X78" s="85">
        <f t="shared" si="7"/>
        <v>0</v>
      </c>
      <c r="Y78" s="85">
        <f t="shared" si="2"/>
        <v>0</v>
      </c>
      <c r="Z78" s="85">
        <f t="shared" si="3"/>
        <v>0</v>
      </c>
      <c r="AA78" s="186">
        <f t="shared" si="4"/>
        <v>0</v>
      </c>
    </row>
    <row r="79" spans="2:27" x14ac:dyDescent="0.45">
      <c r="B79" s="56" t="s">
        <v>1238</v>
      </c>
      <c r="C79" s="57" t="s">
        <v>1239</v>
      </c>
      <c r="D79" s="58" t="s">
        <v>1240</v>
      </c>
      <c r="E79" s="455">
        <v>0</v>
      </c>
      <c r="G79" s="56" t="s">
        <v>1238</v>
      </c>
      <c r="H79" s="57" t="s">
        <v>1271</v>
      </c>
      <c r="I79" s="58" t="s">
        <v>1240</v>
      </c>
      <c r="J79" s="49">
        <f t="shared" si="8"/>
        <v>0</v>
      </c>
      <c r="N79" s="53"/>
      <c r="O79" s="53"/>
      <c r="P79" s="80"/>
      <c r="Q79" s="81"/>
      <c r="R79" s="81"/>
      <c r="S79" s="79">
        <f t="shared" si="5"/>
        <v>0</v>
      </c>
      <c r="V79" s="53"/>
      <c r="W79" s="53"/>
      <c r="X79" s="85">
        <f t="shared" si="7"/>
        <v>0</v>
      </c>
      <c r="Y79" s="85">
        <f t="shared" si="2"/>
        <v>0</v>
      </c>
      <c r="Z79" s="85">
        <f t="shared" si="3"/>
        <v>0</v>
      </c>
      <c r="AA79" s="186">
        <f t="shared" si="4"/>
        <v>0</v>
      </c>
    </row>
    <row r="80" spans="2:27" x14ac:dyDescent="0.45">
      <c r="B80" s="56" t="s">
        <v>1241</v>
      </c>
      <c r="C80" s="57" t="s">
        <v>1242</v>
      </c>
      <c r="D80" s="58" t="s">
        <v>1243</v>
      </c>
      <c r="E80" s="455">
        <v>0</v>
      </c>
      <c r="G80" s="56" t="s">
        <v>1241</v>
      </c>
      <c r="H80" s="57" t="s">
        <v>1272</v>
      </c>
      <c r="I80" s="58" t="s">
        <v>1243</v>
      </c>
      <c r="J80" s="49">
        <f t="shared" si="8"/>
        <v>0</v>
      </c>
      <c r="N80" s="74" t="s">
        <v>1288</v>
      </c>
      <c r="O80" s="75"/>
      <c r="P80" s="82">
        <f t="shared" ref="P80" si="9">SUM(P74:P79)</f>
        <v>0</v>
      </c>
      <c r="Q80" s="82">
        <f t="shared" ref="Q80" si="10">SUM(Q74:Q79)</f>
        <v>0</v>
      </c>
      <c r="R80" s="82">
        <f t="shared" ref="R80" si="11">SUM(R74:R79)</f>
        <v>0</v>
      </c>
      <c r="S80" s="82">
        <f>SUM(S74:S79)</f>
        <v>0</v>
      </c>
      <c r="V80" s="74" t="s">
        <v>1288</v>
      </c>
      <c r="W80" s="75"/>
      <c r="X80" s="83">
        <f t="shared" si="7"/>
        <v>0</v>
      </c>
      <c r="Y80" s="83">
        <f t="shared" si="2"/>
        <v>0</v>
      </c>
      <c r="Z80" s="83">
        <f t="shared" si="3"/>
        <v>0</v>
      </c>
      <c r="AA80" s="84">
        <f t="shared" si="4"/>
        <v>0</v>
      </c>
    </row>
    <row r="81" spans="2:10" x14ac:dyDescent="0.45">
      <c r="B81" s="56" t="s">
        <v>1244</v>
      </c>
      <c r="C81" s="57" t="s">
        <v>1245</v>
      </c>
      <c r="D81" s="58" t="s">
        <v>1246</v>
      </c>
      <c r="E81" s="455">
        <v>0</v>
      </c>
      <c r="G81" s="56" t="s">
        <v>1244</v>
      </c>
      <c r="H81" s="57" t="s">
        <v>1273</v>
      </c>
      <c r="I81" s="58" t="s">
        <v>1246</v>
      </c>
      <c r="J81" s="49">
        <f t="shared" si="8"/>
        <v>0</v>
      </c>
    </row>
    <row r="82" spans="2:10" x14ac:dyDescent="0.45">
      <c r="B82" s="53">
        <v>3</v>
      </c>
      <c r="C82" s="54" t="s">
        <v>1247</v>
      </c>
      <c r="D82" s="55" t="s">
        <v>1248</v>
      </c>
      <c r="E82" s="452">
        <f>BCKQKD!G14</f>
        <v>161</v>
      </c>
      <c r="G82" s="53">
        <v>3</v>
      </c>
      <c r="H82" s="54" t="s">
        <v>1274</v>
      </c>
      <c r="I82" s="55" t="s">
        <v>1248</v>
      </c>
      <c r="J82" s="86">
        <f t="shared" si="8"/>
        <v>161</v>
      </c>
    </row>
    <row r="83" spans="2:10" ht="30.95" customHeight="1" x14ac:dyDescent="0.45">
      <c r="B83" s="66">
        <v>4</v>
      </c>
      <c r="C83" s="63" t="s">
        <v>1249</v>
      </c>
      <c r="D83" s="67" t="s">
        <v>1250</v>
      </c>
      <c r="E83" s="454">
        <f>E84+E85+E86</f>
        <v>230005099</v>
      </c>
      <c r="G83" s="66">
        <v>4</v>
      </c>
      <c r="H83" s="63" t="s">
        <v>1275</v>
      </c>
      <c r="I83" s="67" t="s">
        <v>1250</v>
      </c>
      <c r="J83" s="43">
        <f t="shared" si="8"/>
        <v>230005099</v>
      </c>
    </row>
    <row r="84" spans="2:10" x14ac:dyDescent="0.45">
      <c r="B84" s="56" t="s">
        <v>1235</v>
      </c>
      <c r="C84" s="57" t="s">
        <v>142</v>
      </c>
      <c r="D84" s="58" t="s">
        <v>1251</v>
      </c>
      <c r="E84" s="455">
        <f>BCKQKD!G12</f>
        <v>183572894</v>
      </c>
      <c r="G84" s="56" t="s">
        <v>1235</v>
      </c>
      <c r="H84" s="57" t="s">
        <v>319</v>
      </c>
      <c r="I84" s="58" t="s">
        <v>1251</v>
      </c>
      <c r="J84" s="49">
        <f t="shared" si="8"/>
        <v>183572894</v>
      </c>
    </row>
    <row r="85" spans="2:10" x14ac:dyDescent="0.45">
      <c r="B85" s="56" t="s">
        <v>1238</v>
      </c>
      <c r="C85" s="57" t="s">
        <v>147</v>
      </c>
      <c r="D85" s="58" t="s">
        <v>1252</v>
      </c>
      <c r="E85" s="455">
        <v>0</v>
      </c>
      <c r="G85" s="56" t="s">
        <v>1238</v>
      </c>
      <c r="H85" s="57" t="s">
        <v>322</v>
      </c>
      <c r="I85" s="58" t="s">
        <v>1252</v>
      </c>
      <c r="J85" s="49">
        <f t="shared" si="8"/>
        <v>0</v>
      </c>
    </row>
    <row r="86" spans="2:10" x14ac:dyDescent="0.45">
      <c r="B86" s="56" t="s">
        <v>1241</v>
      </c>
      <c r="C86" s="57" t="s">
        <v>148</v>
      </c>
      <c r="D86" s="58" t="s">
        <v>1253</v>
      </c>
      <c r="E86" s="455">
        <f>BCKQKD!G17</f>
        <v>46432205</v>
      </c>
      <c r="G86" s="56" t="s">
        <v>1241</v>
      </c>
      <c r="H86" s="57" t="s">
        <v>323</v>
      </c>
      <c r="I86" s="58" t="s">
        <v>1253</v>
      </c>
      <c r="J86" s="49">
        <f t="shared" si="8"/>
        <v>46432205</v>
      </c>
    </row>
    <row r="87" spans="2:10" x14ac:dyDescent="0.45">
      <c r="B87" s="53">
        <v>5</v>
      </c>
      <c r="C87" s="54" t="s">
        <v>144</v>
      </c>
      <c r="D87" s="55" t="s">
        <v>1254</v>
      </c>
      <c r="E87" s="452">
        <f>BCKQKD!G15</f>
        <v>2573376</v>
      </c>
      <c r="G87" s="53">
        <v>5</v>
      </c>
      <c r="H87" s="54" t="s">
        <v>1276</v>
      </c>
      <c r="I87" s="55" t="s">
        <v>1254</v>
      </c>
      <c r="J87" s="86">
        <f t="shared" si="8"/>
        <v>2573376</v>
      </c>
    </row>
    <row r="88" spans="2:10" x14ac:dyDescent="0.45">
      <c r="B88" s="59"/>
      <c r="C88" s="57" t="s">
        <v>1255</v>
      </c>
      <c r="D88" s="58" t="s">
        <v>1256</v>
      </c>
      <c r="E88" s="453">
        <f>BCKQKD!G16</f>
        <v>0</v>
      </c>
      <c r="G88" s="59"/>
      <c r="H88" s="57" t="s">
        <v>1277</v>
      </c>
      <c r="I88" s="58" t="s">
        <v>1256</v>
      </c>
      <c r="J88" s="48">
        <f t="shared" si="8"/>
        <v>0</v>
      </c>
    </row>
    <row r="89" spans="2:10" x14ac:dyDescent="0.45">
      <c r="B89" s="66">
        <v>6</v>
      </c>
      <c r="C89" s="63" t="s">
        <v>1257</v>
      </c>
      <c r="D89" s="67" t="s">
        <v>1258</v>
      </c>
      <c r="E89" s="454">
        <f>E75-E77+E82-E83-E87</f>
        <v>11942650</v>
      </c>
      <c r="G89" s="66">
        <v>6</v>
      </c>
      <c r="H89" s="63" t="s">
        <v>1278</v>
      </c>
      <c r="I89" s="67" t="s">
        <v>1258</v>
      </c>
      <c r="J89" s="43">
        <f t="shared" si="8"/>
        <v>11942650</v>
      </c>
    </row>
    <row r="90" spans="2:10" x14ac:dyDescent="0.45">
      <c r="B90" s="53">
        <v>7</v>
      </c>
      <c r="C90" s="54" t="s">
        <v>150</v>
      </c>
      <c r="D90" s="55" t="s">
        <v>1259</v>
      </c>
      <c r="E90" s="452">
        <f>BCDTK!I128</f>
        <v>5555556</v>
      </c>
      <c r="G90" s="53">
        <v>7</v>
      </c>
      <c r="H90" s="54" t="s">
        <v>324</v>
      </c>
      <c r="I90" s="55" t="s">
        <v>1259</v>
      </c>
      <c r="J90" s="86">
        <f t="shared" si="8"/>
        <v>5555556</v>
      </c>
    </row>
    <row r="91" spans="2:10" x14ac:dyDescent="0.45">
      <c r="B91" s="53">
        <v>8</v>
      </c>
      <c r="C91" s="54" t="s">
        <v>152</v>
      </c>
      <c r="D91" s="55" t="s">
        <v>1260</v>
      </c>
      <c r="E91" s="452">
        <f>BCDTK!I129</f>
        <v>7540197</v>
      </c>
      <c r="G91" s="53">
        <v>8</v>
      </c>
      <c r="H91" s="54" t="s">
        <v>325</v>
      </c>
      <c r="I91" s="55" t="s">
        <v>1260</v>
      </c>
      <c r="J91" s="86">
        <f t="shared" si="8"/>
        <v>7540197</v>
      </c>
    </row>
    <row r="92" spans="2:10" x14ac:dyDescent="0.45">
      <c r="B92" s="66">
        <v>9</v>
      </c>
      <c r="C92" s="63" t="s">
        <v>1261</v>
      </c>
      <c r="D92" s="67" t="s">
        <v>1262</v>
      </c>
      <c r="E92" s="454">
        <f>E90-E91</f>
        <v>-1984641</v>
      </c>
      <c r="G92" s="66">
        <v>9</v>
      </c>
      <c r="H92" s="63" t="s">
        <v>1279</v>
      </c>
      <c r="I92" s="67" t="s">
        <v>1262</v>
      </c>
      <c r="J92" s="43">
        <f t="shared" si="8"/>
        <v>-1984641</v>
      </c>
    </row>
    <row r="93" spans="2:10" x14ac:dyDescent="0.45">
      <c r="B93" s="66">
        <v>10</v>
      </c>
      <c r="C93" s="63" t="s">
        <v>1263</v>
      </c>
      <c r="D93" s="67" t="s">
        <v>1264</v>
      </c>
      <c r="E93" s="454">
        <f>E89+E92</f>
        <v>9958009</v>
      </c>
      <c r="G93" s="66">
        <v>10</v>
      </c>
      <c r="H93" s="63" t="s">
        <v>1280</v>
      </c>
      <c r="I93" s="67" t="s">
        <v>1264</v>
      </c>
      <c r="J93" s="43">
        <f t="shared" si="8"/>
        <v>9958009</v>
      </c>
    </row>
    <row r="96" spans="2:10" x14ac:dyDescent="0.45">
      <c r="D96" s="456">
        <v>0.2</v>
      </c>
      <c r="E96" s="329">
        <f>E93*20%</f>
        <v>1991601.8</v>
      </c>
    </row>
  </sheetData>
  <mergeCells count="2">
    <mergeCell ref="B41:B42"/>
    <mergeCell ref="G41:G42"/>
  </mergeCells>
  <conditionalFormatting sqref="E38">
    <cfRule type="expression" dxfId="3" priority="1">
      <formula>IF(AND($E$38&gt;0,$E$38&lt;&gt;SUM($E$39:$E$42)),TRUE,FALSE)</formula>
    </cfRule>
  </conditionalFormatting>
  <pageMargins left="0.7" right="0.7" top="0.75" bottom="0.75" header="0.3" footer="0.3"/>
  <pageSetup orientation="portrait" r:id="rId1"/>
  <ignoredErrors>
    <ignoredError sqref="B73:J73 V73:AA73 B16:B61 B14 G14:G63 N73:S73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CTC">
    <tabColor rgb="FF7030A0"/>
    <pageSetUpPr fitToPage="1"/>
  </sheetPr>
  <dimension ref="A1:L53"/>
  <sheetViews>
    <sheetView showGridLines="0" topLeftCell="A29" workbookViewId="0">
      <selection activeCell="G38" sqref="G38"/>
    </sheetView>
  </sheetViews>
  <sheetFormatPr defaultColWidth="9.265625" defaultRowHeight="14.25" x14ac:dyDescent="0.45"/>
  <cols>
    <col min="1" max="1" width="5" style="2" customWidth="1"/>
    <col min="2" max="2" width="39" style="2" customWidth="1"/>
    <col min="3" max="3" width="5.86328125" style="4" bestFit="1" customWidth="1"/>
    <col min="4" max="4" width="9.265625" style="2" customWidth="1"/>
    <col min="5" max="6" width="18.73046875" style="2" customWidth="1"/>
    <col min="7" max="7" width="25.3984375" style="2" customWidth="1"/>
    <col min="8" max="8" width="38.86328125" style="2" customWidth="1"/>
    <col min="9" max="9" width="7.73046875" style="4" customWidth="1"/>
    <col min="10" max="10" width="10.86328125" style="2" customWidth="1"/>
    <col min="11" max="12" width="16.73046875" style="2" customWidth="1"/>
    <col min="13" max="16384" width="9.265625" style="2"/>
  </cols>
  <sheetData>
    <row r="1" spans="1:12" ht="53.25" customHeight="1" thickBot="1" x14ac:dyDescent="0.65">
      <c r="A1"/>
      <c r="B1" s="1" t="s">
        <v>372</v>
      </c>
      <c r="C1" s="3"/>
      <c r="D1" s="25" t="s">
        <v>1038</v>
      </c>
      <c r="E1" s="7">
        <v>2020</v>
      </c>
      <c r="F1" s="180">
        <f ca="1">NOW()</f>
        <v>45942.488246990739</v>
      </c>
      <c r="H1" s="1" t="s">
        <v>1803</v>
      </c>
      <c r="I1" s="3"/>
      <c r="J1" s="25" t="s">
        <v>1039</v>
      </c>
      <c r="K1" s="7">
        <v>2020</v>
      </c>
      <c r="L1" s="180">
        <f ca="1">NOW()</f>
        <v>45942.488246990739</v>
      </c>
    </row>
    <row r="2" spans="1:12" ht="23.45" customHeight="1" thickTop="1" x14ac:dyDescent="0.45">
      <c r="B2" s="14" t="str">
        <f>"Tại ngày: "&amp;TEXT(MAIN!D15,"dd/mm/yyyy")</f>
        <v>Tại ngày: 31/12/2024</v>
      </c>
      <c r="C2" s="2"/>
      <c r="E2" s="6">
        <f ca="1">E33-E53</f>
        <v>0</v>
      </c>
      <c r="F2" s="6">
        <f ca="1">F33-F53</f>
        <v>0</v>
      </c>
      <c r="H2" s="15" t="str">
        <f>"On date: "&amp;TEXT(MAIN!D15,"dd/mm/yyyy")</f>
        <v>On date: 31/12/2024</v>
      </c>
      <c r="K2" s="6">
        <f ca="1">E2</f>
        <v>0</v>
      </c>
      <c r="L2" s="6">
        <f ca="1">F2</f>
        <v>0</v>
      </c>
    </row>
    <row r="3" spans="1:12" hidden="1" x14ac:dyDescent="0.45">
      <c r="C3" s="2"/>
      <c r="E3" s="5" t="s">
        <v>1040</v>
      </c>
      <c r="F3" s="5" t="s">
        <v>1042</v>
      </c>
    </row>
    <row r="4" spans="1:12" hidden="1" x14ac:dyDescent="0.45">
      <c r="C4" s="2"/>
      <c r="E4" s="5" t="s">
        <v>1041</v>
      </c>
      <c r="F4" s="5" t="s">
        <v>1043</v>
      </c>
    </row>
    <row r="5" spans="1:12" ht="29.25" customHeight="1" x14ac:dyDescent="0.45">
      <c r="B5" s="275" t="s">
        <v>156</v>
      </c>
      <c r="C5" s="278" t="s">
        <v>157</v>
      </c>
      <c r="D5" s="277" t="s">
        <v>158</v>
      </c>
      <c r="E5" s="278" t="s">
        <v>159</v>
      </c>
      <c r="F5" s="279" t="s">
        <v>160</v>
      </c>
      <c r="H5" s="275" t="s">
        <v>211</v>
      </c>
      <c r="I5" s="278" t="s">
        <v>212</v>
      </c>
      <c r="J5" s="277" t="s">
        <v>374</v>
      </c>
      <c r="K5" s="278" t="s">
        <v>213</v>
      </c>
      <c r="L5" s="279" t="s">
        <v>214</v>
      </c>
    </row>
    <row r="6" spans="1:12" s="182" customFormat="1" ht="17.649999999999999" customHeight="1" x14ac:dyDescent="0.45">
      <c r="B6" s="276">
        <v>1</v>
      </c>
      <c r="C6" s="210">
        <v>2</v>
      </c>
      <c r="D6" s="210">
        <v>3</v>
      </c>
      <c r="E6" s="210">
        <v>4</v>
      </c>
      <c r="F6" s="211">
        <v>5</v>
      </c>
      <c r="G6" s="281"/>
      <c r="H6" s="276">
        <v>1</v>
      </c>
      <c r="I6" s="210">
        <v>2</v>
      </c>
      <c r="J6" s="210">
        <v>3</v>
      </c>
      <c r="K6" s="210">
        <v>4</v>
      </c>
      <c r="L6" s="211">
        <v>5</v>
      </c>
    </row>
    <row r="7" spans="1:12" ht="17.649999999999999" customHeight="1" x14ac:dyDescent="0.45">
      <c r="B7" s="103" t="s">
        <v>161</v>
      </c>
      <c r="C7" s="104">
        <v>110</v>
      </c>
      <c r="D7" s="105"/>
      <c r="E7" s="106">
        <f ca="1">SUMIFS(INDIRECT(E$3),BCDTK!$A$9:$A$405,$C7)</f>
        <v>297268550</v>
      </c>
      <c r="F7" s="106">
        <f ca="1">SUMIFS(INDIRECT(F$3),BCDTK!$A$9:$A$405,$C7)</f>
        <v>440114931</v>
      </c>
      <c r="H7" s="177" t="s">
        <v>1299</v>
      </c>
      <c r="I7" s="178">
        <f>C7</f>
        <v>110</v>
      </c>
      <c r="J7" s="177"/>
      <c r="K7" s="179">
        <f t="shared" ref="K7:L7" ca="1" si="0">E7</f>
        <v>297268550</v>
      </c>
      <c r="L7" s="179">
        <f t="shared" ca="1" si="0"/>
        <v>440114931</v>
      </c>
    </row>
    <row r="8" spans="1:12" ht="17.649999999999999" customHeight="1" x14ac:dyDescent="0.45">
      <c r="B8" s="107" t="s">
        <v>162</v>
      </c>
      <c r="C8" s="108">
        <v>120</v>
      </c>
      <c r="D8" s="109"/>
      <c r="E8" s="110">
        <f ca="1">SUM(E9:E12)</f>
        <v>0</v>
      </c>
      <c r="F8" s="110">
        <f ca="1">SUM(F9:F12)</f>
        <v>0</v>
      </c>
      <c r="H8" s="177" t="s">
        <v>1300</v>
      </c>
      <c r="I8" s="178">
        <f t="shared" ref="I8:I33" si="1">C8</f>
        <v>120</v>
      </c>
      <c r="J8" s="177"/>
      <c r="K8" s="179">
        <f t="shared" ref="K8:K34" ca="1" si="2">E8</f>
        <v>0</v>
      </c>
      <c r="L8" s="179">
        <f t="shared" ref="L8:L34" ca="1" si="3">F8</f>
        <v>0</v>
      </c>
    </row>
    <row r="9" spans="1:12" ht="17.649999999999999" customHeight="1" x14ac:dyDescent="0.45">
      <c r="B9" s="111" t="s">
        <v>163</v>
      </c>
      <c r="C9" s="112">
        <v>121</v>
      </c>
      <c r="D9" s="112"/>
      <c r="E9" s="113">
        <f ca="1">SUMIFS(INDIRECT(E$3),BCDTK!$A$9:$A$405,$C9)</f>
        <v>0</v>
      </c>
      <c r="F9" s="113">
        <f ca="1">SUMIFS(INDIRECT(F$3),BCDTK!$A$9:$A$405,$C9)</f>
        <v>0</v>
      </c>
      <c r="H9" s="138" t="s">
        <v>1301</v>
      </c>
      <c r="I9" s="137">
        <f t="shared" si="1"/>
        <v>121</v>
      </c>
      <c r="J9" s="138"/>
      <c r="K9" s="139">
        <f t="shared" ca="1" si="2"/>
        <v>0</v>
      </c>
      <c r="L9" s="139">
        <f t="shared" ca="1" si="3"/>
        <v>0</v>
      </c>
    </row>
    <row r="10" spans="1:12" ht="17.649999999999999" customHeight="1" x14ac:dyDescent="0.45">
      <c r="B10" s="111" t="s">
        <v>164</v>
      </c>
      <c r="C10" s="112">
        <v>122</v>
      </c>
      <c r="D10" s="112"/>
      <c r="E10" s="113">
        <f ca="1">SUMIFS(INDIRECT(E$3),BCDTK!$A$9:$A$405,$C10)</f>
        <v>0</v>
      </c>
      <c r="F10" s="113">
        <f ca="1">SUMIFS(INDIRECT(F$3),BCDTK!$A$9:$A$405,$C10)</f>
        <v>0</v>
      </c>
      <c r="H10" s="138" t="s">
        <v>1302</v>
      </c>
      <c r="I10" s="137">
        <f t="shared" si="1"/>
        <v>122</v>
      </c>
      <c r="J10" s="138"/>
      <c r="K10" s="139">
        <f t="shared" ca="1" si="2"/>
        <v>0</v>
      </c>
      <c r="L10" s="139">
        <f t="shared" ca="1" si="3"/>
        <v>0</v>
      </c>
    </row>
    <row r="11" spans="1:12" ht="17.649999999999999" customHeight="1" x14ac:dyDescent="0.45">
      <c r="B11" s="111" t="s">
        <v>165</v>
      </c>
      <c r="C11" s="112">
        <v>123</v>
      </c>
      <c r="D11" s="112"/>
      <c r="E11" s="113">
        <f ca="1">SUMIFS(INDIRECT(E$3),BCDTK!$A$9:$A$405,$C11)</f>
        <v>0</v>
      </c>
      <c r="F11" s="113">
        <f ca="1">SUMIFS(INDIRECT(F$3),BCDTK!$A$9:$A$405,$C11)</f>
        <v>0</v>
      </c>
      <c r="H11" s="138" t="s">
        <v>1308</v>
      </c>
      <c r="I11" s="137">
        <f t="shared" si="1"/>
        <v>123</v>
      </c>
      <c r="J11" s="138"/>
      <c r="K11" s="139">
        <f t="shared" ca="1" si="2"/>
        <v>0</v>
      </c>
      <c r="L11" s="139">
        <f t="shared" ca="1" si="3"/>
        <v>0</v>
      </c>
    </row>
    <row r="12" spans="1:12" ht="17.649999999999999" customHeight="1" x14ac:dyDescent="0.45">
      <c r="B12" s="114" t="s">
        <v>166</v>
      </c>
      <c r="C12" s="115">
        <v>124</v>
      </c>
      <c r="D12" s="115"/>
      <c r="E12" s="113">
        <f ca="1">-SUMIFS(INDIRECT(E$4),BCDTK!$A$9:$A$405,$C12)</f>
        <v>0</v>
      </c>
      <c r="F12" s="113">
        <f ca="1">-SUMIFS(INDIRECT(F$4),BCDTK!$A$9:$A$405,$C12)</f>
        <v>0</v>
      </c>
      <c r="H12" s="138" t="s">
        <v>1309</v>
      </c>
      <c r="I12" s="137">
        <f t="shared" si="1"/>
        <v>124</v>
      </c>
      <c r="J12" s="138"/>
      <c r="K12" s="139">
        <f t="shared" ca="1" si="2"/>
        <v>0</v>
      </c>
      <c r="L12" s="139">
        <f t="shared" ca="1" si="3"/>
        <v>0</v>
      </c>
    </row>
    <row r="13" spans="1:12" ht="17.649999999999999" customHeight="1" x14ac:dyDescent="0.45">
      <c r="B13" s="116" t="s">
        <v>167</v>
      </c>
      <c r="C13" s="117">
        <v>130</v>
      </c>
      <c r="D13" s="118"/>
      <c r="E13" s="119">
        <f ca="1">SUM(E14:E19)</f>
        <v>23880000</v>
      </c>
      <c r="F13" s="119">
        <f ca="1">SUM(F14:F19)</f>
        <v>22680000</v>
      </c>
      <c r="H13" s="177" t="s">
        <v>1303</v>
      </c>
      <c r="I13" s="178">
        <f t="shared" si="1"/>
        <v>130</v>
      </c>
      <c r="J13" s="177"/>
      <c r="K13" s="179">
        <f t="shared" ca="1" si="2"/>
        <v>23880000</v>
      </c>
      <c r="L13" s="179">
        <f t="shared" ca="1" si="3"/>
        <v>22680000</v>
      </c>
    </row>
    <row r="14" spans="1:12" ht="17.649999999999999" customHeight="1" x14ac:dyDescent="0.45">
      <c r="B14" s="111" t="s">
        <v>168</v>
      </c>
      <c r="C14" s="112">
        <v>131</v>
      </c>
      <c r="D14" s="112"/>
      <c r="E14" s="113">
        <f ca="1">SUMIFS(INDIRECT(E$3),BCDTK!$A$9:$A$405,$C14)</f>
        <v>23880000</v>
      </c>
      <c r="F14" s="113">
        <f ca="1">SUMIFS(INDIRECT(F$3),BCDTK!$A$9:$A$405,$C14)</f>
        <v>22680000</v>
      </c>
      <c r="H14" s="138" t="s">
        <v>1310</v>
      </c>
      <c r="I14" s="137">
        <f t="shared" si="1"/>
        <v>131</v>
      </c>
      <c r="J14" s="138"/>
      <c r="K14" s="139">
        <f t="shared" ca="1" si="2"/>
        <v>23880000</v>
      </c>
      <c r="L14" s="139">
        <f t="shared" ca="1" si="3"/>
        <v>22680000</v>
      </c>
    </row>
    <row r="15" spans="1:12" ht="17.649999999999999" customHeight="1" x14ac:dyDescent="0.45">
      <c r="B15" s="111" t="s">
        <v>169</v>
      </c>
      <c r="C15" s="112">
        <v>132</v>
      </c>
      <c r="D15" s="112"/>
      <c r="E15" s="113">
        <f ca="1">SUMIFS(INDIRECT(E$3),BCDTK!$A$9:$A$405,$C15)</f>
        <v>0</v>
      </c>
      <c r="F15" s="113">
        <f ca="1">SUMIFS(INDIRECT(F$3),BCDTK!$A$9:$A$405,$C15)</f>
        <v>0</v>
      </c>
      <c r="H15" s="138" t="s">
        <v>1311</v>
      </c>
      <c r="I15" s="137">
        <f t="shared" si="1"/>
        <v>132</v>
      </c>
      <c r="J15" s="138"/>
      <c r="K15" s="139">
        <f t="shared" ca="1" si="2"/>
        <v>0</v>
      </c>
      <c r="L15" s="139">
        <f t="shared" ca="1" si="3"/>
        <v>0</v>
      </c>
    </row>
    <row r="16" spans="1:12" ht="17.649999999999999" customHeight="1" x14ac:dyDescent="0.45">
      <c r="B16" s="111" t="s">
        <v>170</v>
      </c>
      <c r="C16" s="112">
        <v>133</v>
      </c>
      <c r="D16" s="112"/>
      <c r="E16" s="113">
        <f ca="1">SUMIFS(INDIRECT(E$3),BCDTK!$A$9:$A$405,$C16)</f>
        <v>0</v>
      </c>
      <c r="F16" s="113">
        <f ca="1">SUMIFS(INDIRECT(F$3),BCDTK!$A$9:$A$405,$C16)</f>
        <v>0</v>
      </c>
      <c r="H16" s="138" t="s">
        <v>1312</v>
      </c>
      <c r="I16" s="137">
        <f t="shared" si="1"/>
        <v>133</v>
      </c>
      <c r="J16" s="138"/>
      <c r="K16" s="139">
        <f t="shared" ca="1" si="2"/>
        <v>0</v>
      </c>
      <c r="L16" s="139">
        <f t="shared" ca="1" si="3"/>
        <v>0</v>
      </c>
    </row>
    <row r="17" spans="2:12" ht="17.649999999999999" customHeight="1" x14ac:dyDescent="0.45">
      <c r="B17" s="111" t="s">
        <v>171</v>
      </c>
      <c r="C17" s="112">
        <v>134</v>
      </c>
      <c r="D17" s="112"/>
      <c r="E17" s="113">
        <f ca="1">SUMIFS(INDIRECT(E$3),BCDTK!$A$9:$A$405,$C17)</f>
        <v>0</v>
      </c>
      <c r="F17" s="113">
        <f ca="1">SUMIFS(INDIRECT(F$3),BCDTK!$A$9:$A$405,$C17)</f>
        <v>0</v>
      </c>
      <c r="H17" s="138" t="s">
        <v>1313</v>
      </c>
      <c r="I17" s="137">
        <f t="shared" si="1"/>
        <v>134</v>
      </c>
      <c r="J17" s="138"/>
      <c r="K17" s="139">
        <f t="shared" ca="1" si="2"/>
        <v>0</v>
      </c>
      <c r="L17" s="139">
        <f t="shared" ca="1" si="3"/>
        <v>0</v>
      </c>
    </row>
    <row r="18" spans="2:12" ht="17.649999999999999" customHeight="1" x14ac:dyDescent="0.45">
      <c r="B18" s="111" t="s">
        <v>172</v>
      </c>
      <c r="C18" s="112">
        <v>135</v>
      </c>
      <c r="D18" s="112"/>
      <c r="E18" s="113">
        <f ca="1">SUMIFS(INDIRECT(E$3),BCDTK!$A$9:$A$405,$C18)</f>
        <v>0</v>
      </c>
      <c r="F18" s="113">
        <f ca="1">SUMIFS(INDIRECT(F$3),BCDTK!$A$9:$A$405,$C18)</f>
        <v>0</v>
      </c>
      <c r="H18" s="138" t="s">
        <v>1314</v>
      </c>
      <c r="I18" s="137">
        <f t="shared" si="1"/>
        <v>135</v>
      </c>
      <c r="J18" s="138"/>
      <c r="K18" s="139">
        <f t="shared" ca="1" si="2"/>
        <v>0</v>
      </c>
      <c r="L18" s="139">
        <f t="shared" ca="1" si="3"/>
        <v>0</v>
      </c>
    </row>
    <row r="19" spans="2:12" ht="17.649999999999999" customHeight="1" x14ac:dyDescent="0.45">
      <c r="B19" s="114" t="s">
        <v>173</v>
      </c>
      <c r="C19" s="115">
        <v>136</v>
      </c>
      <c r="D19" s="115"/>
      <c r="E19" s="113">
        <f ca="1">-SUMIFS(INDIRECT(E$4),BCDTK!$A$9:$A$405,$C19)</f>
        <v>0</v>
      </c>
      <c r="F19" s="113">
        <f ca="1">-SUMIFS(INDIRECT(F$4),BCDTK!$A$9:$A$405,$C19)</f>
        <v>0</v>
      </c>
      <c r="H19" s="138" t="s">
        <v>1315</v>
      </c>
      <c r="I19" s="137">
        <f t="shared" si="1"/>
        <v>136</v>
      </c>
      <c r="J19" s="138"/>
      <c r="K19" s="139">
        <f t="shared" ca="1" si="2"/>
        <v>0</v>
      </c>
      <c r="L19" s="139">
        <f t="shared" ca="1" si="3"/>
        <v>0</v>
      </c>
    </row>
    <row r="20" spans="2:12" ht="17.649999999999999" customHeight="1" x14ac:dyDescent="0.45">
      <c r="B20" s="116" t="s">
        <v>174</v>
      </c>
      <c r="C20" s="117">
        <v>140</v>
      </c>
      <c r="D20" s="118"/>
      <c r="E20" s="120">
        <f ca="1">SUM(E21:E22)</f>
        <v>0</v>
      </c>
      <c r="F20" s="120">
        <f ca="1">SUM(F21:F22)</f>
        <v>0</v>
      </c>
      <c r="H20" s="177" t="s">
        <v>1304</v>
      </c>
      <c r="I20" s="143">
        <f t="shared" si="1"/>
        <v>140</v>
      </c>
      <c r="J20" s="181"/>
      <c r="K20" s="144">
        <f t="shared" ca="1" si="2"/>
        <v>0</v>
      </c>
      <c r="L20" s="144">
        <f t="shared" ca="1" si="3"/>
        <v>0</v>
      </c>
    </row>
    <row r="21" spans="2:12" ht="17.649999999999999" customHeight="1" x14ac:dyDescent="0.45">
      <c r="B21" s="111" t="s">
        <v>175</v>
      </c>
      <c r="C21" s="112">
        <v>141</v>
      </c>
      <c r="D21" s="112"/>
      <c r="E21" s="113">
        <f ca="1">SUMIFS(INDIRECT(E$3),BCDTK!$A$9:$A$405,$C21)</f>
        <v>0</v>
      </c>
      <c r="F21" s="113">
        <f ca="1">SUMIFS(INDIRECT(F$3),BCDTK!$A$9:$A$405,$C21)</f>
        <v>0</v>
      </c>
      <c r="H21" s="138" t="s">
        <v>1316</v>
      </c>
      <c r="I21" s="137">
        <f t="shared" si="1"/>
        <v>141</v>
      </c>
      <c r="J21" s="138"/>
      <c r="K21" s="139">
        <f t="shared" ca="1" si="2"/>
        <v>0</v>
      </c>
      <c r="L21" s="139">
        <f t="shared" ca="1" si="3"/>
        <v>0</v>
      </c>
    </row>
    <row r="22" spans="2:12" ht="17.649999999999999" customHeight="1" x14ac:dyDescent="0.45">
      <c r="B22" s="114" t="s">
        <v>176</v>
      </c>
      <c r="C22" s="115">
        <v>142</v>
      </c>
      <c r="D22" s="115"/>
      <c r="E22" s="113">
        <f ca="1">-SUMIFS(INDIRECT(E$4),BCDTK!$A$9:$A$405,$C22)</f>
        <v>0</v>
      </c>
      <c r="F22" s="113">
        <f ca="1">-SUMIFS(INDIRECT(F$4),BCDTK!$A$9:$A$405,$C22)</f>
        <v>0</v>
      </c>
      <c r="H22" s="138" t="s">
        <v>1317</v>
      </c>
      <c r="I22" s="137">
        <f t="shared" si="1"/>
        <v>142</v>
      </c>
      <c r="J22" s="138"/>
      <c r="K22" s="139">
        <f t="shared" ca="1" si="2"/>
        <v>0</v>
      </c>
      <c r="L22" s="139">
        <f t="shared" ca="1" si="3"/>
        <v>0</v>
      </c>
    </row>
    <row r="23" spans="2:12" ht="17.649999999999999" customHeight="1" x14ac:dyDescent="0.45">
      <c r="B23" s="116" t="s">
        <v>177</v>
      </c>
      <c r="C23" s="117">
        <v>150</v>
      </c>
      <c r="D23" s="118"/>
      <c r="E23" s="121">
        <f ca="1">SUM(E24:E28)</f>
        <v>413418442</v>
      </c>
      <c r="F23" s="121">
        <f ca="1">SUM(F24:F28)</f>
        <v>0</v>
      </c>
      <c r="H23" s="177" t="s">
        <v>1320</v>
      </c>
      <c r="I23" s="143">
        <f t="shared" si="1"/>
        <v>150</v>
      </c>
      <c r="J23" s="181"/>
      <c r="K23" s="144">
        <f t="shared" ca="1" si="2"/>
        <v>413418442</v>
      </c>
      <c r="L23" s="144">
        <f t="shared" ca="1" si="3"/>
        <v>0</v>
      </c>
    </row>
    <row r="24" spans="2:12" ht="17.649999999999999" customHeight="1" x14ac:dyDescent="0.45">
      <c r="B24" s="111" t="s">
        <v>178</v>
      </c>
      <c r="C24" s="112">
        <v>151</v>
      </c>
      <c r="D24" s="112"/>
      <c r="E24" s="113">
        <f ca="1">SUMIFS(INDIRECT(E$3),BCDTK!$A$9:$A$405,$C24)</f>
        <v>423501818</v>
      </c>
      <c r="F24" s="113">
        <f ca="1">SUMIFS(INDIRECT(F$3),BCDTK!$A$9:$A$405,$C24)</f>
        <v>0</v>
      </c>
      <c r="H24" s="138" t="s">
        <v>1318</v>
      </c>
      <c r="I24" s="137">
        <f t="shared" si="1"/>
        <v>151</v>
      </c>
      <c r="J24" s="138"/>
      <c r="K24" s="139">
        <f t="shared" ca="1" si="2"/>
        <v>423501818</v>
      </c>
      <c r="L24" s="139">
        <f t="shared" ca="1" si="3"/>
        <v>0</v>
      </c>
    </row>
    <row r="25" spans="2:12" ht="17.649999999999999" customHeight="1" x14ac:dyDescent="0.45">
      <c r="B25" s="114" t="s">
        <v>179</v>
      </c>
      <c r="C25" s="115">
        <v>152</v>
      </c>
      <c r="D25" s="115"/>
      <c r="E25" s="113">
        <f ca="1">-SUMIFS(INDIRECT(E$4),BCDTK!$A$9:$A$405,$C25)</f>
        <v>-10083376</v>
      </c>
      <c r="F25" s="113">
        <f ca="1">-SUMIFS(INDIRECT(F$4),BCDTK!$A$9:$A$405,$C25)</f>
        <v>0</v>
      </c>
      <c r="H25" s="138" t="s">
        <v>1319</v>
      </c>
      <c r="I25" s="137">
        <f t="shared" si="1"/>
        <v>152</v>
      </c>
      <c r="J25" s="138"/>
      <c r="K25" s="139">
        <f t="shared" ca="1" si="2"/>
        <v>-10083376</v>
      </c>
      <c r="L25" s="139">
        <f t="shared" ca="1" si="3"/>
        <v>0</v>
      </c>
    </row>
    <row r="26" spans="2:12" ht="17.649999999999999" customHeight="1" x14ac:dyDescent="0.45">
      <c r="B26" s="122" t="s">
        <v>180</v>
      </c>
      <c r="C26" s="123">
        <v>160</v>
      </c>
      <c r="D26" s="112"/>
      <c r="E26" s="113">
        <f ca="1">SUMIFS(INDIRECT(E$3),BCDTK!$A$9:$A$405,$C26)</f>
        <v>0</v>
      </c>
      <c r="F26" s="113">
        <f ca="1">SUMIFS(INDIRECT(F$3),BCDTK!$A$9:$A$405,$C26)</f>
        <v>0</v>
      </c>
      <c r="H26" s="177" t="s">
        <v>1321</v>
      </c>
      <c r="I26" s="178">
        <f t="shared" si="1"/>
        <v>160</v>
      </c>
      <c r="J26" s="177"/>
      <c r="K26" s="179">
        <f t="shared" ca="1" si="2"/>
        <v>0</v>
      </c>
      <c r="L26" s="179">
        <f t="shared" ca="1" si="3"/>
        <v>0</v>
      </c>
    </row>
    <row r="27" spans="2:12" ht="17.649999999999999" customHeight="1" x14ac:dyDescent="0.45">
      <c r="B27" s="111" t="s">
        <v>178</v>
      </c>
      <c r="C27" s="112">
        <v>161</v>
      </c>
      <c r="D27" s="112"/>
      <c r="E27" s="113">
        <f ca="1">SUMIFS(INDIRECT(E$3),BCDTK!$A$9:$A$405,$C27)</f>
        <v>0</v>
      </c>
      <c r="F27" s="113">
        <f ca="1">SUMIFS(INDIRECT(F$3),BCDTK!$A$9:$A$405,$C27)</f>
        <v>0</v>
      </c>
      <c r="H27" s="138" t="s">
        <v>1318</v>
      </c>
      <c r="I27" s="137">
        <f t="shared" si="1"/>
        <v>161</v>
      </c>
      <c r="J27" s="138"/>
      <c r="K27" s="139">
        <f t="shared" ca="1" si="2"/>
        <v>0</v>
      </c>
      <c r="L27" s="139">
        <f t="shared" ca="1" si="3"/>
        <v>0</v>
      </c>
    </row>
    <row r="28" spans="2:12" ht="17.649999999999999" customHeight="1" x14ac:dyDescent="0.45">
      <c r="B28" s="114" t="s">
        <v>179</v>
      </c>
      <c r="C28" s="115">
        <v>162</v>
      </c>
      <c r="D28" s="115"/>
      <c r="E28" s="113">
        <f ca="1">-SUMIFS(INDIRECT(E$4),BCDTK!$A$9:$A$405,$C28)</f>
        <v>0</v>
      </c>
      <c r="F28" s="113">
        <f ca="1">-SUMIFS(INDIRECT(F$4),BCDTK!$A$9:$A$405,$C28)</f>
        <v>0</v>
      </c>
      <c r="H28" s="138" t="s">
        <v>1319</v>
      </c>
      <c r="I28" s="137">
        <f t="shared" si="1"/>
        <v>162</v>
      </c>
      <c r="J28" s="138"/>
      <c r="K28" s="139">
        <f t="shared" ca="1" si="2"/>
        <v>0</v>
      </c>
      <c r="L28" s="139">
        <f t="shared" ca="1" si="3"/>
        <v>0</v>
      </c>
    </row>
    <row r="29" spans="2:12" ht="17.649999999999999" customHeight="1" x14ac:dyDescent="0.45">
      <c r="B29" s="116" t="s">
        <v>181</v>
      </c>
      <c r="C29" s="117">
        <v>170</v>
      </c>
      <c r="D29" s="124"/>
      <c r="E29" s="125">
        <f ca="1">SUMIFS(INDIRECT(E$3),BCDTK!$A$9:$A$405,$C29)</f>
        <v>0</v>
      </c>
      <c r="F29" s="125">
        <f ca="1">SUMIFS(INDIRECT(F$3),BCDTK!$A$9:$A$405,$C29)</f>
        <v>0</v>
      </c>
      <c r="H29" s="177" t="s">
        <v>1305</v>
      </c>
      <c r="I29" s="143">
        <f t="shared" si="1"/>
        <v>170</v>
      </c>
      <c r="J29" s="181"/>
      <c r="K29" s="144">
        <f t="shared" ca="1" si="2"/>
        <v>0</v>
      </c>
      <c r="L29" s="144">
        <f t="shared" ca="1" si="3"/>
        <v>0</v>
      </c>
    </row>
    <row r="30" spans="2:12" ht="17.649999999999999" customHeight="1" x14ac:dyDescent="0.45">
      <c r="B30" s="116" t="s">
        <v>182</v>
      </c>
      <c r="C30" s="117">
        <v>180</v>
      </c>
      <c r="D30" s="124"/>
      <c r="E30" s="125">
        <f ca="1">SUM(E31:E32)</f>
        <v>61583732</v>
      </c>
      <c r="F30" s="125">
        <f ca="1">SUM(F31:F32)</f>
        <v>34900050</v>
      </c>
      <c r="H30" s="177" t="s">
        <v>1306</v>
      </c>
      <c r="I30" s="143">
        <f t="shared" si="1"/>
        <v>180</v>
      </c>
      <c r="J30" s="181"/>
      <c r="K30" s="144">
        <f t="shared" ca="1" si="2"/>
        <v>61583732</v>
      </c>
      <c r="L30" s="144">
        <f t="shared" ca="1" si="3"/>
        <v>34900050</v>
      </c>
    </row>
    <row r="31" spans="2:12" ht="17.649999999999999" customHeight="1" x14ac:dyDescent="0.45">
      <c r="B31" s="111" t="s">
        <v>183</v>
      </c>
      <c r="C31" s="112">
        <v>181</v>
      </c>
      <c r="D31" s="111"/>
      <c r="E31" s="113">
        <f ca="1">SUMIFS(INDIRECT(E$3),BCDTK!$A$9:$A$405,$C31)</f>
        <v>39033631</v>
      </c>
      <c r="F31" s="113">
        <f ca="1">SUMIFS(INDIRECT(F$3),BCDTK!$A$9:$A$405,$C31)</f>
        <v>0</v>
      </c>
      <c r="H31" s="138" t="s">
        <v>1322</v>
      </c>
      <c r="I31" s="137">
        <f t="shared" si="1"/>
        <v>181</v>
      </c>
      <c r="J31" s="138"/>
      <c r="K31" s="139">
        <f t="shared" ca="1" si="2"/>
        <v>39033631</v>
      </c>
      <c r="L31" s="139">
        <f t="shared" ca="1" si="3"/>
        <v>0</v>
      </c>
    </row>
    <row r="32" spans="2:12" ht="17.649999999999999" customHeight="1" x14ac:dyDescent="0.45">
      <c r="B32" s="111" t="s">
        <v>184</v>
      </c>
      <c r="C32" s="112">
        <v>182</v>
      </c>
      <c r="D32" s="111"/>
      <c r="E32" s="113">
        <f ca="1">SUMIFS(INDIRECT(E$3),BCDTK!$A$9:$A$405,$C32)</f>
        <v>22550101</v>
      </c>
      <c r="F32" s="113">
        <f ca="1">SUMIFS(INDIRECT(F$3),BCDTK!$A$9:$A$405,$C32)</f>
        <v>34900050</v>
      </c>
      <c r="H32" s="138" t="s">
        <v>1323</v>
      </c>
      <c r="I32" s="137">
        <f t="shared" si="1"/>
        <v>182</v>
      </c>
      <c r="J32" s="138"/>
      <c r="K32" s="139">
        <f t="shared" ca="1" si="2"/>
        <v>22550101</v>
      </c>
      <c r="L32" s="139">
        <f t="shared" ca="1" si="3"/>
        <v>34900050</v>
      </c>
    </row>
    <row r="33" spans="2:12" ht="38.25" x14ac:dyDescent="0.45">
      <c r="B33" s="126" t="s">
        <v>185</v>
      </c>
      <c r="C33" s="127">
        <v>200</v>
      </c>
      <c r="D33" s="127"/>
      <c r="E33" s="128">
        <f ca="1">E7+E8+E13+E20+E23+E29+E30</f>
        <v>796150724</v>
      </c>
      <c r="F33" s="128">
        <f ca="1">F7+F8+F13+F20+F23+F29+F30</f>
        <v>497694981</v>
      </c>
      <c r="H33" s="280" t="s">
        <v>210</v>
      </c>
      <c r="I33" s="140">
        <f t="shared" si="1"/>
        <v>200</v>
      </c>
      <c r="J33" s="140"/>
      <c r="K33" s="141">
        <f t="shared" ca="1" si="2"/>
        <v>796150724</v>
      </c>
      <c r="L33" s="141">
        <f t="shared" ca="1" si="3"/>
        <v>497694981</v>
      </c>
    </row>
    <row r="34" spans="2:12" ht="18.75" customHeight="1" x14ac:dyDescent="0.45">
      <c r="B34" s="116" t="s">
        <v>186</v>
      </c>
      <c r="C34" s="117">
        <v>300</v>
      </c>
      <c r="D34" s="124"/>
      <c r="E34" s="125">
        <f ca="1">SUM(E35:E44)</f>
        <v>288008545</v>
      </c>
      <c r="F34" s="125">
        <f ca="1">SUM(F35:F44)</f>
        <v>5015463</v>
      </c>
      <c r="H34" s="142" t="s">
        <v>1307</v>
      </c>
      <c r="I34" s="143">
        <f>C34</f>
        <v>300</v>
      </c>
      <c r="J34" s="144">
        <f t="shared" ref="J34" si="4">D34</f>
        <v>0</v>
      </c>
      <c r="K34" s="144">
        <f t="shared" ca="1" si="2"/>
        <v>288008545</v>
      </c>
      <c r="L34" s="144">
        <f t="shared" ca="1" si="3"/>
        <v>5015463</v>
      </c>
    </row>
    <row r="35" spans="2:12" ht="18.75" customHeight="1" x14ac:dyDescent="0.45">
      <c r="B35" s="111" t="s">
        <v>187</v>
      </c>
      <c r="C35" s="112">
        <v>311</v>
      </c>
      <c r="D35" s="111"/>
      <c r="E35" s="113">
        <f ca="1">SUMIFS(INDIRECT(E$4),BCDTK!$B$9:$B$405,$C35)</f>
        <v>0</v>
      </c>
      <c r="F35" s="113">
        <f ca="1">SUMIFS(INDIRECT(F$4),BCDTK!$B$9:$B$405,$C35)</f>
        <v>0</v>
      </c>
      <c r="H35" s="145" t="s">
        <v>1324</v>
      </c>
      <c r="I35" s="137">
        <f t="shared" ref="I35:I53" si="5">C35</f>
        <v>311</v>
      </c>
      <c r="J35" s="139">
        <f t="shared" ref="J35:J53" si="6">D35</f>
        <v>0</v>
      </c>
      <c r="K35" s="139">
        <f t="shared" ref="K35:K53" ca="1" si="7">E35</f>
        <v>0</v>
      </c>
      <c r="L35" s="139">
        <f t="shared" ref="L35:L53" ca="1" si="8">F35</f>
        <v>0</v>
      </c>
    </row>
    <row r="36" spans="2:12" ht="18.75" customHeight="1" x14ac:dyDescent="0.45">
      <c r="B36" s="111" t="s">
        <v>188</v>
      </c>
      <c r="C36" s="112">
        <v>312</v>
      </c>
      <c r="D36" s="111"/>
      <c r="E36" s="113">
        <f ca="1">SUMIFS(INDIRECT(E$4),BCDTK!$B$9:$B$405,$C36)</f>
        <v>0</v>
      </c>
      <c r="F36" s="113">
        <f ca="1">SUMIFS(INDIRECT(F$4),BCDTK!$B$9:$B$405,$C36)</f>
        <v>0</v>
      </c>
      <c r="H36" s="145" t="s">
        <v>1325</v>
      </c>
      <c r="I36" s="137">
        <f t="shared" si="5"/>
        <v>312</v>
      </c>
      <c r="J36" s="139">
        <f t="shared" si="6"/>
        <v>0</v>
      </c>
      <c r="K36" s="139">
        <f t="shared" ca="1" si="7"/>
        <v>0</v>
      </c>
      <c r="L36" s="139">
        <f t="shared" ca="1" si="8"/>
        <v>0</v>
      </c>
    </row>
    <row r="37" spans="2:12" ht="18.75" customHeight="1" x14ac:dyDescent="0.45">
      <c r="B37" s="111" t="s">
        <v>189</v>
      </c>
      <c r="C37" s="112">
        <v>313</v>
      </c>
      <c r="D37" s="111"/>
      <c r="E37" s="113">
        <f ca="1">SUMIFS(INDIRECT(E$4),BCDTK!$B$9:$B$405,$C37)</f>
        <v>2035545</v>
      </c>
      <c r="F37" s="113">
        <f ca="1">SUMIFS(INDIRECT(F$4),BCDTK!$B$9:$B$405,$C37)</f>
        <v>5015463</v>
      </c>
      <c r="H37" s="145" t="s">
        <v>1326</v>
      </c>
      <c r="I37" s="137">
        <f t="shared" si="5"/>
        <v>313</v>
      </c>
      <c r="J37" s="139">
        <f t="shared" si="6"/>
        <v>0</v>
      </c>
      <c r="K37" s="139">
        <f t="shared" ca="1" si="7"/>
        <v>2035545</v>
      </c>
      <c r="L37" s="139">
        <f t="shared" ca="1" si="8"/>
        <v>5015463</v>
      </c>
    </row>
    <row r="38" spans="2:12" ht="18.75" customHeight="1" x14ac:dyDescent="0.45">
      <c r="B38" s="111" t="s">
        <v>190</v>
      </c>
      <c r="C38" s="112">
        <v>314</v>
      </c>
      <c r="D38" s="111"/>
      <c r="E38" s="113">
        <f ca="1">SUMIFS(INDIRECT(E$4),BCDTK!$B$9:$B$405,$C38)</f>
        <v>0</v>
      </c>
      <c r="F38" s="113">
        <f ca="1">SUMIFS(INDIRECT(F$4),BCDTK!$B$9:$B$405,$C38)</f>
        <v>0</v>
      </c>
      <c r="H38" s="145" t="s">
        <v>1327</v>
      </c>
      <c r="I38" s="137">
        <f t="shared" si="5"/>
        <v>314</v>
      </c>
      <c r="J38" s="139">
        <f t="shared" si="6"/>
        <v>0</v>
      </c>
      <c r="K38" s="139">
        <f t="shared" ca="1" si="7"/>
        <v>0</v>
      </c>
      <c r="L38" s="139">
        <f t="shared" ca="1" si="8"/>
        <v>0</v>
      </c>
    </row>
    <row r="39" spans="2:12" ht="18.75" customHeight="1" x14ac:dyDescent="0.45">
      <c r="B39" s="111" t="s">
        <v>191</v>
      </c>
      <c r="C39" s="112">
        <v>315</v>
      </c>
      <c r="D39" s="111"/>
      <c r="E39" s="113">
        <f ca="1">SUMIFS(INDIRECT(E$4),BCDTK!$B$9:$B$405,$C39)+G38</f>
        <v>0</v>
      </c>
      <c r="F39" s="113">
        <f ca="1">SUMIFS(INDIRECT(F$4),BCDTK!$B$9:$B$405,$C39)+G39</f>
        <v>0</v>
      </c>
      <c r="H39" s="145" t="s">
        <v>1328</v>
      </c>
      <c r="I39" s="137">
        <f t="shared" si="5"/>
        <v>315</v>
      </c>
      <c r="J39" s="139">
        <f t="shared" si="6"/>
        <v>0</v>
      </c>
      <c r="K39" s="139">
        <f t="shared" ca="1" si="7"/>
        <v>0</v>
      </c>
      <c r="L39" s="139">
        <f t="shared" ca="1" si="8"/>
        <v>0</v>
      </c>
    </row>
    <row r="40" spans="2:12" ht="18.75" customHeight="1" x14ac:dyDescent="0.45">
      <c r="B40" s="111" t="s">
        <v>192</v>
      </c>
      <c r="C40" s="112">
        <v>316</v>
      </c>
      <c r="D40" s="111"/>
      <c r="E40" s="113">
        <f ca="1">SUMIFS(INDIRECT(E$4),BCDTK!$B$9:$B$405,$C40)</f>
        <v>285973000</v>
      </c>
      <c r="F40" s="113">
        <f ca="1">SUMIFS(INDIRECT(F$4),BCDTK!$B$9:$B$405,$C40)</f>
        <v>0</v>
      </c>
      <c r="H40" s="145" t="s">
        <v>1329</v>
      </c>
      <c r="I40" s="137">
        <f t="shared" si="5"/>
        <v>316</v>
      </c>
      <c r="J40" s="139">
        <f t="shared" si="6"/>
        <v>0</v>
      </c>
      <c r="K40" s="139">
        <f t="shared" ca="1" si="7"/>
        <v>285973000</v>
      </c>
      <c r="L40" s="139">
        <f t="shared" ca="1" si="8"/>
        <v>0</v>
      </c>
    </row>
    <row r="41" spans="2:12" ht="18.75" customHeight="1" x14ac:dyDescent="0.45">
      <c r="B41" s="111" t="s">
        <v>193</v>
      </c>
      <c r="C41" s="112">
        <v>317</v>
      </c>
      <c r="D41" s="111"/>
      <c r="E41" s="113">
        <f ca="1">SUMIFS(INDIRECT(E$4),BCDTK!$B$9:$B$405,$C41)</f>
        <v>0</v>
      </c>
      <c r="F41" s="113">
        <f ca="1">SUMIFS(INDIRECT(F$4),BCDTK!$B$9:$B$405,$C41)</f>
        <v>0</v>
      </c>
      <c r="H41" s="145" t="s">
        <v>1330</v>
      </c>
      <c r="I41" s="137">
        <f t="shared" si="5"/>
        <v>317</v>
      </c>
      <c r="J41" s="139">
        <f t="shared" si="6"/>
        <v>0</v>
      </c>
      <c r="K41" s="139">
        <f t="shared" ca="1" si="7"/>
        <v>0</v>
      </c>
      <c r="L41" s="139">
        <f t="shared" ca="1" si="8"/>
        <v>0</v>
      </c>
    </row>
    <row r="42" spans="2:12" ht="18.75" customHeight="1" x14ac:dyDescent="0.45">
      <c r="B42" s="111" t="s">
        <v>194</v>
      </c>
      <c r="C42" s="112">
        <v>318</v>
      </c>
      <c r="D42" s="111"/>
      <c r="E42" s="113">
        <f ca="1">SUMIFS(INDIRECT(E$4),BCDTK!$B$9:$B$405,$C42)</f>
        <v>0</v>
      </c>
      <c r="F42" s="113">
        <f ca="1">SUMIFS(INDIRECT(F$4),BCDTK!$B$9:$B$405,$C42)</f>
        <v>0</v>
      </c>
      <c r="H42" s="145" t="s">
        <v>1331</v>
      </c>
      <c r="I42" s="137">
        <f t="shared" si="5"/>
        <v>318</v>
      </c>
      <c r="J42" s="139">
        <f t="shared" si="6"/>
        <v>0</v>
      </c>
      <c r="K42" s="139">
        <f t="shared" ca="1" si="7"/>
        <v>0</v>
      </c>
      <c r="L42" s="139">
        <f t="shared" ca="1" si="8"/>
        <v>0</v>
      </c>
    </row>
    <row r="43" spans="2:12" ht="18.75" customHeight="1" x14ac:dyDescent="0.45">
      <c r="B43" s="111" t="s">
        <v>195</v>
      </c>
      <c r="C43" s="112">
        <v>319</v>
      </c>
      <c r="D43" s="111"/>
      <c r="E43" s="113">
        <f ca="1">SUMIFS(INDIRECT(E$4),BCDTK!$B$9:$B$405,$C43)</f>
        <v>0</v>
      </c>
      <c r="F43" s="113">
        <f ca="1">SUMIFS(INDIRECT(F$4),BCDTK!$B$9:$B$405,$C43)</f>
        <v>0</v>
      </c>
      <c r="H43" s="145" t="s">
        <v>1332</v>
      </c>
      <c r="I43" s="137">
        <f t="shared" si="5"/>
        <v>319</v>
      </c>
      <c r="J43" s="139">
        <f t="shared" si="6"/>
        <v>0</v>
      </c>
      <c r="K43" s="139">
        <f t="shared" ca="1" si="7"/>
        <v>0</v>
      </c>
      <c r="L43" s="139">
        <f t="shared" ca="1" si="8"/>
        <v>0</v>
      </c>
    </row>
    <row r="44" spans="2:12" ht="18.75" customHeight="1" x14ac:dyDescent="0.45">
      <c r="B44" s="111" t="s">
        <v>196</v>
      </c>
      <c r="C44" s="112">
        <v>320</v>
      </c>
      <c r="D44" s="111"/>
      <c r="E44" s="113">
        <f ca="1">SUMIFS(INDIRECT(E$4),BCDTK!$B$9:$B$405,$C44)</f>
        <v>0</v>
      </c>
      <c r="F44" s="113">
        <f ca="1">SUMIFS(INDIRECT(F$4),BCDTK!$B$9:$B$405,$C44)</f>
        <v>0</v>
      </c>
      <c r="H44" s="145" t="s">
        <v>1333</v>
      </c>
      <c r="I44" s="137">
        <f t="shared" si="5"/>
        <v>320</v>
      </c>
      <c r="J44" s="139">
        <f t="shared" si="6"/>
        <v>0</v>
      </c>
      <c r="K44" s="139">
        <f t="shared" ca="1" si="7"/>
        <v>0</v>
      </c>
      <c r="L44" s="139">
        <f t="shared" ca="1" si="8"/>
        <v>0</v>
      </c>
    </row>
    <row r="45" spans="2:12" ht="18.75" customHeight="1" x14ac:dyDescent="0.45">
      <c r="B45" s="116" t="s">
        <v>197</v>
      </c>
      <c r="C45" s="117">
        <v>400</v>
      </c>
      <c r="D45" s="124"/>
      <c r="E45" s="129">
        <f ca="1">SUM(E46:E52)</f>
        <v>508142179</v>
      </c>
      <c r="F45" s="129">
        <f ca="1">SUM(F46:F52)</f>
        <v>492679518</v>
      </c>
      <c r="H45" s="142" t="s">
        <v>1802</v>
      </c>
      <c r="I45" s="143">
        <f t="shared" si="5"/>
        <v>400</v>
      </c>
      <c r="J45" s="144">
        <f t="shared" si="6"/>
        <v>0</v>
      </c>
      <c r="K45" s="144">
        <f t="shared" ca="1" si="7"/>
        <v>508142179</v>
      </c>
      <c r="L45" s="144">
        <f t="shared" ca="1" si="8"/>
        <v>492679518</v>
      </c>
    </row>
    <row r="46" spans="2:12" ht="18.75" customHeight="1" x14ac:dyDescent="0.45">
      <c r="B46" s="111" t="s">
        <v>198</v>
      </c>
      <c r="C46" s="112">
        <v>411</v>
      </c>
      <c r="D46" s="111"/>
      <c r="E46" s="113">
        <f ca="1">SUMIFS(INDIRECT(E$4),BCDTK!$B$9:$B$405,$C46)</f>
        <v>500000000</v>
      </c>
      <c r="F46" s="113">
        <f ca="1">SUMIFS(INDIRECT(F$4),BCDTK!$B$9:$B$405,$C46)</f>
        <v>500000000</v>
      </c>
      <c r="H46" s="145" t="s">
        <v>1334</v>
      </c>
      <c r="I46" s="137">
        <f t="shared" si="5"/>
        <v>411</v>
      </c>
      <c r="J46" s="139">
        <f t="shared" si="6"/>
        <v>0</v>
      </c>
      <c r="K46" s="139">
        <f t="shared" ca="1" si="7"/>
        <v>500000000</v>
      </c>
      <c r="L46" s="139">
        <f t="shared" ca="1" si="8"/>
        <v>500000000</v>
      </c>
    </row>
    <row r="47" spans="2:12" ht="18.75" customHeight="1" x14ac:dyDescent="0.45">
      <c r="B47" s="111" t="s">
        <v>199</v>
      </c>
      <c r="C47" s="112">
        <v>412</v>
      </c>
      <c r="D47" s="111"/>
      <c r="E47" s="113">
        <f ca="1">SUMIFS(INDIRECT(E$4),BCDTK!$B$9:$B$405,$C47)</f>
        <v>0</v>
      </c>
      <c r="F47" s="113">
        <f ca="1">SUMIFS(INDIRECT(F$4),BCDTK!$B$9:$B$405,$C47)</f>
        <v>0</v>
      </c>
      <c r="H47" s="145" t="s">
        <v>1335</v>
      </c>
      <c r="I47" s="137">
        <f t="shared" si="5"/>
        <v>412</v>
      </c>
      <c r="J47" s="139">
        <f t="shared" si="6"/>
        <v>0</v>
      </c>
      <c r="K47" s="139">
        <f t="shared" ca="1" si="7"/>
        <v>0</v>
      </c>
      <c r="L47" s="139">
        <f t="shared" ca="1" si="8"/>
        <v>0</v>
      </c>
    </row>
    <row r="48" spans="2:12" ht="18.75" customHeight="1" x14ac:dyDescent="0.45">
      <c r="B48" s="111" t="s">
        <v>200</v>
      </c>
      <c r="C48" s="112">
        <v>413</v>
      </c>
      <c r="D48" s="111"/>
      <c r="E48" s="113">
        <f ca="1">SUMIFS(INDIRECT(E$4),BCDTK!$B$9:$B$405,$C48)</f>
        <v>0</v>
      </c>
      <c r="F48" s="113">
        <f ca="1">SUMIFS(INDIRECT(F$4),BCDTK!$B$9:$B$405,$C48)</f>
        <v>0</v>
      </c>
      <c r="H48" s="145" t="s">
        <v>1336</v>
      </c>
      <c r="I48" s="137">
        <f t="shared" si="5"/>
        <v>413</v>
      </c>
      <c r="J48" s="139">
        <f t="shared" si="6"/>
        <v>0</v>
      </c>
      <c r="K48" s="139">
        <f t="shared" ca="1" si="7"/>
        <v>0</v>
      </c>
      <c r="L48" s="139">
        <f t="shared" ca="1" si="8"/>
        <v>0</v>
      </c>
    </row>
    <row r="49" spans="2:12" ht="18.75" customHeight="1" x14ac:dyDescent="0.45">
      <c r="B49" s="114" t="s">
        <v>201</v>
      </c>
      <c r="C49" s="115">
        <v>414</v>
      </c>
      <c r="D49" s="114"/>
      <c r="E49" s="113">
        <f ca="1">SUMIFS(INDIRECT(E$4),BCDTK!$B$9:$B$405,$C49)</f>
        <v>0</v>
      </c>
      <c r="F49" s="113">
        <f ca="1">SUMIFS(INDIRECT(F$4),BCDTK!$B$9:$B$405,$C49)</f>
        <v>0</v>
      </c>
      <c r="H49" s="145" t="s">
        <v>1337</v>
      </c>
      <c r="I49" s="137">
        <f t="shared" si="5"/>
        <v>414</v>
      </c>
      <c r="J49" s="139">
        <f t="shared" si="6"/>
        <v>0</v>
      </c>
      <c r="K49" s="139">
        <f t="shared" ca="1" si="7"/>
        <v>0</v>
      </c>
      <c r="L49" s="139">
        <f t="shared" ca="1" si="8"/>
        <v>0</v>
      </c>
    </row>
    <row r="50" spans="2:12" ht="18.75" customHeight="1" x14ac:dyDescent="0.45">
      <c r="B50" s="111" t="s">
        <v>202</v>
      </c>
      <c r="C50" s="112">
        <v>415</v>
      </c>
      <c r="D50" s="111"/>
      <c r="E50" s="113">
        <f ca="1">SUMIFS(INDIRECT(E$4),BCDTK!$B$9:$B$405,$C50)</f>
        <v>0</v>
      </c>
      <c r="F50" s="113">
        <f ca="1">SUMIFS(INDIRECT(F$4),BCDTK!$B$9:$B$405,$C50)</f>
        <v>0</v>
      </c>
      <c r="H50" s="145" t="s">
        <v>1338</v>
      </c>
      <c r="I50" s="137">
        <f t="shared" si="5"/>
        <v>415</v>
      </c>
      <c r="J50" s="139">
        <f t="shared" si="6"/>
        <v>0</v>
      </c>
      <c r="K50" s="139">
        <f t="shared" ca="1" si="7"/>
        <v>0</v>
      </c>
      <c r="L50" s="139">
        <f t="shared" ca="1" si="8"/>
        <v>0</v>
      </c>
    </row>
    <row r="51" spans="2:12" ht="18.75" customHeight="1" x14ac:dyDescent="0.45">
      <c r="B51" s="111" t="s">
        <v>203</v>
      </c>
      <c r="C51" s="112">
        <v>416</v>
      </c>
      <c r="D51" s="111"/>
      <c r="E51" s="113">
        <f ca="1">SUMIFS(INDIRECT(E$4),BCDTK!$B$9:$B$405,$C51)</f>
        <v>0</v>
      </c>
      <c r="F51" s="113">
        <f ca="1">SUMIFS(INDIRECT(F$4),BCDTK!$B$9:$B$405,$C51)</f>
        <v>0</v>
      </c>
      <c r="H51" s="145" t="s">
        <v>1339</v>
      </c>
      <c r="I51" s="137">
        <f t="shared" si="5"/>
        <v>416</v>
      </c>
      <c r="J51" s="139">
        <f t="shared" si="6"/>
        <v>0</v>
      </c>
      <c r="K51" s="139">
        <f t="shared" ca="1" si="7"/>
        <v>0</v>
      </c>
      <c r="L51" s="139">
        <f t="shared" ca="1" si="8"/>
        <v>0</v>
      </c>
    </row>
    <row r="52" spans="2:12" ht="18.75" customHeight="1" x14ac:dyDescent="0.45">
      <c r="B52" s="130" t="s">
        <v>204</v>
      </c>
      <c r="C52" s="131">
        <v>417</v>
      </c>
      <c r="D52" s="130"/>
      <c r="E52" s="132">
        <f ca="1">SUMIFS(INDIRECT(E$4),BCDTK!$B$9:$B$405,$C52)-SUMIFS(INDIRECT(E$3),BCDTK!$B$9:$B$405,$C52)</f>
        <v>8142179</v>
      </c>
      <c r="F52" s="132">
        <f ca="1">SUMIFS(INDIRECT(F$4),BCDTK!$B$9:$B$405,$C52)-SUMIFS(INDIRECT(F$3),BCDTK!$B$9:$B$405,$C52)</f>
        <v>-7320482</v>
      </c>
      <c r="H52" s="146" t="s">
        <v>1340</v>
      </c>
      <c r="I52" s="147">
        <f t="shared" si="5"/>
        <v>417</v>
      </c>
      <c r="J52" s="148">
        <f t="shared" si="6"/>
        <v>0</v>
      </c>
      <c r="K52" s="148">
        <f t="shared" ca="1" si="7"/>
        <v>8142179</v>
      </c>
      <c r="L52" s="148">
        <f t="shared" ca="1" si="8"/>
        <v>-7320482</v>
      </c>
    </row>
    <row r="53" spans="2:12" s="182" customFormat="1" ht="37.5" customHeight="1" x14ac:dyDescent="0.45">
      <c r="B53" s="133" t="s">
        <v>205</v>
      </c>
      <c r="C53" s="134">
        <v>500</v>
      </c>
      <c r="D53" s="135"/>
      <c r="E53" s="136">
        <f ca="1">E45+E34</f>
        <v>796150724</v>
      </c>
      <c r="F53" s="136">
        <f ca="1">F45+F34</f>
        <v>497694981</v>
      </c>
      <c r="G53" s="2"/>
      <c r="H53" s="149" t="s">
        <v>221</v>
      </c>
      <c r="I53" s="183">
        <f t="shared" si="5"/>
        <v>500</v>
      </c>
      <c r="J53" s="184">
        <f t="shared" si="6"/>
        <v>0</v>
      </c>
      <c r="K53" s="184">
        <f t="shared" ca="1" si="7"/>
        <v>796150724</v>
      </c>
      <c r="L53" s="184">
        <f t="shared" ca="1" si="8"/>
        <v>497694981</v>
      </c>
    </row>
  </sheetData>
  <phoneticPr fontId="7" type="noConversion"/>
  <pageMargins left="0.7" right="0.7" top="0.75" bottom="0.75" header="0.3" footer="0.3"/>
  <pageSetup paperSize="9" fitToHeight="0" orientation="portrait" r:id="rId1"/>
  <ignoredErrors>
    <ignoredError sqref="E8:F8 E13 E29:F30 E25:E28" formula="1"/>
    <ignoredError sqref="C26:C27" numberStoredAsText="1"/>
  </ignoredError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KQKD">
    <tabColor rgb="FF7030A0"/>
    <pageSetUpPr fitToPage="1"/>
  </sheetPr>
  <dimension ref="D2:Q43"/>
  <sheetViews>
    <sheetView showGridLines="0" zoomScale="65" workbookViewId="0">
      <selection activeCell="E9" sqref="E9:E24"/>
    </sheetView>
  </sheetViews>
  <sheetFormatPr defaultColWidth="9.265625" defaultRowHeight="12.75" x14ac:dyDescent="0.45"/>
  <cols>
    <col min="1" max="1" width="4.73046875" style="87" customWidth="1"/>
    <col min="2" max="2" width="5.265625" style="87" customWidth="1"/>
    <col min="3" max="3" width="1.1328125" style="87" customWidth="1"/>
    <col min="4" max="4" width="60.73046875" style="87" bestFit="1" customWidth="1"/>
    <col min="5" max="5" width="9.265625" style="87"/>
    <col min="6" max="6" width="13.265625" style="87" customWidth="1"/>
    <col min="7" max="8" width="19.86328125" style="87" customWidth="1"/>
    <col min="9" max="9" width="1.265625" style="87" customWidth="1"/>
    <col min="10" max="11" width="5.73046875" style="87" customWidth="1"/>
    <col min="12" max="12" width="1.1328125" style="87" customWidth="1"/>
    <col min="13" max="13" width="50.265625" style="87" customWidth="1"/>
    <col min="14" max="14" width="9.265625" style="87"/>
    <col min="15" max="15" width="14.265625" style="87" customWidth="1"/>
    <col min="16" max="17" width="19.86328125" style="87" customWidth="1"/>
    <col min="18" max="18" width="1.265625" style="87" customWidth="1"/>
    <col min="19" max="16384" width="9.265625" style="87"/>
  </cols>
  <sheetData>
    <row r="2" spans="4:17" ht="30.75" customHeight="1" x14ac:dyDescent="0.45"/>
    <row r="3" spans="4:17" s="99" customFormat="1" ht="18.399999999999999" thickBot="1" x14ac:dyDescent="0.5">
      <c r="D3" s="100" t="s">
        <v>370</v>
      </c>
      <c r="E3" s="100"/>
      <c r="F3" s="101" t="s">
        <v>1038</v>
      </c>
      <c r="G3" s="102">
        <v>2020</v>
      </c>
      <c r="H3" s="22">
        <f ca="1">NOW()</f>
        <v>45942.488246990739</v>
      </c>
      <c r="M3" s="100" t="s">
        <v>371</v>
      </c>
      <c r="N3" s="100"/>
      <c r="O3" s="101" t="s">
        <v>1039</v>
      </c>
      <c r="P3" s="102">
        <v>2020</v>
      </c>
      <c r="Q3" s="23">
        <f ca="1">NOW()</f>
        <v>45942.488246990739</v>
      </c>
    </row>
    <row r="4" spans="4:17" ht="13.15" thickTop="1" x14ac:dyDescent="0.45"/>
    <row r="6" spans="4:17" ht="8.1" customHeight="1" x14ac:dyDescent="0.45"/>
    <row r="7" spans="4:17" ht="27.75" customHeight="1" x14ac:dyDescent="0.45">
      <c r="D7" s="282" t="s">
        <v>156</v>
      </c>
      <c r="E7" s="283" t="s">
        <v>157</v>
      </c>
      <c r="F7" s="283" t="s">
        <v>158</v>
      </c>
      <c r="G7" s="283" t="s">
        <v>336</v>
      </c>
      <c r="H7" s="284" t="s">
        <v>337</v>
      </c>
      <c r="M7" s="282" t="s">
        <v>367</v>
      </c>
      <c r="N7" s="283" t="s">
        <v>212</v>
      </c>
      <c r="O7" s="283" t="s">
        <v>374</v>
      </c>
      <c r="P7" s="283" t="s">
        <v>368</v>
      </c>
      <c r="Q7" s="284" t="s">
        <v>369</v>
      </c>
    </row>
    <row r="8" spans="4:17" x14ac:dyDescent="0.45">
      <c r="D8" s="88">
        <v>1</v>
      </c>
      <c r="E8" s="88">
        <v>2</v>
      </c>
      <c r="F8" s="88">
        <v>3</v>
      </c>
      <c r="G8" s="88">
        <v>4</v>
      </c>
      <c r="H8" s="88">
        <v>5</v>
      </c>
      <c r="M8" s="88">
        <v>1</v>
      </c>
      <c r="N8" s="88">
        <v>2</v>
      </c>
      <c r="O8" s="88">
        <v>3</v>
      </c>
      <c r="P8" s="88">
        <v>4</v>
      </c>
      <c r="Q8" s="88">
        <v>5</v>
      </c>
    </row>
    <row r="9" spans="4:17" ht="26.85" customHeight="1" x14ac:dyDescent="0.45">
      <c r="D9" s="285" t="s">
        <v>338</v>
      </c>
      <c r="E9" s="237">
        <v>1</v>
      </c>
      <c r="F9" s="90"/>
      <c r="G9" s="293">
        <f>SUMIFS(BCDTK!$I$9:$I$900,BCDTK!$C$9:$C$900,E9)</f>
        <v>244520964</v>
      </c>
      <c r="H9" s="286">
        <v>0</v>
      </c>
      <c r="M9" s="285" t="s">
        <v>354</v>
      </c>
      <c r="N9" s="89" t="s">
        <v>131</v>
      </c>
      <c r="O9" s="90"/>
      <c r="P9" s="293">
        <f>G9</f>
        <v>244520964</v>
      </c>
      <c r="Q9" s="290">
        <f>H9</f>
        <v>0</v>
      </c>
    </row>
    <row r="10" spans="4:17" ht="26.85" customHeight="1" x14ac:dyDescent="0.45">
      <c r="D10" s="285" t="s">
        <v>339</v>
      </c>
      <c r="E10" s="237">
        <v>2</v>
      </c>
      <c r="F10" s="90"/>
      <c r="G10" s="91">
        <f>SUMIFS(BCDTK!$I$9:$I$900,BCDTK!$C$9:$C$900,E10)</f>
        <v>0</v>
      </c>
      <c r="H10" s="286">
        <v>0</v>
      </c>
      <c r="M10" s="285" t="s">
        <v>355</v>
      </c>
      <c r="N10" s="89" t="s">
        <v>340</v>
      </c>
      <c r="O10" s="90"/>
      <c r="P10" s="91">
        <f t="shared" ref="P10:P23" si="0">G10</f>
        <v>0</v>
      </c>
      <c r="Q10" s="290">
        <f t="shared" ref="Q10:Q24" si="1">H10</f>
        <v>0</v>
      </c>
    </row>
    <row r="11" spans="4:17" ht="26.85" customHeight="1" x14ac:dyDescent="0.45">
      <c r="D11" s="287" t="s">
        <v>341</v>
      </c>
      <c r="E11" s="238">
        <v>10</v>
      </c>
      <c r="F11" s="93"/>
      <c r="G11" s="94">
        <f>G9-G10</f>
        <v>244520964</v>
      </c>
      <c r="H11" s="94">
        <f>H9-H10</f>
        <v>0</v>
      </c>
      <c r="M11" s="287" t="s">
        <v>356</v>
      </c>
      <c r="N11" s="92">
        <v>10</v>
      </c>
      <c r="O11" s="93"/>
      <c r="P11" s="94">
        <f t="shared" si="0"/>
        <v>244520964</v>
      </c>
      <c r="Q11" s="291">
        <f t="shared" si="1"/>
        <v>0</v>
      </c>
    </row>
    <row r="12" spans="4:17" ht="26.85" customHeight="1" x14ac:dyDescent="0.45">
      <c r="D12" s="285" t="s">
        <v>342</v>
      </c>
      <c r="E12" s="239">
        <v>11</v>
      </c>
      <c r="F12" s="90"/>
      <c r="G12" s="91">
        <f>SUMIFS(BCDTK!$I$9:$I$900,BCDTK!$C$9:$C$900,E12)</f>
        <v>183572894</v>
      </c>
      <c r="H12" s="286">
        <v>0</v>
      </c>
      <c r="M12" s="285" t="s">
        <v>319</v>
      </c>
      <c r="N12" s="95">
        <v>11</v>
      </c>
      <c r="O12" s="90"/>
      <c r="P12" s="91">
        <f t="shared" si="0"/>
        <v>183572894</v>
      </c>
      <c r="Q12" s="290">
        <f t="shared" si="1"/>
        <v>0</v>
      </c>
    </row>
    <row r="13" spans="4:17" ht="26.85" customHeight="1" x14ac:dyDescent="0.45">
      <c r="D13" s="287" t="s">
        <v>343</v>
      </c>
      <c r="E13" s="238">
        <v>20</v>
      </c>
      <c r="F13" s="93"/>
      <c r="G13" s="94">
        <f>G11-G12</f>
        <v>60948070</v>
      </c>
      <c r="H13" s="94">
        <f>H11-H12</f>
        <v>0</v>
      </c>
      <c r="M13" s="287" t="s">
        <v>357</v>
      </c>
      <c r="N13" s="92">
        <v>20</v>
      </c>
      <c r="O13" s="93"/>
      <c r="P13" s="94">
        <f t="shared" si="0"/>
        <v>60948070</v>
      </c>
      <c r="Q13" s="291">
        <f t="shared" si="1"/>
        <v>0</v>
      </c>
    </row>
    <row r="14" spans="4:17" ht="26.85" customHeight="1" x14ac:dyDescent="0.45">
      <c r="D14" s="285" t="s">
        <v>344</v>
      </c>
      <c r="E14" s="239">
        <v>21</v>
      </c>
      <c r="F14" s="90"/>
      <c r="G14" s="91">
        <f>SUMIFS(BCDTK!$I$9:$I$900,BCDTK!$C$9:$C$900,E14)</f>
        <v>161</v>
      </c>
      <c r="H14" s="286">
        <v>0</v>
      </c>
      <c r="M14" s="285" t="s">
        <v>358</v>
      </c>
      <c r="N14" s="95">
        <v>21</v>
      </c>
      <c r="O14" s="90"/>
      <c r="P14" s="91">
        <f t="shared" si="0"/>
        <v>161</v>
      </c>
      <c r="Q14" s="290">
        <f t="shared" si="1"/>
        <v>0</v>
      </c>
    </row>
    <row r="15" spans="4:17" ht="26.85" customHeight="1" x14ac:dyDescent="0.45">
      <c r="D15" s="285" t="s">
        <v>345</v>
      </c>
      <c r="E15" s="239">
        <v>22</v>
      </c>
      <c r="F15" s="90"/>
      <c r="G15" s="91">
        <f>SUMIFS(BCDTK!$I$9:$I$900,BCDTK!$C$9:$C$900,E15)</f>
        <v>2573376</v>
      </c>
      <c r="H15" s="286">
        <v>0</v>
      </c>
      <c r="M15" s="285" t="s">
        <v>359</v>
      </c>
      <c r="N15" s="95">
        <v>22</v>
      </c>
      <c r="O15" s="90"/>
      <c r="P15" s="91">
        <f t="shared" si="0"/>
        <v>2573376</v>
      </c>
      <c r="Q15" s="290">
        <f t="shared" si="1"/>
        <v>0</v>
      </c>
    </row>
    <row r="16" spans="4:17" ht="26.85" customHeight="1" x14ac:dyDescent="0.45">
      <c r="D16" s="288" t="s">
        <v>376</v>
      </c>
      <c r="E16" s="240">
        <v>23</v>
      </c>
      <c r="F16" s="90"/>
      <c r="G16" s="91">
        <f>SUMIFS(BCDTK!$I$9:$I$900,BCDTK!$C$9:$C$900,E16)</f>
        <v>0</v>
      </c>
      <c r="H16" s="286">
        <v>0</v>
      </c>
      <c r="M16" s="288" t="s">
        <v>360</v>
      </c>
      <c r="N16" s="90">
        <v>23</v>
      </c>
      <c r="O16" s="90"/>
      <c r="P16" s="91">
        <f t="shared" si="0"/>
        <v>0</v>
      </c>
      <c r="Q16" s="290">
        <f t="shared" si="1"/>
        <v>0</v>
      </c>
    </row>
    <row r="17" spans="4:17" ht="26.85" customHeight="1" x14ac:dyDescent="0.45">
      <c r="D17" s="285" t="s">
        <v>346</v>
      </c>
      <c r="E17" s="239">
        <v>24</v>
      </c>
      <c r="F17" s="90"/>
      <c r="G17" s="91">
        <f>SUMIFS(BCDTK!$I$9:$I$900,BCDTK!$C$9:$C$900,E17)</f>
        <v>46432205</v>
      </c>
      <c r="H17" s="286">
        <v>0</v>
      </c>
      <c r="M17" s="285" t="s">
        <v>323</v>
      </c>
      <c r="N17" s="95">
        <v>24</v>
      </c>
      <c r="O17" s="90"/>
      <c r="P17" s="91">
        <f t="shared" si="0"/>
        <v>46432205</v>
      </c>
      <c r="Q17" s="290">
        <f t="shared" si="1"/>
        <v>0</v>
      </c>
    </row>
    <row r="18" spans="4:17" ht="26.85" customHeight="1" x14ac:dyDescent="0.45">
      <c r="D18" s="289" t="s">
        <v>347</v>
      </c>
      <c r="E18" s="238">
        <v>30</v>
      </c>
      <c r="F18" s="93"/>
      <c r="G18" s="96">
        <f>G13+G14-G17-G15</f>
        <v>11942650</v>
      </c>
      <c r="H18" s="96">
        <f>H13+H14-H17-H15</f>
        <v>0</v>
      </c>
      <c r="M18" s="289" t="s">
        <v>361</v>
      </c>
      <c r="N18" s="92">
        <v>30</v>
      </c>
      <c r="O18" s="93"/>
      <c r="P18" s="96">
        <f t="shared" si="0"/>
        <v>11942650</v>
      </c>
      <c r="Q18" s="291">
        <f t="shared" si="1"/>
        <v>0</v>
      </c>
    </row>
    <row r="19" spans="4:17" ht="26.85" customHeight="1" x14ac:dyDescent="0.45">
      <c r="D19" s="285" t="s">
        <v>348</v>
      </c>
      <c r="E19" s="239">
        <v>31</v>
      </c>
      <c r="F19" s="90"/>
      <c r="G19" s="91">
        <f>SUMIFS(BCDTK!$I$9:$I$900,BCDTK!$C$9:$C$900,E19)</f>
        <v>5555556</v>
      </c>
      <c r="H19" s="286">
        <v>0</v>
      </c>
      <c r="M19" s="285" t="s">
        <v>324</v>
      </c>
      <c r="N19" s="95">
        <v>31</v>
      </c>
      <c r="O19" s="90"/>
      <c r="P19" s="91">
        <f t="shared" si="0"/>
        <v>5555556</v>
      </c>
      <c r="Q19" s="290">
        <f t="shared" si="1"/>
        <v>0</v>
      </c>
    </row>
    <row r="20" spans="4:17" ht="26.85" customHeight="1" x14ac:dyDescent="0.45">
      <c r="D20" s="285" t="s">
        <v>349</v>
      </c>
      <c r="E20" s="239">
        <v>32</v>
      </c>
      <c r="F20" s="90"/>
      <c r="G20" s="91">
        <f>SUMIFS(BCDTK!$I$9:$I$900,BCDTK!$C$9:$C$900,E20)</f>
        <v>7540197</v>
      </c>
      <c r="H20" s="286">
        <v>0</v>
      </c>
      <c r="M20" s="285" t="s">
        <v>362</v>
      </c>
      <c r="N20" s="95">
        <v>32</v>
      </c>
      <c r="O20" s="90"/>
      <c r="P20" s="91">
        <f t="shared" si="0"/>
        <v>7540197</v>
      </c>
      <c r="Q20" s="290">
        <f t="shared" si="1"/>
        <v>0</v>
      </c>
    </row>
    <row r="21" spans="4:17" ht="26.85" customHeight="1" x14ac:dyDescent="0.45">
      <c r="D21" s="287" t="s">
        <v>350</v>
      </c>
      <c r="E21" s="238">
        <v>40</v>
      </c>
      <c r="F21" s="93"/>
      <c r="G21" s="94">
        <f>G19-G20</f>
        <v>-1984641</v>
      </c>
      <c r="H21" s="94">
        <f>H19-H20</f>
        <v>0</v>
      </c>
      <c r="M21" s="287" t="s">
        <v>363</v>
      </c>
      <c r="N21" s="92">
        <v>40</v>
      </c>
      <c r="O21" s="93"/>
      <c r="P21" s="94">
        <f t="shared" si="0"/>
        <v>-1984641</v>
      </c>
      <c r="Q21" s="291">
        <f t="shared" si="1"/>
        <v>0</v>
      </c>
    </row>
    <row r="22" spans="4:17" ht="26.85" customHeight="1" x14ac:dyDescent="0.45">
      <c r="D22" s="287" t="s">
        <v>351</v>
      </c>
      <c r="E22" s="238">
        <v>50</v>
      </c>
      <c r="F22" s="93"/>
      <c r="G22" s="94">
        <f>G18+G21</f>
        <v>9958009</v>
      </c>
      <c r="H22" s="94">
        <f>H18+H21</f>
        <v>0</v>
      </c>
      <c r="M22" s="287" t="s">
        <v>364</v>
      </c>
      <c r="N22" s="92">
        <v>50</v>
      </c>
      <c r="O22" s="93"/>
      <c r="P22" s="94">
        <f t="shared" si="0"/>
        <v>9958009</v>
      </c>
      <c r="Q22" s="291">
        <f t="shared" si="1"/>
        <v>0</v>
      </c>
    </row>
    <row r="23" spans="4:17" ht="26.85" customHeight="1" x14ac:dyDescent="0.45">
      <c r="D23" s="285" t="s">
        <v>352</v>
      </c>
      <c r="E23" s="239">
        <v>51</v>
      </c>
      <c r="F23" s="90"/>
      <c r="G23" s="91">
        <f>SUMIFS(BCDTK!$I$9:$I$900,BCDTK!$C$9:$C$900,E23)</f>
        <v>2035545</v>
      </c>
      <c r="H23" s="286">
        <v>0</v>
      </c>
      <c r="M23" s="285" t="s">
        <v>365</v>
      </c>
      <c r="N23" s="95">
        <v>51</v>
      </c>
      <c r="O23" s="90"/>
      <c r="P23" s="91">
        <f t="shared" si="0"/>
        <v>2035545</v>
      </c>
      <c r="Q23" s="290">
        <f t="shared" si="1"/>
        <v>0</v>
      </c>
    </row>
    <row r="24" spans="4:17" ht="26.85" customHeight="1" x14ac:dyDescent="0.45">
      <c r="D24" s="289" t="s">
        <v>353</v>
      </c>
      <c r="E24" s="238">
        <v>60</v>
      </c>
      <c r="F24" s="93"/>
      <c r="G24" s="96">
        <f>G22-G23</f>
        <v>7922464</v>
      </c>
      <c r="H24" s="96">
        <f>H22-H23</f>
        <v>0</v>
      </c>
      <c r="M24" s="289" t="s">
        <v>366</v>
      </c>
      <c r="N24" s="92">
        <v>60</v>
      </c>
      <c r="O24" s="93"/>
      <c r="P24" s="96">
        <f>G24</f>
        <v>7922464</v>
      </c>
      <c r="Q24" s="291">
        <f t="shared" si="1"/>
        <v>0</v>
      </c>
    </row>
    <row r="25" spans="4:17" ht="8.1" customHeight="1" x14ac:dyDescent="0.45"/>
    <row r="28" spans="4:17" ht="25.5" customHeight="1" x14ac:dyDescent="0.45">
      <c r="D28" s="97"/>
      <c r="F28" s="98"/>
      <c r="G28" s="98"/>
    </row>
    <row r="29" spans="4:17" x14ac:dyDescent="0.45">
      <c r="D29" s="97"/>
      <c r="G29" s="98"/>
    </row>
    <row r="30" spans="4:17" x14ac:dyDescent="0.45">
      <c r="G30" s="98"/>
    </row>
    <row r="31" spans="4:17" x14ac:dyDescent="0.45">
      <c r="G31" s="98"/>
    </row>
    <row r="32" spans="4:17" x14ac:dyDescent="0.45">
      <c r="G32" s="98"/>
    </row>
    <row r="33" spans="7:7" x14ac:dyDescent="0.45">
      <c r="G33" s="98"/>
    </row>
    <row r="34" spans="7:7" x14ac:dyDescent="0.45">
      <c r="G34" s="98"/>
    </row>
    <row r="35" spans="7:7" x14ac:dyDescent="0.45">
      <c r="G35" s="98"/>
    </row>
    <row r="36" spans="7:7" x14ac:dyDescent="0.45">
      <c r="G36" s="98"/>
    </row>
    <row r="37" spans="7:7" x14ac:dyDescent="0.45">
      <c r="G37" s="98"/>
    </row>
    <row r="38" spans="7:7" x14ac:dyDescent="0.45">
      <c r="G38" s="98"/>
    </row>
    <row r="39" spans="7:7" x14ac:dyDescent="0.45">
      <c r="G39" s="98"/>
    </row>
    <row r="40" spans="7:7" x14ac:dyDescent="0.45">
      <c r="G40" s="98"/>
    </row>
    <row r="41" spans="7:7" x14ac:dyDescent="0.45">
      <c r="G41" s="98"/>
    </row>
    <row r="42" spans="7:7" x14ac:dyDescent="0.45">
      <c r="G42" s="98"/>
    </row>
    <row r="43" spans="7:7" x14ac:dyDescent="0.45">
      <c r="G43" s="98"/>
    </row>
  </sheetData>
  <phoneticPr fontId="7" type="noConversion"/>
  <pageMargins left="0.7" right="0.7" top="0.75" bottom="0.75" header="0.3" footer="0.3"/>
  <pageSetup paperSize="9" scale="69" fitToHeight="0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CDTK">
    <tabColor rgb="FF7030A0"/>
    <pageSetUpPr fitToPage="1"/>
  </sheetPr>
  <dimension ref="A3:W132"/>
  <sheetViews>
    <sheetView showGridLines="0" topLeftCell="A4" workbookViewId="0">
      <selection activeCell="G132" sqref="G132"/>
    </sheetView>
  </sheetViews>
  <sheetFormatPr defaultColWidth="9.265625" defaultRowHeight="14.25" x14ac:dyDescent="0.45"/>
  <cols>
    <col min="1" max="3" width="5.73046875" style="19" customWidth="1"/>
    <col min="4" max="4" width="4.265625" style="19" customWidth="1"/>
    <col min="5" max="5" width="8" style="8" customWidth="1"/>
    <col min="6" max="6" width="40.1328125" style="8" bestFit="1" customWidth="1"/>
    <col min="7" max="10" width="17.265625" style="8" customWidth="1"/>
    <col min="11" max="11" width="16.265625" style="8" customWidth="1"/>
    <col min="12" max="12" width="15.265625" style="8" customWidth="1"/>
    <col min="13" max="16" width="9.265625" style="8"/>
    <col min="17" max="17" width="55.73046875" style="8" bestFit="1" customWidth="1"/>
    <col min="18" max="23" width="14.265625" style="8" customWidth="1"/>
    <col min="24" max="16384" width="9.265625" style="8"/>
  </cols>
  <sheetData>
    <row r="3" spans="1:23" ht="19.899999999999999" thickBot="1" x14ac:dyDescent="0.5">
      <c r="E3" s="16" t="s">
        <v>372</v>
      </c>
      <c r="F3" s="16"/>
      <c r="G3" s="16"/>
      <c r="H3" s="16"/>
      <c r="I3" s="16"/>
      <c r="J3" s="16"/>
      <c r="K3" s="23"/>
      <c r="L3" s="23">
        <f ca="1">NOW()</f>
        <v>45942.488246990739</v>
      </c>
      <c r="P3" s="16" t="s">
        <v>373</v>
      </c>
      <c r="Q3" s="16"/>
      <c r="R3" s="16"/>
      <c r="S3" s="16"/>
      <c r="T3" s="16"/>
      <c r="U3" s="16"/>
      <c r="V3" s="16"/>
      <c r="W3" s="24">
        <f ca="1">NOW()</f>
        <v>45942.488246990739</v>
      </c>
    </row>
    <row r="4" spans="1:23" ht="29.85" customHeight="1" thickTop="1" x14ac:dyDescent="0.45">
      <c r="E4" s="15" t="str">
        <f>"Từ ngày: "&amp;TEXT(MAIN!D14,"dd/mm/yyyy")&amp;" Đến ngày: "&amp;TEXT(MAIN!D15,"dd/mm/yyyy")</f>
        <v>Từ ngày: 01/01/2024 Đến ngày: 31/12/2024</v>
      </c>
      <c r="P4" s="17" t="str">
        <f>"From date: "&amp;TEXT(MAIN!D14,"dd/mm/yyyy")&amp;" to date: "&amp;TEXT(MAIN!D15,"dd/mm/yyyy")</f>
        <v>From date: 01/01/2024 to date: 31/12/2024</v>
      </c>
    </row>
    <row r="6" spans="1:23" s="20" customFormat="1" ht="19.149999999999999" customHeight="1" x14ac:dyDescent="0.45">
      <c r="A6" s="493" t="s">
        <v>0</v>
      </c>
      <c r="B6" s="494"/>
      <c r="C6" s="495"/>
      <c r="D6" s="491" t="s">
        <v>1</v>
      </c>
      <c r="E6" s="489" t="s">
        <v>2</v>
      </c>
      <c r="F6" s="487" t="s">
        <v>3</v>
      </c>
      <c r="G6" s="485" t="s">
        <v>4</v>
      </c>
      <c r="H6" s="485"/>
      <c r="I6" s="485" t="s">
        <v>5</v>
      </c>
      <c r="J6" s="485"/>
      <c r="K6" s="486" t="s">
        <v>6</v>
      </c>
      <c r="L6" s="486"/>
      <c r="M6" s="153"/>
      <c r="N6" s="153"/>
      <c r="O6" s="153"/>
      <c r="P6" s="489" t="s">
        <v>329</v>
      </c>
      <c r="Q6" s="487" t="s">
        <v>330</v>
      </c>
      <c r="R6" s="485" t="s">
        <v>331</v>
      </c>
      <c r="S6" s="485"/>
      <c r="T6" s="485" t="s">
        <v>332</v>
      </c>
      <c r="U6" s="485"/>
      <c r="V6" s="486" t="s">
        <v>333</v>
      </c>
      <c r="W6" s="486"/>
    </row>
    <row r="7" spans="1:23" s="21" customFormat="1" ht="19.149999999999999" customHeight="1" x14ac:dyDescent="0.45">
      <c r="A7" s="150" t="s">
        <v>7</v>
      </c>
      <c r="B7" s="151" t="s">
        <v>8</v>
      </c>
      <c r="C7" s="151" t="s">
        <v>9</v>
      </c>
      <c r="D7" s="492"/>
      <c r="E7" s="490"/>
      <c r="F7" s="488"/>
      <c r="G7" s="152" t="s">
        <v>10</v>
      </c>
      <c r="H7" s="152" t="s">
        <v>11</v>
      </c>
      <c r="I7" s="152" t="s">
        <v>10</v>
      </c>
      <c r="J7" s="152" t="s">
        <v>11</v>
      </c>
      <c r="K7" s="152" t="s">
        <v>10</v>
      </c>
      <c r="L7" s="152" t="s">
        <v>11</v>
      </c>
      <c r="M7" s="153"/>
      <c r="N7" s="153"/>
      <c r="O7" s="153"/>
      <c r="P7" s="490"/>
      <c r="Q7" s="488"/>
      <c r="R7" s="152" t="s">
        <v>334</v>
      </c>
      <c r="S7" s="152" t="s">
        <v>335</v>
      </c>
      <c r="T7" s="152" t="s">
        <v>334</v>
      </c>
      <c r="U7" s="152" t="s">
        <v>335</v>
      </c>
      <c r="V7" s="152" t="s">
        <v>334</v>
      </c>
      <c r="W7" s="152" t="s">
        <v>335</v>
      </c>
    </row>
    <row r="8" spans="1:23" ht="17.649999999999999" customHeight="1" x14ac:dyDescent="0.45">
      <c r="A8" s="155"/>
      <c r="B8" s="156"/>
      <c r="C8" s="156"/>
      <c r="D8" s="155"/>
      <c r="E8" s="157"/>
      <c r="F8" s="158" t="s">
        <v>375</v>
      </c>
      <c r="G8" s="382">
        <f>SUMIFS(G9:G131,$D$9:$D$131,1)</f>
        <v>505015463</v>
      </c>
      <c r="H8" s="382">
        <f t="shared" ref="H8:L8" si="0">SUMIFS(H9:H131,$D$9:$D$131,1)</f>
        <v>505015463</v>
      </c>
      <c r="I8" s="382">
        <f t="shared" si="0"/>
        <v>2698057779</v>
      </c>
      <c r="J8" s="382">
        <f t="shared" si="0"/>
        <v>2698057779</v>
      </c>
      <c r="K8" s="382">
        <f t="shared" si="0"/>
        <v>806234100</v>
      </c>
      <c r="L8" s="382">
        <f t="shared" si="0"/>
        <v>806234100</v>
      </c>
      <c r="M8" s="153"/>
      <c r="N8" s="153"/>
      <c r="O8" s="153"/>
      <c r="P8" s="159"/>
      <c r="Q8" s="159" t="s">
        <v>328</v>
      </c>
      <c r="R8" s="160">
        <f t="shared" ref="R8:R39" si="1">G8</f>
        <v>505015463</v>
      </c>
      <c r="S8" s="160">
        <f t="shared" ref="S8:S39" si="2">H8</f>
        <v>505015463</v>
      </c>
      <c r="T8" s="160">
        <f t="shared" ref="T8:T39" si="3">I8</f>
        <v>2698057779</v>
      </c>
      <c r="U8" s="160">
        <f t="shared" ref="U8:U39" si="4">J8</f>
        <v>2698057779</v>
      </c>
      <c r="V8" s="160">
        <f t="shared" ref="V8:V39" si="5">K8</f>
        <v>806234100</v>
      </c>
      <c r="W8" s="160">
        <f t="shared" ref="W8:W39" si="6">L8</f>
        <v>806234100</v>
      </c>
    </row>
    <row r="9" spans="1:23" x14ac:dyDescent="0.45">
      <c r="A9" s="219">
        <v>110</v>
      </c>
      <c r="B9" s="220"/>
      <c r="C9" s="220"/>
      <c r="D9" s="219">
        <f>LEN(E9)-2</f>
        <v>1</v>
      </c>
      <c r="E9" s="221">
        <v>111</v>
      </c>
      <c r="F9" s="222" t="s">
        <v>12</v>
      </c>
      <c r="G9" s="223">
        <v>439885419</v>
      </c>
      <c r="H9" s="223">
        <v>0</v>
      </c>
      <c r="I9" s="223">
        <v>243367380</v>
      </c>
      <c r="J9" s="223">
        <v>386127355</v>
      </c>
      <c r="K9" s="223">
        <v>297125444</v>
      </c>
      <c r="L9" s="223">
        <v>0</v>
      </c>
      <c r="M9" s="153"/>
      <c r="N9" s="153"/>
      <c r="O9" s="153"/>
      <c r="P9" s="225">
        <v>111</v>
      </c>
      <c r="Q9" s="225" t="s">
        <v>222</v>
      </c>
      <c r="R9" s="226">
        <f t="shared" si="1"/>
        <v>439885419</v>
      </c>
      <c r="S9" s="226">
        <f t="shared" si="2"/>
        <v>0</v>
      </c>
      <c r="T9" s="226">
        <f t="shared" si="3"/>
        <v>243367380</v>
      </c>
      <c r="U9" s="226">
        <f t="shared" si="4"/>
        <v>386127355</v>
      </c>
      <c r="V9" s="226">
        <f t="shared" si="5"/>
        <v>297125444</v>
      </c>
      <c r="W9" s="226">
        <f t="shared" si="6"/>
        <v>0</v>
      </c>
    </row>
    <row r="10" spans="1:23" x14ac:dyDescent="0.45">
      <c r="A10" s="161"/>
      <c r="B10" s="162"/>
      <c r="C10" s="162"/>
      <c r="D10" s="161">
        <f>LEN(E10)-2</f>
        <v>2</v>
      </c>
      <c r="E10" s="163">
        <v>1111</v>
      </c>
      <c r="F10" s="164" t="s">
        <v>13</v>
      </c>
      <c r="G10" s="165">
        <v>439885419</v>
      </c>
      <c r="H10" s="165">
        <v>0</v>
      </c>
      <c r="I10" s="165">
        <v>243367380</v>
      </c>
      <c r="J10" s="165">
        <v>386127355</v>
      </c>
      <c r="K10" s="165">
        <v>297125444</v>
      </c>
      <c r="L10" s="165">
        <v>0</v>
      </c>
      <c r="M10" s="153"/>
      <c r="N10" s="153"/>
      <c r="O10" s="153"/>
      <c r="P10" s="166">
        <v>1111</v>
      </c>
      <c r="Q10" s="166" t="s">
        <v>223</v>
      </c>
      <c r="R10" s="167">
        <f t="shared" si="1"/>
        <v>439885419</v>
      </c>
      <c r="S10" s="167">
        <f t="shared" si="2"/>
        <v>0</v>
      </c>
      <c r="T10" s="167">
        <f t="shared" si="3"/>
        <v>243367380</v>
      </c>
      <c r="U10" s="167">
        <f t="shared" si="4"/>
        <v>386127355</v>
      </c>
      <c r="V10" s="167">
        <f t="shared" si="5"/>
        <v>297125444</v>
      </c>
      <c r="W10" s="167">
        <f t="shared" si="6"/>
        <v>0</v>
      </c>
    </row>
    <row r="11" spans="1:23" x14ac:dyDescent="0.45">
      <c r="A11" s="161"/>
      <c r="B11" s="162"/>
      <c r="C11" s="162"/>
      <c r="D11" s="161">
        <f t="shared" ref="D11:D74" si="7">LEN(E11)-2</f>
        <v>2</v>
      </c>
      <c r="E11" s="163">
        <v>1112</v>
      </c>
      <c r="F11" s="164" t="s">
        <v>14</v>
      </c>
      <c r="G11" s="165">
        <v>0</v>
      </c>
      <c r="H11" s="165">
        <v>0</v>
      </c>
      <c r="I11" s="165">
        <v>0</v>
      </c>
      <c r="J11" s="165">
        <v>0</v>
      </c>
      <c r="K11" s="165">
        <v>0</v>
      </c>
      <c r="L11" s="165">
        <v>0</v>
      </c>
      <c r="M11" s="153"/>
      <c r="N11" s="153"/>
      <c r="O11" s="153"/>
      <c r="P11" s="166">
        <v>1112</v>
      </c>
      <c r="Q11" s="166" t="s">
        <v>224</v>
      </c>
      <c r="R11" s="167">
        <f t="shared" si="1"/>
        <v>0</v>
      </c>
      <c r="S11" s="167">
        <f t="shared" si="2"/>
        <v>0</v>
      </c>
      <c r="T11" s="167">
        <f t="shared" si="3"/>
        <v>0</v>
      </c>
      <c r="U11" s="167">
        <f t="shared" si="4"/>
        <v>0</v>
      </c>
      <c r="V11" s="167">
        <f t="shared" si="5"/>
        <v>0</v>
      </c>
      <c r="W11" s="167">
        <f t="shared" si="6"/>
        <v>0</v>
      </c>
    </row>
    <row r="12" spans="1:23" x14ac:dyDescent="0.45">
      <c r="A12" s="219">
        <v>110</v>
      </c>
      <c r="B12" s="220"/>
      <c r="C12" s="220"/>
      <c r="D12" s="219">
        <f t="shared" si="7"/>
        <v>1</v>
      </c>
      <c r="E12" s="221">
        <v>112</v>
      </c>
      <c r="F12" s="222" t="s">
        <v>15</v>
      </c>
      <c r="G12" s="223">
        <v>229512</v>
      </c>
      <c r="H12" s="223">
        <v>0</v>
      </c>
      <c r="I12" s="223">
        <v>380885904</v>
      </c>
      <c r="J12" s="223">
        <v>380972310</v>
      </c>
      <c r="K12" s="223">
        <v>143106</v>
      </c>
      <c r="L12" s="223">
        <v>0</v>
      </c>
      <c r="M12" s="153"/>
      <c r="N12" s="153"/>
      <c r="O12" s="153"/>
      <c r="P12" s="225">
        <v>112</v>
      </c>
      <c r="Q12" s="225" t="s">
        <v>225</v>
      </c>
      <c r="R12" s="226">
        <f t="shared" si="1"/>
        <v>229512</v>
      </c>
      <c r="S12" s="226">
        <f t="shared" si="2"/>
        <v>0</v>
      </c>
      <c r="T12" s="226">
        <f t="shared" si="3"/>
        <v>380885904</v>
      </c>
      <c r="U12" s="226">
        <f t="shared" si="4"/>
        <v>380972310</v>
      </c>
      <c r="V12" s="226">
        <f t="shared" si="5"/>
        <v>143106</v>
      </c>
      <c r="W12" s="226">
        <f t="shared" si="6"/>
        <v>0</v>
      </c>
    </row>
    <row r="13" spans="1:23" x14ac:dyDescent="0.45">
      <c r="A13" s="161"/>
      <c r="B13" s="162"/>
      <c r="C13" s="162"/>
      <c r="D13" s="161">
        <f t="shared" si="7"/>
        <v>2</v>
      </c>
      <c r="E13" s="163">
        <v>1121</v>
      </c>
      <c r="F13" s="164" t="s">
        <v>16</v>
      </c>
      <c r="G13" s="165">
        <v>229512</v>
      </c>
      <c r="H13" s="165">
        <v>0</v>
      </c>
      <c r="I13" s="165">
        <v>380885904</v>
      </c>
      <c r="J13" s="165">
        <v>380972310</v>
      </c>
      <c r="K13" s="165">
        <v>143106</v>
      </c>
      <c r="L13" s="165">
        <v>0</v>
      </c>
      <c r="M13" s="153"/>
      <c r="N13" s="153"/>
      <c r="O13" s="153"/>
      <c r="P13" s="166">
        <v>1121</v>
      </c>
      <c r="Q13" s="166" t="s">
        <v>223</v>
      </c>
      <c r="R13" s="167">
        <f t="shared" si="1"/>
        <v>229512</v>
      </c>
      <c r="S13" s="167">
        <f t="shared" si="2"/>
        <v>0</v>
      </c>
      <c r="T13" s="167">
        <f t="shared" si="3"/>
        <v>380885904</v>
      </c>
      <c r="U13" s="167">
        <f t="shared" si="4"/>
        <v>380972310</v>
      </c>
      <c r="V13" s="167">
        <f t="shared" si="5"/>
        <v>143106</v>
      </c>
      <c r="W13" s="167">
        <f t="shared" si="6"/>
        <v>0</v>
      </c>
    </row>
    <row r="14" spans="1:23" x14ac:dyDescent="0.45">
      <c r="A14" s="161"/>
      <c r="B14" s="162"/>
      <c r="C14" s="162"/>
      <c r="D14" s="161">
        <f t="shared" si="7"/>
        <v>2</v>
      </c>
      <c r="E14" s="163">
        <v>1122</v>
      </c>
      <c r="F14" s="164" t="s">
        <v>17</v>
      </c>
      <c r="G14" s="165">
        <v>0</v>
      </c>
      <c r="H14" s="165">
        <v>0</v>
      </c>
      <c r="I14" s="165">
        <v>0</v>
      </c>
      <c r="J14" s="165">
        <v>0</v>
      </c>
      <c r="K14" s="165">
        <v>0</v>
      </c>
      <c r="L14" s="165">
        <v>0</v>
      </c>
      <c r="M14" s="153"/>
      <c r="N14" s="153"/>
      <c r="O14" s="153"/>
      <c r="P14" s="166">
        <v>1122</v>
      </c>
      <c r="Q14" s="166" t="s">
        <v>224</v>
      </c>
      <c r="R14" s="167">
        <f t="shared" si="1"/>
        <v>0</v>
      </c>
      <c r="S14" s="167">
        <f t="shared" si="2"/>
        <v>0</v>
      </c>
      <c r="T14" s="167">
        <f t="shared" si="3"/>
        <v>0</v>
      </c>
      <c r="U14" s="167">
        <f t="shared" si="4"/>
        <v>0</v>
      </c>
      <c r="V14" s="167">
        <f t="shared" si="5"/>
        <v>0</v>
      </c>
      <c r="W14" s="167">
        <f t="shared" si="6"/>
        <v>0</v>
      </c>
    </row>
    <row r="15" spans="1:23" x14ac:dyDescent="0.45">
      <c r="A15" s="219">
        <v>121</v>
      </c>
      <c r="B15" s="220"/>
      <c r="C15" s="220"/>
      <c r="D15" s="219">
        <f t="shared" si="7"/>
        <v>1</v>
      </c>
      <c r="E15" s="221">
        <v>121</v>
      </c>
      <c r="F15" s="222" t="s">
        <v>18</v>
      </c>
      <c r="G15" s="223">
        <v>0</v>
      </c>
      <c r="H15" s="223">
        <v>0</v>
      </c>
      <c r="I15" s="223">
        <v>0</v>
      </c>
      <c r="J15" s="223">
        <v>0</v>
      </c>
      <c r="K15" s="223">
        <v>0</v>
      </c>
      <c r="L15" s="223">
        <v>0</v>
      </c>
      <c r="M15" s="153"/>
      <c r="N15" s="153"/>
      <c r="O15" s="153"/>
      <c r="P15" s="225">
        <v>121</v>
      </c>
      <c r="Q15" s="225" t="s">
        <v>206</v>
      </c>
      <c r="R15" s="226">
        <f t="shared" si="1"/>
        <v>0</v>
      </c>
      <c r="S15" s="226">
        <f t="shared" si="2"/>
        <v>0</v>
      </c>
      <c r="T15" s="226">
        <f t="shared" si="3"/>
        <v>0</v>
      </c>
      <c r="U15" s="226">
        <f t="shared" si="4"/>
        <v>0</v>
      </c>
      <c r="V15" s="226">
        <f t="shared" si="5"/>
        <v>0</v>
      </c>
      <c r="W15" s="226">
        <f t="shared" si="6"/>
        <v>0</v>
      </c>
    </row>
    <row r="16" spans="1:23" x14ac:dyDescent="0.45">
      <c r="A16" s="219">
        <v>122</v>
      </c>
      <c r="B16" s="220"/>
      <c r="C16" s="220"/>
      <c r="D16" s="219">
        <f t="shared" si="7"/>
        <v>1</v>
      </c>
      <c r="E16" s="221">
        <v>128</v>
      </c>
      <c r="F16" s="222" t="s">
        <v>19</v>
      </c>
      <c r="G16" s="223">
        <v>0</v>
      </c>
      <c r="H16" s="223">
        <v>0</v>
      </c>
      <c r="I16" s="223">
        <v>0</v>
      </c>
      <c r="J16" s="223">
        <v>0</v>
      </c>
      <c r="K16" s="223">
        <v>0</v>
      </c>
      <c r="L16" s="223">
        <v>0</v>
      </c>
      <c r="M16" s="153"/>
      <c r="N16" s="153"/>
      <c r="O16" s="153"/>
      <c r="P16" s="225">
        <v>128</v>
      </c>
      <c r="Q16" s="225" t="s">
        <v>226</v>
      </c>
      <c r="R16" s="226">
        <f t="shared" si="1"/>
        <v>0</v>
      </c>
      <c r="S16" s="226">
        <f t="shared" si="2"/>
        <v>0</v>
      </c>
      <c r="T16" s="226">
        <f t="shared" si="3"/>
        <v>0</v>
      </c>
      <c r="U16" s="226">
        <f t="shared" si="4"/>
        <v>0</v>
      </c>
      <c r="V16" s="226">
        <f t="shared" si="5"/>
        <v>0</v>
      </c>
      <c r="W16" s="226">
        <f t="shared" si="6"/>
        <v>0</v>
      </c>
    </row>
    <row r="17" spans="1:23" x14ac:dyDescent="0.45">
      <c r="A17" s="161"/>
      <c r="B17" s="162"/>
      <c r="C17" s="162"/>
      <c r="D17" s="161">
        <f t="shared" si="7"/>
        <v>2</v>
      </c>
      <c r="E17" s="163">
        <v>1281</v>
      </c>
      <c r="F17" s="164" t="s">
        <v>20</v>
      </c>
      <c r="G17" s="165">
        <v>0</v>
      </c>
      <c r="H17" s="165">
        <v>0</v>
      </c>
      <c r="I17" s="165">
        <v>0</v>
      </c>
      <c r="J17" s="165">
        <v>0</v>
      </c>
      <c r="K17" s="165">
        <v>0</v>
      </c>
      <c r="L17" s="165">
        <v>0</v>
      </c>
      <c r="M17" s="153"/>
      <c r="N17" s="153"/>
      <c r="O17" s="153"/>
      <c r="P17" s="166">
        <v>1281</v>
      </c>
      <c r="Q17" s="166" t="s">
        <v>227</v>
      </c>
      <c r="R17" s="167">
        <f t="shared" si="1"/>
        <v>0</v>
      </c>
      <c r="S17" s="167">
        <f t="shared" si="2"/>
        <v>0</v>
      </c>
      <c r="T17" s="167">
        <f t="shared" si="3"/>
        <v>0</v>
      </c>
      <c r="U17" s="167">
        <f t="shared" si="4"/>
        <v>0</v>
      </c>
      <c r="V17" s="167">
        <f t="shared" si="5"/>
        <v>0</v>
      </c>
      <c r="W17" s="167">
        <f t="shared" si="6"/>
        <v>0</v>
      </c>
    </row>
    <row r="18" spans="1:23" x14ac:dyDescent="0.45">
      <c r="A18" s="161"/>
      <c r="B18" s="162"/>
      <c r="C18" s="162"/>
      <c r="D18" s="161">
        <f t="shared" si="7"/>
        <v>2</v>
      </c>
      <c r="E18" s="163">
        <v>1288</v>
      </c>
      <c r="F18" s="164" t="s">
        <v>21</v>
      </c>
      <c r="G18" s="165">
        <v>0</v>
      </c>
      <c r="H18" s="165">
        <v>0</v>
      </c>
      <c r="I18" s="165">
        <v>0</v>
      </c>
      <c r="J18" s="165">
        <v>0</v>
      </c>
      <c r="K18" s="165">
        <v>0</v>
      </c>
      <c r="L18" s="165">
        <v>0</v>
      </c>
      <c r="M18" s="153"/>
      <c r="N18" s="153"/>
      <c r="O18" s="153"/>
      <c r="P18" s="166">
        <v>1288</v>
      </c>
      <c r="Q18" s="166" t="s">
        <v>228</v>
      </c>
      <c r="R18" s="167">
        <f t="shared" si="1"/>
        <v>0</v>
      </c>
      <c r="S18" s="167">
        <f t="shared" si="2"/>
        <v>0</v>
      </c>
      <c r="T18" s="167">
        <f t="shared" si="3"/>
        <v>0</v>
      </c>
      <c r="U18" s="167">
        <f t="shared" si="4"/>
        <v>0</v>
      </c>
      <c r="V18" s="167">
        <f t="shared" si="5"/>
        <v>0</v>
      </c>
      <c r="W18" s="167">
        <f t="shared" si="6"/>
        <v>0</v>
      </c>
    </row>
    <row r="19" spans="1:23" x14ac:dyDescent="0.45">
      <c r="A19" s="219">
        <v>131</v>
      </c>
      <c r="B19" s="220" t="s">
        <v>22</v>
      </c>
      <c r="C19" s="220"/>
      <c r="D19" s="219">
        <f t="shared" si="7"/>
        <v>1</v>
      </c>
      <c r="E19" s="221">
        <v>131</v>
      </c>
      <c r="F19" s="222" t="s">
        <v>23</v>
      </c>
      <c r="G19" s="223">
        <v>22680000</v>
      </c>
      <c r="H19" s="223">
        <v>0</v>
      </c>
      <c r="I19" s="223">
        <v>54240000</v>
      </c>
      <c r="J19" s="223">
        <v>53040000</v>
      </c>
      <c r="K19" s="223">
        <v>23880000</v>
      </c>
      <c r="L19" s="223">
        <v>0</v>
      </c>
      <c r="M19" s="153"/>
      <c r="N19" s="153"/>
      <c r="O19" s="153"/>
      <c r="P19" s="225">
        <v>131</v>
      </c>
      <c r="Q19" s="225" t="s">
        <v>229</v>
      </c>
      <c r="R19" s="226">
        <f t="shared" si="1"/>
        <v>22680000</v>
      </c>
      <c r="S19" s="226">
        <f t="shared" si="2"/>
        <v>0</v>
      </c>
      <c r="T19" s="226">
        <f t="shared" si="3"/>
        <v>54240000</v>
      </c>
      <c r="U19" s="226">
        <f t="shared" si="4"/>
        <v>53040000</v>
      </c>
      <c r="V19" s="226">
        <f t="shared" si="5"/>
        <v>23880000</v>
      </c>
      <c r="W19" s="226">
        <f t="shared" si="6"/>
        <v>0</v>
      </c>
    </row>
    <row r="20" spans="1:23" x14ac:dyDescent="0.45">
      <c r="A20" s="219">
        <v>181</v>
      </c>
      <c r="B20" s="220"/>
      <c r="C20" s="220"/>
      <c r="D20" s="219">
        <f t="shared" si="7"/>
        <v>1</v>
      </c>
      <c r="E20" s="221">
        <v>133</v>
      </c>
      <c r="F20" s="222" t="s">
        <v>24</v>
      </c>
      <c r="G20" s="223">
        <v>0</v>
      </c>
      <c r="H20" s="223">
        <v>0</v>
      </c>
      <c r="I20" s="223">
        <v>40645620</v>
      </c>
      <c r="J20" s="223">
        <v>1611989</v>
      </c>
      <c r="K20" s="223">
        <v>39033631</v>
      </c>
      <c r="L20" s="223">
        <v>0</v>
      </c>
      <c r="M20" s="153"/>
      <c r="N20" s="153"/>
      <c r="O20" s="153"/>
      <c r="P20" s="225">
        <v>133</v>
      </c>
      <c r="Q20" s="225" t="s">
        <v>230</v>
      </c>
      <c r="R20" s="226">
        <f t="shared" si="1"/>
        <v>0</v>
      </c>
      <c r="S20" s="226">
        <f t="shared" si="2"/>
        <v>0</v>
      </c>
      <c r="T20" s="226">
        <f t="shared" si="3"/>
        <v>40645620</v>
      </c>
      <c r="U20" s="226">
        <f t="shared" si="4"/>
        <v>1611989</v>
      </c>
      <c r="V20" s="226">
        <f t="shared" si="5"/>
        <v>39033631</v>
      </c>
      <c r="W20" s="226">
        <f t="shared" si="6"/>
        <v>0</v>
      </c>
    </row>
    <row r="21" spans="1:23" x14ac:dyDescent="0.45">
      <c r="A21" s="161"/>
      <c r="B21" s="162"/>
      <c r="C21" s="162"/>
      <c r="D21" s="161">
        <f t="shared" si="7"/>
        <v>2</v>
      </c>
      <c r="E21" s="163">
        <v>1331</v>
      </c>
      <c r="F21" s="164" t="s">
        <v>25</v>
      </c>
      <c r="G21" s="165">
        <v>0</v>
      </c>
      <c r="H21" s="165">
        <v>0</v>
      </c>
      <c r="I21" s="165">
        <v>40645620</v>
      </c>
      <c r="J21" s="165">
        <v>1611989</v>
      </c>
      <c r="K21" s="165">
        <v>39033631</v>
      </c>
      <c r="L21" s="165">
        <v>0</v>
      </c>
      <c r="M21" s="153"/>
      <c r="N21" s="153"/>
      <c r="O21" s="153"/>
      <c r="P21" s="166">
        <v>1331</v>
      </c>
      <c r="Q21" s="166" t="s">
        <v>231</v>
      </c>
      <c r="R21" s="167">
        <f t="shared" si="1"/>
        <v>0</v>
      </c>
      <c r="S21" s="167">
        <f t="shared" si="2"/>
        <v>0</v>
      </c>
      <c r="T21" s="167">
        <f t="shared" si="3"/>
        <v>40645620</v>
      </c>
      <c r="U21" s="167">
        <f t="shared" si="4"/>
        <v>1611989</v>
      </c>
      <c r="V21" s="167">
        <f t="shared" si="5"/>
        <v>39033631</v>
      </c>
      <c r="W21" s="167">
        <f t="shared" si="6"/>
        <v>0</v>
      </c>
    </row>
    <row r="22" spans="1:23" x14ac:dyDescent="0.45">
      <c r="A22" s="161"/>
      <c r="B22" s="162"/>
      <c r="C22" s="162"/>
      <c r="D22" s="161">
        <f t="shared" si="7"/>
        <v>2</v>
      </c>
      <c r="E22" s="163">
        <v>1332</v>
      </c>
      <c r="F22" s="164" t="s">
        <v>26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53"/>
      <c r="N22" s="153"/>
      <c r="O22" s="153"/>
      <c r="P22" s="166">
        <v>1332</v>
      </c>
      <c r="Q22" s="166" t="s">
        <v>232</v>
      </c>
      <c r="R22" s="167">
        <f t="shared" si="1"/>
        <v>0</v>
      </c>
      <c r="S22" s="167">
        <f t="shared" si="2"/>
        <v>0</v>
      </c>
      <c r="T22" s="167">
        <f t="shared" si="3"/>
        <v>0</v>
      </c>
      <c r="U22" s="167">
        <f t="shared" si="4"/>
        <v>0</v>
      </c>
      <c r="V22" s="167">
        <f t="shared" si="5"/>
        <v>0</v>
      </c>
      <c r="W22" s="167">
        <f t="shared" si="6"/>
        <v>0</v>
      </c>
    </row>
    <row r="23" spans="1:23" x14ac:dyDescent="0.45">
      <c r="A23" s="219">
        <v>134</v>
      </c>
      <c r="B23" s="220"/>
      <c r="C23" s="220"/>
      <c r="D23" s="219">
        <f t="shared" si="7"/>
        <v>1</v>
      </c>
      <c r="E23" s="221">
        <v>136</v>
      </c>
      <c r="F23" s="222" t="s">
        <v>27</v>
      </c>
      <c r="G23" s="223">
        <v>0</v>
      </c>
      <c r="H23" s="223">
        <v>0</v>
      </c>
      <c r="I23" s="223">
        <v>0</v>
      </c>
      <c r="J23" s="223">
        <v>0</v>
      </c>
      <c r="K23" s="223">
        <v>0</v>
      </c>
      <c r="L23" s="223">
        <v>0</v>
      </c>
      <c r="M23" s="153"/>
      <c r="N23" s="153"/>
      <c r="O23" s="153"/>
      <c r="P23" s="225">
        <v>136</v>
      </c>
      <c r="Q23" s="225" t="s">
        <v>207</v>
      </c>
      <c r="R23" s="226">
        <f t="shared" si="1"/>
        <v>0</v>
      </c>
      <c r="S23" s="226">
        <f t="shared" si="2"/>
        <v>0</v>
      </c>
      <c r="T23" s="226">
        <f t="shared" si="3"/>
        <v>0</v>
      </c>
      <c r="U23" s="226">
        <f t="shared" si="4"/>
        <v>0</v>
      </c>
      <c r="V23" s="226">
        <f t="shared" si="5"/>
        <v>0</v>
      </c>
      <c r="W23" s="226">
        <f t="shared" si="6"/>
        <v>0</v>
      </c>
    </row>
    <row r="24" spans="1:23" x14ac:dyDescent="0.45">
      <c r="A24" s="161"/>
      <c r="B24" s="162"/>
      <c r="C24" s="162"/>
      <c r="D24" s="161">
        <f t="shared" si="7"/>
        <v>2</v>
      </c>
      <c r="E24" s="163">
        <v>1361</v>
      </c>
      <c r="F24" s="164" t="s">
        <v>28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53"/>
      <c r="N24" s="153"/>
      <c r="O24" s="153"/>
      <c r="P24" s="166">
        <v>1361</v>
      </c>
      <c r="Q24" s="166" t="s">
        <v>233</v>
      </c>
      <c r="R24" s="167">
        <f t="shared" si="1"/>
        <v>0</v>
      </c>
      <c r="S24" s="167">
        <f t="shared" si="2"/>
        <v>0</v>
      </c>
      <c r="T24" s="167">
        <f t="shared" si="3"/>
        <v>0</v>
      </c>
      <c r="U24" s="167">
        <f t="shared" si="4"/>
        <v>0</v>
      </c>
      <c r="V24" s="167">
        <f t="shared" si="5"/>
        <v>0</v>
      </c>
      <c r="W24" s="167">
        <f t="shared" si="6"/>
        <v>0</v>
      </c>
    </row>
    <row r="25" spans="1:23" x14ac:dyDescent="0.45">
      <c r="A25" s="161"/>
      <c r="B25" s="162"/>
      <c r="C25" s="162"/>
      <c r="D25" s="161">
        <f t="shared" si="7"/>
        <v>2</v>
      </c>
      <c r="E25" s="163">
        <v>1368</v>
      </c>
      <c r="F25" s="164" t="s">
        <v>29</v>
      </c>
      <c r="G25" s="165">
        <v>0</v>
      </c>
      <c r="H25" s="165">
        <v>0</v>
      </c>
      <c r="I25" s="165">
        <v>0</v>
      </c>
      <c r="J25" s="165">
        <v>0</v>
      </c>
      <c r="K25" s="165">
        <v>0</v>
      </c>
      <c r="L25" s="165">
        <v>0</v>
      </c>
      <c r="M25" s="153"/>
      <c r="N25" s="153"/>
      <c r="O25" s="153"/>
      <c r="P25" s="166">
        <v>1368</v>
      </c>
      <c r="Q25" s="166" t="s">
        <v>234</v>
      </c>
      <c r="R25" s="167">
        <f t="shared" si="1"/>
        <v>0</v>
      </c>
      <c r="S25" s="167">
        <f t="shared" si="2"/>
        <v>0</v>
      </c>
      <c r="T25" s="167">
        <f t="shared" si="3"/>
        <v>0</v>
      </c>
      <c r="U25" s="167">
        <f t="shared" si="4"/>
        <v>0</v>
      </c>
      <c r="V25" s="167">
        <f t="shared" si="5"/>
        <v>0</v>
      </c>
      <c r="W25" s="167">
        <f t="shared" si="6"/>
        <v>0</v>
      </c>
    </row>
    <row r="26" spans="1:23" x14ac:dyDescent="0.45">
      <c r="A26" s="219"/>
      <c r="B26" s="220"/>
      <c r="C26" s="220"/>
      <c r="D26" s="219">
        <f t="shared" si="7"/>
        <v>1</v>
      </c>
      <c r="E26" s="221">
        <v>138</v>
      </c>
      <c r="F26" s="222" t="s">
        <v>30</v>
      </c>
      <c r="G26" s="223">
        <v>0</v>
      </c>
      <c r="H26" s="223">
        <v>0</v>
      </c>
      <c r="I26" s="223">
        <v>0</v>
      </c>
      <c r="J26" s="223">
        <v>0</v>
      </c>
      <c r="K26" s="223">
        <v>0</v>
      </c>
      <c r="L26" s="223">
        <v>0</v>
      </c>
      <c r="M26" s="153"/>
      <c r="N26" s="153"/>
      <c r="O26" s="153"/>
      <c r="P26" s="225">
        <v>138</v>
      </c>
      <c r="Q26" s="225" t="s">
        <v>208</v>
      </c>
      <c r="R26" s="226">
        <f t="shared" si="1"/>
        <v>0</v>
      </c>
      <c r="S26" s="226">
        <f t="shared" si="2"/>
        <v>0</v>
      </c>
      <c r="T26" s="226">
        <f t="shared" si="3"/>
        <v>0</v>
      </c>
      <c r="U26" s="226">
        <f t="shared" si="4"/>
        <v>0</v>
      </c>
      <c r="V26" s="226">
        <f t="shared" si="5"/>
        <v>0</v>
      </c>
      <c r="W26" s="226">
        <f t="shared" si="6"/>
        <v>0</v>
      </c>
    </row>
    <row r="27" spans="1:23" x14ac:dyDescent="0.45">
      <c r="A27" s="161">
        <v>135</v>
      </c>
      <c r="B27" s="162"/>
      <c r="C27" s="162"/>
      <c r="D27" s="161">
        <f t="shared" si="7"/>
        <v>2</v>
      </c>
      <c r="E27" s="163">
        <v>1381</v>
      </c>
      <c r="F27" s="164" t="s">
        <v>31</v>
      </c>
      <c r="G27" s="165">
        <v>0</v>
      </c>
      <c r="H27" s="165">
        <v>0</v>
      </c>
      <c r="I27" s="165">
        <v>0</v>
      </c>
      <c r="J27" s="165">
        <v>0</v>
      </c>
      <c r="K27" s="165">
        <v>0</v>
      </c>
      <c r="L27" s="165">
        <v>0</v>
      </c>
      <c r="M27" s="153"/>
      <c r="N27" s="153"/>
      <c r="O27" s="153"/>
      <c r="P27" s="166">
        <v>1381</v>
      </c>
      <c r="Q27" s="166" t="s">
        <v>1044</v>
      </c>
      <c r="R27" s="167">
        <f t="shared" si="1"/>
        <v>0</v>
      </c>
      <c r="S27" s="167">
        <f t="shared" si="2"/>
        <v>0</v>
      </c>
      <c r="T27" s="167">
        <f t="shared" si="3"/>
        <v>0</v>
      </c>
      <c r="U27" s="167">
        <f t="shared" si="4"/>
        <v>0</v>
      </c>
      <c r="V27" s="167">
        <f t="shared" si="5"/>
        <v>0</v>
      </c>
      <c r="W27" s="167">
        <f t="shared" si="6"/>
        <v>0</v>
      </c>
    </row>
    <row r="28" spans="1:23" x14ac:dyDescent="0.45">
      <c r="A28" s="161">
        <v>134</v>
      </c>
      <c r="B28" s="161">
        <v>315</v>
      </c>
      <c r="C28" s="162"/>
      <c r="D28" s="161">
        <f t="shared" si="7"/>
        <v>2</v>
      </c>
      <c r="E28" s="163">
        <v>1386</v>
      </c>
      <c r="F28" s="164" t="s">
        <v>32</v>
      </c>
      <c r="G28" s="165">
        <v>0</v>
      </c>
      <c r="H28" s="165">
        <v>0</v>
      </c>
      <c r="I28" s="165">
        <v>0</v>
      </c>
      <c r="J28" s="165">
        <v>0</v>
      </c>
      <c r="K28" s="165">
        <v>0</v>
      </c>
      <c r="L28" s="165">
        <v>0</v>
      </c>
      <c r="M28" s="153"/>
      <c r="N28" s="153"/>
      <c r="O28" s="153"/>
      <c r="P28" s="166">
        <v>1386</v>
      </c>
      <c r="Q28" s="166" t="s">
        <v>235</v>
      </c>
      <c r="R28" s="167">
        <f t="shared" si="1"/>
        <v>0</v>
      </c>
      <c r="S28" s="167">
        <f t="shared" si="2"/>
        <v>0</v>
      </c>
      <c r="T28" s="167">
        <f t="shared" si="3"/>
        <v>0</v>
      </c>
      <c r="U28" s="167">
        <f t="shared" si="4"/>
        <v>0</v>
      </c>
      <c r="V28" s="167">
        <f t="shared" si="5"/>
        <v>0</v>
      </c>
      <c r="W28" s="167">
        <f t="shared" si="6"/>
        <v>0</v>
      </c>
    </row>
    <row r="29" spans="1:23" x14ac:dyDescent="0.45">
      <c r="A29" s="161">
        <v>134</v>
      </c>
      <c r="B29" s="162" t="s">
        <v>33</v>
      </c>
      <c r="C29" s="162"/>
      <c r="D29" s="161">
        <f t="shared" si="7"/>
        <v>2</v>
      </c>
      <c r="E29" s="163">
        <v>1388</v>
      </c>
      <c r="F29" s="164" t="s">
        <v>30</v>
      </c>
      <c r="G29" s="165">
        <v>0</v>
      </c>
      <c r="H29" s="165">
        <v>0</v>
      </c>
      <c r="I29" s="165">
        <v>0</v>
      </c>
      <c r="J29" s="165">
        <v>0</v>
      </c>
      <c r="K29" s="165">
        <v>0</v>
      </c>
      <c r="L29" s="165">
        <v>0</v>
      </c>
      <c r="M29" s="153"/>
      <c r="N29" s="153"/>
      <c r="O29" s="153"/>
      <c r="P29" s="166">
        <v>1388</v>
      </c>
      <c r="Q29" s="166" t="s">
        <v>208</v>
      </c>
      <c r="R29" s="167">
        <f t="shared" si="1"/>
        <v>0</v>
      </c>
      <c r="S29" s="167">
        <f t="shared" si="2"/>
        <v>0</v>
      </c>
      <c r="T29" s="167">
        <f t="shared" si="3"/>
        <v>0</v>
      </c>
      <c r="U29" s="167">
        <f t="shared" si="4"/>
        <v>0</v>
      </c>
      <c r="V29" s="167">
        <f t="shared" si="5"/>
        <v>0</v>
      </c>
      <c r="W29" s="167">
        <f t="shared" si="6"/>
        <v>0</v>
      </c>
    </row>
    <row r="30" spans="1:23" x14ac:dyDescent="0.45">
      <c r="A30" s="219">
        <v>134</v>
      </c>
      <c r="B30" s="220"/>
      <c r="C30" s="220"/>
      <c r="D30" s="219">
        <f t="shared" si="7"/>
        <v>1</v>
      </c>
      <c r="E30" s="221">
        <v>141</v>
      </c>
      <c r="F30" s="222" t="s">
        <v>34</v>
      </c>
      <c r="G30" s="223">
        <v>0</v>
      </c>
      <c r="H30" s="223">
        <v>0</v>
      </c>
      <c r="I30" s="223">
        <v>0</v>
      </c>
      <c r="J30" s="223">
        <v>0</v>
      </c>
      <c r="K30" s="223">
        <v>0</v>
      </c>
      <c r="L30" s="223">
        <v>0</v>
      </c>
      <c r="M30" s="153"/>
      <c r="N30" s="153"/>
      <c r="O30" s="153"/>
      <c r="P30" s="225">
        <v>141</v>
      </c>
      <c r="Q30" s="225" t="s">
        <v>236</v>
      </c>
      <c r="R30" s="226">
        <f t="shared" si="1"/>
        <v>0</v>
      </c>
      <c r="S30" s="226">
        <f t="shared" si="2"/>
        <v>0</v>
      </c>
      <c r="T30" s="226">
        <f t="shared" si="3"/>
        <v>0</v>
      </c>
      <c r="U30" s="226">
        <f t="shared" si="4"/>
        <v>0</v>
      </c>
      <c r="V30" s="226">
        <f t="shared" si="5"/>
        <v>0</v>
      </c>
      <c r="W30" s="226">
        <f t="shared" si="6"/>
        <v>0</v>
      </c>
    </row>
    <row r="31" spans="1:23" x14ac:dyDescent="0.45">
      <c r="A31" s="219">
        <v>141</v>
      </c>
      <c r="B31" s="220"/>
      <c r="C31" s="220"/>
      <c r="D31" s="219">
        <f t="shared" si="7"/>
        <v>1</v>
      </c>
      <c r="E31" s="221">
        <v>151</v>
      </c>
      <c r="F31" s="222" t="s">
        <v>35</v>
      </c>
      <c r="G31" s="223">
        <v>0</v>
      </c>
      <c r="H31" s="223">
        <v>0</v>
      </c>
      <c r="I31" s="223">
        <v>0</v>
      </c>
      <c r="J31" s="223">
        <v>0</v>
      </c>
      <c r="K31" s="223">
        <v>0</v>
      </c>
      <c r="L31" s="223">
        <v>0</v>
      </c>
      <c r="M31" s="153"/>
      <c r="N31" s="153"/>
      <c r="O31" s="153"/>
      <c r="P31" s="225">
        <v>151</v>
      </c>
      <c r="Q31" s="225" t="s">
        <v>237</v>
      </c>
      <c r="R31" s="226">
        <f t="shared" si="1"/>
        <v>0</v>
      </c>
      <c r="S31" s="226">
        <f t="shared" si="2"/>
        <v>0</v>
      </c>
      <c r="T31" s="226">
        <f t="shared" si="3"/>
        <v>0</v>
      </c>
      <c r="U31" s="226">
        <f t="shared" si="4"/>
        <v>0</v>
      </c>
      <c r="V31" s="226">
        <f t="shared" si="5"/>
        <v>0</v>
      </c>
      <c r="W31" s="226">
        <f t="shared" si="6"/>
        <v>0</v>
      </c>
    </row>
    <row r="32" spans="1:23" x14ac:dyDescent="0.45">
      <c r="A32" s="219">
        <v>141</v>
      </c>
      <c r="B32" s="220"/>
      <c r="C32" s="220"/>
      <c r="D32" s="219">
        <f t="shared" si="7"/>
        <v>1</v>
      </c>
      <c r="E32" s="221">
        <v>152</v>
      </c>
      <c r="F32" s="222" t="s">
        <v>36</v>
      </c>
      <c r="G32" s="223">
        <v>0</v>
      </c>
      <c r="H32" s="223">
        <v>0</v>
      </c>
      <c r="I32" s="223">
        <v>0</v>
      </c>
      <c r="J32" s="223">
        <v>0</v>
      </c>
      <c r="K32" s="223">
        <v>0</v>
      </c>
      <c r="L32" s="223">
        <v>0</v>
      </c>
      <c r="M32" s="153"/>
      <c r="N32" s="153"/>
      <c r="O32" s="153"/>
      <c r="P32" s="225">
        <v>152</v>
      </c>
      <c r="Q32" s="225" t="s">
        <v>238</v>
      </c>
      <c r="R32" s="226">
        <f t="shared" si="1"/>
        <v>0</v>
      </c>
      <c r="S32" s="226">
        <f t="shared" si="2"/>
        <v>0</v>
      </c>
      <c r="T32" s="226">
        <f t="shared" si="3"/>
        <v>0</v>
      </c>
      <c r="U32" s="226">
        <f t="shared" si="4"/>
        <v>0</v>
      </c>
      <c r="V32" s="226">
        <f t="shared" si="5"/>
        <v>0</v>
      </c>
      <c r="W32" s="226">
        <f t="shared" si="6"/>
        <v>0</v>
      </c>
    </row>
    <row r="33" spans="1:23" x14ac:dyDescent="0.45">
      <c r="A33" s="219">
        <v>141</v>
      </c>
      <c r="B33" s="220"/>
      <c r="C33" s="220"/>
      <c r="D33" s="219">
        <f t="shared" si="7"/>
        <v>1</v>
      </c>
      <c r="E33" s="221">
        <v>153</v>
      </c>
      <c r="F33" s="222" t="s">
        <v>37</v>
      </c>
      <c r="G33" s="223">
        <v>0</v>
      </c>
      <c r="H33" s="223">
        <v>0</v>
      </c>
      <c r="I33" s="223">
        <v>0</v>
      </c>
      <c r="J33" s="223">
        <v>0</v>
      </c>
      <c r="K33" s="223">
        <v>0</v>
      </c>
      <c r="L33" s="223">
        <v>0</v>
      </c>
      <c r="M33" s="153"/>
      <c r="N33" s="153"/>
      <c r="O33" s="153"/>
      <c r="P33" s="225">
        <v>153</v>
      </c>
      <c r="Q33" s="225" t="s">
        <v>239</v>
      </c>
      <c r="R33" s="226">
        <f t="shared" si="1"/>
        <v>0</v>
      </c>
      <c r="S33" s="226">
        <f t="shared" si="2"/>
        <v>0</v>
      </c>
      <c r="T33" s="226">
        <f t="shared" si="3"/>
        <v>0</v>
      </c>
      <c r="U33" s="226">
        <f t="shared" si="4"/>
        <v>0</v>
      </c>
      <c r="V33" s="226">
        <f t="shared" si="5"/>
        <v>0</v>
      </c>
      <c r="W33" s="226">
        <f t="shared" si="6"/>
        <v>0</v>
      </c>
    </row>
    <row r="34" spans="1:23" x14ac:dyDescent="0.45">
      <c r="A34" s="219">
        <v>141</v>
      </c>
      <c r="B34" s="220"/>
      <c r="C34" s="220"/>
      <c r="D34" s="219">
        <f t="shared" si="7"/>
        <v>1</v>
      </c>
      <c r="E34" s="221">
        <v>154</v>
      </c>
      <c r="F34" s="222" t="s">
        <v>38</v>
      </c>
      <c r="G34" s="223">
        <v>0</v>
      </c>
      <c r="H34" s="223">
        <v>0</v>
      </c>
      <c r="I34" s="223">
        <v>183572894</v>
      </c>
      <c r="J34" s="223">
        <v>183572894</v>
      </c>
      <c r="K34" s="223">
        <v>0</v>
      </c>
      <c r="L34" s="223">
        <v>0</v>
      </c>
      <c r="M34" s="153"/>
      <c r="N34" s="153"/>
      <c r="O34" s="153"/>
      <c r="P34" s="225">
        <v>154</v>
      </c>
      <c r="Q34" s="225" t="s">
        <v>240</v>
      </c>
      <c r="R34" s="226">
        <f t="shared" si="1"/>
        <v>0</v>
      </c>
      <c r="S34" s="226">
        <f t="shared" si="2"/>
        <v>0</v>
      </c>
      <c r="T34" s="226">
        <f t="shared" si="3"/>
        <v>183572894</v>
      </c>
      <c r="U34" s="226">
        <f t="shared" si="4"/>
        <v>183572894</v>
      </c>
      <c r="V34" s="226">
        <f t="shared" si="5"/>
        <v>0</v>
      </c>
      <c r="W34" s="226">
        <f t="shared" si="6"/>
        <v>0</v>
      </c>
    </row>
    <row r="35" spans="1:23" x14ac:dyDescent="0.45">
      <c r="A35" s="219">
        <v>141</v>
      </c>
      <c r="B35" s="220"/>
      <c r="C35" s="220"/>
      <c r="D35" s="219">
        <f t="shared" si="7"/>
        <v>1</v>
      </c>
      <c r="E35" s="221">
        <v>155</v>
      </c>
      <c r="F35" s="222" t="s">
        <v>39</v>
      </c>
      <c r="G35" s="223">
        <v>0</v>
      </c>
      <c r="H35" s="223">
        <v>0</v>
      </c>
      <c r="I35" s="223">
        <v>0</v>
      </c>
      <c r="J35" s="223">
        <v>0</v>
      </c>
      <c r="K35" s="223">
        <v>0</v>
      </c>
      <c r="L35" s="223">
        <v>0</v>
      </c>
      <c r="M35" s="153"/>
      <c r="N35" s="153"/>
      <c r="O35" s="153"/>
      <c r="P35" s="225">
        <v>155</v>
      </c>
      <c r="Q35" s="225" t="s">
        <v>241</v>
      </c>
      <c r="R35" s="226">
        <f t="shared" si="1"/>
        <v>0</v>
      </c>
      <c r="S35" s="226">
        <f t="shared" si="2"/>
        <v>0</v>
      </c>
      <c r="T35" s="226">
        <f t="shared" si="3"/>
        <v>0</v>
      </c>
      <c r="U35" s="226">
        <f t="shared" si="4"/>
        <v>0</v>
      </c>
      <c r="V35" s="226">
        <f t="shared" si="5"/>
        <v>0</v>
      </c>
      <c r="W35" s="226">
        <f t="shared" si="6"/>
        <v>0</v>
      </c>
    </row>
    <row r="36" spans="1:23" x14ac:dyDescent="0.45">
      <c r="A36" s="219">
        <v>141</v>
      </c>
      <c r="B36" s="220"/>
      <c r="C36" s="220"/>
      <c r="D36" s="219">
        <f t="shared" si="7"/>
        <v>1</v>
      </c>
      <c r="E36" s="221">
        <v>156</v>
      </c>
      <c r="F36" s="222" t="s">
        <v>40</v>
      </c>
      <c r="G36" s="223">
        <v>0</v>
      </c>
      <c r="H36" s="223">
        <v>0</v>
      </c>
      <c r="I36" s="223">
        <v>0</v>
      </c>
      <c r="J36" s="223">
        <v>0</v>
      </c>
      <c r="K36" s="223">
        <v>0</v>
      </c>
      <c r="L36" s="223">
        <v>0</v>
      </c>
      <c r="M36" s="153"/>
      <c r="N36" s="153"/>
      <c r="O36" s="153"/>
      <c r="P36" s="225">
        <v>156</v>
      </c>
      <c r="Q36" s="225" t="s">
        <v>242</v>
      </c>
      <c r="R36" s="226">
        <f t="shared" si="1"/>
        <v>0</v>
      </c>
      <c r="S36" s="226">
        <f t="shared" si="2"/>
        <v>0</v>
      </c>
      <c r="T36" s="226">
        <f t="shared" si="3"/>
        <v>0</v>
      </c>
      <c r="U36" s="226">
        <f t="shared" si="4"/>
        <v>0</v>
      </c>
      <c r="V36" s="226">
        <f t="shared" si="5"/>
        <v>0</v>
      </c>
      <c r="W36" s="226">
        <f t="shared" si="6"/>
        <v>0</v>
      </c>
    </row>
    <row r="37" spans="1:23" x14ac:dyDescent="0.45">
      <c r="A37" s="219">
        <v>141</v>
      </c>
      <c r="B37" s="220"/>
      <c r="C37" s="220"/>
      <c r="D37" s="219">
        <f t="shared" si="7"/>
        <v>1</v>
      </c>
      <c r="E37" s="221">
        <v>157</v>
      </c>
      <c r="F37" s="222" t="s">
        <v>41</v>
      </c>
      <c r="G37" s="223">
        <v>0</v>
      </c>
      <c r="H37" s="223">
        <v>0</v>
      </c>
      <c r="I37" s="223">
        <v>0</v>
      </c>
      <c r="J37" s="223">
        <v>0</v>
      </c>
      <c r="K37" s="223">
        <v>0</v>
      </c>
      <c r="L37" s="223">
        <v>0</v>
      </c>
      <c r="M37" s="153"/>
      <c r="N37" s="153"/>
      <c r="O37" s="153"/>
      <c r="P37" s="225">
        <v>157</v>
      </c>
      <c r="Q37" s="225" t="s">
        <v>243</v>
      </c>
      <c r="R37" s="226">
        <f t="shared" si="1"/>
        <v>0</v>
      </c>
      <c r="S37" s="226">
        <f t="shared" si="2"/>
        <v>0</v>
      </c>
      <c r="T37" s="226">
        <f t="shared" si="3"/>
        <v>0</v>
      </c>
      <c r="U37" s="226">
        <f t="shared" si="4"/>
        <v>0</v>
      </c>
      <c r="V37" s="226">
        <f t="shared" si="5"/>
        <v>0</v>
      </c>
      <c r="W37" s="226">
        <f t="shared" si="6"/>
        <v>0</v>
      </c>
    </row>
    <row r="38" spans="1:23" x14ac:dyDescent="0.45">
      <c r="A38" s="219">
        <v>151</v>
      </c>
      <c r="B38" s="220"/>
      <c r="C38" s="220"/>
      <c r="D38" s="219">
        <f t="shared" si="7"/>
        <v>1</v>
      </c>
      <c r="E38" s="221">
        <v>211</v>
      </c>
      <c r="F38" s="222" t="s">
        <v>42</v>
      </c>
      <c r="G38" s="223">
        <v>0</v>
      </c>
      <c r="H38" s="223">
        <v>0</v>
      </c>
      <c r="I38" s="223">
        <v>423501818</v>
      </c>
      <c r="J38" s="223">
        <v>0</v>
      </c>
      <c r="K38" s="223">
        <v>423501818</v>
      </c>
      <c r="L38" s="223">
        <v>0</v>
      </c>
      <c r="M38" s="153"/>
      <c r="N38" s="153"/>
      <c r="O38" s="153"/>
      <c r="P38" s="225">
        <v>211</v>
      </c>
      <c r="Q38" s="225" t="s">
        <v>209</v>
      </c>
      <c r="R38" s="226">
        <f t="shared" si="1"/>
        <v>0</v>
      </c>
      <c r="S38" s="226">
        <f t="shared" si="2"/>
        <v>0</v>
      </c>
      <c r="T38" s="226">
        <f t="shared" si="3"/>
        <v>423501818</v>
      </c>
      <c r="U38" s="226">
        <f t="shared" si="4"/>
        <v>0</v>
      </c>
      <c r="V38" s="226">
        <f t="shared" si="5"/>
        <v>423501818</v>
      </c>
      <c r="W38" s="226">
        <f t="shared" si="6"/>
        <v>0</v>
      </c>
    </row>
    <row r="39" spans="1:23" x14ac:dyDescent="0.45">
      <c r="A39" s="161"/>
      <c r="B39" s="162"/>
      <c r="C39" s="162"/>
      <c r="D39" s="161">
        <f t="shared" si="7"/>
        <v>2</v>
      </c>
      <c r="E39" s="163">
        <v>2111</v>
      </c>
      <c r="F39" s="164" t="s">
        <v>43</v>
      </c>
      <c r="G39" s="165">
        <v>0</v>
      </c>
      <c r="H39" s="165">
        <v>0</v>
      </c>
      <c r="I39" s="165">
        <v>423501818</v>
      </c>
      <c r="J39" s="165">
        <v>0</v>
      </c>
      <c r="K39" s="165">
        <v>423501818</v>
      </c>
      <c r="L39" s="165">
        <v>0</v>
      </c>
      <c r="M39" s="153"/>
      <c r="N39" s="153"/>
      <c r="O39" s="153"/>
      <c r="P39" s="166">
        <v>2111</v>
      </c>
      <c r="Q39" s="166" t="s">
        <v>244</v>
      </c>
      <c r="R39" s="167">
        <f t="shared" si="1"/>
        <v>0</v>
      </c>
      <c r="S39" s="167">
        <f t="shared" si="2"/>
        <v>0</v>
      </c>
      <c r="T39" s="167">
        <f t="shared" si="3"/>
        <v>423501818</v>
      </c>
      <c r="U39" s="167">
        <f t="shared" si="4"/>
        <v>0</v>
      </c>
      <c r="V39" s="167">
        <f t="shared" si="5"/>
        <v>423501818</v>
      </c>
      <c r="W39" s="167">
        <f t="shared" si="6"/>
        <v>0</v>
      </c>
    </row>
    <row r="40" spans="1:23" x14ac:dyDescent="0.45">
      <c r="A40" s="161"/>
      <c r="B40" s="162"/>
      <c r="C40" s="162"/>
      <c r="D40" s="161">
        <f t="shared" si="7"/>
        <v>2</v>
      </c>
      <c r="E40" s="163">
        <v>2112</v>
      </c>
      <c r="F40" s="164" t="s">
        <v>44</v>
      </c>
      <c r="G40" s="165">
        <v>0</v>
      </c>
      <c r="H40" s="165">
        <v>0</v>
      </c>
      <c r="I40" s="165">
        <v>0</v>
      </c>
      <c r="J40" s="165">
        <v>0</v>
      </c>
      <c r="K40" s="165">
        <v>0</v>
      </c>
      <c r="L40" s="165">
        <v>0</v>
      </c>
      <c r="M40" s="153"/>
      <c r="N40" s="153"/>
      <c r="O40" s="153"/>
      <c r="P40" s="166">
        <v>2112</v>
      </c>
      <c r="Q40" s="166" t="s">
        <v>245</v>
      </c>
      <c r="R40" s="167">
        <f t="shared" ref="R40:R71" si="8">G40</f>
        <v>0</v>
      </c>
      <c r="S40" s="167">
        <f t="shared" ref="S40:S71" si="9">H40</f>
        <v>0</v>
      </c>
      <c r="T40" s="167">
        <f t="shared" ref="T40:T71" si="10">I40</f>
        <v>0</v>
      </c>
      <c r="U40" s="167">
        <f t="shared" ref="U40:U71" si="11">J40</f>
        <v>0</v>
      </c>
      <c r="V40" s="167">
        <f t="shared" ref="V40:V71" si="12">K40</f>
        <v>0</v>
      </c>
      <c r="W40" s="167">
        <f t="shared" ref="W40:W71" si="13">L40</f>
        <v>0</v>
      </c>
    </row>
    <row r="41" spans="1:23" x14ac:dyDescent="0.45">
      <c r="A41" s="161"/>
      <c r="B41" s="162"/>
      <c r="C41" s="162"/>
      <c r="D41" s="161">
        <f t="shared" si="7"/>
        <v>2</v>
      </c>
      <c r="E41" s="163">
        <v>2113</v>
      </c>
      <c r="F41" s="164" t="s">
        <v>45</v>
      </c>
      <c r="G41" s="165">
        <v>0</v>
      </c>
      <c r="H41" s="165">
        <v>0</v>
      </c>
      <c r="I41" s="165">
        <v>0</v>
      </c>
      <c r="J41" s="165">
        <v>0</v>
      </c>
      <c r="K41" s="165">
        <v>0</v>
      </c>
      <c r="L41" s="165">
        <v>0</v>
      </c>
      <c r="M41" s="153"/>
      <c r="N41" s="153"/>
      <c r="O41" s="153"/>
      <c r="P41" s="166">
        <v>2113</v>
      </c>
      <c r="Q41" s="166" t="s">
        <v>246</v>
      </c>
      <c r="R41" s="167">
        <f t="shared" si="8"/>
        <v>0</v>
      </c>
      <c r="S41" s="167">
        <f t="shared" si="9"/>
        <v>0</v>
      </c>
      <c r="T41" s="167">
        <f t="shared" si="10"/>
        <v>0</v>
      </c>
      <c r="U41" s="167">
        <f t="shared" si="11"/>
        <v>0</v>
      </c>
      <c r="V41" s="167">
        <f t="shared" si="12"/>
        <v>0</v>
      </c>
      <c r="W41" s="167">
        <f t="shared" si="13"/>
        <v>0</v>
      </c>
    </row>
    <row r="42" spans="1:23" x14ac:dyDescent="0.45">
      <c r="A42" s="219"/>
      <c r="B42" s="220"/>
      <c r="C42" s="220"/>
      <c r="D42" s="219">
        <f t="shared" si="7"/>
        <v>1</v>
      </c>
      <c r="E42" s="221">
        <v>214</v>
      </c>
      <c r="F42" s="222" t="s">
        <v>46</v>
      </c>
      <c r="G42" s="223">
        <v>0</v>
      </c>
      <c r="H42" s="223">
        <v>0</v>
      </c>
      <c r="I42" s="223">
        <v>0</v>
      </c>
      <c r="J42" s="223">
        <v>10083376</v>
      </c>
      <c r="K42" s="223">
        <v>0</v>
      </c>
      <c r="L42" s="223">
        <v>10083376</v>
      </c>
      <c r="M42" s="153"/>
      <c r="N42" s="153"/>
      <c r="O42" s="153"/>
      <c r="P42" s="225">
        <v>214</v>
      </c>
      <c r="Q42" s="225" t="s">
        <v>247</v>
      </c>
      <c r="R42" s="226">
        <f t="shared" si="8"/>
        <v>0</v>
      </c>
      <c r="S42" s="226">
        <f t="shared" si="9"/>
        <v>0</v>
      </c>
      <c r="T42" s="226">
        <f t="shared" si="10"/>
        <v>0</v>
      </c>
      <c r="U42" s="226">
        <f t="shared" si="11"/>
        <v>10083376</v>
      </c>
      <c r="V42" s="226">
        <f t="shared" si="12"/>
        <v>0</v>
      </c>
      <c r="W42" s="226">
        <f t="shared" si="13"/>
        <v>10083376</v>
      </c>
    </row>
    <row r="43" spans="1:23" x14ac:dyDescent="0.45">
      <c r="A43" s="161">
        <v>152</v>
      </c>
      <c r="B43" s="162"/>
      <c r="C43" s="162"/>
      <c r="D43" s="161">
        <f t="shared" si="7"/>
        <v>2</v>
      </c>
      <c r="E43" s="163">
        <v>2141</v>
      </c>
      <c r="F43" s="164" t="s">
        <v>47</v>
      </c>
      <c r="G43" s="165">
        <v>0</v>
      </c>
      <c r="H43" s="165">
        <v>0</v>
      </c>
      <c r="I43" s="165">
        <v>0</v>
      </c>
      <c r="J43" s="165">
        <v>10083376</v>
      </c>
      <c r="K43" s="165">
        <v>0</v>
      </c>
      <c r="L43" s="165">
        <v>10083376</v>
      </c>
      <c r="M43" s="153"/>
      <c r="N43" s="153"/>
      <c r="O43" s="153"/>
      <c r="P43" s="166">
        <v>2141</v>
      </c>
      <c r="Q43" s="166" t="s">
        <v>248</v>
      </c>
      <c r="R43" s="167">
        <f t="shared" si="8"/>
        <v>0</v>
      </c>
      <c r="S43" s="167">
        <f t="shared" si="9"/>
        <v>0</v>
      </c>
      <c r="T43" s="167">
        <f t="shared" si="10"/>
        <v>0</v>
      </c>
      <c r="U43" s="167">
        <f t="shared" si="11"/>
        <v>10083376</v>
      </c>
      <c r="V43" s="167">
        <f t="shared" si="12"/>
        <v>0</v>
      </c>
      <c r="W43" s="167">
        <f t="shared" si="13"/>
        <v>10083376</v>
      </c>
    </row>
    <row r="44" spans="1:23" x14ac:dyDescent="0.45">
      <c r="A44" s="161">
        <v>152</v>
      </c>
      <c r="B44" s="162"/>
      <c r="C44" s="162"/>
      <c r="D44" s="161">
        <f t="shared" si="7"/>
        <v>2</v>
      </c>
      <c r="E44" s="163">
        <v>2142</v>
      </c>
      <c r="F44" s="164" t="s">
        <v>48</v>
      </c>
      <c r="G44" s="165">
        <v>0</v>
      </c>
      <c r="H44" s="165">
        <v>0</v>
      </c>
      <c r="I44" s="165">
        <v>0</v>
      </c>
      <c r="J44" s="165">
        <v>0</v>
      </c>
      <c r="K44" s="165">
        <v>0</v>
      </c>
      <c r="L44" s="165">
        <v>0</v>
      </c>
      <c r="M44" s="153"/>
      <c r="N44" s="153"/>
      <c r="O44" s="153"/>
      <c r="P44" s="166">
        <v>2142</v>
      </c>
      <c r="Q44" s="166" t="s">
        <v>249</v>
      </c>
      <c r="R44" s="167">
        <f t="shared" si="8"/>
        <v>0</v>
      </c>
      <c r="S44" s="167">
        <f t="shared" si="9"/>
        <v>0</v>
      </c>
      <c r="T44" s="167">
        <f t="shared" si="10"/>
        <v>0</v>
      </c>
      <c r="U44" s="167">
        <f t="shared" si="11"/>
        <v>0</v>
      </c>
      <c r="V44" s="167">
        <f t="shared" si="12"/>
        <v>0</v>
      </c>
      <c r="W44" s="167">
        <f t="shared" si="13"/>
        <v>0</v>
      </c>
    </row>
    <row r="45" spans="1:23" x14ac:dyDescent="0.45">
      <c r="A45" s="161">
        <v>152</v>
      </c>
      <c r="B45" s="162"/>
      <c r="C45" s="162"/>
      <c r="D45" s="161">
        <f t="shared" si="7"/>
        <v>2</v>
      </c>
      <c r="E45" s="163">
        <v>2143</v>
      </c>
      <c r="F45" s="164" t="s">
        <v>49</v>
      </c>
      <c r="G45" s="165">
        <v>0</v>
      </c>
      <c r="H45" s="165">
        <v>0</v>
      </c>
      <c r="I45" s="165">
        <v>0</v>
      </c>
      <c r="J45" s="165">
        <v>0</v>
      </c>
      <c r="K45" s="165">
        <v>0</v>
      </c>
      <c r="L45" s="165">
        <v>0</v>
      </c>
      <c r="M45" s="153"/>
      <c r="N45" s="153"/>
      <c r="O45" s="153"/>
      <c r="P45" s="166">
        <v>2143</v>
      </c>
      <c r="Q45" s="166" t="s">
        <v>250</v>
      </c>
      <c r="R45" s="167">
        <f t="shared" si="8"/>
        <v>0</v>
      </c>
      <c r="S45" s="167">
        <f t="shared" si="9"/>
        <v>0</v>
      </c>
      <c r="T45" s="167">
        <f t="shared" si="10"/>
        <v>0</v>
      </c>
      <c r="U45" s="167">
        <f t="shared" si="11"/>
        <v>0</v>
      </c>
      <c r="V45" s="167">
        <f t="shared" si="12"/>
        <v>0</v>
      </c>
      <c r="W45" s="167">
        <f t="shared" si="13"/>
        <v>0</v>
      </c>
    </row>
    <row r="46" spans="1:23" x14ac:dyDescent="0.45">
      <c r="A46" s="161">
        <v>162</v>
      </c>
      <c r="B46" s="162"/>
      <c r="C46" s="162"/>
      <c r="D46" s="161">
        <f t="shared" si="7"/>
        <v>2</v>
      </c>
      <c r="E46" s="163">
        <v>2147</v>
      </c>
      <c r="F46" s="164" t="s">
        <v>50</v>
      </c>
      <c r="G46" s="165">
        <v>0</v>
      </c>
      <c r="H46" s="165">
        <v>0</v>
      </c>
      <c r="I46" s="165">
        <v>0</v>
      </c>
      <c r="J46" s="165">
        <v>0</v>
      </c>
      <c r="K46" s="165">
        <v>0</v>
      </c>
      <c r="L46" s="165">
        <v>0</v>
      </c>
      <c r="M46" s="153"/>
      <c r="N46" s="153"/>
      <c r="O46" s="153"/>
      <c r="P46" s="166">
        <v>2147</v>
      </c>
      <c r="Q46" s="166" t="s">
        <v>251</v>
      </c>
      <c r="R46" s="167">
        <f t="shared" si="8"/>
        <v>0</v>
      </c>
      <c r="S46" s="167">
        <f t="shared" si="9"/>
        <v>0</v>
      </c>
      <c r="T46" s="167">
        <f t="shared" si="10"/>
        <v>0</v>
      </c>
      <c r="U46" s="167">
        <f t="shared" si="11"/>
        <v>0</v>
      </c>
      <c r="V46" s="167">
        <f t="shared" si="12"/>
        <v>0</v>
      </c>
      <c r="W46" s="167">
        <f t="shared" si="13"/>
        <v>0</v>
      </c>
    </row>
    <row r="47" spans="1:23" x14ac:dyDescent="0.45">
      <c r="A47" s="219">
        <v>161</v>
      </c>
      <c r="B47" s="220"/>
      <c r="C47" s="220"/>
      <c r="D47" s="219">
        <f t="shared" si="7"/>
        <v>1</v>
      </c>
      <c r="E47" s="221">
        <v>217</v>
      </c>
      <c r="F47" s="222" t="s">
        <v>51</v>
      </c>
      <c r="G47" s="223">
        <v>0</v>
      </c>
      <c r="H47" s="223">
        <v>0</v>
      </c>
      <c r="I47" s="223">
        <v>0</v>
      </c>
      <c r="J47" s="223">
        <v>0</v>
      </c>
      <c r="K47" s="223">
        <v>0</v>
      </c>
      <c r="L47" s="223">
        <v>0</v>
      </c>
      <c r="M47" s="153"/>
      <c r="N47" s="153"/>
      <c r="O47" s="153"/>
      <c r="P47" s="225">
        <v>217</v>
      </c>
      <c r="Q47" s="225" t="s">
        <v>252</v>
      </c>
      <c r="R47" s="226">
        <f t="shared" si="8"/>
        <v>0</v>
      </c>
      <c r="S47" s="226">
        <f t="shared" si="9"/>
        <v>0</v>
      </c>
      <c r="T47" s="226">
        <f t="shared" si="10"/>
        <v>0</v>
      </c>
      <c r="U47" s="226">
        <f t="shared" si="11"/>
        <v>0</v>
      </c>
      <c r="V47" s="226">
        <f t="shared" si="12"/>
        <v>0</v>
      </c>
      <c r="W47" s="226">
        <f t="shared" si="13"/>
        <v>0</v>
      </c>
    </row>
    <row r="48" spans="1:23" x14ac:dyDescent="0.45">
      <c r="A48" s="219"/>
      <c r="B48" s="220"/>
      <c r="C48" s="220"/>
      <c r="D48" s="219">
        <f t="shared" si="7"/>
        <v>1</v>
      </c>
      <c r="E48" s="221">
        <v>228</v>
      </c>
      <c r="F48" s="222" t="s">
        <v>52</v>
      </c>
      <c r="G48" s="223">
        <v>0</v>
      </c>
      <c r="H48" s="223">
        <v>0</v>
      </c>
      <c r="I48" s="223">
        <v>0</v>
      </c>
      <c r="J48" s="223">
        <v>0</v>
      </c>
      <c r="K48" s="223">
        <v>0</v>
      </c>
      <c r="L48" s="223">
        <v>0</v>
      </c>
      <c r="M48" s="153"/>
      <c r="N48" s="153"/>
      <c r="O48" s="153"/>
      <c r="P48" s="225">
        <v>228</v>
      </c>
      <c r="Q48" s="225" t="s">
        <v>253</v>
      </c>
      <c r="R48" s="226">
        <f t="shared" si="8"/>
        <v>0</v>
      </c>
      <c r="S48" s="226">
        <f t="shared" si="9"/>
        <v>0</v>
      </c>
      <c r="T48" s="226">
        <f t="shared" si="10"/>
        <v>0</v>
      </c>
      <c r="U48" s="226">
        <f t="shared" si="11"/>
        <v>0</v>
      </c>
      <c r="V48" s="226">
        <f t="shared" si="12"/>
        <v>0</v>
      </c>
      <c r="W48" s="226">
        <f t="shared" si="13"/>
        <v>0</v>
      </c>
    </row>
    <row r="49" spans="1:23" x14ac:dyDescent="0.45">
      <c r="A49" s="161">
        <v>123</v>
      </c>
      <c r="B49" s="162"/>
      <c r="C49" s="162"/>
      <c r="D49" s="161">
        <f t="shared" si="7"/>
        <v>2</v>
      </c>
      <c r="E49" s="163">
        <v>2281</v>
      </c>
      <c r="F49" s="164" t="s">
        <v>53</v>
      </c>
      <c r="G49" s="165">
        <v>0</v>
      </c>
      <c r="H49" s="165">
        <v>0</v>
      </c>
      <c r="I49" s="165">
        <v>0</v>
      </c>
      <c r="J49" s="165">
        <v>0</v>
      </c>
      <c r="K49" s="165">
        <v>0</v>
      </c>
      <c r="L49" s="165">
        <v>0</v>
      </c>
      <c r="M49" s="153"/>
      <c r="N49" s="153"/>
      <c r="O49" s="153"/>
      <c r="P49" s="166">
        <v>2281</v>
      </c>
      <c r="Q49" s="166" t="s">
        <v>254</v>
      </c>
      <c r="R49" s="167">
        <f t="shared" si="8"/>
        <v>0</v>
      </c>
      <c r="S49" s="167">
        <f t="shared" si="9"/>
        <v>0</v>
      </c>
      <c r="T49" s="167">
        <f t="shared" si="10"/>
        <v>0</v>
      </c>
      <c r="U49" s="167">
        <f t="shared" si="11"/>
        <v>0</v>
      </c>
      <c r="V49" s="167">
        <f t="shared" si="12"/>
        <v>0</v>
      </c>
      <c r="W49" s="167">
        <f t="shared" si="13"/>
        <v>0</v>
      </c>
    </row>
    <row r="50" spans="1:23" x14ac:dyDescent="0.45">
      <c r="A50" s="161">
        <v>123</v>
      </c>
      <c r="B50" s="162"/>
      <c r="C50" s="162"/>
      <c r="D50" s="161">
        <f t="shared" si="7"/>
        <v>2</v>
      </c>
      <c r="E50" s="163">
        <v>2288</v>
      </c>
      <c r="F50" s="164" t="s">
        <v>54</v>
      </c>
      <c r="G50" s="165">
        <v>0</v>
      </c>
      <c r="H50" s="165">
        <v>0</v>
      </c>
      <c r="I50" s="165">
        <v>0</v>
      </c>
      <c r="J50" s="165">
        <v>0</v>
      </c>
      <c r="K50" s="165">
        <v>0</v>
      </c>
      <c r="L50" s="165">
        <v>0</v>
      </c>
      <c r="M50" s="153"/>
      <c r="N50" s="153"/>
      <c r="O50" s="153"/>
      <c r="P50" s="166">
        <v>2288</v>
      </c>
      <c r="Q50" s="166" t="s">
        <v>255</v>
      </c>
      <c r="R50" s="167">
        <f t="shared" si="8"/>
        <v>0</v>
      </c>
      <c r="S50" s="167">
        <f t="shared" si="9"/>
        <v>0</v>
      </c>
      <c r="T50" s="167">
        <f t="shared" si="10"/>
        <v>0</v>
      </c>
      <c r="U50" s="167">
        <f t="shared" si="11"/>
        <v>0</v>
      </c>
      <c r="V50" s="167">
        <f t="shared" si="12"/>
        <v>0</v>
      </c>
      <c r="W50" s="167">
        <f t="shared" si="13"/>
        <v>0</v>
      </c>
    </row>
    <row r="51" spans="1:23" x14ac:dyDescent="0.45">
      <c r="A51" s="219"/>
      <c r="B51" s="220"/>
      <c r="C51" s="220"/>
      <c r="D51" s="219">
        <f t="shared" si="7"/>
        <v>1</v>
      </c>
      <c r="E51" s="221">
        <v>229</v>
      </c>
      <c r="F51" s="222" t="s">
        <v>55</v>
      </c>
      <c r="G51" s="223">
        <v>0</v>
      </c>
      <c r="H51" s="223">
        <v>0</v>
      </c>
      <c r="I51" s="223">
        <v>0</v>
      </c>
      <c r="J51" s="223">
        <v>0</v>
      </c>
      <c r="K51" s="223">
        <v>0</v>
      </c>
      <c r="L51" s="223">
        <v>0</v>
      </c>
      <c r="M51" s="153"/>
      <c r="N51" s="153"/>
      <c r="O51" s="153"/>
      <c r="P51" s="225">
        <v>229</v>
      </c>
      <c r="Q51" s="225" t="s">
        <v>256</v>
      </c>
      <c r="R51" s="226">
        <f t="shared" si="8"/>
        <v>0</v>
      </c>
      <c r="S51" s="226">
        <f t="shared" si="9"/>
        <v>0</v>
      </c>
      <c r="T51" s="226">
        <f t="shared" si="10"/>
        <v>0</v>
      </c>
      <c r="U51" s="226">
        <f t="shared" si="11"/>
        <v>0</v>
      </c>
      <c r="V51" s="226">
        <f t="shared" si="12"/>
        <v>0</v>
      </c>
      <c r="W51" s="226">
        <f t="shared" si="13"/>
        <v>0</v>
      </c>
    </row>
    <row r="52" spans="1:23" x14ac:dyDescent="0.45">
      <c r="A52" s="161">
        <v>124</v>
      </c>
      <c r="B52" s="162"/>
      <c r="C52" s="162"/>
      <c r="D52" s="161">
        <f t="shared" si="7"/>
        <v>2</v>
      </c>
      <c r="E52" s="163">
        <v>2291</v>
      </c>
      <c r="F52" s="164" t="s">
        <v>56</v>
      </c>
      <c r="G52" s="165">
        <v>0</v>
      </c>
      <c r="H52" s="165">
        <v>0</v>
      </c>
      <c r="I52" s="165">
        <v>0</v>
      </c>
      <c r="J52" s="165">
        <v>0</v>
      </c>
      <c r="K52" s="165">
        <v>0</v>
      </c>
      <c r="L52" s="165">
        <v>0</v>
      </c>
      <c r="M52" s="153"/>
      <c r="N52" s="153"/>
      <c r="O52" s="153"/>
      <c r="P52" s="166">
        <v>2291</v>
      </c>
      <c r="Q52" s="166" t="s">
        <v>257</v>
      </c>
      <c r="R52" s="167">
        <f t="shared" si="8"/>
        <v>0</v>
      </c>
      <c r="S52" s="167">
        <f t="shared" si="9"/>
        <v>0</v>
      </c>
      <c r="T52" s="167">
        <f t="shared" si="10"/>
        <v>0</v>
      </c>
      <c r="U52" s="167">
        <f t="shared" si="11"/>
        <v>0</v>
      </c>
      <c r="V52" s="167">
        <f t="shared" si="12"/>
        <v>0</v>
      </c>
      <c r="W52" s="167">
        <f t="shared" si="13"/>
        <v>0</v>
      </c>
    </row>
    <row r="53" spans="1:23" x14ac:dyDescent="0.45">
      <c r="A53" s="161">
        <v>124</v>
      </c>
      <c r="B53" s="162"/>
      <c r="C53" s="162"/>
      <c r="D53" s="161">
        <f t="shared" si="7"/>
        <v>2</v>
      </c>
      <c r="E53" s="163">
        <v>2292</v>
      </c>
      <c r="F53" s="164" t="s">
        <v>57</v>
      </c>
      <c r="G53" s="165">
        <v>0</v>
      </c>
      <c r="H53" s="165">
        <v>0</v>
      </c>
      <c r="I53" s="165">
        <v>0</v>
      </c>
      <c r="J53" s="165">
        <v>0</v>
      </c>
      <c r="K53" s="165">
        <v>0</v>
      </c>
      <c r="L53" s="165">
        <v>0</v>
      </c>
      <c r="M53" s="153"/>
      <c r="N53" s="153"/>
      <c r="O53" s="153"/>
      <c r="P53" s="166">
        <v>2292</v>
      </c>
      <c r="Q53" s="166" t="s">
        <v>258</v>
      </c>
      <c r="R53" s="167">
        <f t="shared" si="8"/>
        <v>0</v>
      </c>
      <c r="S53" s="167">
        <f t="shared" si="9"/>
        <v>0</v>
      </c>
      <c r="T53" s="167">
        <f t="shared" si="10"/>
        <v>0</v>
      </c>
      <c r="U53" s="167">
        <f t="shared" si="11"/>
        <v>0</v>
      </c>
      <c r="V53" s="167">
        <f t="shared" si="12"/>
        <v>0</v>
      </c>
      <c r="W53" s="167">
        <f t="shared" si="13"/>
        <v>0</v>
      </c>
    </row>
    <row r="54" spans="1:23" x14ac:dyDescent="0.45">
      <c r="A54" s="161">
        <v>136</v>
      </c>
      <c r="B54" s="162"/>
      <c r="C54" s="162"/>
      <c r="D54" s="161">
        <f t="shared" si="7"/>
        <v>2</v>
      </c>
      <c r="E54" s="163">
        <v>2293</v>
      </c>
      <c r="F54" s="164" t="s">
        <v>58</v>
      </c>
      <c r="G54" s="165">
        <v>0</v>
      </c>
      <c r="H54" s="165">
        <v>0</v>
      </c>
      <c r="I54" s="165">
        <v>0</v>
      </c>
      <c r="J54" s="165">
        <v>0</v>
      </c>
      <c r="K54" s="165">
        <v>0</v>
      </c>
      <c r="L54" s="165">
        <v>0</v>
      </c>
      <c r="M54" s="153"/>
      <c r="N54" s="153"/>
      <c r="O54" s="153"/>
      <c r="P54" s="166">
        <v>2293</v>
      </c>
      <c r="Q54" s="166" t="s">
        <v>259</v>
      </c>
      <c r="R54" s="167">
        <f t="shared" si="8"/>
        <v>0</v>
      </c>
      <c r="S54" s="167">
        <f t="shared" si="9"/>
        <v>0</v>
      </c>
      <c r="T54" s="167">
        <f t="shared" si="10"/>
        <v>0</v>
      </c>
      <c r="U54" s="167">
        <f t="shared" si="11"/>
        <v>0</v>
      </c>
      <c r="V54" s="167">
        <f t="shared" si="12"/>
        <v>0</v>
      </c>
      <c r="W54" s="167">
        <f t="shared" si="13"/>
        <v>0</v>
      </c>
    </row>
    <row r="55" spans="1:23" x14ac:dyDescent="0.45">
      <c r="A55" s="161">
        <v>142</v>
      </c>
      <c r="B55" s="162"/>
      <c r="C55" s="162"/>
      <c r="D55" s="161">
        <f t="shared" si="7"/>
        <v>2</v>
      </c>
      <c r="E55" s="163">
        <v>2294</v>
      </c>
      <c r="F55" s="164" t="s">
        <v>59</v>
      </c>
      <c r="G55" s="165">
        <v>0</v>
      </c>
      <c r="H55" s="165">
        <v>0</v>
      </c>
      <c r="I55" s="165">
        <v>0</v>
      </c>
      <c r="J55" s="165">
        <v>0</v>
      </c>
      <c r="K55" s="165">
        <v>0</v>
      </c>
      <c r="L55" s="165">
        <v>0</v>
      </c>
      <c r="M55" s="153"/>
      <c r="N55" s="153"/>
      <c r="O55" s="153"/>
      <c r="P55" s="166">
        <v>2294</v>
      </c>
      <c r="Q55" s="166" t="s">
        <v>260</v>
      </c>
      <c r="R55" s="167">
        <f t="shared" si="8"/>
        <v>0</v>
      </c>
      <c r="S55" s="167">
        <f t="shared" si="9"/>
        <v>0</v>
      </c>
      <c r="T55" s="167">
        <f t="shared" si="10"/>
        <v>0</v>
      </c>
      <c r="U55" s="167">
        <f t="shared" si="11"/>
        <v>0</v>
      </c>
      <c r="V55" s="167">
        <f t="shared" si="12"/>
        <v>0</v>
      </c>
      <c r="W55" s="167">
        <f t="shared" si="13"/>
        <v>0</v>
      </c>
    </row>
    <row r="56" spans="1:23" x14ac:dyDescent="0.45">
      <c r="A56" s="219">
        <v>170</v>
      </c>
      <c r="B56" s="220"/>
      <c r="C56" s="220"/>
      <c r="D56" s="219">
        <f t="shared" si="7"/>
        <v>1</v>
      </c>
      <c r="E56" s="221">
        <v>241</v>
      </c>
      <c r="F56" s="222" t="s">
        <v>60</v>
      </c>
      <c r="G56" s="223">
        <v>0</v>
      </c>
      <c r="H56" s="223">
        <v>0</v>
      </c>
      <c r="I56" s="223">
        <v>0</v>
      </c>
      <c r="J56" s="223">
        <v>0</v>
      </c>
      <c r="K56" s="223">
        <v>0</v>
      </c>
      <c r="L56" s="223">
        <v>0</v>
      </c>
      <c r="M56" s="153"/>
      <c r="N56" s="153"/>
      <c r="O56" s="153"/>
      <c r="P56" s="225">
        <v>241</v>
      </c>
      <c r="Q56" s="225" t="s">
        <v>261</v>
      </c>
      <c r="R56" s="226">
        <f t="shared" si="8"/>
        <v>0</v>
      </c>
      <c r="S56" s="226">
        <f t="shared" si="9"/>
        <v>0</v>
      </c>
      <c r="T56" s="226">
        <f t="shared" si="10"/>
        <v>0</v>
      </c>
      <c r="U56" s="226">
        <f t="shared" si="11"/>
        <v>0</v>
      </c>
      <c r="V56" s="226">
        <f t="shared" si="12"/>
        <v>0</v>
      </c>
      <c r="W56" s="226">
        <f t="shared" si="13"/>
        <v>0</v>
      </c>
    </row>
    <row r="57" spans="1:23" x14ac:dyDescent="0.45">
      <c r="A57" s="161"/>
      <c r="B57" s="162"/>
      <c r="C57" s="162"/>
      <c r="D57" s="161">
        <f t="shared" si="7"/>
        <v>2</v>
      </c>
      <c r="E57" s="163">
        <v>2411</v>
      </c>
      <c r="F57" s="164" t="s">
        <v>61</v>
      </c>
      <c r="G57" s="165">
        <v>0</v>
      </c>
      <c r="H57" s="165">
        <v>0</v>
      </c>
      <c r="I57" s="165">
        <v>0</v>
      </c>
      <c r="J57" s="165">
        <v>0</v>
      </c>
      <c r="K57" s="165">
        <v>0</v>
      </c>
      <c r="L57" s="165">
        <v>0</v>
      </c>
      <c r="M57" s="153"/>
      <c r="N57" s="153"/>
      <c r="O57" s="153"/>
      <c r="P57" s="166">
        <v>2411</v>
      </c>
      <c r="Q57" s="166" t="s">
        <v>262</v>
      </c>
      <c r="R57" s="167">
        <f t="shared" si="8"/>
        <v>0</v>
      </c>
      <c r="S57" s="167">
        <f t="shared" si="9"/>
        <v>0</v>
      </c>
      <c r="T57" s="167">
        <f t="shared" si="10"/>
        <v>0</v>
      </c>
      <c r="U57" s="167">
        <f t="shared" si="11"/>
        <v>0</v>
      </c>
      <c r="V57" s="167">
        <f t="shared" si="12"/>
        <v>0</v>
      </c>
      <c r="W57" s="167">
        <f t="shared" si="13"/>
        <v>0</v>
      </c>
    </row>
    <row r="58" spans="1:23" x14ac:dyDescent="0.45">
      <c r="A58" s="161"/>
      <c r="B58" s="162"/>
      <c r="C58" s="162"/>
      <c r="D58" s="161">
        <f t="shared" si="7"/>
        <v>2</v>
      </c>
      <c r="E58" s="163">
        <v>2412</v>
      </c>
      <c r="F58" s="164" t="s">
        <v>62</v>
      </c>
      <c r="G58" s="165">
        <v>0</v>
      </c>
      <c r="H58" s="165">
        <v>0</v>
      </c>
      <c r="I58" s="165">
        <v>0</v>
      </c>
      <c r="J58" s="165">
        <v>0</v>
      </c>
      <c r="K58" s="165">
        <v>0</v>
      </c>
      <c r="L58" s="165">
        <v>0</v>
      </c>
      <c r="M58" s="153"/>
      <c r="N58" s="153"/>
      <c r="O58" s="153"/>
      <c r="P58" s="166">
        <v>2412</v>
      </c>
      <c r="Q58" s="166" t="s">
        <v>263</v>
      </c>
      <c r="R58" s="167">
        <f t="shared" si="8"/>
        <v>0</v>
      </c>
      <c r="S58" s="167">
        <f t="shared" si="9"/>
        <v>0</v>
      </c>
      <c r="T58" s="167">
        <f t="shared" si="10"/>
        <v>0</v>
      </c>
      <c r="U58" s="167">
        <f t="shared" si="11"/>
        <v>0</v>
      </c>
      <c r="V58" s="167">
        <f t="shared" si="12"/>
        <v>0</v>
      </c>
      <c r="W58" s="167">
        <f t="shared" si="13"/>
        <v>0</v>
      </c>
    </row>
    <row r="59" spans="1:23" x14ac:dyDescent="0.45">
      <c r="A59" s="161"/>
      <c r="B59" s="162"/>
      <c r="C59" s="162"/>
      <c r="D59" s="161">
        <f t="shared" si="7"/>
        <v>2</v>
      </c>
      <c r="E59" s="163">
        <v>2413</v>
      </c>
      <c r="F59" s="164" t="s">
        <v>63</v>
      </c>
      <c r="G59" s="165">
        <v>0</v>
      </c>
      <c r="H59" s="165">
        <v>0</v>
      </c>
      <c r="I59" s="165">
        <v>0</v>
      </c>
      <c r="J59" s="165">
        <v>0</v>
      </c>
      <c r="K59" s="165">
        <v>0</v>
      </c>
      <c r="L59" s="165">
        <v>0</v>
      </c>
      <c r="M59" s="153"/>
      <c r="N59" s="153"/>
      <c r="O59" s="153"/>
      <c r="P59" s="166">
        <v>2413</v>
      </c>
      <c r="Q59" s="166" t="s">
        <v>264</v>
      </c>
      <c r="R59" s="167">
        <f t="shared" si="8"/>
        <v>0</v>
      </c>
      <c r="S59" s="167">
        <f t="shared" si="9"/>
        <v>0</v>
      </c>
      <c r="T59" s="167">
        <f t="shared" si="10"/>
        <v>0</v>
      </c>
      <c r="U59" s="167">
        <f t="shared" si="11"/>
        <v>0</v>
      </c>
      <c r="V59" s="167">
        <f t="shared" si="12"/>
        <v>0</v>
      </c>
      <c r="W59" s="167">
        <f t="shared" si="13"/>
        <v>0</v>
      </c>
    </row>
    <row r="60" spans="1:23" x14ac:dyDescent="0.45">
      <c r="A60" s="219">
        <v>182</v>
      </c>
      <c r="B60" s="220"/>
      <c r="C60" s="220"/>
      <c r="D60" s="219">
        <f t="shared" si="7"/>
        <v>1</v>
      </c>
      <c r="E60" s="221">
        <v>242</v>
      </c>
      <c r="F60" s="222" t="s">
        <v>64</v>
      </c>
      <c r="G60" s="223">
        <v>34900050</v>
      </c>
      <c r="H60" s="223">
        <v>0</v>
      </c>
      <c r="I60" s="223">
        <v>0</v>
      </c>
      <c r="J60" s="223">
        <v>12349949</v>
      </c>
      <c r="K60" s="223">
        <v>22550101</v>
      </c>
      <c r="L60" s="223">
        <v>0</v>
      </c>
      <c r="M60" s="153"/>
      <c r="N60" s="153"/>
      <c r="O60" s="153"/>
      <c r="P60" s="225">
        <v>242</v>
      </c>
      <c r="Q60" s="225" t="s">
        <v>265</v>
      </c>
      <c r="R60" s="226">
        <f t="shared" si="8"/>
        <v>34900050</v>
      </c>
      <c r="S60" s="226">
        <f t="shared" si="9"/>
        <v>0</v>
      </c>
      <c r="T60" s="226">
        <f t="shared" si="10"/>
        <v>0</v>
      </c>
      <c r="U60" s="226">
        <f t="shared" si="11"/>
        <v>12349949</v>
      </c>
      <c r="V60" s="226">
        <f t="shared" si="12"/>
        <v>22550101</v>
      </c>
      <c r="W60" s="226">
        <f t="shared" si="13"/>
        <v>0</v>
      </c>
    </row>
    <row r="61" spans="1:23" x14ac:dyDescent="0.45">
      <c r="A61" s="219">
        <v>132</v>
      </c>
      <c r="B61" s="220" t="s">
        <v>65</v>
      </c>
      <c r="C61" s="220"/>
      <c r="D61" s="219">
        <f t="shared" si="7"/>
        <v>1</v>
      </c>
      <c r="E61" s="221">
        <v>331</v>
      </c>
      <c r="F61" s="222" t="s">
        <v>66</v>
      </c>
      <c r="G61" s="223">
        <v>0</v>
      </c>
      <c r="H61" s="223">
        <v>0</v>
      </c>
      <c r="I61" s="223">
        <v>425768000</v>
      </c>
      <c r="J61" s="223">
        <v>425768000</v>
      </c>
      <c r="K61" s="223">
        <v>0</v>
      </c>
      <c r="L61" s="223">
        <v>0</v>
      </c>
      <c r="M61" s="153"/>
      <c r="N61" s="153"/>
      <c r="O61" s="153"/>
      <c r="P61" s="225">
        <v>331</v>
      </c>
      <c r="Q61" s="225" t="s">
        <v>215</v>
      </c>
      <c r="R61" s="226">
        <f t="shared" si="8"/>
        <v>0</v>
      </c>
      <c r="S61" s="226">
        <f t="shared" si="9"/>
        <v>0</v>
      </c>
      <c r="T61" s="226">
        <f t="shared" si="10"/>
        <v>425768000</v>
      </c>
      <c r="U61" s="226">
        <f t="shared" si="11"/>
        <v>425768000</v>
      </c>
      <c r="V61" s="226">
        <f t="shared" si="12"/>
        <v>0</v>
      </c>
      <c r="W61" s="226">
        <f t="shared" si="13"/>
        <v>0</v>
      </c>
    </row>
    <row r="62" spans="1:23" x14ac:dyDescent="0.45">
      <c r="A62" s="219">
        <v>182</v>
      </c>
      <c r="B62" s="220" t="s">
        <v>67</v>
      </c>
      <c r="C62" s="220"/>
      <c r="D62" s="219">
        <f t="shared" si="7"/>
        <v>1</v>
      </c>
      <c r="E62" s="221">
        <v>333</v>
      </c>
      <c r="F62" s="222" t="s">
        <v>68</v>
      </c>
      <c r="G62" s="223">
        <v>0</v>
      </c>
      <c r="H62" s="223">
        <v>5015463</v>
      </c>
      <c r="I62" s="223">
        <v>27021584</v>
      </c>
      <c r="J62" s="223">
        <v>24041666</v>
      </c>
      <c r="K62" s="223">
        <v>0</v>
      </c>
      <c r="L62" s="223">
        <v>2035545</v>
      </c>
      <c r="M62" s="153"/>
      <c r="N62" s="153"/>
      <c r="O62" s="153"/>
      <c r="P62" s="225">
        <v>333</v>
      </c>
      <c r="Q62" s="225" t="s">
        <v>266</v>
      </c>
      <c r="R62" s="226">
        <f t="shared" si="8"/>
        <v>0</v>
      </c>
      <c r="S62" s="226">
        <f t="shared" si="9"/>
        <v>5015463</v>
      </c>
      <c r="T62" s="226">
        <f t="shared" si="10"/>
        <v>27021584</v>
      </c>
      <c r="U62" s="226">
        <f t="shared" si="11"/>
        <v>24041666</v>
      </c>
      <c r="V62" s="226">
        <f t="shared" si="12"/>
        <v>0</v>
      </c>
      <c r="W62" s="226">
        <f t="shared" si="13"/>
        <v>2035545</v>
      </c>
    </row>
    <row r="63" spans="1:23" x14ac:dyDescent="0.45">
      <c r="A63" s="161"/>
      <c r="B63" s="162"/>
      <c r="C63" s="162"/>
      <c r="D63" s="161">
        <f t="shared" si="7"/>
        <v>2</v>
      </c>
      <c r="E63" s="168">
        <v>3331</v>
      </c>
      <c r="F63" s="169" t="s">
        <v>69</v>
      </c>
      <c r="G63" s="165">
        <v>0</v>
      </c>
      <c r="H63" s="165">
        <v>5015463</v>
      </c>
      <c r="I63" s="165">
        <v>25021584</v>
      </c>
      <c r="J63" s="165">
        <v>20006121</v>
      </c>
      <c r="K63" s="165">
        <v>0</v>
      </c>
      <c r="L63" s="165">
        <v>0</v>
      </c>
      <c r="M63" s="153"/>
      <c r="N63" s="153"/>
      <c r="O63" s="153"/>
      <c r="P63" s="166">
        <v>3331</v>
      </c>
      <c r="Q63" s="166" t="s">
        <v>267</v>
      </c>
      <c r="R63" s="167">
        <f t="shared" si="8"/>
        <v>0</v>
      </c>
      <c r="S63" s="167">
        <f t="shared" si="9"/>
        <v>5015463</v>
      </c>
      <c r="T63" s="167">
        <f t="shared" si="10"/>
        <v>25021584</v>
      </c>
      <c r="U63" s="167">
        <f t="shared" si="11"/>
        <v>20006121</v>
      </c>
      <c r="V63" s="167">
        <f t="shared" si="12"/>
        <v>0</v>
      </c>
      <c r="W63" s="167">
        <f t="shared" si="13"/>
        <v>0</v>
      </c>
    </row>
    <row r="64" spans="1:23" x14ac:dyDescent="0.45">
      <c r="A64" s="161"/>
      <c r="B64" s="162"/>
      <c r="C64" s="162"/>
      <c r="D64" s="161">
        <f t="shared" si="7"/>
        <v>3</v>
      </c>
      <c r="E64" s="170">
        <v>33311</v>
      </c>
      <c r="F64" s="171" t="s">
        <v>70</v>
      </c>
      <c r="G64" s="165">
        <v>0</v>
      </c>
      <c r="H64" s="165">
        <v>5015463</v>
      </c>
      <c r="I64" s="165">
        <v>25021584</v>
      </c>
      <c r="J64" s="165">
        <v>20006121</v>
      </c>
      <c r="K64" s="165">
        <v>0</v>
      </c>
      <c r="L64" s="165">
        <v>0</v>
      </c>
      <c r="M64" s="153"/>
      <c r="N64" s="153"/>
      <c r="O64" s="153"/>
      <c r="P64" s="166">
        <v>33311</v>
      </c>
      <c r="Q64" s="166" t="s">
        <v>268</v>
      </c>
      <c r="R64" s="167">
        <f t="shared" si="8"/>
        <v>0</v>
      </c>
      <c r="S64" s="167">
        <f t="shared" si="9"/>
        <v>5015463</v>
      </c>
      <c r="T64" s="167">
        <f t="shared" si="10"/>
        <v>25021584</v>
      </c>
      <c r="U64" s="167">
        <f t="shared" si="11"/>
        <v>20006121</v>
      </c>
      <c r="V64" s="167">
        <f t="shared" si="12"/>
        <v>0</v>
      </c>
      <c r="W64" s="167">
        <f t="shared" si="13"/>
        <v>0</v>
      </c>
    </row>
    <row r="65" spans="1:23" x14ac:dyDescent="0.45">
      <c r="A65" s="161"/>
      <c r="B65" s="162"/>
      <c r="C65" s="162"/>
      <c r="D65" s="161">
        <f t="shared" si="7"/>
        <v>3</v>
      </c>
      <c r="E65" s="170">
        <v>33312</v>
      </c>
      <c r="F65" s="171" t="s">
        <v>71</v>
      </c>
      <c r="G65" s="165">
        <v>0</v>
      </c>
      <c r="H65" s="165">
        <v>0</v>
      </c>
      <c r="I65" s="165">
        <v>0</v>
      </c>
      <c r="J65" s="165">
        <v>0</v>
      </c>
      <c r="K65" s="165">
        <v>0</v>
      </c>
      <c r="L65" s="165">
        <v>0</v>
      </c>
      <c r="M65" s="153"/>
      <c r="N65" s="153"/>
      <c r="O65" s="153"/>
      <c r="P65" s="166">
        <v>33312</v>
      </c>
      <c r="Q65" s="166" t="s">
        <v>269</v>
      </c>
      <c r="R65" s="167">
        <f t="shared" si="8"/>
        <v>0</v>
      </c>
      <c r="S65" s="167">
        <f t="shared" si="9"/>
        <v>0</v>
      </c>
      <c r="T65" s="167">
        <f t="shared" si="10"/>
        <v>0</v>
      </c>
      <c r="U65" s="167">
        <f t="shared" si="11"/>
        <v>0</v>
      </c>
      <c r="V65" s="167">
        <f t="shared" si="12"/>
        <v>0</v>
      </c>
      <c r="W65" s="167">
        <f t="shared" si="13"/>
        <v>0</v>
      </c>
    </row>
    <row r="66" spans="1:23" x14ac:dyDescent="0.45">
      <c r="A66" s="161"/>
      <c r="B66" s="162"/>
      <c r="C66" s="162"/>
      <c r="D66" s="161">
        <f t="shared" si="7"/>
        <v>2</v>
      </c>
      <c r="E66" s="163">
        <v>3332</v>
      </c>
      <c r="F66" s="164" t="s">
        <v>72</v>
      </c>
      <c r="G66" s="165">
        <v>0</v>
      </c>
      <c r="H66" s="165">
        <v>0</v>
      </c>
      <c r="I66" s="165">
        <v>0</v>
      </c>
      <c r="J66" s="165">
        <v>0</v>
      </c>
      <c r="K66" s="165">
        <v>0</v>
      </c>
      <c r="L66" s="165">
        <v>0</v>
      </c>
      <c r="M66" s="153"/>
      <c r="N66" s="153"/>
      <c r="O66" s="153"/>
      <c r="P66" s="166">
        <v>3332</v>
      </c>
      <c r="Q66" s="166" t="s">
        <v>270</v>
      </c>
      <c r="R66" s="167">
        <f t="shared" si="8"/>
        <v>0</v>
      </c>
      <c r="S66" s="167">
        <f t="shared" si="9"/>
        <v>0</v>
      </c>
      <c r="T66" s="167">
        <f t="shared" si="10"/>
        <v>0</v>
      </c>
      <c r="U66" s="167">
        <f t="shared" si="11"/>
        <v>0</v>
      </c>
      <c r="V66" s="167">
        <f t="shared" si="12"/>
        <v>0</v>
      </c>
      <c r="W66" s="167">
        <f t="shared" si="13"/>
        <v>0</v>
      </c>
    </row>
    <row r="67" spans="1:23" x14ac:dyDescent="0.45">
      <c r="A67" s="161"/>
      <c r="B67" s="162"/>
      <c r="C67" s="162"/>
      <c r="D67" s="161">
        <f t="shared" si="7"/>
        <v>2</v>
      </c>
      <c r="E67" s="163">
        <v>3333</v>
      </c>
      <c r="F67" s="164" t="s">
        <v>73</v>
      </c>
      <c r="G67" s="165">
        <v>0</v>
      </c>
      <c r="H67" s="165">
        <v>0</v>
      </c>
      <c r="I67" s="165">
        <v>0</v>
      </c>
      <c r="J67" s="165">
        <v>0</v>
      </c>
      <c r="K67" s="165">
        <v>0</v>
      </c>
      <c r="L67" s="165">
        <v>0</v>
      </c>
      <c r="M67" s="153"/>
      <c r="N67" s="153"/>
      <c r="O67" s="153"/>
      <c r="P67" s="166">
        <v>3333</v>
      </c>
      <c r="Q67" s="166" t="s">
        <v>271</v>
      </c>
      <c r="R67" s="167">
        <f t="shared" si="8"/>
        <v>0</v>
      </c>
      <c r="S67" s="167">
        <f t="shared" si="9"/>
        <v>0</v>
      </c>
      <c r="T67" s="167">
        <f t="shared" si="10"/>
        <v>0</v>
      </c>
      <c r="U67" s="167">
        <f t="shared" si="11"/>
        <v>0</v>
      </c>
      <c r="V67" s="167">
        <f t="shared" si="12"/>
        <v>0</v>
      </c>
      <c r="W67" s="167">
        <f t="shared" si="13"/>
        <v>0</v>
      </c>
    </row>
    <row r="68" spans="1:23" x14ac:dyDescent="0.45">
      <c r="A68" s="161"/>
      <c r="B68" s="162"/>
      <c r="C68" s="162"/>
      <c r="D68" s="161">
        <f t="shared" si="7"/>
        <v>2</v>
      </c>
      <c r="E68" s="163">
        <v>3334</v>
      </c>
      <c r="F68" s="164" t="s">
        <v>74</v>
      </c>
      <c r="G68" s="165">
        <v>0</v>
      </c>
      <c r="H68" s="165">
        <v>0</v>
      </c>
      <c r="I68" s="165">
        <v>0</v>
      </c>
      <c r="J68" s="165">
        <v>2035545</v>
      </c>
      <c r="K68" s="165">
        <v>0</v>
      </c>
      <c r="L68" s="165">
        <v>2035545</v>
      </c>
      <c r="M68" s="153"/>
      <c r="N68" s="153"/>
      <c r="O68" s="153"/>
      <c r="P68" s="166">
        <v>3334</v>
      </c>
      <c r="Q68" s="166" t="s">
        <v>272</v>
      </c>
      <c r="R68" s="167">
        <f t="shared" si="8"/>
        <v>0</v>
      </c>
      <c r="S68" s="167">
        <f t="shared" si="9"/>
        <v>0</v>
      </c>
      <c r="T68" s="167">
        <f t="shared" si="10"/>
        <v>0</v>
      </c>
      <c r="U68" s="167">
        <f t="shared" si="11"/>
        <v>2035545</v>
      </c>
      <c r="V68" s="167">
        <f t="shared" si="12"/>
        <v>0</v>
      </c>
      <c r="W68" s="167">
        <f t="shared" si="13"/>
        <v>2035545</v>
      </c>
    </row>
    <row r="69" spans="1:23" x14ac:dyDescent="0.45">
      <c r="A69" s="161"/>
      <c r="B69" s="162"/>
      <c r="C69" s="162"/>
      <c r="D69" s="161">
        <f t="shared" si="7"/>
        <v>2</v>
      </c>
      <c r="E69" s="163">
        <v>3335</v>
      </c>
      <c r="F69" s="164" t="s">
        <v>75</v>
      </c>
      <c r="G69" s="165">
        <v>0</v>
      </c>
      <c r="H69" s="165">
        <v>0</v>
      </c>
      <c r="I69" s="165">
        <v>0</v>
      </c>
      <c r="J69" s="165">
        <v>0</v>
      </c>
      <c r="K69" s="165">
        <v>0</v>
      </c>
      <c r="L69" s="165">
        <v>0</v>
      </c>
      <c r="M69" s="153"/>
      <c r="N69" s="153"/>
      <c r="O69" s="153"/>
      <c r="P69" s="166">
        <v>3335</v>
      </c>
      <c r="Q69" s="166" t="s">
        <v>273</v>
      </c>
      <c r="R69" s="167">
        <f t="shared" si="8"/>
        <v>0</v>
      </c>
      <c r="S69" s="167">
        <f t="shared" si="9"/>
        <v>0</v>
      </c>
      <c r="T69" s="167">
        <f t="shared" si="10"/>
        <v>0</v>
      </c>
      <c r="U69" s="167">
        <f t="shared" si="11"/>
        <v>0</v>
      </c>
      <c r="V69" s="167">
        <f t="shared" si="12"/>
        <v>0</v>
      </c>
      <c r="W69" s="167">
        <f t="shared" si="13"/>
        <v>0</v>
      </c>
    </row>
    <row r="70" spans="1:23" x14ac:dyDescent="0.45">
      <c r="A70" s="161"/>
      <c r="B70" s="162"/>
      <c r="C70" s="162"/>
      <c r="D70" s="161">
        <f t="shared" si="7"/>
        <v>2</v>
      </c>
      <c r="E70" s="163">
        <v>3336</v>
      </c>
      <c r="F70" s="164" t="s">
        <v>76</v>
      </c>
      <c r="G70" s="165">
        <v>0</v>
      </c>
      <c r="H70" s="165">
        <v>0</v>
      </c>
      <c r="I70" s="165">
        <v>0</v>
      </c>
      <c r="J70" s="165">
        <v>0</v>
      </c>
      <c r="K70" s="165">
        <v>0</v>
      </c>
      <c r="L70" s="165">
        <v>0</v>
      </c>
      <c r="M70" s="153"/>
      <c r="N70" s="153"/>
      <c r="O70" s="153"/>
      <c r="P70" s="166">
        <v>3336</v>
      </c>
      <c r="Q70" s="166" t="s">
        <v>274</v>
      </c>
      <c r="R70" s="167">
        <f t="shared" si="8"/>
        <v>0</v>
      </c>
      <c r="S70" s="167">
        <f t="shared" si="9"/>
        <v>0</v>
      </c>
      <c r="T70" s="167">
        <f t="shared" si="10"/>
        <v>0</v>
      </c>
      <c r="U70" s="167">
        <f t="shared" si="11"/>
        <v>0</v>
      </c>
      <c r="V70" s="167">
        <f t="shared" si="12"/>
        <v>0</v>
      </c>
      <c r="W70" s="167">
        <f t="shared" si="13"/>
        <v>0</v>
      </c>
    </row>
    <row r="71" spans="1:23" x14ac:dyDescent="0.45">
      <c r="A71" s="161"/>
      <c r="B71" s="162"/>
      <c r="C71" s="162"/>
      <c r="D71" s="161">
        <f t="shared" si="7"/>
        <v>2</v>
      </c>
      <c r="E71" s="163">
        <v>3337</v>
      </c>
      <c r="F71" s="164" t="s">
        <v>77</v>
      </c>
      <c r="G71" s="165">
        <v>0</v>
      </c>
      <c r="H71" s="165">
        <v>0</v>
      </c>
      <c r="I71" s="165">
        <v>0</v>
      </c>
      <c r="J71" s="165">
        <v>0</v>
      </c>
      <c r="K71" s="165">
        <v>0</v>
      </c>
      <c r="L71" s="165">
        <v>0</v>
      </c>
      <c r="M71" s="153"/>
      <c r="N71" s="153"/>
      <c r="O71" s="153"/>
      <c r="P71" s="166">
        <v>3337</v>
      </c>
      <c r="Q71" s="166" t="s">
        <v>275</v>
      </c>
      <c r="R71" s="167">
        <f t="shared" si="8"/>
        <v>0</v>
      </c>
      <c r="S71" s="167">
        <f t="shared" si="9"/>
        <v>0</v>
      </c>
      <c r="T71" s="167">
        <f t="shared" si="10"/>
        <v>0</v>
      </c>
      <c r="U71" s="167">
        <f t="shared" si="11"/>
        <v>0</v>
      </c>
      <c r="V71" s="167">
        <f t="shared" si="12"/>
        <v>0</v>
      </c>
      <c r="W71" s="167">
        <f t="shared" si="13"/>
        <v>0</v>
      </c>
    </row>
    <row r="72" spans="1:23" x14ac:dyDescent="0.45">
      <c r="A72" s="161"/>
      <c r="B72" s="162"/>
      <c r="C72" s="162"/>
      <c r="D72" s="161">
        <f t="shared" si="7"/>
        <v>2</v>
      </c>
      <c r="E72" s="168">
        <v>3338</v>
      </c>
      <c r="F72" s="169" t="s">
        <v>78</v>
      </c>
      <c r="G72" s="165">
        <v>0</v>
      </c>
      <c r="H72" s="165">
        <v>0</v>
      </c>
      <c r="I72" s="165">
        <v>0</v>
      </c>
      <c r="J72" s="165">
        <v>0</v>
      </c>
      <c r="K72" s="165">
        <v>0</v>
      </c>
      <c r="L72" s="165">
        <v>0</v>
      </c>
      <c r="M72" s="153"/>
      <c r="N72" s="153"/>
      <c r="O72" s="153"/>
      <c r="P72" s="166">
        <v>3338</v>
      </c>
      <c r="Q72" s="166" t="s">
        <v>276</v>
      </c>
      <c r="R72" s="167">
        <f t="shared" ref="R72:R103" si="14">G72</f>
        <v>0</v>
      </c>
      <c r="S72" s="167">
        <f t="shared" ref="S72:S103" si="15">H72</f>
        <v>0</v>
      </c>
      <c r="T72" s="167">
        <f t="shared" ref="T72:T103" si="16">I72</f>
        <v>0</v>
      </c>
      <c r="U72" s="167">
        <f t="shared" ref="U72:U103" si="17">J72</f>
        <v>0</v>
      </c>
      <c r="V72" s="167">
        <f t="shared" ref="V72:V103" si="18">K72</f>
        <v>0</v>
      </c>
      <c r="W72" s="167">
        <f t="shared" ref="W72:W103" si="19">L72</f>
        <v>0</v>
      </c>
    </row>
    <row r="73" spans="1:23" x14ac:dyDescent="0.45">
      <c r="A73" s="161"/>
      <c r="B73" s="162"/>
      <c r="C73" s="162"/>
      <c r="D73" s="161">
        <f t="shared" si="7"/>
        <v>3</v>
      </c>
      <c r="E73" s="170">
        <v>33381</v>
      </c>
      <c r="F73" s="171" t="s">
        <v>79</v>
      </c>
      <c r="G73" s="165">
        <v>0</v>
      </c>
      <c r="H73" s="165">
        <v>0</v>
      </c>
      <c r="I73" s="165">
        <v>0</v>
      </c>
      <c r="J73" s="165">
        <v>0</v>
      </c>
      <c r="K73" s="165">
        <v>0</v>
      </c>
      <c r="L73" s="165">
        <v>0</v>
      </c>
      <c r="M73" s="153"/>
      <c r="N73" s="153"/>
      <c r="O73" s="153"/>
      <c r="P73" s="166">
        <v>33381</v>
      </c>
      <c r="Q73" s="166" t="s">
        <v>277</v>
      </c>
      <c r="R73" s="167">
        <f t="shared" si="14"/>
        <v>0</v>
      </c>
      <c r="S73" s="167">
        <f t="shared" si="15"/>
        <v>0</v>
      </c>
      <c r="T73" s="167">
        <f t="shared" si="16"/>
        <v>0</v>
      </c>
      <c r="U73" s="167">
        <f t="shared" si="17"/>
        <v>0</v>
      </c>
      <c r="V73" s="167">
        <f t="shared" si="18"/>
        <v>0</v>
      </c>
      <c r="W73" s="167">
        <f t="shared" si="19"/>
        <v>0</v>
      </c>
    </row>
    <row r="74" spans="1:23" x14ac:dyDescent="0.45">
      <c r="A74" s="161"/>
      <c r="B74" s="162"/>
      <c r="C74" s="162"/>
      <c r="D74" s="161">
        <f t="shared" si="7"/>
        <v>3</v>
      </c>
      <c r="E74" s="170">
        <v>33382</v>
      </c>
      <c r="F74" s="171" t="s">
        <v>80</v>
      </c>
      <c r="G74" s="165">
        <v>0</v>
      </c>
      <c r="H74" s="165">
        <v>0</v>
      </c>
      <c r="I74" s="165">
        <v>0</v>
      </c>
      <c r="J74" s="165">
        <v>0</v>
      </c>
      <c r="K74" s="165">
        <v>0</v>
      </c>
      <c r="L74" s="165">
        <v>0</v>
      </c>
      <c r="M74" s="153"/>
      <c r="N74" s="153"/>
      <c r="O74" s="153"/>
      <c r="P74" s="166">
        <v>33382</v>
      </c>
      <c r="Q74" s="166" t="s">
        <v>278</v>
      </c>
      <c r="R74" s="167">
        <f t="shared" si="14"/>
        <v>0</v>
      </c>
      <c r="S74" s="167">
        <f t="shared" si="15"/>
        <v>0</v>
      </c>
      <c r="T74" s="167">
        <f t="shared" si="16"/>
        <v>0</v>
      </c>
      <c r="U74" s="167">
        <f t="shared" si="17"/>
        <v>0</v>
      </c>
      <c r="V74" s="167">
        <f t="shared" si="18"/>
        <v>0</v>
      </c>
      <c r="W74" s="167">
        <f t="shared" si="19"/>
        <v>0</v>
      </c>
    </row>
    <row r="75" spans="1:23" x14ac:dyDescent="0.45">
      <c r="A75" s="161"/>
      <c r="B75" s="162"/>
      <c r="C75" s="162"/>
      <c r="D75" s="161">
        <f t="shared" ref="D75:D131" si="20">LEN(E75)-2</f>
        <v>2</v>
      </c>
      <c r="E75" s="163">
        <v>3339</v>
      </c>
      <c r="F75" s="164" t="s">
        <v>81</v>
      </c>
      <c r="G75" s="165">
        <v>0</v>
      </c>
      <c r="H75" s="165">
        <v>0</v>
      </c>
      <c r="I75" s="165">
        <v>2000000</v>
      </c>
      <c r="J75" s="165">
        <v>2000000</v>
      </c>
      <c r="K75" s="165">
        <v>0</v>
      </c>
      <c r="L75" s="165">
        <v>0</v>
      </c>
      <c r="M75" s="153"/>
      <c r="N75" s="153"/>
      <c r="O75" s="153"/>
      <c r="P75" s="166">
        <v>3339</v>
      </c>
      <c r="Q75" s="166" t="s">
        <v>279</v>
      </c>
      <c r="R75" s="167">
        <f t="shared" si="14"/>
        <v>0</v>
      </c>
      <c r="S75" s="167">
        <f t="shared" si="15"/>
        <v>0</v>
      </c>
      <c r="T75" s="167">
        <f t="shared" si="16"/>
        <v>2000000</v>
      </c>
      <c r="U75" s="167">
        <f t="shared" si="17"/>
        <v>2000000</v>
      </c>
      <c r="V75" s="167">
        <f t="shared" si="18"/>
        <v>0</v>
      </c>
      <c r="W75" s="167">
        <f t="shared" si="19"/>
        <v>0</v>
      </c>
    </row>
    <row r="76" spans="1:23" x14ac:dyDescent="0.45">
      <c r="A76" s="219">
        <v>134</v>
      </c>
      <c r="B76" s="220" t="s">
        <v>82</v>
      </c>
      <c r="C76" s="220"/>
      <c r="D76" s="219">
        <f t="shared" si="20"/>
        <v>1</v>
      </c>
      <c r="E76" s="221">
        <v>334</v>
      </c>
      <c r="F76" s="222" t="s">
        <v>83</v>
      </c>
      <c r="G76" s="223">
        <v>0</v>
      </c>
      <c r="H76" s="223">
        <v>0</v>
      </c>
      <c r="I76" s="223">
        <v>172720000</v>
      </c>
      <c r="J76" s="223">
        <v>172720000</v>
      </c>
      <c r="K76" s="223">
        <v>0</v>
      </c>
      <c r="L76" s="223">
        <v>0</v>
      </c>
      <c r="M76" s="153"/>
      <c r="N76" s="153"/>
      <c r="O76" s="153"/>
      <c r="P76" s="225">
        <v>334</v>
      </c>
      <c r="Q76" s="225" t="s">
        <v>216</v>
      </c>
      <c r="R76" s="226">
        <f t="shared" si="14"/>
        <v>0</v>
      </c>
      <c r="S76" s="226">
        <f t="shared" si="15"/>
        <v>0</v>
      </c>
      <c r="T76" s="226">
        <f t="shared" si="16"/>
        <v>172720000</v>
      </c>
      <c r="U76" s="226">
        <f t="shared" si="17"/>
        <v>172720000</v>
      </c>
      <c r="V76" s="226">
        <f t="shared" si="18"/>
        <v>0</v>
      </c>
      <c r="W76" s="226">
        <f t="shared" si="19"/>
        <v>0</v>
      </c>
    </row>
    <row r="77" spans="1:23" x14ac:dyDescent="0.45">
      <c r="A77" s="219"/>
      <c r="B77" s="220" t="s">
        <v>33</v>
      </c>
      <c r="C77" s="220"/>
      <c r="D77" s="219">
        <f t="shared" si="20"/>
        <v>1</v>
      </c>
      <c r="E77" s="221">
        <v>335</v>
      </c>
      <c r="F77" s="222" t="s">
        <v>84</v>
      </c>
      <c r="G77" s="223">
        <v>0</v>
      </c>
      <c r="H77" s="223">
        <v>0</v>
      </c>
      <c r="I77" s="223">
        <v>0</v>
      </c>
      <c r="J77" s="223">
        <v>0</v>
      </c>
      <c r="K77" s="223">
        <v>0</v>
      </c>
      <c r="L77" s="223">
        <v>0</v>
      </c>
      <c r="M77" s="153"/>
      <c r="N77" s="153"/>
      <c r="O77" s="153"/>
      <c r="P77" s="225">
        <v>335</v>
      </c>
      <c r="Q77" s="225" t="s">
        <v>280</v>
      </c>
      <c r="R77" s="226">
        <f t="shared" si="14"/>
        <v>0</v>
      </c>
      <c r="S77" s="226">
        <f t="shared" si="15"/>
        <v>0</v>
      </c>
      <c r="T77" s="226">
        <f t="shared" si="16"/>
        <v>0</v>
      </c>
      <c r="U77" s="226">
        <f t="shared" si="17"/>
        <v>0</v>
      </c>
      <c r="V77" s="226">
        <f t="shared" si="18"/>
        <v>0</v>
      </c>
      <c r="W77" s="226">
        <f t="shared" si="19"/>
        <v>0</v>
      </c>
    </row>
    <row r="78" spans="1:23" x14ac:dyDescent="0.45">
      <c r="A78" s="219"/>
      <c r="B78" s="220"/>
      <c r="C78" s="220"/>
      <c r="D78" s="219">
        <f t="shared" si="20"/>
        <v>1</v>
      </c>
      <c r="E78" s="221">
        <v>336</v>
      </c>
      <c r="F78" s="222" t="s">
        <v>85</v>
      </c>
      <c r="G78" s="223">
        <v>0</v>
      </c>
      <c r="H78" s="223">
        <v>0</v>
      </c>
      <c r="I78" s="223">
        <v>0</v>
      </c>
      <c r="J78" s="223">
        <v>0</v>
      </c>
      <c r="K78" s="223">
        <v>0</v>
      </c>
      <c r="L78" s="223">
        <v>0</v>
      </c>
      <c r="M78" s="153"/>
      <c r="N78" s="153"/>
      <c r="O78" s="153"/>
      <c r="P78" s="225">
        <v>336</v>
      </c>
      <c r="Q78" s="225" t="s">
        <v>281</v>
      </c>
      <c r="R78" s="226">
        <f t="shared" si="14"/>
        <v>0</v>
      </c>
      <c r="S78" s="226">
        <f t="shared" si="15"/>
        <v>0</v>
      </c>
      <c r="T78" s="226">
        <f t="shared" si="16"/>
        <v>0</v>
      </c>
      <c r="U78" s="226">
        <f t="shared" si="17"/>
        <v>0</v>
      </c>
      <c r="V78" s="226">
        <f t="shared" si="18"/>
        <v>0</v>
      </c>
      <c r="W78" s="226">
        <f t="shared" si="19"/>
        <v>0</v>
      </c>
    </row>
    <row r="79" spans="1:23" x14ac:dyDescent="0.45">
      <c r="A79" s="161"/>
      <c r="B79" s="162"/>
      <c r="C79" s="162"/>
      <c r="D79" s="161">
        <f t="shared" si="20"/>
        <v>2</v>
      </c>
      <c r="E79" s="163">
        <v>3361</v>
      </c>
      <c r="F79" s="164" t="s">
        <v>86</v>
      </c>
      <c r="G79" s="165">
        <v>0</v>
      </c>
      <c r="H79" s="165">
        <v>0</v>
      </c>
      <c r="I79" s="165">
        <v>0</v>
      </c>
      <c r="J79" s="165">
        <v>0</v>
      </c>
      <c r="K79" s="165">
        <v>0</v>
      </c>
      <c r="L79" s="165">
        <v>0</v>
      </c>
      <c r="M79" s="153"/>
      <c r="N79" s="153"/>
      <c r="O79" s="153"/>
      <c r="P79" s="166">
        <v>3361</v>
      </c>
      <c r="Q79" s="166" t="s">
        <v>282</v>
      </c>
      <c r="R79" s="167">
        <f t="shared" si="14"/>
        <v>0</v>
      </c>
      <c r="S79" s="167">
        <f t="shared" si="15"/>
        <v>0</v>
      </c>
      <c r="T79" s="167">
        <f t="shared" si="16"/>
        <v>0</v>
      </c>
      <c r="U79" s="167">
        <f t="shared" si="17"/>
        <v>0</v>
      </c>
      <c r="V79" s="167">
        <f t="shared" si="18"/>
        <v>0</v>
      </c>
      <c r="W79" s="167">
        <f t="shared" si="19"/>
        <v>0</v>
      </c>
    </row>
    <row r="80" spans="1:23" x14ac:dyDescent="0.45">
      <c r="A80" s="161"/>
      <c r="B80" s="162" t="s">
        <v>33</v>
      </c>
      <c r="C80" s="162"/>
      <c r="D80" s="161">
        <f t="shared" si="20"/>
        <v>2</v>
      </c>
      <c r="E80" s="163">
        <v>3368</v>
      </c>
      <c r="F80" s="164" t="s">
        <v>87</v>
      </c>
      <c r="G80" s="165">
        <v>0</v>
      </c>
      <c r="H80" s="165">
        <v>0</v>
      </c>
      <c r="I80" s="165">
        <v>0</v>
      </c>
      <c r="J80" s="165">
        <v>0</v>
      </c>
      <c r="K80" s="165">
        <v>0</v>
      </c>
      <c r="L80" s="165">
        <v>0</v>
      </c>
      <c r="M80" s="153"/>
      <c r="N80" s="153"/>
      <c r="O80" s="153"/>
      <c r="P80" s="166">
        <v>3368</v>
      </c>
      <c r="Q80" s="166" t="s">
        <v>283</v>
      </c>
      <c r="R80" s="167">
        <f t="shared" si="14"/>
        <v>0</v>
      </c>
      <c r="S80" s="167">
        <f t="shared" si="15"/>
        <v>0</v>
      </c>
      <c r="T80" s="167">
        <f t="shared" si="16"/>
        <v>0</v>
      </c>
      <c r="U80" s="167">
        <f t="shared" si="17"/>
        <v>0</v>
      </c>
      <c r="V80" s="167">
        <f t="shared" si="18"/>
        <v>0</v>
      </c>
      <c r="W80" s="167">
        <f t="shared" si="19"/>
        <v>0</v>
      </c>
    </row>
    <row r="81" spans="1:23" x14ac:dyDescent="0.45">
      <c r="A81" s="219">
        <v>134</v>
      </c>
      <c r="B81" s="220" t="s">
        <v>33</v>
      </c>
      <c r="C81" s="220"/>
      <c r="D81" s="219">
        <f t="shared" si="20"/>
        <v>1</v>
      </c>
      <c r="E81" s="221">
        <v>338</v>
      </c>
      <c r="F81" s="222" t="s">
        <v>88</v>
      </c>
      <c r="G81" s="223">
        <v>0</v>
      </c>
      <c r="H81" s="223">
        <v>0</v>
      </c>
      <c r="I81" s="223">
        <v>0</v>
      </c>
      <c r="J81" s="223">
        <v>0</v>
      </c>
      <c r="K81" s="223">
        <v>0</v>
      </c>
      <c r="L81" s="223">
        <v>0</v>
      </c>
      <c r="M81" s="153"/>
      <c r="N81" s="153"/>
      <c r="O81" s="153"/>
      <c r="P81" s="225">
        <v>338</v>
      </c>
      <c r="Q81" s="225" t="s">
        <v>284</v>
      </c>
      <c r="R81" s="226">
        <f t="shared" si="14"/>
        <v>0</v>
      </c>
      <c r="S81" s="226">
        <f t="shared" si="15"/>
        <v>0</v>
      </c>
      <c r="T81" s="226">
        <f t="shared" si="16"/>
        <v>0</v>
      </c>
      <c r="U81" s="226">
        <f t="shared" si="17"/>
        <v>0</v>
      </c>
      <c r="V81" s="226">
        <f t="shared" si="18"/>
        <v>0</v>
      </c>
      <c r="W81" s="226">
        <f t="shared" si="19"/>
        <v>0</v>
      </c>
    </row>
    <row r="82" spans="1:23" x14ac:dyDescent="0.45">
      <c r="A82" s="161"/>
      <c r="B82" s="162"/>
      <c r="C82" s="162"/>
      <c r="D82" s="161">
        <f t="shared" si="20"/>
        <v>2</v>
      </c>
      <c r="E82" s="163">
        <v>3381</v>
      </c>
      <c r="F82" s="164" t="s">
        <v>89</v>
      </c>
      <c r="G82" s="165">
        <v>0</v>
      </c>
      <c r="H82" s="165">
        <v>0</v>
      </c>
      <c r="I82" s="165">
        <v>0</v>
      </c>
      <c r="J82" s="165">
        <v>0</v>
      </c>
      <c r="K82" s="165">
        <v>0</v>
      </c>
      <c r="L82" s="165">
        <v>0</v>
      </c>
      <c r="M82" s="153"/>
      <c r="N82" s="153"/>
      <c r="O82" s="153"/>
      <c r="P82" s="166">
        <v>3381</v>
      </c>
      <c r="Q82" s="166" t="s">
        <v>89</v>
      </c>
      <c r="R82" s="167">
        <f t="shared" si="14"/>
        <v>0</v>
      </c>
      <c r="S82" s="167">
        <f t="shared" si="15"/>
        <v>0</v>
      </c>
      <c r="T82" s="167">
        <f t="shared" si="16"/>
        <v>0</v>
      </c>
      <c r="U82" s="167">
        <f t="shared" si="17"/>
        <v>0</v>
      </c>
      <c r="V82" s="167">
        <f t="shared" si="18"/>
        <v>0</v>
      </c>
      <c r="W82" s="167">
        <f t="shared" si="19"/>
        <v>0</v>
      </c>
    </row>
    <row r="83" spans="1:23" x14ac:dyDescent="0.45">
      <c r="A83" s="161"/>
      <c r="B83" s="162"/>
      <c r="C83" s="162"/>
      <c r="D83" s="161">
        <f t="shared" si="20"/>
        <v>2</v>
      </c>
      <c r="E83" s="163">
        <v>3382</v>
      </c>
      <c r="F83" s="164" t="s">
        <v>90</v>
      </c>
      <c r="G83" s="165">
        <v>0</v>
      </c>
      <c r="H83" s="165">
        <v>0</v>
      </c>
      <c r="I83" s="165">
        <v>0</v>
      </c>
      <c r="J83" s="165">
        <v>0</v>
      </c>
      <c r="K83" s="165">
        <v>0</v>
      </c>
      <c r="L83" s="165">
        <v>0</v>
      </c>
      <c r="M83" s="153"/>
      <c r="N83" s="153"/>
      <c r="O83" s="153"/>
      <c r="P83" s="166">
        <v>3382</v>
      </c>
      <c r="Q83" s="166" t="s">
        <v>285</v>
      </c>
      <c r="R83" s="167">
        <f t="shared" si="14"/>
        <v>0</v>
      </c>
      <c r="S83" s="167">
        <f t="shared" si="15"/>
        <v>0</v>
      </c>
      <c r="T83" s="167">
        <f t="shared" si="16"/>
        <v>0</v>
      </c>
      <c r="U83" s="167">
        <f t="shared" si="17"/>
        <v>0</v>
      </c>
      <c r="V83" s="167">
        <f t="shared" si="18"/>
        <v>0</v>
      </c>
      <c r="W83" s="167">
        <f t="shared" si="19"/>
        <v>0</v>
      </c>
    </row>
    <row r="84" spans="1:23" x14ac:dyDescent="0.45">
      <c r="A84" s="161"/>
      <c r="B84" s="162"/>
      <c r="C84" s="162"/>
      <c r="D84" s="161">
        <f t="shared" si="20"/>
        <v>2</v>
      </c>
      <c r="E84" s="163">
        <v>3383</v>
      </c>
      <c r="F84" s="164" t="s">
        <v>91</v>
      </c>
      <c r="G84" s="165">
        <v>0</v>
      </c>
      <c r="H84" s="165">
        <v>0</v>
      </c>
      <c r="I84" s="165">
        <v>0</v>
      </c>
      <c r="J84" s="165">
        <v>0</v>
      </c>
      <c r="K84" s="165">
        <v>0</v>
      </c>
      <c r="L84" s="165">
        <v>0</v>
      </c>
      <c r="M84" s="153"/>
      <c r="N84" s="153"/>
      <c r="O84" s="153"/>
      <c r="P84" s="166">
        <v>3383</v>
      </c>
      <c r="Q84" s="166" t="s">
        <v>286</v>
      </c>
      <c r="R84" s="167">
        <f t="shared" si="14"/>
        <v>0</v>
      </c>
      <c r="S84" s="167">
        <f t="shared" si="15"/>
        <v>0</v>
      </c>
      <c r="T84" s="167">
        <f t="shared" si="16"/>
        <v>0</v>
      </c>
      <c r="U84" s="167">
        <f t="shared" si="17"/>
        <v>0</v>
      </c>
      <c r="V84" s="167">
        <f t="shared" si="18"/>
        <v>0</v>
      </c>
      <c r="W84" s="167">
        <f t="shared" si="19"/>
        <v>0</v>
      </c>
    </row>
    <row r="85" spans="1:23" x14ac:dyDescent="0.45">
      <c r="A85" s="161"/>
      <c r="B85" s="162"/>
      <c r="C85" s="162"/>
      <c r="D85" s="161">
        <f t="shared" si="20"/>
        <v>2</v>
      </c>
      <c r="E85" s="163">
        <v>3384</v>
      </c>
      <c r="F85" s="164" t="s">
        <v>92</v>
      </c>
      <c r="G85" s="165">
        <v>0</v>
      </c>
      <c r="H85" s="165">
        <v>0</v>
      </c>
      <c r="I85" s="165">
        <v>0</v>
      </c>
      <c r="J85" s="165">
        <v>0</v>
      </c>
      <c r="K85" s="165">
        <v>0</v>
      </c>
      <c r="L85" s="165">
        <v>0</v>
      </c>
      <c r="M85" s="153"/>
      <c r="N85" s="153"/>
      <c r="O85" s="153"/>
      <c r="P85" s="166">
        <v>3384</v>
      </c>
      <c r="Q85" s="166" t="s">
        <v>287</v>
      </c>
      <c r="R85" s="167">
        <f t="shared" si="14"/>
        <v>0</v>
      </c>
      <c r="S85" s="167">
        <f t="shared" si="15"/>
        <v>0</v>
      </c>
      <c r="T85" s="167">
        <f t="shared" si="16"/>
        <v>0</v>
      </c>
      <c r="U85" s="167">
        <f t="shared" si="17"/>
        <v>0</v>
      </c>
      <c r="V85" s="167">
        <f t="shared" si="18"/>
        <v>0</v>
      </c>
      <c r="W85" s="167">
        <f t="shared" si="19"/>
        <v>0</v>
      </c>
    </row>
    <row r="86" spans="1:23" x14ac:dyDescent="0.45">
      <c r="A86" s="161"/>
      <c r="B86" s="162"/>
      <c r="C86" s="162"/>
      <c r="D86" s="161">
        <f t="shared" si="20"/>
        <v>2</v>
      </c>
      <c r="E86" s="163">
        <v>3385</v>
      </c>
      <c r="F86" s="164" t="s">
        <v>93</v>
      </c>
      <c r="G86" s="165">
        <v>0</v>
      </c>
      <c r="H86" s="165">
        <v>0</v>
      </c>
      <c r="I86" s="165">
        <v>0</v>
      </c>
      <c r="J86" s="165">
        <v>0</v>
      </c>
      <c r="K86" s="165">
        <v>0</v>
      </c>
      <c r="L86" s="165">
        <v>0</v>
      </c>
      <c r="M86" s="153"/>
      <c r="N86" s="153"/>
      <c r="O86" s="153"/>
      <c r="P86" s="166">
        <v>3385</v>
      </c>
      <c r="Q86" s="166" t="s">
        <v>288</v>
      </c>
      <c r="R86" s="167">
        <f t="shared" si="14"/>
        <v>0</v>
      </c>
      <c r="S86" s="167">
        <f t="shared" si="15"/>
        <v>0</v>
      </c>
      <c r="T86" s="167">
        <f t="shared" si="16"/>
        <v>0</v>
      </c>
      <c r="U86" s="167">
        <f t="shared" si="17"/>
        <v>0</v>
      </c>
      <c r="V86" s="167">
        <f t="shared" si="18"/>
        <v>0</v>
      </c>
      <c r="W86" s="167">
        <f t="shared" si="19"/>
        <v>0</v>
      </c>
    </row>
    <row r="87" spans="1:23" x14ac:dyDescent="0.45">
      <c r="A87" s="161"/>
      <c r="B87" s="162"/>
      <c r="C87" s="162"/>
      <c r="D87" s="161">
        <f t="shared" si="20"/>
        <v>2</v>
      </c>
      <c r="E87" s="163">
        <v>3386</v>
      </c>
      <c r="F87" s="164" t="s">
        <v>94</v>
      </c>
      <c r="G87" s="165">
        <v>0</v>
      </c>
      <c r="H87" s="165">
        <v>0</v>
      </c>
      <c r="I87" s="165">
        <v>0</v>
      </c>
      <c r="J87" s="165">
        <v>0</v>
      </c>
      <c r="K87" s="165">
        <v>0</v>
      </c>
      <c r="L87" s="165">
        <v>0</v>
      </c>
      <c r="M87" s="153"/>
      <c r="N87" s="153"/>
      <c r="O87" s="153"/>
      <c r="P87" s="166">
        <v>3386</v>
      </c>
      <c r="Q87" s="166" t="s">
        <v>289</v>
      </c>
      <c r="R87" s="167">
        <f t="shared" si="14"/>
        <v>0</v>
      </c>
      <c r="S87" s="167">
        <f t="shared" si="15"/>
        <v>0</v>
      </c>
      <c r="T87" s="167">
        <f t="shared" si="16"/>
        <v>0</v>
      </c>
      <c r="U87" s="167">
        <f t="shared" si="17"/>
        <v>0</v>
      </c>
      <c r="V87" s="167">
        <f t="shared" si="18"/>
        <v>0</v>
      </c>
      <c r="W87" s="167">
        <f t="shared" si="19"/>
        <v>0</v>
      </c>
    </row>
    <row r="88" spans="1:23" x14ac:dyDescent="0.45">
      <c r="A88" s="161"/>
      <c r="B88" s="162"/>
      <c r="C88" s="162"/>
      <c r="D88" s="161">
        <f t="shared" si="20"/>
        <v>2</v>
      </c>
      <c r="E88" s="163">
        <v>3387</v>
      </c>
      <c r="F88" s="164" t="s">
        <v>95</v>
      </c>
      <c r="G88" s="165">
        <v>0</v>
      </c>
      <c r="H88" s="165">
        <v>0</v>
      </c>
      <c r="I88" s="165">
        <v>0</v>
      </c>
      <c r="J88" s="165">
        <v>0</v>
      </c>
      <c r="K88" s="165">
        <v>0</v>
      </c>
      <c r="L88" s="165">
        <v>0</v>
      </c>
      <c r="M88" s="153"/>
      <c r="N88" s="153"/>
      <c r="O88" s="153"/>
      <c r="P88" s="166">
        <v>3387</v>
      </c>
      <c r="Q88" s="166" t="s">
        <v>290</v>
      </c>
      <c r="R88" s="167">
        <f t="shared" si="14"/>
        <v>0</v>
      </c>
      <c r="S88" s="167">
        <f t="shared" si="15"/>
        <v>0</v>
      </c>
      <c r="T88" s="167">
        <f t="shared" si="16"/>
        <v>0</v>
      </c>
      <c r="U88" s="167">
        <f t="shared" si="17"/>
        <v>0</v>
      </c>
      <c r="V88" s="167">
        <f t="shared" si="18"/>
        <v>0</v>
      </c>
      <c r="W88" s="167">
        <f t="shared" si="19"/>
        <v>0</v>
      </c>
    </row>
    <row r="89" spans="1:23" x14ac:dyDescent="0.45">
      <c r="A89" s="161"/>
      <c r="B89" s="162"/>
      <c r="C89" s="162"/>
      <c r="D89" s="161">
        <f t="shared" si="20"/>
        <v>2</v>
      </c>
      <c r="E89" s="163">
        <v>3388</v>
      </c>
      <c r="F89" s="164" t="s">
        <v>88</v>
      </c>
      <c r="G89" s="165">
        <v>0</v>
      </c>
      <c r="H89" s="165">
        <v>0</v>
      </c>
      <c r="I89" s="165">
        <v>0</v>
      </c>
      <c r="J89" s="165">
        <v>0</v>
      </c>
      <c r="K89" s="165">
        <v>0</v>
      </c>
      <c r="L89" s="165">
        <v>0</v>
      </c>
      <c r="M89" s="153"/>
      <c r="N89" s="153"/>
      <c r="O89" s="153"/>
      <c r="P89" s="166">
        <v>3388</v>
      </c>
      <c r="Q89" s="166" t="s">
        <v>284</v>
      </c>
      <c r="R89" s="167">
        <f t="shared" si="14"/>
        <v>0</v>
      </c>
      <c r="S89" s="167">
        <f t="shared" si="15"/>
        <v>0</v>
      </c>
      <c r="T89" s="167">
        <f t="shared" si="16"/>
        <v>0</v>
      </c>
      <c r="U89" s="167">
        <f t="shared" si="17"/>
        <v>0</v>
      </c>
      <c r="V89" s="167">
        <f t="shared" si="18"/>
        <v>0</v>
      </c>
      <c r="W89" s="167">
        <f t="shared" si="19"/>
        <v>0</v>
      </c>
    </row>
    <row r="90" spans="1:23" x14ac:dyDescent="0.45">
      <c r="A90" s="219"/>
      <c r="B90" s="220" t="s">
        <v>96</v>
      </c>
      <c r="C90" s="220"/>
      <c r="D90" s="219">
        <f t="shared" si="20"/>
        <v>1</v>
      </c>
      <c r="E90" s="221">
        <v>341</v>
      </c>
      <c r="F90" s="222" t="s">
        <v>97</v>
      </c>
      <c r="G90" s="223">
        <v>0</v>
      </c>
      <c r="H90" s="223">
        <v>0</v>
      </c>
      <c r="I90" s="223">
        <v>4027000</v>
      </c>
      <c r="J90" s="223">
        <v>290000000</v>
      </c>
      <c r="K90" s="223">
        <v>0</v>
      </c>
      <c r="L90" s="223">
        <v>285973000</v>
      </c>
      <c r="M90" s="153"/>
      <c r="N90" s="153"/>
      <c r="O90" s="153"/>
      <c r="P90" s="225">
        <v>341</v>
      </c>
      <c r="Q90" s="225" t="s">
        <v>291</v>
      </c>
      <c r="R90" s="226">
        <f t="shared" si="14"/>
        <v>0</v>
      </c>
      <c r="S90" s="226">
        <f t="shared" si="15"/>
        <v>0</v>
      </c>
      <c r="T90" s="226">
        <f t="shared" si="16"/>
        <v>4027000</v>
      </c>
      <c r="U90" s="226">
        <f t="shared" si="17"/>
        <v>290000000</v>
      </c>
      <c r="V90" s="226">
        <f t="shared" si="18"/>
        <v>0</v>
      </c>
      <c r="W90" s="226">
        <f t="shared" si="19"/>
        <v>285973000</v>
      </c>
    </row>
    <row r="91" spans="1:23" x14ac:dyDescent="0.45">
      <c r="A91" s="161"/>
      <c r="B91" s="162"/>
      <c r="C91" s="162"/>
      <c r="D91" s="161">
        <f t="shared" si="20"/>
        <v>2</v>
      </c>
      <c r="E91" s="163">
        <v>3411</v>
      </c>
      <c r="F91" s="164" t="s">
        <v>98</v>
      </c>
      <c r="G91" s="165">
        <v>0</v>
      </c>
      <c r="H91" s="165">
        <v>0</v>
      </c>
      <c r="I91" s="165">
        <v>4027000</v>
      </c>
      <c r="J91" s="165">
        <v>290000000</v>
      </c>
      <c r="K91" s="165">
        <v>0</v>
      </c>
      <c r="L91" s="165">
        <v>285973000</v>
      </c>
      <c r="M91" s="153"/>
      <c r="N91" s="153"/>
      <c r="O91" s="153"/>
      <c r="P91" s="166">
        <v>3411</v>
      </c>
      <c r="Q91" s="166" t="s">
        <v>292</v>
      </c>
      <c r="R91" s="167">
        <f t="shared" si="14"/>
        <v>0</v>
      </c>
      <c r="S91" s="167">
        <f t="shared" si="15"/>
        <v>0</v>
      </c>
      <c r="T91" s="167">
        <f t="shared" si="16"/>
        <v>4027000</v>
      </c>
      <c r="U91" s="167">
        <f t="shared" si="17"/>
        <v>290000000</v>
      </c>
      <c r="V91" s="167">
        <f t="shared" si="18"/>
        <v>0</v>
      </c>
      <c r="W91" s="167">
        <f t="shared" si="19"/>
        <v>285973000</v>
      </c>
    </row>
    <row r="92" spans="1:23" x14ac:dyDescent="0.45">
      <c r="A92" s="161"/>
      <c r="B92" s="162"/>
      <c r="C92" s="162"/>
      <c r="D92" s="161">
        <f t="shared" si="20"/>
        <v>2</v>
      </c>
      <c r="E92" s="163">
        <v>3412</v>
      </c>
      <c r="F92" s="164" t="s">
        <v>99</v>
      </c>
      <c r="G92" s="165">
        <v>0</v>
      </c>
      <c r="H92" s="165">
        <v>0</v>
      </c>
      <c r="I92" s="165">
        <v>0</v>
      </c>
      <c r="J92" s="165">
        <v>0</v>
      </c>
      <c r="K92" s="165">
        <v>0</v>
      </c>
      <c r="L92" s="165">
        <v>0</v>
      </c>
      <c r="M92" s="153"/>
      <c r="N92" s="153"/>
      <c r="O92" s="153"/>
      <c r="P92" s="166">
        <v>3412</v>
      </c>
      <c r="Q92" s="166" t="s">
        <v>293</v>
      </c>
      <c r="R92" s="167">
        <f t="shared" si="14"/>
        <v>0</v>
      </c>
      <c r="S92" s="167">
        <f t="shared" si="15"/>
        <v>0</v>
      </c>
      <c r="T92" s="167">
        <f t="shared" si="16"/>
        <v>0</v>
      </c>
      <c r="U92" s="167">
        <f t="shared" si="17"/>
        <v>0</v>
      </c>
      <c r="V92" s="167">
        <f t="shared" si="18"/>
        <v>0</v>
      </c>
      <c r="W92" s="167">
        <f t="shared" si="19"/>
        <v>0</v>
      </c>
    </row>
    <row r="93" spans="1:23" x14ac:dyDescent="0.45">
      <c r="A93" s="219"/>
      <c r="B93" s="220" t="s">
        <v>100</v>
      </c>
      <c r="C93" s="220"/>
      <c r="D93" s="219">
        <f t="shared" si="20"/>
        <v>1</v>
      </c>
      <c r="E93" s="221">
        <v>352</v>
      </c>
      <c r="F93" s="222" t="s">
        <v>101</v>
      </c>
      <c r="G93" s="223">
        <v>0</v>
      </c>
      <c r="H93" s="223">
        <v>0</v>
      </c>
      <c r="I93" s="223">
        <v>0</v>
      </c>
      <c r="J93" s="223">
        <v>0</v>
      </c>
      <c r="K93" s="223">
        <v>0</v>
      </c>
      <c r="L93" s="223">
        <v>0</v>
      </c>
      <c r="M93" s="153"/>
      <c r="N93" s="153"/>
      <c r="O93" s="153"/>
      <c r="P93" s="225">
        <v>352</v>
      </c>
      <c r="Q93" s="225" t="s">
        <v>294</v>
      </c>
      <c r="R93" s="226">
        <f t="shared" si="14"/>
        <v>0</v>
      </c>
      <c r="S93" s="226">
        <f t="shared" si="15"/>
        <v>0</v>
      </c>
      <c r="T93" s="226">
        <f t="shared" si="16"/>
        <v>0</v>
      </c>
      <c r="U93" s="226">
        <f t="shared" si="17"/>
        <v>0</v>
      </c>
      <c r="V93" s="226">
        <f t="shared" si="18"/>
        <v>0</v>
      </c>
      <c r="W93" s="226">
        <f t="shared" si="19"/>
        <v>0</v>
      </c>
    </row>
    <row r="94" spans="1:23" x14ac:dyDescent="0.45">
      <c r="A94" s="161"/>
      <c r="B94" s="162"/>
      <c r="C94" s="162"/>
      <c r="D94" s="161">
        <f t="shared" si="20"/>
        <v>2</v>
      </c>
      <c r="E94" s="163">
        <v>3521</v>
      </c>
      <c r="F94" s="164" t="s">
        <v>102</v>
      </c>
      <c r="G94" s="165">
        <v>0</v>
      </c>
      <c r="H94" s="165">
        <v>0</v>
      </c>
      <c r="I94" s="165">
        <v>0</v>
      </c>
      <c r="J94" s="165">
        <v>0</v>
      </c>
      <c r="K94" s="165">
        <v>0</v>
      </c>
      <c r="L94" s="165">
        <v>0</v>
      </c>
      <c r="M94" s="153"/>
      <c r="N94" s="153"/>
      <c r="O94" s="153"/>
      <c r="P94" s="166">
        <v>3521</v>
      </c>
      <c r="Q94" s="166" t="s">
        <v>295</v>
      </c>
      <c r="R94" s="167">
        <f t="shared" si="14"/>
        <v>0</v>
      </c>
      <c r="S94" s="167">
        <f t="shared" si="15"/>
        <v>0</v>
      </c>
      <c r="T94" s="167">
        <f t="shared" si="16"/>
        <v>0</v>
      </c>
      <c r="U94" s="167">
        <f t="shared" si="17"/>
        <v>0</v>
      </c>
      <c r="V94" s="167">
        <f t="shared" si="18"/>
        <v>0</v>
      </c>
      <c r="W94" s="167">
        <f t="shared" si="19"/>
        <v>0</v>
      </c>
    </row>
    <row r="95" spans="1:23" x14ac:dyDescent="0.45">
      <c r="A95" s="161"/>
      <c r="B95" s="162"/>
      <c r="C95" s="162"/>
      <c r="D95" s="161">
        <f t="shared" si="20"/>
        <v>2</v>
      </c>
      <c r="E95" s="163">
        <v>3522</v>
      </c>
      <c r="F95" s="164" t="s">
        <v>103</v>
      </c>
      <c r="G95" s="165">
        <v>0</v>
      </c>
      <c r="H95" s="165">
        <v>0</v>
      </c>
      <c r="I95" s="165">
        <v>0</v>
      </c>
      <c r="J95" s="165">
        <v>0</v>
      </c>
      <c r="K95" s="165">
        <v>0</v>
      </c>
      <c r="L95" s="165">
        <v>0</v>
      </c>
      <c r="M95" s="153"/>
      <c r="N95" s="153"/>
      <c r="O95" s="153"/>
      <c r="P95" s="166">
        <v>3522</v>
      </c>
      <c r="Q95" s="166" t="s">
        <v>296</v>
      </c>
      <c r="R95" s="167">
        <f t="shared" si="14"/>
        <v>0</v>
      </c>
      <c r="S95" s="167">
        <f t="shared" si="15"/>
        <v>0</v>
      </c>
      <c r="T95" s="167">
        <f t="shared" si="16"/>
        <v>0</v>
      </c>
      <c r="U95" s="167">
        <f t="shared" si="17"/>
        <v>0</v>
      </c>
      <c r="V95" s="167">
        <f t="shared" si="18"/>
        <v>0</v>
      </c>
      <c r="W95" s="167">
        <f t="shared" si="19"/>
        <v>0</v>
      </c>
    </row>
    <row r="96" spans="1:23" x14ac:dyDescent="0.45">
      <c r="A96" s="161"/>
      <c r="B96" s="162"/>
      <c r="C96" s="162"/>
      <c r="D96" s="161">
        <f t="shared" si="20"/>
        <v>2</v>
      </c>
      <c r="E96" s="163">
        <v>3524</v>
      </c>
      <c r="F96" s="164" t="s">
        <v>104</v>
      </c>
      <c r="G96" s="165">
        <v>0</v>
      </c>
      <c r="H96" s="165">
        <v>0</v>
      </c>
      <c r="I96" s="165">
        <v>0</v>
      </c>
      <c r="J96" s="165">
        <v>0</v>
      </c>
      <c r="K96" s="165">
        <v>0</v>
      </c>
      <c r="L96" s="165">
        <v>0</v>
      </c>
      <c r="M96" s="153"/>
      <c r="N96" s="153"/>
      <c r="O96" s="153"/>
      <c r="P96" s="166">
        <v>3524</v>
      </c>
      <c r="Q96" s="166" t="s">
        <v>297</v>
      </c>
      <c r="R96" s="167">
        <f t="shared" si="14"/>
        <v>0</v>
      </c>
      <c r="S96" s="167">
        <f t="shared" si="15"/>
        <v>0</v>
      </c>
      <c r="T96" s="167">
        <f t="shared" si="16"/>
        <v>0</v>
      </c>
      <c r="U96" s="167">
        <f t="shared" si="17"/>
        <v>0</v>
      </c>
      <c r="V96" s="167">
        <f t="shared" si="18"/>
        <v>0</v>
      </c>
      <c r="W96" s="167">
        <f t="shared" si="19"/>
        <v>0</v>
      </c>
    </row>
    <row r="97" spans="1:23" x14ac:dyDescent="0.45">
      <c r="A97" s="219"/>
      <c r="B97" s="220" t="s">
        <v>105</v>
      </c>
      <c r="C97" s="220"/>
      <c r="D97" s="219">
        <f t="shared" si="20"/>
        <v>1</v>
      </c>
      <c r="E97" s="221">
        <v>353</v>
      </c>
      <c r="F97" s="222" t="s">
        <v>106</v>
      </c>
      <c r="G97" s="223">
        <v>0</v>
      </c>
      <c r="H97" s="223">
        <v>0</v>
      </c>
      <c r="I97" s="223">
        <v>0</v>
      </c>
      <c r="J97" s="223">
        <v>0</v>
      </c>
      <c r="K97" s="223">
        <v>0</v>
      </c>
      <c r="L97" s="223">
        <v>0</v>
      </c>
      <c r="M97" s="153"/>
      <c r="N97" s="153"/>
      <c r="O97" s="153"/>
      <c r="P97" s="225">
        <v>353</v>
      </c>
      <c r="Q97" s="225" t="s">
        <v>298</v>
      </c>
      <c r="R97" s="226">
        <f t="shared" si="14"/>
        <v>0</v>
      </c>
      <c r="S97" s="226">
        <f t="shared" si="15"/>
        <v>0</v>
      </c>
      <c r="T97" s="226">
        <f t="shared" si="16"/>
        <v>0</v>
      </c>
      <c r="U97" s="226">
        <f t="shared" si="17"/>
        <v>0</v>
      </c>
      <c r="V97" s="226">
        <f t="shared" si="18"/>
        <v>0</v>
      </c>
      <c r="W97" s="226">
        <f t="shared" si="19"/>
        <v>0</v>
      </c>
    </row>
    <row r="98" spans="1:23" x14ac:dyDescent="0.45">
      <c r="A98" s="161"/>
      <c r="B98" s="162"/>
      <c r="C98" s="162"/>
      <c r="D98" s="161">
        <f t="shared" si="20"/>
        <v>2</v>
      </c>
      <c r="E98" s="163">
        <v>3531</v>
      </c>
      <c r="F98" s="164" t="s">
        <v>107</v>
      </c>
      <c r="G98" s="165">
        <v>0</v>
      </c>
      <c r="H98" s="165">
        <v>0</v>
      </c>
      <c r="I98" s="165">
        <v>0</v>
      </c>
      <c r="J98" s="165">
        <v>0</v>
      </c>
      <c r="K98" s="165">
        <v>0</v>
      </c>
      <c r="L98" s="165">
        <v>0</v>
      </c>
      <c r="M98" s="153"/>
      <c r="N98" s="153"/>
      <c r="O98" s="153"/>
      <c r="P98" s="166">
        <v>3531</v>
      </c>
      <c r="Q98" s="166" t="s">
        <v>299</v>
      </c>
      <c r="R98" s="167">
        <f t="shared" si="14"/>
        <v>0</v>
      </c>
      <c r="S98" s="167">
        <f t="shared" si="15"/>
        <v>0</v>
      </c>
      <c r="T98" s="167">
        <f t="shared" si="16"/>
        <v>0</v>
      </c>
      <c r="U98" s="167">
        <f t="shared" si="17"/>
        <v>0</v>
      </c>
      <c r="V98" s="167">
        <f t="shared" si="18"/>
        <v>0</v>
      </c>
      <c r="W98" s="167">
        <f t="shared" si="19"/>
        <v>0</v>
      </c>
    </row>
    <row r="99" spans="1:23" x14ac:dyDescent="0.45">
      <c r="A99" s="161"/>
      <c r="B99" s="162"/>
      <c r="C99" s="162"/>
      <c r="D99" s="161">
        <f t="shared" si="20"/>
        <v>2</v>
      </c>
      <c r="E99" s="163">
        <v>3532</v>
      </c>
      <c r="F99" s="164" t="s">
        <v>108</v>
      </c>
      <c r="G99" s="165">
        <v>0</v>
      </c>
      <c r="H99" s="165">
        <v>0</v>
      </c>
      <c r="I99" s="165">
        <v>0</v>
      </c>
      <c r="J99" s="165">
        <v>0</v>
      </c>
      <c r="K99" s="165">
        <v>0</v>
      </c>
      <c r="L99" s="165">
        <v>0</v>
      </c>
      <c r="M99" s="153"/>
      <c r="N99" s="153"/>
      <c r="O99" s="153"/>
      <c r="P99" s="166">
        <v>3532</v>
      </c>
      <c r="Q99" s="166" t="s">
        <v>300</v>
      </c>
      <c r="R99" s="167">
        <f t="shared" si="14"/>
        <v>0</v>
      </c>
      <c r="S99" s="167">
        <f t="shared" si="15"/>
        <v>0</v>
      </c>
      <c r="T99" s="167">
        <f t="shared" si="16"/>
        <v>0</v>
      </c>
      <c r="U99" s="167">
        <f t="shared" si="17"/>
        <v>0</v>
      </c>
      <c r="V99" s="167">
        <f t="shared" si="18"/>
        <v>0</v>
      </c>
      <c r="W99" s="167">
        <f t="shared" si="19"/>
        <v>0</v>
      </c>
    </row>
    <row r="100" spans="1:23" x14ac:dyDescent="0.45">
      <c r="A100" s="161"/>
      <c r="B100" s="162"/>
      <c r="C100" s="162"/>
      <c r="D100" s="161">
        <f t="shared" si="20"/>
        <v>2</v>
      </c>
      <c r="E100" s="163">
        <v>3533</v>
      </c>
      <c r="F100" s="164" t="s">
        <v>109</v>
      </c>
      <c r="G100" s="165">
        <v>0</v>
      </c>
      <c r="H100" s="165">
        <v>0</v>
      </c>
      <c r="I100" s="165">
        <v>0</v>
      </c>
      <c r="J100" s="165">
        <v>0</v>
      </c>
      <c r="K100" s="165">
        <v>0</v>
      </c>
      <c r="L100" s="165">
        <v>0</v>
      </c>
      <c r="M100" s="153"/>
      <c r="N100" s="153"/>
      <c r="O100" s="153"/>
      <c r="P100" s="166">
        <v>3533</v>
      </c>
      <c r="Q100" s="166" t="s">
        <v>301</v>
      </c>
      <c r="R100" s="167">
        <f t="shared" si="14"/>
        <v>0</v>
      </c>
      <c r="S100" s="167">
        <f t="shared" si="15"/>
        <v>0</v>
      </c>
      <c r="T100" s="167">
        <f t="shared" si="16"/>
        <v>0</v>
      </c>
      <c r="U100" s="167">
        <f t="shared" si="17"/>
        <v>0</v>
      </c>
      <c r="V100" s="167">
        <f t="shared" si="18"/>
        <v>0</v>
      </c>
      <c r="W100" s="167">
        <f t="shared" si="19"/>
        <v>0</v>
      </c>
    </row>
    <row r="101" spans="1:23" x14ac:dyDescent="0.45">
      <c r="A101" s="161"/>
      <c r="B101" s="162"/>
      <c r="C101" s="162"/>
      <c r="D101" s="161">
        <f t="shared" si="20"/>
        <v>2</v>
      </c>
      <c r="E101" s="163">
        <v>3534</v>
      </c>
      <c r="F101" s="164" t="s">
        <v>110</v>
      </c>
      <c r="G101" s="165">
        <v>0</v>
      </c>
      <c r="H101" s="165">
        <v>0</v>
      </c>
      <c r="I101" s="165">
        <v>0</v>
      </c>
      <c r="J101" s="165">
        <v>0</v>
      </c>
      <c r="K101" s="165">
        <v>0</v>
      </c>
      <c r="L101" s="165">
        <v>0</v>
      </c>
      <c r="M101" s="153"/>
      <c r="N101" s="153"/>
      <c r="O101" s="153"/>
      <c r="P101" s="166">
        <v>3534</v>
      </c>
      <c r="Q101" s="166" t="s">
        <v>302</v>
      </c>
      <c r="R101" s="167">
        <f t="shared" si="14"/>
        <v>0</v>
      </c>
      <c r="S101" s="167">
        <f t="shared" si="15"/>
        <v>0</v>
      </c>
      <c r="T101" s="167">
        <f t="shared" si="16"/>
        <v>0</v>
      </c>
      <c r="U101" s="167">
        <f t="shared" si="17"/>
        <v>0</v>
      </c>
      <c r="V101" s="167">
        <f t="shared" si="18"/>
        <v>0</v>
      </c>
      <c r="W101" s="167">
        <f t="shared" si="19"/>
        <v>0</v>
      </c>
    </row>
    <row r="102" spans="1:23" x14ac:dyDescent="0.45">
      <c r="A102" s="219"/>
      <c r="B102" s="220" t="s">
        <v>111</v>
      </c>
      <c r="C102" s="220"/>
      <c r="D102" s="219">
        <f t="shared" si="20"/>
        <v>1</v>
      </c>
      <c r="E102" s="221">
        <v>356</v>
      </c>
      <c r="F102" s="222" t="s">
        <v>112</v>
      </c>
      <c r="G102" s="223">
        <v>0</v>
      </c>
      <c r="H102" s="223">
        <v>0</v>
      </c>
      <c r="I102" s="223">
        <v>0</v>
      </c>
      <c r="J102" s="223">
        <v>0</v>
      </c>
      <c r="K102" s="223">
        <v>0</v>
      </c>
      <c r="L102" s="223">
        <v>0</v>
      </c>
      <c r="M102" s="153"/>
      <c r="N102" s="153"/>
      <c r="O102" s="153"/>
      <c r="P102" s="225">
        <v>356</v>
      </c>
      <c r="Q102" s="225" t="s">
        <v>303</v>
      </c>
      <c r="R102" s="226">
        <f t="shared" si="14"/>
        <v>0</v>
      </c>
      <c r="S102" s="226">
        <f t="shared" si="15"/>
        <v>0</v>
      </c>
      <c r="T102" s="226">
        <f t="shared" si="16"/>
        <v>0</v>
      </c>
      <c r="U102" s="226">
        <f t="shared" si="17"/>
        <v>0</v>
      </c>
      <c r="V102" s="226">
        <f t="shared" si="18"/>
        <v>0</v>
      </c>
      <c r="W102" s="226">
        <f t="shared" si="19"/>
        <v>0</v>
      </c>
    </row>
    <row r="103" spans="1:23" x14ac:dyDescent="0.45">
      <c r="A103" s="161"/>
      <c r="B103" s="162"/>
      <c r="C103" s="162"/>
      <c r="D103" s="161">
        <f t="shared" si="20"/>
        <v>2</v>
      </c>
      <c r="E103" s="163">
        <v>3561</v>
      </c>
      <c r="F103" s="164" t="s">
        <v>112</v>
      </c>
      <c r="G103" s="165">
        <v>0</v>
      </c>
      <c r="H103" s="165">
        <v>0</v>
      </c>
      <c r="I103" s="165">
        <v>0</v>
      </c>
      <c r="J103" s="165">
        <v>0</v>
      </c>
      <c r="K103" s="165">
        <v>0</v>
      </c>
      <c r="L103" s="165">
        <v>0</v>
      </c>
      <c r="M103" s="153"/>
      <c r="N103" s="153"/>
      <c r="O103" s="153"/>
      <c r="P103" s="166">
        <v>3561</v>
      </c>
      <c r="Q103" s="166" t="s">
        <v>303</v>
      </c>
      <c r="R103" s="167">
        <f t="shared" si="14"/>
        <v>0</v>
      </c>
      <c r="S103" s="167">
        <f t="shared" si="15"/>
        <v>0</v>
      </c>
      <c r="T103" s="167">
        <f t="shared" si="16"/>
        <v>0</v>
      </c>
      <c r="U103" s="167">
        <f t="shared" si="17"/>
        <v>0</v>
      </c>
      <c r="V103" s="167">
        <f t="shared" si="18"/>
        <v>0</v>
      </c>
      <c r="W103" s="167">
        <f t="shared" si="19"/>
        <v>0</v>
      </c>
    </row>
    <row r="104" spans="1:23" ht="22.5" x14ac:dyDescent="0.45">
      <c r="A104" s="161"/>
      <c r="B104" s="162"/>
      <c r="C104" s="162"/>
      <c r="D104" s="161">
        <f t="shared" si="20"/>
        <v>2</v>
      </c>
      <c r="E104" s="163">
        <v>3562</v>
      </c>
      <c r="F104" s="164" t="s">
        <v>113</v>
      </c>
      <c r="G104" s="165">
        <v>0</v>
      </c>
      <c r="H104" s="165">
        <v>0</v>
      </c>
      <c r="I104" s="165">
        <v>0</v>
      </c>
      <c r="J104" s="165">
        <v>0</v>
      </c>
      <c r="K104" s="165">
        <v>0</v>
      </c>
      <c r="L104" s="165">
        <v>0</v>
      </c>
      <c r="M104" s="153"/>
      <c r="N104" s="153"/>
      <c r="O104" s="153"/>
      <c r="P104" s="166">
        <v>3562</v>
      </c>
      <c r="Q104" s="166" t="s">
        <v>304</v>
      </c>
      <c r="R104" s="167">
        <f t="shared" ref="R104:R132" si="21">G104</f>
        <v>0</v>
      </c>
      <c r="S104" s="167">
        <f t="shared" ref="S104:S132" si="22">H104</f>
        <v>0</v>
      </c>
      <c r="T104" s="167">
        <f t="shared" ref="T104:T132" si="23">I104</f>
        <v>0</v>
      </c>
      <c r="U104" s="167">
        <f t="shared" ref="U104:U132" si="24">J104</f>
        <v>0</v>
      </c>
      <c r="V104" s="167">
        <f t="shared" ref="V104:V132" si="25">K104</f>
        <v>0</v>
      </c>
      <c r="W104" s="167">
        <f t="shared" ref="W104:W132" si="26">L104</f>
        <v>0</v>
      </c>
    </row>
    <row r="105" spans="1:23" x14ac:dyDescent="0.45">
      <c r="A105" s="219"/>
      <c r="B105" s="220"/>
      <c r="C105" s="220"/>
      <c r="D105" s="219">
        <f t="shared" si="20"/>
        <v>1</v>
      </c>
      <c r="E105" s="221">
        <v>411</v>
      </c>
      <c r="F105" s="222" t="s">
        <v>114</v>
      </c>
      <c r="G105" s="223">
        <v>0</v>
      </c>
      <c r="H105" s="223">
        <v>500000000</v>
      </c>
      <c r="I105" s="223">
        <v>0</v>
      </c>
      <c r="J105" s="223">
        <v>0</v>
      </c>
      <c r="K105" s="223">
        <v>0</v>
      </c>
      <c r="L105" s="223">
        <v>500000000</v>
      </c>
      <c r="M105" s="153"/>
      <c r="N105" s="153"/>
      <c r="O105" s="153"/>
      <c r="P105" s="225">
        <v>411</v>
      </c>
      <c r="Q105" s="225" t="s">
        <v>305</v>
      </c>
      <c r="R105" s="226">
        <f t="shared" si="21"/>
        <v>0</v>
      </c>
      <c r="S105" s="226">
        <f t="shared" si="22"/>
        <v>500000000</v>
      </c>
      <c r="T105" s="226">
        <f t="shared" si="23"/>
        <v>0</v>
      </c>
      <c r="U105" s="226">
        <f t="shared" si="24"/>
        <v>0</v>
      </c>
      <c r="V105" s="226">
        <f t="shared" si="25"/>
        <v>0</v>
      </c>
      <c r="W105" s="226">
        <f t="shared" si="26"/>
        <v>500000000</v>
      </c>
    </row>
    <row r="106" spans="1:23" x14ac:dyDescent="0.45">
      <c r="A106" s="161"/>
      <c r="B106" s="162" t="s">
        <v>115</v>
      </c>
      <c r="C106" s="162"/>
      <c r="D106" s="161">
        <f t="shared" si="20"/>
        <v>2</v>
      </c>
      <c r="E106" s="163">
        <v>4111</v>
      </c>
      <c r="F106" s="164" t="s">
        <v>116</v>
      </c>
      <c r="G106" s="165">
        <v>0</v>
      </c>
      <c r="H106" s="165">
        <v>500000000</v>
      </c>
      <c r="I106" s="165">
        <v>0</v>
      </c>
      <c r="J106" s="165">
        <v>0</v>
      </c>
      <c r="K106" s="165">
        <v>0</v>
      </c>
      <c r="L106" s="165">
        <v>500000000</v>
      </c>
      <c r="M106" s="153"/>
      <c r="N106" s="153"/>
      <c r="O106" s="153"/>
      <c r="P106" s="166">
        <v>4111</v>
      </c>
      <c r="Q106" s="166" t="s">
        <v>217</v>
      </c>
      <c r="R106" s="167">
        <f t="shared" si="21"/>
        <v>0</v>
      </c>
      <c r="S106" s="167">
        <f t="shared" si="22"/>
        <v>500000000</v>
      </c>
      <c r="T106" s="167">
        <f t="shared" si="23"/>
        <v>0</v>
      </c>
      <c r="U106" s="167">
        <f t="shared" si="24"/>
        <v>0</v>
      </c>
      <c r="V106" s="167">
        <f t="shared" si="25"/>
        <v>0</v>
      </c>
      <c r="W106" s="167">
        <f t="shared" si="26"/>
        <v>500000000</v>
      </c>
    </row>
    <row r="107" spans="1:23" x14ac:dyDescent="0.45">
      <c r="A107" s="161"/>
      <c r="B107" s="162" t="s">
        <v>117</v>
      </c>
      <c r="C107" s="162"/>
      <c r="D107" s="161">
        <f t="shared" si="20"/>
        <v>2</v>
      </c>
      <c r="E107" s="163">
        <v>4112</v>
      </c>
      <c r="F107" s="164" t="s">
        <v>118</v>
      </c>
      <c r="G107" s="165">
        <v>0</v>
      </c>
      <c r="H107" s="165">
        <v>0</v>
      </c>
      <c r="I107" s="165">
        <v>0</v>
      </c>
      <c r="J107" s="165">
        <v>0</v>
      </c>
      <c r="K107" s="165">
        <v>0</v>
      </c>
      <c r="L107" s="165">
        <v>0</v>
      </c>
      <c r="M107" s="153"/>
      <c r="N107" s="153"/>
      <c r="O107" s="153"/>
      <c r="P107" s="166">
        <v>4112</v>
      </c>
      <c r="Q107" s="166" t="s">
        <v>218</v>
      </c>
      <c r="R107" s="167">
        <f t="shared" si="21"/>
        <v>0</v>
      </c>
      <c r="S107" s="167">
        <f t="shared" si="22"/>
        <v>0</v>
      </c>
      <c r="T107" s="167">
        <f t="shared" si="23"/>
        <v>0</v>
      </c>
      <c r="U107" s="167">
        <f t="shared" si="24"/>
        <v>0</v>
      </c>
      <c r="V107" s="167">
        <f t="shared" si="25"/>
        <v>0</v>
      </c>
      <c r="W107" s="167">
        <f t="shared" si="26"/>
        <v>0</v>
      </c>
    </row>
    <row r="108" spans="1:23" x14ac:dyDescent="0.45">
      <c r="A108" s="161"/>
      <c r="B108" s="162" t="s">
        <v>119</v>
      </c>
      <c r="C108" s="162"/>
      <c r="D108" s="161">
        <f t="shared" si="20"/>
        <v>2</v>
      </c>
      <c r="E108" s="163">
        <v>4118</v>
      </c>
      <c r="F108" s="164" t="s">
        <v>120</v>
      </c>
      <c r="G108" s="165">
        <v>0</v>
      </c>
      <c r="H108" s="165">
        <v>0</v>
      </c>
      <c r="I108" s="165">
        <v>0</v>
      </c>
      <c r="J108" s="165">
        <v>0</v>
      </c>
      <c r="K108" s="165">
        <v>0</v>
      </c>
      <c r="L108" s="165">
        <v>0</v>
      </c>
      <c r="M108" s="153"/>
      <c r="N108" s="153"/>
      <c r="O108" s="153"/>
      <c r="P108" s="166">
        <v>4118</v>
      </c>
      <c r="Q108" s="166" t="s">
        <v>306</v>
      </c>
      <c r="R108" s="167">
        <f t="shared" si="21"/>
        <v>0</v>
      </c>
      <c r="S108" s="167">
        <f t="shared" si="22"/>
        <v>0</v>
      </c>
      <c r="T108" s="167">
        <f t="shared" si="23"/>
        <v>0</v>
      </c>
      <c r="U108" s="167">
        <f t="shared" si="24"/>
        <v>0</v>
      </c>
      <c r="V108" s="167">
        <f t="shared" si="25"/>
        <v>0</v>
      </c>
      <c r="W108" s="167">
        <f t="shared" si="26"/>
        <v>0</v>
      </c>
    </row>
    <row r="109" spans="1:23" x14ac:dyDescent="0.45">
      <c r="A109" s="219"/>
      <c r="B109" s="220" t="s">
        <v>121</v>
      </c>
      <c r="C109" s="220"/>
      <c r="D109" s="219">
        <f t="shared" si="20"/>
        <v>1</v>
      </c>
      <c r="E109" s="221">
        <v>413</v>
      </c>
      <c r="F109" s="222" t="s">
        <v>122</v>
      </c>
      <c r="G109" s="223">
        <v>0</v>
      </c>
      <c r="H109" s="223">
        <v>0</v>
      </c>
      <c r="I109" s="223">
        <v>0</v>
      </c>
      <c r="J109" s="223">
        <v>0</v>
      </c>
      <c r="K109" s="223">
        <v>0</v>
      </c>
      <c r="L109" s="223">
        <v>0</v>
      </c>
      <c r="M109" s="153"/>
      <c r="N109" s="153"/>
      <c r="O109" s="153"/>
      <c r="P109" s="225">
        <v>413</v>
      </c>
      <c r="Q109" s="225" t="s">
        <v>219</v>
      </c>
      <c r="R109" s="226">
        <f t="shared" si="21"/>
        <v>0</v>
      </c>
      <c r="S109" s="226">
        <f t="shared" si="22"/>
        <v>0</v>
      </c>
      <c r="T109" s="226">
        <f t="shared" si="23"/>
        <v>0</v>
      </c>
      <c r="U109" s="226">
        <f t="shared" si="24"/>
        <v>0</v>
      </c>
      <c r="V109" s="226">
        <f t="shared" si="25"/>
        <v>0</v>
      </c>
      <c r="W109" s="226">
        <f t="shared" si="26"/>
        <v>0</v>
      </c>
    </row>
    <row r="110" spans="1:23" x14ac:dyDescent="0.45">
      <c r="A110" s="219"/>
      <c r="B110" s="220" t="s">
        <v>123</v>
      </c>
      <c r="C110" s="220"/>
      <c r="D110" s="219">
        <f t="shared" si="20"/>
        <v>1</v>
      </c>
      <c r="E110" s="221">
        <v>418</v>
      </c>
      <c r="F110" s="222" t="s">
        <v>124</v>
      </c>
      <c r="G110" s="223">
        <v>0</v>
      </c>
      <c r="H110" s="223">
        <v>0</v>
      </c>
      <c r="I110" s="223">
        <v>0</v>
      </c>
      <c r="J110" s="223">
        <v>0</v>
      </c>
      <c r="K110" s="223">
        <v>0</v>
      </c>
      <c r="L110" s="223">
        <v>0</v>
      </c>
      <c r="M110" s="153"/>
      <c r="N110" s="153"/>
      <c r="O110" s="153"/>
      <c r="P110" s="225">
        <v>418</v>
      </c>
      <c r="Q110" s="225" t="s">
        <v>220</v>
      </c>
      <c r="R110" s="226">
        <f t="shared" si="21"/>
        <v>0</v>
      </c>
      <c r="S110" s="226">
        <f t="shared" si="22"/>
        <v>0</v>
      </c>
      <c r="T110" s="226">
        <f t="shared" si="23"/>
        <v>0</v>
      </c>
      <c r="U110" s="226">
        <f t="shared" si="24"/>
        <v>0</v>
      </c>
      <c r="V110" s="226">
        <f t="shared" si="25"/>
        <v>0</v>
      </c>
      <c r="W110" s="226">
        <f t="shared" si="26"/>
        <v>0</v>
      </c>
    </row>
    <row r="111" spans="1:23" x14ac:dyDescent="0.45">
      <c r="A111" s="219"/>
      <c r="B111" s="220" t="s">
        <v>125</v>
      </c>
      <c r="C111" s="220"/>
      <c r="D111" s="219">
        <f t="shared" si="20"/>
        <v>1</v>
      </c>
      <c r="E111" s="221">
        <v>419</v>
      </c>
      <c r="F111" s="222" t="s">
        <v>126</v>
      </c>
      <c r="G111" s="223">
        <v>0</v>
      </c>
      <c r="H111" s="223">
        <v>0</v>
      </c>
      <c r="I111" s="223">
        <v>0</v>
      </c>
      <c r="J111" s="223">
        <v>0</v>
      </c>
      <c r="K111" s="223">
        <v>0</v>
      </c>
      <c r="L111" s="223">
        <v>0</v>
      </c>
      <c r="M111" s="153"/>
      <c r="N111" s="153"/>
      <c r="O111" s="153"/>
      <c r="P111" s="225">
        <v>419</v>
      </c>
      <c r="Q111" s="225" t="s">
        <v>307</v>
      </c>
      <c r="R111" s="226">
        <f t="shared" si="21"/>
        <v>0</v>
      </c>
      <c r="S111" s="226">
        <f t="shared" si="22"/>
        <v>0</v>
      </c>
      <c r="T111" s="226">
        <f t="shared" si="23"/>
        <v>0</v>
      </c>
      <c r="U111" s="226">
        <f t="shared" si="24"/>
        <v>0</v>
      </c>
      <c r="V111" s="226">
        <f t="shared" si="25"/>
        <v>0</v>
      </c>
      <c r="W111" s="226">
        <f t="shared" si="26"/>
        <v>0</v>
      </c>
    </row>
    <row r="112" spans="1:23" x14ac:dyDescent="0.45">
      <c r="A112" s="219"/>
      <c r="B112" s="220" t="s">
        <v>127</v>
      </c>
      <c r="C112" s="220"/>
      <c r="D112" s="219">
        <f t="shared" si="20"/>
        <v>1</v>
      </c>
      <c r="E112" s="221">
        <v>421</v>
      </c>
      <c r="F112" s="222" t="s">
        <v>128</v>
      </c>
      <c r="G112" s="223">
        <v>7320482</v>
      </c>
      <c r="H112" s="223">
        <v>0</v>
      </c>
      <c r="I112" s="223">
        <v>0</v>
      </c>
      <c r="J112" s="223">
        <v>15462661</v>
      </c>
      <c r="K112" s="223">
        <v>0</v>
      </c>
      <c r="L112" s="223">
        <v>8142179</v>
      </c>
      <c r="M112" s="153"/>
      <c r="N112" s="153"/>
      <c r="O112" s="153"/>
      <c r="P112" s="225">
        <v>421</v>
      </c>
      <c r="Q112" s="225" t="s">
        <v>308</v>
      </c>
      <c r="R112" s="226">
        <f t="shared" si="21"/>
        <v>7320482</v>
      </c>
      <c r="S112" s="226">
        <f t="shared" si="22"/>
        <v>0</v>
      </c>
      <c r="T112" s="226">
        <f t="shared" si="23"/>
        <v>0</v>
      </c>
      <c r="U112" s="226">
        <f t="shared" si="24"/>
        <v>15462661</v>
      </c>
      <c r="V112" s="226">
        <f t="shared" si="25"/>
        <v>0</v>
      </c>
      <c r="W112" s="226">
        <f t="shared" si="26"/>
        <v>8142179</v>
      </c>
    </row>
    <row r="113" spans="1:23" x14ac:dyDescent="0.45">
      <c r="A113" s="161"/>
      <c r="B113" s="162"/>
      <c r="C113" s="162"/>
      <c r="D113" s="161">
        <f t="shared" si="20"/>
        <v>2</v>
      </c>
      <c r="E113" s="163">
        <v>4211</v>
      </c>
      <c r="F113" s="164" t="s">
        <v>129</v>
      </c>
      <c r="G113" s="165">
        <v>0</v>
      </c>
      <c r="H113" s="165">
        <v>0</v>
      </c>
      <c r="I113" s="165">
        <v>0</v>
      </c>
      <c r="J113" s="165">
        <v>0</v>
      </c>
      <c r="K113" s="165">
        <v>0</v>
      </c>
      <c r="L113" s="165">
        <v>0</v>
      </c>
      <c r="M113" s="153"/>
      <c r="N113" s="153"/>
      <c r="O113" s="153"/>
      <c r="P113" s="166">
        <v>4211</v>
      </c>
      <c r="Q113" s="166" t="s">
        <v>309</v>
      </c>
      <c r="R113" s="167">
        <f t="shared" si="21"/>
        <v>0</v>
      </c>
      <c r="S113" s="167">
        <f t="shared" si="22"/>
        <v>0</v>
      </c>
      <c r="T113" s="167">
        <f t="shared" si="23"/>
        <v>0</v>
      </c>
      <c r="U113" s="167">
        <f t="shared" si="24"/>
        <v>0</v>
      </c>
      <c r="V113" s="167">
        <f t="shared" si="25"/>
        <v>0</v>
      </c>
      <c r="W113" s="167">
        <f t="shared" si="26"/>
        <v>0</v>
      </c>
    </row>
    <row r="114" spans="1:23" x14ac:dyDescent="0.45">
      <c r="A114" s="161"/>
      <c r="B114" s="162"/>
      <c r="C114" s="162"/>
      <c r="D114" s="161">
        <f t="shared" si="20"/>
        <v>2</v>
      </c>
      <c r="E114" s="163">
        <v>4212</v>
      </c>
      <c r="F114" s="164" t="s">
        <v>130</v>
      </c>
      <c r="G114" s="165">
        <v>7320482</v>
      </c>
      <c r="H114" s="165">
        <v>0</v>
      </c>
      <c r="I114" s="165">
        <v>0</v>
      </c>
      <c r="J114" s="165">
        <v>15462661</v>
      </c>
      <c r="K114" s="165">
        <v>0</v>
      </c>
      <c r="L114" s="165">
        <v>8142179</v>
      </c>
      <c r="M114" s="153"/>
      <c r="N114" s="153"/>
      <c r="O114" s="153"/>
      <c r="P114" s="166">
        <v>4212</v>
      </c>
      <c r="Q114" s="166" t="s">
        <v>310</v>
      </c>
      <c r="R114" s="167">
        <f t="shared" si="21"/>
        <v>7320482</v>
      </c>
      <c r="S114" s="167">
        <f t="shared" si="22"/>
        <v>0</v>
      </c>
      <c r="T114" s="167">
        <f t="shared" si="23"/>
        <v>0</v>
      </c>
      <c r="U114" s="167">
        <f t="shared" si="24"/>
        <v>15462661</v>
      </c>
      <c r="V114" s="167">
        <f t="shared" si="25"/>
        <v>0</v>
      </c>
      <c r="W114" s="167">
        <f t="shared" si="26"/>
        <v>8142179</v>
      </c>
    </row>
    <row r="115" spans="1:23" x14ac:dyDescent="0.45">
      <c r="A115" s="219"/>
      <c r="B115" s="220"/>
      <c r="C115" s="224" t="s">
        <v>131</v>
      </c>
      <c r="D115" s="219">
        <f t="shared" si="20"/>
        <v>1</v>
      </c>
      <c r="E115" s="221">
        <v>511</v>
      </c>
      <c r="F115" s="222" t="s">
        <v>132</v>
      </c>
      <c r="G115" s="223">
        <v>0</v>
      </c>
      <c r="H115" s="223">
        <v>0</v>
      </c>
      <c r="I115" s="223">
        <v>244520964</v>
      </c>
      <c r="J115" s="223">
        <v>244520964</v>
      </c>
      <c r="K115" s="223">
        <v>0</v>
      </c>
      <c r="L115" s="223">
        <v>0</v>
      </c>
      <c r="M115" s="153"/>
      <c r="N115" s="153"/>
      <c r="O115" s="153"/>
      <c r="P115" s="225">
        <v>511</v>
      </c>
      <c r="Q115" s="225" t="s">
        <v>311</v>
      </c>
      <c r="R115" s="226">
        <f t="shared" si="21"/>
        <v>0</v>
      </c>
      <c r="S115" s="226">
        <f t="shared" si="22"/>
        <v>0</v>
      </c>
      <c r="T115" s="226">
        <f t="shared" si="23"/>
        <v>244520964</v>
      </c>
      <c r="U115" s="226">
        <f t="shared" si="24"/>
        <v>244520964</v>
      </c>
      <c r="V115" s="226">
        <f t="shared" si="25"/>
        <v>0</v>
      </c>
      <c r="W115" s="226">
        <f t="shared" si="26"/>
        <v>0</v>
      </c>
    </row>
    <row r="116" spans="1:23" x14ac:dyDescent="0.45">
      <c r="A116" s="161"/>
      <c r="B116" s="162"/>
      <c r="C116" s="162"/>
      <c r="D116" s="161">
        <f t="shared" si="20"/>
        <v>2</v>
      </c>
      <c r="E116" s="163">
        <v>5111</v>
      </c>
      <c r="F116" s="164" t="s">
        <v>133</v>
      </c>
      <c r="G116" s="165">
        <v>0</v>
      </c>
      <c r="H116" s="165">
        <v>0</v>
      </c>
      <c r="I116" s="165">
        <v>0</v>
      </c>
      <c r="J116" s="165">
        <v>0</v>
      </c>
      <c r="K116" s="165">
        <v>0</v>
      </c>
      <c r="L116" s="165">
        <v>0</v>
      </c>
      <c r="M116" s="153"/>
      <c r="N116" s="153"/>
      <c r="O116" s="153"/>
      <c r="P116" s="166">
        <v>5111</v>
      </c>
      <c r="Q116" s="166" t="s">
        <v>312</v>
      </c>
      <c r="R116" s="167">
        <f t="shared" si="21"/>
        <v>0</v>
      </c>
      <c r="S116" s="167">
        <f t="shared" si="22"/>
        <v>0</v>
      </c>
      <c r="T116" s="167">
        <f t="shared" si="23"/>
        <v>0</v>
      </c>
      <c r="U116" s="167">
        <f t="shared" si="24"/>
        <v>0</v>
      </c>
      <c r="V116" s="167">
        <f t="shared" si="25"/>
        <v>0</v>
      </c>
      <c r="W116" s="167">
        <f t="shared" si="26"/>
        <v>0</v>
      </c>
    </row>
    <row r="117" spans="1:23" x14ac:dyDescent="0.45">
      <c r="A117" s="161"/>
      <c r="B117" s="162"/>
      <c r="C117" s="162"/>
      <c r="D117" s="161">
        <f t="shared" si="20"/>
        <v>2</v>
      </c>
      <c r="E117" s="163">
        <v>5112</v>
      </c>
      <c r="F117" s="164" t="s">
        <v>134</v>
      </c>
      <c r="G117" s="165">
        <v>0</v>
      </c>
      <c r="H117" s="165">
        <v>0</v>
      </c>
      <c r="I117" s="165">
        <v>0</v>
      </c>
      <c r="J117" s="165">
        <v>0</v>
      </c>
      <c r="K117" s="165">
        <v>0</v>
      </c>
      <c r="L117" s="165">
        <v>0</v>
      </c>
      <c r="M117" s="153"/>
      <c r="N117" s="153"/>
      <c r="O117" s="153"/>
      <c r="P117" s="166">
        <v>5112</v>
      </c>
      <c r="Q117" s="166" t="s">
        <v>313</v>
      </c>
      <c r="R117" s="167">
        <f t="shared" si="21"/>
        <v>0</v>
      </c>
      <c r="S117" s="167">
        <f t="shared" si="22"/>
        <v>0</v>
      </c>
      <c r="T117" s="167">
        <f t="shared" si="23"/>
        <v>0</v>
      </c>
      <c r="U117" s="167">
        <f t="shared" si="24"/>
        <v>0</v>
      </c>
      <c r="V117" s="167">
        <f t="shared" si="25"/>
        <v>0</v>
      </c>
      <c r="W117" s="167">
        <f t="shared" si="26"/>
        <v>0</v>
      </c>
    </row>
    <row r="118" spans="1:23" x14ac:dyDescent="0.45">
      <c r="A118" s="161"/>
      <c r="B118" s="162"/>
      <c r="C118" s="162"/>
      <c r="D118" s="161">
        <f t="shared" si="20"/>
        <v>2</v>
      </c>
      <c r="E118" s="163">
        <v>5113</v>
      </c>
      <c r="F118" s="164" t="s">
        <v>135</v>
      </c>
      <c r="G118" s="165">
        <v>0</v>
      </c>
      <c r="H118" s="165">
        <v>0</v>
      </c>
      <c r="I118" s="165">
        <v>244520964</v>
      </c>
      <c r="J118" s="165">
        <v>244520964</v>
      </c>
      <c r="K118" s="165">
        <v>0</v>
      </c>
      <c r="L118" s="165">
        <v>0</v>
      </c>
      <c r="M118" s="153"/>
      <c r="N118" s="153"/>
      <c r="O118" s="153"/>
      <c r="P118" s="166">
        <v>5113</v>
      </c>
      <c r="Q118" s="166" t="s">
        <v>314</v>
      </c>
      <c r="R118" s="167">
        <f t="shared" si="21"/>
        <v>0</v>
      </c>
      <c r="S118" s="167">
        <f t="shared" si="22"/>
        <v>0</v>
      </c>
      <c r="T118" s="167">
        <f t="shared" si="23"/>
        <v>244520964</v>
      </c>
      <c r="U118" s="167">
        <f t="shared" si="24"/>
        <v>244520964</v>
      </c>
      <c r="V118" s="167">
        <f t="shared" si="25"/>
        <v>0</v>
      </c>
      <c r="W118" s="167">
        <f t="shared" si="26"/>
        <v>0</v>
      </c>
    </row>
    <row r="119" spans="1:23" x14ac:dyDescent="0.45">
      <c r="A119" s="161"/>
      <c r="B119" s="162"/>
      <c r="C119" s="162"/>
      <c r="D119" s="161">
        <f t="shared" si="20"/>
        <v>2</v>
      </c>
      <c r="E119" s="163">
        <v>5118</v>
      </c>
      <c r="F119" s="164" t="s">
        <v>136</v>
      </c>
      <c r="G119" s="165">
        <v>0</v>
      </c>
      <c r="H119" s="165">
        <v>0</v>
      </c>
      <c r="I119" s="165">
        <v>0</v>
      </c>
      <c r="J119" s="165">
        <v>0</v>
      </c>
      <c r="K119" s="165">
        <v>0</v>
      </c>
      <c r="L119" s="165">
        <v>0</v>
      </c>
      <c r="M119" s="153"/>
      <c r="N119" s="153"/>
      <c r="O119" s="153"/>
      <c r="P119" s="166">
        <v>5118</v>
      </c>
      <c r="Q119" s="166" t="s">
        <v>315</v>
      </c>
      <c r="R119" s="167">
        <f t="shared" si="21"/>
        <v>0</v>
      </c>
      <c r="S119" s="167">
        <f t="shared" si="22"/>
        <v>0</v>
      </c>
      <c r="T119" s="167">
        <f t="shared" si="23"/>
        <v>0</v>
      </c>
      <c r="U119" s="167">
        <f t="shared" si="24"/>
        <v>0</v>
      </c>
      <c r="V119" s="167">
        <f t="shared" si="25"/>
        <v>0</v>
      </c>
      <c r="W119" s="167">
        <f t="shared" si="26"/>
        <v>0</v>
      </c>
    </row>
    <row r="120" spans="1:23" x14ac:dyDescent="0.45">
      <c r="A120" s="219"/>
      <c r="B120" s="220"/>
      <c r="C120" s="224" t="s">
        <v>137</v>
      </c>
      <c r="D120" s="219">
        <f t="shared" si="20"/>
        <v>1</v>
      </c>
      <c r="E120" s="221">
        <v>515</v>
      </c>
      <c r="F120" s="222" t="s">
        <v>138</v>
      </c>
      <c r="G120" s="223">
        <v>0</v>
      </c>
      <c r="H120" s="223">
        <v>0</v>
      </c>
      <c r="I120" s="223">
        <v>161</v>
      </c>
      <c r="J120" s="223">
        <v>161</v>
      </c>
      <c r="K120" s="223">
        <v>0</v>
      </c>
      <c r="L120" s="223">
        <v>0</v>
      </c>
      <c r="M120" s="153"/>
      <c r="N120" s="153"/>
      <c r="O120" s="153"/>
      <c r="P120" s="225">
        <v>515</v>
      </c>
      <c r="Q120" s="225" t="s">
        <v>316</v>
      </c>
      <c r="R120" s="226">
        <f t="shared" si="21"/>
        <v>0</v>
      </c>
      <c r="S120" s="226">
        <f t="shared" si="22"/>
        <v>0</v>
      </c>
      <c r="T120" s="226">
        <f t="shared" si="23"/>
        <v>161</v>
      </c>
      <c r="U120" s="226">
        <f t="shared" si="24"/>
        <v>161</v>
      </c>
      <c r="V120" s="226">
        <f t="shared" si="25"/>
        <v>0</v>
      </c>
      <c r="W120" s="226">
        <f t="shared" si="26"/>
        <v>0</v>
      </c>
    </row>
    <row r="121" spans="1:23" x14ac:dyDescent="0.45">
      <c r="A121" s="219"/>
      <c r="B121" s="220"/>
      <c r="C121" s="220"/>
      <c r="D121" s="219">
        <f t="shared" si="20"/>
        <v>1</v>
      </c>
      <c r="E121" s="221">
        <v>611</v>
      </c>
      <c r="F121" s="222" t="s">
        <v>139</v>
      </c>
      <c r="G121" s="223">
        <v>0</v>
      </c>
      <c r="H121" s="223">
        <v>0</v>
      </c>
      <c r="I121" s="223">
        <v>0</v>
      </c>
      <c r="J121" s="223">
        <v>0</v>
      </c>
      <c r="K121" s="223">
        <v>0</v>
      </c>
      <c r="L121" s="223">
        <v>0</v>
      </c>
      <c r="M121" s="153"/>
      <c r="N121" s="153"/>
      <c r="O121" s="153"/>
      <c r="P121" s="225">
        <v>611</v>
      </c>
      <c r="Q121" s="225" t="s">
        <v>317</v>
      </c>
      <c r="R121" s="226">
        <f t="shared" si="21"/>
        <v>0</v>
      </c>
      <c r="S121" s="226">
        <f t="shared" si="22"/>
        <v>0</v>
      </c>
      <c r="T121" s="226">
        <f t="shared" si="23"/>
        <v>0</v>
      </c>
      <c r="U121" s="226">
        <f t="shared" si="24"/>
        <v>0</v>
      </c>
      <c r="V121" s="226">
        <f t="shared" si="25"/>
        <v>0</v>
      </c>
      <c r="W121" s="226">
        <f t="shared" si="26"/>
        <v>0</v>
      </c>
    </row>
    <row r="122" spans="1:23" x14ac:dyDescent="0.45">
      <c r="A122" s="219"/>
      <c r="B122" s="220"/>
      <c r="C122" s="220"/>
      <c r="D122" s="219">
        <f t="shared" si="20"/>
        <v>1</v>
      </c>
      <c r="E122" s="221">
        <v>631</v>
      </c>
      <c r="F122" s="222" t="s">
        <v>140</v>
      </c>
      <c r="G122" s="223">
        <v>0</v>
      </c>
      <c r="H122" s="223">
        <v>0</v>
      </c>
      <c r="I122" s="223">
        <v>0</v>
      </c>
      <c r="J122" s="223">
        <v>0</v>
      </c>
      <c r="K122" s="223">
        <v>0</v>
      </c>
      <c r="L122" s="223">
        <v>0</v>
      </c>
      <c r="M122" s="153"/>
      <c r="N122" s="153"/>
      <c r="O122" s="153"/>
      <c r="P122" s="225">
        <v>631</v>
      </c>
      <c r="Q122" s="225" t="s">
        <v>318</v>
      </c>
      <c r="R122" s="226">
        <f t="shared" si="21"/>
        <v>0</v>
      </c>
      <c r="S122" s="226">
        <f t="shared" si="22"/>
        <v>0</v>
      </c>
      <c r="T122" s="226">
        <f t="shared" si="23"/>
        <v>0</v>
      </c>
      <c r="U122" s="226">
        <f t="shared" si="24"/>
        <v>0</v>
      </c>
      <c r="V122" s="226">
        <f t="shared" si="25"/>
        <v>0</v>
      </c>
      <c r="W122" s="226">
        <f t="shared" si="26"/>
        <v>0</v>
      </c>
    </row>
    <row r="123" spans="1:23" x14ac:dyDescent="0.45">
      <c r="A123" s="219"/>
      <c r="B123" s="220"/>
      <c r="C123" s="224" t="s">
        <v>141</v>
      </c>
      <c r="D123" s="219">
        <f t="shared" si="20"/>
        <v>1</v>
      </c>
      <c r="E123" s="221">
        <v>632</v>
      </c>
      <c r="F123" s="222" t="s">
        <v>142</v>
      </c>
      <c r="G123" s="223">
        <v>0</v>
      </c>
      <c r="H123" s="223">
        <v>0</v>
      </c>
      <c r="I123" s="223">
        <v>183572894</v>
      </c>
      <c r="J123" s="223">
        <v>183572894</v>
      </c>
      <c r="K123" s="223">
        <v>0</v>
      </c>
      <c r="L123" s="223">
        <v>0</v>
      </c>
      <c r="M123" s="153"/>
      <c r="N123" s="153"/>
      <c r="O123" s="153"/>
      <c r="P123" s="225">
        <v>632</v>
      </c>
      <c r="Q123" s="225" t="s">
        <v>319</v>
      </c>
      <c r="R123" s="226">
        <f t="shared" si="21"/>
        <v>0</v>
      </c>
      <c r="S123" s="226">
        <f t="shared" si="22"/>
        <v>0</v>
      </c>
      <c r="T123" s="226">
        <f t="shared" si="23"/>
        <v>183572894</v>
      </c>
      <c r="U123" s="226">
        <f t="shared" si="24"/>
        <v>183572894</v>
      </c>
      <c r="V123" s="226">
        <f t="shared" si="25"/>
        <v>0</v>
      </c>
      <c r="W123" s="226">
        <f t="shared" si="26"/>
        <v>0</v>
      </c>
    </row>
    <row r="124" spans="1:23" x14ac:dyDescent="0.45">
      <c r="A124" s="219"/>
      <c r="B124" s="220"/>
      <c r="C124" s="224" t="s">
        <v>143</v>
      </c>
      <c r="D124" s="219">
        <f t="shared" si="20"/>
        <v>1</v>
      </c>
      <c r="E124" s="221">
        <v>635</v>
      </c>
      <c r="F124" s="222" t="s">
        <v>144</v>
      </c>
      <c r="G124" s="223">
        <v>0</v>
      </c>
      <c r="H124" s="223">
        <v>0</v>
      </c>
      <c r="I124" s="223">
        <v>2573376</v>
      </c>
      <c r="J124" s="223">
        <v>2573376</v>
      </c>
      <c r="K124" s="223">
        <v>0</v>
      </c>
      <c r="L124" s="223">
        <v>0</v>
      </c>
      <c r="M124" s="153"/>
      <c r="N124" s="153"/>
      <c r="O124" s="153"/>
      <c r="P124" s="225">
        <v>635</v>
      </c>
      <c r="Q124" s="225" t="s">
        <v>320</v>
      </c>
      <c r="R124" s="226">
        <f t="shared" si="21"/>
        <v>0</v>
      </c>
      <c r="S124" s="226">
        <f t="shared" si="22"/>
        <v>0</v>
      </c>
      <c r="T124" s="226">
        <f t="shared" si="23"/>
        <v>2573376</v>
      </c>
      <c r="U124" s="226">
        <f t="shared" si="24"/>
        <v>2573376</v>
      </c>
      <c r="V124" s="226">
        <f t="shared" si="25"/>
        <v>0</v>
      </c>
      <c r="W124" s="226">
        <f t="shared" si="26"/>
        <v>0</v>
      </c>
    </row>
    <row r="125" spans="1:23" x14ac:dyDescent="0.45">
      <c r="A125" s="219"/>
      <c r="B125" s="220"/>
      <c r="C125" s="224" t="s">
        <v>145</v>
      </c>
      <c r="D125" s="219">
        <f t="shared" si="20"/>
        <v>1</v>
      </c>
      <c r="E125" s="221">
        <v>642</v>
      </c>
      <c r="F125" s="222" t="s">
        <v>146</v>
      </c>
      <c r="G125" s="223">
        <v>0</v>
      </c>
      <c r="H125" s="223">
        <v>0</v>
      </c>
      <c r="I125" s="223">
        <v>46432205</v>
      </c>
      <c r="J125" s="223">
        <v>46432205</v>
      </c>
      <c r="K125" s="223">
        <v>0</v>
      </c>
      <c r="L125" s="223">
        <v>0</v>
      </c>
      <c r="M125" s="153"/>
      <c r="N125" s="153"/>
      <c r="O125" s="153"/>
      <c r="P125" s="225">
        <v>642</v>
      </c>
      <c r="Q125" s="225" t="s">
        <v>321</v>
      </c>
      <c r="R125" s="226">
        <f t="shared" si="21"/>
        <v>0</v>
      </c>
      <c r="S125" s="226">
        <f t="shared" si="22"/>
        <v>0</v>
      </c>
      <c r="T125" s="226">
        <f t="shared" si="23"/>
        <v>46432205</v>
      </c>
      <c r="U125" s="226">
        <f t="shared" si="24"/>
        <v>46432205</v>
      </c>
      <c r="V125" s="226">
        <f t="shared" si="25"/>
        <v>0</v>
      </c>
      <c r="W125" s="226">
        <f t="shared" si="26"/>
        <v>0</v>
      </c>
    </row>
    <row r="126" spans="1:23" x14ac:dyDescent="0.45">
      <c r="A126" s="161"/>
      <c r="B126" s="162"/>
      <c r="C126" s="162"/>
      <c r="D126" s="161">
        <f t="shared" si="20"/>
        <v>2</v>
      </c>
      <c r="E126" s="163">
        <v>6421</v>
      </c>
      <c r="F126" s="164" t="s">
        <v>147</v>
      </c>
      <c r="G126" s="165">
        <v>0</v>
      </c>
      <c r="H126" s="165">
        <v>0</v>
      </c>
      <c r="I126" s="165">
        <v>46432205</v>
      </c>
      <c r="J126" s="165">
        <v>46432205</v>
      </c>
      <c r="K126" s="165">
        <v>0</v>
      </c>
      <c r="L126" s="165">
        <v>0</v>
      </c>
      <c r="M126" s="153"/>
      <c r="N126" s="153"/>
      <c r="O126" s="153"/>
      <c r="P126" s="166">
        <v>6421</v>
      </c>
      <c r="Q126" s="166" t="s">
        <v>322</v>
      </c>
      <c r="R126" s="167">
        <f t="shared" si="21"/>
        <v>0</v>
      </c>
      <c r="S126" s="167">
        <f t="shared" si="22"/>
        <v>0</v>
      </c>
      <c r="T126" s="167">
        <f t="shared" si="23"/>
        <v>46432205</v>
      </c>
      <c r="U126" s="167">
        <f t="shared" si="24"/>
        <v>46432205</v>
      </c>
      <c r="V126" s="167">
        <f t="shared" si="25"/>
        <v>0</v>
      </c>
      <c r="W126" s="167">
        <f t="shared" si="26"/>
        <v>0</v>
      </c>
    </row>
    <row r="127" spans="1:23" x14ac:dyDescent="0.45">
      <c r="A127" s="161"/>
      <c r="B127" s="162"/>
      <c r="C127" s="172"/>
      <c r="D127" s="161">
        <f t="shared" si="20"/>
        <v>2</v>
      </c>
      <c r="E127" s="163">
        <v>6422</v>
      </c>
      <c r="F127" s="164" t="s">
        <v>148</v>
      </c>
      <c r="G127" s="165">
        <v>0</v>
      </c>
      <c r="H127" s="165">
        <v>0</v>
      </c>
      <c r="I127" s="165">
        <v>0</v>
      </c>
      <c r="J127" s="165">
        <v>0</v>
      </c>
      <c r="K127" s="165">
        <v>0</v>
      </c>
      <c r="L127" s="165">
        <v>0</v>
      </c>
      <c r="M127" s="153"/>
      <c r="N127" s="153"/>
      <c r="O127" s="153"/>
      <c r="P127" s="166">
        <v>6422</v>
      </c>
      <c r="Q127" s="166" t="s">
        <v>323</v>
      </c>
      <c r="R127" s="167">
        <f t="shared" si="21"/>
        <v>0</v>
      </c>
      <c r="S127" s="167">
        <f t="shared" si="22"/>
        <v>0</v>
      </c>
      <c r="T127" s="167">
        <f t="shared" si="23"/>
        <v>0</v>
      </c>
      <c r="U127" s="167">
        <f t="shared" si="24"/>
        <v>0</v>
      </c>
      <c r="V127" s="167">
        <f t="shared" si="25"/>
        <v>0</v>
      </c>
      <c r="W127" s="167">
        <f t="shared" si="26"/>
        <v>0</v>
      </c>
    </row>
    <row r="128" spans="1:23" x14ac:dyDescent="0.45">
      <c r="A128" s="219"/>
      <c r="B128" s="220"/>
      <c r="C128" s="224" t="s">
        <v>149</v>
      </c>
      <c r="D128" s="219">
        <f t="shared" si="20"/>
        <v>1</v>
      </c>
      <c r="E128" s="221">
        <v>711</v>
      </c>
      <c r="F128" s="222" t="s">
        <v>150</v>
      </c>
      <c r="G128" s="223">
        <v>0</v>
      </c>
      <c r="H128" s="223">
        <v>0</v>
      </c>
      <c r="I128" s="223">
        <v>5555556</v>
      </c>
      <c r="J128" s="223">
        <v>5555556</v>
      </c>
      <c r="K128" s="223">
        <v>0</v>
      </c>
      <c r="L128" s="223">
        <v>0</v>
      </c>
      <c r="M128" s="153"/>
      <c r="N128" s="153"/>
      <c r="O128" s="153"/>
      <c r="P128" s="225">
        <v>711</v>
      </c>
      <c r="Q128" s="225" t="s">
        <v>324</v>
      </c>
      <c r="R128" s="226">
        <f t="shared" si="21"/>
        <v>0</v>
      </c>
      <c r="S128" s="226">
        <f t="shared" si="22"/>
        <v>0</v>
      </c>
      <c r="T128" s="226">
        <f t="shared" si="23"/>
        <v>5555556</v>
      </c>
      <c r="U128" s="226">
        <f t="shared" si="24"/>
        <v>5555556</v>
      </c>
      <c r="V128" s="226">
        <f t="shared" si="25"/>
        <v>0</v>
      </c>
      <c r="W128" s="226">
        <f t="shared" si="26"/>
        <v>0</v>
      </c>
    </row>
    <row r="129" spans="1:23" x14ac:dyDescent="0.45">
      <c r="A129" s="219"/>
      <c r="B129" s="220"/>
      <c r="C129" s="224" t="s">
        <v>151</v>
      </c>
      <c r="D129" s="219">
        <f t="shared" si="20"/>
        <v>1</v>
      </c>
      <c r="E129" s="221">
        <v>811</v>
      </c>
      <c r="F129" s="222" t="s">
        <v>152</v>
      </c>
      <c r="G129" s="223">
        <v>0</v>
      </c>
      <c r="H129" s="223">
        <v>0</v>
      </c>
      <c r="I129" s="223">
        <v>7540197</v>
      </c>
      <c r="J129" s="223">
        <v>7540197</v>
      </c>
      <c r="K129" s="223">
        <v>0</v>
      </c>
      <c r="L129" s="223">
        <v>0</v>
      </c>
      <c r="M129" s="153"/>
      <c r="N129" s="153"/>
      <c r="O129" s="153"/>
      <c r="P129" s="225">
        <v>811</v>
      </c>
      <c r="Q129" s="225" t="s">
        <v>325</v>
      </c>
      <c r="R129" s="226">
        <f t="shared" si="21"/>
        <v>0</v>
      </c>
      <c r="S129" s="226">
        <f t="shared" si="22"/>
        <v>0</v>
      </c>
      <c r="T129" s="226">
        <f t="shared" si="23"/>
        <v>7540197</v>
      </c>
      <c r="U129" s="226">
        <f t="shared" si="24"/>
        <v>7540197</v>
      </c>
      <c r="V129" s="226">
        <f t="shared" si="25"/>
        <v>0</v>
      </c>
      <c r="W129" s="226">
        <f t="shared" si="26"/>
        <v>0</v>
      </c>
    </row>
    <row r="130" spans="1:23" x14ac:dyDescent="0.45">
      <c r="A130" s="219"/>
      <c r="B130" s="220"/>
      <c r="C130" s="224" t="s">
        <v>153</v>
      </c>
      <c r="D130" s="219">
        <f t="shared" si="20"/>
        <v>1</v>
      </c>
      <c r="E130" s="221">
        <v>821</v>
      </c>
      <c r="F130" s="222" t="s">
        <v>154</v>
      </c>
      <c r="G130" s="223">
        <v>0</v>
      </c>
      <c r="H130" s="223">
        <v>0</v>
      </c>
      <c r="I130" s="223">
        <v>2035545</v>
      </c>
      <c r="J130" s="223">
        <v>2035545</v>
      </c>
      <c r="K130" s="223">
        <v>0</v>
      </c>
      <c r="L130" s="223">
        <v>0</v>
      </c>
      <c r="M130" s="153"/>
      <c r="N130" s="153"/>
      <c r="O130" s="153"/>
      <c r="P130" s="225">
        <v>821</v>
      </c>
      <c r="Q130" s="225" t="s">
        <v>326</v>
      </c>
      <c r="R130" s="226">
        <f t="shared" si="21"/>
        <v>0</v>
      </c>
      <c r="S130" s="226">
        <f t="shared" si="22"/>
        <v>0</v>
      </c>
      <c r="T130" s="226">
        <f t="shared" si="23"/>
        <v>2035545</v>
      </c>
      <c r="U130" s="226">
        <f t="shared" si="24"/>
        <v>2035545</v>
      </c>
      <c r="V130" s="226">
        <f t="shared" si="25"/>
        <v>0</v>
      </c>
      <c r="W130" s="226">
        <f t="shared" si="26"/>
        <v>0</v>
      </c>
    </row>
    <row r="131" spans="1:23" x14ac:dyDescent="0.45">
      <c r="A131" s="219"/>
      <c r="B131" s="220"/>
      <c r="C131" s="220"/>
      <c r="D131" s="219">
        <f t="shared" si="20"/>
        <v>1</v>
      </c>
      <c r="E131" s="221">
        <v>911</v>
      </c>
      <c r="F131" s="222" t="s">
        <v>155</v>
      </c>
      <c r="G131" s="223">
        <v>0</v>
      </c>
      <c r="H131" s="223">
        <v>0</v>
      </c>
      <c r="I131" s="223">
        <v>250076681</v>
      </c>
      <c r="J131" s="223">
        <v>250076681</v>
      </c>
      <c r="K131" s="223">
        <v>0</v>
      </c>
      <c r="L131" s="223">
        <v>0</v>
      </c>
      <c r="M131" s="153"/>
      <c r="N131" s="153"/>
      <c r="O131" s="153"/>
      <c r="P131" s="225">
        <v>911</v>
      </c>
      <c r="Q131" s="225" t="s">
        <v>327</v>
      </c>
      <c r="R131" s="226">
        <f t="shared" si="21"/>
        <v>0</v>
      </c>
      <c r="S131" s="226">
        <f t="shared" si="22"/>
        <v>0</v>
      </c>
      <c r="T131" s="226">
        <f t="shared" si="23"/>
        <v>250076681</v>
      </c>
      <c r="U131" s="226">
        <f t="shared" si="24"/>
        <v>250076681</v>
      </c>
      <c r="V131" s="226">
        <f t="shared" si="25"/>
        <v>0</v>
      </c>
      <c r="W131" s="226">
        <f t="shared" si="26"/>
        <v>0</v>
      </c>
    </row>
    <row r="132" spans="1:23" x14ac:dyDescent="0.45">
      <c r="A132" s="173"/>
      <c r="B132" s="174"/>
      <c r="C132" s="174"/>
      <c r="D132" s="173"/>
      <c r="E132" s="252" t="s">
        <v>1794</v>
      </c>
      <c r="F132" s="158" t="s">
        <v>375</v>
      </c>
      <c r="G132" s="175">
        <f>G8</f>
        <v>505015463</v>
      </c>
      <c r="H132" s="175">
        <f t="shared" ref="H132:L132" si="27">H8</f>
        <v>505015463</v>
      </c>
      <c r="I132" s="175">
        <f t="shared" si="27"/>
        <v>2698057779</v>
      </c>
      <c r="J132" s="175">
        <f t="shared" si="27"/>
        <v>2698057779</v>
      </c>
      <c r="K132" s="175">
        <f t="shared" si="27"/>
        <v>806234100</v>
      </c>
      <c r="L132" s="175">
        <f t="shared" si="27"/>
        <v>806234100</v>
      </c>
      <c r="M132" s="153"/>
      <c r="N132" s="153"/>
      <c r="O132" s="153"/>
      <c r="P132" s="176"/>
      <c r="Q132" s="159" t="s">
        <v>328</v>
      </c>
      <c r="R132" s="175">
        <f t="shared" si="21"/>
        <v>505015463</v>
      </c>
      <c r="S132" s="175">
        <f t="shared" si="22"/>
        <v>505015463</v>
      </c>
      <c r="T132" s="175">
        <f t="shared" si="23"/>
        <v>2698057779</v>
      </c>
      <c r="U132" s="175">
        <f t="shared" si="24"/>
        <v>2698057779</v>
      </c>
      <c r="V132" s="175">
        <f t="shared" si="25"/>
        <v>806234100</v>
      </c>
      <c r="W132" s="175">
        <f t="shared" si="26"/>
        <v>806234100</v>
      </c>
    </row>
  </sheetData>
  <autoFilter ref="A8:L131" xr:uid="{00000000-0009-0000-0000-000007000000}"/>
  <mergeCells count="12">
    <mergeCell ref="K6:L6"/>
    <mergeCell ref="D6:D7"/>
    <mergeCell ref="F6:F7"/>
    <mergeCell ref="E6:E7"/>
    <mergeCell ref="A6:C6"/>
    <mergeCell ref="G6:H6"/>
    <mergeCell ref="I6:J6"/>
    <mergeCell ref="R6:S6"/>
    <mergeCell ref="T6:U6"/>
    <mergeCell ref="V6:W6"/>
    <mergeCell ref="Q6:Q7"/>
    <mergeCell ref="P6:P7"/>
  </mergeCells>
  <conditionalFormatting sqref="G8:H8">
    <cfRule type="duplicateValues" dxfId="2" priority="3"/>
  </conditionalFormatting>
  <conditionalFormatting sqref="I8:J8">
    <cfRule type="duplicateValues" dxfId="1" priority="2"/>
  </conditionalFormatting>
  <conditionalFormatting sqref="K8:L8">
    <cfRule type="duplicateValues" dxfId="0" priority="1"/>
  </conditionalFormatting>
  <pageMargins left="0.7" right="0.7" top="0.75" bottom="0.75" header="0.3" footer="0.3"/>
  <pageSetup paperSize="9" scale="93" fitToHeight="0" orientation="landscape" r:id="rId1"/>
  <ignoredErrors>
    <ignoredError sqref="B19:B30" numberStoredAsText="1"/>
  </ignoredErrors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rgb="FF7030A0"/>
  </sheetPr>
  <dimension ref="C1:AJ53"/>
  <sheetViews>
    <sheetView showGridLines="0" topLeftCell="C1" zoomScale="115" workbookViewId="0">
      <selection activeCell="G18" sqref="G18"/>
    </sheetView>
  </sheetViews>
  <sheetFormatPr defaultColWidth="9.265625" defaultRowHeight="13.5" x14ac:dyDescent="0.35"/>
  <cols>
    <col min="1" max="3" width="9.265625" style="319"/>
    <col min="4" max="4" width="58.265625" style="319" customWidth="1"/>
    <col min="5" max="5" width="9.73046875" style="320" customWidth="1"/>
    <col min="6" max="6" width="12.73046875" style="319" customWidth="1"/>
    <col min="7" max="7" width="13.86328125" style="319" customWidth="1"/>
    <col min="8" max="8" width="15.1328125" style="319" customWidth="1"/>
    <col min="9" max="9" width="23.73046875" style="319" customWidth="1"/>
    <col min="10" max="10" width="25.59765625" style="319" customWidth="1"/>
    <col min="11" max="11" width="17.73046875" style="319" customWidth="1"/>
    <col min="12" max="12" width="7" style="319" customWidth="1"/>
    <col min="13" max="13" width="46.59765625" style="153" customWidth="1"/>
    <col min="14" max="14" width="11.1328125" style="153" customWidth="1"/>
    <col min="15" max="16" width="12.73046875" style="153" customWidth="1"/>
    <col min="17" max="17" width="15.1328125" style="153" customWidth="1"/>
    <col min="18" max="18" width="14.265625" style="392" customWidth="1"/>
    <col min="19" max="36" width="9.265625" style="392"/>
    <col min="37" max="16384" width="9.265625" style="319"/>
  </cols>
  <sheetData>
    <row r="1" spans="4:20" ht="19.5" x14ac:dyDescent="0.6">
      <c r="D1" s="326" t="str">
        <f>MAIN!D7</f>
        <v>Công ty TNHH phát triển công nghệ thực phẩm YABEI</v>
      </c>
    </row>
    <row r="2" spans="4:20" ht="50.85" customHeight="1" thickBot="1" x14ac:dyDescent="0.65">
      <c r="D2" s="1" t="s">
        <v>1835</v>
      </c>
      <c r="E2" s="25" t="s">
        <v>1038</v>
      </c>
      <c r="F2" s="7">
        <v>2020</v>
      </c>
      <c r="G2" s="1"/>
      <c r="H2" s="266">
        <f ca="1">NOW()</f>
        <v>45942.488246990739</v>
      </c>
    </row>
    <row r="3" spans="4:20" ht="14.65" thickTop="1" x14ac:dyDescent="0.45">
      <c r="K3"/>
      <c r="L3"/>
      <c r="M3"/>
      <c r="N3"/>
      <c r="O3"/>
      <c r="P3"/>
      <c r="Q3"/>
      <c r="R3"/>
    </row>
    <row r="4" spans="4:20" ht="14.25" x14ac:dyDescent="0.45">
      <c r="K4"/>
      <c r="L4"/>
      <c r="M4"/>
      <c r="N4"/>
      <c r="O4"/>
      <c r="P4"/>
      <c r="Q4"/>
      <c r="R4"/>
    </row>
    <row r="5" spans="4:20" ht="24" customHeight="1" x14ac:dyDescent="0.45">
      <c r="D5" s="311" t="s">
        <v>1047</v>
      </c>
      <c r="E5" s="312" t="s">
        <v>157</v>
      </c>
      <c r="F5" s="312" t="s">
        <v>158</v>
      </c>
      <c r="G5" s="313" t="s">
        <v>336</v>
      </c>
      <c r="H5" s="314" t="s">
        <v>337</v>
      </c>
      <c r="I5" s="496" t="s">
        <v>2584</v>
      </c>
      <c r="J5" s="497"/>
      <c r="K5"/>
      <c r="L5"/>
      <c r="M5"/>
      <c r="N5"/>
      <c r="O5"/>
      <c r="P5"/>
      <c r="Q5"/>
      <c r="R5"/>
      <c r="S5" s="395"/>
      <c r="T5" s="395"/>
    </row>
    <row r="6" spans="4:20" ht="14.25" x14ac:dyDescent="0.45">
      <c r="D6" s="315" t="s">
        <v>1052</v>
      </c>
      <c r="E6" s="316" t="s">
        <v>1077</v>
      </c>
      <c r="F6" s="317" t="s">
        <v>1089</v>
      </c>
      <c r="G6" s="317" t="s">
        <v>1109</v>
      </c>
      <c r="H6" s="318" t="s">
        <v>1112</v>
      </c>
      <c r="I6" s="411" t="s">
        <v>2048</v>
      </c>
      <c r="J6" s="411" t="s">
        <v>2049</v>
      </c>
      <c r="K6"/>
      <c r="L6"/>
      <c r="M6"/>
      <c r="N6"/>
      <c r="O6"/>
      <c r="P6"/>
      <c r="Q6"/>
      <c r="R6"/>
    </row>
    <row r="7" spans="4:20" ht="14.85" customHeight="1" x14ac:dyDescent="0.45">
      <c r="D7" s="301" t="s">
        <v>1808</v>
      </c>
      <c r="E7" s="302"/>
      <c r="F7" s="301"/>
      <c r="G7" s="303"/>
      <c r="H7" s="303"/>
      <c r="I7" s="412"/>
      <c r="J7" s="166"/>
      <c r="K7"/>
      <c r="L7"/>
      <c r="M7"/>
      <c r="N7"/>
      <c r="O7"/>
      <c r="P7"/>
      <c r="Q7"/>
      <c r="R7"/>
    </row>
    <row r="8" spans="4:20" ht="14.85" customHeight="1" x14ac:dyDescent="0.45">
      <c r="D8" s="295" t="s">
        <v>1809</v>
      </c>
      <c r="E8" s="321">
        <v>1</v>
      </c>
      <c r="F8" s="296"/>
      <c r="G8" s="297">
        <v>0</v>
      </c>
      <c r="H8" s="297">
        <v>0</v>
      </c>
      <c r="I8" s="412" t="s">
        <v>2585</v>
      </c>
      <c r="J8" s="166" t="s">
        <v>2586</v>
      </c>
      <c r="K8"/>
      <c r="L8"/>
      <c r="M8"/>
      <c r="N8"/>
      <c r="O8"/>
      <c r="P8"/>
      <c r="Q8"/>
      <c r="R8"/>
    </row>
    <row r="9" spans="4:20" ht="14.85" customHeight="1" x14ac:dyDescent="0.45">
      <c r="D9" s="295" t="s">
        <v>1810</v>
      </c>
      <c r="E9" s="321">
        <v>2</v>
      </c>
      <c r="F9" s="296"/>
      <c r="G9" s="297">
        <v>0</v>
      </c>
      <c r="H9" s="297">
        <v>0</v>
      </c>
      <c r="I9" s="412" t="s">
        <v>2587</v>
      </c>
      <c r="J9" s="166" t="s">
        <v>2585</v>
      </c>
      <c r="K9"/>
      <c r="L9"/>
      <c r="M9"/>
      <c r="N9"/>
      <c r="O9"/>
      <c r="P9"/>
      <c r="Q9"/>
      <c r="R9"/>
    </row>
    <row r="10" spans="4:20" ht="14.85" customHeight="1" x14ac:dyDescent="0.45">
      <c r="D10" s="295" t="s">
        <v>1811</v>
      </c>
      <c r="E10" s="321">
        <v>3</v>
      </c>
      <c r="F10" s="296"/>
      <c r="G10" s="297">
        <v>0</v>
      </c>
      <c r="H10" s="297">
        <v>0</v>
      </c>
      <c r="I10" s="412">
        <v>334</v>
      </c>
      <c r="J10" s="166" t="s">
        <v>2585</v>
      </c>
      <c r="K10"/>
      <c r="L10"/>
      <c r="M10"/>
      <c r="N10"/>
      <c r="O10"/>
      <c r="P10"/>
      <c r="Q10"/>
      <c r="R10"/>
    </row>
    <row r="11" spans="4:20" ht="14.85" customHeight="1" x14ac:dyDescent="0.45">
      <c r="D11" s="295" t="s">
        <v>1812</v>
      </c>
      <c r="E11" s="321">
        <v>4</v>
      </c>
      <c r="F11" s="296"/>
      <c r="G11" s="297">
        <v>0</v>
      </c>
      <c r="H11" s="297">
        <v>0</v>
      </c>
      <c r="I11" s="412" t="s">
        <v>2588</v>
      </c>
      <c r="J11" s="166" t="s">
        <v>2585</v>
      </c>
      <c r="K11"/>
      <c r="L11"/>
      <c r="M11"/>
      <c r="N11"/>
      <c r="O11"/>
      <c r="P11"/>
      <c r="Q11"/>
      <c r="R11"/>
    </row>
    <row r="12" spans="4:20" ht="14.85" customHeight="1" x14ac:dyDescent="0.45">
      <c r="D12" s="295" t="s">
        <v>1813</v>
      </c>
      <c r="E12" s="321">
        <v>5</v>
      </c>
      <c r="F12" s="296"/>
      <c r="G12" s="297">
        <v>0</v>
      </c>
      <c r="H12" s="297">
        <v>0</v>
      </c>
      <c r="I12" s="412">
        <v>3334</v>
      </c>
      <c r="J12" s="166" t="s">
        <v>2589</v>
      </c>
      <c r="K12"/>
      <c r="L12"/>
      <c r="M12"/>
      <c r="N12"/>
      <c r="O12"/>
      <c r="P12"/>
      <c r="Q12"/>
      <c r="R12"/>
    </row>
    <row r="13" spans="4:20" ht="14.85" customHeight="1" x14ac:dyDescent="0.45">
      <c r="D13" s="295" t="s">
        <v>1814</v>
      </c>
      <c r="E13" s="321">
        <v>6</v>
      </c>
      <c r="F13" s="296"/>
      <c r="G13" s="297">
        <v>0</v>
      </c>
      <c r="H13" s="297">
        <v>0</v>
      </c>
      <c r="I13" s="412" t="s">
        <v>2585</v>
      </c>
      <c r="J13" s="166" t="s">
        <v>2590</v>
      </c>
      <c r="K13"/>
      <c r="L13"/>
      <c r="M13"/>
      <c r="N13"/>
      <c r="O13"/>
      <c r="P13"/>
      <c r="Q13"/>
      <c r="R13"/>
    </row>
    <row r="14" spans="4:20" ht="14.85" customHeight="1" x14ac:dyDescent="0.45">
      <c r="D14" s="295" t="s">
        <v>1815</v>
      </c>
      <c r="E14" s="321">
        <v>7</v>
      </c>
      <c r="F14" s="296"/>
      <c r="G14" s="297">
        <v>0</v>
      </c>
      <c r="H14" s="297">
        <v>0</v>
      </c>
      <c r="I14" s="412" t="s">
        <v>2591</v>
      </c>
      <c r="J14" s="166" t="s">
        <v>2585</v>
      </c>
      <c r="K14"/>
      <c r="L14"/>
      <c r="M14"/>
      <c r="N14"/>
      <c r="O14"/>
      <c r="P14"/>
      <c r="Q14"/>
      <c r="R14"/>
    </row>
    <row r="15" spans="4:20" ht="14.85" customHeight="1" x14ac:dyDescent="0.45">
      <c r="D15" s="304" t="s">
        <v>1816</v>
      </c>
      <c r="E15" s="325">
        <v>20</v>
      </c>
      <c r="F15" s="305"/>
      <c r="G15" s="306">
        <v>0</v>
      </c>
      <c r="H15" s="306">
        <v>0</v>
      </c>
      <c r="I15" s="412"/>
      <c r="J15" s="166"/>
      <c r="K15"/>
      <c r="L15"/>
      <c r="M15"/>
      <c r="N15"/>
      <c r="O15"/>
      <c r="P15"/>
      <c r="Q15"/>
      <c r="R15"/>
    </row>
    <row r="16" spans="4:20" ht="14.85" customHeight="1" x14ac:dyDescent="0.45">
      <c r="D16" s="301" t="s">
        <v>1817</v>
      </c>
      <c r="E16" s="322"/>
      <c r="F16" s="301"/>
      <c r="G16" s="307"/>
      <c r="H16" s="307"/>
      <c r="I16" s="412"/>
      <c r="J16" s="166"/>
      <c r="K16"/>
      <c r="L16"/>
      <c r="M16"/>
      <c r="N16"/>
      <c r="O16"/>
      <c r="P16"/>
      <c r="Q16"/>
      <c r="R16"/>
    </row>
    <row r="17" spans="4:18" ht="14.85" customHeight="1" x14ac:dyDescent="0.45">
      <c r="D17" s="295" t="s">
        <v>1818</v>
      </c>
      <c r="E17" s="323">
        <v>21</v>
      </c>
      <c r="F17" s="296"/>
      <c r="G17" s="297">
        <v>0</v>
      </c>
      <c r="H17" s="297">
        <v>0</v>
      </c>
      <c r="I17" s="412" t="s">
        <v>2592</v>
      </c>
      <c r="J17" s="166" t="s">
        <v>2585</v>
      </c>
      <c r="K17"/>
      <c r="L17"/>
      <c r="M17"/>
      <c r="N17"/>
      <c r="O17"/>
      <c r="P17"/>
      <c r="Q17"/>
      <c r="R17"/>
    </row>
    <row r="18" spans="4:18" ht="14.85" customHeight="1" x14ac:dyDescent="0.45">
      <c r="D18" s="295" t="s">
        <v>1819</v>
      </c>
      <c r="E18" s="323">
        <v>22</v>
      </c>
      <c r="F18" s="296"/>
      <c r="G18" s="297">
        <v>0</v>
      </c>
      <c r="H18" s="297">
        <v>0</v>
      </c>
      <c r="I18" s="412" t="s">
        <v>2585</v>
      </c>
      <c r="J18" s="166" t="s">
        <v>2593</v>
      </c>
      <c r="K18"/>
      <c r="L18"/>
      <c r="M18"/>
      <c r="N18"/>
      <c r="O18"/>
      <c r="P18"/>
      <c r="Q18"/>
      <c r="R18"/>
    </row>
    <row r="19" spans="4:18" ht="14.85" customHeight="1" x14ac:dyDescent="0.45">
      <c r="D19" s="295" t="s">
        <v>1820</v>
      </c>
      <c r="E19" s="323">
        <v>23</v>
      </c>
      <c r="F19" s="296"/>
      <c r="G19" s="297">
        <v>0</v>
      </c>
      <c r="H19" s="297">
        <v>0</v>
      </c>
      <c r="I19" s="412" t="s">
        <v>2594</v>
      </c>
      <c r="J19" s="166" t="s">
        <v>2585</v>
      </c>
      <c r="K19"/>
      <c r="L19"/>
      <c r="M19"/>
      <c r="N19"/>
      <c r="O19"/>
      <c r="P19"/>
      <c r="Q19"/>
      <c r="R19"/>
    </row>
    <row r="20" spans="4:18" ht="14.85" customHeight="1" x14ac:dyDescent="0.45">
      <c r="D20" s="295" t="s">
        <v>1821</v>
      </c>
      <c r="E20" s="323">
        <v>24</v>
      </c>
      <c r="F20" s="296"/>
      <c r="G20" s="297">
        <v>0</v>
      </c>
      <c r="H20" s="297">
        <v>0</v>
      </c>
      <c r="I20" s="412" t="s">
        <v>2585</v>
      </c>
      <c r="J20" s="166" t="s">
        <v>2595</v>
      </c>
      <c r="K20"/>
      <c r="L20"/>
      <c r="M20"/>
      <c r="N20"/>
      <c r="O20"/>
      <c r="P20"/>
      <c r="Q20"/>
      <c r="R20"/>
    </row>
    <row r="21" spans="4:18" ht="14.85" customHeight="1" x14ac:dyDescent="0.45">
      <c r="D21" s="295" t="s">
        <v>1822</v>
      </c>
      <c r="E21" s="323">
        <v>25</v>
      </c>
      <c r="F21" s="296"/>
      <c r="G21" s="297">
        <v>0</v>
      </c>
      <c r="H21" s="297">
        <v>0</v>
      </c>
      <c r="I21" s="412"/>
      <c r="J21" s="166"/>
      <c r="K21"/>
      <c r="L21"/>
      <c r="M21"/>
      <c r="N21"/>
      <c r="O21"/>
      <c r="P21"/>
      <c r="Q21"/>
      <c r="R21"/>
    </row>
    <row r="22" spans="4:18" ht="14.85" customHeight="1" x14ac:dyDescent="0.45">
      <c r="D22" s="304" t="s">
        <v>1823</v>
      </c>
      <c r="E22" s="325">
        <v>30</v>
      </c>
      <c r="F22" s="305"/>
      <c r="G22" s="306">
        <v>0</v>
      </c>
      <c r="H22" s="306">
        <v>0</v>
      </c>
      <c r="I22" s="412"/>
      <c r="J22" s="166"/>
      <c r="K22"/>
      <c r="L22"/>
      <c r="M22"/>
      <c r="N22"/>
      <c r="O22"/>
      <c r="P22"/>
      <c r="Q22"/>
      <c r="R22"/>
    </row>
    <row r="23" spans="4:18" ht="14.85" customHeight="1" x14ac:dyDescent="0.45">
      <c r="D23" s="301" t="s">
        <v>1824</v>
      </c>
      <c r="E23" s="322"/>
      <c r="F23" s="301"/>
      <c r="G23" s="307"/>
      <c r="H23" s="303"/>
      <c r="I23" s="412"/>
      <c r="J23" s="166"/>
      <c r="K23"/>
      <c r="L23"/>
      <c r="M23"/>
      <c r="N23"/>
      <c r="O23"/>
      <c r="P23"/>
      <c r="Q23"/>
      <c r="R23"/>
    </row>
    <row r="24" spans="4:18" ht="14.85" customHeight="1" x14ac:dyDescent="0.45">
      <c r="D24" s="295" t="s">
        <v>1825</v>
      </c>
      <c r="E24" s="323">
        <v>31</v>
      </c>
      <c r="F24" s="296"/>
      <c r="G24" s="297">
        <v>0</v>
      </c>
      <c r="H24" s="297">
        <v>0</v>
      </c>
      <c r="I24" s="412"/>
      <c r="J24" s="166"/>
      <c r="K24"/>
      <c r="L24"/>
      <c r="M24"/>
      <c r="N24"/>
      <c r="O24"/>
      <c r="P24"/>
      <c r="Q24"/>
      <c r="R24"/>
    </row>
    <row r="25" spans="4:18" ht="14.85" customHeight="1" x14ac:dyDescent="0.35">
      <c r="D25" s="295" t="s">
        <v>1826</v>
      </c>
      <c r="E25" s="323">
        <v>32</v>
      </c>
      <c r="F25" s="296"/>
      <c r="G25" s="297">
        <v>0</v>
      </c>
      <c r="H25" s="297">
        <v>0</v>
      </c>
      <c r="I25" s="412"/>
      <c r="J25" s="166"/>
    </row>
    <row r="26" spans="4:18" ht="14.85" customHeight="1" x14ac:dyDescent="0.35">
      <c r="D26" s="295" t="s">
        <v>1827</v>
      </c>
      <c r="E26" s="323">
        <v>33</v>
      </c>
      <c r="F26" s="296"/>
      <c r="G26" s="297">
        <v>0</v>
      </c>
      <c r="H26" s="297">
        <v>0</v>
      </c>
      <c r="I26" s="412"/>
      <c r="J26" s="166"/>
    </row>
    <row r="27" spans="4:18" ht="14.85" customHeight="1" x14ac:dyDescent="0.35">
      <c r="D27" s="295" t="s">
        <v>1828</v>
      </c>
      <c r="E27" s="323">
        <v>34</v>
      </c>
      <c r="F27" s="296"/>
      <c r="G27" s="297">
        <v>0</v>
      </c>
      <c r="H27" s="297">
        <v>0</v>
      </c>
      <c r="I27" s="412"/>
      <c r="J27" s="166"/>
    </row>
    <row r="28" spans="4:18" ht="14.85" customHeight="1" x14ac:dyDescent="0.35">
      <c r="D28" s="295" t="s">
        <v>1829</v>
      </c>
      <c r="E28" s="323">
        <v>35</v>
      </c>
      <c r="F28" s="296"/>
      <c r="G28" s="297">
        <v>0</v>
      </c>
      <c r="H28" s="297">
        <v>0</v>
      </c>
      <c r="I28" s="412"/>
      <c r="J28" s="166"/>
    </row>
    <row r="29" spans="4:18" ht="14.85" customHeight="1" x14ac:dyDescent="0.35">
      <c r="D29" s="304" t="s">
        <v>1830</v>
      </c>
      <c r="E29" s="325">
        <v>40</v>
      </c>
      <c r="F29" s="305"/>
      <c r="G29" s="306">
        <v>0</v>
      </c>
      <c r="H29" s="306">
        <v>0</v>
      </c>
      <c r="I29" s="412"/>
      <c r="J29" s="166"/>
    </row>
    <row r="30" spans="4:18" ht="14.85" customHeight="1" x14ac:dyDescent="0.35">
      <c r="D30" s="301" t="s">
        <v>1831</v>
      </c>
      <c r="E30" s="322">
        <v>50</v>
      </c>
      <c r="F30" s="308"/>
      <c r="G30" s="309">
        <v>0</v>
      </c>
      <c r="H30" s="309">
        <v>0</v>
      </c>
      <c r="I30" s="412"/>
      <c r="J30" s="166"/>
    </row>
    <row r="31" spans="4:18" ht="14.85" customHeight="1" x14ac:dyDescent="0.35">
      <c r="D31" s="298" t="s">
        <v>1832</v>
      </c>
      <c r="E31" s="324">
        <v>60</v>
      </c>
      <c r="F31" s="299"/>
      <c r="G31" s="300">
        <v>0</v>
      </c>
      <c r="H31" s="300">
        <v>0</v>
      </c>
      <c r="I31" s="412"/>
      <c r="J31" s="166"/>
    </row>
    <row r="32" spans="4:18" ht="14.85" customHeight="1" x14ac:dyDescent="0.35">
      <c r="D32" s="295" t="s">
        <v>1833</v>
      </c>
      <c r="E32" s="323">
        <v>61</v>
      </c>
      <c r="F32" s="296"/>
      <c r="G32" s="297">
        <v>0</v>
      </c>
      <c r="H32" s="297">
        <v>0</v>
      </c>
      <c r="I32" s="412"/>
      <c r="J32" s="166"/>
    </row>
    <row r="33" spans="3:10" ht="24.2" customHeight="1" x14ac:dyDescent="0.35">
      <c r="D33" s="301" t="s">
        <v>1834</v>
      </c>
      <c r="E33" s="322">
        <v>70</v>
      </c>
      <c r="F33" s="310"/>
      <c r="G33" s="309">
        <v>0</v>
      </c>
      <c r="H33" s="309">
        <v>0</v>
      </c>
      <c r="I33" s="412"/>
      <c r="J33" s="166"/>
    </row>
    <row r="36" spans="3:10" x14ac:dyDescent="0.35">
      <c r="D36" s="392"/>
      <c r="E36" s="393"/>
      <c r="F36" s="392"/>
    </row>
    <row r="37" spans="3:10" x14ac:dyDescent="0.35">
      <c r="D37" s="396" t="s">
        <v>2582</v>
      </c>
      <c r="E37" s="397"/>
      <c r="F37" s="396">
        <v>111</v>
      </c>
      <c r="G37" s="396">
        <v>112</v>
      </c>
      <c r="H37" s="396" t="s">
        <v>2581</v>
      </c>
    </row>
    <row r="38" spans="3:10" x14ac:dyDescent="0.35">
      <c r="D38" s="398" t="s">
        <v>1808</v>
      </c>
      <c r="E38" s="399"/>
      <c r="F38" s="399"/>
      <c r="G38" s="399"/>
      <c r="H38" s="400">
        <f>SUMIFS(H39:H46,C39:C46,"x")</f>
        <v>2133629600</v>
      </c>
    </row>
    <row r="39" spans="3:10" x14ac:dyDescent="0.35">
      <c r="C39" s="320" t="s">
        <v>2583</v>
      </c>
      <c r="D39" s="401" t="s">
        <v>1809</v>
      </c>
      <c r="E39" s="402"/>
      <c r="F39" s="403" t="str">
        <f>IF(E39="","",MAX(0,SUMIFS('111'!$H$4:$H$4000,'111'!$C$4:$C$4000,E39&amp;"*")))</f>
        <v/>
      </c>
      <c r="G39" s="403" t="str">
        <f>IF(E39="","",SUMIFS('112'!$J$4:$J$4000,'112'!$E$4:$E$4000,E39&amp;"*"))</f>
        <v/>
      </c>
      <c r="H39" s="404">
        <f>SUM(H40:H41)</f>
        <v>2133629600</v>
      </c>
    </row>
    <row r="40" spans="3:10" x14ac:dyDescent="0.35">
      <c r="C40" s="320"/>
      <c r="D40" s="405"/>
      <c r="E40" s="405">
        <v>511</v>
      </c>
      <c r="F40" s="406">
        <f>IF(E40="","",MAX(0,SUMIFS('111'!$H$4:$H$4000,'111'!$C$4:$C$4000,E40&amp;"*")))</f>
        <v>1767263600</v>
      </c>
      <c r="G40" s="406">
        <f>IF(E40="","",MAX(0,SUMIFS('112'!$J$4:$J$4000,'112'!$E$4:$E$4000,E40&amp;"*")))</f>
        <v>0</v>
      </c>
      <c r="H40" s="406">
        <f t="shared" ref="H40:H41" si="0">SUM(F40:G40)</f>
        <v>1767263600</v>
      </c>
    </row>
    <row r="41" spans="3:10" x14ac:dyDescent="0.35">
      <c r="C41" s="320"/>
      <c r="D41" s="405"/>
      <c r="E41" s="405">
        <v>131</v>
      </c>
      <c r="F41" s="406">
        <f>IF(E41="","",MAX(0,SUMIFS('111'!$H$4:$H$4000,'111'!$C$4:$C$4000,E41&amp;"*")))</f>
        <v>0</v>
      </c>
      <c r="G41" s="406">
        <f>IF(E41="","",MAX(0,SUMIFS('112'!$J$4:$J$4000,'112'!$E$4:$E$4000,E41&amp;"*")))</f>
        <v>366366000</v>
      </c>
      <c r="H41" s="406">
        <f t="shared" si="0"/>
        <v>366366000</v>
      </c>
    </row>
    <row r="42" spans="3:10" x14ac:dyDescent="0.35">
      <c r="C42" s="320" t="s">
        <v>2583</v>
      </c>
      <c r="D42" s="401" t="s">
        <v>1814</v>
      </c>
      <c r="E42" s="407"/>
      <c r="F42" s="408" t="str">
        <f>IF(E42="","",MAX(0,SUMIFS('111'!$H$4:$H$4000,'111'!$C$4:$C$4000,E42&amp;"*")))</f>
        <v/>
      </c>
      <c r="G42" s="408" t="str">
        <f>IF(E42="","",MAX(0,SUMIFS('112'!$J$4:$J$4000,'112'!$E$4:$E$4000,E42&amp;"*")))</f>
        <v/>
      </c>
      <c r="H42" s="404">
        <f>SUM(H43:H46)</f>
        <v>0</v>
      </c>
    </row>
    <row r="43" spans="3:10" x14ac:dyDescent="0.35">
      <c r="D43" s="405"/>
      <c r="E43" s="405">
        <v>711</v>
      </c>
      <c r="F43" s="406">
        <f>IF(E43="","",MAX(0,SUMIFS('111'!$H$4:$H$4000,'111'!$C$4:$C$4000,E43&amp;"*")))</f>
        <v>0</v>
      </c>
      <c r="G43" s="406">
        <f>IF(E43="","",MAX(0,SUMIFS('112'!$J$4:$J$4000,'112'!$E$4:$E$4000,E43&amp;"*")))</f>
        <v>0</v>
      </c>
      <c r="H43" s="406">
        <f t="shared" ref="H43:H46" si="1">SUM(F43:G43)</f>
        <v>0</v>
      </c>
    </row>
    <row r="44" spans="3:10" x14ac:dyDescent="0.35">
      <c r="D44" s="405"/>
      <c r="E44" s="405">
        <v>133</v>
      </c>
      <c r="F44" s="406">
        <f>IF(E44="","",MAX(0,SUMIFS('111'!$H$4:$H$4000,'111'!$C$4:$C$4000,E44&amp;"*")))</f>
        <v>0</v>
      </c>
      <c r="G44" s="406">
        <f>IF(E44="","",MAX(0,SUMIFS('112'!$J$4:$J$4000,'112'!$E$4:$E$4000,E44&amp;"*")))</f>
        <v>0</v>
      </c>
      <c r="H44" s="406">
        <f t="shared" si="1"/>
        <v>0</v>
      </c>
    </row>
    <row r="45" spans="3:10" x14ac:dyDescent="0.35">
      <c r="D45" s="405"/>
      <c r="E45" s="405">
        <v>141</v>
      </c>
      <c r="F45" s="406">
        <f>IF(E45="","",MAX(0,SUMIFS('111'!$H$4:$H$4000,'111'!$C$4:$C$4000,E45&amp;"*")))</f>
        <v>0</v>
      </c>
      <c r="G45" s="406">
        <f>IF(E45="","",MAX(0,SUMIFS('112'!$J$4:$J$4000,'112'!$E$4:$E$4000,E45&amp;"*")))</f>
        <v>0</v>
      </c>
      <c r="H45" s="406">
        <f t="shared" si="1"/>
        <v>0</v>
      </c>
    </row>
    <row r="46" spans="3:10" x14ac:dyDescent="0.35">
      <c r="D46" s="405"/>
      <c r="E46" s="405">
        <v>138</v>
      </c>
      <c r="F46" s="406">
        <f>IF(E46="","",MAX(0,SUMIFS('111'!$H$4:$H$4000,'111'!$C$4:$C$4000,E46&amp;"*")))</f>
        <v>0</v>
      </c>
      <c r="G46" s="406">
        <f>IF(E46="","",MAX(0,SUMIFS('112'!$J$4:$J$4000,'112'!$E$4:$E$4000,E46&amp;"*")))</f>
        <v>0</v>
      </c>
      <c r="H46" s="406">
        <f t="shared" si="1"/>
        <v>0</v>
      </c>
    </row>
    <row r="47" spans="3:10" x14ac:dyDescent="0.35">
      <c r="D47" s="398" t="s">
        <v>1817</v>
      </c>
      <c r="E47" s="402"/>
      <c r="F47" s="403" t="str">
        <f>IF(E47="","",MAX(0,SUMIFS('111'!$H$4:$H$4000,'111'!$C$4:$C$4000,E47&amp;"*")))</f>
        <v/>
      </c>
      <c r="G47" s="403" t="str">
        <f>IF(E47="","",SUMIFS('112'!$J$4:$J$4000,'112'!$E$4:$E$4000,E47&amp;"*"))</f>
        <v/>
      </c>
      <c r="H47" s="409"/>
    </row>
    <row r="48" spans="3:10" x14ac:dyDescent="0.35">
      <c r="D48" s="410" t="s">
        <v>1819</v>
      </c>
      <c r="E48" s="405"/>
      <c r="F48" s="406" t="str">
        <f>IF(E48="","",MAX(0,SUMIFS('111'!$H$4:$H$4000,'111'!$C$4:$C$4000,E48&amp;"*")))</f>
        <v/>
      </c>
      <c r="G48" s="406" t="str">
        <f>IF(E48="","",SUMIFS('112'!$J$4:$J$4000,'112'!$E$4:$E$4000,E48&amp;"*"))</f>
        <v/>
      </c>
      <c r="H48" s="406"/>
    </row>
    <row r="49" spans="4:8" x14ac:dyDescent="0.35">
      <c r="D49" s="410" t="s">
        <v>1821</v>
      </c>
      <c r="E49" s="405"/>
      <c r="F49" s="406" t="str">
        <f>IF(E49="","",MAX(0,SUMIFS('111'!$H$4:$H$4000,'111'!$C$4:$C$4000,E49&amp;"*")))</f>
        <v/>
      </c>
      <c r="G49" s="406" t="str">
        <f>IF(E49="","",SUMIFS('112'!$J$4:$J$4000,'112'!$E$4:$E$4000,E49&amp;"*"))</f>
        <v/>
      </c>
      <c r="H49" s="406"/>
    </row>
    <row r="50" spans="4:8" x14ac:dyDescent="0.35">
      <c r="D50" s="410" t="s">
        <v>1822</v>
      </c>
      <c r="E50" s="405"/>
      <c r="F50" s="406" t="str">
        <f>IF(E50="","",MAX(0,SUMIFS('111'!$H$4:$H$4000,'111'!$C$4:$C$4000,E50&amp;"*")))</f>
        <v/>
      </c>
      <c r="G50" s="406" t="str">
        <f>IF(E50="","",SUMIFS('112'!$J$4:$J$4000,'112'!$E$4:$E$4000,E50&amp;"*"))</f>
        <v/>
      </c>
      <c r="H50" s="406"/>
    </row>
    <row r="51" spans="4:8" x14ac:dyDescent="0.35">
      <c r="D51" s="405"/>
      <c r="E51" s="405"/>
      <c r="F51" s="406" t="str">
        <f>IF(E51="","",MAX(0,SUMIFS('111'!$H$4:$H$4000,'111'!$C$4:$C$4000,E51&amp;"*")))</f>
        <v/>
      </c>
      <c r="G51" s="406" t="str">
        <f>IF(E51="","",SUMIFS('112'!$J$4:$J$4000,'112'!$E$4:$E$4000,E51&amp;"*"))</f>
        <v/>
      </c>
      <c r="H51" s="406"/>
    </row>
    <row r="52" spans="4:8" x14ac:dyDescent="0.35">
      <c r="D52" s="405"/>
      <c r="E52" s="405"/>
      <c r="F52" s="406" t="str">
        <f>IF(E52="","",MAX(0,SUMIFS('111'!$H$4:$H$4000,'111'!$C$4:$C$4000,E52&amp;"*")))</f>
        <v/>
      </c>
      <c r="G52" s="406" t="str">
        <f>IF(E52="","",SUMIFS('112'!$J$4:$J$4000,'112'!$E$4:$E$4000,E52&amp;"*"))</f>
        <v/>
      </c>
      <c r="H52" s="406"/>
    </row>
    <row r="53" spans="4:8" x14ac:dyDescent="0.35">
      <c r="D53" s="405"/>
      <c r="E53" s="405"/>
      <c r="F53" s="406" t="str">
        <f>IF(E53="","",MAX(0,SUMIFS('111'!$H$4:$H$4000,'111'!$C$4:$C$4000,E53&amp;"*")))</f>
        <v/>
      </c>
      <c r="G53" s="406" t="str">
        <f>IF(E53="","",SUMIFS('112'!$J$4:$J$4000,'112'!$E$4:$E$4000,E53&amp;"*"))</f>
        <v/>
      </c>
      <c r="H53" s="406"/>
    </row>
  </sheetData>
  <mergeCells count="1">
    <mergeCell ref="I5:J5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H626"/>
  <sheetViews>
    <sheetView workbookViewId="0">
      <selection activeCell="J18" sqref="J18"/>
    </sheetView>
  </sheetViews>
  <sheetFormatPr defaultRowHeight="14.25" x14ac:dyDescent="0.45"/>
  <cols>
    <col min="2" max="2" width="24" customWidth="1"/>
    <col min="4" max="5" width="16.59765625" customWidth="1"/>
    <col min="6" max="6" width="13.265625" customWidth="1"/>
    <col min="7" max="7" width="15.265625" customWidth="1"/>
    <col min="8" max="8" width="16.86328125" customWidth="1"/>
  </cols>
  <sheetData>
    <row r="1" spans="1:8" x14ac:dyDescent="0.45">
      <c r="A1" s="394"/>
      <c r="B1" s="394" t="s">
        <v>2043</v>
      </c>
      <c r="C1" s="394" t="s">
        <v>2044</v>
      </c>
      <c r="D1" s="394" t="s">
        <v>2045</v>
      </c>
      <c r="E1" s="394"/>
      <c r="F1" s="394" t="s">
        <v>2046</v>
      </c>
      <c r="G1" s="394"/>
    </row>
    <row r="2" spans="1:8" x14ac:dyDescent="0.45">
      <c r="A2" s="394" t="s">
        <v>2047</v>
      </c>
      <c r="B2" s="394"/>
      <c r="C2" s="394"/>
      <c r="D2" s="394" t="s">
        <v>2048</v>
      </c>
      <c r="E2" s="394" t="s">
        <v>2049</v>
      </c>
      <c r="F2" s="394" t="s">
        <v>2048</v>
      </c>
      <c r="G2" s="394" t="s">
        <v>2049</v>
      </c>
    </row>
    <row r="3" spans="1:8" x14ac:dyDescent="0.45">
      <c r="A3" s="394" t="s">
        <v>11</v>
      </c>
      <c r="B3" s="394" t="s">
        <v>1149</v>
      </c>
      <c r="C3" s="394" t="s">
        <v>1157</v>
      </c>
      <c r="D3" s="394" t="s">
        <v>1077</v>
      </c>
      <c r="E3" s="394" t="s">
        <v>1089</v>
      </c>
      <c r="F3" s="394" t="s">
        <v>1109</v>
      </c>
      <c r="G3" s="394" t="s">
        <v>1112</v>
      </c>
    </row>
    <row r="4" spans="1:8" x14ac:dyDescent="0.45">
      <c r="A4" s="394" t="s">
        <v>2050</v>
      </c>
      <c r="B4" s="394" t="s">
        <v>4</v>
      </c>
      <c r="C4" s="394"/>
      <c r="D4" s="394">
        <v>0</v>
      </c>
      <c r="E4" s="394">
        <v>0</v>
      </c>
      <c r="F4" s="394">
        <v>268791107.82999998</v>
      </c>
      <c r="G4" s="394">
        <v>0</v>
      </c>
    </row>
    <row r="5" spans="1:8" x14ac:dyDescent="0.45">
      <c r="A5" s="215" t="s">
        <v>2051</v>
      </c>
      <c r="B5" s="215" t="s">
        <v>2052</v>
      </c>
      <c r="C5" s="215" t="s">
        <v>2053</v>
      </c>
      <c r="D5" s="215">
        <v>19200</v>
      </c>
      <c r="E5" s="215">
        <v>0</v>
      </c>
      <c r="F5" s="215">
        <v>268810307.82999998</v>
      </c>
      <c r="G5" s="215">
        <v>0</v>
      </c>
      <c r="H5" s="329">
        <f>IF(D5&gt;0,D5,-E5)</f>
        <v>19200</v>
      </c>
    </row>
    <row r="6" spans="1:8" x14ac:dyDescent="0.45">
      <c r="A6" s="215" t="s">
        <v>2051</v>
      </c>
      <c r="B6" s="215" t="s">
        <v>2054</v>
      </c>
      <c r="C6" s="215" t="s">
        <v>2053</v>
      </c>
      <c r="D6" s="215">
        <v>3850000</v>
      </c>
      <c r="E6" s="215">
        <v>0</v>
      </c>
      <c r="F6" s="215">
        <v>272660307.82999998</v>
      </c>
      <c r="G6" s="215">
        <v>0</v>
      </c>
      <c r="H6" s="329">
        <f t="shared" ref="H6:H69" si="0">IF(D6&gt;0,D6,-E6)</f>
        <v>3850000</v>
      </c>
    </row>
    <row r="7" spans="1:8" x14ac:dyDescent="0.45">
      <c r="A7" s="215" t="s">
        <v>2051</v>
      </c>
      <c r="B7" s="215" t="s">
        <v>2055</v>
      </c>
      <c r="C7" s="215" t="s">
        <v>2056</v>
      </c>
      <c r="D7" s="215">
        <v>0</v>
      </c>
      <c r="E7" s="215">
        <v>1030000</v>
      </c>
      <c r="F7" s="215">
        <v>271630307.82999998</v>
      </c>
      <c r="G7" s="215">
        <v>0</v>
      </c>
      <c r="H7" s="329">
        <f t="shared" si="0"/>
        <v>-1030000</v>
      </c>
    </row>
    <row r="8" spans="1:8" x14ac:dyDescent="0.45">
      <c r="A8" s="215" t="s">
        <v>2051</v>
      </c>
      <c r="B8" s="215" t="s">
        <v>2057</v>
      </c>
      <c r="C8" s="215" t="s">
        <v>2053</v>
      </c>
      <c r="D8" s="215">
        <v>0</v>
      </c>
      <c r="E8" s="215">
        <v>287610</v>
      </c>
      <c r="F8" s="215">
        <v>271342697.82999998</v>
      </c>
      <c r="G8" s="215">
        <v>0</v>
      </c>
      <c r="H8" s="329">
        <f t="shared" si="0"/>
        <v>-287610</v>
      </c>
    </row>
    <row r="9" spans="1:8" x14ac:dyDescent="0.45">
      <c r="A9" s="215" t="s">
        <v>2058</v>
      </c>
      <c r="B9" s="215" t="s">
        <v>2059</v>
      </c>
      <c r="C9" s="215" t="s">
        <v>2060</v>
      </c>
      <c r="D9" s="215">
        <v>7250000</v>
      </c>
      <c r="E9" s="215">
        <v>0</v>
      </c>
      <c r="F9" s="215">
        <v>278592697.82999998</v>
      </c>
      <c r="G9" s="215">
        <v>0</v>
      </c>
      <c r="H9" s="329">
        <f t="shared" si="0"/>
        <v>7250000</v>
      </c>
    </row>
    <row r="10" spans="1:8" x14ac:dyDescent="0.45">
      <c r="A10" s="215" t="s">
        <v>2058</v>
      </c>
      <c r="B10" s="215" t="s">
        <v>70</v>
      </c>
      <c r="C10" s="215" t="s">
        <v>2061</v>
      </c>
      <c r="D10" s="215">
        <v>725000</v>
      </c>
      <c r="E10" s="215">
        <v>0</v>
      </c>
      <c r="F10" s="215">
        <v>279317697.82999998</v>
      </c>
      <c r="G10" s="215">
        <v>0</v>
      </c>
      <c r="H10" s="329">
        <f t="shared" si="0"/>
        <v>725000</v>
      </c>
    </row>
    <row r="11" spans="1:8" x14ac:dyDescent="0.45">
      <c r="A11" s="215" t="s">
        <v>2058</v>
      </c>
      <c r="B11" s="215" t="s">
        <v>2059</v>
      </c>
      <c r="C11" s="215" t="s">
        <v>2060</v>
      </c>
      <c r="D11" s="215">
        <v>8500000</v>
      </c>
      <c r="E11" s="215">
        <v>0</v>
      </c>
      <c r="F11" s="215">
        <v>287817697.82999998</v>
      </c>
      <c r="G11" s="215">
        <v>0</v>
      </c>
      <c r="H11" s="329">
        <f t="shared" si="0"/>
        <v>8500000</v>
      </c>
    </row>
    <row r="12" spans="1:8" x14ac:dyDescent="0.45">
      <c r="A12" s="215" t="s">
        <v>2058</v>
      </c>
      <c r="B12" s="215" t="s">
        <v>70</v>
      </c>
      <c r="C12" s="215" t="s">
        <v>2061</v>
      </c>
      <c r="D12" s="215">
        <v>850000</v>
      </c>
      <c r="E12" s="215">
        <v>0</v>
      </c>
      <c r="F12" s="215">
        <v>288667697.82999998</v>
      </c>
      <c r="G12" s="215">
        <v>0</v>
      </c>
      <c r="H12" s="329">
        <f t="shared" si="0"/>
        <v>850000</v>
      </c>
    </row>
    <row r="13" spans="1:8" x14ac:dyDescent="0.45">
      <c r="A13" s="215" t="s">
        <v>2062</v>
      </c>
      <c r="B13" s="215" t="s">
        <v>2059</v>
      </c>
      <c r="C13" s="215" t="s">
        <v>2060</v>
      </c>
      <c r="D13" s="215">
        <v>12840000</v>
      </c>
      <c r="E13" s="215">
        <v>0</v>
      </c>
      <c r="F13" s="215">
        <v>301507697.82999998</v>
      </c>
      <c r="G13" s="215">
        <v>0</v>
      </c>
      <c r="H13" s="329">
        <f t="shared" si="0"/>
        <v>12840000</v>
      </c>
    </row>
    <row r="14" spans="1:8" x14ac:dyDescent="0.45">
      <c r="A14" s="215" t="s">
        <v>2062</v>
      </c>
      <c r="B14" s="215" t="s">
        <v>70</v>
      </c>
      <c r="C14" s="215" t="s">
        <v>2061</v>
      </c>
      <c r="D14" s="215">
        <v>1284000</v>
      </c>
      <c r="E14" s="215">
        <v>0</v>
      </c>
      <c r="F14" s="215">
        <v>302791697.82999998</v>
      </c>
      <c r="G14" s="215">
        <v>0</v>
      </c>
      <c r="H14" s="329">
        <f t="shared" si="0"/>
        <v>1284000</v>
      </c>
    </row>
    <row r="15" spans="1:8" x14ac:dyDescent="0.45">
      <c r="A15" s="215" t="s">
        <v>2062</v>
      </c>
      <c r="B15" s="215" t="s">
        <v>2059</v>
      </c>
      <c r="C15" s="215" t="s">
        <v>2060</v>
      </c>
      <c r="D15" s="215">
        <v>16675000</v>
      </c>
      <c r="E15" s="215">
        <v>0</v>
      </c>
      <c r="F15" s="215">
        <v>319466697.82999998</v>
      </c>
      <c r="G15" s="215">
        <v>0</v>
      </c>
      <c r="H15" s="329">
        <f t="shared" si="0"/>
        <v>16675000</v>
      </c>
    </row>
    <row r="16" spans="1:8" x14ac:dyDescent="0.45">
      <c r="A16" s="215" t="s">
        <v>2062</v>
      </c>
      <c r="B16" s="215" t="s">
        <v>70</v>
      </c>
      <c r="C16" s="215" t="s">
        <v>2061</v>
      </c>
      <c r="D16" s="215">
        <v>1667500</v>
      </c>
      <c r="E16" s="215">
        <v>0</v>
      </c>
      <c r="F16" s="215">
        <v>321134197.82999998</v>
      </c>
      <c r="G16" s="215">
        <v>0</v>
      </c>
      <c r="H16" s="329">
        <f t="shared" si="0"/>
        <v>1667500</v>
      </c>
    </row>
    <row r="17" spans="1:8" x14ac:dyDescent="0.45">
      <c r="A17" s="215" t="s">
        <v>2062</v>
      </c>
      <c r="B17" s="215" t="s">
        <v>2059</v>
      </c>
      <c r="C17" s="215" t="s">
        <v>2060</v>
      </c>
      <c r="D17" s="215">
        <v>9680000</v>
      </c>
      <c r="E17" s="215">
        <v>0</v>
      </c>
      <c r="F17" s="215">
        <v>330814197.82999998</v>
      </c>
      <c r="G17" s="215">
        <v>0</v>
      </c>
      <c r="H17" s="329">
        <f t="shared" si="0"/>
        <v>9680000</v>
      </c>
    </row>
    <row r="18" spans="1:8" x14ac:dyDescent="0.45">
      <c r="A18" s="215" t="s">
        <v>2062</v>
      </c>
      <c r="B18" s="215" t="s">
        <v>70</v>
      </c>
      <c r="C18" s="215" t="s">
        <v>2061</v>
      </c>
      <c r="D18" s="215">
        <v>968000</v>
      </c>
      <c r="E18" s="215">
        <v>0</v>
      </c>
      <c r="F18" s="215">
        <v>331782197.82999998</v>
      </c>
      <c r="G18" s="215">
        <v>0</v>
      </c>
      <c r="H18" s="329">
        <f t="shared" si="0"/>
        <v>968000</v>
      </c>
    </row>
    <row r="19" spans="1:8" x14ac:dyDescent="0.45">
      <c r="A19" s="215" t="s">
        <v>2063</v>
      </c>
      <c r="B19" s="215" t="s">
        <v>2064</v>
      </c>
      <c r="C19" s="215" t="s">
        <v>2065</v>
      </c>
      <c r="D19" s="215">
        <v>0</v>
      </c>
      <c r="E19" s="215">
        <v>3805056</v>
      </c>
      <c r="F19" s="215">
        <v>327977141.82999998</v>
      </c>
      <c r="G19" s="215">
        <v>0</v>
      </c>
      <c r="H19" s="329">
        <f t="shared" si="0"/>
        <v>-3805056</v>
      </c>
    </row>
    <row r="20" spans="1:8" x14ac:dyDescent="0.45">
      <c r="A20" s="215" t="s">
        <v>2063</v>
      </c>
      <c r="B20" s="215" t="s">
        <v>2066</v>
      </c>
      <c r="C20" s="215" t="s">
        <v>2067</v>
      </c>
      <c r="D20" s="215">
        <v>0</v>
      </c>
      <c r="E20" s="215">
        <v>380506</v>
      </c>
      <c r="F20" s="215">
        <v>327596635.82999998</v>
      </c>
      <c r="G20" s="215">
        <v>0</v>
      </c>
      <c r="H20" s="329">
        <f t="shared" si="0"/>
        <v>-380506</v>
      </c>
    </row>
    <row r="21" spans="1:8" x14ac:dyDescent="0.45">
      <c r="A21" s="215" t="s">
        <v>2068</v>
      </c>
      <c r="B21" s="215" t="s">
        <v>2059</v>
      </c>
      <c r="C21" s="215" t="s">
        <v>2060</v>
      </c>
      <c r="D21" s="215">
        <v>8745000</v>
      </c>
      <c r="E21" s="215">
        <v>0</v>
      </c>
      <c r="F21" s="215">
        <v>336341635.82999998</v>
      </c>
      <c r="G21" s="215">
        <v>0</v>
      </c>
      <c r="H21" s="329">
        <f t="shared" si="0"/>
        <v>8745000</v>
      </c>
    </row>
    <row r="22" spans="1:8" x14ac:dyDescent="0.45">
      <c r="A22" s="215" t="s">
        <v>2068</v>
      </c>
      <c r="B22" s="215" t="s">
        <v>70</v>
      </c>
      <c r="C22" s="215" t="s">
        <v>2061</v>
      </c>
      <c r="D22" s="215">
        <v>874500</v>
      </c>
      <c r="E22" s="215">
        <v>0</v>
      </c>
      <c r="F22" s="215">
        <v>337216135.82999998</v>
      </c>
      <c r="G22" s="215">
        <v>0</v>
      </c>
      <c r="H22" s="329">
        <f t="shared" si="0"/>
        <v>874500</v>
      </c>
    </row>
    <row r="23" spans="1:8" x14ac:dyDescent="0.45">
      <c r="A23" s="215" t="s">
        <v>2069</v>
      </c>
      <c r="B23" s="215" t="s">
        <v>2059</v>
      </c>
      <c r="C23" s="215" t="s">
        <v>2060</v>
      </c>
      <c r="D23" s="215">
        <v>16830000</v>
      </c>
      <c r="E23" s="215">
        <v>0</v>
      </c>
      <c r="F23" s="215">
        <v>354046135.82999998</v>
      </c>
      <c r="G23" s="215">
        <v>0</v>
      </c>
      <c r="H23" s="329">
        <f t="shared" si="0"/>
        <v>16830000</v>
      </c>
    </row>
    <row r="24" spans="1:8" x14ac:dyDescent="0.45">
      <c r="A24" s="215" t="s">
        <v>2069</v>
      </c>
      <c r="B24" s="215" t="s">
        <v>70</v>
      </c>
      <c r="C24" s="215" t="s">
        <v>2061</v>
      </c>
      <c r="D24" s="215">
        <v>1683000</v>
      </c>
      <c r="E24" s="215">
        <v>0</v>
      </c>
      <c r="F24" s="215">
        <v>355729135.82999998</v>
      </c>
      <c r="G24" s="215">
        <v>0</v>
      </c>
      <c r="H24" s="329">
        <f t="shared" si="0"/>
        <v>1683000</v>
      </c>
    </row>
    <row r="25" spans="1:8" x14ac:dyDescent="0.45">
      <c r="A25" s="215" t="s">
        <v>2070</v>
      </c>
      <c r="B25" s="215" t="s">
        <v>2071</v>
      </c>
      <c r="C25" s="215" t="s">
        <v>2072</v>
      </c>
      <c r="D25" s="215">
        <v>0</v>
      </c>
      <c r="E25" s="215">
        <v>10000000</v>
      </c>
      <c r="F25" s="215">
        <v>345729135.82999998</v>
      </c>
      <c r="G25" s="215">
        <v>0</v>
      </c>
      <c r="H25" s="329">
        <f t="shared" si="0"/>
        <v>-10000000</v>
      </c>
    </row>
    <row r="26" spans="1:8" x14ac:dyDescent="0.45">
      <c r="A26" s="215" t="s">
        <v>2073</v>
      </c>
      <c r="B26" s="215" t="s">
        <v>2059</v>
      </c>
      <c r="C26" s="215" t="s">
        <v>2060</v>
      </c>
      <c r="D26" s="215">
        <v>12370000</v>
      </c>
      <c r="E26" s="215">
        <v>0</v>
      </c>
      <c r="F26" s="215">
        <v>358099135.82999998</v>
      </c>
      <c r="G26" s="215">
        <v>0</v>
      </c>
      <c r="H26" s="329">
        <f t="shared" si="0"/>
        <v>12370000</v>
      </c>
    </row>
    <row r="27" spans="1:8" x14ac:dyDescent="0.45">
      <c r="A27" s="215" t="s">
        <v>2073</v>
      </c>
      <c r="B27" s="215" t="s">
        <v>70</v>
      </c>
      <c r="C27" s="215" t="s">
        <v>2061</v>
      </c>
      <c r="D27" s="215">
        <v>1237000</v>
      </c>
      <c r="E27" s="215">
        <v>0</v>
      </c>
      <c r="F27" s="215">
        <v>359336135.82999998</v>
      </c>
      <c r="G27" s="215">
        <v>0</v>
      </c>
      <c r="H27" s="329">
        <f t="shared" si="0"/>
        <v>1237000</v>
      </c>
    </row>
    <row r="28" spans="1:8" x14ac:dyDescent="0.45">
      <c r="A28" s="215" t="s">
        <v>2073</v>
      </c>
      <c r="B28" s="215" t="s">
        <v>2059</v>
      </c>
      <c r="C28" s="215" t="s">
        <v>2060</v>
      </c>
      <c r="D28" s="215">
        <v>2880000</v>
      </c>
      <c r="E28" s="215">
        <v>0</v>
      </c>
      <c r="F28" s="215">
        <v>362216135.82999998</v>
      </c>
      <c r="G28" s="215">
        <v>0</v>
      </c>
      <c r="H28" s="329">
        <f t="shared" si="0"/>
        <v>2880000</v>
      </c>
    </row>
    <row r="29" spans="1:8" x14ac:dyDescent="0.45">
      <c r="A29" s="215" t="s">
        <v>2073</v>
      </c>
      <c r="B29" s="215" t="s">
        <v>70</v>
      </c>
      <c r="C29" s="215" t="s">
        <v>2061</v>
      </c>
      <c r="D29" s="215">
        <v>288000</v>
      </c>
      <c r="E29" s="215">
        <v>0</v>
      </c>
      <c r="F29" s="215">
        <v>362504135.82999998</v>
      </c>
      <c r="G29" s="215">
        <v>0</v>
      </c>
      <c r="H29" s="329">
        <f t="shared" si="0"/>
        <v>288000</v>
      </c>
    </row>
    <row r="30" spans="1:8" x14ac:dyDescent="0.45">
      <c r="A30" s="215" t="s">
        <v>2073</v>
      </c>
      <c r="B30" s="215" t="s">
        <v>2059</v>
      </c>
      <c r="C30" s="215" t="s">
        <v>2060</v>
      </c>
      <c r="D30" s="215">
        <v>300000</v>
      </c>
      <c r="E30" s="215">
        <v>0</v>
      </c>
      <c r="F30" s="215">
        <v>362804135.82999998</v>
      </c>
      <c r="G30" s="215">
        <v>0</v>
      </c>
      <c r="H30" s="329">
        <f t="shared" si="0"/>
        <v>300000</v>
      </c>
    </row>
    <row r="31" spans="1:8" x14ac:dyDescent="0.45">
      <c r="A31" s="215" t="s">
        <v>2073</v>
      </c>
      <c r="B31" s="215" t="s">
        <v>70</v>
      </c>
      <c r="C31" s="215" t="s">
        <v>2061</v>
      </c>
      <c r="D31" s="215">
        <v>30000</v>
      </c>
      <c r="E31" s="215">
        <v>0</v>
      </c>
      <c r="F31" s="215">
        <v>362834135.82999998</v>
      </c>
      <c r="G31" s="215">
        <v>0</v>
      </c>
      <c r="H31" s="329">
        <f t="shared" si="0"/>
        <v>30000</v>
      </c>
    </row>
    <row r="32" spans="1:8" x14ac:dyDescent="0.45">
      <c r="A32" s="215" t="s">
        <v>2073</v>
      </c>
      <c r="B32" s="215" t="s">
        <v>2059</v>
      </c>
      <c r="C32" s="215" t="s">
        <v>2060</v>
      </c>
      <c r="D32" s="215">
        <v>17050000</v>
      </c>
      <c r="E32" s="215">
        <v>0</v>
      </c>
      <c r="F32" s="215">
        <v>379884135.82999998</v>
      </c>
      <c r="G32" s="215">
        <v>0</v>
      </c>
      <c r="H32" s="329">
        <f t="shared" si="0"/>
        <v>17050000</v>
      </c>
    </row>
    <row r="33" spans="1:8" x14ac:dyDescent="0.45">
      <c r="A33" s="215" t="s">
        <v>2073</v>
      </c>
      <c r="B33" s="215" t="s">
        <v>70</v>
      </c>
      <c r="C33" s="215" t="s">
        <v>2061</v>
      </c>
      <c r="D33" s="215">
        <v>1705000</v>
      </c>
      <c r="E33" s="215">
        <v>0</v>
      </c>
      <c r="F33" s="215">
        <v>381589135.82999998</v>
      </c>
      <c r="G33" s="215">
        <v>0</v>
      </c>
      <c r="H33" s="329">
        <f t="shared" si="0"/>
        <v>1705000</v>
      </c>
    </row>
    <row r="34" spans="1:8" x14ac:dyDescent="0.45">
      <c r="A34" s="215" t="s">
        <v>2074</v>
      </c>
      <c r="B34" s="215" t="s">
        <v>2059</v>
      </c>
      <c r="C34" s="215" t="s">
        <v>2060</v>
      </c>
      <c r="D34" s="215">
        <v>3600000</v>
      </c>
      <c r="E34" s="215">
        <v>0</v>
      </c>
      <c r="F34" s="215">
        <v>385189135.82999998</v>
      </c>
      <c r="G34" s="215">
        <v>0</v>
      </c>
      <c r="H34" s="329">
        <f t="shared" si="0"/>
        <v>3600000</v>
      </c>
    </row>
    <row r="35" spans="1:8" x14ac:dyDescent="0.45">
      <c r="A35" s="215" t="s">
        <v>2074</v>
      </c>
      <c r="B35" s="215" t="s">
        <v>70</v>
      </c>
      <c r="C35" s="215" t="s">
        <v>2061</v>
      </c>
      <c r="D35" s="215">
        <v>360000</v>
      </c>
      <c r="E35" s="215">
        <v>0</v>
      </c>
      <c r="F35" s="215">
        <v>385549135.82999998</v>
      </c>
      <c r="G35" s="215">
        <v>0</v>
      </c>
      <c r="H35" s="329">
        <f t="shared" si="0"/>
        <v>360000</v>
      </c>
    </row>
    <row r="36" spans="1:8" x14ac:dyDescent="0.45">
      <c r="A36" s="215" t="s">
        <v>2074</v>
      </c>
      <c r="B36" s="215" t="s">
        <v>2059</v>
      </c>
      <c r="C36" s="215" t="s">
        <v>2060</v>
      </c>
      <c r="D36" s="215">
        <v>15310000</v>
      </c>
      <c r="E36" s="215">
        <v>0</v>
      </c>
      <c r="F36" s="215">
        <v>400859135.82999998</v>
      </c>
      <c r="G36" s="215">
        <v>0</v>
      </c>
      <c r="H36" s="329">
        <f t="shared" si="0"/>
        <v>15310000</v>
      </c>
    </row>
    <row r="37" spans="1:8" x14ac:dyDescent="0.45">
      <c r="A37" s="215" t="s">
        <v>2074</v>
      </c>
      <c r="B37" s="215" t="s">
        <v>70</v>
      </c>
      <c r="C37" s="215" t="s">
        <v>2061</v>
      </c>
      <c r="D37" s="215">
        <v>1531000</v>
      </c>
      <c r="E37" s="215">
        <v>0</v>
      </c>
      <c r="F37" s="215">
        <v>402390135.82999998</v>
      </c>
      <c r="G37" s="215">
        <v>0</v>
      </c>
      <c r="H37" s="329">
        <f t="shared" si="0"/>
        <v>1531000</v>
      </c>
    </row>
    <row r="38" spans="1:8" x14ac:dyDescent="0.45">
      <c r="A38" s="215" t="s">
        <v>2074</v>
      </c>
      <c r="B38" s="215" t="s">
        <v>2059</v>
      </c>
      <c r="C38" s="215" t="s">
        <v>2060</v>
      </c>
      <c r="D38" s="215">
        <v>1820000</v>
      </c>
      <c r="E38" s="215">
        <v>0</v>
      </c>
      <c r="F38" s="215">
        <v>404210135.82999998</v>
      </c>
      <c r="G38" s="215">
        <v>0</v>
      </c>
      <c r="H38" s="329">
        <f t="shared" si="0"/>
        <v>1820000</v>
      </c>
    </row>
    <row r="39" spans="1:8" x14ac:dyDescent="0.45">
      <c r="A39" s="215" t="s">
        <v>2074</v>
      </c>
      <c r="B39" s="215" t="s">
        <v>70</v>
      </c>
      <c r="C39" s="215" t="s">
        <v>2061</v>
      </c>
      <c r="D39" s="215">
        <v>182000</v>
      </c>
      <c r="E39" s="215">
        <v>0</v>
      </c>
      <c r="F39" s="215">
        <v>404392135.82999998</v>
      </c>
      <c r="G39" s="215">
        <v>0</v>
      </c>
      <c r="H39" s="329">
        <f t="shared" si="0"/>
        <v>182000</v>
      </c>
    </row>
    <row r="40" spans="1:8" x14ac:dyDescent="0.45">
      <c r="A40" s="215" t="s">
        <v>2074</v>
      </c>
      <c r="B40" s="215" t="s">
        <v>2055</v>
      </c>
      <c r="C40" s="215" t="s">
        <v>2056</v>
      </c>
      <c r="D40" s="215">
        <v>0</v>
      </c>
      <c r="E40" s="215">
        <v>17216000</v>
      </c>
      <c r="F40" s="215">
        <v>387176135.82999998</v>
      </c>
      <c r="G40" s="215">
        <v>0</v>
      </c>
      <c r="H40" s="329">
        <f t="shared" si="0"/>
        <v>-17216000</v>
      </c>
    </row>
    <row r="41" spans="1:8" x14ac:dyDescent="0.45">
      <c r="A41" s="215" t="s">
        <v>2074</v>
      </c>
      <c r="B41" s="215" t="s">
        <v>2066</v>
      </c>
      <c r="C41" s="215" t="s">
        <v>2067</v>
      </c>
      <c r="D41" s="215">
        <v>0</v>
      </c>
      <c r="E41" s="215">
        <v>860800</v>
      </c>
      <c r="F41" s="215">
        <v>386315335.82999998</v>
      </c>
      <c r="G41" s="215">
        <v>0</v>
      </c>
      <c r="H41" s="329">
        <f t="shared" si="0"/>
        <v>-860800</v>
      </c>
    </row>
    <row r="42" spans="1:8" x14ac:dyDescent="0.45">
      <c r="A42" s="215" t="s">
        <v>2074</v>
      </c>
      <c r="B42" s="215" t="s">
        <v>2055</v>
      </c>
      <c r="C42" s="215" t="s">
        <v>2056</v>
      </c>
      <c r="D42" s="215">
        <v>0</v>
      </c>
      <c r="E42" s="215">
        <v>4600000</v>
      </c>
      <c r="F42" s="215">
        <v>381715335.82999998</v>
      </c>
      <c r="G42" s="215">
        <v>0</v>
      </c>
      <c r="H42" s="329">
        <f t="shared" si="0"/>
        <v>-4600000</v>
      </c>
    </row>
    <row r="43" spans="1:8" x14ac:dyDescent="0.45">
      <c r="A43" s="215" t="s">
        <v>2075</v>
      </c>
      <c r="B43" s="215" t="s">
        <v>2055</v>
      </c>
      <c r="C43" s="215" t="s">
        <v>2056</v>
      </c>
      <c r="D43" s="215">
        <v>0</v>
      </c>
      <c r="E43" s="215">
        <v>16576000</v>
      </c>
      <c r="F43" s="215">
        <v>365139335.82999998</v>
      </c>
      <c r="G43" s="215">
        <v>0</v>
      </c>
      <c r="H43" s="329">
        <f t="shared" si="0"/>
        <v>-16576000</v>
      </c>
    </row>
    <row r="44" spans="1:8" x14ac:dyDescent="0.45">
      <c r="A44" s="215" t="s">
        <v>2075</v>
      </c>
      <c r="B44" s="215" t="s">
        <v>2066</v>
      </c>
      <c r="C44" s="215" t="s">
        <v>2067</v>
      </c>
      <c r="D44" s="215">
        <v>0</v>
      </c>
      <c r="E44" s="215">
        <v>828800</v>
      </c>
      <c r="F44" s="215">
        <v>364310535.82999998</v>
      </c>
      <c r="G44" s="215">
        <v>0</v>
      </c>
      <c r="H44" s="329">
        <f t="shared" si="0"/>
        <v>-828800</v>
      </c>
    </row>
    <row r="45" spans="1:8" x14ac:dyDescent="0.45">
      <c r="A45" s="215" t="s">
        <v>2075</v>
      </c>
      <c r="B45" s="215" t="s">
        <v>2055</v>
      </c>
      <c r="C45" s="215" t="s">
        <v>2056</v>
      </c>
      <c r="D45" s="215">
        <v>0</v>
      </c>
      <c r="E45" s="215">
        <v>15900000</v>
      </c>
      <c r="F45" s="215">
        <v>348410535.82999998</v>
      </c>
      <c r="G45" s="215">
        <v>0</v>
      </c>
      <c r="H45" s="329">
        <f t="shared" si="0"/>
        <v>-15900000</v>
      </c>
    </row>
    <row r="46" spans="1:8" x14ac:dyDescent="0.45">
      <c r="A46" s="215" t="s">
        <v>2075</v>
      </c>
      <c r="B46" s="215" t="s">
        <v>2066</v>
      </c>
      <c r="C46" s="215" t="s">
        <v>2067</v>
      </c>
      <c r="D46" s="215">
        <v>0</v>
      </c>
      <c r="E46" s="215">
        <v>1590000</v>
      </c>
      <c r="F46" s="215">
        <v>346820535.82999998</v>
      </c>
      <c r="G46" s="215">
        <v>0</v>
      </c>
      <c r="H46" s="329">
        <f t="shared" si="0"/>
        <v>-1590000</v>
      </c>
    </row>
    <row r="47" spans="1:8" x14ac:dyDescent="0.45">
      <c r="A47" s="215" t="s">
        <v>2075</v>
      </c>
      <c r="B47" s="215" t="s">
        <v>2055</v>
      </c>
      <c r="C47" s="215" t="s">
        <v>2056</v>
      </c>
      <c r="D47" s="215">
        <v>0</v>
      </c>
      <c r="E47" s="215">
        <v>1454540</v>
      </c>
      <c r="F47" s="215">
        <v>345365995.82999998</v>
      </c>
      <c r="G47" s="215">
        <v>0</v>
      </c>
      <c r="H47" s="329">
        <f t="shared" si="0"/>
        <v>-1454540</v>
      </c>
    </row>
    <row r="48" spans="1:8" x14ac:dyDescent="0.45">
      <c r="A48" s="215" t="s">
        <v>2075</v>
      </c>
      <c r="B48" s="215" t="s">
        <v>2066</v>
      </c>
      <c r="C48" s="215" t="s">
        <v>2067</v>
      </c>
      <c r="D48" s="215">
        <v>0</v>
      </c>
      <c r="E48" s="215">
        <v>145454</v>
      </c>
      <c r="F48" s="215">
        <v>345220541.82999998</v>
      </c>
      <c r="G48" s="215">
        <v>0</v>
      </c>
      <c r="H48" s="329">
        <f t="shared" si="0"/>
        <v>-145454</v>
      </c>
    </row>
    <row r="49" spans="1:8" x14ac:dyDescent="0.45">
      <c r="A49" s="215" t="s">
        <v>2075</v>
      </c>
      <c r="B49" s="215" t="s">
        <v>2076</v>
      </c>
      <c r="C49" s="215" t="s">
        <v>2065</v>
      </c>
      <c r="D49" s="215">
        <v>0</v>
      </c>
      <c r="E49" s="215">
        <v>785547</v>
      </c>
      <c r="F49" s="215">
        <v>344434994.82999998</v>
      </c>
      <c r="G49" s="215">
        <v>0</v>
      </c>
      <c r="H49" s="329">
        <f t="shared" si="0"/>
        <v>-785547</v>
      </c>
    </row>
    <row r="50" spans="1:8" x14ac:dyDescent="0.45">
      <c r="A50" s="215" t="s">
        <v>2077</v>
      </c>
      <c r="B50" s="215" t="s">
        <v>2059</v>
      </c>
      <c r="C50" s="215" t="s">
        <v>2060</v>
      </c>
      <c r="D50" s="215">
        <v>16115000</v>
      </c>
      <c r="E50" s="215">
        <v>0</v>
      </c>
      <c r="F50" s="215">
        <v>360549994.82999998</v>
      </c>
      <c r="G50" s="215">
        <v>0</v>
      </c>
      <c r="H50" s="329">
        <f t="shared" si="0"/>
        <v>16115000</v>
      </c>
    </row>
    <row r="51" spans="1:8" x14ac:dyDescent="0.45">
      <c r="A51" s="215" t="s">
        <v>2077</v>
      </c>
      <c r="B51" s="215" t="s">
        <v>70</v>
      </c>
      <c r="C51" s="215" t="s">
        <v>2061</v>
      </c>
      <c r="D51" s="215">
        <v>1611500</v>
      </c>
      <c r="E51" s="215">
        <v>0</v>
      </c>
      <c r="F51" s="215">
        <v>362161494.82999998</v>
      </c>
      <c r="G51" s="215">
        <v>0</v>
      </c>
      <c r="H51" s="329">
        <f t="shared" si="0"/>
        <v>1611500</v>
      </c>
    </row>
    <row r="52" spans="1:8" x14ac:dyDescent="0.45">
      <c r="A52" s="215" t="s">
        <v>2077</v>
      </c>
      <c r="B52" s="215" t="s">
        <v>2059</v>
      </c>
      <c r="C52" s="215" t="s">
        <v>2060</v>
      </c>
      <c r="D52" s="215">
        <v>9310000</v>
      </c>
      <c r="E52" s="215">
        <v>0</v>
      </c>
      <c r="F52" s="215">
        <v>371471494.82999998</v>
      </c>
      <c r="G52" s="215">
        <v>0</v>
      </c>
      <c r="H52" s="329">
        <f t="shared" si="0"/>
        <v>9310000</v>
      </c>
    </row>
    <row r="53" spans="1:8" x14ac:dyDescent="0.45">
      <c r="A53" s="215" t="s">
        <v>2077</v>
      </c>
      <c r="B53" s="215" t="s">
        <v>70</v>
      </c>
      <c r="C53" s="215" t="s">
        <v>2061</v>
      </c>
      <c r="D53" s="215">
        <v>931000</v>
      </c>
      <c r="E53" s="215">
        <v>0</v>
      </c>
      <c r="F53" s="215">
        <v>372402494.82999998</v>
      </c>
      <c r="G53" s="215">
        <v>0</v>
      </c>
      <c r="H53" s="329">
        <f t="shared" si="0"/>
        <v>931000</v>
      </c>
    </row>
    <row r="54" spans="1:8" x14ac:dyDescent="0.45">
      <c r="A54" s="215" t="s">
        <v>2077</v>
      </c>
      <c r="B54" s="215" t="s">
        <v>2071</v>
      </c>
      <c r="C54" s="215" t="s">
        <v>2072</v>
      </c>
      <c r="D54" s="215">
        <v>0</v>
      </c>
      <c r="E54" s="215">
        <v>60000000</v>
      </c>
      <c r="F54" s="215">
        <v>312402494.82999998</v>
      </c>
      <c r="G54" s="215">
        <v>0</v>
      </c>
      <c r="H54" s="329">
        <f t="shared" si="0"/>
        <v>-60000000</v>
      </c>
    </row>
    <row r="55" spans="1:8" x14ac:dyDescent="0.45">
      <c r="A55" s="215" t="s">
        <v>2078</v>
      </c>
      <c r="B55" s="215" t="s">
        <v>2059</v>
      </c>
      <c r="C55" s="215" t="s">
        <v>2060</v>
      </c>
      <c r="D55" s="215">
        <v>13110000</v>
      </c>
      <c r="E55" s="215">
        <v>0</v>
      </c>
      <c r="F55" s="215">
        <v>325512494.82999998</v>
      </c>
      <c r="G55" s="215">
        <v>0</v>
      </c>
      <c r="H55" s="329">
        <f t="shared" si="0"/>
        <v>13110000</v>
      </c>
    </row>
    <row r="56" spans="1:8" x14ac:dyDescent="0.45">
      <c r="A56" s="215" t="s">
        <v>2078</v>
      </c>
      <c r="B56" s="215" t="s">
        <v>70</v>
      </c>
      <c r="C56" s="215" t="s">
        <v>2061</v>
      </c>
      <c r="D56" s="215">
        <v>1311000</v>
      </c>
      <c r="E56" s="215">
        <v>0</v>
      </c>
      <c r="F56" s="215">
        <v>326823494.82999998</v>
      </c>
      <c r="G56" s="215">
        <v>0</v>
      </c>
      <c r="H56" s="329">
        <f t="shared" si="0"/>
        <v>1311000</v>
      </c>
    </row>
    <row r="57" spans="1:8" x14ac:dyDescent="0.45">
      <c r="A57" s="215" t="s">
        <v>2078</v>
      </c>
      <c r="B57" s="215" t="s">
        <v>2059</v>
      </c>
      <c r="C57" s="215" t="s">
        <v>2060</v>
      </c>
      <c r="D57" s="215">
        <v>8360000</v>
      </c>
      <c r="E57" s="215">
        <v>0</v>
      </c>
      <c r="F57" s="215">
        <v>335183494.82999998</v>
      </c>
      <c r="G57" s="215">
        <v>0</v>
      </c>
      <c r="H57" s="329">
        <f t="shared" si="0"/>
        <v>8360000</v>
      </c>
    </row>
    <row r="58" spans="1:8" x14ac:dyDescent="0.45">
      <c r="A58" s="215" t="s">
        <v>2078</v>
      </c>
      <c r="B58" s="215" t="s">
        <v>70</v>
      </c>
      <c r="C58" s="215" t="s">
        <v>2061</v>
      </c>
      <c r="D58" s="215">
        <v>836000</v>
      </c>
      <c r="E58" s="215">
        <v>0</v>
      </c>
      <c r="F58" s="215">
        <v>336019494.82999998</v>
      </c>
      <c r="G58" s="215">
        <v>0</v>
      </c>
      <c r="H58" s="329">
        <f t="shared" si="0"/>
        <v>836000</v>
      </c>
    </row>
    <row r="59" spans="1:8" x14ac:dyDescent="0.45">
      <c r="A59" s="215" t="s">
        <v>2078</v>
      </c>
      <c r="B59" s="215" t="s">
        <v>2059</v>
      </c>
      <c r="C59" s="215" t="s">
        <v>2060</v>
      </c>
      <c r="D59" s="215">
        <v>5925000</v>
      </c>
      <c r="E59" s="215">
        <v>0</v>
      </c>
      <c r="F59" s="215">
        <v>341944494.82999998</v>
      </c>
      <c r="G59" s="215">
        <v>0</v>
      </c>
      <c r="H59" s="329">
        <f t="shared" si="0"/>
        <v>5925000</v>
      </c>
    </row>
    <row r="60" spans="1:8" x14ac:dyDescent="0.45">
      <c r="A60" s="215" t="s">
        <v>2078</v>
      </c>
      <c r="B60" s="215" t="s">
        <v>70</v>
      </c>
      <c r="C60" s="215" t="s">
        <v>2061</v>
      </c>
      <c r="D60" s="215">
        <v>592500</v>
      </c>
      <c r="E60" s="215">
        <v>0</v>
      </c>
      <c r="F60" s="215">
        <v>342536994.82999998</v>
      </c>
      <c r="G60" s="215">
        <v>0</v>
      </c>
      <c r="H60" s="329">
        <f t="shared" si="0"/>
        <v>592500</v>
      </c>
    </row>
    <row r="61" spans="1:8" x14ac:dyDescent="0.45">
      <c r="A61" s="215" t="s">
        <v>2078</v>
      </c>
      <c r="B61" s="215" t="s">
        <v>2055</v>
      </c>
      <c r="C61" s="215" t="s">
        <v>2056</v>
      </c>
      <c r="D61" s="215">
        <v>0</v>
      </c>
      <c r="E61" s="215">
        <v>16064000</v>
      </c>
      <c r="F61" s="215">
        <v>326472994.82999998</v>
      </c>
      <c r="G61" s="215">
        <v>0</v>
      </c>
      <c r="H61" s="329">
        <f t="shared" si="0"/>
        <v>-16064000</v>
      </c>
    </row>
    <row r="62" spans="1:8" x14ac:dyDescent="0.45">
      <c r="A62" s="215" t="s">
        <v>2078</v>
      </c>
      <c r="B62" s="215" t="s">
        <v>2066</v>
      </c>
      <c r="C62" s="215" t="s">
        <v>2067</v>
      </c>
      <c r="D62" s="215">
        <v>0</v>
      </c>
      <c r="E62" s="215">
        <v>803200</v>
      </c>
      <c r="F62" s="215">
        <v>325669794.82999998</v>
      </c>
      <c r="G62" s="215">
        <v>0</v>
      </c>
      <c r="H62" s="329">
        <f t="shared" si="0"/>
        <v>-803200</v>
      </c>
    </row>
    <row r="63" spans="1:8" x14ac:dyDescent="0.45">
      <c r="A63" s="215" t="s">
        <v>2078</v>
      </c>
      <c r="B63" s="215" t="s">
        <v>2055</v>
      </c>
      <c r="C63" s="215" t="s">
        <v>2056</v>
      </c>
      <c r="D63" s="215">
        <v>0</v>
      </c>
      <c r="E63" s="215">
        <v>3840000</v>
      </c>
      <c r="F63" s="215">
        <v>321829794.82999998</v>
      </c>
      <c r="G63" s="215">
        <v>0</v>
      </c>
      <c r="H63" s="329">
        <f t="shared" si="0"/>
        <v>-3840000</v>
      </c>
    </row>
    <row r="64" spans="1:8" x14ac:dyDescent="0.45">
      <c r="A64" s="215" t="s">
        <v>2078</v>
      </c>
      <c r="B64" s="215" t="s">
        <v>2066</v>
      </c>
      <c r="C64" s="215" t="s">
        <v>2067</v>
      </c>
      <c r="D64" s="215">
        <v>0</v>
      </c>
      <c r="E64" s="215">
        <v>384000</v>
      </c>
      <c r="F64" s="215">
        <v>321445794.82999998</v>
      </c>
      <c r="G64" s="215">
        <v>0</v>
      </c>
      <c r="H64" s="329">
        <f t="shared" si="0"/>
        <v>-384000</v>
      </c>
    </row>
    <row r="65" spans="1:8" x14ac:dyDescent="0.45">
      <c r="A65" s="215" t="s">
        <v>2079</v>
      </c>
      <c r="B65" s="215" t="s">
        <v>2059</v>
      </c>
      <c r="C65" s="215" t="s">
        <v>2060</v>
      </c>
      <c r="D65" s="215">
        <v>11215000</v>
      </c>
      <c r="E65" s="215">
        <v>0</v>
      </c>
      <c r="F65" s="215">
        <v>332660794.82999998</v>
      </c>
      <c r="G65" s="215">
        <v>0</v>
      </c>
      <c r="H65" s="329">
        <f t="shared" si="0"/>
        <v>11215000</v>
      </c>
    </row>
    <row r="66" spans="1:8" x14ac:dyDescent="0.45">
      <c r="A66" s="215" t="s">
        <v>2079</v>
      </c>
      <c r="B66" s="215" t="s">
        <v>70</v>
      </c>
      <c r="C66" s="215" t="s">
        <v>2061</v>
      </c>
      <c r="D66" s="215">
        <v>1121500</v>
      </c>
      <c r="E66" s="215">
        <v>0</v>
      </c>
      <c r="F66" s="215">
        <v>333782294.82999998</v>
      </c>
      <c r="G66" s="215">
        <v>0</v>
      </c>
      <c r="H66" s="329">
        <f t="shared" si="0"/>
        <v>1121500</v>
      </c>
    </row>
    <row r="67" spans="1:8" x14ac:dyDescent="0.45">
      <c r="A67" s="215" t="s">
        <v>2079</v>
      </c>
      <c r="B67" s="215" t="s">
        <v>2059</v>
      </c>
      <c r="C67" s="215" t="s">
        <v>2060</v>
      </c>
      <c r="D67" s="215">
        <v>3500000</v>
      </c>
      <c r="E67" s="215">
        <v>0</v>
      </c>
      <c r="F67" s="215">
        <v>337282294.82999998</v>
      </c>
      <c r="G67" s="215">
        <v>0</v>
      </c>
      <c r="H67" s="329">
        <f t="shared" si="0"/>
        <v>3500000</v>
      </c>
    </row>
    <row r="68" spans="1:8" x14ac:dyDescent="0.45">
      <c r="A68" s="215" t="s">
        <v>2079</v>
      </c>
      <c r="B68" s="215" t="s">
        <v>70</v>
      </c>
      <c r="C68" s="215" t="s">
        <v>2061</v>
      </c>
      <c r="D68" s="215">
        <v>350000</v>
      </c>
      <c r="E68" s="215">
        <v>0</v>
      </c>
      <c r="F68" s="215">
        <v>337632294.82999998</v>
      </c>
      <c r="G68" s="215">
        <v>0</v>
      </c>
      <c r="H68" s="329">
        <f t="shared" si="0"/>
        <v>350000</v>
      </c>
    </row>
    <row r="69" spans="1:8" x14ac:dyDescent="0.45">
      <c r="A69" s="215" t="s">
        <v>2079</v>
      </c>
      <c r="B69" s="215" t="s">
        <v>2059</v>
      </c>
      <c r="C69" s="215" t="s">
        <v>2060</v>
      </c>
      <c r="D69" s="215">
        <v>8150000</v>
      </c>
      <c r="E69" s="215">
        <v>0</v>
      </c>
      <c r="F69" s="215">
        <v>345782294.82999998</v>
      </c>
      <c r="G69" s="215">
        <v>0</v>
      </c>
      <c r="H69" s="329">
        <f t="shared" si="0"/>
        <v>8150000</v>
      </c>
    </row>
    <row r="70" spans="1:8" x14ac:dyDescent="0.45">
      <c r="A70" s="215" t="s">
        <v>2079</v>
      </c>
      <c r="B70" s="215" t="s">
        <v>70</v>
      </c>
      <c r="C70" s="215" t="s">
        <v>2061</v>
      </c>
      <c r="D70" s="215">
        <v>815000</v>
      </c>
      <c r="E70" s="215">
        <v>0</v>
      </c>
      <c r="F70" s="215">
        <v>346597294.82999998</v>
      </c>
      <c r="G70" s="215">
        <v>0</v>
      </c>
      <c r="H70" s="329">
        <f t="shared" ref="H70:H133" si="1">IF(D70&gt;0,D70,-E70)</f>
        <v>815000</v>
      </c>
    </row>
    <row r="71" spans="1:8" x14ac:dyDescent="0.45">
      <c r="A71" s="215" t="s">
        <v>2079</v>
      </c>
      <c r="B71" s="215" t="s">
        <v>2055</v>
      </c>
      <c r="C71" s="215" t="s">
        <v>2056</v>
      </c>
      <c r="D71" s="215">
        <v>0</v>
      </c>
      <c r="E71" s="215">
        <v>14850000</v>
      </c>
      <c r="F71" s="215">
        <v>331747294.82999998</v>
      </c>
      <c r="G71" s="215">
        <v>0</v>
      </c>
      <c r="H71" s="329">
        <f t="shared" si="1"/>
        <v>-14850000</v>
      </c>
    </row>
    <row r="72" spans="1:8" x14ac:dyDescent="0.45">
      <c r="A72" s="215" t="s">
        <v>2079</v>
      </c>
      <c r="B72" s="215" t="s">
        <v>2066</v>
      </c>
      <c r="C72" s="215" t="s">
        <v>2067</v>
      </c>
      <c r="D72" s="215">
        <v>0</v>
      </c>
      <c r="E72" s="215">
        <v>1485000</v>
      </c>
      <c r="F72" s="215">
        <v>330262294.82999998</v>
      </c>
      <c r="G72" s="215">
        <v>0</v>
      </c>
      <c r="H72" s="329">
        <f t="shared" si="1"/>
        <v>-1485000</v>
      </c>
    </row>
    <row r="73" spans="1:8" x14ac:dyDescent="0.45">
      <c r="A73" s="215" t="s">
        <v>2080</v>
      </c>
      <c r="B73" s="215" t="s">
        <v>2081</v>
      </c>
      <c r="C73" s="215" t="s">
        <v>2082</v>
      </c>
      <c r="D73" s="215">
        <v>92035223</v>
      </c>
      <c r="E73" s="215">
        <v>0</v>
      </c>
      <c r="F73" s="215">
        <v>422297517.82999998</v>
      </c>
      <c r="G73" s="215">
        <v>0</v>
      </c>
      <c r="H73" s="329">
        <f t="shared" si="1"/>
        <v>92035223</v>
      </c>
    </row>
    <row r="74" spans="1:8" x14ac:dyDescent="0.45">
      <c r="A74" s="215" t="s">
        <v>2083</v>
      </c>
      <c r="B74" s="215" t="s">
        <v>2059</v>
      </c>
      <c r="C74" s="215" t="s">
        <v>2060</v>
      </c>
      <c r="D74" s="215">
        <v>13965000</v>
      </c>
      <c r="E74" s="215">
        <v>0</v>
      </c>
      <c r="F74" s="215">
        <v>436262517.82999998</v>
      </c>
      <c r="G74" s="215">
        <v>0</v>
      </c>
      <c r="H74" s="329">
        <f t="shared" si="1"/>
        <v>13965000</v>
      </c>
    </row>
    <row r="75" spans="1:8" x14ac:dyDescent="0.45">
      <c r="A75" s="215" t="s">
        <v>2083</v>
      </c>
      <c r="B75" s="215" t="s">
        <v>70</v>
      </c>
      <c r="C75" s="215" t="s">
        <v>2061</v>
      </c>
      <c r="D75" s="215">
        <v>1396500</v>
      </c>
      <c r="E75" s="215">
        <v>0</v>
      </c>
      <c r="F75" s="215">
        <v>437659017.82999998</v>
      </c>
      <c r="G75" s="215">
        <v>0</v>
      </c>
      <c r="H75" s="329">
        <f t="shared" si="1"/>
        <v>1396500</v>
      </c>
    </row>
    <row r="76" spans="1:8" x14ac:dyDescent="0.45">
      <c r="A76" s="215" t="s">
        <v>2083</v>
      </c>
      <c r="B76" s="215" t="s">
        <v>2059</v>
      </c>
      <c r="C76" s="215" t="s">
        <v>2060</v>
      </c>
      <c r="D76" s="215">
        <v>9890000</v>
      </c>
      <c r="E76" s="215">
        <v>0</v>
      </c>
      <c r="F76" s="215">
        <v>447549017.82999998</v>
      </c>
      <c r="G76" s="215">
        <v>0</v>
      </c>
      <c r="H76" s="329">
        <f t="shared" si="1"/>
        <v>9890000</v>
      </c>
    </row>
    <row r="77" spans="1:8" x14ac:dyDescent="0.45">
      <c r="A77" s="215" t="s">
        <v>2083</v>
      </c>
      <c r="B77" s="215" t="s">
        <v>70</v>
      </c>
      <c r="C77" s="215" t="s">
        <v>2061</v>
      </c>
      <c r="D77" s="215">
        <v>989000</v>
      </c>
      <c r="E77" s="215">
        <v>0</v>
      </c>
      <c r="F77" s="215">
        <v>448538017.82999998</v>
      </c>
      <c r="G77" s="215">
        <v>0</v>
      </c>
      <c r="H77" s="329">
        <f t="shared" si="1"/>
        <v>989000</v>
      </c>
    </row>
    <row r="78" spans="1:8" x14ac:dyDescent="0.45">
      <c r="A78" s="215" t="s">
        <v>2084</v>
      </c>
      <c r="B78" s="215" t="s">
        <v>2059</v>
      </c>
      <c r="C78" s="215" t="s">
        <v>2060</v>
      </c>
      <c r="D78" s="215">
        <v>5960000</v>
      </c>
      <c r="E78" s="215">
        <v>0</v>
      </c>
      <c r="F78" s="215">
        <v>454498017.82999998</v>
      </c>
      <c r="G78" s="215">
        <v>0</v>
      </c>
      <c r="H78" s="329">
        <f t="shared" si="1"/>
        <v>5960000</v>
      </c>
    </row>
    <row r="79" spans="1:8" x14ac:dyDescent="0.45">
      <c r="A79" s="215" t="s">
        <v>2084</v>
      </c>
      <c r="B79" s="215" t="s">
        <v>70</v>
      </c>
      <c r="C79" s="215" t="s">
        <v>2061</v>
      </c>
      <c r="D79" s="215">
        <v>596000</v>
      </c>
      <c r="E79" s="215">
        <v>0</v>
      </c>
      <c r="F79" s="215">
        <v>455094017.82999998</v>
      </c>
      <c r="G79" s="215">
        <v>0</v>
      </c>
      <c r="H79" s="329">
        <f t="shared" si="1"/>
        <v>596000</v>
      </c>
    </row>
    <row r="80" spans="1:8" x14ac:dyDescent="0.45">
      <c r="A80" s="215" t="s">
        <v>2085</v>
      </c>
      <c r="B80" s="215" t="s">
        <v>2071</v>
      </c>
      <c r="C80" s="215" t="s">
        <v>2072</v>
      </c>
      <c r="D80" s="215">
        <v>0</v>
      </c>
      <c r="E80" s="215">
        <v>5000000</v>
      </c>
      <c r="F80" s="215">
        <v>450094017.82999998</v>
      </c>
      <c r="G80" s="215">
        <v>0</v>
      </c>
      <c r="H80" s="329">
        <f t="shared" si="1"/>
        <v>-5000000</v>
      </c>
    </row>
    <row r="81" spans="1:8" x14ac:dyDescent="0.45">
      <c r="A81" s="215" t="s">
        <v>2086</v>
      </c>
      <c r="B81" s="215" t="s">
        <v>2087</v>
      </c>
      <c r="C81" s="215" t="s">
        <v>2065</v>
      </c>
      <c r="D81" s="215">
        <v>0</v>
      </c>
      <c r="E81" s="215">
        <v>4500000</v>
      </c>
      <c r="F81" s="215">
        <v>445594017.82999998</v>
      </c>
      <c r="G81" s="215">
        <v>0</v>
      </c>
      <c r="H81" s="329">
        <f t="shared" si="1"/>
        <v>-4500000</v>
      </c>
    </row>
    <row r="82" spans="1:8" x14ac:dyDescent="0.45">
      <c r="A82" s="215" t="s">
        <v>2086</v>
      </c>
      <c r="B82" s="215" t="s">
        <v>2088</v>
      </c>
      <c r="C82" s="215" t="s">
        <v>2065</v>
      </c>
      <c r="D82" s="215">
        <v>0</v>
      </c>
      <c r="E82" s="215">
        <v>1575000</v>
      </c>
      <c r="F82" s="215">
        <v>444019017.82999998</v>
      </c>
      <c r="G82" s="215">
        <v>0</v>
      </c>
      <c r="H82" s="329">
        <f t="shared" si="1"/>
        <v>-1575000</v>
      </c>
    </row>
    <row r="83" spans="1:8" x14ac:dyDescent="0.45">
      <c r="A83" s="215" t="s">
        <v>2086</v>
      </c>
      <c r="B83" s="215" t="s">
        <v>2089</v>
      </c>
      <c r="C83" s="215" t="s">
        <v>2065</v>
      </c>
      <c r="D83" s="215">
        <v>0</v>
      </c>
      <c r="E83" s="215">
        <v>2800000</v>
      </c>
      <c r="F83" s="215">
        <v>441219017.82999998</v>
      </c>
      <c r="G83" s="215">
        <v>0</v>
      </c>
      <c r="H83" s="329">
        <f t="shared" si="1"/>
        <v>-2800000</v>
      </c>
    </row>
    <row r="84" spans="1:8" x14ac:dyDescent="0.45">
      <c r="A84" s="215" t="s">
        <v>2086</v>
      </c>
      <c r="B84" s="215" t="s">
        <v>2090</v>
      </c>
      <c r="C84" s="215" t="s">
        <v>2091</v>
      </c>
      <c r="D84" s="215">
        <v>0</v>
      </c>
      <c r="E84" s="215">
        <v>28118531</v>
      </c>
      <c r="F84" s="215">
        <v>413100486.82999998</v>
      </c>
      <c r="G84" s="215">
        <v>0</v>
      </c>
      <c r="H84" s="329">
        <f t="shared" si="1"/>
        <v>-28118531</v>
      </c>
    </row>
    <row r="85" spans="1:8" x14ac:dyDescent="0.45">
      <c r="A85" s="215" t="s">
        <v>2092</v>
      </c>
      <c r="B85" s="215" t="s">
        <v>2064</v>
      </c>
      <c r="C85" s="215" t="s">
        <v>2065</v>
      </c>
      <c r="D85" s="215">
        <v>0</v>
      </c>
      <c r="E85" s="215">
        <v>2906280</v>
      </c>
      <c r="F85" s="215">
        <v>410194206.82999998</v>
      </c>
      <c r="G85" s="215">
        <v>0</v>
      </c>
      <c r="H85" s="329">
        <f t="shared" si="1"/>
        <v>-2906280</v>
      </c>
    </row>
    <row r="86" spans="1:8" x14ac:dyDescent="0.45">
      <c r="A86" s="215" t="s">
        <v>2092</v>
      </c>
      <c r="B86" s="215" t="s">
        <v>2066</v>
      </c>
      <c r="C86" s="215" t="s">
        <v>2067</v>
      </c>
      <c r="D86" s="215">
        <v>0</v>
      </c>
      <c r="E86" s="215">
        <v>290628</v>
      </c>
      <c r="F86" s="215">
        <v>409903578.82999998</v>
      </c>
      <c r="G86" s="215">
        <v>0</v>
      </c>
      <c r="H86" s="329">
        <f t="shared" si="1"/>
        <v>-290628</v>
      </c>
    </row>
    <row r="87" spans="1:8" x14ac:dyDescent="0.45">
      <c r="A87" s="215" t="s">
        <v>2093</v>
      </c>
      <c r="B87" s="215" t="s">
        <v>2071</v>
      </c>
      <c r="C87" s="215" t="s">
        <v>2072</v>
      </c>
      <c r="D87" s="215">
        <v>0</v>
      </c>
      <c r="E87" s="215">
        <v>40000000</v>
      </c>
      <c r="F87" s="215">
        <v>369903578.82999998</v>
      </c>
      <c r="G87" s="215">
        <v>0</v>
      </c>
      <c r="H87" s="329">
        <f t="shared" si="1"/>
        <v>-40000000</v>
      </c>
    </row>
    <row r="88" spans="1:8" x14ac:dyDescent="0.45">
      <c r="A88" s="215" t="s">
        <v>2094</v>
      </c>
      <c r="B88" s="215" t="s">
        <v>2059</v>
      </c>
      <c r="C88" s="215" t="s">
        <v>2060</v>
      </c>
      <c r="D88" s="215">
        <v>7905000</v>
      </c>
      <c r="E88" s="215">
        <v>0</v>
      </c>
      <c r="F88" s="215">
        <v>377808578.82999998</v>
      </c>
      <c r="G88" s="215">
        <v>0</v>
      </c>
      <c r="H88" s="329">
        <f t="shared" si="1"/>
        <v>7905000</v>
      </c>
    </row>
    <row r="89" spans="1:8" x14ac:dyDescent="0.45">
      <c r="A89" s="215" t="s">
        <v>2094</v>
      </c>
      <c r="B89" s="215" t="s">
        <v>70</v>
      </c>
      <c r="C89" s="215" t="s">
        <v>2061</v>
      </c>
      <c r="D89" s="215">
        <v>790500</v>
      </c>
      <c r="E89" s="215">
        <v>0</v>
      </c>
      <c r="F89" s="215">
        <v>378599078.82999998</v>
      </c>
      <c r="G89" s="215">
        <v>0</v>
      </c>
      <c r="H89" s="329">
        <f t="shared" si="1"/>
        <v>790500</v>
      </c>
    </row>
    <row r="90" spans="1:8" x14ac:dyDescent="0.45">
      <c r="A90" s="215" t="s">
        <v>2095</v>
      </c>
      <c r="B90" s="215" t="s">
        <v>2096</v>
      </c>
      <c r="C90" s="215" t="s">
        <v>2097</v>
      </c>
      <c r="D90" s="215">
        <v>0</v>
      </c>
      <c r="E90" s="215">
        <v>3272727</v>
      </c>
      <c r="F90" s="215">
        <v>375326351.82999998</v>
      </c>
      <c r="G90" s="215">
        <v>0</v>
      </c>
      <c r="H90" s="329">
        <f t="shared" si="1"/>
        <v>-3272727</v>
      </c>
    </row>
    <row r="91" spans="1:8" x14ac:dyDescent="0.45">
      <c r="A91" s="215" t="s">
        <v>2095</v>
      </c>
      <c r="B91" s="215" t="s">
        <v>2066</v>
      </c>
      <c r="C91" s="215" t="s">
        <v>2067</v>
      </c>
      <c r="D91" s="215">
        <v>0</v>
      </c>
      <c r="E91" s="215">
        <v>327273</v>
      </c>
      <c r="F91" s="215">
        <v>374999078.82999998</v>
      </c>
      <c r="G91" s="215">
        <v>0</v>
      </c>
      <c r="H91" s="329">
        <f t="shared" si="1"/>
        <v>-327273</v>
      </c>
    </row>
    <row r="92" spans="1:8" x14ac:dyDescent="0.45">
      <c r="A92" s="215" t="s">
        <v>2098</v>
      </c>
      <c r="B92" s="215" t="s">
        <v>2059</v>
      </c>
      <c r="C92" s="215" t="s">
        <v>2060</v>
      </c>
      <c r="D92" s="215">
        <v>10300000</v>
      </c>
      <c r="E92" s="215">
        <v>0</v>
      </c>
      <c r="F92" s="215">
        <v>385299078.82999998</v>
      </c>
      <c r="G92" s="215">
        <v>0</v>
      </c>
      <c r="H92" s="329">
        <f t="shared" si="1"/>
        <v>10300000</v>
      </c>
    </row>
    <row r="93" spans="1:8" x14ac:dyDescent="0.45">
      <c r="A93" s="215" t="s">
        <v>2098</v>
      </c>
      <c r="B93" s="215" t="s">
        <v>70</v>
      </c>
      <c r="C93" s="215" t="s">
        <v>2061</v>
      </c>
      <c r="D93" s="215">
        <v>1030000</v>
      </c>
      <c r="E93" s="215">
        <v>0</v>
      </c>
      <c r="F93" s="215">
        <v>386329078.82999998</v>
      </c>
      <c r="G93" s="215">
        <v>0</v>
      </c>
      <c r="H93" s="329">
        <f t="shared" si="1"/>
        <v>1030000</v>
      </c>
    </row>
    <row r="94" spans="1:8" x14ac:dyDescent="0.45">
      <c r="A94" s="215" t="s">
        <v>2099</v>
      </c>
      <c r="B94" s="215" t="s">
        <v>2059</v>
      </c>
      <c r="C94" s="215" t="s">
        <v>2060</v>
      </c>
      <c r="D94" s="215">
        <v>3600000</v>
      </c>
      <c r="E94" s="215">
        <v>0</v>
      </c>
      <c r="F94" s="215">
        <v>389929078.82999998</v>
      </c>
      <c r="G94" s="215">
        <v>0</v>
      </c>
      <c r="H94" s="329">
        <f t="shared" si="1"/>
        <v>3600000</v>
      </c>
    </row>
    <row r="95" spans="1:8" x14ac:dyDescent="0.45">
      <c r="A95" s="215" t="s">
        <v>2099</v>
      </c>
      <c r="B95" s="215" t="s">
        <v>70</v>
      </c>
      <c r="C95" s="215" t="s">
        <v>2061</v>
      </c>
      <c r="D95" s="215">
        <v>360000</v>
      </c>
      <c r="E95" s="215">
        <v>0</v>
      </c>
      <c r="F95" s="215">
        <v>390289078.82999998</v>
      </c>
      <c r="G95" s="215">
        <v>0</v>
      </c>
      <c r="H95" s="329">
        <f t="shared" si="1"/>
        <v>360000</v>
      </c>
    </row>
    <row r="96" spans="1:8" x14ac:dyDescent="0.45">
      <c r="A96" s="215" t="s">
        <v>2099</v>
      </c>
      <c r="B96" s="215" t="s">
        <v>2059</v>
      </c>
      <c r="C96" s="215" t="s">
        <v>2060</v>
      </c>
      <c r="D96" s="215">
        <v>11410000</v>
      </c>
      <c r="E96" s="215">
        <v>0</v>
      </c>
      <c r="F96" s="215">
        <v>401699078.82999998</v>
      </c>
      <c r="G96" s="215">
        <v>0</v>
      </c>
      <c r="H96" s="329">
        <f t="shared" si="1"/>
        <v>11410000</v>
      </c>
    </row>
    <row r="97" spans="1:8" x14ac:dyDescent="0.45">
      <c r="A97" s="215" t="s">
        <v>2099</v>
      </c>
      <c r="B97" s="215" t="s">
        <v>70</v>
      </c>
      <c r="C97" s="215" t="s">
        <v>2061</v>
      </c>
      <c r="D97" s="215">
        <v>1141000</v>
      </c>
      <c r="E97" s="215">
        <v>0</v>
      </c>
      <c r="F97" s="215">
        <v>402840078.82999998</v>
      </c>
      <c r="G97" s="215">
        <v>0</v>
      </c>
      <c r="H97" s="329">
        <f t="shared" si="1"/>
        <v>1141000</v>
      </c>
    </row>
    <row r="98" spans="1:8" x14ac:dyDescent="0.45">
      <c r="A98" s="215" t="s">
        <v>2100</v>
      </c>
      <c r="B98" s="215" t="s">
        <v>2055</v>
      </c>
      <c r="C98" s="215" t="s">
        <v>2056</v>
      </c>
      <c r="D98" s="215">
        <v>0</v>
      </c>
      <c r="E98" s="215">
        <v>2181840</v>
      </c>
      <c r="F98" s="215">
        <v>400658238.82999998</v>
      </c>
      <c r="G98" s="215">
        <v>0</v>
      </c>
      <c r="H98" s="329">
        <f t="shared" si="1"/>
        <v>-2181840</v>
      </c>
    </row>
    <row r="99" spans="1:8" x14ac:dyDescent="0.45">
      <c r="A99" s="215" t="s">
        <v>2100</v>
      </c>
      <c r="B99" s="215" t="s">
        <v>2066</v>
      </c>
      <c r="C99" s="215" t="s">
        <v>2067</v>
      </c>
      <c r="D99" s="215">
        <v>0</v>
      </c>
      <c r="E99" s="215">
        <v>218184</v>
      </c>
      <c r="F99" s="215">
        <v>400440054.82999998</v>
      </c>
      <c r="G99" s="215">
        <v>0</v>
      </c>
      <c r="H99" s="329">
        <f t="shared" si="1"/>
        <v>-218184</v>
      </c>
    </row>
    <row r="100" spans="1:8" x14ac:dyDescent="0.45">
      <c r="A100" s="215" t="s">
        <v>2101</v>
      </c>
      <c r="B100" s="215" t="s">
        <v>2102</v>
      </c>
      <c r="C100" s="215" t="s">
        <v>2065</v>
      </c>
      <c r="D100" s="215">
        <v>0</v>
      </c>
      <c r="E100" s="215">
        <v>1700000</v>
      </c>
      <c r="F100" s="215">
        <v>398740054.82999998</v>
      </c>
      <c r="G100" s="215">
        <v>0</v>
      </c>
      <c r="H100" s="329">
        <f t="shared" si="1"/>
        <v>-1700000</v>
      </c>
    </row>
    <row r="101" spans="1:8" x14ac:dyDescent="0.45">
      <c r="A101" s="215" t="s">
        <v>2101</v>
      </c>
      <c r="B101" s="215" t="s">
        <v>2090</v>
      </c>
      <c r="C101" s="215" t="s">
        <v>2091</v>
      </c>
      <c r="D101" s="215">
        <v>0</v>
      </c>
      <c r="E101" s="215">
        <v>21497371</v>
      </c>
      <c r="F101" s="215">
        <v>377242683.82999998</v>
      </c>
      <c r="G101" s="215">
        <v>0</v>
      </c>
      <c r="H101" s="329">
        <f t="shared" si="1"/>
        <v>-21497371</v>
      </c>
    </row>
    <row r="102" spans="1:8" x14ac:dyDescent="0.45">
      <c r="A102" s="215" t="s">
        <v>2101</v>
      </c>
      <c r="B102" s="215" t="s">
        <v>2103</v>
      </c>
      <c r="C102" s="215" t="s">
        <v>2065</v>
      </c>
      <c r="D102" s="215">
        <v>0</v>
      </c>
      <c r="E102" s="215">
        <v>925000</v>
      </c>
      <c r="F102" s="215">
        <v>376317683.82999998</v>
      </c>
      <c r="G102" s="215">
        <v>0</v>
      </c>
      <c r="H102" s="329">
        <f t="shared" si="1"/>
        <v>-925000</v>
      </c>
    </row>
    <row r="103" spans="1:8" x14ac:dyDescent="0.45">
      <c r="A103" s="215" t="s">
        <v>2101</v>
      </c>
      <c r="B103" s="215" t="s">
        <v>2104</v>
      </c>
      <c r="C103" s="215" t="s">
        <v>2065</v>
      </c>
      <c r="D103" s="215">
        <v>0</v>
      </c>
      <c r="E103" s="215">
        <v>1111000</v>
      </c>
      <c r="F103" s="215">
        <v>375206683.82999998</v>
      </c>
      <c r="G103" s="215">
        <v>0</v>
      </c>
      <c r="H103" s="329">
        <f t="shared" si="1"/>
        <v>-1111000</v>
      </c>
    </row>
    <row r="104" spans="1:8" x14ac:dyDescent="0.45">
      <c r="A104" s="215" t="s">
        <v>2105</v>
      </c>
      <c r="B104" s="215" t="s">
        <v>2064</v>
      </c>
      <c r="C104" s="215" t="s">
        <v>2065</v>
      </c>
      <c r="D104" s="215">
        <v>0</v>
      </c>
      <c r="E104" s="215">
        <v>3096000</v>
      </c>
      <c r="F104" s="215">
        <v>372110683.82999998</v>
      </c>
      <c r="G104" s="215">
        <v>0</v>
      </c>
      <c r="H104" s="329">
        <f t="shared" si="1"/>
        <v>-3096000</v>
      </c>
    </row>
    <row r="105" spans="1:8" x14ac:dyDescent="0.45">
      <c r="A105" s="215" t="s">
        <v>2105</v>
      </c>
      <c r="B105" s="215" t="s">
        <v>2066</v>
      </c>
      <c r="C105" s="215" t="s">
        <v>2067</v>
      </c>
      <c r="D105" s="215">
        <v>0</v>
      </c>
      <c r="E105" s="215">
        <v>309600</v>
      </c>
      <c r="F105" s="215">
        <v>371801083.82999998</v>
      </c>
      <c r="G105" s="215">
        <v>0</v>
      </c>
      <c r="H105" s="329">
        <f t="shared" si="1"/>
        <v>-309600</v>
      </c>
    </row>
    <row r="106" spans="1:8" x14ac:dyDescent="0.45">
      <c r="A106" s="215" t="s">
        <v>2106</v>
      </c>
      <c r="B106" s="215" t="s">
        <v>2107</v>
      </c>
      <c r="C106" s="215" t="s">
        <v>2108</v>
      </c>
      <c r="D106" s="215">
        <v>0</v>
      </c>
      <c r="E106" s="215">
        <v>12800000</v>
      </c>
      <c r="F106" s="215">
        <v>359001083.82999998</v>
      </c>
      <c r="G106" s="215">
        <v>0</v>
      </c>
      <c r="H106" s="329">
        <f t="shared" si="1"/>
        <v>-12800000</v>
      </c>
    </row>
    <row r="107" spans="1:8" x14ac:dyDescent="0.45">
      <c r="A107" s="215" t="s">
        <v>2109</v>
      </c>
      <c r="B107" s="215" t="s">
        <v>2110</v>
      </c>
      <c r="C107" s="215" t="s">
        <v>2097</v>
      </c>
      <c r="D107" s="215">
        <v>0</v>
      </c>
      <c r="E107" s="215">
        <v>366803</v>
      </c>
      <c r="F107" s="215">
        <v>358634280.82999998</v>
      </c>
      <c r="G107" s="215">
        <v>0</v>
      </c>
      <c r="H107" s="329">
        <f t="shared" si="1"/>
        <v>-366803</v>
      </c>
    </row>
    <row r="108" spans="1:8" x14ac:dyDescent="0.45">
      <c r="A108" s="215" t="s">
        <v>2109</v>
      </c>
      <c r="B108" s="215" t="s">
        <v>2066</v>
      </c>
      <c r="C108" s="215" t="s">
        <v>2067</v>
      </c>
      <c r="D108" s="215">
        <v>0</v>
      </c>
      <c r="E108" s="215">
        <v>36680</v>
      </c>
      <c r="F108" s="215">
        <v>358597600.82999998</v>
      </c>
      <c r="G108" s="215">
        <v>0</v>
      </c>
      <c r="H108" s="329">
        <f t="shared" si="1"/>
        <v>-36680</v>
      </c>
    </row>
    <row r="109" spans="1:8" x14ac:dyDescent="0.45">
      <c r="A109" s="215" t="s">
        <v>2111</v>
      </c>
      <c r="B109" s="215" t="s">
        <v>2059</v>
      </c>
      <c r="C109" s="215" t="s">
        <v>2060</v>
      </c>
      <c r="D109" s="215">
        <v>2520000</v>
      </c>
      <c r="E109" s="215">
        <v>0</v>
      </c>
      <c r="F109" s="215">
        <v>361117600.82999998</v>
      </c>
      <c r="G109" s="215">
        <v>0</v>
      </c>
      <c r="H109" s="329">
        <f t="shared" si="1"/>
        <v>2520000</v>
      </c>
    </row>
    <row r="110" spans="1:8" x14ac:dyDescent="0.45">
      <c r="A110" s="215" t="s">
        <v>2111</v>
      </c>
      <c r="B110" s="215" t="s">
        <v>70</v>
      </c>
      <c r="C110" s="215" t="s">
        <v>2061</v>
      </c>
      <c r="D110" s="215">
        <v>252000</v>
      </c>
      <c r="E110" s="215">
        <v>0</v>
      </c>
      <c r="F110" s="215">
        <v>361369600.82999998</v>
      </c>
      <c r="G110" s="215">
        <v>0</v>
      </c>
      <c r="H110" s="329">
        <f t="shared" si="1"/>
        <v>252000</v>
      </c>
    </row>
    <row r="111" spans="1:8" x14ac:dyDescent="0.45">
      <c r="A111" s="215" t="s">
        <v>2111</v>
      </c>
      <c r="B111" s="215" t="s">
        <v>2055</v>
      </c>
      <c r="C111" s="215" t="s">
        <v>2056</v>
      </c>
      <c r="D111" s="215">
        <v>0</v>
      </c>
      <c r="E111" s="215">
        <v>3840000</v>
      </c>
      <c r="F111" s="215">
        <v>357529600.82999998</v>
      </c>
      <c r="G111" s="215">
        <v>0</v>
      </c>
      <c r="H111" s="329">
        <f t="shared" si="1"/>
        <v>-3840000</v>
      </c>
    </row>
    <row r="112" spans="1:8" x14ac:dyDescent="0.45">
      <c r="A112" s="215" t="s">
        <v>2111</v>
      </c>
      <c r="B112" s="215" t="s">
        <v>2066</v>
      </c>
      <c r="C112" s="215" t="s">
        <v>2067</v>
      </c>
      <c r="D112" s="215">
        <v>0</v>
      </c>
      <c r="E112" s="215">
        <v>384000</v>
      </c>
      <c r="F112" s="215">
        <v>357145600.82999998</v>
      </c>
      <c r="G112" s="215">
        <v>0</v>
      </c>
      <c r="H112" s="329">
        <f t="shared" si="1"/>
        <v>-384000</v>
      </c>
    </row>
    <row r="113" spans="1:8" x14ac:dyDescent="0.45">
      <c r="A113" s="215" t="s">
        <v>2112</v>
      </c>
      <c r="B113" s="215" t="s">
        <v>2059</v>
      </c>
      <c r="C113" s="215" t="s">
        <v>2060</v>
      </c>
      <c r="D113" s="215">
        <v>15075000</v>
      </c>
      <c r="E113" s="215">
        <v>0</v>
      </c>
      <c r="F113" s="215">
        <v>372220600.82999998</v>
      </c>
      <c r="G113" s="215">
        <v>0</v>
      </c>
      <c r="H113" s="329">
        <f t="shared" si="1"/>
        <v>15075000</v>
      </c>
    </row>
    <row r="114" spans="1:8" x14ac:dyDescent="0.45">
      <c r="A114" s="215" t="s">
        <v>2112</v>
      </c>
      <c r="B114" s="215" t="s">
        <v>70</v>
      </c>
      <c r="C114" s="215" t="s">
        <v>2061</v>
      </c>
      <c r="D114" s="215">
        <v>1507500</v>
      </c>
      <c r="E114" s="215">
        <v>0</v>
      </c>
      <c r="F114" s="215">
        <v>373728100.82999998</v>
      </c>
      <c r="G114" s="215">
        <v>0</v>
      </c>
      <c r="H114" s="329">
        <f t="shared" si="1"/>
        <v>1507500</v>
      </c>
    </row>
    <row r="115" spans="1:8" x14ac:dyDescent="0.45">
      <c r="A115" s="215" t="s">
        <v>2113</v>
      </c>
      <c r="B115" s="215" t="s">
        <v>2059</v>
      </c>
      <c r="C115" s="215" t="s">
        <v>2060</v>
      </c>
      <c r="D115" s="215">
        <v>3970000</v>
      </c>
      <c r="E115" s="215">
        <v>0</v>
      </c>
      <c r="F115" s="215">
        <v>377698100.82999998</v>
      </c>
      <c r="G115" s="215">
        <v>0</v>
      </c>
      <c r="H115" s="329">
        <f t="shared" si="1"/>
        <v>3970000</v>
      </c>
    </row>
    <row r="116" spans="1:8" x14ac:dyDescent="0.45">
      <c r="A116" s="215" t="s">
        <v>2113</v>
      </c>
      <c r="B116" s="215" t="s">
        <v>70</v>
      </c>
      <c r="C116" s="215" t="s">
        <v>2061</v>
      </c>
      <c r="D116" s="215">
        <v>397000</v>
      </c>
      <c r="E116" s="215">
        <v>0</v>
      </c>
      <c r="F116" s="215">
        <v>378095100.82999998</v>
      </c>
      <c r="G116" s="215">
        <v>0</v>
      </c>
      <c r="H116" s="329">
        <f t="shared" si="1"/>
        <v>397000</v>
      </c>
    </row>
    <row r="117" spans="1:8" x14ac:dyDescent="0.45">
      <c r="A117" s="215" t="s">
        <v>2113</v>
      </c>
      <c r="B117" s="215" t="s">
        <v>2059</v>
      </c>
      <c r="C117" s="215" t="s">
        <v>2060</v>
      </c>
      <c r="D117" s="215">
        <v>5830000</v>
      </c>
      <c r="E117" s="215">
        <v>0</v>
      </c>
      <c r="F117" s="215">
        <v>383925100.82999998</v>
      </c>
      <c r="G117" s="215">
        <v>0</v>
      </c>
      <c r="H117" s="329">
        <f t="shared" si="1"/>
        <v>5830000</v>
      </c>
    </row>
    <row r="118" spans="1:8" x14ac:dyDescent="0.45">
      <c r="A118" s="215" t="s">
        <v>2113</v>
      </c>
      <c r="B118" s="215" t="s">
        <v>70</v>
      </c>
      <c r="C118" s="215" t="s">
        <v>2061</v>
      </c>
      <c r="D118" s="215">
        <v>583000</v>
      </c>
      <c r="E118" s="215">
        <v>0</v>
      </c>
      <c r="F118" s="215">
        <v>384508100.82999998</v>
      </c>
      <c r="G118" s="215">
        <v>0</v>
      </c>
      <c r="H118" s="329">
        <f t="shared" si="1"/>
        <v>583000</v>
      </c>
    </row>
    <row r="119" spans="1:8" x14ac:dyDescent="0.45">
      <c r="A119" s="215" t="s">
        <v>2114</v>
      </c>
      <c r="B119" s="215" t="s">
        <v>2115</v>
      </c>
      <c r="C119" s="215" t="s">
        <v>2116</v>
      </c>
      <c r="D119" s="215">
        <v>0</v>
      </c>
      <c r="E119" s="215">
        <v>477273</v>
      </c>
      <c r="F119" s="215">
        <v>384030827.82999998</v>
      </c>
      <c r="G119" s="215">
        <v>0</v>
      </c>
      <c r="H119" s="329">
        <f t="shared" si="1"/>
        <v>-477273</v>
      </c>
    </row>
    <row r="120" spans="1:8" x14ac:dyDescent="0.45">
      <c r="A120" s="215" t="s">
        <v>2114</v>
      </c>
      <c r="B120" s="215" t="s">
        <v>2076</v>
      </c>
      <c r="C120" s="215" t="s">
        <v>2065</v>
      </c>
      <c r="D120" s="215">
        <v>0</v>
      </c>
      <c r="E120" s="215">
        <v>233363</v>
      </c>
      <c r="F120" s="215">
        <v>383797464.82999998</v>
      </c>
      <c r="G120" s="215">
        <v>0</v>
      </c>
      <c r="H120" s="329">
        <f t="shared" si="1"/>
        <v>-233363</v>
      </c>
    </row>
    <row r="121" spans="1:8" x14ac:dyDescent="0.45">
      <c r="A121" s="215" t="s">
        <v>2117</v>
      </c>
      <c r="B121" s="215" t="s">
        <v>2118</v>
      </c>
      <c r="C121" s="215" t="s">
        <v>2065</v>
      </c>
      <c r="D121" s="215">
        <v>0</v>
      </c>
      <c r="E121" s="215">
        <v>960000</v>
      </c>
      <c r="F121" s="215">
        <v>382837464.82999998</v>
      </c>
      <c r="G121" s="215">
        <v>0</v>
      </c>
      <c r="H121" s="329">
        <f t="shared" si="1"/>
        <v>-960000</v>
      </c>
    </row>
    <row r="122" spans="1:8" x14ac:dyDescent="0.45">
      <c r="A122" s="215" t="s">
        <v>2117</v>
      </c>
      <c r="B122" s="215" t="s">
        <v>2119</v>
      </c>
      <c r="C122" s="215" t="s">
        <v>2065</v>
      </c>
      <c r="D122" s="215">
        <v>0</v>
      </c>
      <c r="E122" s="215">
        <v>1340000</v>
      </c>
      <c r="F122" s="215">
        <v>381497464.82999998</v>
      </c>
      <c r="G122" s="215">
        <v>0</v>
      </c>
      <c r="H122" s="329">
        <f t="shared" si="1"/>
        <v>-1340000</v>
      </c>
    </row>
    <row r="123" spans="1:8" x14ac:dyDescent="0.45">
      <c r="A123" s="215" t="s">
        <v>2117</v>
      </c>
      <c r="B123" s="215" t="s">
        <v>2120</v>
      </c>
      <c r="C123" s="215" t="s">
        <v>2065</v>
      </c>
      <c r="D123" s="215">
        <v>0</v>
      </c>
      <c r="E123" s="215">
        <v>1500000</v>
      </c>
      <c r="F123" s="215">
        <v>379997464.82999998</v>
      </c>
      <c r="G123" s="215">
        <v>0</v>
      </c>
      <c r="H123" s="329">
        <f t="shared" si="1"/>
        <v>-1500000</v>
      </c>
    </row>
    <row r="124" spans="1:8" x14ac:dyDescent="0.45">
      <c r="A124" s="215" t="s">
        <v>2117</v>
      </c>
      <c r="B124" s="215" t="s">
        <v>2090</v>
      </c>
      <c r="C124" s="215" t="s">
        <v>2091</v>
      </c>
      <c r="D124" s="215">
        <v>0</v>
      </c>
      <c r="E124" s="215">
        <v>22443251</v>
      </c>
      <c r="F124" s="215">
        <v>357554213.82999998</v>
      </c>
      <c r="G124" s="215">
        <v>0</v>
      </c>
      <c r="H124" s="329">
        <f t="shared" si="1"/>
        <v>-22443251</v>
      </c>
    </row>
    <row r="125" spans="1:8" x14ac:dyDescent="0.45">
      <c r="A125" s="215" t="s">
        <v>2121</v>
      </c>
      <c r="B125" s="215" t="s">
        <v>2122</v>
      </c>
      <c r="C125" s="215" t="s">
        <v>2065</v>
      </c>
      <c r="D125" s="215">
        <v>0</v>
      </c>
      <c r="E125" s="215">
        <v>4560738</v>
      </c>
      <c r="F125" s="215">
        <v>352993475.82999998</v>
      </c>
      <c r="G125" s="215">
        <v>0</v>
      </c>
      <c r="H125" s="329">
        <f t="shared" si="1"/>
        <v>-4560738</v>
      </c>
    </row>
    <row r="126" spans="1:8" x14ac:dyDescent="0.45">
      <c r="A126" s="215" t="s">
        <v>2121</v>
      </c>
      <c r="B126" s="215" t="s">
        <v>2066</v>
      </c>
      <c r="C126" s="215" t="s">
        <v>2067</v>
      </c>
      <c r="D126" s="215">
        <v>0</v>
      </c>
      <c r="E126" s="215">
        <v>248708</v>
      </c>
      <c r="F126" s="215">
        <v>352744767.82999998</v>
      </c>
      <c r="G126" s="215">
        <v>0</v>
      </c>
      <c r="H126" s="329">
        <f t="shared" si="1"/>
        <v>-248708</v>
      </c>
    </row>
    <row r="127" spans="1:8" x14ac:dyDescent="0.45">
      <c r="A127" s="215" t="s">
        <v>2123</v>
      </c>
      <c r="B127" s="215" t="s">
        <v>2071</v>
      </c>
      <c r="C127" s="215" t="s">
        <v>2072</v>
      </c>
      <c r="D127" s="215">
        <v>0</v>
      </c>
      <c r="E127" s="215">
        <v>30400000</v>
      </c>
      <c r="F127" s="215">
        <v>322344767.82999998</v>
      </c>
      <c r="G127" s="215">
        <v>0</v>
      </c>
      <c r="H127" s="329">
        <f t="shared" si="1"/>
        <v>-30400000</v>
      </c>
    </row>
    <row r="128" spans="1:8" x14ac:dyDescent="0.45">
      <c r="A128" s="215" t="s">
        <v>2124</v>
      </c>
      <c r="B128" s="215" t="s">
        <v>2125</v>
      </c>
      <c r="C128" s="215" t="s">
        <v>2108</v>
      </c>
      <c r="D128" s="215">
        <v>0</v>
      </c>
      <c r="E128" s="215">
        <v>43700000</v>
      </c>
      <c r="F128" s="215">
        <v>278644767.82999998</v>
      </c>
      <c r="G128" s="215">
        <v>0</v>
      </c>
      <c r="H128" s="329">
        <f t="shared" si="1"/>
        <v>-43700000</v>
      </c>
    </row>
    <row r="129" spans="1:8" x14ac:dyDescent="0.45">
      <c r="A129" s="215" t="s">
        <v>2126</v>
      </c>
      <c r="B129" s="215" t="s">
        <v>2055</v>
      </c>
      <c r="C129" s="215" t="s">
        <v>2056</v>
      </c>
      <c r="D129" s="215">
        <v>0</v>
      </c>
      <c r="E129" s="215">
        <v>465000</v>
      </c>
      <c r="F129" s="215">
        <v>278179767.82999998</v>
      </c>
      <c r="G129" s="215">
        <v>0</v>
      </c>
      <c r="H129" s="329">
        <f t="shared" si="1"/>
        <v>-465000</v>
      </c>
    </row>
    <row r="130" spans="1:8" x14ac:dyDescent="0.45">
      <c r="A130" s="215" t="s">
        <v>2127</v>
      </c>
      <c r="B130" s="215" t="s">
        <v>2055</v>
      </c>
      <c r="C130" s="215" t="s">
        <v>2056</v>
      </c>
      <c r="D130" s="215">
        <v>0</v>
      </c>
      <c r="E130" s="215">
        <v>11115000</v>
      </c>
      <c r="F130" s="215">
        <v>267064767.83000001</v>
      </c>
      <c r="G130" s="215">
        <v>0</v>
      </c>
      <c r="H130" s="329">
        <f t="shared" si="1"/>
        <v>-11115000</v>
      </c>
    </row>
    <row r="131" spans="1:8" x14ac:dyDescent="0.45">
      <c r="A131" s="215" t="s">
        <v>2127</v>
      </c>
      <c r="B131" s="215" t="s">
        <v>2110</v>
      </c>
      <c r="C131" s="215" t="s">
        <v>2097</v>
      </c>
      <c r="D131" s="215">
        <v>0</v>
      </c>
      <c r="E131" s="215">
        <v>579378</v>
      </c>
      <c r="F131" s="215">
        <v>266485389.83000001</v>
      </c>
      <c r="G131" s="215">
        <v>0</v>
      </c>
      <c r="H131" s="329">
        <f t="shared" si="1"/>
        <v>-579378</v>
      </c>
    </row>
    <row r="132" spans="1:8" x14ac:dyDescent="0.45">
      <c r="A132" s="215" t="s">
        <v>2127</v>
      </c>
      <c r="B132" s="215" t="s">
        <v>2066</v>
      </c>
      <c r="C132" s="215" t="s">
        <v>2067</v>
      </c>
      <c r="D132" s="215">
        <v>0</v>
      </c>
      <c r="E132" s="215">
        <v>57938</v>
      </c>
      <c r="F132" s="215">
        <v>266427451.83000001</v>
      </c>
      <c r="G132" s="215">
        <v>0</v>
      </c>
      <c r="H132" s="329">
        <f t="shared" si="1"/>
        <v>-57938</v>
      </c>
    </row>
    <row r="133" spans="1:8" x14ac:dyDescent="0.45">
      <c r="A133" s="215" t="s">
        <v>2128</v>
      </c>
      <c r="B133" s="215" t="s">
        <v>2059</v>
      </c>
      <c r="C133" s="215" t="s">
        <v>2060</v>
      </c>
      <c r="D133" s="215">
        <v>13170000</v>
      </c>
      <c r="E133" s="215">
        <v>0</v>
      </c>
      <c r="F133" s="215">
        <v>279597451.82999998</v>
      </c>
      <c r="G133" s="215">
        <v>0</v>
      </c>
      <c r="H133" s="329">
        <f t="shared" si="1"/>
        <v>13170000</v>
      </c>
    </row>
    <row r="134" spans="1:8" x14ac:dyDescent="0.45">
      <c r="A134" s="215" t="s">
        <v>2128</v>
      </c>
      <c r="B134" s="215" t="s">
        <v>70</v>
      </c>
      <c r="C134" s="215" t="s">
        <v>2061</v>
      </c>
      <c r="D134" s="215">
        <v>1317000</v>
      </c>
      <c r="E134" s="215">
        <v>0</v>
      </c>
      <c r="F134" s="215">
        <v>280914451.82999998</v>
      </c>
      <c r="G134" s="215">
        <v>0</v>
      </c>
      <c r="H134" s="329">
        <f t="shared" ref="H134:H197" si="2">IF(D134&gt;0,D134,-E134)</f>
        <v>1317000</v>
      </c>
    </row>
    <row r="135" spans="1:8" x14ac:dyDescent="0.45">
      <c r="A135" s="215" t="s">
        <v>2128</v>
      </c>
      <c r="B135" s="215" t="s">
        <v>2059</v>
      </c>
      <c r="C135" s="215" t="s">
        <v>2060</v>
      </c>
      <c r="D135" s="215">
        <v>9260000</v>
      </c>
      <c r="E135" s="215">
        <v>0</v>
      </c>
      <c r="F135" s="215">
        <v>290174451.82999998</v>
      </c>
      <c r="G135" s="215">
        <v>0</v>
      </c>
      <c r="H135" s="329">
        <f t="shared" si="2"/>
        <v>9260000</v>
      </c>
    </row>
    <row r="136" spans="1:8" x14ac:dyDescent="0.45">
      <c r="A136" s="215" t="s">
        <v>2128</v>
      </c>
      <c r="B136" s="215" t="s">
        <v>70</v>
      </c>
      <c r="C136" s="215" t="s">
        <v>2061</v>
      </c>
      <c r="D136" s="215">
        <v>926000</v>
      </c>
      <c r="E136" s="215">
        <v>0</v>
      </c>
      <c r="F136" s="215">
        <v>291100451.82999998</v>
      </c>
      <c r="G136" s="215">
        <v>0</v>
      </c>
      <c r="H136" s="329">
        <f t="shared" si="2"/>
        <v>926000</v>
      </c>
    </row>
    <row r="137" spans="1:8" x14ac:dyDescent="0.45">
      <c r="A137" s="215" t="s">
        <v>2128</v>
      </c>
      <c r="B137" s="215" t="s">
        <v>2055</v>
      </c>
      <c r="C137" s="215" t="s">
        <v>2056</v>
      </c>
      <c r="D137" s="215">
        <v>0</v>
      </c>
      <c r="E137" s="215">
        <v>3900000</v>
      </c>
      <c r="F137" s="215">
        <v>287200451.82999998</v>
      </c>
      <c r="G137" s="215">
        <v>0</v>
      </c>
      <c r="H137" s="329">
        <f t="shared" si="2"/>
        <v>-3900000</v>
      </c>
    </row>
    <row r="138" spans="1:8" x14ac:dyDescent="0.45">
      <c r="A138" s="215" t="s">
        <v>2128</v>
      </c>
      <c r="B138" s="215" t="s">
        <v>2066</v>
      </c>
      <c r="C138" s="215" t="s">
        <v>2067</v>
      </c>
      <c r="D138" s="215">
        <v>0</v>
      </c>
      <c r="E138" s="215">
        <v>195000</v>
      </c>
      <c r="F138" s="215">
        <v>287005451.82999998</v>
      </c>
      <c r="G138" s="215">
        <v>0</v>
      </c>
      <c r="H138" s="329">
        <f t="shared" si="2"/>
        <v>-195000</v>
      </c>
    </row>
    <row r="139" spans="1:8" x14ac:dyDescent="0.45">
      <c r="A139" s="215" t="s">
        <v>2129</v>
      </c>
      <c r="B139" s="215" t="s">
        <v>2064</v>
      </c>
      <c r="C139" s="215" t="s">
        <v>2065</v>
      </c>
      <c r="D139" s="215">
        <v>0</v>
      </c>
      <c r="E139" s="215">
        <v>3408000</v>
      </c>
      <c r="F139" s="215">
        <v>283597451.82999998</v>
      </c>
      <c r="G139" s="215">
        <v>0</v>
      </c>
      <c r="H139" s="329">
        <f t="shared" si="2"/>
        <v>-3408000</v>
      </c>
    </row>
    <row r="140" spans="1:8" x14ac:dyDescent="0.45">
      <c r="A140" s="215" t="s">
        <v>2129</v>
      </c>
      <c r="B140" s="215" t="s">
        <v>2066</v>
      </c>
      <c r="C140" s="215" t="s">
        <v>2067</v>
      </c>
      <c r="D140" s="215">
        <v>0</v>
      </c>
      <c r="E140" s="215">
        <v>340800</v>
      </c>
      <c r="F140" s="215">
        <v>283256651.82999998</v>
      </c>
      <c r="G140" s="215">
        <v>0</v>
      </c>
      <c r="H140" s="329">
        <f t="shared" si="2"/>
        <v>-340800</v>
      </c>
    </row>
    <row r="141" spans="1:8" x14ac:dyDescent="0.45">
      <c r="A141" s="215" t="s">
        <v>2130</v>
      </c>
      <c r="B141" s="215" t="s">
        <v>2059</v>
      </c>
      <c r="C141" s="215" t="s">
        <v>2060</v>
      </c>
      <c r="D141" s="215">
        <v>10480000</v>
      </c>
      <c r="E141" s="215">
        <v>0</v>
      </c>
      <c r="F141" s="215">
        <v>293736651.82999998</v>
      </c>
      <c r="G141" s="215">
        <v>0</v>
      </c>
      <c r="H141" s="329">
        <f t="shared" si="2"/>
        <v>10480000</v>
      </c>
    </row>
    <row r="142" spans="1:8" x14ac:dyDescent="0.45">
      <c r="A142" s="215" t="s">
        <v>2130</v>
      </c>
      <c r="B142" s="215" t="s">
        <v>70</v>
      </c>
      <c r="C142" s="215" t="s">
        <v>2061</v>
      </c>
      <c r="D142" s="215">
        <v>1048000</v>
      </c>
      <c r="E142" s="215">
        <v>0</v>
      </c>
      <c r="F142" s="215">
        <v>294784651.82999998</v>
      </c>
      <c r="G142" s="215">
        <v>0</v>
      </c>
      <c r="H142" s="329">
        <f t="shared" si="2"/>
        <v>1048000</v>
      </c>
    </row>
    <row r="143" spans="1:8" x14ac:dyDescent="0.45">
      <c r="A143" s="215" t="s">
        <v>2130</v>
      </c>
      <c r="B143" s="215" t="s">
        <v>2059</v>
      </c>
      <c r="C143" s="215" t="s">
        <v>2060</v>
      </c>
      <c r="D143" s="215">
        <v>9540000</v>
      </c>
      <c r="E143" s="215">
        <v>0</v>
      </c>
      <c r="F143" s="215">
        <v>304324651.82999998</v>
      </c>
      <c r="G143" s="215">
        <v>0</v>
      </c>
      <c r="H143" s="329">
        <f t="shared" si="2"/>
        <v>9540000</v>
      </c>
    </row>
    <row r="144" spans="1:8" x14ac:dyDescent="0.45">
      <c r="A144" s="215" t="s">
        <v>2130</v>
      </c>
      <c r="B144" s="215" t="s">
        <v>70</v>
      </c>
      <c r="C144" s="215" t="s">
        <v>2061</v>
      </c>
      <c r="D144" s="215">
        <v>954000</v>
      </c>
      <c r="E144" s="215">
        <v>0</v>
      </c>
      <c r="F144" s="215">
        <v>305278651.82999998</v>
      </c>
      <c r="G144" s="215">
        <v>0</v>
      </c>
      <c r="H144" s="329">
        <f t="shared" si="2"/>
        <v>954000</v>
      </c>
    </row>
    <row r="145" spans="1:8" x14ac:dyDescent="0.45">
      <c r="A145" s="215" t="s">
        <v>2131</v>
      </c>
      <c r="B145" s="215" t="s">
        <v>2059</v>
      </c>
      <c r="C145" s="215" t="s">
        <v>2060</v>
      </c>
      <c r="D145" s="215">
        <v>14585000</v>
      </c>
      <c r="E145" s="215">
        <v>0</v>
      </c>
      <c r="F145" s="215">
        <v>319863651.82999998</v>
      </c>
      <c r="G145" s="215">
        <v>0</v>
      </c>
      <c r="H145" s="329">
        <f t="shared" si="2"/>
        <v>14585000</v>
      </c>
    </row>
    <row r="146" spans="1:8" x14ac:dyDescent="0.45">
      <c r="A146" s="215" t="s">
        <v>2131</v>
      </c>
      <c r="B146" s="215" t="s">
        <v>70</v>
      </c>
      <c r="C146" s="215" t="s">
        <v>2061</v>
      </c>
      <c r="D146" s="215">
        <v>1458500</v>
      </c>
      <c r="E146" s="215">
        <v>0</v>
      </c>
      <c r="F146" s="215">
        <v>321322151.82999998</v>
      </c>
      <c r="G146" s="215">
        <v>0</v>
      </c>
      <c r="H146" s="329">
        <f t="shared" si="2"/>
        <v>1458500</v>
      </c>
    </row>
    <row r="147" spans="1:8" x14ac:dyDescent="0.45">
      <c r="A147" s="215" t="s">
        <v>2132</v>
      </c>
      <c r="B147" s="215" t="s">
        <v>2076</v>
      </c>
      <c r="C147" s="215" t="s">
        <v>2065</v>
      </c>
      <c r="D147" s="215">
        <v>0</v>
      </c>
      <c r="E147" s="215">
        <v>255637</v>
      </c>
      <c r="F147" s="215">
        <v>321066514.82999998</v>
      </c>
      <c r="G147" s="215">
        <v>0</v>
      </c>
      <c r="H147" s="329">
        <f t="shared" si="2"/>
        <v>-255637</v>
      </c>
    </row>
    <row r="148" spans="1:8" x14ac:dyDescent="0.45">
      <c r="A148" s="215" t="s">
        <v>2133</v>
      </c>
      <c r="B148" s="215" t="s">
        <v>2059</v>
      </c>
      <c r="C148" s="215" t="s">
        <v>2060</v>
      </c>
      <c r="D148" s="215">
        <v>7680000</v>
      </c>
      <c r="E148" s="215">
        <v>0</v>
      </c>
      <c r="F148" s="215">
        <v>328746514.82999998</v>
      </c>
      <c r="G148" s="215">
        <v>0</v>
      </c>
      <c r="H148" s="329">
        <f t="shared" si="2"/>
        <v>7680000</v>
      </c>
    </row>
    <row r="149" spans="1:8" x14ac:dyDescent="0.45">
      <c r="A149" s="215" t="s">
        <v>2133</v>
      </c>
      <c r="B149" s="215" t="s">
        <v>70</v>
      </c>
      <c r="C149" s="215" t="s">
        <v>2061</v>
      </c>
      <c r="D149" s="215">
        <v>768000</v>
      </c>
      <c r="E149" s="215">
        <v>0</v>
      </c>
      <c r="F149" s="215">
        <v>329514514.82999998</v>
      </c>
      <c r="G149" s="215">
        <v>0</v>
      </c>
      <c r="H149" s="329">
        <f t="shared" si="2"/>
        <v>768000</v>
      </c>
    </row>
    <row r="150" spans="1:8" x14ac:dyDescent="0.45">
      <c r="A150" s="215" t="s">
        <v>2133</v>
      </c>
      <c r="B150" s="215" t="s">
        <v>2059</v>
      </c>
      <c r="C150" s="215" t="s">
        <v>2060</v>
      </c>
      <c r="D150" s="215">
        <v>8930000</v>
      </c>
      <c r="E150" s="215">
        <v>0</v>
      </c>
      <c r="F150" s="215">
        <v>338444514.82999998</v>
      </c>
      <c r="G150" s="215">
        <v>0</v>
      </c>
      <c r="H150" s="329">
        <f t="shared" si="2"/>
        <v>8930000</v>
      </c>
    </row>
    <row r="151" spans="1:8" x14ac:dyDescent="0.45">
      <c r="A151" s="215" t="s">
        <v>2133</v>
      </c>
      <c r="B151" s="215" t="s">
        <v>70</v>
      </c>
      <c r="C151" s="215" t="s">
        <v>2061</v>
      </c>
      <c r="D151" s="215">
        <v>893000</v>
      </c>
      <c r="E151" s="215">
        <v>0</v>
      </c>
      <c r="F151" s="215">
        <v>339337514.82999998</v>
      </c>
      <c r="G151" s="215">
        <v>0</v>
      </c>
      <c r="H151" s="329">
        <f t="shared" si="2"/>
        <v>893000</v>
      </c>
    </row>
    <row r="152" spans="1:8" x14ac:dyDescent="0.45">
      <c r="A152" s="215" t="s">
        <v>2134</v>
      </c>
      <c r="B152" s="215" t="s">
        <v>2059</v>
      </c>
      <c r="C152" s="215" t="s">
        <v>2060</v>
      </c>
      <c r="D152" s="215">
        <v>8430000</v>
      </c>
      <c r="E152" s="215">
        <v>0</v>
      </c>
      <c r="F152" s="215">
        <v>347767514.82999998</v>
      </c>
      <c r="G152" s="215">
        <v>0</v>
      </c>
      <c r="H152" s="329">
        <f t="shared" si="2"/>
        <v>8430000</v>
      </c>
    </row>
    <row r="153" spans="1:8" x14ac:dyDescent="0.45">
      <c r="A153" s="215" t="s">
        <v>2134</v>
      </c>
      <c r="B153" s="215" t="s">
        <v>70</v>
      </c>
      <c r="C153" s="215" t="s">
        <v>2061</v>
      </c>
      <c r="D153" s="215">
        <v>843000</v>
      </c>
      <c r="E153" s="215">
        <v>0</v>
      </c>
      <c r="F153" s="215">
        <v>348610514.82999998</v>
      </c>
      <c r="G153" s="215">
        <v>0</v>
      </c>
      <c r="H153" s="329">
        <f t="shared" si="2"/>
        <v>843000</v>
      </c>
    </row>
    <row r="154" spans="1:8" x14ac:dyDescent="0.45">
      <c r="A154" s="215" t="s">
        <v>2134</v>
      </c>
      <c r="B154" s="215" t="s">
        <v>2059</v>
      </c>
      <c r="C154" s="215" t="s">
        <v>2060</v>
      </c>
      <c r="D154" s="215">
        <v>2825000</v>
      </c>
      <c r="E154" s="215">
        <v>0</v>
      </c>
      <c r="F154" s="215">
        <v>351435514.82999998</v>
      </c>
      <c r="G154" s="215">
        <v>0</v>
      </c>
      <c r="H154" s="329">
        <f t="shared" si="2"/>
        <v>2825000</v>
      </c>
    </row>
    <row r="155" spans="1:8" x14ac:dyDescent="0.45">
      <c r="A155" s="215" t="s">
        <v>2134</v>
      </c>
      <c r="B155" s="215" t="s">
        <v>70</v>
      </c>
      <c r="C155" s="215" t="s">
        <v>2061</v>
      </c>
      <c r="D155" s="215">
        <v>282500</v>
      </c>
      <c r="E155" s="215">
        <v>0</v>
      </c>
      <c r="F155" s="215">
        <v>351718014.82999998</v>
      </c>
      <c r="G155" s="215">
        <v>0</v>
      </c>
      <c r="H155" s="329">
        <f t="shared" si="2"/>
        <v>282500</v>
      </c>
    </row>
    <row r="156" spans="1:8" x14ac:dyDescent="0.45">
      <c r="A156" s="215" t="s">
        <v>2134</v>
      </c>
      <c r="B156" s="215" t="s">
        <v>2059</v>
      </c>
      <c r="C156" s="215" t="s">
        <v>2060</v>
      </c>
      <c r="D156" s="215">
        <v>4455000</v>
      </c>
      <c r="E156" s="215">
        <v>0</v>
      </c>
      <c r="F156" s="215">
        <v>356173014.82999998</v>
      </c>
      <c r="G156" s="215">
        <v>0</v>
      </c>
      <c r="H156" s="329">
        <f t="shared" si="2"/>
        <v>4455000</v>
      </c>
    </row>
    <row r="157" spans="1:8" x14ac:dyDescent="0.45">
      <c r="A157" s="215" t="s">
        <v>2134</v>
      </c>
      <c r="B157" s="215" t="s">
        <v>70</v>
      </c>
      <c r="C157" s="215" t="s">
        <v>2061</v>
      </c>
      <c r="D157" s="215">
        <v>445500</v>
      </c>
      <c r="E157" s="215">
        <v>0</v>
      </c>
      <c r="F157" s="215">
        <v>356618514.82999998</v>
      </c>
      <c r="G157" s="215">
        <v>0</v>
      </c>
      <c r="H157" s="329">
        <f t="shared" si="2"/>
        <v>445500</v>
      </c>
    </row>
    <row r="158" spans="1:8" x14ac:dyDescent="0.45">
      <c r="A158" s="215" t="s">
        <v>2134</v>
      </c>
      <c r="B158" s="215" t="s">
        <v>2055</v>
      </c>
      <c r="C158" s="215" t="s">
        <v>2056</v>
      </c>
      <c r="D158" s="215">
        <v>0</v>
      </c>
      <c r="E158" s="215">
        <v>2950000</v>
      </c>
      <c r="F158" s="215">
        <v>353668514.82999998</v>
      </c>
      <c r="G158" s="215">
        <v>0</v>
      </c>
      <c r="H158" s="329">
        <f t="shared" si="2"/>
        <v>-2950000</v>
      </c>
    </row>
    <row r="159" spans="1:8" x14ac:dyDescent="0.45">
      <c r="A159" s="215" t="s">
        <v>2135</v>
      </c>
      <c r="B159" s="215" t="s">
        <v>2059</v>
      </c>
      <c r="C159" s="215" t="s">
        <v>2060</v>
      </c>
      <c r="D159" s="215">
        <v>13795000</v>
      </c>
      <c r="E159" s="215">
        <v>0</v>
      </c>
      <c r="F159" s="215">
        <v>367463514.82999998</v>
      </c>
      <c r="G159" s="215">
        <v>0</v>
      </c>
      <c r="H159" s="329">
        <f t="shared" si="2"/>
        <v>13795000</v>
      </c>
    </row>
    <row r="160" spans="1:8" x14ac:dyDescent="0.45">
      <c r="A160" s="215" t="s">
        <v>2135</v>
      </c>
      <c r="B160" s="215" t="s">
        <v>70</v>
      </c>
      <c r="C160" s="215" t="s">
        <v>2061</v>
      </c>
      <c r="D160" s="215">
        <v>1379500</v>
      </c>
      <c r="E160" s="215">
        <v>0</v>
      </c>
      <c r="F160" s="215">
        <v>368843014.82999998</v>
      </c>
      <c r="G160" s="215">
        <v>0</v>
      </c>
      <c r="H160" s="329">
        <f t="shared" si="2"/>
        <v>1379500</v>
      </c>
    </row>
    <row r="161" spans="1:8" x14ac:dyDescent="0.45">
      <c r="A161" s="215" t="s">
        <v>2135</v>
      </c>
      <c r="B161" s="215" t="s">
        <v>2059</v>
      </c>
      <c r="C161" s="215" t="s">
        <v>2060</v>
      </c>
      <c r="D161" s="215">
        <v>10805000</v>
      </c>
      <c r="E161" s="215">
        <v>0</v>
      </c>
      <c r="F161" s="215">
        <v>379648014.82999998</v>
      </c>
      <c r="G161" s="215">
        <v>0</v>
      </c>
      <c r="H161" s="329">
        <f t="shared" si="2"/>
        <v>10805000</v>
      </c>
    </row>
    <row r="162" spans="1:8" x14ac:dyDescent="0.45">
      <c r="A162" s="215" t="s">
        <v>2135</v>
      </c>
      <c r="B162" s="215" t="s">
        <v>70</v>
      </c>
      <c r="C162" s="215" t="s">
        <v>2061</v>
      </c>
      <c r="D162" s="215">
        <v>1080500</v>
      </c>
      <c r="E162" s="215">
        <v>0</v>
      </c>
      <c r="F162" s="215">
        <v>380728514.82999998</v>
      </c>
      <c r="G162" s="215">
        <v>0</v>
      </c>
      <c r="H162" s="329">
        <f t="shared" si="2"/>
        <v>1080500</v>
      </c>
    </row>
    <row r="163" spans="1:8" x14ac:dyDescent="0.45">
      <c r="A163" s="215" t="s">
        <v>2135</v>
      </c>
      <c r="B163" s="215" t="s">
        <v>2059</v>
      </c>
      <c r="C163" s="215" t="s">
        <v>2060</v>
      </c>
      <c r="D163" s="215">
        <v>5085000</v>
      </c>
      <c r="E163" s="215">
        <v>0</v>
      </c>
      <c r="F163" s="215">
        <v>385813514.82999998</v>
      </c>
      <c r="G163" s="215">
        <v>0</v>
      </c>
      <c r="H163" s="329">
        <f t="shared" si="2"/>
        <v>5085000</v>
      </c>
    </row>
    <row r="164" spans="1:8" x14ac:dyDescent="0.45">
      <c r="A164" s="215" t="s">
        <v>2135</v>
      </c>
      <c r="B164" s="215" t="s">
        <v>70</v>
      </c>
      <c r="C164" s="215" t="s">
        <v>2061</v>
      </c>
      <c r="D164" s="215">
        <v>508500</v>
      </c>
      <c r="E164" s="215">
        <v>0</v>
      </c>
      <c r="F164" s="215">
        <v>386322014.82999998</v>
      </c>
      <c r="G164" s="215">
        <v>0</v>
      </c>
      <c r="H164" s="329">
        <f t="shared" si="2"/>
        <v>508500</v>
      </c>
    </row>
    <row r="165" spans="1:8" x14ac:dyDescent="0.45">
      <c r="A165" s="215" t="s">
        <v>2136</v>
      </c>
      <c r="B165" s="215" t="s">
        <v>2059</v>
      </c>
      <c r="C165" s="215" t="s">
        <v>2060</v>
      </c>
      <c r="D165" s="215">
        <v>4330000</v>
      </c>
      <c r="E165" s="215">
        <v>0</v>
      </c>
      <c r="F165" s="215">
        <v>390652014.82999998</v>
      </c>
      <c r="G165" s="215">
        <v>0</v>
      </c>
      <c r="H165" s="329">
        <f t="shared" si="2"/>
        <v>4330000</v>
      </c>
    </row>
    <row r="166" spans="1:8" x14ac:dyDescent="0.45">
      <c r="A166" s="215" t="s">
        <v>2136</v>
      </c>
      <c r="B166" s="215" t="s">
        <v>70</v>
      </c>
      <c r="C166" s="215" t="s">
        <v>2061</v>
      </c>
      <c r="D166" s="215">
        <v>433000</v>
      </c>
      <c r="E166" s="215">
        <v>0</v>
      </c>
      <c r="F166" s="215">
        <v>391085014.82999998</v>
      </c>
      <c r="G166" s="215">
        <v>0</v>
      </c>
      <c r="H166" s="329">
        <f t="shared" si="2"/>
        <v>433000</v>
      </c>
    </row>
    <row r="167" spans="1:8" x14ac:dyDescent="0.45">
      <c r="A167" s="215" t="s">
        <v>2137</v>
      </c>
      <c r="B167" s="215" t="s">
        <v>2055</v>
      </c>
      <c r="C167" s="215" t="s">
        <v>2056</v>
      </c>
      <c r="D167" s="215">
        <v>0</v>
      </c>
      <c r="E167" s="215">
        <v>17745456</v>
      </c>
      <c r="F167" s="215">
        <v>373339558.82999998</v>
      </c>
      <c r="G167" s="215">
        <v>0</v>
      </c>
      <c r="H167" s="329">
        <f t="shared" si="2"/>
        <v>-17745456</v>
      </c>
    </row>
    <row r="168" spans="1:8" x14ac:dyDescent="0.45">
      <c r="A168" s="215" t="s">
        <v>2138</v>
      </c>
      <c r="B168" s="215" t="s">
        <v>2139</v>
      </c>
      <c r="C168" s="215" t="s">
        <v>2053</v>
      </c>
      <c r="D168" s="215">
        <v>0</v>
      </c>
      <c r="E168" s="215">
        <v>5975000</v>
      </c>
      <c r="F168" s="215">
        <v>367364558.82999998</v>
      </c>
      <c r="G168" s="215">
        <v>0</v>
      </c>
      <c r="H168" s="329">
        <f t="shared" si="2"/>
        <v>-5975000</v>
      </c>
    </row>
    <row r="169" spans="1:8" x14ac:dyDescent="0.45">
      <c r="A169" s="215" t="s">
        <v>2140</v>
      </c>
      <c r="B169" s="215" t="s">
        <v>2059</v>
      </c>
      <c r="C169" s="215" t="s">
        <v>2060</v>
      </c>
      <c r="D169" s="215">
        <v>6430000</v>
      </c>
      <c r="E169" s="215">
        <v>0</v>
      </c>
      <c r="F169" s="215">
        <v>373794558.82999998</v>
      </c>
      <c r="G169" s="215">
        <v>0</v>
      </c>
      <c r="H169" s="329">
        <f t="shared" si="2"/>
        <v>6430000</v>
      </c>
    </row>
    <row r="170" spans="1:8" x14ac:dyDescent="0.45">
      <c r="A170" s="215" t="s">
        <v>2140</v>
      </c>
      <c r="B170" s="215" t="s">
        <v>70</v>
      </c>
      <c r="C170" s="215" t="s">
        <v>2061</v>
      </c>
      <c r="D170" s="215">
        <v>643000</v>
      </c>
      <c r="E170" s="215">
        <v>0</v>
      </c>
      <c r="F170" s="215">
        <v>374437558.82999998</v>
      </c>
      <c r="G170" s="215">
        <v>0</v>
      </c>
      <c r="H170" s="329">
        <f t="shared" si="2"/>
        <v>643000</v>
      </c>
    </row>
    <row r="171" spans="1:8" x14ac:dyDescent="0.45">
      <c r="A171" s="215" t="s">
        <v>2141</v>
      </c>
      <c r="B171" s="215" t="s">
        <v>2059</v>
      </c>
      <c r="C171" s="215" t="s">
        <v>2060</v>
      </c>
      <c r="D171" s="215">
        <v>17905000</v>
      </c>
      <c r="E171" s="215">
        <v>0</v>
      </c>
      <c r="F171" s="215">
        <v>392342558.82999998</v>
      </c>
      <c r="G171" s="215">
        <v>0</v>
      </c>
      <c r="H171" s="329">
        <f t="shared" si="2"/>
        <v>17905000</v>
      </c>
    </row>
    <row r="172" spans="1:8" x14ac:dyDescent="0.45">
      <c r="A172" s="215" t="s">
        <v>2141</v>
      </c>
      <c r="B172" s="215" t="s">
        <v>70</v>
      </c>
      <c r="C172" s="215" t="s">
        <v>2061</v>
      </c>
      <c r="D172" s="215">
        <v>1790500</v>
      </c>
      <c r="E172" s="215">
        <v>0</v>
      </c>
      <c r="F172" s="215">
        <v>394133058.82999998</v>
      </c>
      <c r="G172" s="215">
        <v>0</v>
      </c>
      <c r="H172" s="329">
        <f t="shared" si="2"/>
        <v>1790500</v>
      </c>
    </row>
    <row r="173" spans="1:8" x14ac:dyDescent="0.45">
      <c r="A173" s="215" t="s">
        <v>2141</v>
      </c>
      <c r="B173" s="215" t="s">
        <v>2142</v>
      </c>
      <c r="C173" s="215" t="s">
        <v>2116</v>
      </c>
      <c r="D173" s="215">
        <v>0</v>
      </c>
      <c r="E173" s="215">
        <v>437000</v>
      </c>
      <c r="F173" s="215">
        <v>393696058.82999998</v>
      </c>
      <c r="G173" s="215">
        <v>0</v>
      </c>
      <c r="H173" s="329">
        <f t="shared" si="2"/>
        <v>-437000</v>
      </c>
    </row>
    <row r="174" spans="1:8" x14ac:dyDescent="0.45">
      <c r="A174" s="215" t="s">
        <v>2141</v>
      </c>
      <c r="B174" s="215" t="s">
        <v>2066</v>
      </c>
      <c r="C174" s="215" t="s">
        <v>2067</v>
      </c>
      <c r="D174" s="215">
        <v>0</v>
      </c>
      <c r="E174" s="215">
        <v>43700</v>
      </c>
      <c r="F174" s="215">
        <v>393652358.82999998</v>
      </c>
      <c r="G174" s="215">
        <v>0</v>
      </c>
      <c r="H174" s="329">
        <f t="shared" si="2"/>
        <v>-43700</v>
      </c>
    </row>
    <row r="175" spans="1:8" x14ac:dyDescent="0.45">
      <c r="A175" s="215" t="s">
        <v>2141</v>
      </c>
      <c r="B175" s="215" t="s">
        <v>2143</v>
      </c>
      <c r="C175" s="215" t="s">
        <v>2097</v>
      </c>
      <c r="D175" s="215">
        <v>0</v>
      </c>
      <c r="E175" s="215">
        <v>100000</v>
      </c>
      <c r="F175" s="215">
        <v>393552358.82999998</v>
      </c>
      <c r="G175" s="215">
        <v>0</v>
      </c>
      <c r="H175" s="329">
        <f t="shared" si="2"/>
        <v>-100000</v>
      </c>
    </row>
    <row r="176" spans="1:8" x14ac:dyDescent="0.45">
      <c r="A176" s="215" t="s">
        <v>2141</v>
      </c>
      <c r="B176" s="215" t="s">
        <v>2066</v>
      </c>
      <c r="C176" s="215" t="s">
        <v>2067</v>
      </c>
      <c r="D176" s="215">
        <v>0</v>
      </c>
      <c r="E176" s="215">
        <v>0</v>
      </c>
      <c r="F176" s="215">
        <v>393552358.82999998</v>
      </c>
      <c r="G176" s="215">
        <v>0</v>
      </c>
      <c r="H176" s="329">
        <f t="shared" si="2"/>
        <v>0</v>
      </c>
    </row>
    <row r="177" spans="1:8" x14ac:dyDescent="0.45">
      <c r="A177" s="215" t="s">
        <v>2141</v>
      </c>
      <c r="B177" s="215" t="s">
        <v>2144</v>
      </c>
      <c r="C177" s="215" t="s">
        <v>2097</v>
      </c>
      <c r="D177" s="215">
        <v>0</v>
      </c>
      <c r="E177" s="215">
        <v>318182</v>
      </c>
      <c r="F177" s="215">
        <v>393234176.82999998</v>
      </c>
      <c r="G177" s="215">
        <v>0</v>
      </c>
      <c r="H177" s="329">
        <f t="shared" si="2"/>
        <v>-318182</v>
      </c>
    </row>
    <row r="178" spans="1:8" x14ac:dyDescent="0.45">
      <c r="A178" s="215" t="s">
        <v>2141</v>
      </c>
      <c r="B178" s="215" t="s">
        <v>2066</v>
      </c>
      <c r="C178" s="215" t="s">
        <v>2067</v>
      </c>
      <c r="D178" s="215">
        <v>0</v>
      </c>
      <c r="E178" s="215">
        <v>21818</v>
      </c>
      <c r="F178" s="215">
        <v>393212358.82999998</v>
      </c>
      <c r="G178" s="215">
        <v>0</v>
      </c>
      <c r="H178" s="329">
        <f t="shared" si="2"/>
        <v>-21818</v>
      </c>
    </row>
    <row r="179" spans="1:8" x14ac:dyDescent="0.45">
      <c r="A179" s="215" t="s">
        <v>2141</v>
      </c>
      <c r="B179" s="215" t="s">
        <v>2145</v>
      </c>
      <c r="C179" s="215" t="s">
        <v>2116</v>
      </c>
      <c r="D179" s="215">
        <v>0</v>
      </c>
      <c r="E179" s="215">
        <v>3118000</v>
      </c>
      <c r="F179" s="215">
        <v>390094358.82999998</v>
      </c>
      <c r="G179" s="215">
        <v>0</v>
      </c>
      <c r="H179" s="329">
        <f t="shared" si="2"/>
        <v>-3118000</v>
      </c>
    </row>
    <row r="180" spans="1:8" x14ac:dyDescent="0.45">
      <c r="A180" s="215" t="s">
        <v>2146</v>
      </c>
      <c r="B180" s="215" t="s">
        <v>2059</v>
      </c>
      <c r="C180" s="215" t="s">
        <v>2060</v>
      </c>
      <c r="D180" s="215">
        <v>6624000</v>
      </c>
      <c r="E180" s="215">
        <v>0</v>
      </c>
      <c r="F180" s="215">
        <v>396718358.82999998</v>
      </c>
      <c r="G180" s="215">
        <v>0</v>
      </c>
      <c r="H180" s="329">
        <f t="shared" si="2"/>
        <v>6624000</v>
      </c>
    </row>
    <row r="181" spans="1:8" x14ac:dyDescent="0.45">
      <c r="A181" s="215" t="s">
        <v>2146</v>
      </c>
      <c r="B181" s="215" t="s">
        <v>70</v>
      </c>
      <c r="C181" s="215" t="s">
        <v>2061</v>
      </c>
      <c r="D181" s="215">
        <v>662400</v>
      </c>
      <c r="E181" s="215">
        <v>0</v>
      </c>
      <c r="F181" s="215">
        <v>397380758.82999998</v>
      </c>
      <c r="G181" s="215">
        <v>0</v>
      </c>
      <c r="H181" s="329">
        <f t="shared" si="2"/>
        <v>662400</v>
      </c>
    </row>
    <row r="182" spans="1:8" x14ac:dyDescent="0.45">
      <c r="A182" s="215" t="s">
        <v>2147</v>
      </c>
      <c r="B182" s="215" t="s">
        <v>2059</v>
      </c>
      <c r="C182" s="215" t="s">
        <v>2060</v>
      </c>
      <c r="D182" s="215">
        <v>9495000</v>
      </c>
      <c r="E182" s="215">
        <v>0</v>
      </c>
      <c r="F182" s="215">
        <v>406875758.82999998</v>
      </c>
      <c r="G182" s="215">
        <v>0</v>
      </c>
      <c r="H182" s="329">
        <f t="shared" si="2"/>
        <v>9495000</v>
      </c>
    </row>
    <row r="183" spans="1:8" x14ac:dyDescent="0.45">
      <c r="A183" s="215" t="s">
        <v>2147</v>
      </c>
      <c r="B183" s="215" t="s">
        <v>70</v>
      </c>
      <c r="C183" s="215" t="s">
        <v>2061</v>
      </c>
      <c r="D183" s="215">
        <v>949500</v>
      </c>
      <c r="E183" s="215">
        <v>0</v>
      </c>
      <c r="F183" s="215">
        <v>407825258.82999998</v>
      </c>
      <c r="G183" s="215">
        <v>0</v>
      </c>
      <c r="H183" s="329">
        <f t="shared" si="2"/>
        <v>949500</v>
      </c>
    </row>
    <row r="184" spans="1:8" x14ac:dyDescent="0.45">
      <c r="A184" s="215" t="s">
        <v>2148</v>
      </c>
      <c r="B184" s="215" t="s">
        <v>2059</v>
      </c>
      <c r="C184" s="215" t="s">
        <v>2060</v>
      </c>
      <c r="D184" s="215">
        <v>17920000</v>
      </c>
      <c r="E184" s="215">
        <v>0</v>
      </c>
      <c r="F184" s="215">
        <v>425745258.82999998</v>
      </c>
      <c r="G184" s="215">
        <v>0</v>
      </c>
      <c r="H184" s="329">
        <f t="shared" si="2"/>
        <v>17920000</v>
      </c>
    </row>
    <row r="185" spans="1:8" x14ac:dyDescent="0.45">
      <c r="A185" s="215" t="s">
        <v>2148</v>
      </c>
      <c r="B185" s="215" t="s">
        <v>70</v>
      </c>
      <c r="C185" s="215" t="s">
        <v>2061</v>
      </c>
      <c r="D185" s="215">
        <v>1792000</v>
      </c>
      <c r="E185" s="215">
        <v>0</v>
      </c>
      <c r="F185" s="215">
        <v>427537258.82999998</v>
      </c>
      <c r="G185" s="215">
        <v>0</v>
      </c>
      <c r="H185" s="329">
        <f t="shared" si="2"/>
        <v>1792000</v>
      </c>
    </row>
    <row r="186" spans="1:8" x14ac:dyDescent="0.45">
      <c r="A186" s="215" t="s">
        <v>2149</v>
      </c>
      <c r="B186" s="215" t="s">
        <v>2150</v>
      </c>
      <c r="C186" s="215" t="s">
        <v>2065</v>
      </c>
      <c r="D186" s="215">
        <v>0</v>
      </c>
      <c r="E186" s="215">
        <v>1900000</v>
      </c>
      <c r="F186" s="215">
        <v>425637258.82999998</v>
      </c>
      <c r="G186" s="215">
        <v>0</v>
      </c>
      <c r="H186" s="329">
        <f t="shared" si="2"/>
        <v>-1900000</v>
      </c>
    </row>
    <row r="187" spans="1:8" x14ac:dyDescent="0.45">
      <c r="A187" s="215" t="s">
        <v>2149</v>
      </c>
      <c r="B187" s="215" t="s">
        <v>2151</v>
      </c>
      <c r="C187" s="215" t="s">
        <v>2065</v>
      </c>
      <c r="D187" s="215">
        <v>0</v>
      </c>
      <c r="E187" s="215">
        <v>2860000</v>
      </c>
      <c r="F187" s="215">
        <v>422777258.82999998</v>
      </c>
      <c r="G187" s="215">
        <v>0</v>
      </c>
      <c r="H187" s="329">
        <f t="shared" si="2"/>
        <v>-2860000</v>
      </c>
    </row>
    <row r="188" spans="1:8" x14ac:dyDescent="0.45">
      <c r="A188" s="215" t="s">
        <v>2149</v>
      </c>
      <c r="B188" s="215" t="s">
        <v>2152</v>
      </c>
      <c r="C188" s="215" t="s">
        <v>2065</v>
      </c>
      <c r="D188" s="215">
        <v>0</v>
      </c>
      <c r="E188" s="215">
        <v>4860000</v>
      </c>
      <c r="F188" s="215">
        <v>417917258.82999998</v>
      </c>
      <c r="G188" s="215">
        <v>0</v>
      </c>
      <c r="H188" s="329">
        <f t="shared" si="2"/>
        <v>-4860000</v>
      </c>
    </row>
    <row r="189" spans="1:8" x14ac:dyDescent="0.45">
      <c r="A189" s="215" t="s">
        <v>2149</v>
      </c>
      <c r="B189" s="215" t="s">
        <v>2153</v>
      </c>
      <c r="C189" s="215" t="s">
        <v>2116</v>
      </c>
      <c r="D189" s="215">
        <v>0</v>
      </c>
      <c r="E189" s="215">
        <v>273636</v>
      </c>
      <c r="F189" s="215">
        <v>417643622.82999998</v>
      </c>
      <c r="G189" s="215">
        <v>0</v>
      </c>
      <c r="H189" s="329">
        <f t="shared" si="2"/>
        <v>-273636</v>
      </c>
    </row>
    <row r="190" spans="1:8" x14ac:dyDescent="0.45">
      <c r="A190" s="215" t="s">
        <v>2149</v>
      </c>
      <c r="B190" s="215" t="s">
        <v>2076</v>
      </c>
      <c r="C190" s="215" t="s">
        <v>2065</v>
      </c>
      <c r="D190" s="215">
        <v>0</v>
      </c>
      <c r="E190" s="215">
        <v>330910</v>
      </c>
      <c r="F190" s="215">
        <v>417312712.82999998</v>
      </c>
      <c r="G190" s="215">
        <v>0</v>
      </c>
      <c r="H190" s="329">
        <f t="shared" si="2"/>
        <v>-330910</v>
      </c>
    </row>
    <row r="191" spans="1:8" x14ac:dyDescent="0.45">
      <c r="A191" s="215" t="s">
        <v>2149</v>
      </c>
      <c r="B191" s="215" t="s">
        <v>2090</v>
      </c>
      <c r="C191" s="215" t="s">
        <v>2091</v>
      </c>
      <c r="D191" s="215">
        <v>0</v>
      </c>
      <c r="E191" s="215">
        <v>31334523</v>
      </c>
      <c r="F191" s="215">
        <v>385978189.82999998</v>
      </c>
      <c r="G191" s="215">
        <v>0</v>
      </c>
      <c r="H191" s="329">
        <f t="shared" si="2"/>
        <v>-31334523</v>
      </c>
    </row>
    <row r="192" spans="1:8" x14ac:dyDescent="0.45">
      <c r="A192" s="215" t="s">
        <v>2154</v>
      </c>
      <c r="B192" s="215" t="s">
        <v>2059</v>
      </c>
      <c r="C192" s="215" t="s">
        <v>2060</v>
      </c>
      <c r="D192" s="215">
        <v>10120000</v>
      </c>
      <c r="E192" s="215">
        <v>0</v>
      </c>
      <c r="F192" s="215">
        <v>396098189.82999998</v>
      </c>
      <c r="G192" s="215">
        <v>0</v>
      </c>
      <c r="H192" s="329">
        <f t="shared" si="2"/>
        <v>10120000</v>
      </c>
    </row>
    <row r="193" spans="1:8" x14ac:dyDescent="0.45">
      <c r="A193" s="215" t="s">
        <v>2154</v>
      </c>
      <c r="B193" s="215" t="s">
        <v>70</v>
      </c>
      <c r="C193" s="215" t="s">
        <v>2061</v>
      </c>
      <c r="D193" s="215">
        <v>1012000</v>
      </c>
      <c r="E193" s="215">
        <v>0</v>
      </c>
      <c r="F193" s="215">
        <v>397110189.82999998</v>
      </c>
      <c r="G193" s="215">
        <v>0</v>
      </c>
      <c r="H193" s="329">
        <f t="shared" si="2"/>
        <v>1012000</v>
      </c>
    </row>
    <row r="194" spans="1:8" x14ac:dyDescent="0.45">
      <c r="A194" s="215" t="s">
        <v>2155</v>
      </c>
      <c r="B194" s="215" t="s">
        <v>2059</v>
      </c>
      <c r="C194" s="215" t="s">
        <v>2060</v>
      </c>
      <c r="D194" s="215">
        <v>16415000</v>
      </c>
      <c r="E194" s="215">
        <v>0</v>
      </c>
      <c r="F194" s="215">
        <v>413525189.82999998</v>
      </c>
      <c r="G194" s="215">
        <v>0</v>
      </c>
      <c r="H194" s="329">
        <f t="shared" si="2"/>
        <v>16415000</v>
      </c>
    </row>
    <row r="195" spans="1:8" x14ac:dyDescent="0.45">
      <c r="A195" s="215" t="s">
        <v>2155</v>
      </c>
      <c r="B195" s="215" t="s">
        <v>70</v>
      </c>
      <c r="C195" s="215" t="s">
        <v>2061</v>
      </c>
      <c r="D195" s="215">
        <v>1641500</v>
      </c>
      <c r="E195" s="215">
        <v>0</v>
      </c>
      <c r="F195" s="215">
        <v>415166689.82999998</v>
      </c>
      <c r="G195" s="215">
        <v>0</v>
      </c>
      <c r="H195" s="329">
        <f t="shared" si="2"/>
        <v>1641500</v>
      </c>
    </row>
    <row r="196" spans="1:8" x14ac:dyDescent="0.45">
      <c r="A196" s="215" t="s">
        <v>2156</v>
      </c>
      <c r="B196" s="215" t="s">
        <v>2059</v>
      </c>
      <c r="C196" s="215" t="s">
        <v>2060</v>
      </c>
      <c r="D196" s="215">
        <v>10600000</v>
      </c>
      <c r="E196" s="215">
        <v>0</v>
      </c>
      <c r="F196" s="215">
        <v>425766689.82999998</v>
      </c>
      <c r="G196" s="215">
        <v>0</v>
      </c>
      <c r="H196" s="329">
        <f t="shared" si="2"/>
        <v>10600000</v>
      </c>
    </row>
    <row r="197" spans="1:8" x14ac:dyDescent="0.45">
      <c r="A197" s="215" t="s">
        <v>2156</v>
      </c>
      <c r="B197" s="215" t="s">
        <v>70</v>
      </c>
      <c r="C197" s="215" t="s">
        <v>2061</v>
      </c>
      <c r="D197" s="215">
        <v>1060000</v>
      </c>
      <c r="E197" s="215">
        <v>0</v>
      </c>
      <c r="F197" s="215">
        <v>426826689.82999998</v>
      </c>
      <c r="G197" s="215">
        <v>0</v>
      </c>
      <c r="H197" s="329">
        <f t="shared" si="2"/>
        <v>1060000</v>
      </c>
    </row>
    <row r="198" spans="1:8" x14ac:dyDescent="0.45">
      <c r="A198" s="215" t="s">
        <v>2156</v>
      </c>
      <c r="B198" s="215" t="s">
        <v>2064</v>
      </c>
      <c r="C198" s="215" t="s">
        <v>2065</v>
      </c>
      <c r="D198" s="215">
        <v>0</v>
      </c>
      <c r="E198" s="215">
        <v>4430400</v>
      </c>
      <c r="F198" s="215">
        <v>422396289.82999998</v>
      </c>
      <c r="G198" s="215">
        <v>0</v>
      </c>
      <c r="H198" s="329">
        <f t="shared" ref="H198:H261" si="3">IF(D198&gt;0,D198,-E198)</f>
        <v>-4430400</v>
      </c>
    </row>
    <row r="199" spans="1:8" x14ac:dyDescent="0.45">
      <c r="A199" s="215" t="s">
        <v>2156</v>
      </c>
      <c r="B199" s="215" t="s">
        <v>2066</v>
      </c>
      <c r="C199" s="215" t="s">
        <v>2067</v>
      </c>
      <c r="D199" s="215">
        <v>0</v>
      </c>
      <c r="E199" s="215">
        <v>443040</v>
      </c>
      <c r="F199" s="215">
        <v>421953249.82999998</v>
      </c>
      <c r="G199" s="215">
        <v>0</v>
      </c>
      <c r="H199" s="329">
        <f t="shared" si="3"/>
        <v>-443040</v>
      </c>
    </row>
    <row r="200" spans="1:8" x14ac:dyDescent="0.45">
      <c r="A200" s="215" t="s">
        <v>2157</v>
      </c>
      <c r="B200" s="215" t="s">
        <v>2059</v>
      </c>
      <c r="C200" s="215" t="s">
        <v>2060</v>
      </c>
      <c r="D200" s="215">
        <v>15445000</v>
      </c>
      <c r="E200" s="215">
        <v>0</v>
      </c>
      <c r="F200" s="215">
        <v>437398249.82999998</v>
      </c>
      <c r="G200" s="215">
        <v>0</v>
      </c>
      <c r="H200" s="329">
        <f t="shared" si="3"/>
        <v>15445000</v>
      </c>
    </row>
    <row r="201" spans="1:8" x14ac:dyDescent="0.45">
      <c r="A201" s="215" t="s">
        <v>2157</v>
      </c>
      <c r="B201" s="215" t="s">
        <v>70</v>
      </c>
      <c r="C201" s="215" t="s">
        <v>2061</v>
      </c>
      <c r="D201" s="215">
        <v>1544500</v>
      </c>
      <c r="E201" s="215">
        <v>0</v>
      </c>
      <c r="F201" s="215">
        <v>438942749.82999998</v>
      </c>
      <c r="G201" s="215">
        <v>0</v>
      </c>
      <c r="H201" s="329">
        <f t="shared" si="3"/>
        <v>1544500</v>
      </c>
    </row>
    <row r="202" spans="1:8" x14ac:dyDescent="0.45">
      <c r="A202" s="215" t="s">
        <v>2158</v>
      </c>
      <c r="B202" s="215" t="s">
        <v>2059</v>
      </c>
      <c r="C202" s="215" t="s">
        <v>2060</v>
      </c>
      <c r="D202" s="215">
        <v>2505000</v>
      </c>
      <c r="E202" s="215">
        <v>0</v>
      </c>
      <c r="F202" s="215">
        <v>441447749.82999998</v>
      </c>
      <c r="G202" s="215">
        <v>0</v>
      </c>
      <c r="H202" s="329">
        <f t="shared" si="3"/>
        <v>2505000</v>
      </c>
    </row>
    <row r="203" spans="1:8" x14ac:dyDescent="0.45">
      <c r="A203" s="215" t="s">
        <v>2158</v>
      </c>
      <c r="B203" s="215" t="s">
        <v>70</v>
      </c>
      <c r="C203" s="215" t="s">
        <v>2061</v>
      </c>
      <c r="D203" s="215">
        <v>250500</v>
      </c>
      <c r="E203" s="215">
        <v>0</v>
      </c>
      <c r="F203" s="215">
        <v>441698249.82999998</v>
      </c>
      <c r="G203" s="215">
        <v>0</v>
      </c>
      <c r="H203" s="329">
        <f t="shared" si="3"/>
        <v>250500</v>
      </c>
    </row>
    <row r="204" spans="1:8" x14ac:dyDescent="0.45">
      <c r="A204" s="215" t="s">
        <v>2158</v>
      </c>
      <c r="B204" s="215" t="s">
        <v>2055</v>
      </c>
      <c r="C204" s="215" t="s">
        <v>2056</v>
      </c>
      <c r="D204" s="215">
        <v>0</v>
      </c>
      <c r="E204" s="215">
        <v>1218182</v>
      </c>
      <c r="F204" s="215">
        <v>440480067.82999998</v>
      </c>
      <c r="G204" s="215">
        <v>0</v>
      </c>
      <c r="H204" s="329">
        <f t="shared" si="3"/>
        <v>-1218182</v>
      </c>
    </row>
    <row r="205" spans="1:8" x14ac:dyDescent="0.45">
      <c r="A205" s="215" t="s">
        <v>2127</v>
      </c>
      <c r="B205" s="215" t="s">
        <v>2066</v>
      </c>
      <c r="C205" s="215" t="s">
        <v>2067</v>
      </c>
      <c r="D205" s="215">
        <v>0</v>
      </c>
      <c r="E205" s="215">
        <v>1111500</v>
      </c>
      <c r="F205" s="215">
        <v>439368567.82999998</v>
      </c>
      <c r="G205" s="215">
        <v>0</v>
      </c>
      <c r="H205" s="329">
        <f t="shared" si="3"/>
        <v>-1111500</v>
      </c>
    </row>
    <row r="206" spans="1:8" x14ac:dyDescent="0.45">
      <c r="A206" s="215" t="s">
        <v>2159</v>
      </c>
      <c r="B206" s="215" t="s">
        <v>2059</v>
      </c>
      <c r="C206" s="215" t="s">
        <v>2060</v>
      </c>
      <c r="D206" s="215">
        <v>12000000</v>
      </c>
      <c r="E206" s="215">
        <v>0</v>
      </c>
      <c r="F206" s="215">
        <v>451368567.82999998</v>
      </c>
      <c r="G206" s="215">
        <v>0</v>
      </c>
      <c r="H206" s="329">
        <f t="shared" si="3"/>
        <v>12000000</v>
      </c>
    </row>
    <row r="207" spans="1:8" x14ac:dyDescent="0.45">
      <c r="A207" s="215" t="s">
        <v>2159</v>
      </c>
      <c r="B207" s="215" t="s">
        <v>70</v>
      </c>
      <c r="C207" s="215" t="s">
        <v>2061</v>
      </c>
      <c r="D207" s="215">
        <v>1200000</v>
      </c>
      <c r="E207" s="215">
        <v>0</v>
      </c>
      <c r="F207" s="215">
        <v>452568567.82999998</v>
      </c>
      <c r="G207" s="215">
        <v>0</v>
      </c>
      <c r="H207" s="329">
        <f t="shared" si="3"/>
        <v>1200000</v>
      </c>
    </row>
    <row r="208" spans="1:8" x14ac:dyDescent="0.45">
      <c r="A208" s="215" t="s">
        <v>2159</v>
      </c>
      <c r="B208" s="215" t="s">
        <v>2059</v>
      </c>
      <c r="C208" s="215" t="s">
        <v>2060</v>
      </c>
      <c r="D208" s="215">
        <v>2745000</v>
      </c>
      <c r="E208" s="215">
        <v>0</v>
      </c>
      <c r="F208" s="215">
        <v>455313567.82999998</v>
      </c>
      <c r="G208" s="215">
        <v>0</v>
      </c>
      <c r="H208" s="329">
        <f t="shared" si="3"/>
        <v>2745000</v>
      </c>
    </row>
    <row r="209" spans="1:8" x14ac:dyDescent="0.45">
      <c r="A209" s="215" t="s">
        <v>2159</v>
      </c>
      <c r="B209" s="215" t="s">
        <v>70</v>
      </c>
      <c r="C209" s="215" t="s">
        <v>2061</v>
      </c>
      <c r="D209" s="215">
        <v>274500</v>
      </c>
      <c r="E209" s="215">
        <v>0</v>
      </c>
      <c r="F209" s="215">
        <v>455588067.82999998</v>
      </c>
      <c r="G209" s="215">
        <v>0</v>
      </c>
      <c r="H209" s="329">
        <f t="shared" si="3"/>
        <v>274500</v>
      </c>
    </row>
    <row r="210" spans="1:8" x14ac:dyDescent="0.45">
      <c r="A210" s="215" t="s">
        <v>2159</v>
      </c>
      <c r="B210" s="215" t="s">
        <v>2160</v>
      </c>
      <c r="C210" s="215" t="s">
        <v>2116</v>
      </c>
      <c r="D210" s="215">
        <v>0</v>
      </c>
      <c r="E210" s="215">
        <v>1145455</v>
      </c>
      <c r="F210" s="215">
        <v>454442612.82999998</v>
      </c>
      <c r="G210" s="215">
        <v>0</v>
      </c>
      <c r="H210" s="329">
        <f t="shared" si="3"/>
        <v>-1145455</v>
      </c>
    </row>
    <row r="211" spans="1:8" x14ac:dyDescent="0.45">
      <c r="A211" s="215" t="s">
        <v>2159</v>
      </c>
      <c r="B211" s="215" t="s">
        <v>2066</v>
      </c>
      <c r="C211" s="215" t="s">
        <v>2067</v>
      </c>
      <c r="D211" s="215">
        <v>0</v>
      </c>
      <c r="E211" s="215">
        <v>114545</v>
      </c>
      <c r="F211" s="215">
        <v>454328067.82999998</v>
      </c>
      <c r="G211" s="215">
        <v>0</v>
      </c>
      <c r="H211" s="329">
        <f t="shared" si="3"/>
        <v>-114545</v>
      </c>
    </row>
    <row r="212" spans="1:8" x14ac:dyDescent="0.45">
      <c r="A212" s="215" t="s">
        <v>2159</v>
      </c>
      <c r="B212" s="215" t="s">
        <v>2160</v>
      </c>
      <c r="C212" s="215" t="s">
        <v>2116</v>
      </c>
      <c r="D212" s="215">
        <v>0</v>
      </c>
      <c r="E212" s="215">
        <v>843636</v>
      </c>
      <c r="F212" s="215">
        <v>453484431.82999998</v>
      </c>
      <c r="G212" s="215">
        <v>0</v>
      </c>
      <c r="H212" s="329">
        <f t="shared" si="3"/>
        <v>-843636</v>
      </c>
    </row>
    <row r="213" spans="1:8" x14ac:dyDescent="0.45">
      <c r="A213" s="215" t="s">
        <v>2159</v>
      </c>
      <c r="B213" s="215" t="s">
        <v>2066</v>
      </c>
      <c r="C213" s="215" t="s">
        <v>2067</v>
      </c>
      <c r="D213" s="215">
        <v>0</v>
      </c>
      <c r="E213" s="215">
        <v>84364</v>
      </c>
      <c r="F213" s="215">
        <v>453400067.82999998</v>
      </c>
      <c r="G213" s="215">
        <v>0</v>
      </c>
      <c r="H213" s="329">
        <f t="shared" si="3"/>
        <v>-84364</v>
      </c>
    </row>
    <row r="214" spans="1:8" x14ac:dyDescent="0.45">
      <c r="A214" s="215" t="s">
        <v>2161</v>
      </c>
      <c r="B214" s="215" t="s">
        <v>2059</v>
      </c>
      <c r="C214" s="215" t="s">
        <v>2060</v>
      </c>
      <c r="D214" s="215">
        <v>8290000</v>
      </c>
      <c r="E214" s="215">
        <v>0</v>
      </c>
      <c r="F214" s="215">
        <v>461690067.82999998</v>
      </c>
      <c r="G214" s="215">
        <v>0</v>
      </c>
      <c r="H214" s="329">
        <f t="shared" si="3"/>
        <v>8290000</v>
      </c>
    </row>
    <row r="215" spans="1:8" x14ac:dyDescent="0.45">
      <c r="A215" s="215" t="s">
        <v>2161</v>
      </c>
      <c r="B215" s="215" t="s">
        <v>70</v>
      </c>
      <c r="C215" s="215" t="s">
        <v>2061</v>
      </c>
      <c r="D215" s="215">
        <v>829000</v>
      </c>
      <c r="E215" s="215">
        <v>0</v>
      </c>
      <c r="F215" s="215">
        <v>462519067.82999998</v>
      </c>
      <c r="G215" s="215">
        <v>0</v>
      </c>
      <c r="H215" s="329">
        <f t="shared" si="3"/>
        <v>829000</v>
      </c>
    </row>
    <row r="216" spans="1:8" x14ac:dyDescent="0.45">
      <c r="A216" s="215" t="s">
        <v>2161</v>
      </c>
      <c r="B216" s="215" t="s">
        <v>2059</v>
      </c>
      <c r="C216" s="215" t="s">
        <v>2060</v>
      </c>
      <c r="D216" s="215">
        <v>9360000</v>
      </c>
      <c r="E216" s="215">
        <v>0</v>
      </c>
      <c r="F216" s="215">
        <v>471879067.82999998</v>
      </c>
      <c r="G216" s="215">
        <v>0</v>
      </c>
      <c r="H216" s="329">
        <f t="shared" si="3"/>
        <v>9360000</v>
      </c>
    </row>
    <row r="217" spans="1:8" x14ac:dyDescent="0.45">
      <c r="A217" s="215" t="s">
        <v>2161</v>
      </c>
      <c r="B217" s="215" t="s">
        <v>70</v>
      </c>
      <c r="C217" s="215" t="s">
        <v>2061</v>
      </c>
      <c r="D217" s="215">
        <v>936000</v>
      </c>
      <c r="E217" s="215">
        <v>0</v>
      </c>
      <c r="F217" s="215">
        <v>472815067.82999998</v>
      </c>
      <c r="G217" s="215">
        <v>0</v>
      </c>
      <c r="H217" s="329">
        <f t="shared" si="3"/>
        <v>936000</v>
      </c>
    </row>
    <row r="218" spans="1:8" x14ac:dyDescent="0.45">
      <c r="A218" s="215" t="s">
        <v>2162</v>
      </c>
      <c r="B218" s="215" t="s">
        <v>2059</v>
      </c>
      <c r="C218" s="215" t="s">
        <v>2060</v>
      </c>
      <c r="D218" s="215">
        <v>12470000</v>
      </c>
      <c r="E218" s="215">
        <v>0</v>
      </c>
      <c r="F218" s="215">
        <v>485285067.82999998</v>
      </c>
      <c r="G218" s="215">
        <v>0</v>
      </c>
      <c r="H218" s="329">
        <f t="shared" si="3"/>
        <v>12470000</v>
      </c>
    </row>
    <row r="219" spans="1:8" x14ac:dyDescent="0.45">
      <c r="A219" s="215" t="s">
        <v>2162</v>
      </c>
      <c r="B219" s="215" t="s">
        <v>70</v>
      </c>
      <c r="C219" s="215" t="s">
        <v>2061</v>
      </c>
      <c r="D219" s="215">
        <v>1247000</v>
      </c>
      <c r="E219" s="215">
        <v>0</v>
      </c>
      <c r="F219" s="215">
        <v>486532067.82999998</v>
      </c>
      <c r="G219" s="215">
        <v>0</v>
      </c>
      <c r="H219" s="329">
        <f t="shared" si="3"/>
        <v>1247000</v>
      </c>
    </row>
    <row r="220" spans="1:8" x14ac:dyDescent="0.45">
      <c r="A220" s="215" t="s">
        <v>2162</v>
      </c>
      <c r="B220" s="215" t="s">
        <v>2163</v>
      </c>
      <c r="C220" s="215" t="s">
        <v>2116</v>
      </c>
      <c r="D220" s="215">
        <v>0</v>
      </c>
      <c r="E220" s="215">
        <v>16354545</v>
      </c>
      <c r="F220" s="215">
        <v>470177522.82999998</v>
      </c>
      <c r="G220" s="215">
        <v>0</v>
      </c>
      <c r="H220" s="329">
        <f t="shared" si="3"/>
        <v>-16354545</v>
      </c>
    </row>
    <row r="221" spans="1:8" x14ac:dyDescent="0.45">
      <c r="A221" s="215" t="s">
        <v>2162</v>
      </c>
      <c r="B221" s="215" t="s">
        <v>2066</v>
      </c>
      <c r="C221" s="215" t="s">
        <v>2067</v>
      </c>
      <c r="D221" s="215">
        <v>0</v>
      </c>
      <c r="E221" s="215">
        <v>1635455</v>
      </c>
      <c r="F221" s="215">
        <v>468542067.82999998</v>
      </c>
      <c r="G221" s="215">
        <v>0</v>
      </c>
      <c r="H221" s="329">
        <f t="shared" si="3"/>
        <v>-1635455</v>
      </c>
    </row>
    <row r="222" spans="1:8" x14ac:dyDescent="0.45">
      <c r="A222" s="215" t="s">
        <v>2164</v>
      </c>
      <c r="B222" s="215" t="s">
        <v>2059</v>
      </c>
      <c r="C222" s="215" t="s">
        <v>2060</v>
      </c>
      <c r="D222" s="215">
        <v>6250000</v>
      </c>
      <c r="E222" s="215">
        <v>0</v>
      </c>
      <c r="F222" s="215">
        <v>474792067.82999998</v>
      </c>
      <c r="G222" s="215">
        <v>0</v>
      </c>
      <c r="H222" s="329">
        <f t="shared" si="3"/>
        <v>6250000</v>
      </c>
    </row>
    <row r="223" spans="1:8" x14ac:dyDescent="0.45">
      <c r="A223" s="215" t="s">
        <v>2164</v>
      </c>
      <c r="B223" s="215" t="s">
        <v>70</v>
      </c>
      <c r="C223" s="215" t="s">
        <v>2061</v>
      </c>
      <c r="D223" s="215">
        <v>625000</v>
      </c>
      <c r="E223" s="215">
        <v>0</v>
      </c>
      <c r="F223" s="215">
        <v>475417067.82999998</v>
      </c>
      <c r="G223" s="215">
        <v>0</v>
      </c>
      <c r="H223" s="329">
        <f t="shared" si="3"/>
        <v>625000</v>
      </c>
    </row>
    <row r="224" spans="1:8" x14ac:dyDescent="0.45">
      <c r="A224" s="215" t="s">
        <v>2164</v>
      </c>
      <c r="B224" s="215" t="s">
        <v>2059</v>
      </c>
      <c r="C224" s="215" t="s">
        <v>2060</v>
      </c>
      <c r="D224" s="215">
        <v>14090000</v>
      </c>
      <c r="E224" s="215">
        <v>0</v>
      </c>
      <c r="F224" s="215">
        <v>489507067.82999998</v>
      </c>
      <c r="G224" s="215">
        <v>0</v>
      </c>
      <c r="H224" s="329">
        <f t="shared" si="3"/>
        <v>14090000</v>
      </c>
    </row>
    <row r="225" spans="1:8" x14ac:dyDescent="0.45">
      <c r="A225" s="215" t="s">
        <v>2164</v>
      </c>
      <c r="B225" s="215" t="s">
        <v>70</v>
      </c>
      <c r="C225" s="215" t="s">
        <v>2061</v>
      </c>
      <c r="D225" s="215">
        <v>1409000</v>
      </c>
      <c r="E225" s="215">
        <v>0</v>
      </c>
      <c r="F225" s="215">
        <v>490916067.82999998</v>
      </c>
      <c r="G225" s="215">
        <v>0</v>
      </c>
      <c r="H225" s="329">
        <f t="shared" si="3"/>
        <v>1409000</v>
      </c>
    </row>
    <row r="226" spans="1:8" x14ac:dyDescent="0.45">
      <c r="A226" s="215" t="s">
        <v>2165</v>
      </c>
      <c r="B226" s="215" t="s">
        <v>2055</v>
      </c>
      <c r="C226" s="215" t="s">
        <v>2056</v>
      </c>
      <c r="D226" s="215">
        <v>0</v>
      </c>
      <c r="E226" s="215">
        <v>3600000</v>
      </c>
      <c r="F226" s="215">
        <v>487316067.82999998</v>
      </c>
      <c r="G226" s="215">
        <v>0</v>
      </c>
      <c r="H226" s="329">
        <f t="shared" si="3"/>
        <v>-3600000</v>
      </c>
    </row>
    <row r="227" spans="1:8" x14ac:dyDescent="0.45">
      <c r="A227" s="215" t="s">
        <v>2137</v>
      </c>
      <c r="B227" s="215" t="s">
        <v>2066</v>
      </c>
      <c r="C227" s="215" t="s">
        <v>2067</v>
      </c>
      <c r="D227" s="215">
        <v>0</v>
      </c>
      <c r="E227" s="215">
        <v>1774544</v>
      </c>
      <c r="F227" s="215">
        <v>485541523.82999998</v>
      </c>
      <c r="G227" s="215">
        <v>0</v>
      </c>
      <c r="H227" s="329">
        <f t="shared" si="3"/>
        <v>-1774544</v>
      </c>
    </row>
    <row r="228" spans="1:8" x14ac:dyDescent="0.45">
      <c r="A228" s="215" t="s">
        <v>2166</v>
      </c>
      <c r="B228" s="215" t="s">
        <v>2059</v>
      </c>
      <c r="C228" s="215" t="s">
        <v>2060</v>
      </c>
      <c r="D228" s="215">
        <v>12304000</v>
      </c>
      <c r="E228" s="215">
        <v>0</v>
      </c>
      <c r="F228" s="215">
        <v>497845523.82999998</v>
      </c>
      <c r="G228" s="215">
        <v>0</v>
      </c>
      <c r="H228" s="329">
        <f t="shared" si="3"/>
        <v>12304000</v>
      </c>
    </row>
    <row r="229" spans="1:8" x14ac:dyDescent="0.45">
      <c r="A229" s="215" t="s">
        <v>2166</v>
      </c>
      <c r="B229" s="215" t="s">
        <v>70</v>
      </c>
      <c r="C229" s="215" t="s">
        <v>2061</v>
      </c>
      <c r="D229" s="215">
        <v>1230400</v>
      </c>
      <c r="E229" s="215">
        <v>0</v>
      </c>
      <c r="F229" s="215">
        <v>499075923.82999998</v>
      </c>
      <c r="G229" s="215">
        <v>0</v>
      </c>
      <c r="H229" s="329">
        <f t="shared" si="3"/>
        <v>1230400</v>
      </c>
    </row>
    <row r="230" spans="1:8" x14ac:dyDescent="0.45">
      <c r="A230" s="215" t="s">
        <v>2166</v>
      </c>
      <c r="B230" s="215" t="s">
        <v>2059</v>
      </c>
      <c r="C230" s="215" t="s">
        <v>2060</v>
      </c>
      <c r="D230" s="215">
        <v>12670000</v>
      </c>
      <c r="E230" s="215">
        <v>0</v>
      </c>
      <c r="F230" s="215">
        <v>511745923.82999998</v>
      </c>
      <c r="G230" s="215">
        <v>0</v>
      </c>
      <c r="H230" s="329">
        <f t="shared" si="3"/>
        <v>12670000</v>
      </c>
    </row>
    <row r="231" spans="1:8" x14ac:dyDescent="0.45">
      <c r="A231" s="215" t="s">
        <v>2166</v>
      </c>
      <c r="B231" s="215" t="s">
        <v>70</v>
      </c>
      <c r="C231" s="215" t="s">
        <v>2061</v>
      </c>
      <c r="D231" s="215">
        <v>1267000</v>
      </c>
      <c r="E231" s="215">
        <v>0</v>
      </c>
      <c r="F231" s="215">
        <v>513012923.82999998</v>
      </c>
      <c r="G231" s="215">
        <v>0</v>
      </c>
      <c r="H231" s="329">
        <f t="shared" si="3"/>
        <v>1267000</v>
      </c>
    </row>
    <row r="232" spans="1:8" x14ac:dyDescent="0.45">
      <c r="A232" s="215" t="s">
        <v>2167</v>
      </c>
      <c r="B232" s="215" t="s">
        <v>2059</v>
      </c>
      <c r="C232" s="215" t="s">
        <v>2060</v>
      </c>
      <c r="D232" s="215">
        <v>16440000</v>
      </c>
      <c r="E232" s="215">
        <v>0</v>
      </c>
      <c r="F232" s="215">
        <v>529452923.82999998</v>
      </c>
      <c r="G232" s="215">
        <v>0</v>
      </c>
      <c r="H232" s="329">
        <f t="shared" si="3"/>
        <v>16440000</v>
      </c>
    </row>
    <row r="233" spans="1:8" x14ac:dyDescent="0.45">
      <c r="A233" s="215" t="s">
        <v>2167</v>
      </c>
      <c r="B233" s="215" t="s">
        <v>70</v>
      </c>
      <c r="C233" s="215" t="s">
        <v>2061</v>
      </c>
      <c r="D233" s="215">
        <v>1644000</v>
      </c>
      <c r="E233" s="215">
        <v>0</v>
      </c>
      <c r="F233" s="215">
        <v>531096923.82999998</v>
      </c>
      <c r="G233" s="215">
        <v>0</v>
      </c>
      <c r="H233" s="329">
        <f t="shared" si="3"/>
        <v>1644000</v>
      </c>
    </row>
    <row r="234" spans="1:8" x14ac:dyDescent="0.45">
      <c r="A234" s="215" t="s">
        <v>2168</v>
      </c>
      <c r="B234" s="215" t="s">
        <v>2059</v>
      </c>
      <c r="C234" s="215" t="s">
        <v>2060</v>
      </c>
      <c r="D234" s="215">
        <v>15856000</v>
      </c>
      <c r="E234" s="215">
        <v>0</v>
      </c>
      <c r="F234" s="215">
        <v>546952923.83000004</v>
      </c>
      <c r="G234" s="215">
        <v>0</v>
      </c>
      <c r="H234" s="329">
        <f t="shared" si="3"/>
        <v>15856000</v>
      </c>
    </row>
    <row r="235" spans="1:8" x14ac:dyDescent="0.45">
      <c r="A235" s="215" t="s">
        <v>2168</v>
      </c>
      <c r="B235" s="215" t="s">
        <v>70</v>
      </c>
      <c r="C235" s="215" t="s">
        <v>2061</v>
      </c>
      <c r="D235" s="215">
        <v>1585600</v>
      </c>
      <c r="E235" s="215">
        <v>0</v>
      </c>
      <c r="F235" s="215">
        <v>548538523.83000004</v>
      </c>
      <c r="G235" s="215">
        <v>0</v>
      </c>
      <c r="H235" s="329">
        <f t="shared" si="3"/>
        <v>1585600</v>
      </c>
    </row>
    <row r="236" spans="1:8" x14ac:dyDescent="0.45">
      <c r="A236" s="215" t="s">
        <v>2168</v>
      </c>
      <c r="B236" s="215" t="s">
        <v>2059</v>
      </c>
      <c r="C236" s="215" t="s">
        <v>2060</v>
      </c>
      <c r="D236" s="215">
        <v>12075000</v>
      </c>
      <c r="E236" s="215">
        <v>0</v>
      </c>
      <c r="F236" s="215">
        <v>560613523.83000004</v>
      </c>
      <c r="G236" s="215">
        <v>0</v>
      </c>
      <c r="H236" s="329">
        <f t="shared" si="3"/>
        <v>12075000</v>
      </c>
    </row>
    <row r="237" spans="1:8" x14ac:dyDescent="0.45">
      <c r="A237" s="215" t="s">
        <v>2168</v>
      </c>
      <c r="B237" s="215" t="s">
        <v>70</v>
      </c>
      <c r="C237" s="215" t="s">
        <v>2061</v>
      </c>
      <c r="D237" s="215">
        <v>1207500</v>
      </c>
      <c r="E237" s="215">
        <v>0</v>
      </c>
      <c r="F237" s="215">
        <v>561821023.83000004</v>
      </c>
      <c r="G237" s="215">
        <v>0</v>
      </c>
      <c r="H237" s="329">
        <f t="shared" si="3"/>
        <v>1207500</v>
      </c>
    </row>
    <row r="238" spans="1:8" x14ac:dyDescent="0.45">
      <c r="A238" s="215" t="s">
        <v>2169</v>
      </c>
      <c r="B238" s="215" t="s">
        <v>2059</v>
      </c>
      <c r="C238" s="215" t="s">
        <v>2060</v>
      </c>
      <c r="D238" s="215">
        <v>13085000</v>
      </c>
      <c r="E238" s="215">
        <v>0</v>
      </c>
      <c r="F238" s="215">
        <v>574906023.83000004</v>
      </c>
      <c r="G238" s="215">
        <v>0</v>
      </c>
      <c r="H238" s="329">
        <f t="shared" si="3"/>
        <v>13085000</v>
      </c>
    </row>
    <row r="239" spans="1:8" x14ac:dyDescent="0.45">
      <c r="A239" s="215" t="s">
        <v>2169</v>
      </c>
      <c r="B239" s="215" t="s">
        <v>70</v>
      </c>
      <c r="C239" s="215" t="s">
        <v>2061</v>
      </c>
      <c r="D239" s="215">
        <v>1308500</v>
      </c>
      <c r="E239" s="215">
        <v>0</v>
      </c>
      <c r="F239" s="215">
        <v>576214523.83000004</v>
      </c>
      <c r="G239" s="215">
        <v>0</v>
      </c>
      <c r="H239" s="329">
        <f t="shared" si="3"/>
        <v>1308500</v>
      </c>
    </row>
    <row r="240" spans="1:8" x14ac:dyDescent="0.45">
      <c r="A240" s="215" t="s">
        <v>2170</v>
      </c>
      <c r="B240" s="215" t="s">
        <v>2059</v>
      </c>
      <c r="C240" s="215" t="s">
        <v>2060</v>
      </c>
      <c r="D240" s="215">
        <v>5200000</v>
      </c>
      <c r="E240" s="215">
        <v>0</v>
      </c>
      <c r="F240" s="215">
        <v>581414523.83000004</v>
      </c>
      <c r="G240" s="215">
        <v>0</v>
      </c>
      <c r="H240" s="329">
        <f t="shared" si="3"/>
        <v>5200000</v>
      </c>
    </row>
    <row r="241" spans="1:8" x14ac:dyDescent="0.45">
      <c r="A241" s="215" t="s">
        <v>2170</v>
      </c>
      <c r="B241" s="215" t="s">
        <v>70</v>
      </c>
      <c r="C241" s="215" t="s">
        <v>2061</v>
      </c>
      <c r="D241" s="215">
        <v>520000</v>
      </c>
      <c r="E241" s="215">
        <v>0</v>
      </c>
      <c r="F241" s="215">
        <v>581934523.83000004</v>
      </c>
      <c r="G241" s="215">
        <v>0</v>
      </c>
      <c r="H241" s="329">
        <f t="shared" si="3"/>
        <v>520000</v>
      </c>
    </row>
    <row r="242" spans="1:8" x14ac:dyDescent="0.45">
      <c r="A242" s="215" t="s">
        <v>2171</v>
      </c>
      <c r="B242" s="215" t="s">
        <v>2059</v>
      </c>
      <c r="C242" s="215" t="s">
        <v>2060</v>
      </c>
      <c r="D242" s="215">
        <v>3650000</v>
      </c>
      <c r="E242" s="215">
        <v>0</v>
      </c>
      <c r="F242" s="215">
        <v>585584523.83000004</v>
      </c>
      <c r="G242" s="215">
        <v>0</v>
      </c>
      <c r="H242" s="329">
        <f t="shared" si="3"/>
        <v>3650000</v>
      </c>
    </row>
    <row r="243" spans="1:8" x14ac:dyDescent="0.45">
      <c r="A243" s="215" t="s">
        <v>2171</v>
      </c>
      <c r="B243" s="215" t="s">
        <v>70</v>
      </c>
      <c r="C243" s="215" t="s">
        <v>2061</v>
      </c>
      <c r="D243" s="215">
        <v>365000</v>
      </c>
      <c r="E243" s="215">
        <v>0</v>
      </c>
      <c r="F243" s="215">
        <v>585949523.83000004</v>
      </c>
      <c r="G243" s="215">
        <v>0</v>
      </c>
      <c r="H243" s="329">
        <f t="shared" si="3"/>
        <v>365000</v>
      </c>
    </row>
    <row r="244" spans="1:8" x14ac:dyDescent="0.45">
      <c r="A244" s="215" t="s">
        <v>2172</v>
      </c>
      <c r="B244" s="215" t="s">
        <v>2059</v>
      </c>
      <c r="C244" s="215" t="s">
        <v>2060</v>
      </c>
      <c r="D244" s="215">
        <v>10255000</v>
      </c>
      <c r="E244" s="215">
        <v>0</v>
      </c>
      <c r="F244" s="215">
        <v>596204523.83000004</v>
      </c>
      <c r="G244" s="215">
        <v>0</v>
      </c>
      <c r="H244" s="329">
        <f t="shared" si="3"/>
        <v>10255000</v>
      </c>
    </row>
    <row r="245" spans="1:8" x14ac:dyDescent="0.45">
      <c r="A245" s="215" t="s">
        <v>2172</v>
      </c>
      <c r="B245" s="215" t="s">
        <v>70</v>
      </c>
      <c r="C245" s="215" t="s">
        <v>2061</v>
      </c>
      <c r="D245" s="215">
        <v>1025500</v>
      </c>
      <c r="E245" s="215">
        <v>0</v>
      </c>
      <c r="F245" s="215">
        <v>597230023.83000004</v>
      </c>
      <c r="G245" s="215">
        <v>0</v>
      </c>
      <c r="H245" s="329">
        <f t="shared" si="3"/>
        <v>1025500</v>
      </c>
    </row>
    <row r="246" spans="1:8" x14ac:dyDescent="0.45">
      <c r="A246" s="215" t="s">
        <v>2173</v>
      </c>
      <c r="B246" s="215" t="s">
        <v>2059</v>
      </c>
      <c r="C246" s="215" t="s">
        <v>2060</v>
      </c>
      <c r="D246" s="215">
        <v>6030000</v>
      </c>
      <c r="E246" s="215">
        <v>0</v>
      </c>
      <c r="F246" s="215">
        <v>603260023.83000004</v>
      </c>
      <c r="G246" s="215">
        <v>0</v>
      </c>
      <c r="H246" s="329">
        <f t="shared" si="3"/>
        <v>6030000</v>
      </c>
    </row>
    <row r="247" spans="1:8" x14ac:dyDescent="0.45">
      <c r="A247" s="215" t="s">
        <v>2173</v>
      </c>
      <c r="B247" s="215" t="s">
        <v>70</v>
      </c>
      <c r="C247" s="215" t="s">
        <v>2061</v>
      </c>
      <c r="D247" s="215">
        <v>603000</v>
      </c>
      <c r="E247" s="215">
        <v>0</v>
      </c>
      <c r="F247" s="215">
        <v>603863023.83000004</v>
      </c>
      <c r="G247" s="215">
        <v>0</v>
      </c>
      <c r="H247" s="329">
        <f t="shared" si="3"/>
        <v>603000</v>
      </c>
    </row>
    <row r="248" spans="1:8" x14ac:dyDescent="0.45">
      <c r="A248" s="215" t="s">
        <v>2173</v>
      </c>
      <c r="B248" s="215" t="s">
        <v>2174</v>
      </c>
      <c r="C248" s="215" t="s">
        <v>2065</v>
      </c>
      <c r="D248" s="215">
        <v>0</v>
      </c>
      <c r="E248" s="215">
        <v>4800000</v>
      </c>
      <c r="F248" s="215">
        <v>599063023.83000004</v>
      </c>
      <c r="G248" s="215">
        <v>0</v>
      </c>
      <c r="H248" s="329">
        <f t="shared" si="3"/>
        <v>-4800000</v>
      </c>
    </row>
    <row r="249" spans="1:8" x14ac:dyDescent="0.45">
      <c r="A249" s="215" t="s">
        <v>2173</v>
      </c>
      <c r="B249" s="215" t="s">
        <v>2175</v>
      </c>
      <c r="C249" s="215" t="s">
        <v>2065</v>
      </c>
      <c r="D249" s="215">
        <v>0</v>
      </c>
      <c r="E249" s="215">
        <v>1970000</v>
      </c>
      <c r="F249" s="215">
        <v>597093023.83000004</v>
      </c>
      <c r="G249" s="215">
        <v>0</v>
      </c>
      <c r="H249" s="329">
        <f t="shared" si="3"/>
        <v>-1970000</v>
      </c>
    </row>
    <row r="250" spans="1:8" x14ac:dyDescent="0.45">
      <c r="A250" s="215" t="s">
        <v>2173</v>
      </c>
      <c r="B250" s="215" t="s">
        <v>2176</v>
      </c>
      <c r="C250" s="215" t="s">
        <v>2065</v>
      </c>
      <c r="D250" s="215">
        <v>0</v>
      </c>
      <c r="E250" s="215">
        <v>2905000</v>
      </c>
      <c r="F250" s="215">
        <v>594188023.83000004</v>
      </c>
      <c r="G250" s="215">
        <v>0</v>
      </c>
      <c r="H250" s="329">
        <f t="shared" si="3"/>
        <v>-2905000</v>
      </c>
    </row>
    <row r="251" spans="1:8" x14ac:dyDescent="0.45">
      <c r="A251" s="215" t="s">
        <v>2173</v>
      </c>
      <c r="B251" s="215" t="s">
        <v>2090</v>
      </c>
      <c r="C251" s="215" t="s">
        <v>2091</v>
      </c>
      <c r="D251" s="215">
        <v>0</v>
      </c>
      <c r="E251" s="215">
        <v>35874747</v>
      </c>
      <c r="F251" s="215">
        <v>558313276.83000004</v>
      </c>
      <c r="G251" s="215">
        <v>0</v>
      </c>
      <c r="H251" s="329">
        <f t="shared" si="3"/>
        <v>-35874747</v>
      </c>
    </row>
    <row r="252" spans="1:8" x14ac:dyDescent="0.45">
      <c r="A252" s="215" t="s">
        <v>2051</v>
      </c>
      <c r="B252" s="215" t="s">
        <v>2066</v>
      </c>
      <c r="C252" s="215" t="s">
        <v>2067</v>
      </c>
      <c r="D252" s="215">
        <v>0</v>
      </c>
      <c r="E252" s="215">
        <v>103000</v>
      </c>
      <c r="F252" s="215">
        <v>558210276.83000004</v>
      </c>
      <c r="G252" s="215">
        <v>0</v>
      </c>
      <c r="H252" s="329">
        <f t="shared" si="3"/>
        <v>-103000</v>
      </c>
    </row>
    <row r="253" spans="1:8" x14ac:dyDescent="0.45">
      <c r="A253" s="215" t="s">
        <v>2075</v>
      </c>
      <c r="B253" s="215" t="s">
        <v>2066</v>
      </c>
      <c r="C253" s="215" t="s">
        <v>2067</v>
      </c>
      <c r="D253" s="215">
        <v>0</v>
      </c>
      <c r="E253" s="215">
        <v>78553</v>
      </c>
      <c r="F253" s="215">
        <v>558131723.83000004</v>
      </c>
      <c r="G253" s="215">
        <v>0</v>
      </c>
      <c r="H253" s="329">
        <f t="shared" si="3"/>
        <v>-78553</v>
      </c>
    </row>
    <row r="254" spans="1:8" x14ac:dyDescent="0.45">
      <c r="A254" s="215" t="s">
        <v>2114</v>
      </c>
      <c r="B254" s="215" t="s">
        <v>2066</v>
      </c>
      <c r="C254" s="215" t="s">
        <v>2067</v>
      </c>
      <c r="D254" s="215">
        <v>0</v>
      </c>
      <c r="E254" s="215">
        <v>47727</v>
      </c>
      <c r="F254" s="215">
        <v>558083996.83000004</v>
      </c>
      <c r="G254" s="215">
        <v>0</v>
      </c>
      <c r="H254" s="329">
        <f t="shared" si="3"/>
        <v>-47727</v>
      </c>
    </row>
    <row r="255" spans="1:8" x14ac:dyDescent="0.45">
      <c r="A255" s="215" t="s">
        <v>2114</v>
      </c>
      <c r="B255" s="215" t="s">
        <v>2066</v>
      </c>
      <c r="C255" s="215" t="s">
        <v>2067</v>
      </c>
      <c r="D255" s="215">
        <v>0</v>
      </c>
      <c r="E255" s="215">
        <v>17737</v>
      </c>
      <c r="F255" s="215">
        <v>558066259.83000004</v>
      </c>
      <c r="G255" s="215">
        <v>0</v>
      </c>
      <c r="H255" s="329">
        <f t="shared" si="3"/>
        <v>-17737</v>
      </c>
    </row>
    <row r="256" spans="1:8" x14ac:dyDescent="0.45">
      <c r="A256" s="215" t="s">
        <v>2126</v>
      </c>
      <c r="B256" s="215" t="s">
        <v>2066</v>
      </c>
      <c r="C256" s="215" t="s">
        <v>2067</v>
      </c>
      <c r="D256" s="215">
        <v>0</v>
      </c>
      <c r="E256" s="215">
        <v>46500</v>
      </c>
      <c r="F256" s="215">
        <v>558019759.83000004</v>
      </c>
      <c r="G256" s="215">
        <v>0</v>
      </c>
      <c r="H256" s="329">
        <f t="shared" si="3"/>
        <v>-46500</v>
      </c>
    </row>
    <row r="257" spans="1:8" x14ac:dyDescent="0.45">
      <c r="A257" s="215" t="s">
        <v>2132</v>
      </c>
      <c r="B257" s="215" t="s">
        <v>2066</v>
      </c>
      <c r="C257" s="215" t="s">
        <v>2067</v>
      </c>
      <c r="D257" s="215">
        <v>0</v>
      </c>
      <c r="E257" s="215">
        <v>19963</v>
      </c>
      <c r="F257" s="215">
        <v>557999796.83000004</v>
      </c>
      <c r="G257" s="215">
        <v>0</v>
      </c>
      <c r="H257" s="329">
        <f t="shared" si="3"/>
        <v>-19963</v>
      </c>
    </row>
    <row r="258" spans="1:8" x14ac:dyDescent="0.45">
      <c r="A258" s="215" t="s">
        <v>2149</v>
      </c>
      <c r="B258" s="215" t="s">
        <v>2066</v>
      </c>
      <c r="C258" s="215" t="s">
        <v>2067</v>
      </c>
      <c r="D258" s="215">
        <v>0</v>
      </c>
      <c r="E258" s="215">
        <v>27364</v>
      </c>
      <c r="F258" s="215">
        <v>557972432.83000004</v>
      </c>
      <c r="G258" s="215">
        <v>0</v>
      </c>
      <c r="H258" s="329">
        <f t="shared" si="3"/>
        <v>-27364</v>
      </c>
    </row>
    <row r="259" spans="1:8" x14ac:dyDescent="0.45">
      <c r="A259" s="215" t="s">
        <v>2149</v>
      </c>
      <c r="B259" s="215" t="s">
        <v>2066</v>
      </c>
      <c r="C259" s="215" t="s">
        <v>2067</v>
      </c>
      <c r="D259" s="215">
        <v>0</v>
      </c>
      <c r="E259" s="215">
        <v>33090</v>
      </c>
      <c r="F259" s="215">
        <v>557939342.83000004</v>
      </c>
      <c r="G259" s="215">
        <v>0</v>
      </c>
      <c r="H259" s="329">
        <f t="shared" si="3"/>
        <v>-33090</v>
      </c>
    </row>
    <row r="260" spans="1:8" x14ac:dyDescent="0.45">
      <c r="A260" s="215" t="s">
        <v>2158</v>
      </c>
      <c r="B260" s="215" t="s">
        <v>2066</v>
      </c>
      <c r="C260" s="215" t="s">
        <v>2067</v>
      </c>
      <c r="D260" s="215">
        <v>0</v>
      </c>
      <c r="E260" s="215">
        <v>121818</v>
      </c>
      <c r="F260" s="215">
        <v>557817524.83000004</v>
      </c>
      <c r="G260" s="215">
        <v>0</v>
      </c>
      <c r="H260" s="329">
        <f t="shared" si="3"/>
        <v>-121818</v>
      </c>
    </row>
    <row r="261" spans="1:8" x14ac:dyDescent="0.45">
      <c r="A261" s="215" t="s">
        <v>2177</v>
      </c>
      <c r="B261" s="215" t="s">
        <v>2055</v>
      </c>
      <c r="C261" s="215" t="s">
        <v>2056</v>
      </c>
      <c r="D261" s="215">
        <v>0</v>
      </c>
      <c r="E261" s="215">
        <v>300000</v>
      </c>
      <c r="F261" s="215">
        <v>557517524.83000004</v>
      </c>
      <c r="G261" s="215">
        <v>0</v>
      </c>
      <c r="H261" s="329">
        <f t="shared" si="3"/>
        <v>-300000</v>
      </c>
    </row>
    <row r="262" spans="1:8" x14ac:dyDescent="0.45">
      <c r="A262" s="215" t="s">
        <v>2177</v>
      </c>
      <c r="B262" s="215" t="s">
        <v>2178</v>
      </c>
      <c r="C262" s="215" t="s">
        <v>2116</v>
      </c>
      <c r="D262" s="215">
        <v>0</v>
      </c>
      <c r="E262" s="215">
        <v>4471818</v>
      </c>
      <c r="F262" s="215">
        <v>553045706.83000004</v>
      </c>
      <c r="G262" s="215">
        <v>0</v>
      </c>
      <c r="H262" s="329">
        <f t="shared" ref="H262:H325" si="4">IF(D262&gt;0,D262,-E262)</f>
        <v>-4471818</v>
      </c>
    </row>
    <row r="263" spans="1:8" x14ac:dyDescent="0.45">
      <c r="A263" s="215" t="s">
        <v>2177</v>
      </c>
      <c r="B263" s="215" t="s">
        <v>2066</v>
      </c>
      <c r="C263" s="215" t="s">
        <v>2067</v>
      </c>
      <c r="D263" s="215">
        <v>0</v>
      </c>
      <c r="E263" s="215">
        <v>447182</v>
      </c>
      <c r="F263" s="215">
        <v>552598524.83000004</v>
      </c>
      <c r="G263" s="215">
        <v>0</v>
      </c>
      <c r="H263" s="329">
        <f t="shared" si="4"/>
        <v>-447182</v>
      </c>
    </row>
    <row r="264" spans="1:8" x14ac:dyDescent="0.45">
      <c r="A264" s="215" t="s">
        <v>2177</v>
      </c>
      <c r="B264" s="215" t="s">
        <v>2179</v>
      </c>
      <c r="C264" s="215" t="s">
        <v>2116</v>
      </c>
      <c r="D264" s="215">
        <v>0</v>
      </c>
      <c r="E264" s="215">
        <v>2263636</v>
      </c>
      <c r="F264" s="215">
        <v>550334888.83000004</v>
      </c>
      <c r="G264" s="215">
        <v>0</v>
      </c>
      <c r="H264" s="329">
        <f t="shared" si="4"/>
        <v>-2263636</v>
      </c>
    </row>
    <row r="265" spans="1:8" x14ac:dyDescent="0.45">
      <c r="A265" s="215" t="s">
        <v>2177</v>
      </c>
      <c r="B265" s="215" t="s">
        <v>2066</v>
      </c>
      <c r="C265" s="215" t="s">
        <v>2067</v>
      </c>
      <c r="D265" s="215">
        <v>0</v>
      </c>
      <c r="E265" s="215">
        <v>226364</v>
      </c>
      <c r="F265" s="215">
        <v>550108524.83000004</v>
      </c>
      <c r="G265" s="215">
        <v>0</v>
      </c>
      <c r="H265" s="329">
        <f t="shared" si="4"/>
        <v>-226364</v>
      </c>
    </row>
    <row r="266" spans="1:8" x14ac:dyDescent="0.45">
      <c r="A266" s="215" t="s">
        <v>2177</v>
      </c>
      <c r="B266" s="215" t="s">
        <v>2180</v>
      </c>
      <c r="C266" s="215" t="s">
        <v>2108</v>
      </c>
      <c r="D266" s="215">
        <v>0</v>
      </c>
      <c r="E266" s="215">
        <v>799999</v>
      </c>
      <c r="F266" s="215">
        <v>549308525.83000004</v>
      </c>
      <c r="G266" s="215">
        <v>0</v>
      </c>
      <c r="H266" s="329">
        <f t="shared" si="4"/>
        <v>-799999</v>
      </c>
    </row>
    <row r="267" spans="1:8" x14ac:dyDescent="0.45">
      <c r="A267" s="215" t="s">
        <v>2181</v>
      </c>
      <c r="B267" s="215" t="s">
        <v>2059</v>
      </c>
      <c r="C267" s="215" t="s">
        <v>2060</v>
      </c>
      <c r="D267" s="215">
        <v>6170000</v>
      </c>
      <c r="E267" s="215">
        <v>0</v>
      </c>
      <c r="F267" s="215">
        <v>555478525.83000004</v>
      </c>
      <c r="G267" s="215">
        <v>0</v>
      </c>
      <c r="H267" s="329">
        <f t="shared" si="4"/>
        <v>6170000</v>
      </c>
    </row>
    <row r="268" spans="1:8" x14ac:dyDescent="0.45">
      <c r="A268" s="215" t="s">
        <v>2181</v>
      </c>
      <c r="B268" s="215" t="s">
        <v>70</v>
      </c>
      <c r="C268" s="215" t="s">
        <v>2061</v>
      </c>
      <c r="D268" s="215">
        <v>617000</v>
      </c>
      <c r="E268" s="215">
        <v>0</v>
      </c>
      <c r="F268" s="215">
        <v>556095525.83000004</v>
      </c>
      <c r="G268" s="215">
        <v>0</v>
      </c>
      <c r="H268" s="329">
        <f t="shared" si="4"/>
        <v>617000</v>
      </c>
    </row>
    <row r="269" spans="1:8" x14ac:dyDescent="0.45">
      <c r="A269" s="215" t="s">
        <v>2181</v>
      </c>
      <c r="B269" s="215" t="s">
        <v>2059</v>
      </c>
      <c r="C269" s="215" t="s">
        <v>2060</v>
      </c>
      <c r="D269" s="215">
        <v>12080000</v>
      </c>
      <c r="E269" s="215">
        <v>0</v>
      </c>
      <c r="F269" s="215">
        <v>568175525.83000004</v>
      </c>
      <c r="G269" s="215">
        <v>0</v>
      </c>
      <c r="H269" s="329">
        <f t="shared" si="4"/>
        <v>12080000</v>
      </c>
    </row>
    <row r="270" spans="1:8" x14ac:dyDescent="0.45">
      <c r="A270" s="215" t="s">
        <v>2181</v>
      </c>
      <c r="B270" s="215" t="s">
        <v>70</v>
      </c>
      <c r="C270" s="215" t="s">
        <v>2061</v>
      </c>
      <c r="D270" s="215">
        <v>1208000</v>
      </c>
      <c r="E270" s="215">
        <v>0</v>
      </c>
      <c r="F270" s="215">
        <v>569383525.83000004</v>
      </c>
      <c r="G270" s="215">
        <v>0</v>
      </c>
      <c r="H270" s="329">
        <f t="shared" si="4"/>
        <v>1208000</v>
      </c>
    </row>
    <row r="271" spans="1:8" x14ac:dyDescent="0.45">
      <c r="A271" s="215" t="s">
        <v>2182</v>
      </c>
      <c r="B271" s="215" t="s">
        <v>2059</v>
      </c>
      <c r="C271" s="215" t="s">
        <v>2060</v>
      </c>
      <c r="D271" s="215">
        <v>12290000</v>
      </c>
      <c r="E271" s="215">
        <v>0</v>
      </c>
      <c r="F271" s="215">
        <v>581673525.83000004</v>
      </c>
      <c r="G271" s="215">
        <v>0</v>
      </c>
      <c r="H271" s="329">
        <f t="shared" si="4"/>
        <v>12290000</v>
      </c>
    </row>
    <row r="272" spans="1:8" x14ac:dyDescent="0.45">
      <c r="A272" s="215" t="s">
        <v>2182</v>
      </c>
      <c r="B272" s="215" t="s">
        <v>70</v>
      </c>
      <c r="C272" s="215" t="s">
        <v>2061</v>
      </c>
      <c r="D272" s="215">
        <v>1229000</v>
      </c>
      <c r="E272" s="215">
        <v>0</v>
      </c>
      <c r="F272" s="215">
        <v>582902525.83000004</v>
      </c>
      <c r="G272" s="215">
        <v>0</v>
      </c>
      <c r="H272" s="329">
        <f t="shared" si="4"/>
        <v>1229000</v>
      </c>
    </row>
    <row r="273" spans="1:8" x14ac:dyDescent="0.45">
      <c r="A273" s="215" t="s">
        <v>2183</v>
      </c>
      <c r="B273" s="215" t="s">
        <v>2064</v>
      </c>
      <c r="C273" s="215" t="s">
        <v>2065</v>
      </c>
      <c r="D273" s="215">
        <v>0</v>
      </c>
      <c r="E273" s="215">
        <v>2692800</v>
      </c>
      <c r="F273" s="215">
        <v>580209725.83000004</v>
      </c>
      <c r="G273" s="215">
        <v>0</v>
      </c>
      <c r="H273" s="329">
        <f t="shared" si="4"/>
        <v>-2692800</v>
      </c>
    </row>
    <row r="274" spans="1:8" x14ac:dyDescent="0.45">
      <c r="A274" s="215" t="s">
        <v>2183</v>
      </c>
      <c r="B274" s="215" t="s">
        <v>2066</v>
      </c>
      <c r="C274" s="215" t="s">
        <v>2067</v>
      </c>
      <c r="D274" s="215">
        <v>0</v>
      </c>
      <c r="E274" s="215">
        <v>269280</v>
      </c>
      <c r="F274" s="215">
        <v>579940445.83000004</v>
      </c>
      <c r="G274" s="215">
        <v>0</v>
      </c>
      <c r="H274" s="329">
        <f t="shared" si="4"/>
        <v>-269280</v>
      </c>
    </row>
    <row r="275" spans="1:8" x14ac:dyDescent="0.45">
      <c r="A275" s="215" t="s">
        <v>2184</v>
      </c>
      <c r="B275" s="215" t="s">
        <v>2055</v>
      </c>
      <c r="C275" s="215" t="s">
        <v>2056</v>
      </c>
      <c r="D275" s="215">
        <v>0</v>
      </c>
      <c r="E275" s="215">
        <v>3000000</v>
      </c>
      <c r="F275" s="215">
        <v>576940445.83000004</v>
      </c>
      <c r="G275" s="215">
        <v>0</v>
      </c>
      <c r="H275" s="329">
        <f t="shared" si="4"/>
        <v>-3000000</v>
      </c>
    </row>
    <row r="276" spans="1:8" x14ac:dyDescent="0.45">
      <c r="A276" s="215" t="s">
        <v>2185</v>
      </c>
      <c r="B276" s="215" t="s">
        <v>2059</v>
      </c>
      <c r="C276" s="215" t="s">
        <v>2060</v>
      </c>
      <c r="D276" s="215">
        <v>2160000</v>
      </c>
      <c r="E276" s="215">
        <v>0</v>
      </c>
      <c r="F276" s="215">
        <v>579100445.83000004</v>
      </c>
      <c r="G276" s="215">
        <v>0</v>
      </c>
      <c r="H276" s="329">
        <f t="shared" si="4"/>
        <v>2160000</v>
      </c>
    </row>
    <row r="277" spans="1:8" x14ac:dyDescent="0.45">
      <c r="A277" s="215" t="s">
        <v>2185</v>
      </c>
      <c r="B277" s="215" t="s">
        <v>70</v>
      </c>
      <c r="C277" s="215" t="s">
        <v>2061</v>
      </c>
      <c r="D277" s="215">
        <v>216000</v>
      </c>
      <c r="E277" s="215">
        <v>0</v>
      </c>
      <c r="F277" s="215">
        <v>579316445.83000004</v>
      </c>
      <c r="G277" s="215">
        <v>0</v>
      </c>
      <c r="H277" s="329">
        <f t="shared" si="4"/>
        <v>216000</v>
      </c>
    </row>
    <row r="278" spans="1:8" x14ac:dyDescent="0.45">
      <c r="A278" s="215" t="s">
        <v>2186</v>
      </c>
      <c r="B278" s="215" t="s">
        <v>2055</v>
      </c>
      <c r="C278" s="215" t="s">
        <v>2056</v>
      </c>
      <c r="D278" s="215">
        <v>0</v>
      </c>
      <c r="E278" s="215">
        <v>7529100</v>
      </c>
      <c r="F278" s="215">
        <v>571787345.83000004</v>
      </c>
      <c r="G278" s="215">
        <v>0</v>
      </c>
      <c r="H278" s="329">
        <f t="shared" si="4"/>
        <v>-7529100</v>
      </c>
    </row>
    <row r="279" spans="1:8" x14ac:dyDescent="0.45">
      <c r="A279" s="215" t="s">
        <v>2186</v>
      </c>
      <c r="B279" s="215" t="s">
        <v>2066</v>
      </c>
      <c r="C279" s="215" t="s">
        <v>2067</v>
      </c>
      <c r="D279" s="215">
        <v>0</v>
      </c>
      <c r="E279" s="215">
        <v>752910</v>
      </c>
      <c r="F279" s="215">
        <v>571034435.83000004</v>
      </c>
      <c r="G279" s="215">
        <v>0</v>
      </c>
      <c r="H279" s="329">
        <f t="shared" si="4"/>
        <v>-752910</v>
      </c>
    </row>
    <row r="280" spans="1:8" x14ac:dyDescent="0.45">
      <c r="A280" s="215" t="s">
        <v>2187</v>
      </c>
      <c r="B280" s="215" t="s">
        <v>2059</v>
      </c>
      <c r="C280" s="215" t="s">
        <v>2060</v>
      </c>
      <c r="D280" s="215">
        <v>14330000</v>
      </c>
      <c r="E280" s="215">
        <v>0</v>
      </c>
      <c r="F280" s="215">
        <v>585364435.83000004</v>
      </c>
      <c r="G280" s="215">
        <v>0</v>
      </c>
      <c r="H280" s="329">
        <f t="shared" si="4"/>
        <v>14330000</v>
      </c>
    </row>
    <row r="281" spans="1:8" x14ac:dyDescent="0.45">
      <c r="A281" s="215" t="s">
        <v>2187</v>
      </c>
      <c r="B281" s="215" t="s">
        <v>70</v>
      </c>
      <c r="C281" s="215" t="s">
        <v>2061</v>
      </c>
      <c r="D281" s="215">
        <v>1433000</v>
      </c>
      <c r="E281" s="215">
        <v>0</v>
      </c>
      <c r="F281" s="215">
        <v>586797435.83000004</v>
      </c>
      <c r="G281" s="215">
        <v>0</v>
      </c>
      <c r="H281" s="329">
        <f t="shared" si="4"/>
        <v>1433000</v>
      </c>
    </row>
    <row r="282" spans="1:8" x14ac:dyDescent="0.45">
      <c r="A282" s="215" t="s">
        <v>2188</v>
      </c>
      <c r="B282" s="215" t="s">
        <v>2059</v>
      </c>
      <c r="C282" s="215" t="s">
        <v>2060</v>
      </c>
      <c r="D282" s="215">
        <v>6030000</v>
      </c>
      <c r="E282" s="215">
        <v>0</v>
      </c>
      <c r="F282" s="215">
        <v>592827435.83000004</v>
      </c>
      <c r="G282" s="215">
        <v>0</v>
      </c>
      <c r="H282" s="329">
        <f t="shared" si="4"/>
        <v>6030000</v>
      </c>
    </row>
    <row r="283" spans="1:8" x14ac:dyDescent="0.45">
      <c r="A283" s="215" t="s">
        <v>2188</v>
      </c>
      <c r="B283" s="215" t="s">
        <v>70</v>
      </c>
      <c r="C283" s="215" t="s">
        <v>2061</v>
      </c>
      <c r="D283" s="215">
        <v>603000</v>
      </c>
      <c r="E283" s="215">
        <v>0</v>
      </c>
      <c r="F283" s="215">
        <v>593430435.83000004</v>
      </c>
      <c r="G283" s="215">
        <v>0</v>
      </c>
      <c r="H283" s="329">
        <f t="shared" si="4"/>
        <v>603000</v>
      </c>
    </row>
    <row r="284" spans="1:8" x14ac:dyDescent="0.45">
      <c r="A284" s="215" t="s">
        <v>2188</v>
      </c>
      <c r="B284" s="215" t="s">
        <v>2055</v>
      </c>
      <c r="C284" s="215" t="s">
        <v>2056</v>
      </c>
      <c r="D284" s="215">
        <v>0</v>
      </c>
      <c r="E284" s="215">
        <v>1963636</v>
      </c>
      <c r="F284" s="215">
        <v>591466799.83000004</v>
      </c>
      <c r="G284" s="215">
        <v>0</v>
      </c>
      <c r="H284" s="329">
        <f t="shared" si="4"/>
        <v>-1963636</v>
      </c>
    </row>
    <row r="285" spans="1:8" x14ac:dyDescent="0.45">
      <c r="A285" s="215" t="s">
        <v>2189</v>
      </c>
      <c r="B285" s="215" t="s">
        <v>2190</v>
      </c>
      <c r="C285" s="215" t="s">
        <v>2097</v>
      </c>
      <c r="D285" s="215">
        <v>0</v>
      </c>
      <c r="E285" s="215">
        <v>639627</v>
      </c>
      <c r="F285" s="215">
        <v>590827172.83000004</v>
      </c>
      <c r="G285" s="215">
        <v>0</v>
      </c>
      <c r="H285" s="329">
        <f t="shared" si="4"/>
        <v>-639627</v>
      </c>
    </row>
    <row r="286" spans="1:8" x14ac:dyDescent="0.45">
      <c r="A286" s="215" t="s">
        <v>2189</v>
      </c>
      <c r="B286" s="215" t="s">
        <v>2066</v>
      </c>
      <c r="C286" s="215" t="s">
        <v>2067</v>
      </c>
      <c r="D286" s="215">
        <v>0</v>
      </c>
      <c r="E286" s="215">
        <v>63963</v>
      </c>
      <c r="F286" s="215">
        <v>590763209.83000004</v>
      </c>
      <c r="G286" s="215">
        <v>0</v>
      </c>
      <c r="H286" s="329">
        <f t="shared" si="4"/>
        <v>-63963</v>
      </c>
    </row>
    <row r="287" spans="1:8" x14ac:dyDescent="0.45">
      <c r="A287" s="215" t="s">
        <v>2191</v>
      </c>
      <c r="B287" s="215" t="s">
        <v>2076</v>
      </c>
      <c r="C287" s="215" t="s">
        <v>2065</v>
      </c>
      <c r="D287" s="215">
        <v>0</v>
      </c>
      <c r="E287" s="215">
        <v>682886</v>
      </c>
      <c r="F287" s="215">
        <v>590080323.83000004</v>
      </c>
      <c r="G287" s="215">
        <v>0</v>
      </c>
      <c r="H287" s="329">
        <f t="shared" si="4"/>
        <v>-682886</v>
      </c>
    </row>
    <row r="288" spans="1:8" x14ac:dyDescent="0.45">
      <c r="A288" s="215" t="s">
        <v>2191</v>
      </c>
      <c r="B288" s="215" t="s">
        <v>2066</v>
      </c>
      <c r="C288" s="215" t="s">
        <v>2067</v>
      </c>
      <c r="D288" s="215">
        <v>0</v>
      </c>
      <c r="E288" s="215">
        <v>65512</v>
      </c>
      <c r="F288" s="215">
        <v>590014811.83000004</v>
      </c>
      <c r="G288" s="215">
        <v>0</v>
      </c>
      <c r="H288" s="329">
        <f t="shared" si="4"/>
        <v>-65512</v>
      </c>
    </row>
    <row r="289" spans="1:8" x14ac:dyDescent="0.45">
      <c r="A289" s="215" t="s">
        <v>2192</v>
      </c>
      <c r="B289" s="215" t="s">
        <v>2064</v>
      </c>
      <c r="C289" s="215" t="s">
        <v>2065</v>
      </c>
      <c r="D289" s="215">
        <v>0</v>
      </c>
      <c r="E289" s="215">
        <v>1795200</v>
      </c>
      <c r="F289" s="215">
        <v>588219611.83000004</v>
      </c>
      <c r="G289" s="215">
        <v>0</v>
      </c>
      <c r="H289" s="329">
        <f t="shared" si="4"/>
        <v>-1795200</v>
      </c>
    </row>
    <row r="290" spans="1:8" x14ac:dyDescent="0.45">
      <c r="A290" s="215" t="s">
        <v>2192</v>
      </c>
      <c r="B290" s="215" t="s">
        <v>2066</v>
      </c>
      <c r="C290" s="215" t="s">
        <v>2067</v>
      </c>
      <c r="D290" s="215">
        <v>0</v>
      </c>
      <c r="E290" s="215">
        <v>179520</v>
      </c>
      <c r="F290" s="215">
        <v>588040091.83000004</v>
      </c>
      <c r="G290" s="215">
        <v>0</v>
      </c>
      <c r="H290" s="329">
        <f t="shared" si="4"/>
        <v>-179520</v>
      </c>
    </row>
    <row r="291" spans="1:8" x14ac:dyDescent="0.45">
      <c r="A291" s="215" t="s">
        <v>2193</v>
      </c>
      <c r="B291" s="215" t="s">
        <v>2059</v>
      </c>
      <c r="C291" s="215" t="s">
        <v>2060</v>
      </c>
      <c r="D291" s="215">
        <v>15660000</v>
      </c>
      <c r="E291" s="215">
        <v>0</v>
      </c>
      <c r="F291" s="215">
        <v>603700091.83000004</v>
      </c>
      <c r="G291" s="215">
        <v>0</v>
      </c>
      <c r="H291" s="329">
        <f t="shared" si="4"/>
        <v>15660000</v>
      </c>
    </row>
    <row r="292" spans="1:8" x14ac:dyDescent="0.45">
      <c r="A292" s="215" t="s">
        <v>2193</v>
      </c>
      <c r="B292" s="215" t="s">
        <v>70</v>
      </c>
      <c r="C292" s="215" t="s">
        <v>2061</v>
      </c>
      <c r="D292" s="215">
        <v>1566000</v>
      </c>
      <c r="E292" s="215">
        <v>0</v>
      </c>
      <c r="F292" s="215">
        <v>605266091.83000004</v>
      </c>
      <c r="G292" s="215">
        <v>0</v>
      </c>
      <c r="H292" s="329">
        <f t="shared" si="4"/>
        <v>1566000</v>
      </c>
    </row>
    <row r="293" spans="1:8" x14ac:dyDescent="0.45">
      <c r="A293" s="215" t="s">
        <v>2193</v>
      </c>
      <c r="B293" s="215" t="s">
        <v>2059</v>
      </c>
      <c r="C293" s="215" t="s">
        <v>2060</v>
      </c>
      <c r="D293" s="215">
        <v>13150000</v>
      </c>
      <c r="E293" s="215">
        <v>0</v>
      </c>
      <c r="F293" s="215">
        <v>618416091.83000004</v>
      </c>
      <c r="G293" s="215">
        <v>0</v>
      </c>
      <c r="H293" s="329">
        <f t="shared" si="4"/>
        <v>13150000</v>
      </c>
    </row>
    <row r="294" spans="1:8" x14ac:dyDescent="0.45">
      <c r="A294" s="215" t="s">
        <v>2193</v>
      </c>
      <c r="B294" s="215" t="s">
        <v>70</v>
      </c>
      <c r="C294" s="215" t="s">
        <v>2061</v>
      </c>
      <c r="D294" s="215">
        <v>1315000</v>
      </c>
      <c r="E294" s="215">
        <v>0</v>
      </c>
      <c r="F294" s="215">
        <v>619731091.83000004</v>
      </c>
      <c r="G294" s="215">
        <v>0</v>
      </c>
      <c r="H294" s="329">
        <f t="shared" si="4"/>
        <v>1315000</v>
      </c>
    </row>
    <row r="295" spans="1:8" x14ac:dyDescent="0.45">
      <c r="A295" s="215" t="s">
        <v>2194</v>
      </c>
      <c r="B295" s="215" t="s">
        <v>2059</v>
      </c>
      <c r="C295" s="215" t="s">
        <v>2060</v>
      </c>
      <c r="D295" s="215">
        <v>4430000</v>
      </c>
      <c r="E295" s="215">
        <v>0</v>
      </c>
      <c r="F295" s="215">
        <v>624161091.83000004</v>
      </c>
      <c r="G295" s="215">
        <v>0</v>
      </c>
      <c r="H295" s="329">
        <f t="shared" si="4"/>
        <v>4430000</v>
      </c>
    </row>
    <row r="296" spans="1:8" x14ac:dyDescent="0.45">
      <c r="A296" s="215" t="s">
        <v>2194</v>
      </c>
      <c r="B296" s="215" t="s">
        <v>70</v>
      </c>
      <c r="C296" s="215" t="s">
        <v>2061</v>
      </c>
      <c r="D296" s="215">
        <v>443000</v>
      </c>
      <c r="E296" s="215">
        <v>0</v>
      </c>
      <c r="F296" s="215">
        <v>624604091.83000004</v>
      </c>
      <c r="G296" s="215">
        <v>0</v>
      </c>
      <c r="H296" s="329">
        <f t="shared" si="4"/>
        <v>443000</v>
      </c>
    </row>
    <row r="297" spans="1:8" x14ac:dyDescent="0.45">
      <c r="A297" s="215" t="s">
        <v>2195</v>
      </c>
      <c r="B297" s="215" t="s">
        <v>2059</v>
      </c>
      <c r="C297" s="215" t="s">
        <v>2060</v>
      </c>
      <c r="D297" s="215">
        <v>13195000</v>
      </c>
      <c r="E297" s="215">
        <v>0</v>
      </c>
      <c r="F297" s="215">
        <v>637799091.83000004</v>
      </c>
      <c r="G297" s="215">
        <v>0</v>
      </c>
      <c r="H297" s="329">
        <f t="shared" si="4"/>
        <v>13195000</v>
      </c>
    </row>
    <row r="298" spans="1:8" x14ac:dyDescent="0.45">
      <c r="A298" s="215" t="s">
        <v>2195</v>
      </c>
      <c r="B298" s="215" t="s">
        <v>70</v>
      </c>
      <c r="C298" s="215" t="s">
        <v>2061</v>
      </c>
      <c r="D298" s="215">
        <v>1319500</v>
      </c>
      <c r="E298" s="215">
        <v>0</v>
      </c>
      <c r="F298" s="215">
        <v>639118591.83000004</v>
      </c>
      <c r="G298" s="215">
        <v>0</v>
      </c>
      <c r="H298" s="329">
        <f t="shared" si="4"/>
        <v>1319500</v>
      </c>
    </row>
    <row r="299" spans="1:8" x14ac:dyDescent="0.45">
      <c r="A299" s="215" t="s">
        <v>2196</v>
      </c>
      <c r="B299" s="215" t="s">
        <v>2059</v>
      </c>
      <c r="C299" s="215" t="s">
        <v>2060</v>
      </c>
      <c r="D299" s="215">
        <v>11390000</v>
      </c>
      <c r="E299" s="215">
        <v>0</v>
      </c>
      <c r="F299" s="215">
        <v>650508591.83000004</v>
      </c>
      <c r="G299" s="215">
        <v>0</v>
      </c>
      <c r="H299" s="329">
        <f t="shared" si="4"/>
        <v>11390000</v>
      </c>
    </row>
    <row r="300" spans="1:8" x14ac:dyDescent="0.45">
      <c r="A300" s="215" t="s">
        <v>2196</v>
      </c>
      <c r="B300" s="215" t="s">
        <v>70</v>
      </c>
      <c r="C300" s="215" t="s">
        <v>2061</v>
      </c>
      <c r="D300" s="215">
        <v>1139000</v>
      </c>
      <c r="E300" s="215">
        <v>0</v>
      </c>
      <c r="F300" s="215">
        <v>651647591.83000004</v>
      </c>
      <c r="G300" s="215">
        <v>0</v>
      </c>
      <c r="H300" s="329">
        <f t="shared" si="4"/>
        <v>1139000</v>
      </c>
    </row>
    <row r="301" spans="1:8" x14ac:dyDescent="0.45">
      <c r="A301" s="215" t="s">
        <v>2197</v>
      </c>
      <c r="B301" s="215" t="s">
        <v>2059</v>
      </c>
      <c r="C301" s="215" t="s">
        <v>2060</v>
      </c>
      <c r="D301" s="215">
        <v>7700000</v>
      </c>
      <c r="E301" s="215">
        <v>0</v>
      </c>
      <c r="F301" s="215">
        <v>659347591.83000004</v>
      </c>
      <c r="G301" s="215">
        <v>0</v>
      </c>
      <c r="H301" s="329">
        <f t="shared" si="4"/>
        <v>7700000</v>
      </c>
    </row>
    <row r="302" spans="1:8" x14ac:dyDescent="0.45">
      <c r="A302" s="215" t="s">
        <v>2197</v>
      </c>
      <c r="B302" s="215" t="s">
        <v>70</v>
      </c>
      <c r="C302" s="215" t="s">
        <v>2061</v>
      </c>
      <c r="D302" s="215">
        <v>770000</v>
      </c>
      <c r="E302" s="215">
        <v>0</v>
      </c>
      <c r="F302" s="215">
        <v>660117591.83000004</v>
      </c>
      <c r="G302" s="215">
        <v>0</v>
      </c>
      <c r="H302" s="329">
        <f t="shared" si="4"/>
        <v>770000</v>
      </c>
    </row>
    <row r="303" spans="1:8" x14ac:dyDescent="0.45">
      <c r="A303" s="215" t="s">
        <v>2197</v>
      </c>
      <c r="B303" s="215" t="s">
        <v>2059</v>
      </c>
      <c r="C303" s="215" t="s">
        <v>2060</v>
      </c>
      <c r="D303" s="215">
        <v>15600000</v>
      </c>
      <c r="E303" s="215">
        <v>0</v>
      </c>
      <c r="F303" s="215">
        <v>675717591.83000004</v>
      </c>
      <c r="G303" s="215">
        <v>0</v>
      </c>
      <c r="H303" s="329">
        <f t="shared" si="4"/>
        <v>15600000</v>
      </c>
    </row>
    <row r="304" spans="1:8" x14ac:dyDescent="0.45">
      <c r="A304" s="215" t="s">
        <v>2197</v>
      </c>
      <c r="B304" s="215" t="s">
        <v>70</v>
      </c>
      <c r="C304" s="215" t="s">
        <v>2061</v>
      </c>
      <c r="D304" s="215">
        <v>1560000</v>
      </c>
      <c r="E304" s="215">
        <v>0</v>
      </c>
      <c r="F304" s="215">
        <v>677277591.83000004</v>
      </c>
      <c r="G304" s="215">
        <v>0</v>
      </c>
      <c r="H304" s="329">
        <f t="shared" si="4"/>
        <v>1560000</v>
      </c>
    </row>
    <row r="305" spans="1:8" x14ac:dyDescent="0.45">
      <c r="A305" s="215" t="s">
        <v>2198</v>
      </c>
      <c r="B305" s="215" t="s">
        <v>2059</v>
      </c>
      <c r="C305" s="215" t="s">
        <v>2060</v>
      </c>
      <c r="D305" s="215">
        <v>15210000</v>
      </c>
      <c r="E305" s="215">
        <v>0</v>
      </c>
      <c r="F305" s="215">
        <v>692487591.83000004</v>
      </c>
      <c r="G305" s="215">
        <v>0</v>
      </c>
      <c r="H305" s="329">
        <f t="shared" si="4"/>
        <v>15210000</v>
      </c>
    </row>
    <row r="306" spans="1:8" x14ac:dyDescent="0.45">
      <c r="A306" s="215" t="s">
        <v>2198</v>
      </c>
      <c r="B306" s="215" t="s">
        <v>70</v>
      </c>
      <c r="C306" s="215" t="s">
        <v>2061</v>
      </c>
      <c r="D306" s="215">
        <v>1521000</v>
      </c>
      <c r="E306" s="215">
        <v>0</v>
      </c>
      <c r="F306" s="215">
        <v>694008591.83000004</v>
      </c>
      <c r="G306" s="215">
        <v>0</v>
      </c>
      <c r="H306" s="329">
        <f t="shared" si="4"/>
        <v>1521000</v>
      </c>
    </row>
    <row r="307" spans="1:8" x14ac:dyDescent="0.45">
      <c r="A307" s="215" t="s">
        <v>2177</v>
      </c>
      <c r="B307" s="215" t="s">
        <v>2066</v>
      </c>
      <c r="C307" s="215" t="s">
        <v>2067</v>
      </c>
      <c r="D307" s="215">
        <v>0</v>
      </c>
      <c r="E307" s="215">
        <v>30000</v>
      </c>
      <c r="F307" s="215">
        <v>693978591.83000004</v>
      </c>
      <c r="G307" s="215">
        <v>0</v>
      </c>
      <c r="H307" s="329">
        <f t="shared" si="4"/>
        <v>-30000</v>
      </c>
    </row>
    <row r="308" spans="1:8" x14ac:dyDescent="0.45">
      <c r="A308" s="215" t="s">
        <v>2199</v>
      </c>
      <c r="B308" s="215" t="s">
        <v>2090</v>
      </c>
      <c r="C308" s="215" t="s">
        <v>2091</v>
      </c>
      <c r="D308" s="215">
        <v>0</v>
      </c>
      <c r="E308" s="215">
        <v>34739691</v>
      </c>
      <c r="F308" s="215">
        <v>659238900.83000004</v>
      </c>
      <c r="G308" s="215">
        <v>0</v>
      </c>
      <c r="H308" s="329">
        <f t="shared" si="4"/>
        <v>-34739691</v>
      </c>
    </row>
    <row r="309" spans="1:8" x14ac:dyDescent="0.45">
      <c r="A309" s="215" t="s">
        <v>2199</v>
      </c>
      <c r="B309" s="215" t="s">
        <v>2200</v>
      </c>
      <c r="C309" s="215" t="s">
        <v>2065</v>
      </c>
      <c r="D309" s="215">
        <v>0</v>
      </c>
      <c r="E309" s="215">
        <v>4310000</v>
      </c>
      <c r="F309" s="215">
        <v>654928900.83000004</v>
      </c>
      <c r="G309" s="215">
        <v>0</v>
      </c>
      <c r="H309" s="329">
        <f t="shared" si="4"/>
        <v>-4310000</v>
      </c>
    </row>
    <row r="310" spans="1:8" x14ac:dyDescent="0.45">
      <c r="A310" s="215" t="s">
        <v>2199</v>
      </c>
      <c r="B310" s="215" t="s">
        <v>2201</v>
      </c>
      <c r="C310" s="215" t="s">
        <v>2065</v>
      </c>
      <c r="D310" s="215">
        <v>0</v>
      </c>
      <c r="E310" s="215">
        <v>1825000</v>
      </c>
      <c r="F310" s="215">
        <v>653103900.83000004</v>
      </c>
      <c r="G310" s="215">
        <v>0</v>
      </c>
      <c r="H310" s="329">
        <f t="shared" si="4"/>
        <v>-1825000</v>
      </c>
    </row>
    <row r="311" spans="1:8" x14ac:dyDescent="0.45">
      <c r="A311" s="215" t="s">
        <v>2199</v>
      </c>
      <c r="B311" s="215" t="s">
        <v>2202</v>
      </c>
      <c r="C311" s="215" t="s">
        <v>2065</v>
      </c>
      <c r="D311" s="215">
        <v>0</v>
      </c>
      <c r="E311" s="215">
        <v>1975000</v>
      </c>
      <c r="F311" s="215">
        <v>651128900.83000004</v>
      </c>
      <c r="G311" s="215">
        <v>0</v>
      </c>
      <c r="H311" s="329">
        <f t="shared" si="4"/>
        <v>-1975000</v>
      </c>
    </row>
    <row r="312" spans="1:8" x14ac:dyDescent="0.45">
      <c r="A312" s="215" t="s">
        <v>2203</v>
      </c>
      <c r="B312" s="215" t="s">
        <v>2059</v>
      </c>
      <c r="C312" s="215" t="s">
        <v>2060</v>
      </c>
      <c r="D312" s="215">
        <v>3910000</v>
      </c>
      <c r="E312" s="215">
        <v>0</v>
      </c>
      <c r="F312" s="215">
        <v>655038900.83000004</v>
      </c>
      <c r="G312" s="215">
        <v>0</v>
      </c>
      <c r="H312" s="329">
        <f t="shared" si="4"/>
        <v>3910000</v>
      </c>
    </row>
    <row r="313" spans="1:8" x14ac:dyDescent="0.45">
      <c r="A313" s="215" t="s">
        <v>2203</v>
      </c>
      <c r="B313" s="215" t="s">
        <v>70</v>
      </c>
      <c r="C313" s="215" t="s">
        <v>2061</v>
      </c>
      <c r="D313" s="215">
        <v>391000</v>
      </c>
      <c r="E313" s="215">
        <v>0</v>
      </c>
      <c r="F313" s="215">
        <v>655429900.83000004</v>
      </c>
      <c r="G313" s="215">
        <v>0</v>
      </c>
      <c r="H313" s="329">
        <f t="shared" si="4"/>
        <v>391000</v>
      </c>
    </row>
    <row r="314" spans="1:8" x14ac:dyDescent="0.45">
      <c r="A314" s="215" t="s">
        <v>2203</v>
      </c>
      <c r="B314" s="215" t="s">
        <v>2059</v>
      </c>
      <c r="C314" s="215" t="s">
        <v>2060</v>
      </c>
      <c r="D314" s="215">
        <v>10188000</v>
      </c>
      <c r="E314" s="215">
        <v>0</v>
      </c>
      <c r="F314" s="215">
        <v>665617900.83000004</v>
      </c>
      <c r="G314" s="215">
        <v>0</v>
      </c>
      <c r="H314" s="329">
        <f t="shared" si="4"/>
        <v>10188000</v>
      </c>
    </row>
    <row r="315" spans="1:8" x14ac:dyDescent="0.45">
      <c r="A315" s="215" t="s">
        <v>2203</v>
      </c>
      <c r="B315" s="215" t="s">
        <v>70</v>
      </c>
      <c r="C315" s="215" t="s">
        <v>2061</v>
      </c>
      <c r="D315" s="215">
        <v>1018800</v>
      </c>
      <c r="E315" s="215">
        <v>0</v>
      </c>
      <c r="F315" s="215">
        <v>666636700.83000004</v>
      </c>
      <c r="G315" s="215">
        <v>0</v>
      </c>
      <c r="H315" s="329">
        <f t="shared" si="4"/>
        <v>1018800</v>
      </c>
    </row>
    <row r="316" spans="1:8" x14ac:dyDescent="0.45">
      <c r="A316" s="215" t="s">
        <v>2203</v>
      </c>
      <c r="B316" s="215" t="s">
        <v>2204</v>
      </c>
      <c r="C316" s="215" t="s">
        <v>2116</v>
      </c>
      <c r="D316" s="215">
        <v>0</v>
      </c>
      <c r="E316" s="215">
        <v>950000</v>
      </c>
      <c r="F316" s="215">
        <v>665686700.83000004</v>
      </c>
      <c r="G316" s="215">
        <v>0</v>
      </c>
      <c r="H316" s="329">
        <f t="shared" si="4"/>
        <v>-950000</v>
      </c>
    </row>
    <row r="317" spans="1:8" x14ac:dyDescent="0.45">
      <c r="A317" s="215" t="s">
        <v>2203</v>
      </c>
      <c r="B317" s="215" t="s">
        <v>2066</v>
      </c>
      <c r="C317" s="215" t="s">
        <v>2067</v>
      </c>
      <c r="D317" s="215">
        <v>0</v>
      </c>
      <c r="E317" s="215">
        <v>95000</v>
      </c>
      <c r="F317" s="215">
        <v>665591700.83000004</v>
      </c>
      <c r="G317" s="215">
        <v>0</v>
      </c>
      <c r="H317" s="329">
        <f t="shared" si="4"/>
        <v>-95000</v>
      </c>
    </row>
    <row r="318" spans="1:8" x14ac:dyDescent="0.45">
      <c r="A318" s="215" t="s">
        <v>2205</v>
      </c>
      <c r="B318" s="215" t="s">
        <v>2059</v>
      </c>
      <c r="C318" s="215" t="s">
        <v>2060</v>
      </c>
      <c r="D318" s="215">
        <v>3845000</v>
      </c>
      <c r="E318" s="215">
        <v>0</v>
      </c>
      <c r="F318" s="215">
        <v>669436700.83000004</v>
      </c>
      <c r="G318" s="215">
        <v>0</v>
      </c>
      <c r="H318" s="329">
        <f t="shared" si="4"/>
        <v>3845000</v>
      </c>
    </row>
    <row r="319" spans="1:8" x14ac:dyDescent="0.45">
      <c r="A319" s="215" t="s">
        <v>2205</v>
      </c>
      <c r="B319" s="215" t="s">
        <v>70</v>
      </c>
      <c r="C319" s="215" t="s">
        <v>2061</v>
      </c>
      <c r="D319" s="215">
        <v>384500</v>
      </c>
      <c r="E319" s="215">
        <v>0</v>
      </c>
      <c r="F319" s="215">
        <v>669821200.83000004</v>
      </c>
      <c r="G319" s="215">
        <v>0</v>
      </c>
      <c r="H319" s="329">
        <f t="shared" si="4"/>
        <v>384500</v>
      </c>
    </row>
    <row r="320" spans="1:8" x14ac:dyDescent="0.45">
      <c r="A320" s="215" t="s">
        <v>2205</v>
      </c>
      <c r="B320" s="215" t="s">
        <v>2076</v>
      </c>
      <c r="C320" s="215" t="s">
        <v>2065</v>
      </c>
      <c r="D320" s="215">
        <v>0</v>
      </c>
      <c r="E320" s="215">
        <v>115696</v>
      </c>
      <c r="F320" s="215">
        <v>669705504.83000004</v>
      </c>
      <c r="G320" s="215">
        <v>0</v>
      </c>
      <c r="H320" s="329">
        <f t="shared" si="4"/>
        <v>-115696</v>
      </c>
    </row>
    <row r="321" spans="1:8" x14ac:dyDescent="0.45">
      <c r="A321" s="215" t="s">
        <v>2205</v>
      </c>
      <c r="B321" s="215" t="s">
        <v>2066</v>
      </c>
      <c r="C321" s="215" t="s">
        <v>2067</v>
      </c>
      <c r="D321" s="215">
        <v>0</v>
      </c>
      <c r="E321" s="215">
        <v>7150</v>
      </c>
      <c r="F321" s="215">
        <v>669698354.83000004</v>
      </c>
      <c r="G321" s="215">
        <v>0</v>
      </c>
      <c r="H321" s="329">
        <f t="shared" si="4"/>
        <v>-7150</v>
      </c>
    </row>
    <row r="322" spans="1:8" x14ac:dyDescent="0.45">
      <c r="A322" s="215" t="s">
        <v>2206</v>
      </c>
      <c r="B322" s="215" t="s">
        <v>2059</v>
      </c>
      <c r="C322" s="215" t="s">
        <v>2060</v>
      </c>
      <c r="D322" s="215">
        <v>10902000</v>
      </c>
      <c r="E322" s="215">
        <v>0</v>
      </c>
      <c r="F322" s="215">
        <v>680600354.83000004</v>
      </c>
      <c r="G322" s="215">
        <v>0</v>
      </c>
      <c r="H322" s="329">
        <f t="shared" si="4"/>
        <v>10902000</v>
      </c>
    </row>
    <row r="323" spans="1:8" x14ac:dyDescent="0.45">
      <c r="A323" s="215" t="s">
        <v>2206</v>
      </c>
      <c r="B323" s="215" t="s">
        <v>70</v>
      </c>
      <c r="C323" s="215" t="s">
        <v>2061</v>
      </c>
      <c r="D323" s="215">
        <v>1090200</v>
      </c>
      <c r="E323" s="215">
        <v>0</v>
      </c>
      <c r="F323" s="215">
        <v>681690554.83000004</v>
      </c>
      <c r="G323" s="215">
        <v>0</v>
      </c>
      <c r="H323" s="329">
        <f t="shared" si="4"/>
        <v>1090200</v>
      </c>
    </row>
    <row r="324" spans="1:8" x14ac:dyDescent="0.45">
      <c r="A324" s="215" t="s">
        <v>2207</v>
      </c>
      <c r="B324" s="215" t="s">
        <v>2059</v>
      </c>
      <c r="C324" s="215" t="s">
        <v>2060</v>
      </c>
      <c r="D324" s="215">
        <v>5560000</v>
      </c>
      <c r="E324" s="215">
        <v>0</v>
      </c>
      <c r="F324" s="215">
        <v>687250554.83000004</v>
      </c>
      <c r="G324" s="215">
        <v>0</v>
      </c>
      <c r="H324" s="329">
        <f t="shared" si="4"/>
        <v>5560000</v>
      </c>
    </row>
    <row r="325" spans="1:8" x14ac:dyDescent="0.45">
      <c r="A325" s="215" t="s">
        <v>2207</v>
      </c>
      <c r="B325" s="215" t="s">
        <v>70</v>
      </c>
      <c r="C325" s="215" t="s">
        <v>2061</v>
      </c>
      <c r="D325" s="215">
        <v>556000</v>
      </c>
      <c r="E325" s="215">
        <v>0</v>
      </c>
      <c r="F325" s="215">
        <v>687806554.83000004</v>
      </c>
      <c r="G325" s="215">
        <v>0</v>
      </c>
      <c r="H325" s="329">
        <f t="shared" si="4"/>
        <v>556000</v>
      </c>
    </row>
    <row r="326" spans="1:8" x14ac:dyDescent="0.45">
      <c r="A326" s="215" t="s">
        <v>2207</v>
      </c>
      <c r="B326" s="215" t="s">
        <v>2059</v>
      </c>
      <c r="C326" s="215" t="s">
        <v>2060</v>
      </c>
      <c r="D326" s="215">
        <v>9800000</v>
      </c>
      <c r="E326" s="215">
        <v>0</v>
      </c>
      <c r="F326" s="215">
        <v>697606554.83000004</v>
      </c>
      <c r="G326" s="215">
        <v>0</v>
      </c>
      <c r="H326" s="329">
        <f t="shared" ref="H326:H389" si="5">IF(D326&gt;0,D326,-E326)</f>
        <v>9800000</v>
      </c>
    </row>
    <row r="327" spans="1:8" x14ac:dyDescent="0.45">
      <c r="A327" s="215" t="s">
        <v>2207</v>
      </c>
      <c r="B327" s="215" t="s">
        <v>70</v>
      </c>
      <c r="C327" s="215" t="s">
        <v>2061</v>
      </c>
      <c r="D327" s="215">
        <v>980000</v>
      </c>
      <c r="E327" s="215">
        <v>0</v>
      </c>
      <c r="F327" s="215">
        <v>698586554.83000004</v>
      </c>
      <c r="G327" s="215">
        <v>0</v>
      </c>
      <c r="H327" s="329">
        <f t="shared" si="5"/>
        <v>980000</v>
      </c>
    </row>
    <row r="328" spans="1:8" x14ac:dyDescent="0.45">
      <c r="A328" s="215" t="s">
        <v>2208</v>
      </c>
      <c r="B328" s="215" t="s">
        <v>2059</v>
      </c>
      <c r="C328" s="215" t="s">
        <v>2060</v>
      </c>
      <c r="D328" s="215">
        <v>15730000</v>
      </c>
      <c r="E328" s="215">
        <v>0</v>
      </c>
      <c r="F328" s="215">
        <v>714316554.83000004</v>
      </c>
      <c r="G328" s="215">
        <v>0</v>
      </c>
      <c r="H328" s="329">
        <f t="shared" si="5"/>
        <v>15730000</v>
      </c>
    </row>
    <row r="329" spans="1:8" x14ac:dyDescent="0.45">
      <c r="A329" s="215" t="s">
        <v>2208</v>
      </c>
      <c r="B329" s="215" t="s">
        <v>70</v>
      </c>
      <c r="C329" s="215" t="s">
        <v>2061</v>
      </c>
      <c r="D329" s="215">
        <v>1573000</v>
      </c>
      <c r="E329" s="215">
        <v>0</v>
      </c>
      <c r="F329" s="215">
        <v>715889554.83000004</v>
      </c>
      <c r="G329" s="215">
        <v>0</v>
      </c>
      <c r="H329" s="329">
        <f t="shared" si="5"/>
        <v>1573000</v>
      </c>
    </row>
    <row r="330" spans="1:8" x14ac:dyDescent="0.45">
      <c r="A330" s="215" t="s">
        <v>2208</v>
      </c>
      <c r="B330" s="215" t="s">
        <v>2055</v>
      </c>
      <c r="C330" s="215" t="s">
        <v>2056</v>
      </c>
      <c r="D330" s="215">
        <v>0</v>
      </c>
      <c r="E330" s="215">
        <v>575000</v>
      </c>
      <c r="F330" s="215">
        <v>715314554.83000004</v>
      </c>
      <c r="G330" s="215">
        <v>0</v>
      </c>
      <c r="H330" s="329">
        <f t="shared" si="5"/>
        <v>-575000</v>
      </c>
    </row>
    <row r="331" spans="1:8" x14ac:dyDescent="0.45">
      <c r="A331" s="215" t="s">
        <v>2209</v>
      </c>
      <c r="B331" s="215" t="s">
        <v>2059</v>
      </c>
      <c r="C331" s="215" t="s">
        <v>2060</v>
      </c>
      <c r="D331" s="215">
        <v>8720000</v>
      </c>
      <c r="E331" s="215">
        <v>0</v>
      </c>
      <c r="F331" s="215">
        <v>724034554.83000004</v>
      </c>
      <c r="G331" s="215">
        <v>0</v>
      </c>
      <c r="H331" s="329">
        <f t="shared" si="5"/>
        <v>8720000</v>
      </c>
    </row>
    <row r="332" spans="1:8" x14ac:dyDescent="0.45">
      <c r="A332" s="215" t="s">
        <v>2209</v>
      </c>
      <c r="B332" s="215" t="s">
        <v>70</v>
      </c>
      <c r="C332" s="215" t="s">
        <v>2061</v>
      </c>
      <c r="D332" s="215">
        <v>872000</v>
      </c>
      <c r="E332" s="215">
        <v>0</v>
      </c>
      <c r="F332" s="215">
        <v>724906554.83000004</v>
      </c>
      <c r="G332" s="215">
        <v>0</v>
      </c>
      <c r="H332" s="329">
        <f t="shared" si="5"/>
        <v>872000</v>
      </c>
    </row>
    <row r="333" spans="1:8" x14ac:dyDescent="0.45">
      <c r="A333" s="215" t="s">
        <v>2209</v>
      </c>
      <c r="B333" s="215" t="s">
        <v>2059</v>
      </c>
      <c r="C333" s="215" t="s">
        <v>2060</v>
      </c>
      <c r="D333" s="215">
        <v>16430000</v>
      </c>
      <c r="E333" s="215">
        <v>0</v>
      </c>
      <c r="F333" s="215">
        <v>741336554.83000004</v>
      </c>
      <c r="G333" s="215">
        <v>0</v>
      </c>
      <c r="H333" s="329">
        <f t="shared" si="5"/>
        <v>16430000</v>
      </c>
    </row>
    <row r="334" spans="1:8" x14ac:dyDescent="0.45">
      <c r="A334" s="215" t="s">
        <v>2209</v>
      </c>
      <c r="B334" s="215" t="s">
        <v>70</v>
      </c>
      <c r="C334" s="215" t="s">
        <v>2061</v>
      </c>
      <c r="D334" s="215">
        <v>1643000</v>
      </c>
      <c r="E334" s="215">
        <v>0</v>
      </c>
      <c r="F334" s="215">
        <v>742979554.83000004</v>
      </c>
      <c r="G334" s="215">
        <v>0</v>
      </c>
      <c r="H334" s="329">
        <f t="shared" si="5"/>
        <v>1643000</v>
      </c>
    </row>
    <row r="335" spans="1:8" x14ac:dyDescent="0.45">
      <c r="A335" s="215" t="s">
        <v>2209</v>
      </c>
      <c r="B335" s="215" t="s">
        <v>2064</v>
      </c>
      <c r="C335" s="215" t="s">
        <v>2065</v>
      </c>
      <c r="D335" s="215">
        <v>0</v>
      </c>
      <c r="E335" s="215">
        <v>2240628</v>
      </c>
      <c r="F335" s="215">
        <v>740738926.83000004</v>
      </c>
      <c r="G335" s="215">
        <v>0</v>
      </c>
      <c r="H335" s="329">
        <f t="shared" si="5"/>
        <v>-2240628</v>
      </c>
    </row>
    <row r="336" spans="1:8" x14ac:dyDescent="0.45">
      <c r="A336" s="215" t="s">
        <v>2209</v>
      </c>
      <c r="B336" s="215" t="s">
        <v>2066</v>
      </c>
      <c r="C336" s="215" t="s">
        <v>2067</v>
      </c>
      <c r="D336" s="215">
        <v>0</v>
      </c>
      <c r="E336" s="215">
        <v>224063</v>
      </c>
      <c r="F336" s="215">
        <v>740514863.83000004</v>
      </c>
      <c r="G336" s="215">
        <v>0</v>
      </c>
      <c r="H336" s="329">
        <f t="shared" si="5"/>
        <v>-224063</v>
      </c>
    </row>
    <row r="337" spans="1:8" x14ac:dyDescent="0.45">
      <c r="A337" s="215" t="s">
        <v>2210</v>
      </c>
      <c r="B337" s="215" t="s">
        <v>2059</v>
      </c>
      <c r="C337" s="215" t="s">
        <v>2060</v>
      </c>
      <c r="D337" s="215">
        <v>5036000</v>
      </c>
      <c r="E337" s="215">
        <v>0</v>
      </c>
      <c r="F337" s="215">
        <v>745550863.83000004</v>
      </c>
      <c r="G337" s="215">
        <v>0</v>
      </c>
      <c r="H337" s="329">
        <f t="shared" si="5"/>
        <v>5036000</v>
      </c>
    </row>
    <row r="338" spans="1:8" x14ac:dyDescent="0.45">
      <c r="A338" s="215" t="s">
        <v>2210</v>
      </c>
      <c r="B338" s="215" t="s">
        <v>70</v>
      </c>
      <c r="C338" s="215" t="s">
        <v>2061</v>
      </c>
      <c r="D338" s="215">
        <v>503600</v>
      </c>
      <c r="E338" s="215">
        <v>0</v>
      </c>
      <c r="F338" s="215">
        <v>746054463.83000004</v>
      </c>
      <c r="G338" s="215">
        <v>0</v>
      </c>
      <c r="H338" s="329">
        <f t="shared" si="5"/>
        <v>503600</v>
      </c>
    </row>
    <row r="339" spans="1:8" x14ac:dyDescent="0.45">
      <c r="A339" s="215" t="s">
        <v>2210</v>
      </c>
      <c r="B339" s="215" t="s">
        <v>2055</v>
      </c>
      <c r="C339" s="215" t="s">
        <v>2056</v>
      </c>
      <c r="D339" s="215">
        <v>0</v>
      </c>
      <c r="E339" s="215">
        <v>3050000</v>
      </c>
      <c r="F339" s="215">
        <v>743004463.83000004</v>
      </c>
      <c r="G339" s="215">
        <v>0</v>
      </c>
      <c r="H339" s="329">
        <f t="shared" si="5"/>
        <v>-3050000</v>
      </c>
    </row>
    <row r="340" spans="1:8" x14ac:dyDescent="0.45">
      <c r="A340" s="215" t="s">
        <v>2211</v>
      </c>
      <c r="B340" s="215" t="s">
        <v>2059</v>
      </c>
      <c r="C340" s="215" t="s">
        <v>2060</v>
      </c>
      <c r="D340" s="215">
        <v>12000000</v>
      </c>
      <c r="E340" s="215">
        <v>0</v>
      </c>
      <c r="F340" s="215">
        <v>755004463.83000004</v>
      </c>
      <c r="G340" s="215">
        <v>0</v>
      </c>
      <c r="H340" s="329">
        <f t="shared" si="5"/>
        <v>12000000</v>
      </c>
    </row>
    <row r="341" spans="1:8" x14ac:dyDescent="0.45">
      <c r="A341" s="215" t="s">
        <v>2211</v>
      </c>
      <c r="B341" s="215" t="s">
        <v>70</v>
      </c>
      <c r="C341" s="215" t="s">
        <v>2061</v>
      </c>
      <c r="D341" s="215">
        <v>1200000</v>
      </c>
      <c r="E341" s="215">
        <v>0</v>
      </c>
      <c r="F341" s="215">
        <v>756204463.83000004</v>
      </c>
      <c r="G341" s="215">
        <v>0</v>
      </c>
      <c r="H341" s="329">
        <f t="shared" si="5"/>
        <v>1200000</v>
      </c>
    </row>
    <row r="342" spans="1:8" x14ac:dyDescent="0.45">
      <c r="A342" s="215" t="s">
        <v>2211</v>
      </c>
      <c r="B342" s="215" t="s">
        <v>2059</v>
      </c>
      <c r="C342" s="215" t="s">
        <v>2060</v>
      </c>
      <c r="D342" s="215">
        <v>6224000</v>
      </c>
      <c r="E342" s="215">
        <v>0</v>
      </c>
      <c r="F342" s="215">
        <v>762428463.83000004</v>
      </c>
      <c r="G342" s="215">
        <v>0</v>
      </c>
      <c r="H342" s="329">
        <f t="shared" si="5"/>
        <v>6224000</v>
      </c>
    </row>
    <row r="343" spans="1:8" x14ac:dyDescent="0.45">
      <c r="A343" s="215" t="s">
        <v>2211</v>
      </c>
      <c r="B343" s="215" t="s">
        <v>70</v>
      </c>
      <c r="C343" s="215" t="s">
        <v>2061</v>
      </c>
      <c r="D343" s="215">
        <v>622400</v>
      </c>
      <c r="E343" s="215">
        <v>0</v>
      </c>
      <c r="F343" s="215">
        <v>763050863.83000004</v>
      </c>
      <c r="G343" s="215">
        <v>0</v>
      </c>
      <c r="H343" s="329">
        <f t="shared" si="5"/>
        <v>622400</v>
      </c>
    </row>
    <row r="344" spans="1:8" x14ac:dyDescent="0.45">
      <c r="A344" s="215" t="s">
        <v>2212</v>
      </c>
      <c r="B344" s="215" t="s">
        <v>2213</v>
      </c>
      <c r="C344" s="215" t="s">
        <v>2214</v>
      </c>
      <c r="D344" s="215">
        <v>44820600</v>
      </c>
      <c r="E344" s="215">
        <v>0</v>
      </c>
      <c r="F344" s="215">
        <v>807871463.83000004</v>
      </c>
      <c r="G344" s="215">
        <v>0</v>
      </c>
      <c r="H344" s="329">
        <f t="shared" si="5"/>
        <v>44820600</v>
      </c>
    </row>
    <row r="345" spans="1:8" x14ac:dyDescent="0.45">
      <c r="A345" s="215" t="s">
        <v>2212</v>
      </c>
      <c r="B345" s="215" t="s">
        <v>70</v>
      </c>
      <c r="C345" s="215" t="s">
        <v>2061</v>
      </c>
      <c r="D345" s="215">
        <v>4482060</v>
      </c>
      <c r="E345" s="215">
        <v>0</v>
      </c>
      <c r="F345" s="215">
        <v>812353523.83000004</v>
      </c>
      <c r="G345" s="215">
        <v>0</v>
      </c>
      <c r="H345" s="329">
        <f t="shared" si="5"/>
        <v>4482060</v>
      </c>
    </row>
    <row r="346" spans="1:8" x14ac:dyDescent="0.45">
      <c r="A346" s="215" t="s">
        <v>2215</v>
      </c>
      <c r="B346" s="215" t="s">
        <v>2064</v>
      </c>
      <c r="C346" s="215" t="s">
        <v>2065</v>
      </c>
      <c r="D346" s="215">
        <v>0</v>
      </c>
      <c r="E346" s="215">
        <v>1723560</v>
      </c>
      <c r="F346" s="215">
        <v>810629963.83000004</v>
      </c>
      <c r="G346" s="215">
        <v>0</v>
      </c>
      <c r="H346" s="329">
        <f t="shared" si="5"/>
        <v>-1723560</v>
      </c>
    </row>
    <row r="347" spans="1:8" x14ac:dyDescent="0.45">
      <c r="A347" s="215" t="s">
        <v>2215</v>
      </c>
      <c r="B347" s="215" t="s">
        <v>2066</v>
      </c>
      <c r="C347" s="215" t="s">
        <v>2067</v>
      </c>
      <c r="D347" s="215">
        <v>0</v>
      </c>
      <c r="E347" s="215">
        <v>172356</v>
      </c>
      <c r="F347" s="215">
        <v>810457607.83000004</v>
      </c>
      <c r="G347" s="215">
        <v>0</v>
      </c>
      <c r="H347" s="329">
        <f t="shared" si="5"/>
        <v>-172356</v>
      </c>
    </row>
    <row r="348" spans="1:8" x14ac:dyDescent="0.45">
      <c r="A348" s="215" t="s">
        <v>2216</v>
      </c>
      <c r="B348" s="215" t="s">
        <v>2059</v>
      </c>
      <c r="C348" s="215" t="s">
        <v>2060</v>
      </c>
      <c r="D348" s="215">
        <v>12609000</v>
      </c>
      <c r="E348" s="215">
        <v>0</v>
      </c>
      <c r="F348" s="215">
        <v>823066607.83000004</v>
      </c>
      <c r="G348" s="215">
        <v>0</v>
      </c>
      <c r="H348" s="329">
        <f t="shared" si="5"/>
        <v>12609000</v>
      </c>
    </row>
    <row r="349" spans="1:8" x14ac:dyDescent="0.45">
      <c r="A349" s="215" t="s">
        <v>2216</v>
      </c>
      <c r="B349" s="215" t="s">
        <v>70</v>
      </c>
      <c r="C349" s="215" t="s">
        <v>2061</v>
      </c>
      <c r="D349" s="215">
        <v>1260900</v>
      </c>
      <c r="E349" s="215">
        <v>0</v>
      </c>
      <c r="F349" s="215">
        <v>824327507.83000004</v>
      </c>
      <c r="G349" s="215">
        <v>0</v>
      </c>
      <c r="H349" s="329">
        <f t="shared" si="5"/>
        <v>1260900</v>
      </c>
    </row>
    <row r="350" spans="1:8" x14ac:dyDescent="0.45">
      <c r="A350" s="215" t="s">
        <v>2217</v>
      </c>
      <c r="B350" s="215" t="s">
        <v>2059</v>
      </c>
      <c r="C350" s="215" t="s">
        <v>2060</v>
      </c>
      <c r="D350" s="215">
        <v>2290000</v>
      </c>
      <c r="E350" s="215">
        <v>0</v>
      </c>
      <c r="F350" s="215">
        <v>826617507.83000004</v>
      </c>
      <c r="G350" s="215">
        <v>0</v>
      </c>
      <c r="H350" s="329">
        <f t="shared" si="5"/>
        <v>2290000</v>
      </c>
    </row>
    <row r="351" spans="1:8" x14ac:dyDescent="0.45">
      <c r="A351" s="215" t="s">
        <v>2217</v>
      </c>
      <c r="B351" s="215" t="s">
        <v>70</v>
      </c>
      <c r="C351" s="215" t="s">
        <v>2061</v>
      </c>
      <c r="D351" s="215">
        <v>229000</v>
      </c>
      <c r="E351" s="215">
        <v>0</v>
      </c>
      <c r="F351" s="215">
        <v>826846507.83000004</v>
      </c>
      <c r="G351" s="215">
        <v>0</v>
      </c>
      <c r="H351" s="329">
        <f t="shared" si="5"/>
        <v>229000</v>
      </c>
    </row>
    <row r="352" spans="1:8" x14ac:dyDescent="0.45">
      <c r="A352" s="215" t="s">
        <v>2217</v>
      </c>
      <c r="B352" s="215" t="s">
        <v>2059</v>
      </c>
      <c r="C352" s="215" t="s">
        <v>2060</v>
      </c>
      <c r="D352" s="215">
        <v>10910000</v>
      </c>
      <c r="E352" s="215">
        <v>0</v>
      </c>
      <c r="F352" s="215">
        <v>837756507.83000004</v>
      </c>
      <c r="G352" s="215">
        <v>0</v>
      </c>
      <c r="H352" s="329">
        <f t="shared" si="5"/>
        <v>10910000</v>
      </c>
    </row>
    <row r="353" spans="1:8" x14ac:dyDescent="0.45">
      <c r="A353" s="215" t="s">
        <v>2217</v>
      </c>
      <c r="B353" s="215" t="s">
        <v>70</v>
      </c>
      <c r="C353" s="215" t="s">
        <v>2061</v>
      </c>
      <c r="D353" s="215">
        <v>1091000</v>
      </c>
      <c r="E353" s="215">
        <v>0</v>
      </c>
      <c r="F353" s="215">
        <v>838847507.83000004</v>
      </c>
      <c r="G353" s="215">
        <v>0</v>
      </c>
      <c r="H353" s="329">
        <f t="shared" si="5"/>
        <v>1091000</v>
      </c>
    </row>
    <row r="354" spans="1:8" x14ac:dyDescent="0.45">
      <c r="A354" s="215" t="s">
        <v>2217</v>
      </c>
      <c r="B354" s="215" t="s">
        <v>2059</v>
      </c>
      <c r="C354" s="215" t="s">
        <v>2060</v>
      </c>
      <c r="D354" s="215">
        <v>11231000</v>
      </c>
      <c r="E354" s="215">
        <v>0</v>
      </c>
      <c r="F354" s="215">
        <v>850078507.83000004</v>
      </c>
      <c r="G354" s="215">
        <v>0</v>
      </c>
      <c r="H354" s="329">
        <f t="shared" si="5"/>
        <v>11231000</v>
      </c>
    </row>
    <row r="355" spans="1:8" x14ac:dyDescent="0.45">
      <c r="A355" s="215" t="s">
        <v>2217</v>
      </c>
      <c r="B355" s="215" t="s">
        <v>70</v>
      </c>
      <c r="C355" s="215" t="s">
        <v>2061</v>
      </c>
      <c r="D355" s="215">
        <v>1123100</v>
      </c>
      <c r="E355" s="215">
        <v>0</v>
      </c>
      <c r="F355" s="215">
        <v>851201607.83000004</v>
      </c>
      <c r="G355" s="215">
        <v>0</v>
      </c>
      <c r="H355" s="329">
        <f t="shared" si="5"/>
        <v>1123100</v>
      </c>
    </row>
    <row r="356" spans="1:8" x14ac:dyDescent="0.45">
      <c r="A356" s="215" t="s">
        <v>2218</v>
      </c>
      <c r="B356" s="215" t="s">
        <v>2071</v>
      </c>
      <c r="C356" s="215" t="s">
        <v>2072</v>
      </c>
      <c r="D356" s="215">
        <v>0</v>
      </c>
      <c r="E356" s="215">
        <v>100000000</v>
      </c>
      <c r="F356" s="215">
        <v>751201607.83000004</v>
      </c>
      <c r="G356" s="215">
        <v>0</v>
      </c>
      <c r="H356" s="329">
        <f t="shared" si="5"/>
        <v>-100000000</v>
      </c>
    </row>
    <row r="357" spans="1:8" x14ac:dyDescent="0.45">
      <c r="A357" s="215" t="s">
        <v>2219</v>
      </c>
      <c r="B357" s="215" t="s">
        <v>2055</v>
      </c>
      <c r="C357" s="215" t="s">
        <v>2056</v>
      </c>
      <c r="D357" s="215">
        <v>0</v>
      </c>
      <c r="E357" s="215">
        <v>19008000</v>
      </c>
      <c r="F357" s="215">
        <v>732193607.83000004</v>
      </c>
      <c r="G357" s="215">
        <v>0</v>
      </c>
      <c r="H357" s="329">
        <f t="shared" si="5"/>
        <v>-19008000</v>
      </c>
    </row>
    <row r="358" spans="1:8" x14ac:dyDescent="0.45">
      <c r="A358" s="215" t="s">
        <v>2219</v>
      </c>
      <c r="B358" s="215" t="s">
        <v>2066</v>
      </c>
      <c r="C358" s="215" t="s">
        <v>2067</v>
      </c>
      <c r="D358" s="215">
        <v>0</v>
      </c>
      <c r="E358" s="215">
        <v>950400</v>
      </c>
      <c r="F358" s="215">
        <v>731243207.83000004</v>
      </c>
      <c r="G358" s="215">
        <v>0</v>
      </c>
      <c r="H358" s="329">
        <f t="shared" si="5"/>
        <v>-950400</v>
      </c>
    </row>
    <row r="359" spans="1:8" x14ac:dyDescent="0.45">
      <c r="A359" s="215" t="s">
        <v>2220</v>
      </c>
      <c r="B359" s="215" t="s">
        <v>2059</v>
      </c>
      <c r="C359" s="215" t="s">
        <v>2060</v>
      </c>
      <c r="D359" s="215">
        <v>14203000</v>
      </c>
      <c r="E359" s="215">
        <v>0</v>
      </c>
      <c r="F359" s="215">
        <v>745446207.83000004</v>
      </c>
      <c r="G359" s="215">
        <v>0</v>
      </c>
      <c r="H359" s="329">
        <f t="shared" si="5"/>
        <v>14203000</v>
      </c>
    </row>
    <row r="360" spans="1:8" x14ac:dyDescent="0.45">
      <c r="A360" s="215" t="s">
        <v>2220</v>
      </c>
      <c r="B360" s="215" t="s">
        <v>70</v>
      </c>
      <c r="C360" s="215" t="s">
        <v>2061</v>
      </c>
      <c r="D360" s="215">
        <v>1420300</v>
      </c>
      <c r="E360" s="215">
        <v>0</v>
      </c>
      <c r="F360" s="215">
        <v>746866507.83000004</v>
      </c>
      <c r="G360" s="215">
        <v>0</v>
      </c>
      <c r="H360" s="329">
        <f t="shared" si="5"/>
        <v>1420300</v>
      </c>
    </row>
    <row r="361" spans="1:8" x14ac:dyDescent="0.45">
      <c r="A361" s="215" t="s">
        <v>2220</v>
      </c>
      <c r="B361" s="215" t="s">
        <v>2190</v>
      </c>
      <c r="C361" s="215" t="s">
        <v>2097</v>
      </c>
      <c r="D361" s="215">
        <v>0</v>
      </c>
      <c r="E361" s="215">
        <v>920336</v>
      </c>
      <c r="F361" s="215">
        <v>745946171.83000004</v>
      </c>
      <c r="G361" s="215">
        <v>0</v>
      </c>
      <c r="H361" s="329">
        <f t="shared" si="5"/>
        <v>-920336</v>
      </c>
    </row>
    <row r="362" spans="1:8" x14ac:dyDescent="0.45">
      <c r="A362" s="215" t="s">
        <v>2220</v>
      </c>
      <c r="B362" s="215" t="s">
        <v>2066</v>
      </c>
      <c r="C362" s="215" t="s">
        <v>2067</v>
      </c>
      <c r="D362" s="215">
        <v>0</v>
      </c>
      <c r="E362" s="215">
        <v>92034</v>
      </c>
      <c r="F362" s="215">
        <v>745854137.83000004</v>
      </c>
      <c r="G362" s="215">
        <v>0</v>
      </c>
      <c r="H362" s="329">
        <f t="shared" si="5"/>
        <v>-92034</v>
      </c>
    </row>
    <row r="363" spans="1:8" x14ac:dyDescent="0.45">
      <c r="A363" s="215" t="s">
        <v>2208</v>
      </c>
      <c r="B363" s="215" t="s">
        <v>2066</v>
      </c>
      <c r="C363" s="215" t="s">
        <v>2067</v>
      </c>
      <c r="D363" s="215">
        <v>0</v>
      </c>
      <c r="E363" s="215">
        <v>57500</v>
      </c>
      <c r="F363" s="215">
        <v>745796637.83000004</v>
      </c>
      <c r="G363" s="215">
        <v>0</v>
      </c>
      <c r="H363" s="329">
        <f t="shared" si="5"/>
        <v>-57500</v>
      </c>
    </row>
    <row r="364" spans="1:8" x14ac:dyDescent="0.45">
      <c r="A364" s="215" t="s">
        <v>2221</v>
      </c>
      <c r="B364" s="215" t="s">
        <v>2076</v>
      </c>
      <c r="C364" s="215" t="s">
        <v>2065</v>
      </c>
      <c r="D364" s="215">
        <v>0</v>
      </c>
      <c r="E364" s="215">
        <v>850269</v>
      </c>
      <c r="F364" s="215">
        <v>744946368.83000004</v>
      </c>
      <c r="G364" s="215">
        <v>0</v>
      </c>
      <c r="H364" s="329">
        <f t="shared" si="5"/>
        <v>-850269</v>
      </c>
    </row>
    <row r="365" spans="1:8" x14ac:dyDescent="0.45">
      <c r="A365" s="215" t="s">
        <v>2221</v>
      </c>
      <c r="B365" s="215" t="s">
        <v>2066</v>
      </c>
      <c r="C365" s="215" t="s">
        <v>2067</v>
      </c>
      <c r="D365" s="215">
        <v>0</v>
      </c>
      <c r="E365" s="215">
        <v>68008</v>
      </c>
      <c r="F365" s="215">
        <v>744878360.83000004</v>
      </c>
      <c r="G365" s="215">
        <v>0</v>
      </c>
      <c r="H365" s="329">
        <f t="shared" si="5"/>
        <v>-68008</v>
      </c>
    </row>
    <row r="366" spans="1:8" x14ac:dyDescent="0.45">
      <c r="A366" s="215" t="s">
        <v>2222</v>
      </c>
      <c r="B366" s="215" t="s">
        <v>2090</v>
      </c>
      <c r="C366" s="215" t="s">
        <v>2091</v>
      </c>
      <c r="D366" s="215">
        <v>0</v>
      </c>
      <c r="E366" s="215">
        <v>33415459</v>
      </c>
      <c r="F366" s="215">
        <v>711462901.83000004</v>
      </c>
      <c r="G366" s="215">
        <v>0</v>
      </c>
      <c r="H366" s="329">
        <f t="shared" si="5"/>
        <v>-33415459</v>
      </c>
    </row>
    <row r="367" spans="1:8" x14ac:dyDescent="0.45">
      <c r="A367" s="215" t="s">
        <v>2222</v>
      </c>
      <c r="B367" s="215" t="s">
        <v>2223</v>
      </c>
      <c r="C367" s="215" t="s">
        <v>2065</v>
      </c>
      <c r="D367" s="215">
        <v>0</v>
      </c>
      <c r="E367" s="215">
        <v>4120000</v>
      </c>
      <c r="F367" s="215">
        <v>707342901.83000004</v>
      </c>
      <c r="G367" s="215">
        <v>0</v>
      </c>
      <c r="H367" s="329">
        <f t="shared" si="5"/>
        <v>-4120000</v>
      </c>
    </row>
    <row r="368" spans="1:8" x14ac:dyDescent="0.45">
      <c r="A368" s="215" t="s">
        <v>2222</v>
      </c>
      <c r="B368" s="215" t="s">
        <v>2224</v>
      </c>
      <c r="C368" s="215" t="s">
        <v>2065</v>
      </c>
      <c r="D368" s="215">
        <v>0</v>
      </c>
      <c r="E368" s="215">
        <v>1570000</v>
      </c>
      <c r="F368" s="215">
        <v>705772901.83000004</v>
      </c>
      <c r="G368" s="215">
        <v>0</v>
      </c>
      <c r="H368" s="329">
        <f t="shared" si="5"/>
        <v>-1570000</v>
      </c>
    </row>
    <row r="369" spans="1:8" x14ac:dyDescent="0.45">
      <c r="A369" s="215" t="s">
        <v>2222</v>
      </c>
      <c r="B369" s="215" t="s">
        <v>2225</v>
      </c>
      <c r="C369" s="215" t="s">
        <v>2065</v>
      </c>
      <c r="D369" s="215">
        <v>0</v>
      </c>
      <c r="E369" s="215">
        <v>1730000</v>
      </c>
      <c r="F369" s="215">
        <v>704042901.83000004</v>
      </c>
      <c r="G369" s="215">
        <v>0</v>
      </c>
      <c r="H369" s="329">
        <f t="shared" si="5"/>
        <v>-1730000</v>
      </c>
    </row>
    <row r="370" spans="1:8" x14ac:dyDescent="0.45">
      <c r="A370" s="215" t="s">
        <v>2226</v>
      </c>
      <c r="B370" s="215" t="s">
        <v>2059</v>
      </c>
      <c r="C370" s="215" t="s">
        <v>2060</v>
      </c>
      <c r="D370" s="215">
        <v>9914000</v>
      </c>
      <c r="E370" s="215">
        <v>0</v>
      </c>
      <c r="F370" s="215">
        <v>713956901.83000004</v>
      </c>
      <c r="G370" s="215">
        <v>0</v>
      </c>
      <c r="H370" s="329">
        <f t="shared" si="5"/>
        <v>9914000</v>
      </c>
    </row>
    <row r="371" spans="1:8" x14ac:dyDescent="0.45">
      <c r="A371" s="215" t="s">
        <v>2226</v>
      </c>
      <c r="B371" s="215" t="s">
        <v>70</v>
      </c>
      <c r="C371" s="215" t="s">
        <v>2061</v>
      </c>
      <c r="D371" s="215">
        <v>991400</v>
      </c>
      <c r="E371" s="215">
        <v>0</v>
      </c>
      <c r="F371" s="215">
        <v>714948301.83000004</v>
      </c>
      <c r="G371" s="215">
        <v>0</v>
      </c>
      <c r="H371" s="329">
        <f t="shared" si="5"/>
        <v>991400</v>
      </c>
    </row>
    <row r="372" spans="1:8" x14ac:dyDescent="0.45">
      <c r="A372" s="215" t="s">
        <v>2226</v>
      </c>
      <c r="B372" s="215" t="s">
        <v>2059</v>
      </c>
      <c r="C372" s="215" t="s">
        <v>2060</v>
      </c>
      <c r="D372" s="215">
        <v>7000000</v>
      </c>
      <c r="E372" s="215">
        <v>0</v>
      </c>
      <c r="F372" s="215">
        <v>721948301.83000004</v>
      </c>
      <c r="G372" s="215">
        <v>0</v>
      </c>
      <c r="H372" s="329">
        <f t="shared" si="5"/>
        <v>7000000</v>
      </c>
    </row>
    <row r="373" spans="1:8" x14ac:dyDescent="0.45">
      <c r="A373" s="215" t="s">
        <v>2226</v>
      </c>
      <c r="B373" s="215" t="s">
        <v>70</v>
      </c>
      <c r="C373" s="215" t="s">
        <v>2061</v>
      </c>
      <c r="D373" s="215">
        <v>700000</v>
      </c>
      <c r="E373" s="215">
        <v>0</v>
      </c>
      <c r="F373" s="215">
        <v>722648301.83000004</v>
      </c>
      <c r="G373" s="215">
        <v>0</v>
      </c>
      <c r="H373" s="329">
        <f t="shared" si="5"/>
        <v>700000</v>
      </c>
    </row>
    <row r="374" spans="1:8" x14ac:dyDescent="0.45">
      <c r="A374" s="215" t="s">
        <v>2226</v>
      </c>
      <c r="B374" s="215" t="s">
        <v>2055</v>
      </c>
      <c r="C374" s="215" t="s">
        <v>2056</v>
      </c>
      <c r="D374" s="215">
        <v>0</v>
      </c>
      <c r="E374" s="215">
        <v>400000</v>
      </c>
      <c r="F374" s="215">
        <v>722248301.83000004</v>
      </c>
      <c r="G374" s="215">
        <v>0</v>
      </c>
      <c r="H374" s="329">
        <f t="shared" si="5"/>
        <v>-400000</v>
      </c>
    </row>
    <row r="375" spans="1:8" x14ac:dyDescent="0.45">
      <c r="A375" s="215" t="s">
        <v>2227</v>
      </c>
      <c r="B375" s="215" t="s">
        <v>2059</v>
      </c>
      <c r="C375" s="215" t="s">
        <v>2060</v>
      </c>
      <c r="D375" s="215">
        <v>9586000</v>
      </c>
      <c r="E375" s="215">
        <v>0</v>
      </c>
      <c r="F375" s="215">
        <v>731834301.83000004</v>
      </c>
      <c r="G375" s="215">
        <v>0</v>
      </c>
      <c r="H375" s="329">
        <f t="shared" si="5"/>
        <v>9586000</v>
      </c>
    </row>
    <row r="376" spans="1:8" x14ac:dyDescent="0.45">
      <c r="A376" s="215" t="s">
        <v>2227</v>
      </c>
      <c r="B376" s="215" t="s">
        <v>70</v>
      </c>
      <c r="C376" s="215" t="s">
        <v>2061</v>
      </c>
      <c r="D376" s="215">
        <v>958600</v>
      </c>
      <c r="E376" s="215">
        <v>0</v>
      </c>
      <c r="F376" s="215">
        <v>732792901.83000004</v>
      </c>
      <c r="G376" s="215">
        <v>0</v>
      </c>
      <c r="H376" s="329">
        <f t="shared" si="5"/>
        <v>958600</v>
      </c>
    </row>
    <row r="377" spans="1:8" x14ac:dyDescent="0.45">
      <c r="A377" s="215" t="s">
        <v>2227</v>
      </c>
      <c r="B377" s="215" t="s">
        <v>2059</v>
      </c>
      <c r="C377" s="215" t="s">
        <v>2060</v>
      </c>
      <c r="D377" s="215">
        <v>10122000</v>
      </c>
      <c r="E377" s="215">
        <v>0</v>
      </c>
      <c r="F377" s="215">
        <v>742914901.83000004</v>
      </c>
      <c r="G377" s="215">
        <v>0</v>
      </c>
      <c r="H377" s="329">
        <f t="shared" si="5"/>
        <v>10122000</v>
      </c>
    </row>
    <row r="378" spans="1:8" x14ac:dyDescent="0.45">
      <c r="A378" s="215" t="s">
        <v>2227</v>
      </c>
      <c r="B378" s="215" t="s">
        <v>70</v>
      </c>
      <c r="C378" s="215" t="s">
        <v>2061</v>
      </c>
      <c r="D378" s="215">
        <v>1012200</v>
      </c>
      <c r="E378" s="215">
        <v>0</v>
      </c>
      <c r="F378" s="215">
        <v>743927101.83000004</v>
      </c>
      <c r="G378" s="215">
        <v>0</v>
      </c>
      <c r="H378" s="329">
        <f t="shared" si="5"/>
        <v>1012200</v>
      </c>
    </row>
    <row r="379" spans="1:8" x14ac:dyDescent="0.45">
      <c r="A379" s="215" t="s">
        <v>2227</v>
      </c>
      <c r="B379" s="215" t="s">
        <v>2059</v>
      </c>
      <c r="C379" s="215" t="s">
        <v>2060</v>
      </c>
      <c r="D379" s="215">
        <v>7910000</v>
      </c>
      <c r="E379" s="215">
        <v>0</v>
      </c>
      <c r="F379" s="215">
        <v>751837101.83000004</v>
      </c>
      <c r="G379" s="215">
        <v>0</v>
      </c>
      <c r="H379" s="329">
        <f t="shared" si="5"/>
        <v>7910000</v>
      </c>
    </row>
    <row r="380" spans="1:8" x14ac:dyDescent="0.45">
      <c r="A380" s="215" t="s">
        <v>2227</v>
      </c>
      <c r="B380" s="215" t="s">
        <v>70</v>
      </c>
      <c r="C380" s="215" t="s">
        <v>2061</v>
      </c>
      <c r="D380" s="215">
        <v>791000</v>
      </c>
      <c r="E380" s="215">
        <v>0</v>
      </c>
      <c r="F380" s="215">
        <v>752628101.83000004</v>
      </c>
      <c r="G380" s="215">
        <v>0</v>
      </c>
      <c r="H380" s="329">
        <f t="shared" si="5"/>
        <v>791000</v>
      </c>
    </row>
    <row r="381" spans="1:8" x14ac:dyDescent="0.45">
      <c r="A381" s="215" t="s">
        <v>2227</v>
      </c>
      <c r="B381" s="215" t="s">
        <v>2055</v>
      </c>
      <c r="C381" s="215" t="s">
        <v>2056</v>
      </c>
      <c r="D381" s="215">
        <v>0</v>
      </c>
      <c r="E381" s="215">
        <v>16200000</v>
      </c>
      <c r="F381" s="215">
        <v>736428101.83000004</v>
      </c>
      <c r="G381" s="215">
        <v>0</v>
      </c>
      <c r="H381" s="329">
        <f t="shared" si="5"/>
        <v>-16200000</v>
      </c>
    </row>
    <row r="382" spans="1:8" x14ac:dyDescent="0.45">
      <c r="A382" s="215" t="s">
        <v>2227</v>
      </c>
      <c r="B382" s="215" t="s">
        <v>2066</v>
      </c>
      <c r="C382" s="215" t="s">
        <v>2067</v>
      </c>
      <c r="D382" s="215">
        <v>0</v>
      </c>
      <c r="E382" s="215">
        <v>810000</v>
      </c>
      <c r="F382" s="215">
        <v>735618101.83000004</v>
      </c>
      <c r="G382" s="215">
        <v>0</v>
      </c>
      <c r="H382" s="329">
        <f t="shared" si="5"/>
        <v>-810000</v>
      </c>
    </row>
    <row r="383" spans="1:8" x14ac:dyDescent="0.45">
      <c r="A383" s="215" t="s">
        <v>2227</v>
      </c>
      <c r="B383" s="215" t="s">
        <v>2055</v>
      </c>
      <c r="C383" s="215" t="s">
        <v>2056</v>
      </c>
      <c r="D383" s="215">
        <v>0</v>
      </c>
      <c r="E383" s="215">
        <v>1963636</v>
      </c>
      <c r="F383" s="215">
        <v>733654465.83000004</v>
      </c>
      <c r="G383" s="215">
        <v>0</v>
      </c>
      <c r="H383" s="329">
        <f t="shared" si="5"/>
        <v>-1963636</v>
      </c>
    </row>
    <row r="384" spans="1:8" x14ac:dyDescent="0.45">
      <c r="A384" s="215" t="s">
        <v>2227</v>
      </c>
      <c r="B384" s="215" t="s">
        <v>2066</v>
      </c>
      <c r="C384" s="215" t="s">
        <v>2067</v>
      </c>
      <c r="D384" s="215">
        <v>0</v>
      </c>
      <c r="E384" s="215">
        <v>196364</v>
      </c>
      <c r="F384" s="215">
        <v>733458101.83000004</v>
      </c>
      <c r="G384" s="215">
        <v>0</v>
      </c>
      <c r="H384" s="329">
        <f t="shared" si="5"/>
        <v>-196364</v>
      </c>
    </row>
    <row r="385" spans="1:8" x14ac:dyDescent="0.45">
      <c r="A385" s="215" t="s">
        <v>2228</v>
      </c>
      <c r="B385" s="215" t="s">
        <v>2059</v>
      </c>
      <c r="C385" s="215" t="s">
        <v>2060</v>
      </c>
      <c r="D385" s="215">
        <v>8670000</v>
      </c>
      <c r="E385" s="215">
        <v>0</v>
      </c>
      <c r="F385" s="215">
        <v>742128101.83000004</v>
      </c>
      <c r="G385" s="215">
        <v>0</v>
      </c>
      <c r="H385" s="329">
        <f t="shared" si="5"/>
        <v>8670000</v>
      </c>
    </row>
    <row r="386" spans="1:8" x14ac:dyDescent="0.45">
      <c r="A386" s="215" t="s">
        <v>2228</v>
      </c>
      <c r="B386" s="215" t="s">
        <v>70</v>
      </c>
      <c r="C386" s="215" t="s">
        <v>2061</v>
      </c>
      <c r="D386" s="215">
        <v>867000</v>
      </c>
      <c r="E386" s="215">
        <v>0</v>
      </c>
      <c r="F386" s="215">
        <v>742995101.83000004</v>
      </c>
      <c r="G386" s="215">
        <v>0</v>
      </c>
      <c r="H386" s="329">
        <f t="shared" si="5"/>
        <v>867000</v>
      </c>
    </row>
    <row r="387" spans="1:8" x14ac:dyDescent="0.45">
      <c r="A387" s="215" t="s">
        <v>2228</v>
      </c>
      <c r="B387" s="215" t="s">
        <v>2059</v>
      </c>
      <c r="C387" s="215" t="s">
        <v>2060</v>
      </c>
      <c r="D387" s="215">
        <v>7751000</v>
      </c>
      <c r="E387" s="215">
        <v>0</v>
      </c>
      <c r="F387" s="215">
        <v>750746101.83000004</v>
      </c>
      <c r="G387" s="215">
        <v>0</v>
      </c>
      <c r="H387" s="329">
        <f t="shared" si="5"/>
        <v>7751000</v>
      </c>
    </row>
    <row r="388" spans="1:8" x14ac:dyDescent="0.45">
      <c r="A388" s="215" t="s">
        <v>2228</v>
      </c>
      <c r="B388" s="215" t="s">
        <v>70</v>
      </c>
      <c r="C388" s="215" t="s">
        <v>2061</v>
      </c>
      <c r="D388" s="215">
        <v>775100</v>
      </c>
      <c r="E388" s="215">
        <v>0</v>
      </c>
      <c r="F388" s="215">
        <v>751521201.83000004</v>
      </c>
      <c r="G388" s="215">
        <v>0</v>
      </c>
      <c r="H388" s="329">
        <f t="shared" si="5"/>
        <v>775100</v>
      </c>
    </row>
    <row r="389" spans="1:8" x14ac:dyDescent="0.45">
      <c r="A389" s="215" t="s">
        <v>2229</v>
      </c>
      <c r="B389" s="215" t="s">
        <v>2059</v>
      </c>
      <c r="C389" s="215" t="s">
        <v>2060</v>
      </c>
      <c r="D389" s="215">
        <v>9193000</v>
      </c>
      <c r="E389" s="215">
        <v>0</v>
      </c>
      <c r="F389" s="215">
        <v>760714201.83000004</v>
      </c>
      <c r="G389" s="215">
        <v>0</v>
      </c>
      <c r="H389" s="329">
        <f t="shared" si="5"/>
        <v>9193000</v>
      </c>
    </row>
    <row r="390" spans="1:8" x14ac:dyDescent="0.45">
      <c r="A390" s="215" t="s">
        <v>2229</v>
      </c>
      <c r="B390" s="215" t="s">
        <v>70</v>
      </c>
      <c r="C390" s="215" t="s">
        <v>2061</v>
      </c>
      <c r="D390" s="215">
        <v>919300</v>
      </c>
      <c r="E390" s="215">
        <v>0</v>
      </c>
      <c r="F390" s="215">
        <v>761633501.83000004</v>
      </c>
      <c r="G390" s="215">
        <v>0</v>
      </c>
      <c r="H390" s="329">
        <f t="shared" ref="H390:H453" si="6">IF(D390&gt;0,D390,-E390)</f>
        <v>919300</v>
      </c>
    </row>
    <row r="391" spans="1:8" x14ac:dyDescent="0.45">
      <c r="A391" s="215" t="s">
        <v>2230</v>
      </c>
      <c r="B391" s="215" t="s">
        <v>2059</v>
      </c>
      <c r="C391" s="215" t="s">
        <v>2060</v>
      </c>
      <c r="D391" s="215">
        <v>17050000</v>
      </c>
      <c r="E391" s="215">
        <v>0</v>
      </c>
      <c r="F391" s="215">
        <v>778683501.83000004</v>
      </c>
      <c r="G391" s="215">
        <v>0</v>
      </c>
      <c r="H391" s="329">
        <f t="shared" si="6"/>
        <v>17050000</v>
      </c>
    </row>
    <row r="392" spans="1:8" x14ac:dyDescent="0.45">
      <c r="A392" s="215" t="s">
        <v>2230</v>
      </c>
      <c r="B392" s="215" t="s">
        <v>70</v>
      </c>
      <c r="C392" s="215" t="s">
        <v>2061</v>
      </c>
      <c r="D392" s="215">
        <v>1705000</v>
      </c>
      <c r="E392" s="215">
        <v>0</v>
      </c>
      <c r="F392" s="215">
        <v>780388501.83000004</v>
      </c>
      <c r="G392" s="215">
        <v>0</v>
      </c>
      <c r="H392" s="329">
        <f t="shared" si="6"/>
        <v>1705000</v>
      </c>
    </row>
    <row r="393" spans="1:8" x14ac:dyDescent="0.45">
      <c r="A393" s="215" t="s">
        <v>2230</v>
      </c>
      <c r="B393" s="215" t="s">
        <v>2059</v>
      </c>
      <c r="C393" s="215" t="s">
        <v>2060</v>
      </c>
      <c r="D393" s="215">
        <v>3565000</v>
      </c>
      <c r="E393" s="215">
        <v>0</v>
      </c>
      <c r="F393" s="215">
        <v>783953501.83000004</v>
      </c>
      <c r="G393" s="215">
        <v>0</v>
      </c>
      <c r="H393" s="329">
        <f t="shared" si="6"/>
        <v>3565000</v>
      </c>
    </row>
    <row r="394" spans="1:8" x14ac:dyDescent="0.45">
      <c r="A394" s="215" t="s">
        <v>2230</v>
      </c>
      <c r="B394" s="215" t="s">
        <v>70</v>
      </c>
      <c r="C394" s="215" t="s">
        <v>2061</v>
      </c>
      <c r="D394" s="215">
        <v>356500</v>
      </c>
      <c r="E394" s="215">
        <v>0</v>
      </c>
      <c r="F394" s="215">
        <v>784310001.83000004</v>
      </c>
      <c r="G394" s="215">
        <v>0</v>
      </c>
      <c r="H394" s="329">
        <f t="shared" si="6"/>
        <v>356500</v>
      </c>
    </row>
    <row r="395" spans="1:8" x14ac:dyDescent="0.45">
      <c r="A395" s="215" t="s">
        <v>2230</v>
      </c>
      <c r="B395" s="215" t="s">
        <v>2076</v>
      </c>
      <c r="C395" s="215" t="s">
        <v>2065</v>
      </c>
      <c r="D395" s="215">
        <v>0</v>
      </c>
      <c r="E395" s="215">
        <v>586697</v>
      </c>
      <c r="F395" s="215">
        <v>783723304.83000004</v>
      </c>
      <c r="G395" s="215">
        <v>0</v>
      </c>
      <c r="H395" s="329">
        <f t="shared" si="6"/>
        <v>-586697</v>
      </c>
    </row>
    <row r="396" spans="1:8" x14ac:dyDescent="0.45">
      <c r="A396" s="215" t="s">
        <v>2230</v>
      </c>
      <c r="B396" s="215" t="s">
        <v>2066</v>
      </c>
      <c r="C396" s="215" t="s">
        <v>2067</v>
      </c>
      <c r="D396" s="215">
        <v>0</v>
      </c>
      <c r="E396" s="215">
        <v>54809</v>
      </c>
      <c r="F396" s="215">
        <v>783668495.83000004</v>
      </c>
      <c r="G396" s="215">
        <v>0</v>
      </c>
      <c r="H396" s="329">
        <f t="shared" si="6"/>
        <v>-54809</v>
      </c>
    </row>
    <row r="397" spans="1:8" x14ac:dyDescent="0.45">
      <c r="A397" s="215" t="s">
        <v>2231</v>
      </c>
      <c r="B397" s="215" t="s">
        <v>2076</v>
      </c>
      <c r="C397" s="215" t="s">
        <v>2065</v>
      </c>
      <c r="D397" s="215">
        <v>0</v>
      </c>
      <c r="E397" s="215">
        <v>197654</v>
      </c>
      <c r="F397" s="215">
        <v>783470841.83000004</v>
      </c>
      <c r="G397" s="215">
        <v>0</v>
      </c>
      <c r="H397" s="329">
        <f t="shared" si="6"/>
        <v>-197654</v>
      </c>
    </row>
    <row r="398" spans="1:8" x14ac:dyDescent="0.45">
      <c r="A398" s="215" t="s">
        <v>2231</v>
      </c>
      <c r="B398" s="215" t="s">
        <v>2066</v>
      </c>
      <c r="C398" s="215" t="s">
        <v>2067</v>
      </c>
      <c r="D398" s="215">
        <v>0</v>
      </c>
      <c r="E398" s="215">
        <v>18660</v>
      </c>
      <c r="F398" s="215">
        <v>783452181.83000004</v>
      </c>
      <c r="G398" s="215">
        <v>0</v>
      </c>
      <c r="H398" s="329">
        <f t="shared" si="6"/>
        <v>-18660</v>
      </c>
    </row>
    <row r="399" spans="1:8" x14ac:dyDescent="0.45">
      <c r="A399" s="215" t="s">
        <v>2232</v>
      </c>
      <c r="B399" s="215" t="s">
        <v>2055</v>
      </c>
      <c r="C399" s="215" t="s">
        <v>2056</v>
      </c>
      <c r="D399" s="215">
        <v>0</v>
      </c>
      <c r="E399" s="215">
        <v>16000000</v>
      </c>
      <c r="F399" s="215">
        <v>767452181.83000004</v>
      </c>
      <c r="G399" s="215">
        <v>0</v>
      </c>
      <c r="H399" s="329">
        <f t="shared" si="6"/>
        <v>-16000000</v>
      </c>
    </row>
    <row r="400" spans="1:8" x14ac:dyDescent="0.45">
      <c r="A400" s="215" t="s">
        <v>2233</v>
      </c>
      <c r="B400" s="215" t="s">
        <v>2059</v>
      </c>
      <c r="C400" s="215" t="s">
        <v>2060</v>
      </c>
      <c r="D400" s="215">
        <v>15473000</v>
      </c>
      <c r="E400" s="215">
        <v>0</v>
      </c>
      <c r="F400" s="215">
        <v>782925181.83000004</v>
      </c>
      <c r="G400" s="215">
        <v>0</v>
      </c>
      <c r="H400" s="329">
        <f t="shared" si="6"/>
        <v>15473000</v>
      </c>
    </row>
    <row r="401" spans="1:8" x14ac:dyDescent="0.45">
      <c r="A401" s="215" t="s">
        <v>2233</v>
      </c>
      <c r="B401" s="215" t="s">
        <v>70</v>
      </c>
      <c r="C401" s="215" t="s">
        <v>2061</v>
      </c>
      <c r="D401" s="215">
        <v>1547300</v>
      </c>
      <c r="E401" s="215">
        <v>0</v>
      </c>
      <c r="F401" s="215">
        <v>784472481.83000004</v>
      </c>
      <c r="G401" s="215">
        <v>0</v>
      </c>
      <c r="H401" s="329">
        <f t="shared" si="6"/>
        <v>1547300</v>
      </c>
    </row>
    <row r="402" spans="1:8" x14ac:dyDescent="0.45">
      <c r="A402" s="215" t="s">
        <v>2233</v>
      </c>
      <c r="B402" s="215" t="s">
        <v>2059</v>
      </c>
      <c r="C402" s="215" t="s">
        <v>2060</v>
      </c>
      <c r="D402" s="215">
        <v>16700000</v>
      </c>
      <c r="E402" s="215">
        <v>0</v>
      </c>
      <c r="F402" s="215">
        <v>801172481.83000004</v>
      </c>
      <c r="G402" s="215">
        <v>0</v>
      </c>
      <c r="H402" s="329">
        <f t="shared" si="6"/>
        <v>16700000</v>
      </c>
    </row>
    <row r="403" spans="1:8" x14ac:dyDescent="0.45">
      <c r="A403" s="215" t="s">
        <v>2233</v>
      </c>
      <c r="B403" s="215" t="s">
        <v>70</v>
      </c>
      <c r="C403" s="215" t="s">
        <v>2061</v>
      </c>
      <c r="D403" s="215">
        <v>1670000</v>
      </c>
      <c r="E403" s="215">
        <v>0</v>
      </c>
      <c r="F403" s="215">
        <v>802842481.83000004</v>
      </c>
      <c r="G403" s="215">
        <v>0</v>
      </c>
      <c r="H403" s="329">
        <f t="shared" si="6"/>
        <v>1670000</v>
      </c>
    </row>
    <row r="404" spans="1:8" x14ac:dyDescent="0.45">
      <c r="A404" s="215" t="s">
        <v>2233</v>
      </c>
      <c r="B404" s="215" t="s">
        <v>2059</v>
      </c>
      <c r="C404" s="215" t="s">
        <v>2060</v>
      </c>
      <c r="D404" s="215">
        <v>14519000</v>
      </c>
      <c r="E404" s="215">
        <v>0</v>
      </c>
      <c r="F404" s="215">
        <v>817361481.83000004</v>
      </c>
      <c r="G404" s="215">
        <v>0</v>
      </c>
      <c r="H404" s="329">
        <f t="shared" si="6"/>
        <v>14519000</v>
      </c>
    </row>
    <row r="405" spans="1:8" x14ac:dyDescent="0.45">
      <c r="A405" s="215" t="s">
        <v>2233</v>
      </c>
      <c r="B405" s="215" t="s">
        <v>70</v>
      </c>
      <c r="C405" s="215" t="s">
        <v>2061</v>
      </c>
      <c r="D405" s="215">
        <v>1451900</v>
      </c>
      <c r="E405" s="215">
        <v>0</v>
      </c>
      <c r="F405" s="215">
        <v>818813381.83000004</v>
      </c>
      <c r="G405" s="215">
        <v>0</v>
      </c>
      <c r="H405" s="329">
        <f t="shared" si="6"/>
        <v>1451900</v>
      </c>
    </row>
    <row r="406" spans="1:8" x14ac:dyDescent="0.45">
      <c r="A406" s="215" t="s">
        <v>2234</v>
      </c>
      <c r="B406" s="215" t="s">
        <v>2059</v>
      </c>
      <c r="C406" s="215" t="s">
        <v>2060</v>
      </c>
      <c r="D406" s="215">
        <v>14992000</v>
      </c>
      <c r="E406" s="215">
        <v>0</v>
      </c>
      <c r="F406" s="215">
        <v>833805381.83000004</v>
      </c>
      <c r="G406" s="215">
        <v>0</v>
      </c>
      <c r="H406" s="329">
        <f t="shared" si="6"/>
        <v>14992000</v>
      </c>
    </row>
    <row r="407" spans="1:8" x14ac:dyDescent="0.45">
      <c r="A407" s="215" t="s">
        <v>2234</v>
      </c>
      <c r="B407" s="215" t="s">
        <v>70</v>
      </c>
      <c r="C407" s="215" t="s">
        <v>2061</v>
      </c>
      <c r="D407" s="215">
        <v>1499200</v>
      </c>
      <c r="E407" s="215">
        <v>0</v>
      </c>
      <c r="F407" s="215">
        <v>835304581.83000004</v>
      </c>
      <c r="G407" s="215">
        <v>0</v>
      </c>
      <c r="H407" s="329">
        <f t="shared" si="6"/>
        <v>1499200</v>
      </c>
    </row>
    <row r="408" spans="1:8" x14ac:dyDescent="0.45">
      <c r="A408" s="215" t="s">
        <v>2235</v>
      </c>
      <c r="B408" s="215" t="s">
        <v>2059</v>
      </c>
      <c r="C408" s="215" t="s">
        <v>2060</v>
      </c>
      <c r="D408" s="215">
        <v>12001000</v>
      </c>
      <c r="E408" s="215">
        <v>0</v>
      </c>
      <c r="F408" s="215">
        <v>847305581.83000004</v>
      </c>
      <c r="G408" s="215">
        <v>0</v>
      </c>
      <c r="H408" s="329">
        <f t="shared" si="6"/>
        <v>12001000</v>
      </c>
    </row>
    <row r="409" spans="1:8" x14ac:dyDescent="0.45">
      <c r="A409" s="215" t="s">
        <v>2235</v>
      </c>
      <c r="B409" s="215" t="s">
        <v>70</v>
      </c>
      <c r="C409" s="215" t="s">
        <v>2061</v>
      </c>
      <c r="D409" s="215">
        <v>1200100</v>
      </c>
      <c r="E409" s="215">
        <v>0</v>
      </c>
      <c r="F409" s="215">
        <v>848505681.83000004</v>
      </c>
      <c r="G409" s="215">
        <v>0</v>
      </c>
      <c r="H409" s="329">
        <f t="shared" si="6"/>
        <v>1200100</v>
      </c>
    </row>
    <row r="410" spans="1:8" x14ac:dyDescent="0.45">
      <c r="A410" s="215" t="s">
        <v>2236</v>
      </c>
      <c r="B410" s="215" t="s">
        <v>2055</v>
      </c>
      <c r="C410" s="215" t="s">
        <v>2056</v>
      </c>
      <c r="D410" s="215">
        <v>0</v>
      </c>
      <c r="E410" s="215">
        <v>3300000</v>
      </c>
      <c r="F410" s="215">
        <v>845205681.83000004</v>
      </c>
      <c r="G410" s="215">
        <v>0</v>
      </c>
      <c r="H410" s="329">
        <f t="shared" si="6"/>
        <v>-3300000</v>
      </c>
    </row>
    <row r="411" spans="1:8" x14ac:dyDescent="0.45">
      <c r="A411" s="215" t="s">
        <v>2237</v>
      </c>
      <c r="B411" s="215" t="s">
        <v>2064</v>
      </c>
      <c r="C411" s="215" t="s">
        <v>2065</v>
      </c>
      <c r="D411" s="215">
        <v>0</v>
      </c>
      <c r="E411" s="215">
        <v>1656000</v>
      </c>
      <c r="F411" s="215">
        <v>843549681.83000004</v>
      </c>
      <c r="G411" s="215">
        <v>0</v>
      </c>
      <c r="H411" s="329">
        <f t="shared" si="6"/>
        <v>-1656000</v>
      </c>
    </row>
    <row r="412" spans="1:8" x14ac:dyDescent="0.45">
      <c r="A412" s="215" t="s">
        <v>2237</v>
      </c>
      <c r="B412" s="215" t="s">
        <v>2066</v>
      </c>
      <c r="C412" s="215" t="s">
        <v>2067</v>
      </c>
      <c r="D412" s="215">
        <v>0</v>
      </c>
      <c r="E412" s="215">
        <v>165600</v>
      </c>
      <c r="F412" s="215">
        <v>843384081.83000004</v>
      </c>
      <c r="G412" s="215">
        <v>0</v>
      </c>
      <c r="H412" s="329">
        <f t="shared" si="6"/>
        <v>-165600</v>
      </c>
    </row>
    <row r="413" spans="1:8" x14ac:dyDescent="0.45">
      <c r="A413" s="215" t="s">
        <v>2232</v>
      </c>
      <c r="B413" s="215" t="s">
        <v>2066</v>
      </c>
      <c r="C413" s="215" t="s">
        <v>2067</v>
      </c>
      <c r="D413" s="215">
        <v>0</v>
      </c>
      <c r="E413" s="215">
        <v>800000</v>
      </c>
      <c r="F413" s="215">
        <v>842584081.83000004</v>
      </c>
      <c r="G413" s="215">
        <v>0</v>
      </c>
      <c r="H413" s="329">
        <f t="shared" si="6"/>
        <v>-800000</v>
      </c>
    </row>
    <row r="414" spans="1:8" x14ac:dyDescent="0.45">
      <c r="A414" s="215" t="s">
        <v>2238</v>
      </c>
      <c r="B414" s="215" t="s">
        <v>2059</v>
      </c>
      <c r="C414" s="215" t="s">
        <v>2060</v>
      </c>
      <c r="D414" s="215">
        <v>10023000</v>
      </c>
      <c r="E414" s="215">
        <v>0</v>
      </c>
      <c r="F414" s="215">
        <v>852607081.83000004</v>
      </c>
      <c r="G414" s="215">
        <v>0</v>
      </c>
      <c r="H414" s="329">
        <f t="shared" si="6"/>
        <v>10023000</v>
      </c>
    </row>
    <row r="415" spans="1:8" x14ac:dyDescent="0.45">
      <c r="A415" s="215" t="s">
        <v>2238</v>
      </c>
      <c r="B415" s="215" t="s">
        <v>70</v>
      </c>
      <c r="C415" s="215" t="s">
        <v>2061</v>
      </c>
      <c r="D415" s="215">
        <v>1002300</v>
      </c>
      <c r="E415" s="215">
        <v>0</v>
      </c>
      <c r="F415" s="215">
        <v>853609381.83000004</v>
      </c>
      <c r="G415" s="215">
        <v>0</v>
      </c>
      <c r="H415" s="329">
        <f t="shared" si="6"/>
        <v>1002300</v>
      </c>
    </row>
    <row r="416" spans="1:8" x14ac:dyDescent="0.45">
      <c r="A416" s="215" t="s">
        <v>2238</v>
      </c>
      <c r="B416" s="215" t="s">
        <v>2059</v>
      </c>
      <c r="C416" s="215" t="s">
        <v>2060</v>
      </c>
      <c r="D416" s="215">
        <v>16410000</v>
      </c>
      <c r="E416" s="215">
        <v>0</v>
      </c>
      <c r="F416" s="215">
        <v>870019381.83000004</v>
      </c>
      <c r="G416" s="215">
        <v>0</v>
      </c>
      <c r="H416" s="329">
        <f t="shared" si="6"/>
        <v>16410000</v>
      </c>
    </row>
    <row r="417" spans="1:8" x14ac:dyDescent="0.45">
      <c r="A417" s="215" t="s">
        <v>2238</v>
      </c>
      <c r="B417" s="215" t="s">
        <v>70</v>
      </c>
      <c r="C417" s="215" t="s">
        <v>2061</v>
      </c>
      <c r="D417" s="215">
        <v>1641000</v>
      </c>
      <c r="E417" s="215">
        <v>0</v>
      </c>
      <c r="F417" s="215">
        <v>871660381.83000004</v>
      </c>
      <c r="G417" s="215">
        <v>0</v>
      </c>
      <c r="H417" s="329">
        <f t="shared" si="6"/>
        <v>1641000</v>
      </c>
    </row>
    <row r="418" spans="1:8" x14ac:dyDescent="0.45">
      <c r="A418" s="215" t="s">
        <v>2238</v>
      </c>
      <c r="B418" s="215" t="s">
        <v>2055</v>
      </c>
      <c r="C418" s="215" t="s">
        <v>2056</v>
      </c>
      <c r="D418" s="215">
        <v>0</v>
      </c>
      <c r="E418" s="215">
        <v>12800000</v>
      </c>
      <c r="F418" s="215">
        <v>858860381.83000004</v>
      </c>
      <c r="G418" s="215">
        <v>0</v>
      </c>
      <c r="H418" s="329">
        <f t="shared" si="6"/>
        <v>-12800000</v>
      </c>
    </row>
    <row r="419" spans="1:8" x14ac:dyDescent="0.45">
      <c r="A419" s="215" t="s">
        <v>2239</v>
      </c>
      <c r="B419" s="215" t="s">
        <v>2059</v>
      </c>
      <c r="C419" s="215" t="s">
        <v>2060</v>
      </c>
      <c r="D419" s="215">
        <v>8380000</v>
      </c>
      <c r="E419" s="215">
        <v>0</v>
      </c>
      <c r="F419" s="215">
        <v>867240381.83000004</v>
      </c>
      <c r="G419" s="215">
        <v>0</v>
      </c>
      <c r="H419" s="329">
        <f t="shared" si="6"/>
        <v>8380000</v>
      </c>
    </row>
    <row r="420" spans="1:8" x14ac:dyDescent="0.45">
      <c r="A420" s="215" t="s">
        <v>2239</v>
      </c>
      <c r="B420" s="215" t="s">
        <v>70</v>
      </c>
      <c r="C420" s="215" t="s">
        <v>2061</v>
      </c>
      <c r="D420" s="215">
        <v>838000</v>
      </c>
      <c r="E420" s="215">
        <v>0</v>
      </c>
      <c r="F420" s="215">
        <v>868078381.83000004</v>
      </c>
      <c r="G420" s="215">
        <v>0</v>
      </c>
      <c r="H420" s="329">
        <f t="shared" si="6"/>
        <v>838000</v>
      </c>
    </row>
    <row r="421" spans="1:8" x14ac:dyDescent="0.45">
      <c r="A421" s="215" t="s">
        <v>2239</v>
      </c>
      <c r="B421" s="215" t="s">
        <v>2059</v>
      </c>
      <c r="C421" s="215" t="s">
        <v>2060</v>
      </c>
      <c r="D421" s="215">
        <v>8920000</v>
      </c>
      <c r="E421" s="215">
        <v>0</v>
      </c>
      <c r="F421" s="215">
        <v>876998381.83000004</v>
      </c>
      <c r="G421" s="215">
        <v>0</v>
      </c>
      <c r="H421" s="329">
        <f t="shared" si="6"/>
        <v>8920000</v>
      </c>
    </row>
    <row r="422" spans="1:8" x14ac:dyDescent="0.45">
      <c r="A422" s="215" t="s">
        <v>2239</v>
      </c>
      <c r="B422" s="215" t="s">
        <v>70</v>
      </c>
      <c r="C422" s="215" t="s">
        <v>2061</v>
      </c>
      <c r="D422" s="215">
        <v>892000</v>
      </c>
      <c r="E422" s="215">
        <v>0</v>
      </c>
      <c r="F422" s="215">
        <v>877890381.83000004</v>
      </c>
      <c r="G422" s="215">
        <v>0</v>
      </c>
      <c r="H422" s="329">
        <f t="shared" si="6"/>
        <v>892000</v>
      </c>
    </row>
    <row r="423" spans="1:8" x14ac:dyDescent="0.45">
      <c r="A423" s="215" t="s">
        <v>2240</v>
      </c>
      <c r="B423" s="215" t="s">
        <v>2059</v>
      </c>
      <c r="C423" s="215" t="s">
        <v>2060</v>
      </c>
      <c r="D423" s="215">
        <v>9027000</v>
      </c>
      <c r="E423" s="215">
        <v>0</v>
      </c>
      <c r="F423" s="215">
        <v>886917381.83000004</v>
      </c>
      <c r="G423" s="215">
        <v>0</v>
      </c>
      <c r="H423" s="329">
        <f t="shared" si="6"/>
        <v>9027000</v>
      </c>
    </row>
    <row r="424" spans="1:8" x14ac:dyDescent="0.45">
      <c r="A424" s="215" t="s">
        <v>2240</v>
      </c>
      <c r="B424" s="215" t="s">
        <v>70</v>
      </c>
      <c r="C424" s="215" t="s">
        <v>2061</v>
      </c>
      <c r="D424" s="215">
        <v>902700</v>
      </c>
      <c r="E424" s="215">
        <v>0</v>
      </c>
      <c r="F424" s="215">
        <v>887820081.83000004</v>
      </c>
      <c r="G424" s="215">
        <v>0</v>
      </c>
      <c r="H424" s="329">
        <f t="shared" si="6"/>
        <v>902700</v>
      </c>
    </row>
    <row r="425" spans="1:8" x14ac:dyDescent="0.45">
      <c r="A425" s="215" t="s">
        <v>2240</v>
      </c>
      <c r="B425" s="215" t="s">
        <v>2059</v>
      </c>
      <c r="C425" s="215" t="s">
        <v>2060</v>
      </c>
      <c r="D425" s="215">
        <v>9995000</v>
      </c>
      <c r="E425" s="215">
        <v>0</v>
      </c>
      <c r="F425" s="215">
        <v>897815081.83000004</v>
      </c>
      <c r="G425" s="215">
        <v>0</v>
      </c>
      <c r="H425" s="329">
        <f t="shared" si="6"/>
        <v>9995000</v>
      </c>
    </row>
    <row r="426" spans="1:8" x14ac:dyDescent="0.45">
      <c r="A426" s="215" t="s">
        <v>2240</v>
      </c>
      <c r="B426" s="215" t="s">
        <v>70</v>
      </c>
      <c r="C426" s="215" t="s">
        <v>2061</v>
      </c>
      <c r="D426" s="215">
        <v>999500</v>
      </c>
      <c r="E426" s="215">
        <v>0</v>
      </c>
      <c r="F426" s="215">
        <v>898814581.83000004</v>
      </c>
      <c r="G426" s="215">
        <v>0</v>
      </c>
      <c r="H426" s="329">
        <f t="shared" si="6"/>
        <v>999500</v>
      </c>
    </row>
    <row r="427" spans="1:8" x14ac:dyDescent="0.45">
      <c r="A427" s="215" t="s">
        <v>2241</v>
      </c>
      <c r="B427" s="215" t="s">
        <v>2076</v>
      </c>
      <c r="C427" s="215" t="s">
        <v>2065</v>
      </c>
      <c r="D427" s="215">
        <v>0</v>
      </c>
      <c r="E427" s="215">
        <v>478909</v>
      </c>
      <c r="F427" s="215">
        <v>898335672.83000004</v>
      </c>
      <c r="G427" s="215">
        <v>0</v>
      </c>
      <c r="H427" s="329">
        <f t="shared" si="6"/>
        <v>-478909</v>
      </c>
    </row>
    <row r="428" spans="1:8" x14ac:dyDescent="0.45">
      <c r="A428" s="215" t="s">
        <v>2241</v>
      </c>
      <c r="B428" s="215" t="s">
        <v>2066</v>
      </c>
      <c r="C428" s="215" t="s">
        <v>2067</v>
      </c>
      <c r="D428" s="215">
        <v>0</v>
      </c>
      <c r="E428" s="215">
        <v>47891</v>
      </c>
      <c r="F428" s="215">
        <v>898287781.83000004</v>
      </c>
      <c r="G428" s="215">
        <v>0</v>
      </c>
      <c r="H428" s="329">
        <f t="shared" si="6"/>
        <v>-47891</v>
      </c>
    </row>
    <row r="429" spans="1:8" x14ac:dyDescent="0.45">
      <c r="A429" s="215" t="s">
        <v>2242</v>
      </c>
      <c r="B429" s="215" t="s">
        <v>2059</v>
      </c>
      <c r="C429" s="215" t="s">
        <v>2060</v>
      </c>
      <c r="D429" s="215">
        <v>3820000</v>
      </c>
      <c r="E429" s="215">
        <v>0</v>
      </c>
      <c r="F429" s="215">
        <v>902107781.83000004</v>
      </c>
      <c r="G429" s="215">
        <v>0</v>
      </c>
      <c r="H429" s="329">
        <f t="shared" si="6"/>
        <v>3820000</v>
      </c>
    </row>
    <row r="430" spans="1:8" x14ac:dyDescent="0.45">
      <c r="A430" s="215" t="s">
        <v>2242</v>
      </c>
      <c r="B430" s="215" t="s">
        <v>70</v>
      </c>
      <c r="C430" s="215" t="s">
        <v>2061</v>
      </c>
      <c r="D430" s="215">
        <v>382000</v>
      </c>
      <c r="E430" s="215">
        <v>0</v>
      </c>
      <c r="F430" s="215">
        <v>902489781.83000004</v>
      </c>
      <c r="G430" s="215">
        <v>0</v>
      </c>
      <c r="H430" s="329">
        <f t="shared" si="6"/>
        <v>382000</v>
      </c>
    </row>
    <row r="431" spans="1:8" x14ac:dyDescent="0.45">
      <c r="A431" s="215" t="s">
        <v>2242</v>
      </c>
      <c r="B431" s="215" t="s">
        <v>2064</v>
      </c>
      <c r="C431" s="215" t="s">
        <v>2065</v>
      </c>
      <c r="D431" s="215">
        <v>0</v>
      </c>
      <c r="E431" s="215">
        <v>3312000</v>
      </c>
      <c r="F431" s="215">
        <v>899177781.83000004</v>
      </c>
      <c r="G431" s="215">
        <v>0</v>
      </c>
      <c r="H431" s="329">
        <f t="shared" si="6"/>
        <v>-3312000</v>
      </c>
    </row>
    <row r="432" spans="1:8" x14ac:dyDescent="0.45">
      <c r="A432" s="215" t="s">
        <v>2242</v>
      </c>
      <c r="B432" s="215" t="s">
        <v>2066</v>
      </c>
      <c r="C432" s="215" t="s">
        <v>2067</v>
      </c>
      <c r="D432" s="215">
        <v>0</v>
      </c>
      <c r="E432" s="215">
        <v>331200</v>
      </c>
      <c r="F432" s="215">
        <v>898846581.83000004</v>
      </c>
      <c r="G432" s="215">
        <v>0</v>
      </c>
      <c r="H432" s="329">
        <f t="shared" si="6"/>
        <v>-331200</v>
      </c>
    </row>
    <row r="433" spans="1:8" x14ac:dyDescent="0.45">
      <c r="A433" s="215" t="s">
        <v>2243</v>
      </c>
      <c r="B433" s="215" t="s">
        <v>2059</v>
      </c>
      <c r="C433" s="215" t="s">
        <v>2060</v>
      </c>
      <c r="D433" s="215">
        <v>11880000</v>
      </c>
      <c r="E433" s="215">
        <v>0</v>
      </c>
      <c r="F433" s="215">
        <v>910726581.83000004</v>
      </c>
      <c r="G433" s="215">
        <v>0</v>
      </c>
      <c r="H433" s="329">
        <f t="shared" si="6"/>
        <v>11880000</v>
      </c>
    </row>
    <row r="434" spans="1:8" x14ac:dyDescent="0.45">
      <c r="A434" s="215" t="s">
        <v>2243</v>
      </c>
      <c r="B434" s="215" t="s">
        <v>70</v>
      </c>
      <c r="C434" s="215" t="s">
        <v>2061</v>
      </c>
      <c r="D434" s="215">
        <v>1188000</v>
      </c>
      <c r="E434" s="215">
        <v>0</v>
      </c>
      <c r="F434" s="215">
        <v>911914581.83000004</v>
      </c>
      <c r="G434" s="215">
        <v>0</v>
      </c>
      <c r="H434" s="329">
        <f t="shared" si="6"/>
        <v>1188000</v>
      </c>
    </row>
    <row r="435" spans="1:8" x14ac:dyDescent="0.45">
      <c r="A435" s="215" t="s">
        <v>2243</v>
      </c>
      <c r="B435" s="215" t="s">
        <v>2059</v>
      </c>
      <c r="C435" s="215" t="s">
        <v>2060</v>
      </c>
      <c r="D435" s="215">
        <v>10212000</v>
      </c>
      <c r="E435" s="215">
        <v>0</v>
      </c>
      <c r="F435" s="215">
        <v>922126581.83000004</v>
      </c>
      <c r="G435" s="215">
        <v>0</v>
      </c>
      <c r="H435" s="329">
        <f t="shared" si="6"/>
        <v>10212000</v>
      </c>
    </row>
    <row r="436" spans="1:8" x14ac:dyDescent="0.45">
      <c r="A436" s="215" t="s">
        <v>2243</v>
      </c>
      <c r="B436" s="215" t="s">
        <v>70</v>
      </c>
      <c r="C436" s="215" t="s">
        <v>2061</v>
      </c>
      <c r="D436" s="215">
        <v>1021200</v>
      </c>
      <c r="E436" s="215">
        <v>0</v>
      </c>
      <c r="F436" s="215">
        <v>923147781.83000004</v>
      </c>
      <c r="G436" s="215">
        <v>0</v>
      </c>
      <c r="H436" s="329">
        <f t="shared" si="6"/>
        <v>1021200</v>
      </c>
    </row>
    <row r="437" spans="1:8" x14ac:dyDescent="0.45">
      <c r="A437" s="215" t="s">
        <v>2243</v>
      </c>
      <c r="B437" s="215" t="s">
        <v>2059</v>
      </c>
      <c r="C437" s="215" t="s">
        <v>2060</v>
      </c>
      <c r="D437" s="215">
        <v>3390000</v>
      </c>
      <c r="E437" s="215">
        <v>0</v>
      </c>
      <c r="F437" s="215">
        <v>926537781.83000004</v>
      </c>
      <c r="G437" s="215">
        <v>0</v>
      </c>
      <c r="H437" s="329">
        <f t="shared" si="6"/>
        <v>3390000</v>
      </c>
    </row>
    <row r="438" spans="1:8" x14ac:dyDescent="0.45">
      <c r="A438" s="215" t="s">
        <v>2243</v>
      </c>
      <c r="B438" s="215" t="s">
        <v>70</v>
      </c>
      <c r="C438" s="215" t="s">
        <v>2061</v>
      </c>
      <c r="D438" s="215">
        <v>339000</v>
      </c>
      <c r="E438" s="215">
        <v>0</v>
      </c>
      <c r="F438" s="215">
        <v>926876781.83000004</v>
      </c>
      <c r="G438" s="215">
        <v>0</v>
      </c>
      <c r="H438" s="329">
        <f t="shared" si="6"/>
        <v>339000</v>
      </c>
    </row>
    <row r="439" spans="1:8" x14ac:dyDescent="0.45">
      <c r="A439" s="215" t="s">
        <v>2238</v>
      </c>
      <c r="B439" s="215" t="s">
        <v>2066</v>
      </c>
      <c r="C439" s="215" t="s">
        <v>2067</v>
      </c>
      <c r="D439" s="215">
        <v>0</v>
      </c>
      <c r="E439" s="215">
        <v>640000</v>
      </c>
      <c r="F439" s="215">
        <v>926236781.83000004</v>
      </c>
      <c r="G439" s="215">
        <v>0</v>
      </c>
      <c r="H439" s="329">
        <f t="shared" si="6"/>
        <v>-640000</v>
      </c>
    </row>
    <row r="440" spans="1:8" x14ac:dyDescent="0.45">
      <c r="A440" s="215" t="s">
        <v>2244</v>
      </c>
      <c r="B440" s="215" t="s">
        <v>2059</v>
      </c>
      <c r="C440" s="215" t="s">
        <v>2060</v>
      </c>
      <c r="D440" s="215">
        <v>9108000</v>
      </c>
      <c r="E440" s="215">
        <v>0</v>
      </c>
      <c r="F440" s="215">
        <v>935344781.83000004</v>
      </c>
      <c r="G440" s="215">
        <v>0</v>
      </c>
      <c r="H440" s="329">
        <f t="shared" si="6"/>
        <v>9108000</v>
      </c>
    </row>
    <row r="441" spans="1:8" x14ac:dyDescent="0.45">
      <c r="A441" s="215" t="s">
        <v>2244</v>
      </c>
      <c r="B441" s="215" t="s">
        <v>70</v>
      </c>
      <c r="C441" s="215" t="s">
        <v>2061</v>
      </c>
      <c r="D441" s="215">
        <v>910800</v>
      </c>
      <c r="E441" s="215">
        <v>0</v>
      </c>
      <c r="F441" s="215">
        <v>936255581.83000004</v>
      </c>
      <c r="G441" s="215">
        <v>0</v>
      </c>
      <c r="H441" s="329">
        <f t="shared" si="6"/>
        <v>910800</v>
      </c>
    </row>
    <row r="442" spans="1:8" x14ac:dyDescent="0.45">
      <c r="A442" s="215" t="s">
        <v>2245</v>
      </c>
      <c r="B442" s="215" t="s">
        <v>2059</v>
      </c>
      <c r="C442" s="215" t="s">
        <v>2060</v>
      </c>
      <c r="D442" s="215">
        <v>10676000</v>
      </c>
      <c r="E442" s="215">
        <v>0</v>
      </c>
      <c r="F442" s="215">
        <v>946931581.83000004</v>
      </c>
      <c r="G442" s="215">
        <v>0</v>
      </c>
      <c r="H442" s="329">
        <f t="shared" si="6"/>
        <v>10676000</v>
      </c>
    </row>
    <row r="443" spans="1:8" x14ac:dyDescent="0.45">
      <c r="A443" s="215" t="s">
        <v>2245</v>
      </c>
      <c r="B443" s="215" t="s">
        <v>70</v>
      </c>
      <c r="C443" s="215" t="s">
        <v>2061</v>
      </c>
      <c r="D443" s="215">
        <v>1067600</v>
      </c>
      <c r="E443" s="215">
        <v>0</v>
      </c>
      <c r="F443" s="215">
        <v>947999181.83000004</v>
      </c>
      <c r="G443" s="215">
        <v>0</v>
      </c>
      <c r="H443" s="329">
        <f t="shared" si="6"/>
        <v>1067600</v>
      </c>
    </row>
    <row r="444" spans="1:8" x14ac:dyDescent="0.45">
      <c r="A444" s="215" t="s">
        <v>2226</v>
      </c>
      <c r="B444" s="215" t="s">
        <v>2066</v>
      </c>
      <c r="C444" s="215" t="s">
        <v>2067</v>
      </c>
      <c r="D444" s="215">
        <v>0</v>
      </c>
      <c r="E444" s="215">
        <v>40000</v>
      </c>
      <c r="F444" s="215">
        <v>947959181.83000004</v>
      </c>
      <c r="G444" s="215">
        <v>0</v>
      </c>
      <c r="H444" s="329">
        <f t="shared" si="6"/>
        <v>-40000</v>
      </c>
    </row>
    <row r="445" spans="1:8" x14ac:dyDescent="0.45">
      <c r="A445" s="215" t="s">
        <v>2246</v>
      </c>
      <c r="B445" s="215" t="s">
        <v>2090</v>
      </c>
      <c r="C445" s="215" t="s">
        <v>2091</v>
      </c>
      <c r="D445" s="215">
        <v>0</v>
      </c>
      <c r="E445" s="215">
        <v>33415459</v>
      </c>
      <c r="F445" s="215">
        <v>914543722.83000004</v>
      </c>
      <c r="G445" s="215">
        <v>0</v>
      </c>
      <c r="H445" s="329">
        <f t="shared" si="6"/>
        <v>-33415459</v>
      </c>
    </row>
    <row r="446" spans="1:8" x14ac:dyDescent="0.45">
      <c r="A446" s="215" t="s">
        <v>2246</v>
      </c>
      <c r="B446" s="215" t="s">
        <v>2247</v>
      </c>
      <c r="C446" s="215" t="s">
        <v>2065</v>
      </c>
      <c r="D446" s="215">
        <v>0</v>
      </c>
      <c r="E446" s="215">
        <v>4820000</v>
      </c>
      <c r="F446" s="215">
        <v>909723722.83000004</v>
      </c>
      <c r="G446" s="215">
        <v>0</v>
      </c>
      <c r="H446" s="329">
        <f t="shared" si="6"/>
        <v>-4820000</v>
      </c>
    </row>
    <row r="447" spans="1:8" x14ac:dyDescent="0.45">
      <c r="A447" s="215" t="s">
        <v>2246</v>
      </c>
      <c r="B447" s="215" t="s">
        <v>2248</v>
      </c>
      <c r="C447" s="215" t="s">
        <v>2065</v>
      </c>
      <c r="D447" s="215">
        <v>0</v>
      </c>
      <c r="E447" s="215">
        <v>2100000</v>
      </c>
      <c r="F447" s="215">
        <v>907623722.83000004</v>
      </c>
      <c r="G447" s="215">
        <v>0</v>
      </c>
      <c r="H447" s="329">
        <f t="shared" si="6"/>
        <v>-2100000</v>
      </c>
    </row>
    <row r="448" spans="1:8" x14ac:dyDescent="0.45">
      <c r="A448" s="215" t="s">
        <v>2246</v>
      </c>
      <c r="B448" s="215" t="s">
        <v>2249</v>
      </c>
      <c r="C448" s="215" t="s">
        <v>2065</v>
      </c>
      <c r="D448" s="215">
        <v>0</v>
      </c>
      <c r="E448" s="215">
        <v>3595000</v>
      </c>
      <c r="F448" s="215">
        <v>904028722.83000004</v>
      </c>
      <c r="G448" s="215">
        <v>0</v>
      </c>
      <c r="H448" s="329">
        <f t="shared" si="6"/>
        <v>-3595000</v>
      </c>
    </row>
    <row r="449" spans="1:8" x14ac:dyDescent="0.45">
      <c r="A449" s="215" t="s">
        <v>2246</v>
      </c>
      <c r="B449" s="215" t="s">
        <v>2071</v>
      </c>
      <c r="C449" s="215" t="s">
        <v>2072</v>
      </c>
      <c r="D449" s="215">
        <v>0</v>
      </c>
      <c r="E449" s="215">
        <v>5000000</v>
      </c>
      <c r="F449" s="215">
        <v>899028722.83000004</v>
      </c>
      <c r="G449" s="215">
        <v>0</v>
      </c>
      <c r="H449" s="329">
        <f t="shared" si="6"/>
        <v>-5000000</v>
      </c>
    </row>
    <row r="450" spans="1:8" x14ac:dyDescent="0.45">
      <c r="A450" s="215" t="s">
        <v>2188</v>
      </c>
      <c r="B450" s="215" t="s">
        <v>2066</v>
      </c>
      <c r="C450" s="215" t="s">
        <v>2067</v>
      </c>
      <c r="D450" s="215">
        <v>0</v>
      </c>
      <c r="E450" s="215">
        <v>196364</v>
      </c>
      <c r="F450" s="215">
        <v>898832358.83000004</v>
      </c>
      <c r="G450" s="215">
        <v>0</v>
      </c>
      <c r="H450" s="329">
        <f t="shared" si="6"/>
        <v>-196364</v>
      </c>
    </row>
    <row r="451" spans="1:8" x14ac:dyDescent="0.45">
      <c r="A451" s="215" t="s">
        <v>2250</v>
      </c>
      <c r="B451" s="215" t="s">
        <v>2059</v>
      </c>
      <c r="C451" s="215" t="s">
        <v>2060</v>
      </c>
      <c r="D451" s="215">
        <v>3355000</v>
      </c>
      <c r="E451" s="215">
        <v>0</v>
      </c>
      <c r="F451" s="215">
        <v>902187358.83000004</v>
      </c>
      <c r="G451" s="215">
        <v>0</v>
      </c>
      <c r="H451" s="329">
        <f t="shared" si="6"/>
        <v>3355000</v>
      </c>
    </row>
    <row r="452" spans="1:8" x14ac:dyDescent="0.45">
      <c r="A452" s="215" t="s">
        <v>2250</v>
      </c>
      <c r="B452" s="215" t="s">
        <v>70</v>
      </c>
      <c r="C452" s="215" t="s">
        <v>2061</v>
      </c>
      <c r="D452" s="215">
        <v>335500</v>
      </c>
      <c r="E452" s="215">
        <v>0</v>
      </c>
      <c r="F452" s="215">
        <v>902522858.83000004</v>
      </c>
      <c r="G452" s="215">
        <v>0</v>
      </c>
      <c r="H452" s="329">
        <f t="shared" si="6"/>
        <v>335500</v>
      </c>
    </row>
    <row r="453" spans="1:8" x14ac:dyDescent="0.45">
      <c r="A453" s="215" t="s">
        <v>2250</v>
      </c>
      <c r="B453" s="215" t="s">
        <v>2055</v>
      </c>
      <c r="C453" s="215" t="s">
        <v>2056</v>
      </c>
      <c r="D453" s="215">
        <v>0</v>
      </c>
      <c r="E453" s="215">
        <v>19008000</v>
      </c>
      <c r="F453" s="215">
        <v>883514858.83000004</v>
      </c>
      <c r="G453" s="215">
        <v>0</v>
      </c>
      <c r="H453" s="329">
        <f t="shared" si="6"/>
        <v>-19008000</v>
      </c>
    </row>
    <row r="454" spans="1:8" x14ac:dyDescent="0.45">
      <c r="A454" s="215" t="s">
        <v>2250</v>
      </c>
      <c r="B454" s="215" t="s">
        <v>2066</v>
      </c>
      <c r="C454" s="215" t="s">
        <v>2067</v>
      </c>
      <c r="D454" s="215">
        <v>0</v>
      </c>
      <c r="E454" s="215">
        <v>950400</v>
      </c>
      <c r="F454" s="215">
        <v>882564458.83000004</v>
      </c>
      <c r="G454" s="215">
        <v>0</v>
      </c>
      <c r="H454" s="329">
        <f t="shared" ref="H454:H517" si="7">IF(D454&gt;0,D454,-E454)</f>
        <v>-950400</v>
      </c>
    </row>
    <row r="455" spans="1:8" x14ac:dyDescent="0.45">
      <c r="A455" s="215" t="s">
        <v>2250</v>
      </c>
      <c r="B455" s="215" t="s">
        <v>2055</v>
      </c>
      <c r="C455" s="215" t="s">
        <v>2056</v>
      </c>
      <c r="D455" s="215">
        <v>0</v>
      </c>
      <c r="E455" s="215">
        <v>340000</v>
      </c>
      <c r="F455" s="215">
        <v>882224458.83000004</v>
      </c>
      <c r="G455" s="215">
        <v>0</v>
      </c>
      <c r="H455" s="329">
        <f t="shared" si="7"/>
        <v>-340000</v>
      </c>
    </row>
    <row r="456" spans="1:8" x14ac:dyDescent="0.45">
      <c r="A456" s="215" t="s">
        <v>2251</v>
      </c>
      <c r="B456" s="215" t="s">
        <v>2059</v>
      </c>
      <c r="C456" s="215" t="s">
        <v>2060</v>
      </c>
      <c r="D456" s="215">
        <v>10445000</v>
      </c>
      <c r="E456" s="215">
        <v>0</v>
      </c>
      <c r="F456" s="215">
        <v>892669458.83000004</v>
      </c>
      <c r="G456" s="215">
        <v>0</v>
      </c>
      <c r="H456" s="329">
        <f t="shared" si="7"/>
        <v>10445000</v>
      </c>
    </row>
    <row r="457" spans="1:8" x14ac:dyDescent="0.45">
      <c r="A457" s="215" t="s">
        <v>2251</v>
      </c>
      <c r="B457" s="215" t="s">
        <v>70</v>
      </c>
      <c r="C457" s="215" t="s">
        <v>2061</v>
      </c>
      <c r="D457" s="215">
        <v>1044500</v>
      </c>
      <c r="E457" s="215">
        <v>0</v>
      </c>
      <c r="F457" s="215">
        <v>893713958.83000004</v>
      </c>
      <c r="G457" s="215">
        <v>0</v>
      </c>
      <c r="H457" s="329">
        <f t="shared" si="7"/>
        <v>1044500</v>
      </c>
    </row>
    <row r="458" spans="1:8" x14ac:dyDescent="0.45">
      <c r="A458" s="215" t="s">
        <v>2252</v>
      </c>
      <c r="B458" s="215" t="s">
        <v>2059</v>
      </c>
      <c r="C458" s="215" t="s">
        <v>2060</v>
      </c>
      <c r="D458" s="215">
        <v>9630000</v>
      </c>
      <c r="E458" s="215">
        <v>0</v>
      </c>
      <c r="F458" s="215">
        <v>903343958.83000004</v>
      </c>
      <c r="G458" s="215">
        <v>0</v>
      </c>
      <c r="H458" s="329">
        <f t="shared" si="7"/>
        <v>9630000</v>
      </c>
    </row>
    <row r="459" spans="1:8" x14ac:dyDescent="0.45">
      <c r="A459" s="215" t="s">
        <v>2252</v>
      </c>
      <c r="B459" s="215" t="s">
        <v>70</v>
      </c>
      <c r="C459" s="215" t="s">
        <v>2061</v>
      </c>
      <c r="D459" s="215">
        <v>963000</v>
      </c>
      <c r="E459" s="215">
        <v>0</v>
      </c>
      <c r="F459" s="215">
        <v>904306958.83000004</v>
      </c>
      <c r="G459" s="215">
        <v>0</v>
      </c>
      <c r="H459" s="329">
        <f t="shared" si="7"/>
        <v>963000</v>
      </c>
    </row>
    <row r="460" spans="1:8" x14ac:dyDescent="0.45">
      <c r="A460" s="215" t="s">
        <v>2253</v>
      </c>
      <c r="B460" s="215" t="s">
        <v>2059</v>
      </c>
      <c r="C460" s="215" t="s">
        <v>2060</v>
      </c>
      <c r="D460" s="215">
        <v>5200000</v>
      </c>
      <c r="E460" s="215">
        <v>0</v>
      </c>
      <c r="F460" s="215">
        <v>909506958.83000004</v>
      </c>
      <c r="G460" s="215">
        <v>0</v>
      </c>
      <c r="H460" s="329">
        <f t="shared" si="7"/>
        <v>5200000</v>
      </c>
    </row>
    <row r="461" spans="1:8" x14ac:dyDescent="0.45">
      <c r="A461" s="215" t="s">
        <v>2253</v>
      </c>
      <c r="B461" s="215" t="s">
        <v>70</v>
      </c>
      <c r="C461" s="215" t="s">
        <v>2061</v>
      </c>
      <c r="D461" s="215">
        <v>520000</v>
      </c>
      <c r="E461" s="215">
        <v>0</v>
      </c>
      <c r="F461" s="215">
        <v>910026958.83000004</v>
      </c>
      <c r="G461" s="215">
        <v>0</v>
      </c>
      <c r="H461" s="329">
        <f t="shared" si="7"/>
        <v>520000</v>
      </c>
    </row>
    <row r="462" spans="1:8" x14ac:dyDescent="0.45">
      <c r="A462" s="215" t="s">
        <v>2254</v>
      </c>
      <c r="B462" s="215" t="s">
        <v>2064</v>
      </c>
      <c r="C462" s="215" t="s">
        <v>2065</v>
      </c>
      <c r="D462" s="215">
        <v>0</v>
      </c>
      <c r="E462" s="215">
        <v>2246400</v>
      </c>
      <c r="F462" s="215">
        <v>907780558.83000004</v>
      </c>
      <c r="G462" s="215">
        <v>0</v>
      </c>
      <c r="H462" s="329">
        <f t="shared" si="7"/>
        <v>-2246400</v>
      </c>
    </row>
    <row r="463" spans="1:8" x14ac:dyDescent="0.45">
      <c r="A463" s="215" t="s">
        <v>2254</v>
      </c>
      <c r="B463" s="215" t="s">
        <v>2066</v>
      </c>
      <c r="C463" s="215" t="s">
        <v>2067</v>
      </c>
      <c r="D463" s="215">
        <v>0</v>
      </c>
      <c r="E463" s="215">
        <v>224640</v>
      </c>
      <c r="F463" s="215">
        <v>907555918.83000004</v>
      </c>
      <c r="G463" s="215">
        <v>0</v>
      </c>
      <c r="H463" s="329">
        <f t="shared" si="7"/>
        <v>-224640</v>
      </c>
    </row>
    <row r="464" spans="1:8" x14ac:dyDescent="0.45">
      <c r="A464" s="215" t="s">
        <v>2254</v>
      </c>
      <c r="B464" s="215" t="s">
        <v>2055</v>
      </c>
      <c r="C464" s="215" t="s">
        <v>2056</v>
      </c>
      <c r="D464" s="215">
        <v>0</v>
      </c>
      <c r="E464" s="215">
        <v>18560000</v>
      </c>
      <c r="F464" s="215">
        <v>888995918.83000004</v>
      </c>
      <c r="G464" s="215">
        <v>0</v>
      </c>
      <c r="H464" s="329">
        <f t="shared" si="7"/>
        <v>-18560000</v>
      </c>
    </row>
    <row r="465" spans="1:8" x14ac:dyDescent="0.45">
      <c r="A465" s="215" t="s">
        <v>2254</v>
      </c>
      <c r="B465" s="215" t="s">
        <v>2066</v>
      </c>
      <c r="C465" s="215" t="s">
        <v>2067</v>
      </c>
      <c r="D465" s="215">
        <v>0</v>
      </c>
      <c r="E465" s="215">
        <v>928000</v>
      </c>
      <c r="F465" s="215">
        <v>888067918.83000004</v>
      </c>
      <c r="G465" s="215">
        <v>0</v>
      </c>
      <c r="H465" s="329">
        <f t="shared" si="7"/>
        <v>-928000</v>
      </c>
    </row>
    <row r="466" spans="1:8" x14ac:dyDescent="0.45">
      <c r="A466" s="215" t="s">
        <v>2255</v>
      </c>
      <c r="B466" s="215" t="s">
        <v>2055</v>
      </c>
      <c r="C466" s="215" t="s">
        <v>2056</v>
      </c>
      <c r="D466" s="215">
        <v>0</v>
      </c>
      <c r="E466" s="215">
        <v>18944000</v>
      </c>
      <c r="F466" s="215">
        <v>869123918.83000004</v>
      </c>
      <c r="G466" s="215">
        <v>0</v>
      </c>
      <c r="H466" s="329">
        <f t="shared" si="7"/>
        <v>-18944000</v>
      </c>
    </row>
    <row r="467" spans="1:8" x14ac:dyDescent="0.45">
      <c r="A467" s="215" t="s">
        <v>2255</v>
      </c>
      <c r="B467" s="215" t="s">
        <v>2066</v>
      </c>
      <c r="C467" s="215" t="s">
        <v>2067</v>
      </c>
      <c r="D467" s="215">
        <v>0</v>
      </c>
      <c r="E467" s="215">
        <v>947200</v>
      </c>
      <c r="F467" s="215">
        <v>868176718.83000004</v>
      </c>
      <c r="G467" s="215">
        <v>0</v>
      </c>
      <c r="H467" s="329">
        <f t="shared" si="7"/>
        <v>-947200</v>
      </c>
    </row>
    <row r="468" spans="1:8" x14ac:dyDescent="0.45">
      <c r="A468" s="215" t="s">
        <v>2256</v>
      </c>
      <c r="B468" s="215" t="s">
        <v>2059</v>
      </c>
      <c r="C468" s="215" t="s">
        <v>2060</v>
      </c>
      <c r="D468" s="215">
        <v>13670000</v>
      </c>
      <c r="E468" s="215">
        <v>0</v>
      </c>
      <c r="F468" s="215">
        <v>881846718.83000004</v>
      </c>
      <c r="G468" s="215">
        <v>0</v>
      </c>
      <c r="H468" s="329">
        <f t="shared" si="7"/>
        <v>13670000</v>
      </c>
    </row>
    <row r="469" spans="1:8" x14ac:dyDescent="0.45">
      <c r="A469" s="215" t="s">
        <v>2256</v>
      </c>
      <c r="B469" s="215" t="s">
        <v>70</v>
      </c>
      <c r="C469" s="215" t="s">
        <v>2061</v>
      </c>
      <c r="D469" s="215">
        <v>1367000</v>
      </c>
      <c r="E469" s="215">
        <v>0</v>
      </c>
      <c r="F469" s="215">
        <v>883213718.83000004</v>
      </c>
      <c r="G469" s="215">
        <v>0</v>
      </c>
      <c r="H469" s="329">
        <f t="shared" si="7"/>
        <v>1367000</v>
      </c>
    </row>
    <row r="470" spans="1:8" x14ac:dyDescent="0.45">
      <c r="A470" s="215" t="s">
        <v>2257</v>
      </c>
      <c r="B470" s="215" t="s">
        <v>2059</v>
      </c>
      <c r="C470" s="215" t="s">
        <v>2060</v>
      </c>
      <c r="D470" s="215">
        <v>12600000</v>
      </c>
      <c r="E470" s="215">
        <v>0</v>
      </c>
      <c r="F470" s="215">
        <v>895813718.83000004</v>
      </c>
      <c r="G470" s="215">
        <v>0</v>
      </c>
      <c r="H470" s="329">
        <f t="shared" si="7"/>
        <v>12600000</v>
      </c>
    </row>
    <row r="471" spans="1:8" x14ac:dyDescent="0.45">
      <c r="A471" s="215" t="s">
        <v>2257</v>
      </c>
      <c r="B471" s="215" t="s">
        <v>70</v>
      </c>
      <c r="C471" s="215" t="s">
        <v>2061</v>
      </c>
      <c r="D471" s="215">
        <v>1260000</v>
      </c>
      <c r="E471" s="215">
        <v>0</v>
      </c>
      <c r="F471" s="215">
        <v>897073718.83000004</v>
      </c>
      <c r="G471" s="215">
        <v>0</v>
      </c>
      <c r="H471" s="329">
        <f t="shared" si="7"/>
        <v>1260000</v>
      </c>
    </row>
    <row r="472" spans="1:8" x14ac:dyDescent="0.45">
      <c r="A472" s="215" t="s">
        <v>2257</v>
      </c>
      <c r="B472" s="215" t="s">
        <v>2076</v>
      </c>
      <c r="C472" s="215" t="s">
        <v>2065</v>
      </c>
      <c r="D472" s="215">
        <v>0</v>
      </c>
      <c r="E472" s="215">
        <v>905368</v>
      </c>
      <c r="F472" s="215">
        <v>896168350.83000004</v>
      </c>
      <c r="G472" s="215">
        <v>0</v>
      </c>
      <c r="H472" s="329">
        <f t="shared" si="7"/>
        <v>-905368</v>
      </c>
    </row>
    <row r="473" spans="1:8" x14ac:dyDescent="0.45">
      <c r="A473" s="215" t="s">
        <v>2257</v>
      </c>
      <c r="B473" s="215" t="s">
        <v>2066</v>
      </c>
      <c r="C473" s="215" t="s">
        <v>2067</v>
      </c>
      <c r="D473" s="215">
        <v>0</v>
      </c>
      <c r="E473" s="215">
        <v>61950</v>
      </c>
      <c r="F473" s="215">
        <v>896106400.83000004</v>
      </c>
      <c r="G473" s="215">
        <v>0</v>
      </c>
      <c r="H473" s="329">
        <f t="shared" si="7"/>
        <v>-61950</v>
      </c>
    </row>
    <row r="474" spans="1:8" x14ac:dyDescent="0.45">
      <c r="A474" s="215" t="s">
        <v>2258</v>
      </c>
      <c r="B474" s="215" t="s">
        <v>2059</v>
      </c>
      <c r="C474" s="215" t="s">
        <v>2060</v>
      </c>
      <c r="D474" s="215">
        <v>8000000</v>
      </c>
      <c r="E474" s="215">
        <v>0</v>
      </c>
      <c r="F474" s="215">
        <v>904106400.83000004</v>
      </c>
      <c r="G474" s="215">
        <v>0</v>
      </c>
      <c r="H474" s="329">
        <f t="shared" si="7"/>
        <v>8000000</v>
      </c>
    </row>
    <row r="475" spans="1:8" x14ac:dyDescent="0.45">
      <c r="A475" s="215" t="s">
        <v>2258</v>
      </c>
      <c r="B475" s="215" t="s">
        <v>70</v>
      </c>
      <c r="C475" s="215" t="s">
        <v>2061</v>
      </c>
      <c r="D475" s="215">
        <v>800000</v>
      </c>
      <c r="E475" s="215">
        <v>0</v>
      </c>
      <c r="F475" s="215">
        <v>904906400.83000004</v>
      </c>
      <c r="G475" s="215">
        <v>0</v>
      </c>
      <c r="H475" s="329">
        <f t="shared" si="7"/>
        <v>800000</v>
      </c>
    </row>
    <row r="476" spans="1:8" x14ac:dyDescent="0.45">
      <c r="A476" s="215" t="s">
        <v>2258</v>
      </c>
      <c r="B476" s="215" t="s">
        <v>2064</v>
      </c>
      <c r="C476" s="215" t="s">
        <v>2065</v>
      </c>
      <c r="D476" s="215">
        <v>0</v>
      </c>
      <c r="E476" s="215">
        <v>2592000</v>
      </c>
      <c r="F476" s="215">
        <v>902314400.83000004</v>
      </c>
      <c r="G476" s="215">
        <v>0</v>
      </c>
      <c r="H476" s="329">
        <f t="shared" si="7"/>
        <v>-2592000</v>
      </c>
    </row>
    <row r="477" spans="1:8" x14ac:dyDescent="0.45">
      <c r="A477" s="215" t="s">
        <v>2258</v>
      </c>
      <c r="B477" s="215" t="s">
        <v>2066</v>
      </c>
      <c r="C477" s="215" t="s">
        <v>2067</v>
      </c>
      <c r="D477" s="215">
        <v>0</v>
      </c>
      <c r="E477" s="215">
        <v>259200</v>
      </c>
      <c r="F477" s="215">
        <v>902055200.83000004</v>
      </c>
      <c r="G477" s="215">
        <v>0</v>
      </c>
      <c r="H477" s="329">
        <f t="shared" si="7"/>
        <v>-259200</v>
      </c>
    </row>
    <row r="478" spans="1:8" x14ac:dyDescent="0.45">
      <c r="A478" s="215" t="s">
        <v>2259</v>
      </c>
      <c r="B478" s="215" t="s">
        <v>2059</v>
      </c>
      <c r="C478" s="215" t="s">
        <v>2060</v>
      </c>
      <c r="D478" s="215">
        <v>15090000</v>
      </c>
      <c r="E478" s="215">
        <v>0</v>
      </c>
      <c r="F478" s="215">
        <v>917145200.83000004</v>
      </c>
      <c r="G478" s="215">
        <v>0</v>
      </c>
      <c r="H478" s="329">
        <f t="shared" si="7"/>
        <v>15090000</v>
      </c>
    </row>
    <row r="479" spans="1:8" x14ac:dyDescent="0.45">
      <c r="A479" s="215" t="s">
        <v>2259</v>
      </c>
      <c r="B479" s="215" t="s">
        <v>70</v>
      </c>
      <c r="C479" s="215" t="s">
        <v>2061</v>
      </c>
      <c r="D479" s="215">
        <v>1509000</v>
      </c>
      <c r="E479" s="215">
        <v>0</v>
      </c>
      <c r="F479" s="215">
        <v>918654200.83000004</v>
      </c>
      <c r="G479" s="215">
        <v>0</v>
      </c>
      <c r="H479" s="329">
        <f t="shared" si="7"/>
        <v>1509000</v>
      </c>
    </row>
    <row r="480" spans="1:8" x14ac:dyDescent="0.45">
      <c r="A480" s="215" t="s">
        <v>2259</v>
      </c>
      <c r="B480" s="215" t="s">
        <v>2059</v>
      </c>
      <c r="C480" s="215" t="s">
        <v>2060</v>
      </c>
      <c r="D480" s="215">
        <v>12120000</v>
      </c>
      <c r="E480" s="215">
        <v>0</v>
      </c>
      <c r="F480" s="215">
        <v>930774200.83000004</v>
      </c>
      <c r="G480" s="215">
        <v>0</v>
      </c>
      <c r="H480" s="329">
        <f t="shared" si="7"/>
        <v>12120000</v>
      </c>
    </row>
    <row r="481" spans="1:8" x14ac:dyDescent="0.45">
      <c r="A481" s="215" t="s">
        <v>2259</v>
      </c>
      <c r="B481" s="215" t="s">
        <v>70</v>
      </c>
      <c r="C481" s="215" t="s">
        <v>2061</v>
      </c>
      <c r="D481" s="215">
        <v>1212000</v>
      </c>
      <c r="E481" s="215">
        <v>0</v>
      </c>
      <c r="F481" s="215">
        <v>931986200.83000004</v>
      </c>
      <c r="G481" s="215">
        <v>0</v>
      </c>
      <c r="H481" s="329">
        <f t="shared" si="7"/>
        <v>1212000</v>
      </c>
    </row>
    <row r="482" spans="1:8" x14ac:dyDescent="0.45">
      <c r="A482" s="215" t="s">
        <v>2260</v>
      </c>
      <c r="B482" s="215" t="s">
        <v>2059</v>
      </c>
      <c r="C482" s="215" t="s">
        <v>2060</v>
      </c>
      <c r="D482" s="215">
        <v>8220000</v>
      </c>
      <c r="E482" s="215">
        <v>0</v>
      </c>
      <c r="F482" s="215">
        <v>940206200.83000004</v>
      </c>
      <c r="G482" s="215">
        <v>0</v>
      </c>
      <c r="H482" s="329">
        <f t="shared" si="7"/>
        <v>8220000</v>
      </c>
    </row>
    <row r="483" spans="1:8" x14ac:dyDescent="0.45">
      <c r="A483" s="215" t="s">
        <v>2260</v>
      </c>
      <c r="B483" s="215" t="s">
        <v>70</v>
      </c>
      <c r="C483" s="215" t="s">
        <v>2061</v>
      </c>
      <c r="D483" s="215">
        <v>822000</v>
      </c>
      <c r="E483" s="215">
        <v>0</v>
      </c>
      <c r="F483" s="215">
        <v>941028200.83000004</v>
      </c>
      <c r="G483" s="215">
        <v>0</v>
      </c>
      <c r="H483" s="329">
        <f t="shared" si="7"/>
        <v>822000</v>
      </c>
    </row>
    <row r="484" spans="1:8" x14ac:dyDescent="0.45">
      <c r="A484" s="215" t="s">
        <v>2260</v>
      </c>
      <c r="B484" s="215" t="s">
        <v>2059</v>
      </c>
      <c r="C484" s="215" t="s">
        <v>2060</v>
      </c>
      <c r="D484" s="215">
        <v>1909000</v>
      </c>
      <c r="E484" s="215">
        <v>0</v>
      </c>
      <c r="F484" s="215">
        <v>942937200.83000004</v>
      </c>
      <c r="G484" s="215">
        <v>0</v>
      </c>
      <c r="H484" s="329">
        <f t="shared" si="7"/>
        <v>1909000</v>
      </c>
    </row>
    <row r="485" spans="1:8" x14ac:dyDescent="0.45">
      <c r="A485" s="215" t="s">
        <v>2260</v>
      </c>
      <c r="B485" s="215" t="s">
        <v>70</v>
      </c>
      <c r="C485" s="215" t="s">
        <v>2061</v>
      </c>
      <c r="D485" s="215">
        <v>190900</v>
      </c>
      <c r="E485" s="215">
        <v>0</v>
      </c>
      <c r="F485" s="215">
        <v>943128100.83000004</v>
      </c>
      <c r="G485" s="215">
        <v>0</v>
      </c>
      <c r="H485" s="329">
        <f t="shared" si="7"/>
        <v>190900</v>
      </c>
    </row>
    <row r="486" spans="1:8" x14ac:dyDescent="0.45">
      <c r="A486" s="215" t="s">
        <v>2261</v>
      </c>
      <c r="B486" s="215" t="s">
        <v>2055</v>
      </c>
      <c r="C486" s="215" t="s">
        <v>2056</v>
      </c>
      <c r="D486" s="215">
        <v>0</v>
      </c>
      <c r="E486" s="215">
        <v>3050000</v>
      </c>
      <c r="F486" s="215">
        <v>940078100.83000004</v>
      </c>
      <c r="G486" s="215">
        <v>0</v>
      </c>
      <c r="H486" s="329">
        <f t="shared" si="7"/>
        <v>-3050000</v>
      </c>
    </row>
    <row r="487" spans="1:8" x14ac:dyDescent="0.45">
      <c r="A487" s="215" t="s">
        <v>2262</v>
      </c>
      <c r="B487" s="215" t="s">
        <v>2055</v>
      </c>
      <c r="C487" s="215" t="s">
        <v>2056</v>
      </c>
      <c r="D487" s="215">
        <v>0</v>
      </c>
      <c r="E487" s="215">
        <v>3450000</v>
      </c>
      <c r="F487" s="215">
        <v>936628100.83000004</v>
      </c>
      <c r="G487" s="215">
        <v>0</v>
      </c>
      <c r="H487" s="329">
        <f t="shared" si="7"/>
        <v>-3450000</v>
      </c>
    </row>
    <row r="488" spans="1:8" x14ac:dyDescent="0.45">
      <c r="A488" s="215" t="s">
        <v>2263</v>
      </c>
      <c r="B488" s="215" t="s">
        <v>2059</v>
      </c>
      <c r="C488" s="215" t="s">
        <v>2060</v>
      </c>
      <c r="D488" s="215">
        <v>9480000</v>
      </c>
      <c r="E488" s="215">
        <v>0</v>
      </c>
      <c r="F488" s="215">
        <v>946108100.83000004</v>
      </c>
      <c r="G488" s="215">
        <v>0</v>
      </c>
      <c r="H488" s="329">
        <f t="shared" si="7"/>
        <v>9480000</v>
      </c>
    </row>
    <row r="489" spans="1:8" x14ac:dyDescent="0.45">
      <c r="A489" s="215" t="s">
        <v>2263</v>
      </c>
      <c r="B489" s="215" t="s">
        <v>70</v>
      </c>
      <c r="C489" s="215" t="s">
        <v>2061</v>
      </c>
      <c r="D489" s="215">
        <v>948000</v>
      </c>
      <c r="E489" s="215">
        <v>0</v>
      </c>
      <c r="F489" s="215">
        <v>947056100.83000004</v>
      </c>
      <c r="G489" s="215">
        <v>0</v>
      </c>
      <c r="H489" s="329">
        <f t="shared" si="7"/>
        <v>948000</v>
      </c>
    </row>
    <row r="490" spans="1:8" x14ac:dyDescent="0.45">
      <c r="A490" s="215" t="s">
        <v>2264</v>
      </c>
      <c r="B490" s="215" t="s">
        <v>2059</v>
      </c>
      <c r="C490" s="215" t="s">
        <v>2060</v>
      </c>
      <c r="D490" s="215">
        <v>2500000</v>
      </c>
      <c r="E490" s="215">
        <v>0</v>
      </c>
      <c r="F490" s="215">
        <v>949556100.83000004</v>
      </c>
      <c r="G490" s="215">
        <v>0</v>
      </c>
      <c r="H490" s="329">
        <f t="shared" si="7"/>
        <v>2500000</v>
      </c>
    </row>
    <row r="491" spans="1:8" x14ac:dyDescent="0.45">
      <c r="A491" s="215" t="s">
        <v>2264</v>
      </c>
      <c r="B491" s="215" t="s">
        <v>70</v>
      </c>
      <c r="C491" s="215" t="s">
        <v>2061</v>
      </c>
      <c r="D491" s="215">
        <v>250000</v>
      </c>
      <c r="E491" s="215">
        <v>0</v>
      </c>
      <c r="F491" s="215">
        <v>949806100.83000004</v>
      </c>
      <c r="G491" s="215">
        <v>0</v>
      </c>
      <c r="H491" s="329">
        <f t="shared" si="7"/>
        <v>250000</v>
      </c>
    </row>
    <row r="492" spans="1:8" x14ac:dyDescent="0.45">
      <c r="A492" s="215" t="s">
        <v>2265</v>
      </c>
      <c r="B492" s="215" t="s">
        <v>2059</v>
      </c>
      <c r="C492" s="215" t="s">
        <v>2060</v>
      </c>
      <c r="D492" s="215">
        <v>10925000</v>
      </c>
      <c r="E492" s="215">
        <v>0</v>
      </c>
      <c r="F492" s="215">
        <v>960731100.83000004</v>
      </c>
      <c r="G492" s="215">
        <v>0</v>
      </c>
      <c r="H492" s="329">
        <f t="shared" si="7"/>
        <v>10925000</v>
      </c>
    </row>
    <row r="493" spans="1:8" x14ac:dyDescent="0.45">
      <c r="A493" s="215" t="s">
        <v>2265</v>
      </c>
      <c r="B493" s="215" t="s">
        <v>70</v>
      </c>
      <c r="C493" s="215" t="s">
        <v>2061</v>
      </c>
      <c r="D493" s="215">
        <v>1092500</v>
      </c>
      <c r="E493" s="215">
        <v>0</v>
      </c>
      <c r="F493" s="215">
        <v>961823600.83000004</v>
      </c>
      <c r="G493" s="215">
        <v>0</v>
      </c>
      <c r="H493" s="329">
        <f t="shared" si="7"/>
        <v>1092500</v>
      </c>
    </row>
    <row r="494" spans="1:8" x14ac:dyDescent="0.45">
      <c r="A494" s="215" t="s">
        <v>2266</v>
      </c>
      <c r="B494" s="215" t="s">
        <v>2076</v>
      </c>
      <c r="C494" s="215" t="s">
        <v>2065</v>
      </c>
      <c r="D494" s="215">
        <v>0</v>
      </c>
      <c r="E494" s="215">
        <v>789464</v>
      </c>
      <c r="F494" s="215">
        <v>961034136.83000004</v>
      </c>
      <c r="G494" s="215">
        <v>0</v>
      </c>
      <c r="H494" s="329">
        <f t="shared" si="7"/>
        <v>-789464</v>
      </c>
    </row>
    <row r="495" spans="1:8" x14ac:dyDescent="0.45">
      <c r="A495" s="215" t="s">
        <v>2266</v>
      </c>
      <c r="B495" s="215" t="s">
        <v>2066</v>
      </c>
      <c r="C495" s="215" t="s">
        <v>2067</v>
      </c>
      <c r="D495" s="215">
        <v>0</v>
      </c>
      <c r="E495" s="215">
        <v>76636</v>
      </c>
      <c r="F495" s="215">
        <v>960957500.83000004</v>
      </c>
      <c r="G495" s="215">
        <v>0</v>
      </c>
      <c r="H495" s="329">
        <f t="shared" si="7"/>
        <v>-76636</v>
      </c>
    </row>
    <row r="496" spans="1:8" x14ac:dyDescent="0.45">
      <c r="A496" s="215" t="s">
        <v>2267</v>
      </c>
      <c r="B496" s="215" t="s">
        <v>2059</v>
      </c>
      <c r="C496" s="215" t="s">
        <v>2060</v>
      </c>
      <c r="D496" s="215">
        <v>9070000</v>
      </c>
      <c r="E496" s="215">
        <v>0</v>
      </c>
      <c r="F496" s="215">
        <v>970027500.83000004</v>
      </c>
      <c r="G496" s="215">
        <v>0</v>
      </c>
      <c r="H496" s="329">
        <f t="shared" si="7"/>
        <v>9070000</v>
      </c>
    </row>
    <row r="497" spans="1:8" x14ac:dyDescent="0.45">
      <c r="A497" s="215" t="s">
        <v>2267</v>
      </c>
      <c r="B497" s="215" t="s">
        <v>70</v>
      </c>
      <c r="C497" s="215" t="s">
        <v>2061</v>
      </c>
      <c r="D497" s="215">
        <v>907000</v>
      </c>
      <c r="E497" s="215">
        <v>0</v>
      </c>
      <c r="F497" s="215">
        <v>970934500.83000004</v>
      </c>
      <c r="G497" s="215">
        <v>0</v>
      </c>
      <c r="H497" s="329">
        <f t="shared" si="7"/>
        <v>907000</v>
      </c>
    </row>
    <row r="498" spans="1:8" x14ac:dyDescent="0.45">
      <c r="A498" s="215" t="s">
        <v>2268</v>
      </c>
      <c r="B498" s="215" t="s">
        <v>2059</v>
      </c>
      <c r="C498" s="215" t="s">
        <v>2060</v>
      </c>
      <c r="D498" s="215">
        <v>3770000</v>
      </c>
      <c r="E498" s="215">
        <v>0</v>
      </c>
      <c r="F498" s="215">
        <v>974704500.83000004</v>
      </c>
      <c r="G498" s="215">
        <v>0</v>
      </c>
      <c r="H498" s="329">
        <f t="shared" si="7"/>
        <v>3770000</v>
      </c>
    </row>
    <row r="499" spans="1:8" x14ac:dyDescent="0.45">
      <c r="A499" s="215" t="s">
        <v>2268</v>
      </c>
      <c r="B499" s="215" t="s">
        <v>70</v>
      </c>
      <c r="C499" s="215" t="s">
        <v>2061</v>
      </c>
      <c r="D499" s="215">
        <v>377000</v>
      </c>
      <c r="E499" s="215">
        <v>0</v>
      </c>
      <c r="F499" s="215">
        <v>975081500.83000004</v>
      </c>
      <c r="G499" s="215">
        <v>0</v>
      </c>
      <c r="H499" s="329">
        <f t="shared" si="7"/>
        <v>377000</v>
      </c>
    </row>
    <row r="500" spans="1:8" x14ac:dyDescent="0.45">
      <c r="A500" s="215" t="s">
        <v>2269</v>
      </c>
      <c r="B500" s="215" t="s">
        <v>2059</v>
      </c>
      <c r="C500" s="215" t="s">
        <v>2060</v>
      </c>
      <c r="D500" s="215">
        <v>5280000</v>
      </c>
      <c r="E500" s="215">
        <v>0</v>
      </c>
      <c r="F500" s="215">
        <v>980361500.83000004</v>
      </c>
      <c r="G500" s="215">
        <v>0</v>
      </c>
      <c r="H500" s="329">
        <f t="shared" si="7"/>
        <v>5280000</v>
      </c>
    </row>
    <row r="501" spans="1:8" x14ac:dyDescent="0.45">
      <c r="A501" s="215" t="s">
        <v>2269</v>
      </c>
      <c r="B501" s="215" t="s">
        <v>70</v>
      </c>
      <c r="C501" s="215" t="s">
        <v>2061</v>
      </c>
      <c r="D501" s="215">
        <v>528000</v>
      </c>
      <c r="E501" s="215">
        <v>0</v>
      </c>
      <c r="F501" s="215">
        <v>980889500.83000004</v>
      </c>
      <c r="G501" s="215">
        <v>0</v>
      </c>
      <c r="H501" s="329">
        <f t="shared" si="7"/>
        <v>528000</v>
      </c>
    </row>
    <row r="502" spans="1:8" x14ac:dyDescent="0.45">
      <c r="A502" s="215" t="s">
        <v>2269</v>
      </c>
      <c r="B502" s="215" t="s">
        <v>2071</v>
      </c>
      <c r="C502" s="215" t="s">
        <v>2072</v>
      </c>
      <c r="D502" s="215">
        <v>0</v>
      </c>
      <c r="E502" s="215">
        <v>60000000</v>
      </c>
      <c r="F502" s="215">
        <v>920889500.83000004</v>
      </c>
      <c r="G502" s="215">
        <v>0</v>
      </c>
      <c r="H502" s="329">
        <f t="shared" si="7"/>
        <v>-60000000</v>
      </c>
    </row>
    <row r="503" spans="1:8" x14ac:dyDescent="0.45">
      <c r="A503" s="215" t="s">
        <v>2270</v>
      </c>
      <c r="B503" s="215" t="s">
        <v>2059</v>
      </c>
      <c r="C503" s="215" t="s">
        <v>2060</v>
      </c>
      <c r="D503" s="215">
        <v>2025000</v>
      </c>
      <c r="E503" s="215">
        <v>0</v>
      </c>
      <c r="F503" s="215">
        <v>922914500.83000004</v>
      </c>
      <c r="G503" s="215">
        <v>0</v>
      </c>
      <c r="H503" s="329">
        <f t="shared" si="7"/>
        <v>2025000</v>
      </c>
    </row>
    <row r="504" spans="1:8" x14ac:dyDescent="0.45">
      <c r="A504" s="215" t="s">
        <v>2270</v>
      </c>
      <c r="B504" s="215" t="s">
        <v>70</v>
      </c>
      <c r="C504" s="215" t="s">
        <v>2061</v>
      </c>
      <c r="D504" s="215">
        <v>202500</v>
      </c>
      <c r="E504" s="215">
        <v>0</v>
      </c>
      <c r="F504" s="215">
        <v>923117000.83000004</v>
      </c>
      <c r="G504" s="215">
        <v>0</v>
      </c>
      <c r="H504" s="329">
        <f t="shared" si="7"/>
        <v>202500</v>
      </c>
    </row>
    <row r="505" spans="1:8" x14ac:dyDescent="0.45">
      <c r="A505" s="215" t="s">
        <v>2270</v>
      </c>
      <c r="B505" s="215" t="s">
        <v>2059</v>
      </c>
      <c r="C505" s="215" t="s">
        <v>2060</v>
      </c>
      <c r="D505" s="215">
        <v>8435000</v>
      </c>
      <c r="E505" s="215">
        <v>0</v>
      </c>
      <c r="F505" s="215">
        <v>931552000.83000004</v>
      </c>
      <c r="G505" s="215">
        <v>0</v>
      </c>
      <c r="H505" s="329">
        <f t="shared" si="7"/>
        <v>8435000</v>
      </c>
    </row>
    <row r="506" spans="1:8" x14ac:dyDescent="0.45">
      <c r="A506" s="215" t="s">
        <v>2270</v>
      </c>
      <c r="B506" s="215" t="s">
        <v>70</v>
      </c>
      <c r="C506" s="215" t="s">
        <v>2061</v>
      </c>
      <c r="D506" s="215">
        <v>843500</v>
      </c>
      <c r="E506" s="215">
        <v>0</v>
      </c>
      <c r="F506" s="215">
        <v>932395500.83000004</v>
      </c>
      <c r="G506" s="215">
        <v>0</v>
      </c>
      <c r="H506" s="329">
        <f t="shared" si="7"/>
        <v>843500</v>
      </c>
    </row>
    <row r="507" spans="1:8" x14ac:dyDescent="0.45">
      <c r="A507" s="215" t="s">
        <v>2250</v>
      </c>
      <c r="B507" s="215" t="s">
        <v>2066</v>
      </c>
      <c r="C507" s="215" t="s">
        <v>2067</v>
      </c>
      <c r="D507" s="215">
        <v>0</v>
      </c>
      <c r="E507" s="215">
        <v>34000</v>
      </c>
      <c r="F507" s="215">
        <v>932361500.83000004</v>
      </c>
      <c r="G507" s="215">
        <v>0</v>
      </c>
      <c r="H507" s="329">
        <f t="shared" si="7"/>
        <v>-34000</v>
      </c>
    </row>
    <row r="508" spans="1:8" x14ac:dyDescent="0.45">
      <c r="A508" s="215" t="s">
        <v>2271</v>
      </c>
      <c r="B508" s="215" t="s">
        <v>2059</v>
      </c>
      <c r="C508" s="215" t="s">
        <v>2060</v>
      </c>
      <c r="D508" s="215">
        <v>13060000</v>
      </c>
      <c r="E508" s="215">
        <v>0</v>
      </c>
      <c r="F508" s="215">
        <v>945421500.83000004</v>
      </c>
      <c r="G508" s="215">
        <v>0</v>
      </c>
      <c r="H508" s="329">
        <f t="shared" si="7"/>
        <v>13060000</v>
      </c>
    </row>
    <row r="509" spans="1:8" x14ac:dyDescent="0.45">
      <c r="A509" s="215" t="s">
        <v>2271</v>
      </c>
      <c r="B509" s="215" t="s">
        <v>70</v>
      </c>
      <c r="C509" s="215" t="s">
        <v>2061</v>
      </c>
      <c r="D509" s="215">
        <v>1306000</v>
      </c>
      <c r="E509" s="215">
        <v>0</v>
      </c>
      <c r="F509" s="215">
        <v>946727500.83000004</v>
      </c>
      <c r="G509" s="215">
        <v>0</v>
      </c>
      <c r="H509" s="329">
        <f t="shared" si="7"/>
        <v>1306000</v>
      </c>
    </row>
    <row r="510" spans="1:8" x14ac:dyDescent="0.45">
      <c r="A510" s="215" t="s">
        <v>2272</v>
      </c>
      <c r="B510" s="215" t="s">
        <v>2059</v>
      </c>
      <c r="C510" s="215" t="s">
        <v>2060</v>
      </c>
      <c r="D510" s="215">
        <v>3820000</v>
      </c>
      <c r="E510" s="215">
        <v>0</v>
      </c>
      <c r="F510" s="215">
        <v>950547500.83000004</v>
      </c>
      <c r="G510" s="215">
        <v>0</v>
      </c>
      <c r="H510" s="329">
        <f t="shared" si="7"/>
        <v>3820000</v>
      </c>
    </row>
    <row r="511" spans="1:8" x14ac:dyDescent="0.45">
      <c r="A511" s="215" t="s">
        <v>2272</v>
      </c>
      <c r="B511" s="215" t="s">
        <v>70</v>
      </c>
      <c r="C511" s="215" t="s">
        <v>2061</v>
      </c>
      <c r="D511" s="215">
        <v>382000</v>
      </c>
      <c r="E511" s="215">
        <v>0</v>
      </c>
      <c r="F511" s="215">
        <v>950929500.83000004</v>
      </c>
      <c r="G511" s="215">
        <v>0</v>
      </c>
      <c r="H511" s="329">
        <f t="shared" si="7"/>
        <v>382000</v>
      </c>
    </row>
    <row r="512" spans="1:8" x14ac:dyDescent="0.45">
      <c r="A512" s="215" t="s">
        <v>2272</v>
      </c>
      <c r="B512" s="215" t="s">
        <v>2059</v>
      </c>
      <c r="C512" s="215" t="s">
        <v>2060</v>
      </c>
      <c r="D512" s="215">
        <v>10420000</v>
      </c>
      <c r="E512" s="215">
        <v>0</v>
      </c>
      <c r="F512" s="215">
        <v>961349500.83000004</v>
      </c>
      <c r="G512" s="215">
        <v>0</v>
      </c>
      <c r="H512" s="329">
        <f t="shared" si="7"/>
        <v>10420000</v>
      </c>
    </row>
    <row r="513" spans="1:8" x14ac:dyDescent="0.45">
      <c r="A513" s="215" t="s">
        <v>2272</v>
      </c>
      <c r="B513" s="215" t="s">
        <v>70</v>
      </c>
      <c r="C513" s="215" t="s">
        <v>2061</v>
      </c>
      <c r="D513" s="215">
        <v>1042000</v>
      </c>
      <c r="E513" s="215">
        <v>0</v>
      </c>
      <c r="F513" s="215">
        <v>962391500.83000004</v>
      </c>
      <c r="G513" s="215">
        <v>0</v>
      </c>
      <c r="H513" s="329">
        <f t="shared" si="7"/>
        <v>1042000</v>
      </c>
    </row>
    <row r="514" spans="1:8" x14ac:dyDescent="0.45">
      <c r="A514" s="215" t="s">
        <v>2272</v>
      </c>
      <c r="B514" s="215" t="s">
        <v>2090</v>
      </c>
      <c r="C514" s="215" t="s">
        <v>2091</v>
      </c>
      <c r="D514" s="215">
        <v>0</v>
      </c>
      <c r="E514" s="215">
        <v>37388155</v>
      </c>
      <c r="F514" s="215">
        <v>925003345.83000004</v>
      </c>
      <c r="G514" s="215">
        <v>0</v>
      </c>
      <c r="H514" s="329">
        <f t="shared" si="7"/>
        <v>-37388155</v>
      </c>
    </row>
    <row r="515" spans="1:8" x14ac:dyDescent="0.45">
      <c r="A515" s="215" t="s">
        <v>2272</v>
      </c>
      <c r="B515" s="215" t="s">
        <v>2273</v>
      </c>
      <c r="C515" s="215" t="s">
        <v>2065</v>
      </c>
      <c r="D515" s="215">
        <v>0</v>
      </c>
      <c r="E515" s="215">
        <v>3820000</v>
      </c>
      <c r="F515" s="215">
        <v>921183345.83000004</v>
      </c>
      <c r="G515" s="215">
        <v>0</v>
      </c>
      <c r="H515" s="329">
        <f t="shared" si="7"/>
        <v>-3820000</v>
      </c>
    </row>
    <row r="516" spans="1:8" x14ac:dyDescent="0.45">
      <c r="A516" s="215" t="s">
        <v>2272</v>
      </c>
      <c r="B516" s="215" t="s">
        <v>2274</v>
      </c>
      <c r="C516" s="215" t="s">
        <v>2065</v>
      </c>
      <c r="D516" s="215">
        <v>0</v>
      </c>
      <c r="E516" s="215">
        <v>1925000</v>
      </c>
      <c r="F516" s="215">
        <v>919258345.83000004</v>
      </c>
      <c r="G516" s="215">
        <v>0</v>
      </c>
      <c r="H516" s="329">
        <f t="shared" si="7"/>
        <v>-1925000</v>
      </c>
    </row>
    <row r="517" spans="1:8" x14ac:dyDescent="0.45">
      <c r="A517" s="215" t="s">
        <v>2272</v>
      </c>
      <c r="B517" s="215" t="s">
        <v>2275</v>
      </c>
      <c r="C517" s="215" t="s">
        <v>2065</v>
      </c>
      <c r="D517" s="215">
        <v>0</v>
      </c>
      <c r="E517" s="215">
        <v>1713000</v>
      </c>
      <c r="F517" s="215">
        <v>917545345.83000004</v>
      </c>
      <c r="G517" s="215">
        <v>0</v>
      </c>
      <c r="H517" s="329">
        <f t="shared" si="7"/>
        <v>-1713000</v>
      </c>
    </row>
    <row r="518" spans="1:8" x14ac:dyDescent="0.45">
      <c r="A518" s="215" t="s">
        <v>2276</v>
      </c>
      <c r="B518" s="215" t="s">
        <v>2055</v>
      </c>
      <c r="C518" s="215" t="s">
        <v>2056</v>
      </c>
      <c r="D518" s="215">
        <v>0</v>
      </c>
      <c r="E518" s="215">
        <v>400000</v>
      </c>
      <c r="F518" s="215">
        <v>917145345.83000004</v>
      </c>
      <c r="G518" s="215">
        <v>0</v>
      </c>
      <c r="H518" s="329">
        <f t="shared" ref="H518:H581" si="8">IF(D518&gt;0,D518,-E518)</f>
        <v>-400000</v>
      </c>
    </row>
    <row r="519" spans="1:8" x14ac:dyDescent="0.45">
      <c r="A519" s="215" t="s">
        <v>2277</v>
      </c>
      <c r="B519" s="215" t="s">
        <v>2055</v>
      </c>
      <c r="C519" s="215" t="s">
        <v>2056</v>
      </c>
      <c r="D519" s="215">
        <v>0</v>
      </c>
      <c r="E519" s="215">
        <v>8300384</v>
      </c>
      <c r="F519" s="215">
        <v>908844961.83000004</v>
      </c>
      <c r="G519" s="215">
        <v>0</v>
      </c>
      <c r="H519" s="329">
        <f t="shared" si="8"/>
        <v>-8300384</v>
      </c>
    </row>
    <row r="520" spans="1:8" x14ac:dyDescent="0.45">
      <c r="A520" s="215" t="s">
        <v>2277</v>
      </c>
      <c r="B520" s="215" t="s">
        <v>2066</v>
      </c>
      <c r="C520" s="215" t="s">
        <v>2067</v>
      </c>
      <c r="D520" s="215">
        <v>0</v>
      </c>
      <c r="E520" s="215">
        <v>830038</v>
      </c>
      <c r="F520" s="215">
        <v>908014923.83000004</v>
      </c>
      <c r="G520" s="215">
        <v>0</v>
      </c>
      <c r="H520" s="329">
        <f t="shared" si="8"/>
        <v>-830038</v>
      </c>
    </row>
    <row r="521" spans="1:8" x14ac:dyDescent="0.45">
      <c r="A521" s="215" t="s">
        <v>2277</v>
      </c>
      <c r="B521" s="215" t="s">
        <v>2278</v>
      </c>
      <c r="C521" s="215" t="s">
        <v>2065</v>
      </c>
      <c r="D521" s="215">
        <v>0</v>
      </c>
      <c r="E521" s="215">
        <v>1258366</v>
      </c>
      <c r="F521" s="215">
        <v>906756557.83000004</v>
      </c>
      <c r="G521" s="215">
        <v>0</v>
      </c>
      <c r="H521" s="329">
        <f t="shared" si="8"/>
        <v>-1258366</v>
      </c>
    </row>
    <row r="522" spans="1:8" x14ac:dyDescent="0.45">
      <c r="A522" s="215" t="s">
        <v>2277</v>
      </c>
      <c r="B522" s="215" t="s">
        <v>2066</v>
      </c>
      <c r="C522" s="215" t="s">
        <v>2067</v>
      </c>
      <c r="D522" s="215">
        <v>0</v>
      </c>
      <c r="E522" s="215">
        <v>62918</v>
      </c>
      <c r="F522" s="215">
        <v>906693639.83000004</v>
      </c>
      <c r="G522" s="215">
        <v>0</v>
      </c>
      <c r="H522" s="329">
        <f t="shared" si="8"/>
        <v>-62918</v>
      </c>
    </row>
    <row r="523" spans="1:8" x14ac:dyDescent="0.45">
      <c r="A523" s="215" t="s">
        <v>2279</v>
      </c>
      <c r="B523" s="215" t="s">
        <v>2055</v>
      </c>
      <c r="C523" s="215" t="s">
        <v>2056</v>
      </c>
      <c r="D523" s="215">
        <v>0</v>
      </c>
      <c r="E523" s="215">
        <v>18624000</v>
      </c>
      <c r="F523" s="215">
        <v>888069639.83000004</v>
      </c>
      <c r="G523" s="215">
        <v>0</v>
      </c>
      <c r="H523" s="329">
        <f t="shared" si="8"/>
        <v>-18624000</v>
      </c>
    </row>
    <row r="524" spans="1:8" x14ac:dyDescent="0.45">
      <c r="A524" s="215" t="s">
        <v>2279</v>
      </c>
      <c r="B524" s="215" t="s">
        <v>2066</v>
      </c>
      <c r="C524" s="215" t="s">
        <v>2067</v>
      </c>
      <c r="D524" s="215">
        <v>0</v>
      </c>
      <c r="E524" s="215">
        <v>931200</v>
      </c>
      <c r="F524" s="215">
        <v>887138439.83000004</v>
      </c>
      <c r="G524" s="215">
        <v>0</v>
      </c>
      <c r="H524" s="329">
        <f t="shared" si="8"/>
        <v>-931200</v>
      </c>
    </row>
    <row r="525" spans="1:8" x14ac:dyDescent="0.45">
      <c r="A525" s="215" t="s">
        <v>2280</v>
      </c>
      <c r="B525" s="215" t="s">
        <v>2059</v>
      </c>
      <c r="C525" s="215" t="s">
        <v>2060</v>
      </c>
      <c r="D525" s="215">
        <v>1690000</v>
      </c>
      <c r="E525" s="215">
        <v>0</v>
      </c>
      <c r="F525" s="215">
        <v>888828439.83000004</v>
      </c>
      <c r="G525" s="215">
        <v>0</v>
      </c>
      <c r="H525" s="329">
        <f t="shared" si="8"/>
        <v>1690000</v>
      </c>
    </row>
    <row r="526" spans="1:8" x14ac:dyDescent="0.45">
      <c r="A526" s="215" t="s">
        <v>2280</v>
      </c>
      <c r="B526" s="215" t="s">
        <v>70</v>
      </c>
      <c r="C526" s="215" t="s">
        <v>2061</v>
      </c>
      <c r="D526" s="215">
        <v>169000</v>
      </c>
      <c r="E526" s="215">
        <v>0</v>
      </c>
      <c r="F526" s="215">
        <v>888997439.83000004</v>
      </c>
      <c r="G526" s="215">
        <v>0</v>
      </c>
      <c r="H526" s="329">
        <f t="shared" si="8"/>
        <v>169000</v>
      </c>
    </row>
    <row r="527" spans="1:8" x14ac:dyDescent="0.45">
      <c r="A527" s="215" t="s">
        <v>2280</v>
      </c>
      <c r="B527" s="215" t="s">
        <v>2055</v>
      </c>
      <c r="C527" s="215" t="s">
        <v>2056</v>
      </c>
      <c r="D527" s="215">
        <v>0</v>
      </c>
      <c r="E527" s="215">
        <v>2600000</v>
      </c>
      <c r="F527" s="215">
        <v>886397439.83000004</v>
      </c>
      <c r="G527" s="215">
        <v>0</v>
      </c>
      <c r="H527" s="329">
        <f t="shared" si="8"/>
        <v>-2600000</v>
      </c>
    </row>
    <row r="528" spans="1:8" x14ac:dyDescent="0.45">
      <c r="A528" s="215" t="s">
        <v>2281</v>
      </c>
      <c r="B528" s="215" t="s">
        <v>2059</v>
      </c>
      <c r="C528" s="215" t="s">
        <v>2060</v>
      </c>
      <c r="D528" s="215">
        <v>8530000</v>
      </c>
      <c r="E528" s="215">
        <v>0</v>
      </c>
      <c r="F528" s="215">
        <v>894927439.83000004</v>
      </c>
      <c r="G528" s="215">
        <v>0</v>
      </c>
      <c r="H528" s="329">
        <f t="shared" si="8"/>
        <v>8530000</v>
      </c>
    </row>
    <row r="529" spans="1:8" x14ac:dyDescent="0.45">
      <c r="A529" s="215" t="s">
        <v>2281</v>
      </c>
      <c r="B529" s="215" t="s">
        <v>70</v>
      </c>
      <c r="C529" s="215" t="s">
        <v>2061</v>
      </c>
      <c r="D529" s="215">
        <v>853000</v>
      </c>
      <c r="E529" s="215">
        <v>0</v>
      </c>
      <c r="F529" s="215">
        <v>895780439.83000004</v>
      </c>
      <c r="G529" s="215">
        <v>0</v>
      </c>
      <c r="H529" s="329">
        <f t="shared" si="8"/>
        <v>853000</v>
      </c>
    </row>
    <row r="530" spans="1:8" x14ac:dyDescent="0.45">
      <c r="A530" s="215" t="s">
        <v>2282</v>
      </c>
      <c r="B530" s="215" t="s">
        <v>2059</v>
      </c>
      <c r="C530" s="215" t="s">
        <v>2060</v>
      </c>
      <c r="D530" s="215">
        <v>11040000</v>
      </c>
      <c r="E530" s="215">
        <v>0</v>
      </c>
      <c r="F530" s="215">
        <v>906820439.83000004</v>
      </c>
      <c r="G530" s="215">
        <v>0</v>
      </c>
      <c r="H530" s="329">
        <f t="shared" si="8"/>
        <v>11040000</v>
      </c>
    </row>
    <row r="531" spans="1:8" x14ac:dyDescent="0.45">
      <c r="A531" s="215" t="s">
        <v>2282</v>
      </c>
      <c r="B531" s="215" t="s">
        <v>70</v>
      </c>
      <c r="C531" s="215" t="s">
        <v>2061</v>
      </c>
      <c r="D531" s="215">
        <v>1104000</v>
      </c>
      <c r="E531" s="215">
        <v>0</v>
      </c>
      <c r="F531" s="215">
        <v>907924439.83000004</v>
      </c>
      <c r="G531" s="215">
        <v>0</v>
      </c>
      <c r="H531" s="329">
        <f t="shared" si="8"/>
        <v>1104000</v>
      </c>
    </row>
    <row r="532" spans="1:8" x14ac:dyDescent="0.45">
      <c r="A532" s="215" t="s">
        <v>2282</v>
      </c>
      <c r="B532" s="215" t="s">
        <v>2055</v>
      </c>
      <c r="C532" s="215" t="s">
        <v>2056</v>
      </c>
      <c r="D532" s="215">
        <v>0</v>
      </c>
      <c r="E532" s="215">
        <v>18560000</v>
      </c>
      <c r="F532" s="215">
        <v>889364439.83000004</v>
      </c>
      <c r="G532" s="215">
        <v>0</v>
      </c>
      <c r="H532" s="329">
        <f t="shared" si="8"/>
        <v>-18560000</v>
      </c>
    </row>
    <row r="533" spans="1:8" x14ac:dyDescent="0.45">
      <c r="A533" s="215" t="s">
        <v>2282</v>
      </c>
      <c r="B533" s="215" t="s">
        <v>2066</v>
      </c>
      <c r="C533" s="215" t="s">
        <v>2067</v>
      </c>
      <c r="D533" s="215">
        <v>0</v>
      </c>
      <c r="E533" s="215">
        <v>928000</v>
      </c>
      <c r="F533" s="215">
        <v>888436439.83000004</v>
      </c>
      <c r="G533" s="215">
        <v>0</v>
      </c>
      <c r="H533" s="329">
        <f t="shared" si="8"/>
        <v>-928000</v>
      </c>
    </row>
    <row r="534" spans="1:8" x14ac:dyDescent="0.45">
      <c r="A534" s="215" t="s">
        <v>2282</v>
      </c>
      <c r="B534" s="215" t="s">
        <v>2055</v>
      </c>
      <c r="C534" s="215" t="s">
        <v>2056</v>
      </c>
      <c r="D534" s="215">
        <v>0</v>
      </c>
      <c r="E534" s="215">
        <v>3150000</v>
      </c>
      <c r="F534" s="215">
        <v>885286439.83000004</v>
      </c>
      <c r="G534" s="215">
        <v>0</v>
      </c>
      <c r="H534" s="329">
        <f t="shared" si="8"/>
        <v>-3150000</v>
      </c>
    </row>
    <row r="535" spans="1:8" x14ac:dyDescent="0.45">
      <c r="A535" s="215" t="s">
        <v>2282</v>
      </c>
      <c r="B535" s="215" t="s">
        <v>2190</v>
      </c>
      <c r="C535" s="215" t="s">
        <v>2097</v>
      </c>
      <c r="D535" s="215">
        <v>0</v>
      </c>
      <c r="E535" s="215">
        <v>461782</v>
      </c>
      <c r="F535" s="215">
        <v>884824657.83000004</v>
      </c>
      <c r="G535" s="215">
        <v>0</v>
      </c>
      <c r="H535" s="329">
        <f t="shared" si="8"/>
        <v>-461782</v>
      </c>
    </row>
    <row r="536" spans="1:8" x14ac:dyDescent="0.45">
      <c r="A536" s="215" t="s">
        <v>2282</v>
      </c>
      <c r="B536" s="215" t="s">
        <v>2066</v>
      </c>
      <c r="C536" s="215" t="s">
        <v>2067</v>
      </c>
      <c r="D536" s="215">
        <v>0</v>
      </c>
      <c r="E536" s="215">
        <v>46178</v>
      </c>
      <c r="F536" s="215">
        <v>884778479.83000004</v>
      </c>
      <c r="G536" s="215">
        <v>0</v>
      </c>
      <c r="H536" s="329">
        <f t="shared" si="8"/>
        <v>-46178</v>
      </c>
    </row>
    <row r="537" spans="1:8" x14ac:dyDescent="0.45">
      <c r="A537" s="215" t="s">
        <v>2283</v>
      </c>
      <c r="B537" s="215" t="s">
        <v>2059</v>
      </c>
      <c r="C537" s="215" t="s">
        <v>2060</v>
      </c>
      <c r="D537" s="215">
        <v>6990000</v>
      </c>
      <c r="E537" s="215">
        <v>0</v>
      </c>
      <c r="F537" s="215">
        <v>891768479.83000004</v>
      </c>
      <c r="G537" s="215">
        <v>0</v>
      </c>
      <c r="H537" s="329">
        <f t="shared" si="8"/>
        <v>6990000</v>
      </c>
    </row>
    <row r="538" spans="1:8" x14ac:dyDescent="0.45">
      <c r="A538" s="215" t="s">
        <v>2283</v>
      </c>
      <c r="B538" s="215" t="s">
        <v>70</v>
      </c>
      <c r="C538" s="215" t="s">
        <v>2061</v>
      </c>
      <c r="D538" s="215">
        <v>699000</v>
      </c>
      <c r="E538" s="215">
        <v>0</v>
      </c>
      <c r="F538" s="215">
        <v>892467479.83000004</v>
      </c>
      <c r="G538" s="215">
        <v>0</v>
      </c>
      <c r="H538" s="329">
        <f t="shared" si="8"/>
        <v>699000</v>
      </c>
    </row>
    <row r="539" spans="1:8" x14ac:dyDescent="0.45">
      <c r="A539" s="215" t="s">
        <v>2284</v>
      </c>
      <c r="B539" s="215" t="s">
        <v>2059</v>
      </c>
      <c r="C539" s="215" t="s">
        <v>2060</v>
      </c>
      <c r="D539" s="215">
        <v>3290000</v>
      </c>
      <c r="E539" s="215">
        <v>0</v>
      </c>
      <c r="F539" s="215">
        <v>895757479.83000004</v>
      </c>
      <c r="G539" s="215">
        <v>0</v>
      </c>
      <c r="H539" s="329">
        <f t="shared" si="8"/>
        <v>3290000</v>
      </c>
    </row>
    <row r="540" spans="1:8" x14ac:dyDescent="0.45">
      <c r="A540" s="215" t="s">
        <v>2284</v>
      </c>
      <c r="B540" s="215" t="s">
        <v>70</v>
      </c>
      <c r="C540" s="215" t="s">
        <v>2061</v>
      </c>
      <c r="D540" s="215">
        <v>329000</v>
      </c>
      <c r="E540" s="215">
        <v>0</v>
      </c>
      <c r="F540" s="215">
        <v>896086479.83000004</v>
      </c>
      <c r="G540" s="215">
        <v>0</v>
      </c>
      <c r="H540" s="329">
        <f t="shared" si="8"/>
        <v>329000</v>
      </c>
    </row>
    <row r="541" spans="1:8" x14ac:dyDescent="0.45">
      <c r="A541" s="215" t="s">
        <v>2285</v>
      </c>
      <c r="B541" s="215" t="s">
        <v>2055</v>
      </c>
      <c r="C541" s="215" t="s">
        <v>2056</v>
      </c>
      <c r="D541" s="215">
        <v>0</v>
      </c>
      <c r="E541" s="215">
        <v>18816000</v>
      </c>
      <c r="F541" s="215">
        <v>877270479.83000004</v>
      </c>
      <c r="G541" s="215">
        <v>0</v>
      </c>
      <c r="H541" s="329">
        <f t="shared" si="8"/>
        <v>-18816000</v>
      </c>
    </row>
    <row r="542" spans="1:8" x14ac:dyDescent="0.45">
      <c r="A542" s="215" t="s">
        <v>2285</v>
      </c>
      <c r="B542" s="215" t="s">
        <v>2066</v>
      </c>
      <c r="C542" s="215" t="s">
        <v>2067</v>
      </c>
      <c r="D542" s="215">
        <v>0</v>
      </c>
      <c r="E542" s="215">
        <v>940800</v>
      </c>
      <c r="F542" s="215">
        <v>876329679.83000004</v>
      </c>
      <c r="G542" s="215">
        <v>0</v>
      </c>
      <c r="H542" s="329">
        <f t="shared" si="8"/>
        <v>-940800</v>
      </c>
    </row>
    <row r="543" spans="1:8" x14ac:dyDescent="0.45">
      <c r="A543" s="215" t="s">
        <v>2286</v>
      </c>
      <c r="B543" s="215" t="s">
        <v>2055</v>
      </c>
      <c r="C543" s="215" t="s">
        <v>2056</v>
      </c>
      <c r="D543" s="215">
        <v>0</v>
      </c>
      <c r="E543" s="215">
        <v>160000</v>
      </c>
      <c r="F543" s="215">
        <v>876169679.83000004</v>
      </c>
      <c r="G543" s="215">
        <v>0</v>
      </c>
      <c r="H543" s="329">
        <f t="shared" si="8"/>
        <v>-160000</v>
      </c>
    </row>
    <row r="544" spans="1:8" x14ac:dyDescent="0.45">
      <c r="A544" s="215" t="s">
        <v>2287</v>
      </c>
      <c r="B544" s="215" t="s">
        <v>2059</v>
      </c>
      <c r="C544" s="215" t="s">
        <v>2060</v>
      </c>
      <c r="D544" s="215">
        <v>9231000</v>
      </c>
      <c r="E544" s="215">
        <v>0</v>
      </c>
      <c r="F544" s="215">
        <v>885400679.83000004</v>
      </c>
      <c r="G544" s="215">
        <v>0</v>
      </c>
      <c r="H544" s="329">
        <f t="shared" si="8"/>
        <v>9231000</v>
      </c>
    </row>
    <row r="545" spans="1:8" x14ac:dyDescent="0.45">
      <c r="A545" s="215" t="s">
        <v>2287</v>
      </c>
      <c r="B545" s="215" t="s">
        <v>70</v>
      </c>
      <c r="C545" s="215" t="s">
        <v>2061</v>
      </c>
      <c r="D545" s="215">
        <v>923100</v>
      </c>
      <c r="E545" s="215">
        <v>0</v>
      </c>
      <c r="F545" s="215">
        <v>886323779.83000004</v>
      </c>
      <c r="G545" s="215">
        <v>0</v>
      </c>
      <c r="H545" s="329">
        <f t="shared" si="8"/>
        <v>923100</v>
      </c>
    </row>
    <row r="546" spans="1:8" x14ac:dyDescent="0.45">
      <c r="A546" s="215" t="s">
        <v>2287</v>
      </c>
      <c r="B546" s="215" t="s">
        <v>2071</v>
      </c>
      <c r="C546" s="215" t="s">
        <v>2072</v>
      </c>
      <c r="D546" s="215">
        <v>0</v>
      </c>
      <c r="E546" s="215">
        <v>10000000</v>
      </c>
      <c r="F546" s="215">
        <v>876323779.83000004</v>
      </c>
      <c r="G546" s="215">
        <v>0</v>
      </c>
      <c r="H546" s="329">
        <f t="shared" si="8"/>
        <v>-10000000</v>
      </c>
    </row>
    <row r="547" spans="1:8" x14ac:dyDescent="0.45">
      <c r="A547" s="215" t="s">
        <v>2288</v>
      </c>
      <c r="B547" s="215" t="s">
        <v>2064</v>
      </c>
      <c r="C547" s="215" t="s">
        <v>2065</v>
      </c>
      <c r="D547" s="215">
        <v>0</v>
      </c>
      <c r="E547" s="215">
        <v>2085600</v>
      </c>
      <c r="F547" s="215">
        <v>874238179.83000004</v>
      </c>
      <c r="G547" s="215">
        <v>0</v>
      </c>
      <c r="H547" s="329">
        <f t="shared" si="8"/>
        <v>-2085600</v>
      </c>
    </row>
    <row r="548" spans="1:8" x14ac:dyDescent="0.45">
      <c r="A548" s="215" t="s">
        <v>2288</v>
      </c>
      <c r="B548" s="215" t="s">
        <v>2066</v>
      </c>
      <c r="C548" s="215" t="s">
        <v>2067</v>
      </c>
      <c r="D548" s="215">
        <v>0</v>
      </c>
      <c r="E548" s="215">
        <v>208560</v>
      </c>
      <c r="F548" s="215">
        <v>874029619.83000004</v>
      </c>
      <c r="G548" s="215">
        <v>0</v>
      </c>
      <c r="H548" s="329">
        <f t="shared" si="8"/>
        <v>-208560</v>
      </c>
    </row>
    <row r="549" spans="1:8" x14ac:dyDescent="0.45">
      <c r="A549" s="215" t="s">
        <v>2289</v>
      </c>
      <c r="B549" s="215" t="s">
        <v>2055</v>
      </c>
      <c r="C549" s="215" t="s">
        <v>2056</v>
      </c>
      <c r="D549" s="215">
        <v>0</v>
      </c>
      <c r="E549" s="215">
        <v>18752000</v>
      </c>
      <c r="F549" s="215">
        <v>855277619.83000004</v>
      </c>
      <c r="G549" s="215">
        <v>0</v>
      </c>
      <c r="H549" s="329">
        <f t="shared" si="8"/>
        <v>-18752000</v>
      </c>
    </row>
    <row r="550" spans="1:8" x14ac:dyDescent="0.45">
      <c r="A550" s="215" t="s">
        <v>2289</v>
      </c>
      <c r="B550" s="215" t="s">
        <v>2066</v>
      </c>
      <c r="C550" s="215" t="s">
        <v>2067</v>
      </c>
      <c r="D550" s="215">
        <v>0</v>
      </c>
      <c r="E550" s="215">
        <v>937600</v>
      </c>
      <c r="F550" s="215">
        <v>854340019.83000004</v>
      </c>
      <c r="G550" s="215">
        <v>0</v>
      </c>
      <c r="H550" s="329">
        <f t="shared" si="8"/>
        <v>-937600</v>
      </c>
    </row>
    <row r="551" spans="1:8" x14ac:dyDescent="0.45">
      <c r="A551" s="215" t="s">
        <v>2290</v>
      </c>
      <c r="B551" s="215" t="s">
        <v>2059</v>
      </c>
      <c r="C551" s="215" t="s">
        <v>2060</v>
      </c>
      <c r="D551" s="215">
        <v>11390000</v>
      </c>
      <c r="E551" s="215">
        <v>0</v>
      </c>
      <c r="F551" s="215">
        <v>865730019.83000004</v>
      </c>
      <c r="G551" s="215">
        <v>0</v>
      </c>
      <c r="H551" s="329">
        <f t="shared" si="8"/>
        <v>11390000</v>
      </c>
    </row>
    <row r="552" spans="1:8" x14ac:dyDescent="0.45">
      <c r="A552" s="215" t="s">
        <v>2290</v>
      </c>
      <c r="B552" s="215" t="s">
        <v>70</v>
      </c>
      <c r="C552" s="215" t="s">
        <v>2061</v>
      </c>
      <c r="D552" s="215">
        <v>1139000</v>
      </c>
      <c r="E552" s="215">
        <v>0</v>
      </c>
      <c r="F552" s="215">
        <v>866869019.83000004</v>
      </c>
      <c r="G552" s="215">
        <v>0</v>
      </c>
      <c r="H552" s="329">
        <f t="shared" si="8"/>
        <v>1139000</v>
      </c>
    </row>
    <row r="553" spans="1:8" x14ac:dyDescent="0.45">
      <c r="A553" s="215" t="s">
        <v>2290</v>
      </c>
      <c r="B553" s="215" t="s">
        <v>2059</v>
      </c>
      <c r="C553" s="215" t="s">
        <v>2060</v>
      </c>
      <c r="D553" s="215">
        <v>10234000</v>
      </c>
      <c r="E553" s="215">
        <v>0</v>
      </c>
      <c r="F553" s="215">
        <v>877103019.83000004</v>
      </c>
      <c r="G553" s="215">
        <v>0</v>
      </c>
      <c r="H553" s="329">
        <f t="shared" si="8"/>
        <v>10234000</v>
      </c>
    </row>
    <row r="554" spans="1:8" x14ac:dyDescent="0.45">
      <c r="A554" s="215" t="s">
        <v>2290</v>
      </c>
      <c r="B554" s="215" t="s">
        <v>70</v>
      </c>
      <c r="C554" s="215" t="s">
        <v>2061</v>
      </c>
      <c r="D554" s="215">
        <v>1023400</v>
      </c>
      <c r="E554" s="215">
        <v>0</v>
      </c>
      <c r="F554" s="215">
        <v>878126419.83000004</v>
      </c>
      <c r="G554" s="215">
        <v>0</v>
      </c>
      <c r="H554" s="329">
        <f t="shared" si="8"/>
        <v>1023400</v>
      </c>
    </row>
    <row r="555" spans="1:8" x14ac:dyDescent="0.45">
      <c r="A555" s="215" t="s">
        <v>2291</v>
      </c>
      <c r="B555" s="215" t="s">
        <v>2059</v>
      </c>
      <c r="C555" s="215" t="s">
        <v>2060</v>
      </c>
      <c r="D555" s="215">
        <v>17000000</v>
      </c>
      <c r="E555" s="215">
        <v>0</v>
      </c>
      <c r="F555" s="215">
        <v>895126419.83000004</v>
      </c>
      <c r="G555" s="215">
        <v>0</v>
      </c>
      <c r="H555" s="329">
        <f t="shared" si="8"/>
        <v>17000000</v>
      </c>
    </row>
    <row r="556" spans="1:8" x14ac:dyDescent="0.45">
      <c r="A556" s="215" t="s">
        <v>2291</v>
      </c>
      <c r="B556" s="215" t="s">
        <v>70</v>
      </c>
      <c r="C556" s="215" t="s">
        <v>2061</v>
      </c>
      <c r="D556" s="215">
        <v>1700000</v>
      </c>
      <c r="E556" s="215">
        <v>0</v>
      </c>
      <c r="F556" s="215">
        <v>896826419.83000004</v>
      </c>
      <c r="G556" s="215">
        <v>0</v>
      </c>
      <c r="H556" s="329">
        <f t="shared" si="8"/>
        <v>1700000</v>
      </c>
    </row>
    <row r="557" spans="1:8" x14ac:dyDescent="0.45">
      <c r="A557" s="215" t="s">
        <v>2292</v>
      </c>
      <c r="B557" s="215" t="s">
        <v>2059</v>
      </c>
      <c r="C557" s="215" t="s">
        <v>2060</v>
      </c>
      <c r="D557" s="215">
        <v>2460000</v>
      </c>
      <c r="E557" s="215">
        <v>0</v>
      </c>
      <c r="F557" s="215">
        <v>899286419.83000004</v>
      </c>
      <c r="G557" s="215">
        <v>0</v>
      </c>
      <c r="H557" s="329">
        <f t="shared" si="8"/>
        <v>2460000</v>
      </c>
    </row>
    <row r="558" spans="1:8" x14ac:dyDescent="0.45">
      <c r="A558" s="215" t="s">
        <v>2292</v>
      </c>
      <c r="B558" s="215" t="s">
        <v>70</v>
      </c>
      <c r="C558" s="215" t="s">
        <v>2061</v>
      </c>
      <c r="D558" s="215">
        <v>246000</v>
      </c>
      <c r="E558" s="215">
        <v>0</v>
      </c>
      <c r="F558" s="215">
        <v>899532419.83000004</v>
      </c>
      <c r="G558" s="215">
        <v>0</v>
      </c>
      <c r="H558" s="329">
        <f t="shared" si="8"/>
        <v>246000</v>
      </c>
    </row>
    <row r="559" spans="1:8" x14ac:dyDescent="0.45">
      <c r="A559" s="215" t="s">
        <v>2276</v>
      </c>
      <c r="B559" s="215" t="s">
        <v>2066</v>
      </c>
      <c r="C559" s="215" t="s">
        <v>2067</v>
      </c>
      <c r="D559" s="215">
        <v>0</v>
      </c>
      <c r="E559" s="215">
        <v>40000</v>
      </c>
      <c r="F559" s="215">
        <v>899492419.83000004</v>
      </c>
      <c r="G559" s="215">
        <v>0</v>
      </c>
      <c r="H559" s="329">
        <f t="shared" si="8"/>
        <v>-40000</v>
      </c>
    </row>
    <row r="560" spans="1:8" x14ac:dyDescent="0.45">
      <c r="A560" s="215" t="s">
        <v>2293</v>
      </c>
      <c r="B560" s="215" t="s">
        <v>2059</v>
      </c>
      <c r="C560" s="215" t="s">
        <v>2060</v>
      </c>
      <c r="D560" s="215">
        <v>5950000</v>
      </c>
      <c r="E560" s="215">
        <v>0</v>
      </c>
      <c r="F560" s="215">
        <v>905442419.83000004</v>
      </c>
      <c r="G560" s="215">
        <v>0</v>
      </c>
      <c r="H560" s="329">
        <f t="shared" si="8"/>
        <v>5950000</v>
      </c>
    </row>
    <row r="561" spans="1:8" x14ac:dyDescent="0.45">
      <c r="A561" s="215" t="s">
        <v>2293</v>
      </c>
      <c r="B561" s="215" t="s">
        <v>70</v>
      </c>
      <c r="C561" s="215" t="s">
        <v>2061</v>
      </c>
      <c r="D561" s="215">
        <v>595000</v>
      </c>
      <c r="E561" s="215">
        <v>0</v>
      </c>
      <c r="F561" s="215">
        <v>906037419.83000004</v>
      </c>
      <c r="G561" s="215">
        <v>0</v>
      </c>
      <c r="H561" s="329">
        <f t="shared" si="8"/>
        <v>595000</v>
      </c>
    </row>
    <row r="562" spans="1:8" x14ac:dyDescent="0.45">
      <c r="A562" s="215" t="s">
        <v>2293</v>
      </c>
      <c r="B562" s="215" t="s">
        <v>2294</v>
      </c>
      <c r="C562" s="215" t="s">
        <v>2065</v>
      </c>
      <c r="D562" s="215">
        <v>0</v>
      </c>
      <c r="E562" s="215">
        <v>1925000</v>
      </c>
      <c r="F562" s="215">
        <v>904112419.83000004</v>
      </c>
      <c r="G562" s="215">
        <v>0</v>
      </c>
      <c r="H562" s="329">
        <f t="shared" si="8"/>
        <v>-1925000</v>
      </c>
    </row>
    <row r="563" spans="1:8" x14ac:dyDescent="0.45">
      <c r="A563" s="215" t="s">
        <v>2293</v>
      </c>
      <c r="B563" s="215" t="s">
        <v>2295</v>
      </c>
      <c r="C563" s="215" t="s">
        <v>2065</v>
      </c>
      <c r="D563" s="215">
        <v>0</v>
      </c>
      <c r="E563" s="215">
        <v>1945500</v>
      </c>
      <c r="F563" s="215">
        <v>902166919.83000004</v>
      </c>
      <c r="G563" s="215">
        <v>0</v>
      </c>
      <c r="H563" s="329">
        <f t="shared" si="8"/>
        <v>-1945500</v>
      </c>
    </row>
    <row r="564" spans="1:8" x14ac:dyDescent="0.45">
      <c r="A564" s="215" t="s">
        <v>2293</v>
      </c>
      <c r="B564" s="215" t="s">
        <v>2090</v>
      </c>
      <c r="C564" s="215" t="s">
        <v>2091</v>
      </c>
      <c r="D564" s="215">
        <v>0</v>
      </c>
      <c r="E564" s="215">
        <v>34739691</v>
      </c>
      <c r="F564" s="215">
        <v>867427228.83000004</v>
      </c>
      <c r="G564" s="215">
        <v>0</v>
      </c>
      <c r="H564" s="329">
        <f t="shared" si="8"/>
        <v>-34739691</v>
      </c>
    </row>
    <row r="565" spans="1:8" x14ac:dyDescent="0.45">
      <c r="A565" s="215" t="s">
        <v>2293</v>
      </c>
      <c r="B565" s="215" t="s">
        <v>2296</v>
      </c>
      <c r="C565" s="215" t="s">
        <v>2065</v>
      </c>
      <c r="D565" s="215">
        <v>0</v>
      </c>
      <c r="E565" s="215">
        <v>3825000</v>
      </c>
      <c r="F565" s="215">
        <v>863602228.83000004</v>
      </c>
      <c r="G565" s="215">
        <v>0</v>
      </c>
      <c r="H565" s="329">
        <f t="shared" si="8"/>
        <v>-3825000</v>
      </c>
    </row>
    <row r="566" spans="1:8" x14ac:dyDescent="0.45">
      <c r="A566" s="215" t="s">
        <v>2297</v>
      </c>
      <c r="B566" s="215" t="s">
        <v>2298</v>
      </c>
      <c r="C566" s="215" t="s">
        <v>2097</v>
      </c>
      <c r="D566" s="215">
        <v>0</v>
      </c>
      <c r="E566" s="215">
        <v>1090909</v>
      </c>
      <c r="F566" s="215">
        <v>862511319.83000004</v>
      </c>
      <c r="G566" s="215">
        <v>0</v>
      </c>
      <c r="H566" s="329">
        <f t="shared" si="8"/>
        <v>-1090909</v>
      </c>
    </row>
    <row r="567" spans="1:8" x14ac:dyDescent="0.45">
      <c r="A567" s="215" t="s">
        <v>2297</v>
      </c>
      <c r="B567" s="215" t="s">
        <v>2066</v>
      </c>
      <c r="C567" s="215" t="s">
        <v>2067</v>
      </c>
      <c r="D567" s="215">
        <v>0</v>
      </c>
      <c r="E567" s="215">
        <v>109091</v>
      </c>
      <c r="F567" s="215">
        <v>862402228.83000004</v>
      </c>
      <c r="G567" s="215">
        <v>0</v>
      </c>
      <c r="H567" s="329">
        <f t="shared" si="8"/>
        <v>-109091</v>
      </c>
    </row>
    <row r="568" spans="1:8" x14ac:dyDescent="0.45">
      <c r="A568" s="215" t="s">
        <v>2297</v>
      </c>
      <c r="B568" s="215" t="s">
        <v>2055</v>
      </c>
      <c r="C568" s="215" t="s">
        <v>2056</v>
      </c>
      <c r="D568" s="215">
        <v>0</v>
      </c>
      <c r="E568" s="215">
        <v>1090000</v>
      </c>
      <c r="F568" s="215">
        <v>861312228.83000004</v>
      </c>
      <c r="G568" s="215">
        <v>0</v>
      </c>
      <c r="H568" s="329">
        <f t="shared" si="8"/>
        <v>-1090000</v>
      </c>
    </row>
    <row r="569" spans="1:8" x14ac:dyDescent="0.45">
      <c r="A569" s="215" t="s">
        <v>2299</v>
      </c>
      <c r="B569" s="215" t="s">
        <v>2059</v>
      </c>
      <c r="C569" s="215" t="s">
        <v>2060</v>
      </c>
      <c r="D569" s="215">
        <v>7705000</v>
      </c>
      <c r="E569" s="215">
        <v>0</v>
      </c>
      <c r="F569" s="215">
        <v>869017228.83000004</v>
      </c>
      <c r="G569" s="215">
        <v>0</v>
      </c>
      <c r="H569" s="329">
        <f t="shared" si="8"/>
        <v>7705000</v>
      </c>
    </row>
    <row r="570" spans="1:8" x14ac:dyDescent="0.45">
      <c r="A570" s="215" t="s">
        <v>2299</v>
      </c>
      <c r="B570" s="215" t="s">
        <v>70</v>
      </c>
      <c r="C570" s="215" t="s">
        <v>2061</v>
      </c>
      <c r="D570" s="215">
        <v>770500</v>
      </c>
      <c r="E570" s="215">
        <v>0</v>
      </c>
      <c r="F570" s="215">
        <v>869787728.83000004</v>
      </c>
      <c r="G570" s="215">
        <v>0</v>
      </c>
      <c r="H570" s="329">
        <f t="shared" si="8"/>
        <v>770500</v>
      </c>
    </row>
    <row r="571" spans="1:8" x14ac:dyDescent="0.45">
      <c r="A571" s="215" t="s">
        <v>2300</v>
      </c>
      <c r="B571" s="215" t="s">
        <v>2059</v>
      </c>
      <c r="C571" s="215" t="s">
        <v>2060</v>
      </c>
      <c r="D571" s="215">
        <v>17911000</v>
      </c>
      <c r="E571" s="215">
        <v>0</v>
      </c>
      <c r="F571" s="215">
        <v>887698728.83000004</v>
      </c>
      <c r="G571" s="215">
        <v>0</v>
      </c>
      <c r="H571" s="329">
        <f t="shared" si="8"/>
        <v>17911000</v>
      </c>
    </row>
    <row r="572" spans="1:8" x14ac:dyDescent="0.45">
      <c r="A572" s="215" t="s">
        <v>2300</v>
      </c>
      <c r="B572" s="215" t="s">
        <v>70</v>
      </c>
      <c r="C572" s="215" t="s">
        <v>2061</v>
      </c>
      <c r="D572" s="215">
        <v>1791100</v>
      </c>
      <c r="E572" s="215">
        <v>0</v>
      </c>
      <c r="F572" s="215">
        <v>889489828.83000004</v>
      </c>
      <c r="G572" s="215">
        <v>0</v>
      </c>
      <c r="H572" s="329">
        <f t="shared" si="8"/>
        <v>1791100</v>
      </c>
    </row>
    <row r="573" spans="1:8" x14ac:dyDescent="0.45">
      <c r="A573" s="215" t="s">
        <v>2301</v>
      </c>
      <c r="B573" s="215" t="s">
        <v>2059</v>
      </c>
      <c r="C573" s="215" t="s">
        <v>2060</v>
      </c>
      <c r="D573" s="215">
        <v>17514000</v>
      </c>
      <c r="E573" s="215">
        <v>0</v>
      </c>
      <c r="F573" s="215">
        <v>907003828.83000004</v>
      </c>
      <c r="G573" s="215">
        <v>0</v>
      </c>
      <c r="H573" s="329">
        <f t="shared" si="8"/>
        <v>17514000</v>
      </c>
    </row>
    <row r="574" spans="1:8" x14ac:dyDescent="0.45">
      <c r="A574" s="215" t="s">
        <v>2301</v>
      </c>
      <c r="B574" s="215" t="s">
        <v>70</v>
      </c>
      <c r="C574" s="215" t="s">
        <v>2061</v>
      </c>
      <c r="D574" s="215">
        <v>1751400</v>
      </c>
      <c r="E574" s="215">
        <v>0</v>
      </c>
      <c r="F574" s="215">
        <v>908755228.83000004</v>
      </c>
      <c r="G574" s="215">
        <v>0</v>
      </c>
      <c r="H574" s="329">
        <f t="shared" si="8"/>
        <v>1751400</v>
      </c>
    </row>
    <row r="575" spans="1:8" x14ac:dyDescent="0.45">
      <c r="A575" s="215" t="s">
        <v>2301</v>
      </c>
      <c r="B575" s="215" t="s">
        <v>2064</v>
      </c>
      <c r="C575" s="215" t="s">
        <v>2065</v>
      </c>
      <c r="D575" s="215">
        <v>0</v>
      </c>
      <c r="E575" s="215">
        <v>2948400</v>
      </c>
      <c r="F575" s="215">
        <v>905806828.83000004</v>
      </c>
      <c r="G575" s="215">
        <v>0</v>
      </c>
      <c r="H575" s="329">
        <f t="shared" si="8"/>
        <v>-2948400</v>
      </c>
    </row>
    <row r="576" spans="1:8" x14ac:dyDescent="0.45">
      <c r="A576" s="215" t="s">
        <v>2301</v>
      </c>
      <c r="B576" s="215" t="s">
        <v>2066</v>
      </c>
      <c r="C576" s="215" t="s">
        <v>2067</v>
      </c>
      <c r="D576" s="215">
        <v>0</v>
      </c>
      <c r="E576" s="215">
        <v>294840</v>
      </c>
      <c r="F576" s="215">
        <v>905511988.83000004</v>
      </c>
      <c r="G576" s="215">
        <v>0</v>
      </c>
      <c r="H576" s="329">
        <f t="shared" si="8"/>
        <v>-294840</v>
      </c>
    </row>
    <row r="577" spans="1:8" x14ac:dyDescent="0.45">
      <c r="A577" s="215" t="s">
        <v>2302</v>
      </c>
      <c r="B577" s="215" t="s">
        <v>2059</v>
      </c>
      <c r="C577" s="215" t="s">
        <v>2060</v>
      </c>
      <c r="D577" s="215">
        <v>12122000</v>
      </c>
      <c r="E577" s="215">
        <v>0</v>
      </c>
      <c r="F577" s="215">
        <v>917633988.83000004</v>
      </c>
      <c r="G577" s="215">
        <v>0</v>
      </c>
      <c r="H577" s="329">
        <f t="shared" si="8"/>
        <v>12122000</v>
      </c>
    </row>
    <row r="578" spans="1:8" x14ac:dyDescent="0.45">
      <c r="A578" s="215" t="s">
        <v>2302</v>
      </c>
      <c r="B578" s="215" t="s">
        <v>70</v>
      </c>
      <c r="C578" s="215" t="s">
        <v>2061</v>
      </c>
      <c r="D578" s="215">
        <v>1212200</v>
      </c>
      <c r="E578" s="215">
        <v>0</v>
      </c>
      <c r="F578" s="215">
        <v>918846188.83000004</v>
      </c>
      <c r="G578" s="215">
        <v>0</v>
      </c>
      <c r="H578" s="329">
        <f t="shared" si="8"/>
        <v>1212200</v>
      </c>
    </row>
    <row r="579" spans="1:8" x14ac:dyDescent="0.45">
      <c r="A579" s="215" t="s">
        <v>2303</v>
      </c>
      <c r="B579" s="215" t="s">
        <v>2059</v>
      </c>
      <c r="C579" s="215" t="s">
        <v>2060</v>
      </c>
      <c r="D579" s="215">
        <v>9330000</v>
      </c>
      <c r="E579" s="215">
        <v>0</v>
      </c>
      <c r="F579" s="215">
        <v>928176188.83000004</v>
      </c>
      <c r="G579" s="215">
        <v>0</v>
      </c>
      <c r="H579" s="329">
        <f t="shared" si="8"/>
        <v>9330000</v>
      </c>
    </row>
    <row r="580" spans="1:8" x14ac:dyDescent="0.45">
      <c r="A580" s="215" t="s">
        <v>2303</v>
      </c>
      <c r="B580" s="215" t="s">
        <v>70</v>
      </c>
      <c r="C580" s="215" t="s">
        <v>2061</v>
      </c>
      <c r="D580" s="215">
        <v>933000</v>
      </c>
      <c r="E580" s="215">
        <v>0</v>
      </c>
      <c r="F580" s="215">
        <v>929109188.83000004</v>
      </c>
      <c r="G580" s="215">
        <v>0</v>
      </c>
      <c r="H580" s="329">
        <f t="shared" si="8"/>
        <v>933000</v>
      </c>
    </row>
    <row r="581" spans="1:8" x14ac:dyDescent="0.45">
      <c r="A581" s="215" t="s">
        <v>2303</v>
      </c>
      <c r="B581" s="215" t="s">
        <v>2055</v>
      </c>
      <c r="C581" s="215" t="s">
        <v>2056</v>
      </c>
      <c r="D581" s="215">
        <v>0</v>
      </c>
      <c r="E581" s="215">
        <v>16192000</v>
      </c>
      <c r="F581" s="215">
        <v>912917188.83000004</v>
      </c>
      <c r="G581" s="215">
        <v>0</v>
      </c>
      <c r="H581" s="329">
        <f t="shared" si="8"/>
        <v>-16192000</v>
      </c>
    </row>
    <row r="582" spans="1:8" x14ac:dyDescent="0.45">
      <c r="A582" s="215" t="s">
        <v>2303</v>
      </c>
      <c r="B582" s="215" t="s">
        <v>2066</v>
      </c>
      <c r="C582" s="215" t="s">
        <v>2067</v>
      </c>
      <c r="D582" s="215">
        <v>0</v>
      </c>
      <c r="E582" s="215">
        <v>809600</v>
      </c>
      <c r="F582" s="215">
        <v>912107588.83000004</v>
      </c>
      <c r="G582" s="215">
        <v>0</v>
      </c>
      <c r="H582" s="329">
        <f t="shared" ref="H582:H626" si="9">IF(D582&gt;0,D582,-E582)</f>
        <v>-809600</v>
      </c>
    </row>
    <row r="583" spans="1:8" x14ac:dyDescent="0.45">
      <c r="A583" s="215" t="s">
        <v>2304</v>
      </c>
      <c r="B583" s="215" t="s">
        <v>2059</v>
      </c>
      <c r="C583" s="215" t="s">
        <v>2060</v>
      </c>
      <c r="D583" s="215">
        <v>13300000</v>
      </c>
      <c r="E583" s="215">
        <v>0</v>
      </c>
      <c r="F583" s="215">
        <v>925407588.83000004</v>
      </c>
      <c r="G583" s="215">
        <v>0</v>
      </c>
      <c r="H583" s="329">
        <f t="shared" si="9"/>
        <v>13300000</v>
      </c>
    </row>
    <row r="584" spans="1:8" x14ac:dyDescent="0.45">
      <c r="A584" s="215" t="s">
        <v>2304</v>
      </c>
      <c r="B584" s="215" t="s">
        <v>70</v>
      </c>
      <c r="C584" s="215" t="s">
        <v>2061</v>
      </c>
      <c r="D584" s="215">
        <v>1330000</v>
      </c>
      <c r="E584" s="215">
        <v>0</v>
      </c>
      <c r="F584" s="215">
        <v>926737588.83000004</v>
      </c>
      <c r="G584" s="215">
        <v>0</v>
      </c>
      <c r="H584" s="329">
        <f t="shared" si="9"/>
        <v>1330000</v>
      </c>
    </row>
    <row r="585" spans="1:8" x14ac:dyDescent="0.45">
      <c r="A585" s="215" t="s">
        <v>2305</v>
      </c>
      <c r="B585" s="215" t="s">
        <v>2059</v>
      </c>
      <c r="C585" s="215" t="s">
        <v>2060</v>
      </c>
      <c r="D585" s="215">
        <v>10003000</v>
      </c>
      <c r="E585" s="215">
        <v>0</v>
      </c>
      <c r="F585" s="215">
        <v>936740588.83000004</v>
      </c>
      <c r="G585" s="215">
        <v>0</v>
      </c>
      <c r="H585" s="329">
        <f t="shared" si="9"/>
        <v>10003000</v>
      </c>
    </row>
    <row r="586" spans="1:8" x14ac:dyDescent="0.45">
      <c r="A586" s="215" t="s">
        <v>2305</v>
      </c>
      <c r="B586" s="215" t="s">
        <v>70</v>
      </c>
      <c r="C586" s="215" t="s">
        <v>2061</v>
      </c>
      <c r="D586" s="215">
        <v>1000300</v>
      </c>
      <c r="E586" s="215">
        <v>0</v>
      </c>
      <c r="F586" s="215">
        <v>937740888.83000004</v>
      </c>
      <c r="G586" s="215">
        <v>0</v>
      </c>
      <c r="H586" s="329">
        <f t="shared" si="9"/>
        <v>1000300</v>
      </c>
    </row>
    <row r="587" spans="1:8" x14ac:dyDescent="0.45">
      <c r="A587" s="215" t="s">
        <v>2305</v>
      </c>
      <c r="B587" s="215" t="s">
        <v>2055</v>
      </c>
      <c r="C587" s="215" t="s">
        <v>2056</v>
      </c>
      <c r="D587" s="215">
        <v>0</v>
      </c>
      <c r="E587" s="215">
        <v>17536000</v>
      </c>
      <c r="F587" s="215">
        <v>920204888.83000004</v>
      </c>
      <c r="G587" s="215">
        <v>0</v>
      </c>
      <c r="H587" s="329">
        <f t="shared" si="9"/>
        <v>-17536000</v>
      </c>
    </row>
    <row r="588" spans="1:8" x14ac:dyDescent="0.45">
      <c r="A588" s="215" t="s">
        <v>2305</v>
      </c>
      <c r="B588" s="215" t="s">
        <v>2066</v>
      </c>
      <c r="C588" s="215" t="s">
        <v>2067</v>
      </c>
      <c r="D588" s="215">
        <v>0</v>
      </c>
      <c r="E588" s="215">
        <v>876800</v>
      </c>
      <c r="F588" s="215">
        <v>919328088.83000004</v>
      </c>
      <c r="G588" s="215">
        <v>0</v>
      </c>
      <c r="H588" s="329">
        <f t="shared" si="9"/>
        <v>-876800</v>
      </c>
    </row>
    <row r="589" spans="1:8" x14ac:dyDescent="0.45">
      <c r="A589" s="215" t="s">
        <v>2306</v>
      </c>
      <c r="B589" s="215" t="s">
        <v>2064</v>
      </c>
      <c r="C589" s="215" t="s">
        <v>2065</v>
      </c>
      <c r="D589" s="215">
        <v>0</v>
      </c>
      <c r="E589" s="215">
        <v>1965600</v>
      </c>
      <c r="F589" s="215">
        <v>917362488.83000004</v>
      </c>
      <c r="G589" s="215">
        <v>0</v>
      </c>
      <c r="H589" s="329">
        <f t="shared" si="9"/>
        <v>-1965600</v>
      </c>
    </row>
    <row r="590" spans="1:8" x14ac:dyDescent="0.45">
      <c r="A590" s="215" t="s">
        <v>2306</v>
      </c>
      <c r="B590" s="215" t="s">
        <v>2066</v>
      </c>
      <c r="C590" s="215" t="s">
        <v>2067</v>
      </c>
      <c r="D590" s="215">
        <v>0</v>
      </c>
      <c r="E590" s="215">
        <v>196560</v>
      </c>
      <c r="F590" s="215">
        <v>917165928.83000004</v>
      </c>
      <c r="G590" s="215">
        <v>0</v>
      </c>
      <c r="H590" s="329">
        <f t="shared" si="9"/>
        <v>-196560</v>
      </c>
    </row>
    <row r="591" spans="1:8" x14ac:dyDescent="0.45">
      <c r="A591" s="215" t="s">
        <v>2306</v>
      </c>
      <c r="B591" s="215" t="s">
        <v>2055</v>
      </c>
      <c r="C591" s="215" t="s">
        <v>2056</v>
      </c>
      <c r="D591" s="215">
        <v>0</v>
      </c>
      <c r="E591" s="215">
        <v>1218180</v>
      </c>
      <c r="F591" s="215">
        <v>915947748.83000004</v>
      </c>
      <c r="G591" s="215">
        <v>0</v>
      </c>
      <c r="H591" s="329">
        <f t="shared" si="9"/>
        <v>-1218180</v>
      </c>
    </row>
    <row r="592" spans="1:8" x14ac:dyDescent="0.45">
      <c r="A592" s="215" t="s">
        <v>2307</v>
      </c>
      <c r="B592" s="215" t="s">
        <v>2059</v>
      </c>
      <c r="C592" s="215" t="s">
        <v>2060</v>
      </c>
      <c r="D592" s="215">
        <v>8660000</v>
      </c>
      <c r="E592" s="215">
        <v>0</v>
      </c>
      <c r="F592" s="215">
        <v>924607748.83000004</v>
      </c>
      <c r="G592" s="215">
        <v>0</v>
      </c>
      <c r="H592" s="329">
        <f t="shared" si="9"/>
        <v>8660000</v>
      </c>
    </row>
    <row r="593" spans="1:8" x14ac:dyDescent="0.45">
      <c r="A593" s="215" t="s">
        <v>2307</v>
      </c>
      <c r="B593" s="215" t="s">
        <v>70</v>
      </c>
      <c r="C593" s="215" t="s">
        <v>2061</v>
      </c>
      <c r="D593" s="215">
        <v>866000</v>
      </c>
      <c r="E593" s="215">
        <v>0</v>
      </c>
      <c r="F593" s="215">
        <v>925473748.83000004</v>
      </c>
      <c r="G593" s="215">
        <v>0</v>
      </c>
      <c r="H593" s="329">
        <f t="shared" si="9"/>
        <v>866000</v>
      </c>
    </row>
    <row r="594" spans="1:8" x14ac:dyDescent="0.45">
      <c r="A594" s="215" t="s">
        <v>2307</v>
      </c>
      <c r="B594" s="215" t="s">
        <v>2059</v>
      </c>
      <c r="C594" s="215" t="s">
        <v>2060</v>
      </c>
      <c r="D594" s="215">
        <v>4570000</v>
      </c>
      <c r="E594" s="215">
        <v>0</v>
      </c>
      <c r="F594" s="215">
        <v>930043748.83000004</v>
      </c>
      <c r="G594" s="215">
        <v>0</v>
      </c>
      <c r="H594" s="329">
        <f t="shared" si="9"/>
        <v>4570000</v>
      </c>
    </row>
    <row r="595" spans="1:8" x14ac:dyDescent="0.45">
      <c r="A595" s="215" t="s">
        <v>2307</v>
      </c>
      <c r="B595" s="215" t="s">
        <v>70</v>
      </c>
      <c r="C595" s="215" t="s">
        <v>2061</v>
      </c>
      <c r="D595" s="215">
        <v>457000</v>
      </c>
      <c r="E595" s="215">
        <v>0</v>
      </c>
      <c r="F595" s="215">
        <v>930500748.83000004</v>
      </c>
      <c r="G595" s="215">
        <v>0</v>
      </c>
      <c r="H595" s="329">
        <f t="shared" si="9"/>
        <v>457000</v>
      </c>
    </row>
    <row r="596" spans="1:8" x14ac:dyDescent="0.45">
      <c r="A596" s="215" t="s">
        <v>2307</v>
      </c>
      <c r="B596" s="215" t="s">
        <v>2059</v>
      </c>
      <c r="C596" s="215" t="s">
        <v>2060</v>
      </c>
      <c r="D596" s="215">
        <v>13130000</v>
      </c>
      <c r="E596" s="215">
        <v>0</v>
      </c>
      <c r="F596" s="215">
        <v>943630748.83000004</v>
      </c>
      <c r="G596" s="215">
        <v>0</v>
      </c>
      <c r="H596" s="329">
        <f t="shared" si="9"/>
        <v>13130000</v>
      </c>
    </row>
    <row r="597" spans="1:8" x14ac:dyDescent="0.45">
      <c r="A597" s="215" t="s">
        <v>2307</v>
      </c>
      <c r="B597" s="215" t="s">
        <v>70</v>
      </c>
      <c r="C597" s="215" t="s">
        <v>2061</v>
      </c>
      <c r="D597" s="215">
        <v>1313000</v>
      </c>
      <c r="E597" s="215">
        <v>0</v>
      </c>
      <c r="F597" s="215">
        <v>944943748.83000004</v>
      </c>
      <c r="G597" s="215">
        <v>0</v>
      </c>
      <c r="H597" s="329">
        <f t="shared" si="9"/>
        <v>1313000</v>
      </c>
    </row>
    <row r="598" spans="1:8" x14ac:dyDescent="0.45">
      <c r="A598" s="215" t="s">
        <v>2308</v>
      </c>
      <c r="B598" s="215" t="s">
        <v>2059</v>
      </c>
      <c r="C598" s="215" t="s">
        <v>2060</v>
      </c>
      <c r="D598" s="215">
        <v>8565000</v>
      </c>
      <c r="E598" s="215">
        <v>0</v>
      </c>
      <c r="F598" s="215">
        <v>953508748.83000004</v>
      </c>
      <c r="G598" s="215">
        <v>0</v>
      </c>
      <c r="H598" s="329">
        <f t="shared" si="9"/>
        <v>8565000</v>
      </c>
    </row>
    <row r="599" spans="1:8" x14ac:dyDescent="0.45">
      <c r="A599" s="215" t="s">
        <v>2308</v>
      </c>
      <c r="B599" s="215" t="s">
        <v>70</v>
      </c>
      <c r="C599" s="215" t="s">
        <v>2061</v>
      </c>
      <c r="D599" s="215">
        <v>856500</v>
      </c>
      <c r="E599" s="215">
        <v>0</v>
      </c>
      <c r="F599" s="215">
        <v>954365248.83000004</v>
      </c>
      <c r="G599" s="215">
        <v>0</v>
      </c>
      <c r="H599" s="329">
        <f t="shared" si="9"/>
        <v>856500</v>
      </c>
    </row>
    <row r="600" spans="1:8" x14ac:dyDescent="0.45">
      <c r="A600" s="215" t="s">
        <v>2308</v>
      </c>
      <c r="B600" s="215" t="s">
        <v>2059</v>
      </c>
      <c r="C600" s="215" t="s">
        <v>2060</v>
      </c>
      <c r="D600" s="215">
        <v>11490000</v>
      </c>
      <c r="E600" s="215">
        <v>0</v>
      </c>
      <c r="F600" s="215">
        <v>965855248.83000004</v>
      </c>
      <c r="G600" s="215">
        <v>0</v>
      </c>
      <c r="H600" s="329">
        <f t="shared" si="9"/>
        <v>11490000</v>
      </c>
    </row>
    <row r="601" spans="1:8" x14ac:dyDescent="0.45">
      <c r="A601" s="215" t="s">
        <v>2308</v>
      </c>
      <c r="B601" s="215" t="s">
        <v>70</v>
      </c>
      <c r="C601" s="215" t="s">
        <v>2061</v>
      </c>
      <c r="D601" s="215">
        <v>1149000</v>
      </c>
      <c r="E601" s="215">
        <v>0</v>
      </c>
      <c r="F601" s="215">
        <v>967004248.83000004</v>
      </c>
      <c r="G601" s="215">
        <v>0</v>
      </c>
      <c r="H601" s="329">
        <f t="shared" si="9"/>
        <v>1149000</v>
      </c>
    </row>
    <row r="602" spans="1:8" x14ac:dyDescent="0.45">
      <c r="A602" s="215" t="s">
        <v>2308</v>
      </c>
      <c r="B602" s="215" t="s">
        <v>2309</v>
      </c>
      <c r="C602" s="215" t="s">
        <v>2097</v>
      </c>
      <c r="D602" s="215">
        <v>0</v>
      </c>
      <c r="E602" s="215">
        <v>2181818</v>
      </c>
      <c r="F602" s="215">
        <v>964822430.83000004</v>
      </c>
      <c r="G602" s="215">
        <v>0</v>
      </c>
      <c r="H602" s="329">
        <f t="shared" si="9"/>
        <v>-2181818</v>
      </c>
    </row>
    <row r="603" spans="1:8" x14ac:dyDescent="0.45">
      <c r="A603" s="215" t="s">
        <v>2308</v>
      </c>
      <c r="B603" s="215" t="s">
        <v>2066</v>
      </c>
      <c r="C603" s="215" t="s">
        <v>2067</v>
      </c>
      <c r="D603" s="215">
        <v>0</v>
      </c>
      <c r="E603" s="215">
        <v>218182</v>
      </c>
      <c r="F603" s="215">
        <v>964604248.83000004</v>
      </c>
      <c r="G603" s="215">
        <v>0</v>
      </c>
      <c r="H603" s="329">
        <f t="shared" si="9"/>
        <v>-218182</v>
      </c>
    </row>
    <row r="604" spans="1:8" x14ac:dyDescent="0.45">
      <c r="A604" s="215" t="s">
        <v>2308</v>
      </c>
      <c r="B604" s="215" t="s">
        <v>2055</v>
      </c>
      <c r="C604" s="215" t="s">
        <v>2056</v>
      </c>
      <c r="D604" s="215">
        <v>0</v>
      </c>
      <c r="E604" s="215">
        <v>16320000</v>
      </c>
      <c r="F604" s="215">
        <v>948284248.83000004</v>
      </c>
      <c r="G604" s="215">
        <v>0</v>
      </c>
      <c r="H604" s="329">
        <f t="shared" si="9"/>
        <v>-16320000</v>
      </c>
    </row>
    <row r="605" spans="1:8" x14ac:dyDescent="0.45">
      <c r="A605" s="215" t="s">
        <v>2308</v>
      </c>
      <c r="B605" s="215" t="s">
        <v>2066</v>
      </c>
      <c r="C605" s="215" t="s">
        <v>2067</v>
      </c>
      <c r="D605" s="215">
        <v>0</v>
      </c>
      <c r="E605" s="215">
        <v>816000</v>
      </c>
      <c r="F605" s="215">
        <v>947468248.83000004</v>
      </c>
      <c r="G605" s="215">
        <v>0</v>
      </c>
      <c r="H605" s="329">
        <f t="shared" si="9"/>
        <v>-816000</v>
      </c>
    </row>
    <row r="606" spans="1:8" x14ac:dyDescent="0.45">
      <c r="A606" s="215" t="s">
        <v>2308</v>
      </c>
      <c r="B606" s="215" t="s">
        <v>2055</v>
      </c>
      <c r="C606" s="215" t="s">
        <v>2056</v>
      </c>
      <c r="D606" s="215">
        <v>0</v>
      </c>
      <c r="E606" s="215">
        <v>3840000</v>
      </c>
      <c r="F606" s="215">
        <v>943628248.83000004</v>
      </c>
      <c r="G606" s="215">
        <v>0</v>
      </c>
      <c r="H606" s="329">
        <f t="shared" si="9"/>
        <v>-3840000</v>
      </c>
    </row>
    <row r="607" spans="1:8" x14ac:dyDescent="0.45">
      <c r="A607" s="215" t="s">
        <v>2308</v>
      </c>
      <c r="B607" s="215" t="s">
        <v>2066</v>
      </c>
      <c r="C607" s="215" t="s">
        <v>2067</v>
      </c>
      <c r="D607" s="215">
        <v>0</v>
      </c>
      <c r="E607" s="215">
        <v>384000</v>
      </c>
      <c r="F607" s="215">
        <v>943244248.83000004</v>
      </c>
      <c r="G607" s="215">
        <v>0</v>
      </c>
      <c r="H607" s="329">
        <f t="shared" si="9"/>
        <v>-384000</v>
      </c>
    </row>
    <row r="608" spans="1:8" x14ac:dyDescent="0.45">
      <c r="A608" s="215" t="s">
        <v>2310</v>
      </c>
      <c r="B608" s="215" t="s">
        <v>2059</v>
      </c>
      <c r="C608" s="215" t="s">
        <v>2060</v>
      </c>
      <c r="D608" s="215">
        <v>7445000</v>
      </c>
      <c r="E608" s="215">
        <v>0</v>
      </c>
      <c r="F608" s="215">
        <v>950689248.83000004</v>
      </c>
      <c r="G608" s="215">
        <v>0</v>
      </c>
      <c r="H608" s="329">
        <f t="shared" si="9"/>
        <v>7445000</v>
      </c>
    </row>
    <row r="609" spans="1:8" x14ac:dyDescent="0.45">
      <c r="A609" s="215" t="s">
        <v>2310</v>
      </c>
      <c r="B609" s="215" t="s">
        <v>70</v>
      </c>
      <c r="C609" s="215" t="s">
        <v>2061</v>
      </c>
      <c r="D609" s="215">
        <v>744500</v>
      </c>
      <c r="E609" s="215">
        <v>0</v>
      </c>
      <c r="F609" s="215">
        <v>951433748.83000004</v>
      </c>
      <c r="G609" s="215">
        <v>0</v>
      </c>
      <c r="H609" s="329">
        <f t="shared" si="9"/>
        <v>744500</v>
      </c>
    </row>
    <row r="610" spans="1:8" x14ac:dyDescent="0.45">
      <c r="A610" s="215" t="s">
        <v>2311</v>
      </c>
      <c r="B610" s="215" t="s">
        <v>2055</v>
      </c>
      <c r="C610" s="215" t="s">
        <v>2056</v>
      </c>
      <c r="D610" s="215">
        <v>0</v>
      </c>
      <c r="E610" s="215">
        <v>3350000</v>
      </c>
      <c r="F610" s="215">
        <v>948083748.83000004</v>
      </c>
      <c r="G610" s="215">
        <v>0</v>
      </c>
      <c r="H610" s="329">
        <f t="shared" si="9"/>
        <v>-3350000</v>
      </c>
    </row>
    <row r="611" spans="1:8" x14ac:dyDescent="0.45">
      <c r="A611" s="215" t="s">
        <v>2312</v>
      </c>
      <c r="B611" s="215" t="s">
        <v>34</v>
      </c>
      <c r="C611" s="215" t="s">
        <v>2313</v>
      </c>
      <c r="D611" s="215">
        <v>0</v>
      </c>
      <c r="E611" s="215">
        <v>625000000</v>
      </c>
      <c r="F611" s="215">
        <v>323083748.82999998</v>
      </c>
      <c r="G611" s="215">
        <v>0</v>
      </c>
      <c r="H611" s="329">
        <f t="shared" si="9"/>
        <v>-625000000</v>
      </c>
    </row>
    <row r="612" spans="1:8" x14ac:dyDescent="0.45">
      <c r="A612" s="215" t="s">
        <v>2314</v>
      </c>
      <c r="B612" s="215" t="s">
        <v>2190</v>
      </c>
      <c r="C612" s="215" t="s">
        <v>2097</v>
      </c>
      <c r="D612" s="215">
        <v>0</v>
      </c>
      <c r="E612" s="215">
        <v>454545</v>
      </c>
      <c r="F612" s="215">
        <v>322629203.82999998</v>
      </c>
      <c r="G612" s="215">
        <v>0</v>
      </c>
      <c r="H612" s="329">
        <f t="shared" si="9"/>
        <v>-454545</v>
      </c>
    </row>
    <row r="613" spans="1:8" x14ac:dyDescent="0.45">
      <c r="A613" s="215" t="s">
        <v>2306</v>
      </c>
      <c r="B613" s="215" t="s">
        <v>2066</v>
      </c>
      <c r="C613" s="215" t="s">
        <v>2067</v>
      </c>
      <c r="D613" s="215">
        <v>0</v>
      </c>
      <c r="E613" s="215">
        <v>121818</v>
      </c>
      <c r="F613" s="215">
        <v>322507385.82999998</v>
      </c>
      <c r="G613" s="215">
        <v>0</v>
      </c>
      <c r="H613" s="329">
        <f t="shared" si="9"/>
        <v>-121818</v>
      </c>
    </row>
    <row r="614" spans="1:8" x14ac:dyDescent="0.45">
      <c r="A614" s="215" t="s">
        <v>2315</v>
      </c>
      <c r="B614" s="215" t="s">
        <v>2059</v>
      </c>
      <c r="C614" s="215" t="s">
        <v>2060</v>
      </c>
      <c r="D614" s="215">
        <v>9893000</v>
      </c>
      <c r="E614" s="215">
        <v>0</v>
      </c>
      <c r="F614" s="215">
        <v>332400385.82999998</v>
      </c>
      <c r="G614" s="215">
        <v>0</v>
      </c>
      <c r="H614" s="329">
        <f t="shared" si="9"/>
        <v>9893000</v>
      </c>
    </row>
    <row r="615" spans="1:8" x14ac:dyDescent="0.45">
      <c r="A615" s="215" t="s">
        <v>2315</v>
      </c>
      <c r="B615" s="215" t="s">
        <v>70</v>
      </c>
      <c r="C615" s="215" t="s">
        <v>2061</v>
      </c>
      <c r="D615" s="215">
        <v>989300</v>
      </c>
      <c r="E615" s="215">
        <v>0</v>
      </c>
      <c r="F615" s="215">
        <v>333389685.82999998</v>
      </c>
      <c r="G615" s="215">
        <v>0</v>
      </c>
      <c r="H615" s="329">
        <f t="shared" si="9"/>
        <v>989300</v>
      </c>
    </row>
    <row r="616" spans="1:8" x14ac:dyDescent="0.45">
      <c r="A616" s="215" t="s">
        <v>2316</v>
      </c>
      <c r="B616" s="215" t="s">
        <v>2076</v>
      </c>
      <c r="C616" s="215" t="s">
        <v>2065</v>
      </c>
      <c r="D616" s="215">
        <v>0</v>
      </c>
      <c r="E616" s="215">
        <v>486860</v>
      </c>
      <c r="F616" s="215">
        <v>332902825.82999998</v>
      </c>
      <c r="G616" s="215">
        <v>0</v>
      </c>
      <c r="H616" s="329">
        <f t="shared" si="9"/>
        <v>-486860</v>
      </c>
    </row>
    <row r="617" spans="1:8" x14ac:dyDescent="0.45">
      <c r="A617" s="215" t="s">
        <v>2316</v>
      </c>
      <c r="B617" s="215" t="s">
        <v>2066</v>
      </c>
      <c r="C617" s="215" t="s">
        <v>2067</v>
      </c>
      <c r="D617" s="215">
        <v>0</v>
      </c>
      <c r="E617" s="215">
        <v>30398</v>
      </c>
      <c r="F617" s="215">
        <v>332872427.82999998</v>
      </c>
      <c r="G617" s="215">
        <v>0</v>
      </c>
      <c r="H617" s="329">
        <f t="shared" si="9"/>
        <v>-30398</v>
      </c>
    </row>
    <row r="618" spans="1:8" x14ac:dyDescent="0.45">
      <c r="A618" s="215" t="s">
        <v>2316</v>
      </c>
      <c r="B618" s="215" t="s">
        <v>2055</v>
      </c>
      <c r="C618" s="215" t="s">
        <v>2056</v>
      </c>
      <c r="D618" s="215">
        <v>0</v>
      </c>
      <c r="E618" s="215">
        <v>4650000</v>
      </c>
      <c r="F618" s="215">
        <v>328222427.82999998</v>
      </c>
      <c r="G618" s="215">
        <v>0</v>
      </c>
      <c r="H618" s="329">
        <f t="shared" si="9"/>
        <v>-4650000</v>
      </c>
    </row>
    <row r="619" spans="1:8" x14ac:dyDescent="0.45">
      <c r="A619" s="215" t="s">
        <v>2297</v>
      </c>
      <c r="B619" s="215" t="s">
        <v>2066</v>
      </c>
      <c r="C619" s="215" t="s">
        <v>2067</v>
      </c>
      <c r="D619" s="215">
        <v>0</v>
      </c>
      <c r="E619" s="215">
        <v>109000</v>
      </c>
      <c r="F619" s="215">
        <v>328113427.82999998</v>
      </c>
      <c r="G619" s="215">
        <v>0</v>
      </c>
      <c r="H619" s="329">
        <f t="shared" si="9"/>
        <v>-109000</v>
      </c>
    </row>
    <row r="620" spans="1:8" x14ac:dyDescent="0.45">
      <c r="A620" s="215" t="s">
        <v>2317</v>
      </c>
      <c r="B620" s="215" t="s">
        <v>2059</v>
      </c>
      <c r="C620" s="215" t="s">
        <v>2060</v>
      </c>
      <c r="D620" s="215">
        <v>9147000</v>
      </c>
      <c r="E620" s="215">
        <v>0</v>
      </c>
      <c r="F620" s="215">
        <v>337260427.82999998</v>
      </c>
      <c r="G620" s="215">
        <v>0</v>
      </c>
      <c r="H620" s="329">
        <f t="shared" si="9"/>
        <v>9147000</v>
      </c>
    </row>
    <row r="621" spans="1:8" x14ac:dyDescent="0.45">
      <c r="A621" s="215" t="s">
        <v>2317</v>
      </c>
      <c r="B621" s="215" t="s">
        <v>70</v>
      </c>
      <c r="C621" s="215" t="s">
        <v>2061</v>
      </c>
      <c r="D621" s="215">
        <v>914700</v>
      </c>
      <c r="E621" s="215">
        <v>0</v>
      </c>
      <c r="F621" s="215">
        <v>338175127.82999998</v>
      </c>
      <c r="G621" s="215">
        <v>0</v>
      </c>
      <c r="H621" s="329">
        <f t="shared" si="9"/>
        <v>914700</v>
      </c>
    </row>
    <row r="622" spans="1:8" x14ac:dyDescent="0.45">
      <c r="A622" s="215" t="s">
        <v>2317</v>
      </c>
      <c r="B622" s="215" t="s">
        <v>2318</v>
      </c>
      <c r="C622" s="215" t="s">
        <v>2053</v>
      </c>
      <c r="D622" s="215">
        <v>62</v>
      </c>
      <c r="E622" s="215">
        <v>0</v>
      </c>
      <c r="F622" s="215">
        <v>338175189.82999998</v>
      </c>
      <c r="G622" s="215">
        <v>0</v>
      </c>
      <c r="H622" s="329">
        <f t="shared" si="9"/>
        <v>62</v>
      </c>
    </row>
    <row r="623" spans="1:8" x14ac:dyDescent="0.45">
      <c r="A623" s="215" t="s">
        <v>2317</v>
      </c>
      <c r="B623" s="215" t="s">
        <v>2319</v>
      </c>
      <c r="C623" s="215" t="s">
        <v>2065</v>
      </c>
      <c r="D623" s="215">
        <v>0</v>
      </c>
      <c r="E623" s="215">
        <v>1855000</v>
      </c>
      <c r="F623" s="215">
        <v>336320189.82999998</v>
      </c>
      <c r="G623" s="215">
        <v>0</v>
      </c>
      <c r="H623" s="329">
        <f t="shared" si="9"/>
        <v>-1855000</v>
      </c>
    </row>
    <row r="624" spans="1:8" x14ac:dyDescent="0.45">
      <c r="A624" s="215" t="s">
        <v>2317</v>
      </c>
      <c r="B624" s="215" t="s">
        <v>2320</v>
      </c>
      <c r="C624" s="215" t="s">
        <v>2065</v>
      </c>
      <c r="D624" s="215">
        <v>0</v>
      </c>
      <c r="E624" s="215">
        <v>1602000</v>
      </c>
      <c r="F624" s="215">
        <v>334718189.82999998</v>
      </c>
      <c r="G624" s="215">
        <v>0</v>
      </c>
      <c r="H624" s="329">
        <f t="shared" si="9"/>
        <v>-1602000</v>
      </c>
    </row>
    <row r="625" spans="1:8" x14ac:dyDescent="0.45">
      <c r="A625" s="215" t="s">
        <v>2317</v>
      </c>
      <c r="B625" s="215" t="s">
        <v>2321</v>
      </c>
      <c r="C625" s="215" t="s">
        <v>2065</v>
      </c>
      <c r="D625" s="215">
        <v>0</v>
      </c>
      <c r="E625" s="215">
        <v>3500000</v>
      </c>
      <c r="F625" s="215">
        <v>331218189.82999998</v>
      </c>
      <c r="G625" s="215">
        <v>0</v>
      </c>
      <c r="H625" s="329">
        <f t="shared" si="9"/>
        <v>-3500000</v>
      </c>
    </row>
    <row r="626" spans="1:8" x14ac:dyDescent="0.45">
      <c r="A626" s="215" t="s">
        <v>2317</v>
      </c>
      <c r="B626" s="215" t="s">
        <v>2090</v>
      </c>
      <c r="C626" s="215" t="s">
        <v>2091</v>
      </c>
      <c r="D626" s="215">
        <v>0</v>
      </c>
      <c r="E626" s="215">
        <v>37388155</v>
      </c>
      <c r="F626" s="215">
        <v>293830034.82999998</v>
      </c>
      <c r="G626" s="215">
        <v>0</v>
      </c>
      <c r="H626" s="329">
        <f t="shared" si="9"/>
        <v>-37388155</v>
      </c>
    </row>
  </sheetData>
  <autoFilter ref="A4:H626" xr:uid="{00000000-0009-0000-0000-000009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 filterMode="1"/>
  <dimension ref="A1:J199"/>
  <sheetViews>
    <sheetView workbookViewId="0">
      <selection activeCell="J18" sqref="J18"/>
    </sheetView>
  </sheetViews>
  <sheetFormatPr defaultRowHeight="14.25" x14ac:dyDescent="0.45"/>
  <cols>
    <col min="4" max="4" width="22.86328125" customWidth="1"/>
    <col min="5" max="5" width="14.265625" customWidth="1"/>
    <col min="10" max="10" width="14.73046875" bestFit="1" customWidth="1"/>
  </cols>
  <sheetData>
    <row r="1" spans="1:10" x14ac:dyDescent="0.45">
      <c r="A1" s="215" t="s">
        <v>2322</v>
      </c>
      <c r="B1" s="215" t="s">
        <v>2323</v>
      </c>
      <c r="C1" s="215"/>
      <c r="D1" s="215" t="s">
        <v>2043</v>
      </c>
      <c r="E1" s="215" t="s">
        <v>2044</v>
      </c>
      <c r="F1" s="215" t="s">
        <v>2045</v>
      </c>
      <c r="G1" s="215"/>
      <c r="H1" s="215" t="s">
        <v>2046</v>
      </c>
      <c r="I1" s="215"/>
    </row>
    <row r="2" spans="1:10" x14ac:dyDescent="0.45">
      <c r="A2" s="215"/>
      <c r="B2" s="215" t="s">
        <v>2324</v>
      </c>
      <c r="C2" s="215" t="s">
        <v>2047</v>
      </c>
      <c r="D2" s="215"/>
      <c r="E2" s="215"/>
      <c r="F2" s="215" t="s">
        <v>2048</v>
      </c>
      <c r="G2" s="215" t="s">
        <v>2049</v>
      </c>
      <c r="H2" s="215" t="s">
        <v>2048</v>
      </c>
      <c r="I2" s="215" t="s">
        <v>2049</v>
      </c>
    </row>
    <row r="3" spans="1:10" x14ac:dyDescent="0.45">
      <c r="A3" s="215" t="s">
        <v>1050</v>
      </c>
      <c r="B3" s="215" t="s">
        <v>1055</v>
      </c>
      <c r="C3" s="215" t="s">
        <v>11</v>
      </c>
      <c r="D3" s="215" t="s">
        <v>1149</v>
      </c>
      <c r="E3" s="215" t="s">
        <v>1157</v>
      </c>
      <c r="F3" s="215" t="s">
        <v>1077</v>
      </c>
      <c r="G3" s="215" t="s">
        <v>1089</v>
      </c>
      <c r="H3" s="215" t="s">
        <v>1109</v>
      </c>
      <c r="I3" s="215" t="s">
        <v>1112</v>
      </c>
    </row>
    <row r="4" spans="1:10" x14ac:dyDescent="0.45">
      <c r="A4" s="215" t="s">
        <v>2050</v>
      </c>
      <c r="B4" s="215"/>
      <c r="C4" s="215" t="s">
        <v>2050</v>
      </c>
      <c r="D4" s="215" t="s">
        <v>4</v>
      </c>
      <c r="E4" s="215"/>
      <c r="F4" s="215">
        <v>0</v>
      </c>
      <c r="G4" s="215">
        <v>0</v>
      </c>
      <c r="H4" s="215">
        <v>2335867</v>
      </c>
      <c r="I4" s="215">
        <v>0</v>
      </c>
    </row>
    <row r="5" spans="1:10" hidden="1" x14ac:dyDescent="0.45">
      <c r="A5" s="215" t="s">
        <v>2070</v>
      </c>
      <c r="B5" s="215" t="s">
        <v>2325</v>
      </c>
      <c r="C5" s="215" t="s">
        <v>2070</v>
      </c>
      <c r="D5" s="215" t="s">
        <v>2071</v>
      </c>
      <c r="E5" s="215" t="s">
        <v>2326</v>
      </c>
      <c r="F5" s="215">
        <v>10000000</v>
      </c>
      <c r="G5" s="215">
        <v>0</v>
      </c>
      <c r="H5" s="215">
        <v>12335867</v>
      </c>
      <c r="I5" s="215">
        <v>0</v>
      </c>
      <c r="J5" s="329">
        <f>IF(F5&gt;0,F5,-G5)</f>
        <v>10000000</v>
      </c>
    </row>
    <row r="6" spans="1:10" hidden="1" x14ac:dyDescent="0.45">
      <c r="A6" s="215" t="s">
        <v>2073</v>
      </c>
      <c r="B6" s="215" t="s">
        <v>2327</v>
      </c>
      <c r="C6" s="215" t="s">
        <v>2073</v>
      </c>
      <c r="D6" s="215" t="s">
        <v>2328</v>
      </c>
      <c r="E6" s="215" t="s">
        <v>2329</v>
      </c>
      <c r="F6" s="215">
        <v>0</v>
      </c>
      <c r="G6" s="215">
        <v>2000000</v>
      </c>
      <c r="H6" s="215">
        <v>10335867</v>
      </c>
      <c r="I6" s="215">
        <v>0</v>
      </c>
      <c r="J6" s="329">
        <f t="shared" ref="J6:J69" si="0">IF(F6&gt;0,F6,-G6)</f>
        <v>-2000000</v>
      </c>
    </row>
    <row r="7" spans="1:10" hidden="1" x14ac:dyDescent="0.45">
      <c r="A7" s="215" t="s">
        <v>2073</v>
      </c>
      <c r="B7" s="215" t="s">
        <v>2330</v>
      </c>
      <c r="C7" s="215" t="s">
        <v>2073</v>
      </c>
      <c r="D7" s="215" t="s">
        <v>2331</v>
      </c>
      <c r="E7" s="215" t="s">
        <v>2097</v>
      </c>
      <c r="F7" s="215">
        <v>0</v>
      </c>
      <c r="G7" s="215">
        <v>16500</v>
      </c>
      <c r="H7" s="215">
        <v>10319367</v>
      </c>
      <c r="I7" s="215">
        <v>0</v>
      </c>
      <c r="J7" s="329">
        <f t="shared" si="0"/>
        <v>-16500</v>
      </c>
    </row>
    <row r="8" spans="1:10" hidden="1" x14ac:dyDescent="0.45">
      <c r="A8" s="215" t="s">
        <v>2077</v>
      </c>
      <c r="B8" s="215" t="s">
        <v>2332</v>
      </c>
      <c r="C8" s="215" t="s">
        <v>2077</v>
      </c>
      <c r="D8" s="215" t="s">
        <v>2071</v>
      </c>
      <c r="E8" s="215" t="s">
        <v>2326</v>
      </c>
      <c r="F8" s="215">
        <v>60000000</v>
      </c>
      <c r="G8" s="215">
        <v>0</v>
      </c>
      <c r="H8" s="215">
        <v>70319367</v>
      </c>
      <c r="I8" s="215">
        <v>0</v>
      </c>
      <c r="J8" s="329">
        <f t="shared" si="0"/>
        <v>60000000</v>
      </c>
    </row>
    <row r="9" spans="1:10" hidden="1" x14ac:dyDescent="0.45">
      <c r="A9" s="215" t="s">
        <v>2077</v>
      </c>
      <c r="B9" s="215" t="s">
        <v>2333</v>
      </c>
      <c r="C9" s="215" t="s">
        <v>2077</v>
      </c>
      <c r="D9" s="215" t="s">
        <v>2334</v>
      </c>
      <c r="E9" s="215" t="s">
        <v>2097</v>
      </c>
      <c r="F9" s="215">
        <v>0</v>
      </c>
      <c r="G9" s="215">
        <v>5500000</v>
      </c>
      <c r="H9" s="215">
        <v>64819367</v>
      </c>
      <c r="I9" s="215">
        <v>0</v>
      </c>
      <c r="J9" s="329">
        <f t="shared" si="0"/>
        <v>-5500000</v>
      </c>
    </row>
    <row r="10" spans="1:10" hidden="1" x14ac:dyDescent="0.45">
      <c r="A10" s="215" t="s">
        <v>2077</v>
      </c>
      <c r="B10" s="215" t="s">
        <v>2333</v>
      </c>
      <c r="C10" s="215" t="s">
        <v>2077</v>
      </c>
      <c r="D10" s="215" t="s">
        <v>2334</v>
      </c>
      <c r="E10" s="215" t="s">
        <v>2053</v>
      </c>
      <c r="F10" s="215">
        <v>0</v>
      </c>
      <c r="G10" s="215">
        <v>11000000</v>
      </c>
      <c r="H10" s="215">
        <v>53819367</v>
      </c>
      <c r="I10" s="215">
        <v>0</v>
      </c>
      <c r="J10" s="329">
        <f t="shared" si="0"/>
        <v>-11000000</v>
      </c>
    </row>
    <row r="11" spans="1:10" hidden="1" x14ac:dyDescent="0.45">
      <c r="A11" s="215" t="s">
        <v>2077</v>
      </c>
      <c r="B11" s="215" t="s">
        <v>2335</v>
      </c>
      <c r="C11" s="215" t="s">
        <v>2077</v>
      </c>
      <c r="D11" s="215" t="s">
        <v>2336</v>
      </c>
      <c r="E11" s="215" t="s">
        <v>2053</v>
      </c>
      <c r="F11" s="215">
        <v>0</v>
      </c>
      <c r="G11" s="215">
        <v>1319667</v>
      </c>
      <c r="H11" s="215">
        <v>52499700</v>
      </c>
      <c r="I11" s="215">
        <v>0</v>
      </c>
      <c r="J11" s="329">
        <f t="shared" si="0"/>
        <v>-1319667</v>
      </c>
    </row>
    <row r="12" spans="1:10" hidden="1" x14ac:dyDescent="0.45">
      <c r="A12" s="215" t="s">
        <v>2077</v>
      </c>
      <c r="B12" s="215" t="s">
        <v>2337</v>
      </c>
      <c r="C12" s="215" t="s">
        <v>2077</v>
      </c>
      <c r="D12" s="215" t="s">
        <v>2336</v>
      </c>
      <c r="E12" s="215" t="s">
        <v>2053</v>
      </c>
      <c r="F12" s="215">
        <v>0</v>
      </c>
      <c r="G12" s="215">
        <v>1548070</v>
      </c>
      <c r="H12" s="215">
        <v>50951630</v>
      </c>
      <c r="I12" s="215">
        <v>0</v>
      </c>
      <c r="J12" s="329">
        <f t="shared" si="0"/>
        <v>-1548070</v>
      </c>
    </row>
    <row r="13" spans="1:10" hidden="1" x14ac:dyDescent="0.45">
      <c r="A13" s="215" t="s">
        <v>2077</v>
      </c>
      <c r="B13" s="215" t="s">
        <v>2338</v>
      </c>
      <c r="C13" s="215" t="s">
        <v>2077</v>
      </c>
      <c r="D13" s="215" t="s">
        <v>2331</v>
      </c>
      <c r="E13" s="215" t="s">
        <v>2097</v>
      </c>
      <c r="F13" s="215">
        <v>0</v>
      </c>
      <c r="G13" s="215">
        <v>22000</v>
      </c>
      <c r="H13" s="215">
        <v>50929630</v>
      </c>
      <c r="I13" s="215">
        <v>0</v>
      </c>
      <c r="J13" s="329">
        <f t="shared" si="0"/>
        <v>-22000</v>
      </c>
    </row>
    <row r="14" spans="1:10" hidden="1" x14ac:dyDescent="0.45">
      <c r="A14" s="215" t="s">
        <v>2077</v>
      </c>
      <c r="B14" s="215" t="s">
        <v>2339</v>
      </c>
      <c r="C14" s="215" t="s">
        <v>2077</v>
      </c>
      <c r="D14" s="215" t="s">
        <v>2331</v>
      </c>
      <c r="E14" s="215" t="s">
        <v>2097</v>
      </c>
      <c r="F14" s="215">
        <v>0</v>
      </c>
      <c r="G14" s="215">
        <v>22000</v>
      </c>
      <c r="H14" s="215">
        <v>50907630</v>
      </c>
      <c r="I14" s="215">
        <v>0</v>
      </c>
      <c r="J14" s="329">
        <f t="shared" si="0"/>
        <v>-22000</v>
      </c>
    </row>
    <row r="15" spans="1:10" hidden="1" x14ac:dyDescent="0.45">
      <c r="A15" s="215" t="s">
        <v>2077</v>
      </c>
      <c r="B15" s="215" t="s">
        <v>2340</v>
      </c>
      <c r="C15" s="215" t="s">
        <v>2077</v>
      </c>
      <c r="D15" s="215" t="s">
        <v>2331</v>
      </c>
      <c r="E15" s="215" t="s">
        <v>2097</v>
      </c>
      <c r="F15" s="215">
        <v>0</v>
      </c>
      <c r="G15" s="215">
        <v>22000</v>
      </c>
      <c r="H15" s="215">
        <v>50885630</v>
      </c>
      <c r="I15" s="215">
        <v>0</v>
      </c>
      <c r="J15" s="329">
        <f t="shared" si="0"/>
        <v>-22000</v>
      </c>
    </row>
    <row r="16" spans="1:10" hidden="1" x14ac:dyDescent="0.45">
      <c r="A16" s="215" t="s">
        <v>2078</v>
      </c>
      <c r="B16" s="215" t="s">
        <v>2341</v>
      </c>
      <c r="C16" s="215" t="s">
        <v>2078</v>
      </c>
      <c r="D16" s="215" t="s">
        <v>2342</v>
      </c>
      <c r="E16" s="215" t="s">
        <v>2053</v>
      </c>
      <c r="F16" s="215">
        <v>0</v>
      </c>
      <c r="G16" s="215">
        <v>6046312</v>
      </c>
      <c r="H16" s="215">
        <v>44839318</v>
      </c>
      <c r="I16" s="215">
        <v>0</v>
      </c>
      <c r="J16" s="329">
        <f t="shared" si="0"/>
        <v>-6046312</v>
      </c>
    </row>
    <row r="17" spans="1:10" hidden="1" x14ac:dyDescent="0.45">
      <c r="A17" s="215" t="s">
        <v>2080</v>
      </c>
      <c r="B17" s="215" t="s">
        <v>2343</v>
      </c>
      <c r="C17" s="215" t="s">
        <v>2080</v>
      </c>
      <c r="D17" s="215" t="s">
        <v>2331</v>
      </c>
      <c r="E17" s="215" t="s">
        <v>2097</v>
      </c>
      <c r="F17" s="215">
        <v>0</v>
      </c>
      <c r="G17" s="215">
        <v>22000</v>
      </c>
      <c r="H17" s="215">
        <v>44817318</v>
      </c>
      <c r="I17" s="215">
        <v>0</v>
      </c>
      <c r="J17" s="329">
        <f t="shared" si="0"/>
        <v>-22000</v>
      </c>
    </row>
    <row r="18" spans="1:10" hidden="1" x14ac:dyDescent="0.45">
      <c r="A18" s="215" t="s">
        <v>2085</v>
      </c>
      <c r="B18" s="215" t="s">
        <v>2344</v>
      </c>
      <c r="C18" s="215" t="s">
        <v>2085</v>
      </c>
      <c r="D18" s="215" t="s">
        <v>2071</v>
      </c>
      <c r="E18" s="215" t="s">
        <v>2326</v>
      </c>
      <c r="F18" s="215">
        <v>5000000</v>
      </c>
      <c r="G18" s="215">
        <v>0</v>
      </c>
      <c r="H18" s="215">
        <v>49817318</v>
      </c>
      <c r="I18" s="215">
        <v>0</v>
      </c>
      <c r="J18" s="329">
        <f t="shared" si="0"/>
        <v>5000000</v>
      </c>
    </row>
    <row r="19" spans="1:10" hidden="1" x14ac:dyDescent="0.45">
      <c r="A19" s="215" t="s">
        <v>2085</v>
      </c>
      <c r="B19" s="215" t="s">
        <v>2345</v>
      </c>
      <c r="C19" s="215" t="s">
        <v>2085</v>
      </c>
      <c r="D19" s="215" t="s">
        <v>2346</v>
      </c>
      <c r="E19" s="215" t="s">
        <v>2061</v>
      </c>
      <c r="F19" s="215">
        <v>0</v>
      </c>
      <c r="G19" s="215">
        <v>47377232</v>
      </c>
      <c r="H19" s="215">
        <v>2440086</v>
      </c>
      <c r="I19" s="215">
        <v>0</v>
      </c>
      <c r="J19" s="329">
        <f t="shared" si="0"/>
        <v>-47377232</v>
      </c>
    </row>
    <row r="20" spans="1:10" hidden="1" x14ac:dyDescent="0.45">
      <c r="A20" s="215" t="s">
        <v>2085</v>
      </c>
      <c r="B20" s="215" t="s">
        <v>2347</v>
      </c>
      <c r="C20" s="215" t="s">
        <v>2085</v>
      </c>
      <c r="D20" s="215" t="s">
        <v>2331</v>
      </c>
      <c r="E20" s="215" t="s">
        <v>2097</v>
      </c>
      <c r="F20" s="215">
        <v>0</v>
      </c>
      <c r="G20" s="215">
        <v>16500</v>
      </c>
      <c r="H20" s="215">
        <v>2423586</v>
      </c>
      <c r="I20" s="215">
        <v>0</v>
      </c>
      <c r="J20" s="329">
        <f t="shared" si="0"/>
        <v>-16500</v>
      </c>
    </row>
    <row r="21" spans="1:10" x14ac:dyDescent="0.45">
      <c r="A21" s="215" t="s">
        <v>2086</v>
      </c>
      <c r="B21" s="215" t="s">
        <v>2348</v>
      </c>
      <c r="C21" s="215" t="s">
        <v>2086</v>
      </c>
      <c r="D21" s="215" t="s">
        <v>2349</v>
      </c>
      <c r="E21" s="215" t="s">
        <v>2350</v>
      </c>
      <c r="F21" s="215">
        <v>1264</v>
      </c>
      <c r="G21" s="215">
        <v>0</v>
      </c>
      <c r="H21" s="215">
        <v>2424850</v>
      </c>
      <c r="I21" s="215">
        <v>0</v>
      </c>
      <c r="J21" s="329">
        <f t="shared" si="0"/>
        <v>1264</v>
      </c>
    </row>
    <row r="22" spans="1:10" hidden="1" x14ac:dyDescent="0.45">
      <c r="A22" s="215" t="s">
        <v>2086</v>
      </c>
      <c r="B22" s="215" t="s">
        <v>2351</v>
      </c>
      <c r="C22" s="215" t="s">
        <v>2086</v>
      </c>
      <c r="D22" s="215" t="s">
        <v>2331</v>
      </c>
      <c r="E22" s="215" t="s">
        <v>2097</v>
      </c>
      <c r="F22" s="215">
        <v>0</v>
      </c>
      <c r="G22" s="215">
        <v>30000</v>
      </c>
      <c r="H22" s="215">
        <v>2394850</v>
      </c>
      <c r="I22" s="215">
        <v>0</v>
      </c>
      <c r="J22" s="329">
        <f t="shared" si="0"/>
        <v>-30000</v>
      </c>
    </row>
    <row r="23" spans="1:10" hidden="1" x14ac:dyDescent="0.45">
      <c r="A23" s="215" t="s">
        <v>2352</v>
      </c>
      <c r="B23" s="215" t="s">
        <v>2353</v>
      </c>
      <c r="C23" s="215" t="s">
        <v>2352</v>
      </c>
      <c r="D23" s="215" t="s">
        <v>2354</v>
      </c>
      <c r="E23" s="215" t="s">
        <v>2108</v>
      </c>
      <c r="F23" s="215">
        <v>0</v>
      </c>
      <c r="G23" s="215">
        <v>1685083</v>
      </c>
      <c r="H23" s="215">
        <v>709767</v>
      </c>
      <c r="I23" s="215">
        <v>0</v>
      </c>
      <c r="J23" s="329">
        <f t="shared" si="0"/>
        <v>-1685083</v>
      </c>
    </row>
    <row r="24" spans="1:10" hidden="1" x14ac:dyDescent="0.45">
      <c r="A24" s="215" t="s">
        <v>2352</v>
      </c>
      <c r="B24" s="215" t="s">
        <v>2355</v>
      </c>
      <c r="C24" s="215" t="s">
        <v>2352</v>
      </c>
      <c r="D24" s="215" t="s">
        <v>2331</v>
      </c>
      <c r="E24" s="215" t="s">
        <v>2097</v>
      </c>
      <c r="F24" s="215">
        <v>0</v>
      </c>
      <c r="G24" s="215">
        <v>22000</v>
      </c>
      <c r="H24" s="215">
        <v>687767</v>
      </c>
      <c r="I24" s="215">
        <v>0</v>
      </c>
      <c r="J24" s="329">
        <f t="shared" si="0"/>
        <v>-22000</v>
      </c>
    </row>
    <row r="25" spans="1:10" hidden="1" x14ac:dyDescent="0.45">
      <c r="A25" s="215" t="s">
        <v>2093</v>
      </c>
      <c r="B25" s="215" t="s">
        <v>2356</v>
      </c>
      <c r="C25" s="215" t="s">
        <v>2093</v>
      </c>
      <c r="D25" s="215" t="s">
        <v>2071</v>
      </c>
      <c r="E25" s="215" t="s">
        <v>2326</v>
      </c>
      <c r="F25" s="215">
        <v>40000000</v>
      </c>
      <c r="G25" s="215">
        <v>0</v>
      </c>
      <c r="H25" s="215">
        <v>40687767</v>
      </c>
      <c r="I25" s="215">
        <v>0</v>
      </c>
      <c r="J25" s="329">
        <f t="shared" si="0"/>
        <v>40000000</v>
      </c>
    </row>
    <row r="26" spans="1:10" hidden="1" x14ac:dyDescent="0.45">
      <c r="A26" s="215" t="s">
        <v>2357</v>
      </c>
      <c r="B26" s="215" t="s">
        <v>2358</v>
      </c>
      <c r="C26" s="215" t="s">
        <v>2357</v>
      </c>
      <c r="D26" s="215" t="s">
        <v>2342</v>
      </c>
      <c r="E26" s="215" t="s">
        <v>2053</v>
      </c>
      <c r="F26" s="215">
        <v>0</v>
      </c>
      <c r="G26" s="215">
        <v>4762372</v>
      </c>
      <c r="H26" s="215">
        <v>35925395</v>
      </c>
      <c r="I26" s="215">
        <v>0</v>
      </c>
      <c r="J26" s="329">
        <f t="shared" si="0"/>
        <v>-4762372</v>
      </c>
    </row>
    <row r="27" spans="1:10" hidden="1" x14ac:dyDescent="0.45">
      <c r="A27" s="215" t="s">
        <v>2094</v>
      </c>
      <c r="B27" s="215" t="s">
        <v>2359</v>
      </c>
      <c r="C27" s="215" t="s">
        <v>2094</v>
      </c>
      <c r="D27" s="215" t="s">
        <v>2336</v>
      </c>
      <c r="E27" s="215" t="s">
        <v>2053</v>
      </c>
      <c r="F27" s="215">
        <v>0</v>
      </c>
      <c r="G27" s="215">
        <v>1674961</v>
      </c>
      <c r="H27" s="215">
        <v>34250434</v>
      </c>
      <c r="I27" s="215">
        <v>0</v>
      </c>
      <c r="J27" s="329">
        <f t="shared" si="0"/>
        <v>-1674961</v>
      </c>
    </row>
    <row r="28" spans="1:10" hidden="1" x14ac:dyDescent="0.45">
      <c r="A28" s="215" t="s">
        <v>2094</v>
      </c>
      <c r="B28" s="215" t="s">
        <v>2360</v>
      </c>
      <c r="C28" s="215" t="s">
        <v>2094</v>
      </c>
      <c r="D28" s="215" t="s">
        <v>2336</v>
      </c>
      <c r="E28" s="215" t="s">
        <v>2053</v>
      </c>
      <c r="F28" s="215">
        <v>0</v>
      </c>
      <c r="G28" s="215">
        <v>1446558</v>
      </c>
      <c r="H28" s="215">
        <v>32803876</v>
      </c>
      <c r="I28" s="215">
        <v>0</v>
      </c>
      <c r="J28" s="329">
        <f t="shared" si="0"/>
        <v>-1446558</v>
      </c>
    </row>
    <row r="29" spans="1:10" hidden="1" x14ac:dyDescent="0.45">
      <c r="A29" s="215" t="s">
        <v>2094</v>
      </c>
      <c r="B29" s="215" t="s">
        <v>2361</v>
      </c>
      <c r="C29" s="215" t="s">
        <v>2094</v>
      </c>
      <c r="D29" s="215" t="s">
        <v>2331</v>
      </c>
      <c r="E29" s="215" t="s">
        <v>2097</v>
      </c>
      <c r="F29" s="215">
        <v>0</v>
      </c>
      <c r="G29" s="215">
        <v>22000</v>
      </c>
      <c r="H29" s="215">
        <v>32781876</v>
      </c>
      <c r="I29" s="215">
        <v>0</v>
      </c>
      <c r="J29" s="329">
        <f t="shared" si="0"/>
        <v>-22000</v>
      </c>
    </row>
    <row r="30" spans="1:10" hidden="1" x14ac:dyDescent="0.45">
      <c r="A30" s="215" t="s">
        <v>2094</v>
      </c>
      <c r="B30" s="215" t="s">
        <v>2362</v>
      </c>
      <c r="C30" s="215" t="s">
        <v>2094</v>
      </c>
      <c r="D30" s="215" t="s">
        <v>2331</v>
      </c>
      <c r="E30" s="215" t="s">
        <v>2097</v>
      </c>
      <c r="F30" s="215">
        <v>0</v>
      </c>
      <c r="G30" s="215">
        <v>22000</v>
      </c>
      <c r="H30" s="215">
        <v>32759876</v>
      </c>
      <c r="I30" s="215">
        <v>0</v>
      </c>
      <c r="J30" s="329">
        <f t="shared" si="0"/>
        <v>-22000</v>
      </c>
    </row>
    <row r="31" spans="1:10" hidden="1" x14ac:dyDescent="0.45">
      <c r="A31" s="215" t="s">
        <v>2363</v>
      </c>
      <c r="B31" s="215" t="s">
        <v>2364</v>
      </c>
      <c r="C31" s="215" t="s">
        <v>2363</v>
      </c>
      <c r="D31" s="215" t="s">
        <v>2354</v>
      </c>
      <c r="E31" s="215" t="s">
        <v>2108</v>
      </c>
      <c r="F31" s="215">
        <v>0</v>
      </c>
      <c r="G31" s="215">
        <v>2209979</v>
      </c>
      <c r="H31" s="215">
        <v>30549897</v>
      </c>
      <c r="I31" s="215">
        <v>0</v>
      </c>
      <c r="J31" s="329">
        <f t="shared" si="0"/>
        <v>-2209979</v>
      </c>
    </row>
    <row r="32" spans="1:10" hidden="1" x14ac:dyDescent="0.45">
      <c r="A32" s="215" t="s">
        <v>2363</v>
      </c>
      <c r="B32" s="215" t="s">
        <v>2365</v>
      </c>
      <c r="C32" s="215" t="s">
        <v>2363</v>
      </c>
      <c r="D32" s="215" t="s">
        <v>2331</v>
      </c>
      <c r="E32" s="215" t="s">
        <v>2097</v>
      </c>
      <c r="F32" s="215">
        <v>0</v>
      </c>
      <c r="G32" s="215">
        <v>22000</v>
      </c>
      <c r="H32" s="215">
        <v>30527897</v>
      </c>
      <c r="I32" s="215">
        <v>0</v>
      </c>
      <c r="J32" s="329">
        <f t="shared" si="0"/>
        <v>-22000</v>
      </c>
    </row>
    <row r="33" spans="1:10" hidden="1" x14ac:dyDescent="0.45">
      <c r="A33" s="215" t="s">
        <v>2099</v>
      </c>
      <c r="B33" s="215" t="s">
        <v>2366</v>
      </c>
      <c r="C33" s="215" t="s">
        <v>2099</v>
      </c>
      <c r="D33" s="215" t="s">
        <v>2367</v>
      </c>
      <c r="E33" s="215" t="s">
        <v>2368</v>
      </c>
      <c r="F33" s="215">
        <v>0</v>
      </c>
      <c r="G33" s="215">
        <v>20160000</v>
      </c>
      <c r="H33" s="215">
        <v>10367897</v>
      </c>
      <c r="I33" s="215">
        <v>0</v>
      </c>
      <c r="J33" s="329">
        <f t="shared" si="0"/>
        <v>-20160000</v>
      </c>
    </row>
    <row r="34" spans="1:10" hidden="1" x14ac:dyDescent="0.45">
      <c r="A34" s="215" t="s">
        <v>2099</v>
      </c>
      <c r="B34" s="215" t="s">
        <v>2369</v>
      </c>
      <c r="C34" s="215" t="s">
        <v>2099</v>
      </c>
      <c r="D34" s="215" t="s">
        <v>2331</v>
      </c>
      <c r="E34" s="215" t="s">
        <v>2097</v>
      </c>
      <c r="F34" s="215">
        <v>0</v>
      </c>
      <c r="G34" s="215">
        <v>22000</v>
      </c>
      <c r="H34" s="215">
        <v>10345897</v>
      </c>
      <c r="I34" s="215">
        <v>0</v>
      </c>
      <c r="J34" s="329">
        <f t="shared" si="0"/>
        <v>-22000</v>
      </c>
    </row>
    <row r="35" spans="1:10" x14ac:dyDescent="0.45">
      <c r="A35" s="215" t="s">
        <v>2101</v>
      </c>
      <c r="B35" s="215" t="s">
        <v>2370</v>
      </c>
      <c r="C35" s="215" t="s">
        <v>2101</v>
      </c>
      <c r="D35" s="215" t="s">
        <v>2349</v>
      </c>
      <c r="E35" s="215" t="s">
        <v>2350</v>
      </c>
      <c r="F35" s="215">
        <v>1590</v>
      </c>
      <c r="G35" s="215">
        <v>0</v>
      </c>
      <c r="H35" s="215">
        <v>10347487</v>
      </c>
      <c r="I35" s="215">
        <v>0</v>
      </c>
      <c r="J35" s="329">
        <f t="shared" si="0"/>
        <v>1590</v>
      </c>
    </row>
    <row r="36" spans="1:10" hidden="1" x14ac:dyDescent="0.45">
      <c r="A36" s="215" t="s">
        <v>2101</v>
      </c>
      <c r="B36" s="215" t="s">
        <v>2371</v>
      </c>
      <c r="C36" s="215" t="s">
        <v>2101</v>
      </c>
      <c r="D36" s="215" t="s">
        <v>2331</v>
      </c>
      <c r="E36" s="215" t="s">
        <v>2097</v>
      </c>
      <c r="F36" s="215">
        <v>0</v>
      </c>
      <c r="G36" s="215">
        <v>30000</v>
      </c>
      <c r="H36" s="215">
        <v>10317487</v>
      </c>
      <c r="I36" s="215">
        <v>0</v>
      </c>
      <c r="J36" s="329">
        <f t="shared" si="0"/>
        <v>-30000</v>
      </c>
    </row>
    <row r="37" spans="1:10" hidden="1" x14ac:dyDescent="0.45">
      <c r="A37" s="215" t="s">
        <v>2372</v>
      </c>
      <c r="B37" s="215" t="s">
        <v>2373</v>
      </c>
      <c r="C37" s="215" t="s">
        <v>2372</v>
      </c>
      <c r="D37" s="215" t="s">
        <v>2342</v>
      </c>
      <c r="E37" s="215" t="s">
        <v>2053</v>
      </c>
      <c r="F37" s="215">
        <v>0</v>
      </c>
      <c r="G37" s="215">
        <v>5429138</v>
      </c>
      <c r="H37" s="215">
        <v>4888349</v>
      </c>
      <c r="I37" s="215">
        <v>0</v>
      </c>
      <c r="J37" s="329">
        <f t="shared" si="0"/>
        <v>-5429138</v>
      </c>
    </row>
    <row r="38" spans="1:10" hidden="1" x14ac:dyDescent="0.45">
      <c r="A38" s="215" t="s">
        <v>2374</v>
      </c>
      <c r="B38" s="215" t="s">
        <v>2375</v>
      </c>
      <c r="C38" s="215" t="s">
        <v>2374</v>
      </c>
      <c r="D38" s="215" t="s">
        <v>2336</v>
      </c>
      <c r="E38" s="215" t="s">
        <v>2053</v>
      </c>
      <c r="F38" s="215">
        <v>0</v>
      </c>
      <c r="G38" s="215">
        <v>761346</v>
      </c>
      <c r="H38" s="215">
        <v>4127003</v>
      </c>
      <c r="I38" s="215">
        <v>0</v>
      </c>
      <c r="J38" s="329">
        <f t="shared" si="0"/>
        <v>-761346</v>
      </c>
    </row>
    <row r="39" spans="1:10" hidden="1" x14ac:dyDescent="0.45">
      <c r="A39" s="215" t="s">
        <v>2374</v>
      </c>
      <c r="B39" s="215" t="s">
        <v>2376</v>
      </c>
      <c r="C39" s="215" t="s">
        <v>2374</v>
      </c>
      <c r="D39" s="215" t="s">
        <v>2336</v>
      </c>
      <c r="E39" s="215" t="s">
        <v>2053</v>
      </c>
      <c r="F39" s="215">
        <v>0</v>
      </c>
      <c r="G39" s="215">
        <v>913722</v>
      </c>
      <c r="H39" s="215">
        <v>3213281</v>
      </c>
      <c r="I39" s="215">
        <v>0</v>
      </c>
      <c r="J39" s="329">
        <f t="shared" si="0"/>
        <v>-913722</v>
      </c>
    </row>
    <row r="40" spans="1:10" hidden="1" x14ac:dyDescent="0.45">
      <c r="A40" s="215" t="s">
        <v>2374</v>
      </c>
      <c r="B40" s="215" t="s">
        <v>2377</v>
      </c>
      <c r="C40" s="215" t="s">
        <v>2374</v>
      </c>
      <c r="D40" s="215" t="s">
        <v>2331</v>
      </c>
      <c r="E40" s="215" t="s">
        <v>2097</v>
      </c>
      <c r="F40" s="215">
        <v>0</v>
      </c>
      <c r="G40" s="215">
        <v>22000</v>
      </c>
      <c r="H40" s="215">
        <v>3191281</v>
      </c>
      <c r="I40" s="215">
        <v>0</v>
      </c>
      <c r="J40" s="329">
        <f t="shared" si="0"/>
        <v>-22000</v>
      </c>
    </row>
    <row r="41" spans="1:10" hidden="1" x14ac:dyDescent="0.45">
      <c r="A41" s="215" t="s">
        <v>2374</v>
      </c>
      <c r="B41" s="215" t="s">
        <v>2378</v>
      </c>
      <c r="C41" s="215" t="s">
        <v>2374</v>
      </c>
      <c r="D41" s="215" t="s">
        <v>2331</v>
      </c>
      <c r="E41" s="215" t="s">
        <v>2097</v>
      </c>
      <c r="F41" s="215">
        <v>0</v>
      </c>
      <c r="G41" s="215">
        <v>22000</v>
      </c>
      <c r="H41" s="215">
        <v>3169281</v>
      </c>
      <c r="I41" s="215">
        <v>0</v>
      </c>
      <c r="J41" s="329">
        <f t="shared" si="0"/>
        <v>-22000</v>
      </c>
    </row>
    <row r="42" spans="1:10" x14ac:dyDescent="0.45">
      <c r="A42" s="215" t="s">
        <v>2117</v>
      </c>
      <c r="B42" s="215" t="s">
        <v>2379</v>
      </c>
      <c r="C42" s="215" t="s">
        <v>2117</v>
      </c>
      <c r="D42" s="215" t="s">
        <v>2349</v>
      </c>
      <c r="E42" s="215" t="s">
        <v>2350</v>
      </c>
      <c r="F42" s="215">
        <v>533</v>
      </c>
      <c r="G42" s="215">
        <v>0</v>
      </c>
      <c r="H42" s="215">
        <v>3169814</v>
      </c>
      <c r="I42" s="215">
        <v>0</v>
      </c>
      <c r="J42" s="329">
        <f t="shared" si="0"/>
        <v>533</v>
      </c>
    </row>
    <row r="43" spans="1:10" hidden="1" x14ac:dyDescent="0.45">
      <c r="A43" s="215" t="s">
        <v>2117</v>
      </c>
      <c r="B43" s="215" t="s">
        <v>2380</v>
      </c>
      <c r="C43" s="215" t="s">
        <v>2117</v>
      </c>
      <c r="D43" s="215" t="s">
        <v>2331</v>
      </c>
      <c r="E43" s="215" t="s">
        <v>2097</v>
      </c>
      <c r="F43" s="215">
        <v>0</v>
      </c>
      <c r="G43" s="215">
        <v>30000</v>
      </c>
      <c r="H43" s="215">
        <v>3139814</v>
      </c>
      <c r="I43" s="215">
        <v>0</v>
      </c>
      <c r="J43" s="329">
        <f t="shared" si="0"/>
        <v>-30000</v>
      </c>
    </row>
    <row r="44" spans="1:10" hidden="1" x14ac:dyDescent="0.45">
      <c r="A44" s="215" t="s">
        <v>2381</v>
      </c>
      <c r="B44" s="215" t="s">
        <v>2382</v>
      </c>
      <c r="C44" s="215" t="s">
        <v>2381</v>
      </c>
      <c r="D44" s="215" t="s">
        <v>2336</v>
      </c>
      <c r="E44" s="215" t="s">
        <v>2053</v>
      </c>
      <c r="F44" s="215">
        <v>0</v>
      </c>
      <c r="G44" s="215">
        <v>938994</v>
      </c>
      <c r="H44" s="215">
        <v>2200820</v>
      </c>
      <c r="I44" s="215">
        <v>0</v>
      </c>
      <c r="J44" s="329">
        <f t="shared" si="0"/>
        <v>-938994</v>
      </c>
    </row>
    <row r="45" spans="1:10" hidden="1" x14ac:dyDescent="0.45">
      <c r="A45" s="215" t="s">
        <v>2381</v>
      </c>
      <c r="B45" s="215" t="s">
        <v>2383</v>
      </c>
      <c r="C45" s="215" t="s">
        <v>2381</v>
      </c>
      <c r="D45" s="215" t="s">
        <v>2336</v>
      </c>
      <c r="E45" s="215" t="s">
        <v>2053</v>
      </c>
      <c r="F45" s="215">
        <v>0</v>
      </c>
      <c r="G45" s="215">
        <v>761346</v>
      </c>
      <c r="H45" s="215">
        <v>1439474</v>
      </c>
      <c r="I45" s="215">
        <v>0</v>
      </c>
      <c r="J45" s="329">
        <f t="shared" si="0"/>
        <v>-761346</v>
      </c>
    </row>
    <row r="46" spans="1:10" hidden="1" x14ac:dyDescent="0.45">
      <c r="A46" s="215" t="s">
        <v>2381</v>
      </c>
      <c r="B46" s="215" t="s">
        <v>2384</v>
      </c>
      <c r="C46" s="215" t="s">
        <v>2381</v>
      </c>
      <c r="D46" s="215" t="s">
        <v>2331</v>
      </c>
      <c r="E46" s="215" t="s">
        <v>2097</v>
      </c>
      <c r="F46" s="215">
        <v>0</v>
      </c>
      <c r="G46" s="215">
        <v>22000</v>
      </c>
      <c r="H46" s="215">
        <v>1417474</v>
      </c>
      <c r="I46" s="215">
        <v>0</v>
      </c>
      <c r="J46" s="329">
        <f t="shared" si="0"/>
        <v>-22000</v>
      </c>
    </row>
    <row r="47" spans="1:10" hidden="1" x14ac:dyDescent="0.45">
      <c r="A47" s="215" t="s">
        <v>2381</v>
      </c>
      <c r="B47" s="215" t="s">
        <v>2385</v>
      </c>
      <c r="C47" s="215" t="s">
        <v>2381</v>
      </c>
      <c r="D47" s="215" t="s">
        <v>2331</v>
      </c>
      <c r="E47" s="215" t="s">
        <v>2097</v>
      </c>
      <c r="F47" s="215">
        <v>0</v>
      </c>
      <c r="G47" s="215">
        <v>22000</v>
      </c>
      <c r="H47" s="215">
        <v>1395474</v>
      </c>
      <c r="I47" s="215">
        <v>0</v>
      </c>
      <c r="J47" s="329">
        <f t="shared" si="0"/>
        <v>-22000</v>
      </c>
    </row>
    <row r="48" spans="1:10" hidden="1" x14ac:dyDescent="0.45">
      <c r="A48" s="215" t="s">
        <v>2123</v>
      </c>
      <c r="B48" s="215" t="s">
        <v>2386</v>
      </c>
      <c r="C48" s="215" t="s">
        <v>2123</v>
      </c>
      <c r="D48" s="215" t="s">
        <v>2071</v>
      </c>
      <c r="E48" s="215" t="s">
        <v>2326</v>
      </c>
      <c r="F48" s="215">
        <v>30400000</v>
      </c>
      <c r="G48" s="215">
        <v>0</v>
      </c>
      <c r="H48" s="215">
        <v>31795474</v>
      </c>
      <c r="I48" s="215">
        <v>0</v>
      </c>
      <c r="J48" s="329">
        <f t="shared" si="0"/>
        <v>30400000</v>
      </c>
    </row>
    <row r="49" spans="1:10" hidden="1" x14ac:dyDescent="0.45">
      <c r="A49" s="215" t="s">
        <v>2123</v>
      </c>
      <c r="B49" s="215" t="s">
        <v>2387</v>
      </c>
      <c r="C49" s="215" t="s">
        <v>2123</v>
      </c>
      <c r="D49" s="215" t="s">
        <v>2388</v>
      </c>
      <c r="E49" s="215" t="s">
        <v>2368</v>
      </c>
      <c r="F49" s="215">
        <v>0</v>
      </c>
      <c r="G49" s="215">
        <v>10080000</v>
      </c>
      <c r="H49" s="215">
        <v>21715474</v>
      </c>
      <c r="I49" s="215">
        <v>0</v>
      </c>
      <c r="J49" s="329">
        <f t="shared" si="0"/>
        <v>-10080000</v>
      </c>
    </row>
    <row r="50" spans="1:10" hidden="1" x14ac:dyDescent="0.45">
      <c r="A50" s="215" t="s">
        <v>2123</v>
      </c>
      <c r="B50" s="215" t="s">
        <v>2389</v>
      </c>
      <c r="C50" s="215" t="s">
        <v>2123</v>
      </c>
      <c r="D50" s="215" t="s">
        <v>2390</v>
      </c>
      <c r="E50" s="215" t="s">
        <v>2053</v>
      </c>
      <c r="F50" s="215">
        <v>0</v>
      </c>
      <c r="G50" s="215">
        <v>11000000</v>
      </c>
      <c r="H50" s="215">
        <v>10715474</v>
      </c>
      <c r="I50" s="215">
        <v>0</v>
      </c>
      <c r="J50" s="329">
        <f t="shared" si="0"/>
        <v>-11000000</v>
      </c>
    </row>
    <row r="51" spans="1:10" hidden="1" x14ac:dyDescent="0.45">
      <c r="A51" s="215" t="s">
        <v>2123</v>
      </c>
      <c r="B51" s="215" t="s">
        <v>2391</v>
      </c>
      <c r="C51" s="215" t="s">
        <v>2123</v>
      </c>
      <c r="D51" s="215" t="s">
        <v>2392</v>
      </c>
      <c r="E51" s="215" t="s">
        <v>2053</v>
      </c>
      <c r="F51" s="215">
        <v>0</v>
      </c>
      <c r="G51" s="215">
        <v>1280000</v>
      </c>
      <c r="H51" s="215">
        <v>9435474</v>
      </c>
      <c r="I51" s="215">
        <v>0</v>
      </c>
      <c r="J51" s="329">
        <f t="shared" si="0"/>
        <v>-1280000</v>
      </c>
    </row>
    <row r="52" spans="1:10" hidden="1" x14ac:dyDescent="0.45">
      <c r="A52" s="215" t="s">
        <v>2123</v>
      </c>
      <c r="B52" s="215" t="s">
        <v>2393</v>
      </c>
      <c r="C52" s="215" t="s">
        <v>2123</v>
      </c>
      <c r="D52" s="215" t="s">
        <v>2342</v>
      </c>
      <c r="E52" s="215" t="s">
        <v>2053</v>
      </c>
      <c r="F52" s="215">
        <v>0</v>
      </c>
      <c r="G52" s="215">
        <v>4869851</v>
      </c>
      <c r="H52" s="215">
        <v>4565623</v>
      </c>
      <c r="I52" s="215">
        <v>0</v>
      </c>
      <c r="J52" s="329">
        <f t="shared" si="0"/>
        <v>-4869851</v>
      </c>
    </row>
    <row r="53" spans="1:10" hidden="1" x14ac:dyDescent="0.45">
      <c r="A53" s="215" t="s">
        <v>2123</v>
      </c>
      <c r="B53" s="215" t="s">
        <v>2394</v>
      </c>
      <c r="C53" s="215" t="s">
        <v>2123</v>
      </c>
      <c r="D53" s="215" t="s">
        <v>2331</v>
      </c>
      <c r="E53" s="215" t="s">
        <v>2097</v>
      </c>
      <c r="F53" s="215">
        <v>0</v>
      </c>
      <c r="G53" s="215">
        <v>22000</v>
      </c>
      <c r="H53" s="215">
        <v>4543623</v>
      </c>
      <c r="I53" s="215">
        <v>0</v>
      </c>
      <c r="J53" s="329">
        <f t="shared" si="0"/>
        <v>-22000</v>
      </c>
    </row>
    <row r="54" spans="1:10" hidden="1" x14ac:dyDescent="0.45">
      <c r="A54" s="215" t="s">
        <v>2123</v>
      </c>
      <c r="B54" s="215" t="s">
        <v>2395</v>
      </c>
      <c r="C54" s="215" t="s">
        <v>2123</v>
      </c>
      <c r="D54" s="215" t="s">
        <v>2331</v>
      </c>
      <c r="E54" s="215" t="s">
        <v>2097</v>
      </c>
      <c r="F54" s="215">
        <v>0</v>
      </c>
      <c r="G54" s="215">
        <v>22000</v>
      </c>
      <c r="H54" s="215">
        <v>4521623</v>
      </c>
      <c r="I54" s="215">
        <v>0</v>
      </c>
      <c r="J54" s="329">
        <f t="shared" si="0"/>
        <v>-22000</v>
      </c>
    </row>
    <row r="55" spans="1:10" hidden="1" x14ac:dyDescent="0.45">
      <c r="A55" s="215" t="s">
        <v>2123</v>
      </c>
      <c r="B55" s="215" t="s">
        <v>2396</v>
      </c>
      <c r="C55" s="215" t="s">
        <v>2123</v>
      </c>
      <c r="D55" s="215" t="s">
        <v>2331</v>
      </c>
      <c r="E55" s="215" t="s">
        <v>2097</v>
      </c>
      <c r="F55" s="215">
        <v>0</v>
      </c>
      <c r="G55" s="215">
        <v>22000</v>
      </c>
      <c r="H55" s="215">
        <v>4499623</v>
      </c>
      <c r="I55" s="215">
        <v>0</v>
      </c>
      <c r="J55" s="329">
        <f t="shared" si="0"/>
        <v>-22000</v>
      </c>
    </row>
    <row r="56" spans="1:10" hidden="1" x14ac:dyDescent="0.45">
      <c r="A56" s="215" t="s">
        <v>2397</v>
      </c>
      <c r="B56" s="215" t="s">
        <v>2398</v>
      </c>
      <c r="C56" s="215" t="s">
        <v>2397</v>
      </c>
      <c r="D56" s="215" t="s">
        <v>2331</v>
      </c>
      <c r="E56" s="215" t="s">
        <v>2097</v>
      </c>
      <c r="F56" s="215">
        <v>0</v>
      </c>
      <c r="G56" s="215">
        <v>22000</v>
      </c>
      <c r="H56" s="215">
        <v>4477623</v>
      </c>
      <c r="I56" s="215">
        <v>0</v>
      </c>
      <c r="J56" s="329">
        <f t="shared" si="0"/>
        <v>-22000</v>
      </c>
    </row>
    <row r="57" spans="1:10" x14ac:dyDescent="0.45">
      <c r="A57" s="215" t="s">
        <v>2399</v>
      </c>
      <c r="B57" s="215" t="s">
        <v>2400</v>
      </c>
      <c r="C57" s="215" t="s">
        <v>2399</v>
      </c>
      <c r="D57" s="215" t="s">
        <v>2318</v>
      </c>
      <c r="E57" s="215" t="s">
        <v>2401</v>
      </c>
      <c r="F57" s="215">
        <v>78540000</v>
      </c>
      <c r="G57" s="215">
        <v>0</v>
      </c>
      <c r="H57" s="215">
        <v>83017623</v>
      </c>
      <c r="I57" s="215">
        <v>0</v>
      </c>
      <c r="J57" s="329">
        <f t="shared" si="0"/>
        <v>78540000</v>
      </c>
    </row>
    <row r="58" spans="1:10" x14ac:dyDescent="0.45">
      <c r="A58" s="215" t="s">
        <v>2402</v>
      </c>
      <c r="B58" s="215" t="s">
        <v>2403</v>
      </c>
      <c r="C58" s="215" t="s">
        <v>2402</v>
      </c>
      <c r="D58" s="215" t="s">
        <v>2349</v>
      </c>
      <c r="E58" s="215" t="s">
        <v>2350</v>
      </c>
      <c r="F58" s="215">
        <v>1507</v>
      </c>
      <c r="G58" s="215">
        <v>0</v>
      </c>
      <c r="H58" s="215">
        <v>83019130</v>
      </c>
      <c r="I58" s="215">
        <v>0</v>
      </c>
      <c r="J58" s="329">
        <f t="shared" si="0"/>
        <v>1507</v>
      </c>
    </row>
    <row r="59" spans="1:10" hidden="1" x14ac:dyDescent="0.45">
      <c r="A59" s="215" t="s">
        <v>2402</v>
      </c>
      <c r="B59" s="215" t="s">
        <v>2404</v>
      </c>
      <c r="C59" s="215" t="s">
        <v>2402</v>
      </c>
      <c r="D59" s="215" t="s">
        <v>2405</v>
      </c>
      <c r="E59" s="215" t="s">
        <v>2406</v>
      </c>
      <c r="F59" s="215">
        <v>0</v>
      </c>
      <c r="G59" s="215">
        <v>3200000</v>
      </c>
      <c r="H59" s="215">
        <v>79819130</v>
      </c>
      <c r="I59" s="215">
        <v>0</v>
      </c>
      <c r="J59" s="329">
        <f t="shared" si="0"/>
        <v>-3200000</v>
      </c>
    </row>
    <row r="60" spans="1:10" hidden="1" x14ac:dyDescent="0.45">
      <c r="A60" s="215" t="s">
        <v>2402</v>
      </c>
      <c r="B60" s="215" t="s">
        <v>2404</v>
      </c>
      <c r="C60" s="215" t="s">
        <v>2402</v>
      </c>
      <c r="D60" s="215" t="s">
        <v>2407</v>
      </c>
      <c r="E60" s="215" t="s">
        <v>2061</v>
      </c>
      <c r="F60" s="215">
        <v>0</v>
      </c>
      <c r="G60" s="215">
        <v>25724349</v>
      </c>
      <c r="H60" s="215">
        <v>54094781</v>
      </c>
      <c r="I60" s="215">
        <v>0</v>
      </c>
      <c r="J60" s="329">
        <f t="shared" si="0"/>
        <v>-25724349</v>
      </c>
    </row>
    <row r="61" spans="1:10" hidden="1" x14ac:dyDescent="0.45">
      <c r="A61" s="215" t="s">
        <v>2402</v>
      </c>
      <c r="B61" s="215" t="s">
        <v>2408</v>
      </c>
      <c r="C61" s="215" t="s">
        <v>2402</v>
      </c>
      <c r="D61" s="215" t="s">
        <v>2331</v>
      </c>
      <c r="E61" s="215" t="s">
        <v>2097</v>
      </c>
      <c r="F61" s="215">
        <v>0</v>
      </c>
      <c r="G61" s="215">
        <v>30000</v>
      </c>
      <c r="H61" s="215">
        <v>54064781</v>
      </c>
      <c r="I61" s="215">
        <v>0</v>
      </c>
      <c r="J61" s="329">
        <f t="shared" si="0"/>
        <v>-30000</v>
      </c>
    </row>
    <row r="62" spans="1:10" hidden="1" x14ac:dyDescent="0.45">
      <c r="A62" s="215" t="s">
        <v>2402</v>
      </c>
      <c r="B62" s="215" t="s">
        <v>2409</v>
      </c>
      <c r="C62" s="215" t="s">
        <v>2402</v>
      </c>
      <c r="D62" s="215" t="s">
        <v>2331</v>
      </c>
      <c r="E62" s="215" t="s">
        <v>2097</v>
      </c>
      <c r="F62" s="215">
        <v>0</v>
      </c>
      <c r="G62" s="215">
        <v>16500</v>
      </c>
      <c r="H62" s="215">
        <v>54048281</v>
      </c>
      <c r="I62" s="215">
        <v>0</v>
      </c>
      <c r="J62" s="329">
        <f t="shared" si="0"/>
        <v>-16500</v>
      </c>
    </row>
    <row r="63" spans="1:10" hidden="1" x14ac:dyDescent="0.45">
      <c r="A63" s="215" t="s">
        <v>2410</v>
      </c>
      <c r="B63" s="215" t="s">
        <v>2411</v>
      </c>
      <c r="C63" s="215" t="s">
        <v>2410</v>
      </c>
      <c r="D63" s="215" t="s">
        <v>2336</v>
      </c>
      <c r="E63" s="215" t="s">
        <v>2053</v>
      </c>
      <c r="F63" s="215">
        <v>0</v>
      </c>
      <c r="G63" s="215">
        <v>862859</v>
      </c>
      <c r="H63" s="215">
        <v>53185422</v>
      </c>
      <c r="I63" s="215">
        <v>0</v>
      </c>
      <c r="J63" s="329">
        <f t="shared" si="0"/>
        <v>-862859</v>
      </c>
    </row>
    <row r="64" spans="1:10" hidden="1" x14ac:dyDescent="0.45">
      <c r="A64" s="215" t="s">
        <v>2410</v>
      </c>
      <c r="B64" s="215" t="s">
        <v>2412</v>
      </c>
      <c r="C64" s="215" t="s">
        <v>2410</v>
      </c>
      <c r="D64" s="215" t="s">
        <v>2336</v>
      </c>
      <c r="E64" s="215" t="s">
        <v>2053</v>
      </c>
      <c r="F64" s="215">
        <v>0</v>
      </c>
      <c r="G64" s="215">
        <v>735968</v>
      </c>
      <c r="H64" s="215">
        <v>52449454</v>
      </c>
      <c r="I64" s="215">
        <v>0</v>
      </c>
      <c r="J64" s="329">
        <f t="shared" si="0"/>
        <v>-735968</v>
      </c>
    </row>
    <row r="65" spans="1:10" hidden="1" x14ac:dyDescent="0.45">
      <c r="A65" s="215" t="s">
        <v>2410</v>
      </c>
      <c r="B65" s="215" t="s">
        <v>2413</v>
      </c>
      <c r="C65" s="215" t="s">
        <v>2410</v>
      </c>
      <c r="D65" s="215" t="s">
        <v>2331</v>
      </c>
      <c r="E65" s="215" t="s">
        <v>2097</v>
      </c>
      <c r="F65" s="215">
        <v>0</v>
      </c>
      <c r="G65" s="215">
        <v>22000</v>
      </c>
      <c r="H65" s="215">
        <v>52427454</v>
      </c>
      <c r="I65" s="215">
        <v>0</v>
      </c>
      <c r="J65" s="329">
        <f t="shared" si="0"/>
        <v>-22000</v>
      </c>
    </row>
    <row r="66" spans="1:10" hidden="1" x14ac:dyDescent="0.45">
      <c r="A66" s="215" t="s">
        <v>2410</v>
      </c>
      <c r="B66" s="215" t="s">
        <v>2414</v>
      </c>
      <c r="C66" s="215" t="s">
        <v>2410</v>
      </c>
      <c r="D66" s="215" t="s">
        <v>2331</v>
      </c>
      <c r="E66" s="215" t="s">
        <v>2097</v>
      </c>
      <c r="F66" s="215">
        <v>0</v>
      </c>
      <c r="G66" s="215">
        <v>22000</v>
      </c>
      <c r="H66" s="215">
        <v>52405454</v>
      </c>
      <c r="I66" s="215">
        <v>0</v>
      </c>
      <c r="J66" s="329">
        <f t="shared" si="0"/>
        <v>-22000</v>
      </c>
    </row>
    <row r="67" spans="1:10" x14ac:dyDescent="0.45">
      <c r="A67" s="215" t="s">
        <v>2415</v>
      </c>
      <c r="B67" s="215" t="s">
        <v>2416</v>
      </c>
      <c r="C67" s="215" t="s">
        <v>2415</v>
      </c>
      <c r="D67" s="215" t="s">
        <v>2318</v>
      </c>
      <c r="E67" s="215" t="s">
        <v>2401</v>
      </c>
      <c r="F67" s="215">
        <v>12771000</v>
      </c>
      <c r="G67" s="215">
        <v>0</v>
      </c>
      <c r="H67" s="215">
        <v>65176454</v>
      </c>
      <c r="I67" s="215">
        <v>0</v>
      </c>
      <c r="J67" s="329">
        <f t="shared" si="0"/>
        <v>12771000</v>
      </c>
    </row>
    <row r="68" spans="1:10" hidden="1" x14ac:dyDescent="0.45">
      <c r="A68" s="215" t="s">
        <v>2127</v>
      </c>
      <c r="B68" s="215" t="s">
        <v>2417</v>
      </c>
      <c r="C68" s="215" t="s">
        <v>2127</v>
      </c>
      <c r="D68" s="215" t="s">
        <v>2418</v>
      </c>
      <c r="E68" s="215" t="s">
        <v>2053</v>
      </c>
      <c r="F68" s="215">
        <v>0</v>
      </c>
      <c r="G68" s="215">
        <v>4750000</v>
      </c>
      <c r="H68" s="215">
        <v>60426454</v>
      </c>
      <c r="I68" s="215">
        <v>0</v>
      </c>
      <c r="J68" s="329">
        <f t="shared" si="0"/>
        <v>-4750000</v>
      </c>
    </row>
    <row r="69" spans="1:10" hidden="1" x14ac:dyDescent="0.45">
      <c r="A69" s="215" t="s">
        <v>2127</v>
      </c>
      <c r="B69" s="215" t="s">
        <v>2419</v>
      </c>
      <c r="C69" s="215" t="s">
        <v>2127</v>
      </c>
      <c r="D69" s="215" t="s">
        <v>2331</v>
      </c>
      <c r="E69" s="215" t="s">
        <v>2097</v>
      </c>
      <c r="F69" s="215">
        <v>0</v>
      </c>
      <c r="G69" s="215">
        <v>22000</v>
      </c>
      <c r="H69" s="215">
        <v>60404454</v>
      </c>
      <c r="I69" s="215">
        <v>0</v>
      </c>
      <c r="J69" s="329">
        <f t="shared" si="0"/>
        <v>-22000</v>
      </c>
    </row>
    <row r="70" spans="1:10" hidden="1" x14ac:dyDescent="0.45">
      <c r="A70" s="215" t="s">
        <v>2420</v>
      </c>
      <c r="B70" s="215" t="s">
        <v>2421</v>
      </c>
      <c r="C70" s="215" t="s">
        <v>2420</v>
      </c>
      <c r="D70" s="215" t="s">
        <v>2342</v>
      </c>
      <c r="E70" s="215" t="s">
        <v>2053</v>
      </c>
      <c r="F70" s="215">
        <v>0</v>
      </c>
      <c r="G70" s="215">
        <v>5744230</v>
      </c>
      <c r="H70" s="215">
        <v>54660224</v>
      </c>
      <c r="I70" s="215">
        <v>0</v>
      </c>
      <c r="J70" s="329">
        <f t="shared" ref="J70:J133" si="1">IF(F70&gt;0,F70,-G70)</f>
        <v>-5744230</v>
      </c>
    </row>
    <row r="71" spans="1:10" hidden="1" x14ac:dyDescent="0.45">
      <c r="A71" s="215" t="s">
        <v>2132</v>
      </c>
      <c r="B71" s="215" t="s">
        <v>2422</v>
      </c>
      <c r="C71" s="215" t="s">
        <v>2132</v>
      </c>
      <c r="D71" s="215" t="s">
        <v>2423</v>
      </c>
      <c r="E71" s="215" t="s">
        <v>2053</v>
      </c>
      <c r="F71" s="215">
        <v>0</v>
      </c>
      <c r="G71" s="215">
        <v>5500000</v>
      </c>
      <c r="H71" s="215">
        <v>49160224</v>
      </c>
      <c r="I71" s="215">
        <v>0</v>
      </c>
      <c r="J71" s="329">
        <f t="shared" si="1"/>
        <v>-5500000</v>
      </c>
    </row>
    <row r="72" spans="1:10" hidden="1" x14ac:dyDescent="0.45">
      <c r="A72" s="215" t="s">
        <v>2132</v>
      </c>
      <c r="B72" s="215" t="s">
        <v>2424</v>
      </c>
      <c r="C72" s="215" t="s">
        <v>2132</v>
      </c>
      <c r="D72" s="215" t="s">
        <v>2331</v>
      </c>
      <c r="E72" s="215" t="s">
        <v>2097</v>
      </c>
      <c r="F72" s="215">
        <v>0</v>
      </c>
      <c r="G72" s="215">
        <v>22000</v>
      </c>
      <c r="H72" s="215">
        <v>49138224</v>
      </c>
      <c r="I72" s="215">
        <v>0</v>
      </c>
      <c r="J72" s="329">
        <f t="shared" si="1"/>
        <v>-22000</v>
      </c>
    </row>
    <row r="73" spans="1:10" x14ac:dyDescent="0.45">
      <c r="A73" s="215" t="s">
        <v>2138</v>
      </c>
      <c r="B73" s="215" t="s">
        <v>2425</v>
      </c>
      <c r="C73" s="215" t="s">
        <v>2138</v>
      </c>
      <c r="D73" s="215" t="s">
        <v>2318</v>
      </c>
      <c r="E73" s="215" t="s">
        <v>2401</v>
      </c>
      <c r="F73" s="215">
        <v>37125000</v>
      </c>
      <c r="G73" s="215">
        <v>0</v>
      </c>
      <c r="H73" s="215">
        <v>86263224</v>
      </c>
      <c r="I73" s="215">
        <v>0</v>
      </c>
      <c r="J73" s="329">
        <f t="shared" si="1"/>
        <v>37125000</v>
      </c>
    </row>
    <row r="74" spans="1:10" x14ac:dyDescent="0.45">
      <c r="A74" s="215" t="s">
        <v>2148</v>
      </c>
      <c r="B74" s="215" t="s">
        <v>2426</v>
      </c>
      <c r="C74" s="215" t="s">
        <v>2148</v>
      </c>
      <c r="D74" s="215" t="s">
        <v>2349</v>
      </c>
      <c r="E74" s="215" t="s">
        <v>2350</v>
      </c>
      <c r="F74" s="215">
        <v>5152</v>
      </c>
      <c r="G74" s="215">
        <v>0</v>
      </c>
      <c r="H74" s="215">
        <v>86268376</v>
      </c>
      <c r="I74" s="215">
        <v>0</v>
      </c>
      <c r="J74" s="329">
        <f t="shared" si="1"/>
        <v>5152</v>
      </c>
    </row>
    <row r="75" spans="1:10" hidden="1" x14ac:dyDescent="0.45">
      <c r="A75" s="215" t="s">
        <v>2148</v>
      </c>
      <c r="B75" s="215" t="s">
        <v>2427</v>
      </c>
      <c r="C75" s="215" t="s">
        <v>2148</v>
      </c>
      <c r="D75" s="215" t="s">
        <v>2331</v>
      </c>
      <c r="E75" s="215" t="s">
        <v>2097</v>
      </c>
      <c r="F75" s="215">
        <v>0</v>
      </c>
      <c r="G75" s="215">
        <v>30000</v>
      </c>
      <c r="H75" s="215">
        <v>86238376</v>
      </c>
      <c r="I75" s="215">
        <v>0</v>
      </c>
      <c r="J75" s="329">
        <f t="shared" si="1"/>
        <v>-30000</v>
      </c>
    </row>
    <row r="76" spans="1:10" hidden="1" x14ac:dyDescent="0.45">
      <c r="A76" s="215" t="s">
        <v>2428</v>
      </c>
      <c r="B76" s="215" t="s">
        <v>2429</v>
      </c>
      <c r="C76" s="215" t="s">
        <v>2428</v>
      </c>
      <c r="D76" s="215" t="s">
        <v>2430</v>
      </c>
      <c r="E76" s="215" t="s">
        <v>2368</v>
      </c>
      <c r="F76" s="215">
        <v>0</v>
      </c>
      <c r="G76" s="215">
        <v>20159509</v>
      </c>
      <c r="H76" s="215">
        <v>66078867</v>
      </c>
      <c r="I76" s="215">
        <v>0</v>
      </c>
      <c r="J76" s="329">
        <f t="shared" si="1"/>
        <v>-20159509</v>
      </c>
    </row>
    <row r="77" spans="1:10" hidden="1" x14ac:dyDescent="0.45">
      <c r="A77" s="215" t="s">
        <v>2428</v>
      </c>
      <c r="B77" s="215" t="s">
        <v>2431</v>
      </c>
      <c r="C77" s="215" t="s">
        <v>2428</v>
      </c>
      <c r="D77" s="215" t="s">
        <v>2331</v>
      </c>
      <c r="E77" s="215" t="s">
        <v>2097</v>
      </c>
      <c r="F77" s="215">
        <v>0</v>
      </c>
      <c r="G77" s="215">
        <v>22000</v>
      </c>
      <c r="H77" s="215">
        <v>66056867</v>
      </c>
      <c r="I77" s="215">
        <v>0</v>
      </c>
      <c r="J77" s="329">
        <f t="shared" si="1"/>
        <v>-22000</v>
      </c>
    </row>
    <row r="78" spans="1:10" hidden="1" x14ac:dyDescent="0.45">
      <c r="A78" s="215" t="s">
        <v>2159</v>
      </c>
      <c r="B78" s="215" t="s">
        <v>2432</v>
      </c>
      <c r="C78" s="215" t="s">
        <v>2159</v>
      </c>
      <c r="D78" s="215" t="s">
        <v>2336</v>
      </c>
      <c r="E78" s="215" t="s">
        <v>2053</v>
      </c>
      <c r="F78" s="215">
        <v>0</v>
      </c>
      <c r="G78" s="215">
        <v>1674916</v>
      </c>
      <c r="H78" s="215">
        <v>64381951</v>
      </c>
      <c r="I78" s="215">
        <v>0</v>
      </c>
      <c r="J78" s="329">
        <f t="shared" si="1"/>
        <v>-1674916</v>
      </c>
    </row>
    <row r="79" spans="1:10" hidden="1" x14ac:dyDescent="0.45">
      <c r="A79" s="215" t="s">
        <v>2159</v>
      </c>
      <c r="B79" s="215" t="s">
        <v>2433</v>
      </c>
      <c r="C79" s="215" t="s">
        <v>2159</v>
      </c>
      <c r="D79" s="215" t="s">
        <v>2336</v>
      </c>
      <c r="E79" s="215" t="s">
        <v>2053</v>
      </c>
      <c r="F79" s="215">
        <v>0</v>
      </c>
      <c r="G79" s="215">
        <v>1979499</v>
      </c>
      <c r="H79" s="215">
        <v>62402452</v>
      </c>
      <c r="I79" s="215">
        <v>0</v>
      </c>
      <c r="J79" s="329">
        <f t="shared" si="1"/>
        <v>-1979499</v>
      </c>
    </row>
    <row r="80" spans="1:10" hidden="1" x14ac:dyDescent="0.45">
      <c r="A80" s="215" t="s">
        <v>2159</v>
      </c>
      <c r="B80" s="215" t="s">
        <v>2434</v>
      </c>
      <c r="C80" s="215" t="s">
        <v>2159</v>
      </c>
      <c r="D80" s="215" t="s">
        <v>2331</v>
      </c>
      <c r="E80" s="215" t="s">
        <v>2097</v>
      </c>
      <c r="F80" s="215">
        <v>0</v>
      </c>
      <c r="G80" s="215">
        <v>22000</v>
      </c>
      <c r="H80" s="215">
        <v>62380452</v>
      </c>
      <c r="I80" s="215">
        <v>0</v>
      </c>
      <c r="J80" s="329">
        <f t="shared" si="1"/>
        <v>-22000</v>
      </c>
    </row>
    <row r="81" spans="1:10" hidden="1" x14ac:dyDescent="0.45">
      <c r="A81" s="215" t="s">
        <v>2159</v>
      </c>
      <c r="B81" s="215" t="s">
        <v>2435</v>
      </c>
      <c r="C81" s="215" t="s">
        <v>2159</v>
      </c>
      <c r="D81" s="215" t="s">
        <v>2331</v>
      </c>
      <c r="E81" s="215" t="s">
        <v>2097</v>
      </c>
      <c r="F81" s="215">
        <v>0</v>
      </c>
      <c r="G81" s="215">
        <v>22000</v>
      </c>
      <c r="H81" s="215">
        <v>62358452</v>
      </c>
      <c r="I81" s="215">
        <v>0</v>
      </c>
      <c r="J81" s="329">
        <f t="shared" si="1"/>
        <v>-22000</v>
      </c>
    </row>
    <row r="82" spans="1:10" hidden="1" x14ac:dyDescent="0.45">
      <c r="A82" s="215" t="s">
        <v>2436</v>
      </c>
      <c r="B82" s="215" t="s">
        <v>2437</v>
      </c>
      <c r="C82" s="215" t="s">
        <v>2436</v>
      </c>
      <c r="D82" s="215" t="s">
        <v>2438</v>
      </c>
      <c r="E82" s="215" t="s">
        <v>2053</v>
      </c>
      <c r="F82" s="215">
        <v>0</v>
      </c>
      <c r="G82" s="215">
        <v>5500000</v>
      </c>
      <c r="H82" s="215">
        <v>56858452</v>
      </c>
      <c r="I82" s="215">
        <v>0</v>
      </c>
      <c r="J82" s="329">
        <f t="shared" si="1"/>
        <v>-5500000</v>
      </c>
    </row>
    <row r="83" spans="1:10" hidden="1" x14ac:dyDescent="0.45">
      <c r="A83" s="215" t="s">
        <v>2436</v>
      </c>
      <c r="B83" s="215" t="s">
        <v>2439</v>
      </c>
      <c r="C83" s="215" t="s">
        <v>2436</v>
      </c>
      <c r="D83" s="215" t="s">
        <v>2342</v>
      </c>
      <c r="E83" s="215" t="s">
        <v>2053</v>
      </c>
      <c r="F83" s="215">
        <v>0</v>
      </c>
      <c r="G83" s="215">
        <v>11173372</v>
      </c>
      <c r="H83" s="215">
        <v>45685080</v>
      </c>
      <c r="I83" s="215">
        <v>0</v>
      </c>
      <c r="J83" s="329">
        <f t="shared" si="1"/>
        <v>-11173372</v>
      </c>
    </row>
    <row r="84" spans="1:10" hidden="1" x14ac:dyDescent="0.45">
      <c r="A84" s="215" t="s">
        <v>2436</v>
      </c>
      <c r="B84" s="215" t="s">
        <v>2440</v>
      </c>
      <c r="C84" s="215" t="s">
        <v>2436</v>
      </c>
      <c r="D84" s="215" t="s">
        <v>2331</v>
      </c>
      <c r="E84" s="215" t="s">
        <v>2097</v>
      </c>
      <c r="F84" s="215">
        <v>0</v>
      </c>
      <c r="G84" s="215">
        <v>22000</v>
      </c>
      <c r="H84" s="215">
        <v>45663080</v>
      </c>
      <c r="I84" s="215">
        <v>0</v>
      </c>
      <c r="J84" s="329">
        <f t="shared" si="1"/>
        <v>-22000</v>
      </c>
    </row>
    <row r="85" spans="1:10" x14ac:dyDescent="0.45">
      <c r="A85" s="215" t="s">
        <v>2164</v>
      </c>
      <c r="B85" s="215" t="s">
        <v>2441</v>
      </c>
      <c r="C85" s="215" t="s">
        <v>2164</v>
      </c>
      <c r="D85" s="215" t="s">
        <v>2318</v>
      </c>
      <c r="E85" s="215" t="s">
        <v>2401</v>
      </c>
      <c r="F85" s="215">
        <v>20586500</v>
      </c>
      <c r="G85" s="215">
        <v>0</v>
      </c>
      <c r="H85" s="215">
        <v>66249580</v>
      </c>
      <c r="I85" s="215">
        <v>0</v>
      </c>
      <c r="J85" s="329">
        <f t="shared" si="1"/>
        <v>20586500</v>
      </c>
    </row>
    <row r="86" spans="1:10" x14ac:dyDescent="0.45">
      <c r="A86" s="215" t="s">
        <v>2166</v>
      </c>
      <c r="B86" s="215" t="s">
        <v>2442</v>
      </c>
      <c r="C86" s="215" t="s">
        <v>2166</v>
      </c>
      <c r="D86" s="215" t="s">
        <v>2318</v>
      </c>
      <c r="E86" s="215" t="s">
        <v>2401</v>
      </c>
      <c r="F86" s="215">
        <v>13442000</v>
      </c>
      <c r="G86" s="215">
        <v>0</v>
      </c>
      <c r="H86" s="215">
        <v>79691580</v>
      </c>
      <c r="I86" s="215">
        <v>0</v>
      </c>
      <c r="J86" s="329">
        <f t="shared" si="1"/>
        <v>13442000</v>
      </c>
    </row>
    <row r="87" spans="1:10" hidden="1" x14ac:dyDescent="0.45">
      <c r="A87" s="215" t="s">
        <v>2167</v>
      </c>
      <c r="B87" s="215" t="s">
        <v>2443</v>
      </c>
      <c r="C87" s="215" t="s">
        <v>2167</v>
      </c>
      <c r="D87" s="215" t="s">
        <v>2354</v>
      </c>
      <c r="E87" s="215" t="s">
        <v>2053</v>
      </c>
      <c r="F87" s="215">
        <v>0</v>
      </c>
      <c r="G87" s="215">
        <v>719002</v>
      </c>
      <c r="H87" s="215">
        <v>78972578</v>
      </c>
      <c r="I87" s="215">
        <v>0</v>
      </c>
      <c r="J87" s="329">
        <f t="shared" si="1"/>
        <v>-719002</v>
      </c>
    </row>
    <row r="88" spans="1:10" hidden="1" x14ac:dyDescent="0.45">
      <c r="A88" s="215" t="s">
        <v>2167</v>
      </c>
      <c r="B88" s="215" t="s">
        <v>2444</v>
      </c>
      <c r="C88" s="215" t="s">
        <v>2167</v>
      </c>
      <c r="D88" s="215" t="s">
        <v>2331</v>
      </c>
      <c r="E88" s="215" t="s">
        <v>2097</v>
      </c>
      <c r="F88" s="215">
        <v>0</v>
      </c>
      <c r="G88" s="215">
        <v>22000</v>
      </c>
      <c r="H88" s="215">
        <v>78950578</v>
      </c>
      <c r="I88" s="215">
        <v>0</v>
      </c>
      <c r="J88" s="329">
        <f t="shared" si="1"/>
        <v>-22000</v>
      </c>
    </row>
    <row r="89" spans="1:10" x14ac:dyDescent="0.45">
      <c r="A89" s="215" t="s">
        <v>2173</v>
      </c>
      <c r="B89" s="215" t="s">
        <v>2445</v>
      </c>
      <c r="C89" s="215" t="s">
        <v>2173</v>
      </c>
      <c r="D89" s="215" t="s">
        <v>2349</v>
      </c>
      <c r="E89" s="215" t="s">
        <v>2350</v>
      </c>
      <c r="F89" s="215">
        <v>5688</v>
      </c>
      <c r="G89" s="215">
        <v>0</v>
      </c>
      <c r="H89" s="215">
        <v>78956266</v>
      </c>
      <c r="I89" s="215">
        <v>0</v>
      </c>
      <c r="J89" s="329">
        <f t="shared" si="1"/>
        <v>5688</v>
      </c>
    </row>
    <row r="90" spans="1:10" hidden="1" x14ac:dyDescent="0.45">
      <c r="A90" s="215" t="s">
        <v>2173</v>
      </c>
      <c r="B90" s="215" t="s">
        <v>2446</v>
      </c>
      <c r="C90" s="215" t="s">
        <v>2173</v>
      </c>
      <c r="D90" s="215" t="s">
        <v>2331</v>
      </c>
      <c r="E90" s="215" t="s">
        <v>2097</v>
      </c>
      <c r="F90" s="215">
        <v>0</v>
      </c>
      <c r="G90" s="215">
        <v>30000</v>
      </c>
      <c r="H90" s="215">
        <v>78926266</v>
      </c>
      <c r="I90" s="215">
        <v>0</v>
      </c>
      <c r="J90" s="329">
        <f t="shared" si="1"/>
        <v>-30000</v>
      </c>
    </row>
    <row r="91" spans="1:10" hidden="1" x14ac:dyDescent="0.45">
      <c r="A91" s="215" t="s">
        <v>2186</v>
      </c>
      <c r="B91" s="215" t="s">
        <v>2447</v>
      </c>
      <c r="C91" s="215" t="s">
        <v>2186</v>
      </c>
      <c r="D91" s="215" t="s">
        <v>2336</v>
      </c>
      <c r="E91" s="215" t="s">
        <v>2053</v>
      </c>
      <c r="F91" s="215">
        <v>0</v>
      </c>
      <c r="G91" s="215">
        <v>1903365</v>
      </c>
      <c r="H91" s="215">
        <v>77022901</v>
      </c>
      <c r="I91" s="215">
        <v>0</v>
      </c>
      <c r="J91" s="329">
        <f t="shared" si="1"/>
        <v>-1903365</v>
      </c>
    </row>
    <row r="92" spans="1:10" hidden="1" x14ac:dyDescent="0.45">
      <c r="A92" s="215" t="s">
        <v>2186</v>
      </c>
      <c r="B92" s="215" t="s">
        <v>2448</v>
      </c>
      <c r="C92" s="215" t="s">
        <v>2186</v>
      </c>
      <c r="D92" s="215" t="s">
        <v>2336</v>
      </c>
      <c r="E92" s="215" t="s">
        <v>2053</v>
      </c>
      <c r="F92" s="215">
        <v>0</v>
      </c>
      <c r="G92" s="215">
        <v>1649583</v>
      </c>
      <c r="H92" s="215">
        <v>75373318</v>
      </c>
      <c r="I92" s="215">
        <v>0</v>
      </c>
      <c r="J92" s="329">
        <f t="shared" si="1"/>
        <v>-1649583</v>
      </c>
    </row>
    <row r="93" spans="1:10" hidden="1" x14ac:dyDescent="0.45">
      <c r="A93" s="215" t="s">
        <v>2186</v>
      </c>
      <c r="B93" s="215" t="s">
        <v>2449</v>
      </c>
      <c r="C93" s="215" t="s">
        <v>2186</v>
      </c>
      <c r="D93" s="215" t="s">
        <v>2331</v>
      </c>
      <c r="E93" s="215" t="s">
        <v>2097</v>
      </c>
      <c r="F93" s="215">
        <v>0</v>
      </c>
      <c r="G93" s="215">
        <v>22000</v>
      </c>
      <c r="H93" s="215">
        <v>75351318</v>
      </c>
      <c r="I93" s="215">
        <v>0</v>
      </c>
      <c r="J93" s="329">
        <f t="shared" si="1"/>
        <v>-22000</v>
      </c>
    </row>
    <row r="94" spans="1:10" hidden="1" x14ac:dyDescent="0.45">
      <c r="A94" s="215" t="s">
        <v>2186</v>
      </c>
      <c r="B94" s="215" t="s">
        <v>2450</v>
      </c>
      <c r="C94" s="215" t="s">
        <v>2186</v>
      </c>
      <c r="D94" s="215" t="s">
        <v>2331</v>
      </c>
      <c r="E94" s="215" t="s">
        <v>2097</v>
      </c>
      <c r="F94" s="215">
        <v>0</v>
      </c>
      <c r="G94" s="215">
        <v>22000</v>
      </c>
      <c r="H94" s="215">
        <v>75329318</v>
      </c>
      <c r="I94" s="215">
        <v>0</v>
      </c>
      <c r="J94" s="329">
        <f t="shared" si="1"/>
        <v>-22000</v>
      </c>
    </row>
    <row r="95" spans="1:10" hidden="1" x14ac:dyDescent="0.45">
      <c r="A95" s="215" t="s">
        <v>2189</v>
      </c>
      <c r="B95" s="215" t="s">
        <v>2451</v>
      </c>
      <c r="C95" s="215" t="s">
        <v>2189</v>
      </c>
      <c r="D95" s="215" t="s">
        <v>2342</v>
      </c>
      <c r="E95" s="215" t="s">
        <v>2053</v>
      </c>
      <c r="F95" s="215">
        <v>0</v>
      </c>
      <c r="G95" s="215">
        <v>12548165</v>
      </c>
      <c r="H95" s="215">
        <v>62781153</v>
      </c>
      <c r="I95" s="215">
        <v>0</v>
      </c>
      <c r="J95" s="329">
        <f t="shared" si="1"/>
        <v>-12548165</v>
      </c>
    </row>
    <row r="96" spans="1:10" hidden="1" x14ac:dyDescent="0.45">
      <c r="A96" s="215" t="s">
        <v>2189</v>
      </c>
      <c r="B96" s="215" t="s">
        <v>2452</v>
      </c>
      <c r="C96" s="215" t="s">
        <v>2189</v>
      </c>
      <c r="D96" s="215" t="s">
        <v>2331</v>
      </c>
      <c r="E96" s="215" t="s">
        <v>2097</v>
      </c>
      <c r="F96" s="215">
        <v>0</v>
      </c>
      <c r="G96" s="215">
        <v>22000</v>
      </c>
      <c r="H96" s="215">
        <v>62759153</v>
      </c>
      <c r="I96" s="215">
        <v>0</v>
      </c>
      <c r="J96" s="329">
        <f t="shared" si="1"/>
        <v>-22000</v>
      </c>
    </row>
    <row r="97" spans="1:10" hidden="1" x14ac:dyDescent="0.45">
      <c r="A97" s="215" t="s">
        <v>2191</v>
      </c>
      <c r="B97" s="215" t="s">
        <v>2453</v>
      </c>
      <c r="C97" s="215" t="s">
        <v>2191</v>
      </c>
      <c r="D97" s="215" t="s">
        <v>2454</v>
      </c>
      <c r="E97" s="215" t="s">
        <v>2053</v>
      </c>
      <c r="F97" s="215">
        <v>0</v>
      </c>
      <c r="G97" s="215">
        <v>5500000</v>
      </c>
      <c r="H97" s="215">
        <v>57259153</v>
      </c>
      <c r="I97" s="215">
        <v>0</v>
      </c>
      <c r="J97" s="329">
        <f t="shared" si="1"/>
        <v>-5500000</v>
      </c>
    </row>
    <row r="98" spans="1:10" hidden="1" x14ac:dyDescent="0.45">
      <c r="A98" s="215" t="s">
        <v>2191</v>
      </c>
      <c r="B98" s="215" t="s">
        <v>2455</v>
      </c>
      <c r="C98" s="215" t="s">
        <v>2191</v>
      </c>
      <c r="D98" s="215" t="s">
        <v>2331</v>
      </c>
      <c r="E98" s="215" t="s">
        <v>2097</v>
      </c>
      <c r="F98" s="215">
        <v>0</v>
      </c>
      <c r="G98" s="215">
        <v>22000</v>
      </c>
      <c r="H98" s="215">
        <v>57237153</v>
      </c>
      <c r="I98" s="215">
        <v>0</v>
      </c>
      <c r="J98" s="329">
        <f t="shared" si="1"/>
        <v>-22000</v>
      </c>
    </row>
    <row r="99" spans="1:10" x14ac:dyDescent="0.45">
      <c r="A99" s="215" t="s">
        <v>2192</v>
      </c>
      <c r="B99" s="215" t="s">
        <v>2456</v>
      </c>
      <c r="C99" s="215" t="s">
        <v>2192</v>
      </c>
      <c r="D99" s="215" t="s">
        <v>2318</v>
      </c>
      <c r="E99" s="215" t="s">
        <v>2401</v>
      </c>
      <c r="F99" s="215">
        <v>9735000</v>
      </c>
      <c r="G99" s="215">
        <v>0</v>
      </c>
      <c r="H99" s="215">
        <v>66972153</v>
      </c>
      <c r="I99" s="215">
        <v>0</v>
      </c>
      <c r="J99" s="329">
        <f t="shared" si="1"/>
        <v>9735000</v>
      </c>
    </row>
    <row r="100" spans="1:10" hidden="1" x14ac:dyDescent="0.45">
      <c r="A100" s="215" t="s">
        <v>2197</v>
      </c>
      <c r="B100" s="215" t="s">
        <v>2457</v>
      </c>
      <c r="C100" s="215" t="s">
        <v>2197</v>
      </c>
      <c r="D100" s="215" t="s">
        <v>2458</v>
      </c>
      <c r="E100" s="215" t="s">
        <v>2061</v>
      </c>
      <c r="F100" s="215">
        <v>0</v>
      </c>
      <c r="G100" s="215">
        <v>35181114</v>
      </c>
      <c r="H100" s="215">
        <v>31791039</v>
      </c>
      <c r="I100" s="215">
        <v>0</v>
      </c>
      <c r="J100" s="329">
        <f t="shared" si="1"/>
        <v>-35181114</v>
      </c>
    </row>
    <row r="101" spans="1:10" hidden="1" x14ac:dyDescent="0.45">
      <c r="A101" s="215" t="s">
        <v>2197</v>
      </c>
      <c r="B101" s="215" t="s">
        <v>2459</v>
      </c>
      <c r="C101" s="215" t="s">
        <v>2197</v>
      </c>
      <c r="D101" s="215" t="s">
        <v>2460</v>
      </c>
      <c r="E101" s="215" t="s">
        <v>2406</v>
      </c>
      <c r="F101" s="215">
        <v>0</v>
      </c>
      <c r="G101" s="215">
        <v>3200000</v>
      </c>
      <c r="H101" s="215">
        <v>28591039</v>
      </c>
      <c r="I101" s="215">
        <v>0</v>
      </c>
      <c r="J101" s="329">
        <f t="shared" si="1"/>
        <v>-3200000</v>
      </c>
    </row>
    <row r="102" spans="1:10" hidden="1" x14ac:dyDescent="0.45">
      <c r="A102" s="215" t="s">
        <v>2197</v>
      </c>
      <c r="B102" s="215" t="s">
        <v>2461</v>
      </c>
      <c r="C102" s="215" t="s">
        <v>2197</v>
      </c>
      <c r="D102" s="215" t="s">
        <v>2354</v>
      </c>
      <c r="E102" s="215" t="s">
        <v>2053</v>
      </c>
      <c r="F102" s="215">
        <v>0</v>
      </c>
      <c r="G102" s="215">
        <v>651037</v>
      </c>
      <c r="H102" s="215">
        <v>27940002</v>
      </c>
      <c r="I102" s="215">
        <v>0</v>
      </c>
      <c r="J102" s="329">
        <f t="shared" si="1"/>
        <v>-651037</v>
      </c>
    </row>
    <row r="103" spans="1:10" hidden="1" x14ac:dyDescent="0.45">
      <c r="A103" s="215" t="s">
        <v>2197</v>
      </c>
      <c r="B103" s="215" t="s">
        <v>2462</v>
      </c>
      <c r="C103" s="215" t="s">
        <v>2197</v>
      </c>
      <c r="D103" s="215" t="s">
        <v>2331</v>
      </c>
      <c r="E103" s="215" t="s">
        <v>2097</v>
      </c>
      <c r="F103" s="215">
        <v>0</v>
      </c>
      <c r="G103" s="215">
        <v>16500</v>
      </c>
      <c r="H103" s="215">
        <v>27923502</v>
      </c>
      <c r="I103" s="215">
        <v>0</v>
      </c>
      <c r="J103" s="329">
        <f t="shared" si="1"/>
        <v>-16500</v>
      </c>
    </row>
    <row r="104" spans="1:10" hidden="1" x14ac:dyDescent="0.45">
      <c r="A104" s="215" t="s">
        <v>2197</v>
      </c>
      <c r="B104" s="215" t="s">
        <v>2463</v>
      </c>
      <c r="C104" s="215" t="s">
        <v>2197</v>
      </c>
      <c r="D104" s="215" t="s">
        <v>2331</v>
      </c>
      <c r="E104" s="215" t="s">
        <v>2097</v>
      </c>
      <c r="F104" s="215">
        <v>0</v>
      </c>
      <c r="G104" s="215">
        <v>16500</v>
      </c>
      <c r="H104" s="215">
        <v>27907002</v>
      </c>
      <c r="I104" s="215">
        <v>0</v>
      </c>
      <c r="J104" s="329">
        <f t="shared" si="1"/>
        <v>-16500</v>
      </c>
    </row>
    <row r="105" spans="1:10" hidden="1" x14ac:dyDescent="0.45">
      <c r="A105" s="215" t="s">
        <v>2197</v>
      </c>
      <c r="B105" s="215" t="s">
        <v>2464</v>
      </c>
      <c r="C105" s="215" t="s">
        <v>2197</v>
      </c>
      <c r="D105" s="215" t="s">
        <v>2331</v>
      </c>
      <c r="E105" s="215" t="s">
        <v>2097</v>
      </c>
      <c r="F105" s="215">
        <v>0</v>
      </c>
      <c r="G105" s="215">
        <v>22000</v>
      </c>
      <c r="H105" s="215">
        <v>27885002</v>
      </c>
      <c r="I105" s="215">
        <v>0</v>
      </c>
      <c r="J105" s="329">
        <f t="shared" si="1"/>
        <v>-22000</v>
      </c>
    </row>
    <row r="106" spans="1:10" x14ac:dyDescent="0.45">
      <c r="A106" s="215" t="s">
        <v>2199</v>
      </c>
      <c r="B106" s="215" t="s">
        <v>2465</v>
      </c>
      <c r="C106" s="215" t="s">
        <v>2199</v>
      </c>
      <c r="D106" s="215" t="s">
        <v>2349</v>
      </c>
      <c r="E106" s="215" t="s">
        <v>2350</v>
      </c>
      <c r="F106" s="215">
        <v>5577</v>
      </c>
      <c r="G106" s="215">
        <v>0</v>
      </c>
      <c r="H106" s="215">
        <v>27890579</v>
      </c>
      <c r="I106" s="215">
        <v>0</v>
      </c>
      <c r="J106" s="329">
        <f t="shared" si="1"/>
        <v>5577</v>
      </c>
    </row>
    <row r="107" spans="1:10" hidden="1" x14ac:dyDescent="0.45">
      <c r="A107" s="215" t="s">
        <v>2199</v>
      </c>
      <c r="B107" s="215" t="s">
        <v>2466</v>
      </c>
      <c r="C107" s="215" t="s">
        <v>2199</v>
      </c>
      <c r="D107" s="215" t="s">
        <v>2331</v>
      </c>
      <c r="E107" s="215" t="s">
        <v>2097</v>
      </c>
      <c r="F107" s="215">
        <v>0</v>
      </c>
      <c r="G107" s="215">
        <v>30000</v>
      </c>
      <c r="H107" s="215">
        <v>27860579</v>
      </c>
      <c r="I107" s="215">
        <v>0</v>
      </c>
      <c r="J107" s="329">
        <f t="shared" si="1"/>
        <v>-30000</v>
      </c>
    </row>
    <row r="108" spans="1:10" hidden="1" x14ac:dyDescent="0.45">
      <c r="A108" s="215" t="s">
        <v>2203</v>
      </c>
      <c r="B108" s="215" t="s">
        <v>2467</v>
      </c>
      <c r="C108" s="215" t="s">
        <v>2203</v>
      </c>
      <c r="D108" s="215" t="s">
        <v>2468</v>
      </c>
      <c r="E108" s="215" t="s">
        <v>2368</v>
      </c>
      <c r="F108" s="215">
        <v>0</v>
      </c>
      <c r="G108" s="215">
        <v>20160000</v>
      </c>
      <c r="H108" s="215">
        <v>7700579</v>
      </c>
      <c r="I108" s="215">
        <v>0</v>
      </c>
      <c r="J108" s="329">
        <f t="shared" si="1"/>
        <v>-20160000</v>
      </c>
    </row>
    <row r="109" spans="1:10" hidden="1" x14ac:dyDescent="0.45">
      <c r="A109" s="215" t="s">
        <v>2203</v>
      </c>
      <c r="B109" s="215" t="s">
        <v>2469</v>
      </c>
      <c r="C109" s="215" t="s">
        <v>2203</v>
      </c>
      <c r="D109" s="215" t="s">
        <v>2331</v>
      </c>
      <c r="E109" s="215" t="s">
        <v>2097</v>
      </c>
      <c r="F109" s="215">
        <v>0</v>
      </c>
      <c r="G109" s="215">
        <v>22000</v>
      </c>
      <c r="H109" s="215">
        <v>7678579</v>
      </c>
      <c r="I109" s="215">
        <v>0</v>
      </c>
      <c r="J109" s="329">
        <f t="shared" si="1"/>
        <v>-22000</v>
      </c>
    </row>
    <row r="110" spans="1:10" x14ac:dyDescent="0.45">
      <c r="A110" s="215" t="s">
        <v>2207</v>
      </c>
      <c r="B110" s="215" t="s">
        <v>2470</v>
      </c>
      <c r="C110" s="215" t="s">
        <v>2207</v>
      </c>
      <c r="D110" s="215" t="s">
        <v>2318</v>
      </c>
      <c r="E110" s="215" t="s">
        <v>2401</v>
      </c>
      <c r="F110" s="215">
        <v>17468000</v>
      </c>
      <c r="G110" s="215">
        <v>0</v>
      </c>
      <c r="H110" s="215">
        <v>25146579</v>
      </c>
      <c r="I110" s="215">
        <v>0</v>
      </c>
      <c r="J110" s="329">
        <f t="shared" si="1"/>
        <v>17468000</v>
      </c>
    </row>
    <row r="111" spans="1:10" x14ac:dyDescent="0.45">
      <c r="A111" s="215" t="s">
        <v>2207</v>
      </c>
      <c r="B111" s="215" t="s">
        <v>2471</v>
      </c>
      <c r="C111" s="215" t="s">
        <v>2207</v>
      </c>
      <c r="D111" s="215" t="s">
        <v>2318</v>
      </c>
      <c r="E111" s="215" t="s">
        <v>2401</v>
      </c>
      <c r="F111" s="215">
        <v>8162000</v>
      </c>
      <c r="G111" s="215">
        <v>0</v>
      </c>
      <c r="H111" s="215">
        <v>33308579</v>
      </c>
      <c r="I111" s="215">
        <v>0</v>
      </c>
      <c r="J111" s="329">
        <f t="shared" si="1"/>
        <v>8162000</v>
      </c>
    </row>
    <row r="112" spans="1:10" hidden="1" x14ac:dyDescent="0.45">
      <c r="A112" s="215" t="s">
        <v>2209</v>
      </c>
      <c r="B112" s="215" t="s">
        <v>2472</v>
      </c>
      <c r="C112" s="215" t="s">
        <v>2209</v>
      </c>
      <c r="D112" s="215" t="s">
        <v>2473</v>
      </c>
      <c r="E112" s="215" t="s">
        <v>2053</v>
      </c>
      <c r="F112" s="215">
        <v>0</v>
      </c>
      <c r="G112" s="215">
        <v>7488000</v>
      </c>
      <c r="H112" s="215">
        <v>25820579</v>
      </c>
      <c r="I112" s="215">
        <v>0</v>
      </c>
      <c r="J112" s="329">
        <f t="shared" si="1"/>
        <v>-7488000</v>
      </c>
    </row>
    <row r="113" spans="1:10" hidden="1" x14ac:dyDescent="0.45">
      <c r="A113" s="215" t="s">
        <v>2209</v>
      </c>
      <c r="B113" s="215" t="s">
        <v>2474</v>
      </c>
      <c r="C113" s="215" t="s">
        <v>2209</v>
      </c>
      <c r="D113" s="215" t="s">
        <v>2331</v>
      </c>
      <c r="E113" s="215" t="s">
        <v>2097</v>
      </c>
      <c r="F113" s="215">
        <v>0</v>
      </c>
      <c r="G113" s="215">
        <v>22000</v>
      </c>
      <c r="H113" s="215">
        <v>25798579</v>
      </c>
      <c r="I113" s="215">
        <v>0</v>
      </c>
      <c r="J113" s="329">
        <f t="shared" si="1"/>
        <v>-22000</v>
      </c>
    </row>
    <row r="114" spans="1:10" hidden="1" x14ac:dyDescent="0.45">
      <c r="A114" s="215" t="s">
        <v>2210</v>
      </c>
      <c r="B114" s="215" t="s">
        <v>2475</v>
      </c>
      <c r="C114" s="215" t="s">
        <v>2210</v>
      </c>
      <c r="D114" s="215" t="s">
        <v>2476</v>
      </c>
      <c r="E114" s="215" t="s">
        <v>2061</v>
      </c>
      <c r="F114" s="215">
        <v>0</v>
      </c>
      <c r="G114" s="215">
        <v>2513500</v>
      </c>
      <c r="H114" s="215">
        <v>23285079</v>
      </c>
      <c r="I114" s="215">
        <v>0</v>
      </c>
      <c r="J114" s="329">
        <f t="shared" si="1"/>
        <v>-2513500</v>
      </c>
    </row>
    <row r="115" spans="1:10" hidden="1" x14ac:dyDescent="0.45">
      <c r="A115" s="215" t="s">
        <v>2210</v>
      </c>
      <c r="B115" s="215" t="s">
        <v>2477</v>
      </c>
      <c r="C115" s="215" t="s">
        <v>2210</v>
      </c>
      <c r="D115" s="215" t="s">
        <v>2331</v>
      </c>
      <c r="E115" s="215" t="s">
        <v>2097</v>
      </c>
      <c r="F115" s="215">
        <v>0</v>
      </c>
      <c r="G115" s="215">
        <v>16500</v>
      </c>
      <c r="H115" s="215">
        <v>23268579</v>
      </c>
      <c r="I115" s="215">
        <v>0</v>
      </c>
      <c r="J115" s="329">
        <f t="shared" si="1"/>
        <v>-16500</v>
      </c>
    </row>
    <row r="116" spans="1:10" hidden="1" x14ac:dyDescent="0.45">
      <c r="A116" s="215" t="s">
        <v>2210</v>
      </c>
      <c r="B116" s="215" t="s">
        <v>2478</v>
      </c>
      <c r="C116" s="215" t="s">
        <v>2210</v>
      </c>
      <c r="D116" s="215" t="s">
        <v>2479</v>
      </c>
      <c r="E116" s="215" t="s">
        <v>2108</v>
      </c>
      <c r="F116" s="215">
        <v>0</v>
      </c>
      <c r="G116" s="215">
        <v>15000</v>
      </c>
      <c r="H116" s="215">
        <v>23253579</v>
      </c>
      <c r="I116" s="215">
        <v>0</v>
      </c>
      <c r="J116" s="329">
        <f t="shared" si="1"/>
        <v>-15000</v>
      </c>
    </row>
    <row r="117" spans="1:10" hidden="1" x14ac:dyDescent="0.45">
      <c r="A117" s="215" t="s">
        <v>2210</v>
      </c>
      <c r="B117" s="215" t="s">
        <v>2480</v>
      </c>
      <c r="C117" s="215" t="s">
        <v>2210</v>
      </c>
      <c r="D117" s="215" t="s">
        <v>2331</v>
      </c>
      <c r="E117" s="215" t="s">
        <v>2097</v>
      </c>
      <c r="F117" s="215">
        <v>0</v>
      </c>
      <c r="G117" s="215">
        <v>16500</v>
      </c>
      <c r="H117" s="215">
        <v>23237079</v>
      </c>
      <c r="I117" s="215">
        <v>0</v>
      </c>
      <c r="J117" s="329">
        <f t="shared" si="1"/>
        <v>-16500</v>
      </c>
    </row>
    <row r="118" spans="1:10" hidden="1" x14ac:dyDescent="0.45">
      <c r="A118" s="215" t="s">
        <v>2481</v>
      </c>
      <c r="B118" s="215" t="s">
        <v>2482</v>
      </c>
      <c r="C118" s="215" t="s">
        <v>2481</v>
      </c>
      <c r="D118" s="215" t="s">
        <v>2342</v>
      </c>
      <c r="E118" s="215" t="s">
        <v>2053</v>
      </c>
      <c r="F118" s="215">
        <v>0</v>
      </c>
      <c r="G118" s="215">
        <v>11607709</v>
      </c>
      <c r="H118" s="215">
        <v>11629370</v>
      </c>
      <c r="I118" s="215">
        <v>0</v>
      </c>
      <c r="J118" s="329">
        <f t="shared" si="1"/>
        <v>-11607709</v>
      </c>
    </row>
    <row r="119" spans="1:10" hidden="1" x14ac:dyDescent="0.45">
      <c r="A119" s="215" t="s">
        <v>2211</v>
      </c>
      <c r="B119" s="215" t="s">
        <v>2483</v>
      </c>
      <c r="C119" s="215" t="s">
        <v>2211</v>
      </c>
      <c r="D119" s="215" t="s">
        <v>2484</v>
      </c>
      <c r="E119" s="215" t="s">
        <v>2053</v>
      </c>
      <c r="F119" s="215">
        <v>0</v>
      </c>
      <c r="G119" s="215">
        <v>5500000</v>
      </c>
      <c r="H119" s="215">
        <v>6129370</v>
      </c>
      <c r="I119" s="215">
        <v>0</v>
      </c>
      <c r="J119" s="329">
        <f t="shared" si="1"/>
        <v>-5500000</v>
      </c>
    </row>
    <row r="120" spans="1:10" hidden="1" x14ac:dyDescent="0.45">
      <c r="A120" s="215" t="s">
        <v>2211</v>
      </c>
      <c r="B120" s="215" t="s">
        <v>2485</v>
      </c>
      <c r="C120" s="215" t="s">
        <v>2211</v>
      </c>
      <c r="D120" s="215" t="s">
        <v>2331</v>
      </c>
      <c r="E120" s="215" t="s">
        <v>2097</v>
      </c>
      <c r="F120" s="215">
        <v>0</v>
      </c>
      <c r="G120" s="215">
        <v>22000</v>
      </c>
      <c r="H120" s="215">
        <v>6107370</v>
      </c>
      <c r="I120" s="215">
        <v>0</v>
      </c>
      <c r="J120" s="329">
        <f t="shared" si="1"/>
        <v>-22000</v>
      </c>
    </row>
    <row r="121" spans="1:10" hidden="1" x14ac:dyDescent="0.45">
      <c r="A121" s="215" t="s">
        <v>2211</v>
      </c>
      <c r="B121" s="215" t="s">
        <v>2486</v>
      </c>
      <c r="C121" s="215" t="s">
        <v>2211</v>
      </c>
      <c r="D121" s="215" t="s">
        <v>2336</v>
      </c>
      <c r="E121" s="215" t="s">
        <v>2053</v>
      </c>
      <c r="F121" s="215">
        <v>0</v>
      </c>
      <c r="G121" s="215">
        <v>2030256</v>
      </c>
      <c r="H121" s="215">
        <v>4077114</v>
      </c>
      <c r="I121" s="215">
        <v>0</v>
      </c>
      <c r="J121" s="329">
        <f t="shared" si="1"/>
        <v>-2030256</v>
      </c>
    </row>
    <row r="122" spans="1:10" hidden="1" x14ac:dyDescent="0.45">
      <c r="A122" s="215" t="s">
        <v>2211</v>
      </c>
      <c r="B122" s="215" t="s">
        <v>2487</v>
      </c>
      <c r="C122" s="215" t="s">
        <v>2211</v>
      </c>
      <c r="D122" s="215" t="s">
        <v>2331</v>
      </c>
      <c r="E122" s="215" t="s">
        <v>2097</v>
      </c>
      <c r="F122" s="215">
        <v>0</v>
      </c>
      <c r="G122" s="215">
        <v>22000</v>
      </c>
      <c r="H122" s="215">
        <v>4055114</v>
      </c>
      <c r="I122" s="215">
        <v>0</v>
      </c>
      <c r="J122" s="329">
        <f t="shared" si="1"/>
        <v>-22000</v>
      </c>
    </row>
    <row r="123" spans="1:10" hidden="1" x14ac:dyDescent="0.45">
      <c r="A123" s="215" t="s">
        <v>2211</v>
      </c>
      <c r="B123" s="215" t="s">
        <v>2488</v>
      </c>
      <c r="C123" s="215" t="s">
        <v>2211</v>
      </c>
      <c r="D123" s="215" t="s">
        <v>2336</v>
      </c>
      <c r="E123" s="215" t="s">
        <v>2053</v>
      </c>
      <c r="F123" s="215">
        <v>0</v>
      </c>
      <c r="G123" s="215">
        <v>1243532</v>
      </c>
      <c r="H123" s="215">
        <v>2811582</v>
      </c>
      <c r="I123" s="215">
        <v>0</v>
      </c>
      <c r="J123" s="329">
        <f t="shared" si="1"/>
        <v>-1243532</v>
      </c>
    </row>
    <row r="124" spans="1:10" hidden="1" x14ac:dyDescent="0.45">
      <c r="A124" s="215" t="s">
        <v>2211</v>
      </c>
      <c r="B124" s="215" t="s">
        <v>2489</v>
      </c>
      <c r="C124" s="215" t="s">
        <v>2211</v>
      </c>
      <c r="D124" s="215" t="s">
        <v>2331</v>
      </c>
      <c r="E124" s="215" t="s">
        <v>2097</v>
      </c>
      <c r="F124" s="215">
        <v>0</v>
      </c>
      <c r="G124" s="215">
        <v>22000</v>
      </c>
      <c r="H124" s="215">
        <v>2789582</v>
      </c>
      <c r="I124" s="215">
        <v>0</v>
      </c>
      <c r="J124" s="329">
        <f t="shared" si="1"/>
        <v>-22000</v>
      </c>
    </row>
    <row r="125" spans="1:10" hidden="1" x14ac:dyDescent="0.45">
      <c r="A125" s="215" t="s">
        <v>2218</v>
      </c>
      <c r="B125" s="215" t="s">
        <v>2490</v>
      </c>
      <c r="C125" s="215" t="s">
        <v>2218</v>
      </c>
      <c r="D125" s="215" t="s">
        <v>2071</v>
      </c>
      <c r="E125" s="215" t="s">
        <v>2326</v>
      </c>
      <c r="F125" s="215">
        <v>100000000</v>
      </c>
      <c r="G125" s="215">
        <v>0</v>
      </c>
      <c r="H125" s="215">
        <v>102789582</v>
      </c>
      <c r="I125" s="215">
        <v>0</v>
      </c>
      <c r="J125" s="329">
        <f t="shared" si="1"/>
        <v>100000000</v>
      </c>
    </row>
    <row r="126" spans="1:10" hidden="1" x14ac:dyDescent="0.45">
      <c r="A126" s="215" t="s">
        <v>2218</v>
      </c>
      <c r="B126" s="215" t="s">
        <v>2491</v>
      </c>
      <c r="C126" s="215" t="s">
        <v>2218</v>
      </c>
      <c r="D126" s="215" t="s">
        <v>2492</v>
      </c>
      <c r="E126" s="215" t="s">
        <v>2053</v>
      </c>
      <c r="F126" s="215">
        <v>0</v>
      </c>
      <c r="G126" s="215">
        <v>81168604</v>
      </c>
      <c r="H126" s="215">
        <v>21620978</v>
      </c>
      <c r="I126" s="215">
        <v>0</v>
      </c>
      <c r="J126" s="329">
        <f t="shared" si="1"/>
        <v>-81168604</v>
      </c>
    </row>
    <row r="127" spans="1:10" hidden="1" x14ac:dyDescent="0.45">
      <c r="A127" s="215" t="s">
        <v>2218</v>
      </c>
      <c r="B127" s="215" t="s">
        <v>2493</v>
      </c>
      <c r="C127" s="215" t="s">
        <v>2218</v>
      </c>
      <c r="D127" s="215" t="s">
        <v>2331</v>
      </c>
      <c r="E127" s="215" t="s">
        <v>2097</v>
      </c>
      <c r="F127" s="215">
        <v>0</v>
      </c>
      <c r="G127" s="215">
        <v>22000</v>
      </c>
      <c r="H127" s="215">
        <v>21598978</v>
      </c>
      <c r="I127" s="215">
        <v>0</v>
      </c>
      <c r="J127" s="329">
        <f t="shared" si="1"/>
        <v>-22000</v>
      </c>
    </row>
    <row r="128" spans="1:10" x14ac:dyDescent="0.45">
      <c r="A128" s="215" t="s">
        <v>2222</v>
      </c>
      <c r="B128" s="215" t="s">
        <v>2494</v>
      </c>
      <c r="C128" s="215" t="s">
        <v>2222</v>
      </c>
      <c r="D128" s="215" t="s">
        <v>2349</v>
      </c>
      <c r="E128" s="215" t="s">
        <v>2350</v>
      </c>
      <c r="F128" s="215">
        <v>1406</v>
      </c>
      <c r="G128" s="215">
        <v>0</v>
      </c>
      <c r="H128" s="215">
        <v>21600384</v>
      </c>
      <c r="I128" s="215">
        <v>0</v>
      </c>
      <c r="J128" s="329">
        <f t="shared" si="1"/>
        <v>1406</v>
      </c>
    </row>
    <row r="129" spans="1:10" hidden="1" x14ac:dyDescent="0.45">
      <c r="A129" s="215" t="s">
        <v>2222</v>
      </c>
      <c r="B129" s="215" t="s">
        <v>2495</v>
      </c>
      <c r="C129" s="215" t="s">
        <v>2222</v>
      </c>
      <c r="D129" s="215" t="s">
        <v>2331</v>
      </c>
      <c r="E129" s="215" t="s">
        <v>2097</v>
      </c>
      <c r="F129" s="215">
        <v>0</v>
      </c>
      <c r="G129" s="215">
        <v>30000</v>
      </c>
      <c r="H129" s="215">
        <v>21570384</v>
      </c>
      <c r="I129" s="215">
        <v>0</v>
      </c>
      <c r="J129" s="329">
        <f t="shared" si="1"/>
        <v>-30000</v>
      </c>
    </row>
    <row r="130" spans="1:10" hidden="1" x14ac:dyDescent="0.45">
      <c r="A130" s="215" t="s">
        <v>2226</v>
      </c>
      <c r="B130" s="215" t="s">
        <v>2496</v>
      </c>
      <c r="C130" s="215" t="s">
        <v>2226</v>
      </c>
      <c r="D130" s="215" t="s">
        <v>2354</v>
      </c>
      <c r="E130" s="215" t="s">
        <v>2053</v>
      </c>
      <c r="F130" s="215">
        <v>0</v>
      </c>
      <c r="G130" s="215">
        <v>281918</v>
      </c>
      <c r="H130" s="215">
        <v>21288466</v>
      </c>
      <c r="I130" s="215">
        <v>0</v>
      </c>
      <c r="J130" s="329">
        <f t="shared" si="1"/>
        <v>-281918</v>
      </c>
    </row>
    <row r="131" spans="1:10" hidden="1" x14ac:dyDescent="0.45">
      <c r="A131" s="215" t="s">
        <v>2226</v>
      </c>
      <c r="B131" s="215" t="s">
        <v>2497</v>
      </c>
      <c r="C131" s="215" t="s">
        <v>2226</v>
      </c>
      <c r="D131" s="215" t="s">
        <v>2331</v>
      </c>
      <c r="E131" s="215" t="s">
        <v>2097</v>
      </c>
      <c r="F131" s="215">
        <v>0</v>
      </c>
      <c r="G131" s="215">
        <v>22000</v>
      </c>
      <c r="H131" s="215">
        <v>21266466</v>
      </c>
      <c r="I131" s="215">
        <v>0</v>
      </c>
      <c r="J131" s="329">
        <f t="shared" si="1"/>
        <v>-22000</v>
      </c>
    </row>
    <row r="132" spans="1:10" hidden="1" x14ac:dyDescent="0.45">
      <c r="A132" s="215" t="s">
        <v>2236</v>
      </c>
      <c r="B132" s="215" t="s">
        <v>2498</v>
      </c>
      <c r="C132" s="215" t="s">
        <v>2236</v>
      </c>
      <c r="D132" s="215" t="s">
        <v>2342</v>
      </c>
      <c r="E132" s="215" t="s">
        <v>2053</v>
      </c>
      <c r="F132" s="215">
        <v>0</v>
      </c>
      <c r="G132" s="215">
        <v>10789163</v>
      </c>
      <c r="H132" s="215">
        <v>10477303</v>
      </c>
      <c r="I132" s="215">
        <v>0</v>
      </c>
      <c r="J132" s="329">
        <f t="shared" si="1"/>
        <v>-10789163</v>
      </c>
    </row>
    <row r="133" spans="1:10" hidden="1" x14ac:dyDescent="0.45">
      <c r="A133" s="215" t="s">
        <v>2236</v>
      </c>
      <c r="B133" s="215" t="s">
        <v>2499</v>
      </c>
      <c r="C133" s="215" t="s">
        <v>2236</v>
      </c>
      <c r="D133" s="215" t="s">
        <v>2500</v>
      </c>
      <c r="E133" s="215" t="s">
        <v>2053</v>
      </c>
      <c r="F133" s="215">
        <v>0</v>
      </c>
      <c r="G133" s="215">
        <v>5500000</v>
      </c>
      <c r="H133" s="215">
        <v>4977303</v>
      </c>
      <c r="I133" s="215">
        <v>0</v>
      </c>
      <c r="J133" s="329">
        <f t="shared" si="1"/>
        <v>-5500000</v>
      </c>
    </row>
    <row r="134" spans="1:10" hidden="1" x14ac:dyDescent="0.45">
      <c r="A134" s="215" t="s">
        <v>2236</v>
      </c>
      <c r="B134" s="215" t="s">
        <v>2501</v>
      </c>
      <c r="C134" s="215" t="s">
        <v>2236</v>
      </c>
      <c r="D134" s="215" t="s">
        <v>2331</v>
      </c>
      <c r="E134" s="215" t="s">
        <v>2097</v>
      </c>
      <c r="F134" s="215">
        <v>0</v>
      </c>
      <c r="G134" s="215">
        <v>22000</v>
      </c>
      <c r="H134" s="215">
        <v>4955303</v>
      </c>
      <c r="I134" s="215">
        <v>0</v>
      </c>
      <c r="J134" s="329">
        <f t="shared" ref="J134:J197" si="2">IF(F134&gt;0,F134,-G134)</f>
        <v>-22000</v>
      </c>
    </row>
    <row r="135" spans="1:10" x14ac:dyDescent="0.45">
      <c r="A135" s="215" t="s">
        <v>2237</v>
      </c>
      <c r="B135" s="215" t="s">
        <v>2502</v>
      </c>
      <c r="C135" s="215" t="s">
        <v>2237</v>
      </c>
      <c r="D135" s="215" t="s">
        <v>2318</v>
      </c>
      <c r="E135" s="215" t="s">
        <v>2401</v>
      </c>
      <c r="F135" s="215">
        <v>10915300</v>
      </c>
      <c r="G135" s="215">
        <v>0</v>
      </c>
      <c r="H135" s="215">
        <v>15870603</v>
      </c>
      <c r="I135" s="215">
        <v>0</v>
      </c>
      <c r="J135" s="329">
        <f t="shared" si="2"/>
        <v>10915300</v>
      </c>
    </row>
    <row r="136" spans="1:10" x14ac:dyDescent="0.45">
      <c r="A136" s="215" t="s">
        <v>2243</v>
      </c>
      <c r="B136" s="215" t="s">
        <v>2503</v>
      </c>
      <c r="C136" s="215" t="s">
        <v>2243</v>
      </c>
      <c r="D136" s="215" t="s">
        <v>2318</v>
      </c>
      <c r="E136" s="215" t="s">
        <v>2401</v>
      </c>
      <c r="F136" s="215">
        <v>12101100</v>
      </c>
      <c r="G136" s="215">
        <v>0</v>
      </c>
      <c r="H136" s="215">
        <v>27971703</v>
      </c>
      <c r="I136" s="215">
        <v>0</v>
      </c>
      <c r="J136" s="329">
        <f t="shared" si="2"/>
        <v>12101100</v>
      </c>
    </row>
    <row r="137" spans="1:10" hidden="1" x14ac:dyDescent="0.45">
      <c r="A137" s="215" t="s">
        <v>2504</v>
      </c>
      <c r="B137" s="215" t="s">
        <v>2505</v>
      </c>
      <c r="C137" s="215" t="s">
        <v>2504</v>
      </c>
      <c r="D137" s="215" t="s">
        <v>2354</v>
      </c>
      <c r="E137" s="215" t="s">
        <v>2053</v>
      </c>
      <c r="F137" s="215">
        <v>0</v>
      </c>
      <c r="G137" s="215">
        <v>525943</v>
      </c>
      <c r="H137" s="215">
        <v>27445760</v>
      </c>
      <c r="I137" s="215">
        <v>0</v>
      </c>
      <c r="J137" s="329">
        <f t="shared" si="2"/>
        <v>-525943</v>
      </c>
    </row>
    <row r="138" spans="1:10" hidden="1" x14ac:dyDescent="0.45">
      <c r="A138" s="215" t="s">
        <v>2246</v>
      </c>
      <c r="B138" s="215" t="s">
        <v>2506</v>
      </c>
      <c r="C138" s="215" t="s">
        <v>2246</v>
      </c>
      <c r="D138" s="215" t="s">
        <v>2071</v>
      </c>
      <c r="E138" s="215" t="s">
        <v>2326</v>
      </c>
      <c r="F138" s="215">
        <v>5000000</v>
      </c>
      <c r="G138" s="215">
        <v>0</v>
      </c>
      <c r="H138" s="215">
        <v>32445760</v>
      </c>
      <c r="I138" s="215">
        <v>0</v>
      </c>
      <c r="J138" s="329">
        <f t="shared" si="2"/>
        <v>5000000</v>
      </c>
    </row>
    <row r="139" spans="1:10" x14ac:dyDescent="0.45">
      <c r="A139" s="215" t="s">
        <v>2246</v>
      </c>
      <c r="B139" s="215" t="s">
        <v>2507</v>
      </c>
      <c r="C139" s="215" t="s">
        <v>2246</v>
      </c>
      <c r="D139" s="215" t="s">
        <v>2349</v>
      </c>
      <c r="E139" s="215" t="s">
        <v>2350</v>
      </c>
      <c r="F139" s="215">
        <v>1623</v>
      </c>
      <c r="G139" s="215">
        <v>0</v>
      </c>
      <c r="H139" s="215">
        <v>32447383</v>
      </c>
      <c r="I139" s="215">
        <v>0</v>
      </c>
      <c r="J139" s="329">
        <f t="shared" si="2"/>
        <v>1623</v>
      </c>
    </row>
    <row r="140" spans="1:10" hidden="1" x14ac:dyDescent="0.45">
      <c r="A140" s="215" t="s">
        <v>2246</v>
      </c>
      <c r="B140" s="215" t="s">
        <v>2508</v>
      </c>
      <c r="C140" s="215" t="s">
        <v>2246</v>
      </c>
      <c r="D140" s="215" t="s">
        <v>2336</v>
      </c>
      <c r="E140" s="215" t="s">
        <v>2053</v>
      </c>
      <c r="F140" s="215">
        <v>0</v>
      </c>
      <c r="G140" s="215">
        <v>1928743</v>
      </c>
      <c r="H140" s="215">
        <v>30518640</v>
      </c>
      <c r="I140" s="215">
        <v>0</v>
      </c>
      <c r="J140" s="329">
        <f t="shared" si="2"/>
        <v>-1928743</v>
      </c>
    </row>
    <row r="141" spans="1:10" hidden="1" x14ac:dyDescent="0.45">
      <c r="A141" s="215" t="s">
        <v>2246</v>
      </c>
      <c r="B141" s="215" t="s">
        <v>2509</v>
      </c>
      <c r="C141" s="215" t="s">
        <v>2246</v>
      </c>
      <c r="D141" s="215" t="s">
        <v>2331</v>
      </c>
      <c r="E141" s="215" t="s">
        <v>2097</v>
      </c>
      <c r="F141" s="215">
        <v>0</v>
      </c>
      <c r="G141" s="215">
        <v>22000</v>
      </c>
      <c r="H141" s="215">
        <v>30496640</v>
      </c>
      <c r="I141" s="215">
        <v>0</v>
      </c>
      <c r="J141" s="329">
        <f t="shared" si="2"/>
        <v>-22000</v>
      </c>
    </row>
    <row r="142" spans="1:10" hidden="1" x14ac:dyDescent="0.45">
      <c r="A142" s="215" t="s">
        <v>2246</v>
      </c>
      <c r="B142" s="215" t="s">
        <v>2510</v>
      </c>
      <c r="C142" s="215" t="s">
        <v>2246</v>
      </c>
      <c r="D142" s="215" t="s">
        <v>2336</v>
      </c>
      <c r="E142" s="215" t="s">
        <v>2053</v>
      </c>
      <c r="F142" s="215">
        <v>0</v>
      </c>
      <c r="G142" s="215">
        <v>1015128</v>
      </c>
      <c r="H142" s="215">
        <v>29481512</v>
      </c>
      <c r="I142" s="215">
        <v>0</v>
      </c>
      <c r="J142" s="329">
        <f t="shared" si="2"/>
        <v>-1015128</v>
      </c>
    </row>
    <row r="143" spans="1:10" hidden="1" x14ac:dyDescent="0.45">
      <c r="A143" s="215" t="s">
        <v>2246</v>
      </c>
      <c r="B143" s="215" t="s">
        <v>2511</v>
      </c>
      <c r="C143" s="215" t="s">
        <v>2246</v>
      </c>
      <c r="D143" s="215" t="s">
        <v>2331</v>
      </c>
      <c r="E143" s="215" t="s">
        <v>2097</v>
      </c>
      <c r="F143" s="215">
        <v>0</v>
      </c>
      <c r="G143" s="215">
        <v>22000</v>
      </c>
      <c r="H143" s="215">
        <v>29459512</v>
      </c>
      <c r="I143" s="215">
        <v>0</v>
      </c>
      <c r="J143" s="329">
        <f t="shared" si="2"/>
        <v>-22000</v>
      </c>
    </row>
    <row r="144" spans="1:10" hidden="1" x14ac:dyDescent="0.45">
      <c r="A144" s="215" t="s">
        <v>2246</v>
      </c>
      <c r="B144" s="215" t="s">
        <v>2512</v>
      </c>
      <c r="C144" s="215" t="s">
        <v>2246</v>
      </c>
      <c r="D144" s="215" t="s">
        <v>2513</v>
      </c>
      <c r="E144" s="215" t="s">
        <v>2368</v>
      </c>
      <c r="F144" s="215">
        <v>0</v>
      </c>
      <c r="G144" s="215">
        <v>20160000</v>
      </c>
      <c r="H144" s="215">
        <v>9299512</v>
      </c>
      <c r="I144" s="215">
        <v>0</v>
      </c>
      <c r="J144" s="329">
        <f t="shared" si="2"/>
        <v>-20160000</v>
      </c>
    </row>
    <row r="145" spans="1:10" hidden="1" x14ac:dyDescent="0.45">
      <c r="A145" s="215" t="s">
        <v>2246</v>
      </c>
      <c r="B145" s="215" t="s">
        <v>2514</v>
      </c>
      <c r="C145" s="215" t="s">
        <v>2246</v>
      </c>
      <c r="D145" s="215" t="s">
        <v>2331</v>
      </c>
      <c r="E145" s="215" t="s">
        <v>2097</v>
      </c>
      <c r="F145" s="215">
        <v>0</v>
      </c>
      <c r="G145" s="215">
        <v>22000</v>
      </c>
      <c r="H145" s="215">
        <v>9277512</v>
      </c>
      <c r="I145" s="215">
        <v>0</v>
      </c>
      <c r="J145" s="329">
        <f t="shared" si="2"/>
        <v>-22000</v>
      </c>
    </row>
    <row r="146" spans="1:10" hidden="1" x14ac:dyDescent="0.45">
      <c r="A146" s="215" t="s">
        <v>2246</v>
      </c>
      <c r="B146" s="215" t="s">
        <v>2515</v>
      </c>
      <c r="C146" s="215" t="s">
        <v>2246</v>
      </c>
      <c r="D146" s="215" t="s">
        <v>2331</v>
      </c>
      <c r="E146" s="215" t="s">
        <v>2097</v>
      </c>
      <c r="F146" s="215">
        <v>0</v>
      </c>
      <c r="G146" s="215">
        <v>30000</v>
      </c>
      <c r="H146" s="215">
        <v>9247512</v>
      </c>
      <c r="I146" s="215">
        <v>0</v>
      </c>
      <c r="J146" s="329">
        <f t="shared" si="2"/>
        <v>-30000</v>
      </c>
    </row>
    <row r="147" spans="1:10" x14ac:dyDescent="0.45">
      <c r="A147" s="215" t="s">
        <v>2251</v>
      </c>
      <c r="B147" s="215" t="s">
        <v>2516</v>
      </c>
      <c r="C147" s="215" t="s">
        <v>2251</v>
      </c>
      <c r="D147" s="215" t="s">
        <v>2318</v>
      </c>
      <c r="E147" s="215" t="s">
        <v>2401</v>
      </c>
      <c r="F147" s="215">
        <v>11814000</v>
      </c>
      <c r="G147" s="215">
        <v>0</v>
      </c>
      <c r="H147" s="215">
        <v>21061512</v>
      </c>
      <c r="I147" s="215">
        <v>0</v>
      </c>
      <c r="J147" s="329">
        <f t="shared" si="2"/>
        <v>11814000</v>
      </c>
    </row>
    <row r="148" spans="1:10" x14ac:dyDescent="0.45">
      <c r="A148" s="215" t="s">
        <v>2254</v>
      </c>
      <c r="B148" s="215" t="s">
        <v>2517</v>
      </c>
      <c r="C148" s="215" t="s">
        <v>2254</v>
      </c>
      <c r="D148" s="215" t="s">
        <v>2318</v>
      </c>
      <c r="E148" s="215" t="s">
        <v>2401</v>
      </c>
      <c r="F148" s="215">
        <v>10193700</v>
      </c>
      <c r="G148" s="215">
        <v>0</v>
      </c>
      <c r="H148" s="215">
        <v>31255212</v>
      </c>
      <c r="I148" s="215">
        <v>0</v>
      </c>
      <c r="J148" s="329">
        <f t="shared" si="2"/>
        <v>10193700</v>
      </c>
    </row>
    <row r="149" spans="1:10" x14ac:dyDescent="0.45">
      <c r="A149" s="215" t="s">
        <v>2259</v>
      </c>
      <c r="B149" s="215" t="s">
        <v>2518</v>
      </c>
      <c r="C149" s="215" t="s">
        <v>2259</v>
      </c>
      <c r="D149" s="215" t="s">
        <v>2318</v>
      </c>
      <c r="E149" s="215" t="s">
        <v>2401</v>
      </c>
      <c r="F149" s="215">
        <v>11224400</v>
      </c>
      <c r="G149" s="215">
        <v>0</v>
      </c>
      <c r="H149" s="215">
        <v>42479612</v>
      </c>
      <c r="I149" s="215">
        <v>0</v>
      </c>
      <c r="J149" s="329">
        <f t="shared" si="2"/>
        <v>11224400</v>
      </c>
    </row>
    <row r="150" spans="1:10" hidden="1" x14ac:dyDescent="0.45">
      <c r="A150" s="215" t="s">
        <v>2261</v>
      </c>
      <c r="B150" s="215" t="s">
        <v>2519</v>
      </c>
      <c r="C150" s="215" t="s">
        <v>2261</v>
      </c>
      <c r="D150" s="215" t="s">
        <v>2342</v>
      </c>
      <c r="E150" s="215" t="s">
        <v>2053</v>
      </c>
      <c r="F150" s="215">
        <v>0</v>
      </c>
      <c r="G150" s="215">
        <v>8524481</v>
      </c>
      <c r="H150" s="215">
        <v>33955131</v>
      </c>
      <c r="I150" s="215">
        <v>0</v>
      </c>
      <c r="J150" s="329">
        <f t="shared" si="2"/>
        <v>-8524481</v>
      </c>
    </row>
    <row r="151" spans="1:10" hidden="1" x14ac:dyDescent="0.45">
      <c r="A151" s="215" t="s">
        <v>2520</v>
      </c>
      <c r="B151" s="215" t="s">
        <v>2521</v>
      </c>
      <c r="C151" s="215" t="s">
        <v>2520</v>
      </c>
      <c r="D151" s="215" t="s">
        <v>2331</v>
      </c>
      <c r="E151" s="215" t="s">
        <v>2097</v>
      </c>
      <c r="F151" s="215">
        <v>0</v>
      </c>
      <c r="G151" s="215">
        <v>22000</v>
      </c>
      <c r="H151" s="215">
        <v>33933131</v>
      </c>
      <c r="I151" s="215">
        <v>0</v>
      </c>
      <c r="J151" s="329">
        <f t="shared" si="2"/>
        <v>-22000</v>
      </c>
    </row>
    <row r="152" spans="1:10" hidden="1" x14ac:dyDescent="0.45">
      <c r="A152" s="215" t="s">
        <v>2262</v>
      </c>
      <c r="B152" s="215" t="s">
        <v>2522</v>
      </c>
      <c r="C152" s="215" t="s">
        <v>2262</v>
      </c>
      <c r="D152" s="215" t="s">
        <v>2354</v>
      </c>
      <c r="E152" s="215" t="s">
        <v>2053</v>
      </c>
      <c r="F152" s="215">
        <v>0</v>
      </c>
      <c r="G152" s="215">
        <v>564746</v>
      </c>
      <c r="H152" s="215">
        <v>33368385</v>
      </c>
      <c r="I152" s="215">
        <v>0</v>
      </c>
      <c r="J152" s="329">
        <f t="shared" si="2"/>
        <v>-564746</v>
      </c>
    </row>
    <row r="153" spans="1:10" hidden="1" x14ac:dyDescent="0.45">
      <c r="A153" s="215" t="s">
        <v>2262</v>
      </c>
      <c r="B153" s="215" t="s">
        <v>2523</v>
      </c>
      <c r="C153" s="215" t="s">
        <v>2262</v>
      </c>
      <c r="D153" s="215" t="s">
        <v>2331</v>
      </c>
      <c r="E153" s="215" t="s">
        <v>2097</v>
      </c>
      <c r="F153" s="215">
        <v>0</v>
      </c>
      <c r="G153" s="215">
        <v>22000</v>
      </c>
      <c r="H153" s="215">
        <v>33346385</v>
      </c>
      <c r="I153" s="215">
        <v>0</v>
      </c>
      <c r="J153" s="329">
        <f t="shared" si="2"/>
        <v>-22000</v>
      </c>
    </row>
    <row r="154" spans="1:10" hidden="1" x14ac:dyDescent="0.45">
      <c r="A154" s="215" t="s">
        <v>2264</v>
      </c>
      <c r="B154" s="215" t="s">
        <v>2524</v>
      </c>
      <c r="C154" s="215" t="s">
        <v>2264</v>
      </c>
      <c r="D154" s="215" t="s">
        <v>2418</v>
      </c>
      <c r="E154" s="215" t="s">
        <v>2053</v>
      </c>
      <c r="F154" s="215">
        <v>0</v>
      </c>
      <c r="G154" s="215">
        <v>24192000</v>
      </c>
      <c r="H154" s="215">
        <v>9154385</v>
      </c>
      <c r="I154" s="215">
        <v>0</v>
      </c>
      <c r="J154" s="329">
        <f t="shared" si="2"/>
        <v>-24192000</v>
      </c>
    </row>
    <row r="155" spans="1:10" hidden="1" x14ac:dyDescent="0.45">
      <c r="A155" s="215" t="s">
        <v>2264</v>
      </c>
      <c r="B155" s="215" t="s">
        <v>2525</v>
      </c>
      <c r="C155" s="215" t="s">
        <v>2264</v>
      </c>
      <c r="D155" s="215" t="s">
        <v>2331</v>
      </c>
      <c r="E155" s="215" t="s">
        <v>2097</v>
      </c>
      <c r="F155" s="215">
        <v>0</v>
      </c>
      <c r="G155" s="215">
        <v>22000</v>
      </c>
      <c r="H155" s="215">
        <v>9132385</v>
      </c>
      <c r="I155" s="215">
        <v>0</v>
      </c>
      <c r="J155" s="329">
        <f t="shared" si="2"/>
        <v>-22000</v>
      </c>
    </row>
    <row r="156" spans="1:10" hidden="1" x14ac:dyDescent="0.45">
      <c r="A156" s="215" t="s">
        <v>2264</v>
      </c>
      <c r="B156" s="215" t="s">
        <v>2526</v>
      </c>
      <c r="C156" s="215" t="s">
        <v>2264</v>
      </c>
      <c r="D156" s="215" t="s">
        <v>2527</v>
      </c>
      <c r="E156" s="215" t="s">
        <v>2108</v>
      </c>
      <c r="F156" s="215">
        <v>0</v>
      </c>
      <c r="G156" s="215">
        <v>1000000</v>
      </c>
      <c r="H156" s="215">
        <v>8132385</v>
      </c>
      <c r="I156" s="215">
        <v>0</v>
      </c>
      <c r="J156" s="329">
        <f t="shared" si="2"/>
        <v>-1000000</v>
      </c>
    </row>
    <row r="157" spans="1:10" hidden="1" x14ac:dyDescent="0.45">
      <c r="A157" s="215" t="s">
        <v>2264</v>
      </c>
      <c r="B157" s="215" t="s">
        <v>2528</v>
      </c>
      <c r="C157" s="215" t="s">
        <v>2264</v>
      </c>
      <c r="D157" s="215" t="s">
        <v>2331</v>
      </c>
      <c r="E157" s="215" t="s">
        <v>2097</v>
      </c>
      <c r="F157" s="215">
        <v>0</v>
      </c>
      <c r="G157" s="215">
        <v>22000</v>
      </c>
      <c r="H157" s="215">
        <v>8110385</v>
      </c>
      <c r="I157" s="215">
        <v>0</v>
      </c>
      <c r="J157" s="329">
        <f t="shared" si="2"/>
        <v>-22000</v>
      </c>
    </row>
    <row r="158" spans="1:10" hidden="1" x14ac:dyDescent="0.45">
      <c r="A158" s="215" t="s">
        <v>2269</v>
      </c>
      <c r="B158" s="215" t="s">
        <v>2529</v>
      </c>
      <c r="C158" s="215" t="s">
        <v>2269</v>
      </c>
      <c r="D158" s="215" t="s">
        <v>2071</v>
      </c>
      <c r="E158" s="215" t="s">
        <v>2326</v>
      </c>
      <c r="F158" s="215">
        <v>60000000</v>
      </c>
      <c r="G158" s="215">
        <v>0</v>
      </c>
      <c r="H158" s="215">
        <v>68110385</v>
      </c>
      <c r="I158" s="215">
        <v>0</v>
      </c>
      <c r="J158" s="329">
        <f t="shared" si="2"/>
        <v>60000000</v>
      </c>
    </row>
    <row r="159" spans="1:10" hidden="1" x14ac:dyDescent="0.45">
      <c r="A159" s="215" t="s">
        <v>2269</v>
      </c>
      <c r="B159" s="215" t="s">
        <v>2530</v>
      </c>
      <c r="C159" s="215" t="s">
        <v>2269</v>
      </c>
      <c r="D159" s="215" t="s">
        <v>2336</v>
      </c>
      <c r="E159" s="215" t="s">
        <v>2053</v>
      </c>
      <c r="F159" s="215">
        <v>0</v>
      </c>
      <c r="G159" s="215">
        <v>837480</v>
      </c>
      <c r="H159" s="215">
        <v>67272905</v>
      </c>
      <c r="I159" s="215">
        <v>0</v>
      </c>
      <c r="J159" s="329">
        <f t="shared" si="2"/>
        <v>-837480</v>
      </c>
    </row>
    <row r="160" spans="1:10" hidden="1" x14ac:dyDescent="0.45">
      <c r="A160" s="215" t="s">
        <v>2269</v>
      </c>
      <c r="B160" s="215" t="s">
        <v>2531</v>
      </c>
      <c r="C160" s="215" t="s">
        <v>2269</v>
      </c>
      <c r="D160" s="215" t="s">
        <v>2331</v>
      </c>
      <c r="E160" s="215" t="s">
        <v>2097</v>
      </c>
      <c r="F160" s="215">
        <v>0</v>
      </c>
      <c r="G160" s="215">
        <v>22000</v>
      </c>
      <c r="H160" s="215">
        <v>67250905</v>
      </c>
      <c r="I160" s="215">
        <v>0</v>
      </c>
      <c r="J160" s="329">
        <f t="shared" si="2"/>
        <v>-22000</v>
      </c>
    </row>
    <row r="161" spans="1:10" hidden="1" x14ac:dyDescent="0.45">
      <c r="A161" s="215" t="s">
        <v>2269</v>
      </c>
      <c r="B161" s="215" t="s">
        <v>2532</v>
      </c>
      <c r="C161" s="215" t="s">
        <v>2269</v>
      </c>
      <c r="D161" s="215" t="s">
        <v>2336</v>
      </c>
      <c r="E161" s="215" t="s">
        <v>2053</v>
      </c>
      <c r="F161" s="215">
        <v>0</v>
      </c>
      <c r="G161" s="215">
        <v>2030256</v>
      </c>
      <c r="H161" s="215">
        <v>65220649</v>
      </c>
      <c r="I161" s="215">
        <v>0</v>
      </c>
      <c r="J161" s="329">
        <f t="shared" si="2"/>
        <v>-2030256</v>
      </c>
    </row>
    <row r="162" spans="1:10" hidden="1" x14ac:dyDescent="0.45">
      <c r="A162" s="215" t="s">
        <v>2269</v>
      </c>
      <c r="B162" s="215" t="s">
        <v>2533</v>
      </c>
      <c r="C162" s="215" t="s">
        <v>2269</v>
      </c>
      <c r="D162" s="215" t="s">
        <v>2331</v>
      </c>
      <c r="E162" s="215" t="s">
        <v>2097</v>
      </c>
      <c r="F162" s="215">
        <v>0</v>
      </c>
      <c r="G162" s="215">
        <v>22000</v>
      </c>
      <c r="H162" s="215">
        <v>65198649</v>
      </c>
      <c r="I162" s="215">
        <v>0</v>
      </c>
      <c r="J162" s="329">
        <f t="shared" si="2"/>
        <v>-22000</v>
      </c>
    </row>
    <row r="163" spans="1:10" hidden="1" x14ac:dyDescent="0.45">
      <c r="A163" s="215" t="s">
        <v>2534</v>
      </c>
      <c r="B163" s="215" t="s">
        <v>2535</v>
      </c>
      <c r="C163" s="215" t="s">
        <v>2534</v>
      </c>
      <c r="D163" s="215" t="s">
        <v>2536</v>
      </c>
      <c r="E163" s="215" t="s">
        <v>2061</v>
      </c>
      <c r="F163" s="215">
        <v>0</v>
      </c>
      <c r="G163" s="215">
        <v>50163394</v>
      </c>
      <c r="H163" s="215">
        <v>15035255</v>
      </c>
      <c r="I163" s="215">
        <v>0</v>
      </c>
      <c r="J163" s="329">
        <f t="shared" si="2"/>
        <v>-50163394</v>
      </c>
    </row>
    <row r="164" spans="1:10" hidden="1" x14ac:dyDescent="0.45">
      <c r="A164" s="215" t="s">
        <v>2534</v>
      </c>
      <c r="B164" s="215" t="s">
        <v>2537</v>
      </c>
      <c r="C164" s="215" t="s">
        <v>2534</v>
      </c>
      <c r="D164" s="215" t="s">
        <v>2331</v>
      </c>
      <c r="E164" s="215" t="s">
        <v>2097</v>
      </c>
      <c r="F164" s="215">
        <v>0</v>
      </c>
      <c r="G164" s="215">
        <v>16500</v>
      </c>
      <c r="H164" s="215">
        <v>15018755</v>
      </c>
      <c r="I164" s="215">
        <v>0</v>
      </c>
      <c r="J164" s="329">
        <f t="shared" si="2"/>
        <v>-16500</v>
      </c>
    </row>
    <row r="165" spans="1:10" hidden="1" x14ac:dyDescent="0.45">
      <c r="A165" s="215" t="s">
        <v>2534</v>
      </c>
      <c r="B165" s="215" t="s">
        <v>2538</v>
      </c>
      <c r="C165" s="215" t="s">
        <v>2534</v>
      </c>
      <c r="D165" s="215" t="s">
        <v>2539</v>
      </c>
      <c r="E165" s="215" t="s">
        <v>2406</v>
      </c>
      <c r="F165" s="215">
        <v>0</v>
      </c>
      <c r="G165" s="215">
        <v>2240000</v>
      </c>
      <c r="H165" s="215">
        <v>12778755</v>
      </c>
      <c r="I165" s="215">
        <v>0</v>
      </c>
      <c r="J165" s="329">
        <f t="shared" si="2"/>
        <v>-2240000</v>
      </c>
    </row>
    <row r="166" spans="1:10" hidden="1" x14ac:dyDescent="0.45">
      <c r="A166" s="215" t="s">
        <v>2534</v>
      </c>
      <c r="B166" s="215" t="s">
        <v>2540</v>
      </c>
      <c r="C166" s="215" t="s">
        <v>2534</v>
      </c>
      <c r="D166" s="215" t="s">
        <v>2331</v>
      </c>
      <c r="E166" s="215" t="s">
        <v>2097</v>
      </c>
      <c r="F166" s="215">
        <v>0</v>
      </c>
      <c r="G166" s="215">
        <v>16500</v>
      </c>
      <c r="H166" s="215">
        <v>12762255</v>
      </c>
      <c r="I166" s="215">
        <v>0</v>
      </c>
      <c r="J166" s="329">
        <f t="shared" si="2"/>
        <v>-16500</v>
      </c>
    </row>
    <row r="167" spans="1:10" x14ac:dyDescent="0.45">
      <c r="A167" s="215" t="s">
        <v>2272</v>
      </c>
      <c r="B167" s="215" t="s">
        <v>2541</v>
      </c>
      <c r="C167" s="215" t="s">
        <v>2272</v>
      </c>
      <c r="D167" s="215" t="s">
        <v>2349</v>
      </c>
      <c r="E167" s="215" t="s">
        <v>2350</v>
      </c>
      <c r="F167" s="215">
        <v>2249</v>
      </c>
      <c r="G167" s="215">
        <v>0</v>
      </c>
      <c r="H167" s="215">
        <v>12764504</v>
      </c>
      <c r="I167" s="215">
        <v>0</v>
      </c>
      <c r="J167" s="329">
        <f t="shared" si="2"/>
        <v>2249</v>
      </c>
    </row>
    <row r="168" spans="1:10" hidden="1" x14ac:dyDescent="0.45">
      <c r="A168" s="215" t="s">
        <v>2272</v>
      </c>
      <c r="B168" s="215" t="s">
        <v>2542</v>
      </c>
      <c r="C168" s="215" t="s">
        <v>2272</v>
      </c>
      <c r="D168" s="215" t="s">
        <v>2331</v>
      </c>
      <c r="E168" s="215" t="s">
        <v>2097</v>
      </c>
      <c r="F168" s="215">
        <v>0</v>
      </c>
      <c r="G168" s="215">
        <v>30000</v>
      </c>
      <c r="H168" s="215">
        <v>12734504</v>
      </c>
      <c r="I168" s="215">
        <v>0</v>
      </c>
      <c r="J168" s="329">
        <f t="shared" si="2"/>
        <v>-30000</v>
      </c>
    </row>
    <row r="169" spans="1:10" hidden="1" x14ac:dyDescent="0.45">
      <c r="A169" s="215" t="s">
        <v>2286</v>
      </c>
      <c r="B169" s="215" t="s">
        <v>2543</v>
      </c>
      <c r="C169" s="215" t="s">
        <v>2286</v>
      </c>
      <c r="D169" s="215" t="s">
        <v>2342</v>
      </c>
      <c r="E169" s="215" t="s">
        <v>2053</v>
      </c>
      <c r="F169" s="215">
        <v>0</v>
      </c>
      <c r="G169" s="215">
        <v>6722727</v>
      </c>
      <c r="H169" s="215">
        <v>6011777</v>
      </c>
      <c r="I169" s="215">
        <v>0</v>
      </c>
      <c r="J169" s="329">
        <f t="shared" si="2"/>
        <v>-6722727</v>
      </c>
    </row>
    <row r="170" spans="1:10" hidden="1" x14ac:dyDescent="0.45">
      <c r="A170" s="215" t="s">
        <v>2287</v>
      </c>
      <c r="B170" s="215" t="s">
        <v>2544</v>
      </c>
      <c r="C170" s="215" t="s">
        <v>2287</v>
      </c>
      <c r="D170" s="215" t="s">
        <v>2071</v>
      </c>
      <c r="E170" s="215" t="s">
        <v>2326</v>
      </c>
      <c r="F170" s="215">
        <v>10000000</v>
      </c>
      <c r="G170" s="215">
        <v>0</v>
      </c>
      <c r="H170" s="215">
        <v>16011777</v>
      </c>
      <c r="I170" s="215">
        <v>0</v>
      </c>
      <c r="J170" s="329">
        <f t="shared" si="2"/>
        <v>10000000</v>
      </c>
    </row>
    <row r="171" spans="1:10" hidden="1" x14ac:dyDescent="0.45">
      <c r="A171" s="215" t="s">
        <v>2287</v>
      </c>
      <c r="B171" s="215" t="s">
        <v>2545</v>
      </c>
      <c r="C171" s="215" t="s">
        <v>2287</v>
      </c>
      <c r="D171" s="215" t="s">
        <v>2546</v>
      </c>
      <c r="E171" s="215" t="s">
        <v>2053</v>
      </c>
      <c r="F171" s="215">
        <v>0</v>
      </c>
      <c r="G171" s="215">
        <v>11000000</v>
      </c>
      <c r="H171" s="215">
        <v>5011777</v>
      </c>
      <c r="I171" s="215">
        <v>0</v>
      </c>
      <c r="J171" s="329">
        <f t="shared" si="2"/>
        <v>-11000000</v>
      </c>
    </row>
    <row r="172" spans="1:10" hidden="1" x14ac:dyDescent="0.45">
      <c r="A172" s="215" t="s">
        <v>2287</v>
      </c>
      <c r="B172" s="215" t="s">
        <v>2547</v>
      </c>
      <c r="C172" s="215" t="s">
        <v>2287</v>
      </c>
      <c r="D172" s="215" t="s">
        <v>2331</v>
      </c>
      <c r="E172" s="215" t="s">
        <v>2097</v>
      </c>
      <c r="F172" s="215">
        <v>0</v>
      </c>
      <c r="G172" s="215">
        <v>22000</v>
      </c>
      <c r="H172" s="215">
        <v>4989777</v>
      </c>
      <c r="I172" s="215">
        <v>0</v>
      </c>
      <c r="J172" s="329">
        <f t="shared" si="2"/>
        <v>-22000</v>
      </c>
    </row>
    <row r="173" spans="1:10" x14ac:dyDescent="0.45">
      <c r="A173" s="215" t="s">
        <v>2288</v>
      </c>
      <c r="B173" s="215" t="s">
        <v>2548</v>
      </c>
      <c r="C173" s="215" t="s">
        <v>2288</v>
      </c>
      <c r="D173" s="215" t="s">
        <v>2318</v>
      </c>
      <c r="E173" s="215" t="s">
        <v>2401</v>
      </c>
      <c r="F173" s="215">
        <v>8162000</v>
      </c>
      <c r="G173" s="215">
        <v>0</v>
      </c>
      <c r="H173" s="215">
        <v>13151777</v>
      </c>
      <c r="I173" s="215">
        <v>0</v>
      </c>
      <c r="J173" s="329">
        <f t="shared" si="2"/>
        <v>8162000</v>
      </c>
    </row>
    <row r="174" spans="1:10" hidden="1" x14ac:dyDescent="0.45">
      <c r="A174" s="215" t="s">
        <v>2549</v>
      </c>
      <c r="B174" s="215" t="s">
        <v>2550</v>
      </c>
      <c r="C174" s="215" t="s">
        <v>2549</v>
      </c>
      <c r="D174" s="215" t="s">
        <v>2354</v>
      </c>
      <c r="E174" s="215" t="s">
        <v>2053</v>
      </c>
      <c r="F174" s="215">
        <v>0</v>
      </c>
      <c r="G174" s="215">
        <v>555382</v>
      </c>
      <c r="H174" s="215">
        <v>12596395</v>
      </c>
      <c r="I174" s="215">
        <v>0</v>
      </c>
      <c r="J174" s="329">
        <f t="shared" si="2"/>
        <v>-555382</v>
      </c>
    </row>
    <row r="175" spans="1:10" hidden="1" x14ac:dyDescent="0.45">
      <c r="A175" s="215" t="s">
        <v>2549</v>
      </c>
      <c r="B175" s="215" t="s">
        <v>2551</v>
      </c>
      <c r="C175" s="215" t="s">
        <v>2549</v>
      </c>
      <c r="D175" s="215" t="s">
        <v>2331</v>
      </c>
      <c r="E175" s="215" t="s">
        <v>2097</v>
      </c>
      <c r="F175" s="215">
        <v>0</v>
      </c>
      <c r="G175" s="215">
        <v>22000</v>
      </c>
      <c r="H175" s="215">
        <v>12574395</v>
      </c>
      <c r="I175" s="215">
        <v>0</v>
      </c>
      <c r="J175" s="329">
        <f t="shared" si="2"/>
        <v>-22000</v>
      </c>
    </row>
    <row r="176" spans="1:10" hidden="1" x14ac:dyDescent="0.45">
      <c r="A176" s="215" t="s">
        <v>2291</v>
      </c>
      <c r="B176" s="215" t="s">
        <v>2552</v>
      </c>
      <c r="C176" s="215" t="s">
        <v>2291</v>
      </c>
      <c r="D176" s="215" t="s">
        <v>2336</v>
      </c>
      <c r="E176" s="215" t="s">
        <v>2053</v>
      </c>
      <c r="F176" s="215">
        <v>0</v>
      </c>
      <c r="G176" s="215">
        <v>812103</v>
      </c>
      <c r="H176" s="215">
        <v>11762292</v>
      </c>
      <c r="I176" s="215">
        <v>0</v>
      </c>
      <c r="J176" s="329">
        <f t="shared" si="2"/>
        <v>-812103</v>
      </c>
    </row>
    <row r="177" spans="1:10" hidden="1" x14ac:dyDescent="0.45">
      <c r="A177" s="215" t="s">
        <v>2291</v>
      </c>
      <c r="B177" s="215" t="s">
        <v>2553</v>
      </c>
      <c r="C177" s="215" t="s">
        <v>2291</v>
      </c>
      <c r="D177" s="215" t="s">
        <v>2331</v>
      </c>
      <c r="E177" s="215" t="s">
        <v>2097</v>
      </c>
      <c r="F177" s="215">
        <v>0</v>
      </c>
      <c r="G177" s="215">
        <v>22000</v>
      </c>
      <c r="H177" s="215">
        <v>11740292</v>
      </c>
      <c r="I177" s="215">
        <v>0</v>
      </c>
      <c r="J177" s="329">
        <f t="shared" si="2"/>
        <v>-22000</v>
      </c>
    </row>
    <row r="178" spans="1:10" hidden="1" x14ac:dyDescent="0.45">
      <c r="A178" s="215" t="s">
        <v>2291</v>
      </c>
      <c r="B178" s="215" t="s">
        <v>2554</v>
      </c>
      <c r="C178" s="215" t="s">
        <v>2291</v>
      </c>
      <c r="D178" s="215" t="s">
        <v>2336</v>
      </c>
      <c r="E178" s="215" t="s">
        <v>2053</v>
      </c>
      <c r="F178" s="215">
        <v>0</v>
      </c>
      <c r="G178" s="215">
        <v>1827231</v>
      </c>
      <c r="H178" s="215">
        <v>9913061</v>
      </c>
      <c r="I178" s="215">
        <v>0</v>
      </c>
      <c r="J178" s="329">
        <f t="shared" si="2"/>
        <v>-1827231</v>
      </c>
    </row>
    <row r="179" spans="1:10" hidden="1" x14ac:dyDescent="0.45">
      <c r="A179" s="215" t="s">
        <v>2291</v>
      </c>
      <c r="B179" s="215" t="s">
        <v>2555</v>
      </c>
      <c r="C179" s="215" t="s">
        <v>2291</v>
      </c>
      <c r="D179" s="215" t="s">
        <v>2331</v>
      </c>
      <c r="E179" s="215" t="s">
        <v>2097</v>
      </c>
      <c r="F179" s="215">
        <v>0</v>
      </c>
      <c r="G179" s="215">
        <v>22000</v>
      </c>
      <c r="H179" s="215">
        <v>9891061</v>
      </c>
      <c r="I179" s="215">
        <v>0</v>
      </c>
      <c r="J179" s="329">
        <f t="shared" si="2"/>
        <v>-22000</v>
      </c>
    </row>
    <row r="180" spans="1:10" x14ac:dyDescent="0.45">
      <c r="A180" s="215" t="s">
        <v>2556</v>
      </c>
      <c r="B180" s="215" t="s">
        <v>2557</v>
      </c>
      <c r="C180" s="215" t="s">
        <v>2556</v>
      </c>
      <c r="D180" s="215" t="s">
        <v>2318</v>
      </c>
      <c r="E180" s="215" t="s">
        <v>2401</v>
      </c>
      <c r="F180" s="215">
        <v>104126000</v>
      </c>
      <c r="G180" s="215">
        <v>0</v>
      </c>
      <c r="H180" s="215">
        <v>114017061</v>
      </c>
      <c r="I180" s="215">
        <v>0</v>
      </c>
      <c r="J180" s="329">
        <f t="shared" si="2"/>
        <v>104126000</v>
      </c>
    </row>
    <row r="181" spans="1:10" x14ac:dyDescent="0.45">
      <c r="A181" s="215" t="s">
        <v>2293</v>
      </c>
      <c r="B181" s="215" t="s">
        <v>2558</v>
      </c>
      <c r="C181" s="215" t="s">
        <v>2293</v>
      </c>
      <c r="D181" s="215" t="s">
        <v>2349</v>
      </c>
      <c r="E181" s="215" t="s">
        <v>2350</v>
      </c>
      <c r="F181" s="215">
        <v>1800</v>
      </c>
      <c r="G181" s="215">
        <v>0</v>
      </c>
      <c r="H181" s="215">
        <v>114018861</v>
      </c>
      <c r="I181" s="215">
        <v>0</v>
      </c>
      <c r="J181" s="329">
        <f t="shared" si="2"/>
        <v>1800</v>
      </c>
    </row>
    <row r="182" spans="1:10" hidden="1" x14ac:dyDescent="0.45">
      <c r="A182" s="215" t="s">
        <v>2293</v>
      </c>
      <c r="B182" s="215" t="s">
        <v>2559</v>
      </c>
      <c r="C182" s="215" t="s">
        <v>2293</v>
      </c>
      <c r="D182" s="215" t="s">
        <v>2331</v>
      </c>
      <c r="E182" s="215" t="s">
        <v>2097</v>
      </c>
      <c r="F182" s="215">
        <v>0</v>
      </c>
      <c r="G182" s="215">
        <v>30000</v>
      </c>
      <c r="H182" s="215">
        <v>113988861</v>
      </c>
      <c r="I182" s="215">
        <v>0</v>
      </c>
      <c r="J182" s="329">
        <f t="shared" si="2"/>
        <v>-30000</v>
      </c>
    </row>
    <row r="183" spans="1:10" hidden="1" x14ac:dyDescent="0.45">
      <c r="A183" s="215" t="s">
        <v>2303</v>
      </c>
      <c r="B183" s="215" t="s">
        <v>2560</v>
      </c>
      <c r="C183" s="215" t="s">
        <v>2303</v>
      </c>
      <c r="D183" s="215" t="s">
        <v>2561</v>
      </c>
      <c r="E183" s="215" t="s">
        <v>2368</v>
      </c>
      <c r="F183" s="215">
        <v>0</v>
      </c>
      <c r="G183" s="215">
        <v>30240000</v>
      </c>
      <c r="H183" s="215">
        <v>83748861</v>
      </c>
      <c r="I183" s="215">
        <v>0</v>
      </c>
      <c r="J183" s="329">
        <f t="shared" si="2"/>
        <v>-30240000</v>
      </c>
    </row>
    <row r="184" spans="1:10" hidden="1" x14ac:dyDescent="0.45">
      <c r="A184" s="215" t="s">
        <v>2303</v>
      </c>
      <c r="B184" s="215" t="s">
        <v>2562</v>
      </c>
      <c r="C184" s="215" t="s">
        <v>2303</v>
      </c>
      <c r="D184" s="215" t="s">
        <v>2331</v>
      </c>
      <c r="E184" s="215" t="s">
        <v>2097</v>
      </c>
      <c r="F184" s="215">
        <v>0</v>
      </c>
      <c r="G184" s="215">
        <v>22000</v>
      </c>
      <c r="H184" s="215">
        <v>83726861</v>
      </c>
      <c r="I184" s="215">
        <v>0</v>
      </c>
      <c r="J184" s="329">
        <f t="shared" si="2"/>
        <v>-22000</v>
      </c>
    </row>
    <row r="185" spans="1:10" hidden="1" x14ac:dyDescent="0.45">
      <c r="A185" s="215" t="s">
        <v>2306</v>
      </c>
      <c r="B185" s="215" t="s">
        <v>2563</v>
      </c>
      <c r="C185" s="215" t="s">
        <v>2306</v>
      </c>
      <c r="D185" s="215" t="s">
        <v>2342</v>
      </c>
      <c r="E185" s="215" t="s">
        <v>2053</v>
      </c>
      <c r="F185" s="215">
        <v>0</v>
      </c>
      <c r="G185" s="215">
        <v>6240231</v>
      </c>
      <c r="H185" s="215">
        <v>77486630</v>
      </c>
      <c r="I185" s="215">
        <v>0</v>
      </c>
      <c r="J185" s="329">
        <f t="shared" si="2"/>
        <v>-6240231</v>
      </c>
    </row>
    <row r="186" spans="1:10" hidden="1" x14ac:dyDescent="0.45">
      <c r="A186" s="215" t="s">
        <v>2314</v>
      </c>
      <c r="B186" s="215" t="s">
        <v>2564</v>
      </c>
      <c r="C186" s="215" t="s">
        <v>2314</v>
      </c>
      <c r="D186" s="215" t="s">
        <v>2418</v>
      </c>
      <c r="E186" s="215" t="s">
        <v>2053</v>
      </c>
      <c r="F186" s="215">
        <v>0</v>
      </c>
      <c r="G186" s="215">
        <v>360000</v>
      </c>
      <c r="H186" s="215">
        <v>77126630</v>
      </c>
      <c r="I186" s="215">
        <v>0</v>
      </c>
      <c r="J186" s="329">
        <f t="shared" si="2"/>
        <v>-360000</v>
      </c>
    </row>
    <row r="187" spans="1:10" hidden="1" x14ac:dyDescent="0.45">
      <c r="A187" s="215" t="s">
        <v>2314</v>
      </c>
      <c r="B187" s="215" t="s">
        <v>2565</v>
      </c>
      <c r="C187" s="215" t="s">
        <v>2314</v>
      </c>
      <c r="D187" s="215" t="s">
        <v>2331</v>
      </c>
      <c r="E187" s="215" t="s">
        <v>2097</v>
      </c>
      <c r="F187" s="215">
        <v>0</v>
      </c>
      <c r="G187" s="215">
        <v>22000</v>
      </c>
      <c r="H187" s="215">
        <v>77104630</v>
      </c>
      <c r="I187" s="215">
        <v>0</v>
      </c>
      <c r="J187" s="329">
        <f t="shared" si="2"/>
        <v>-22000</v>
      </c>
    </row>
    <row r="188" spans="1:10" hidden="1" x14ac:dyDescent="0.45">
      <c r="A188" s="215" t="s">
        <v>2314</v>
      </c>
      <c r="B188" s="215" t="s">
        <v>2566</v>
      </c>
      <c r="C188" s="215" t="s">
        <v>2314</v>
      </c>
      <c r="D188" s="215" t="s">
        <v>2567</v>
      </c>
      <c r="E188" s="215" t="s">
        <v>2368</v>
      </c>
      <c r="F188" s="215">
        <v>0</v>
      </c>
      <c r="G188" s="215">
        <v>6700000</v>
      </c>
      <c r="H188" s="215">
        <v>70404630</v>
      </c>
      <c r="I188" s="215">
        <v>0</v>
      </c>
      <c r="J188" s="329">
        <f t="shared" si="2"/>
        <v>-6700000</v>
      </c>
    </row>
    <row r="189" spans="1:10" hidden="1" x14ac:dyDescent="0.45">
      <c r="A189" s="215" t="s">
        <v>2314</v>
      </c>
      <c r="B189" s="215" t="s">
        <v>2568</v>
      </c>
      <c r="C189" s="215" t="s">
        <v>2314</v>
      </c>
      <c r="D189" s="215" t="s">
        <v>2331</v>
      </c>
      <c r="E189" s="215" t="s">
        <v>2097</v>
      </c>
      <c r="F189" s="215">
        <v>0</v>
      </c>
      <c r="G189" s="215">
        <v>22000</v>
      </c>
      <c r="H189" s="215">
        <v>70382630</v>
      </c>
      <c r="I189" s="215">
        <v>0</v>
      </c>
      <c r="J189" s="329">
        <f t="shared" si="2"/>
        <v>-22000</v>
      </c>
    </row>
    <row r="190" spans="1:10" hidden="1" x14ac:dyDescent="0.45">
      <c r="A190" s="215" t="s">
        <v>2314</v>
      </c>
      <c r="B190" s="215" t="s">
        <v>2569</v>
      </c>
      <c r="C190" s="215" t="s">
        <v>2314</v>
      </c>
      <c r="D190" s="215" t="s">
        <v>2570</v>
      </c>
      <c r="E190" s="215" t="s">
        <v>2053</v>
      </c>
      <c r="F190" s="215">
        <v>0</v>
      </c>
      <c r="G190" s="215">
        <v>11000000</v>
      </c>
      <c r="H190" s="215">
        <v>59382630</v>
      </c>
      <c r="I190" s="215">
        <v>0</v>
      </c>
      <c r="J190" s="329">
        <f t="shared" si="2"/>
        <v>-11000000</v>
      </c>
    </row>
    <row r="191" spans="1:10" hidden="1" x14ac:dyDescent="0.45">
      <c r="A191" s="215" t="s">
        <v>2314</v>
      </c>
      <c r="B191" s="215" t="s">
        <v>2571</v>
      </c>
      <c r="C191" s="215" t="s">
        <v>2314</v>
      </c>
      <c r="D191" s="215" t="s">
        <v>2331</v>
      </c>
      <c r="E191" s="215" t="s">
        <v>2097</v>
      </c>
      <c r="F191" s="215">
        <v>0</v>
      </c>
      <c r="G191" s="215">
        <v>22000</v>
      </c>
      <c r="H191" s="215">
        <v>59360630</v>
      </c>
      <c r="I191" s="215">
        <v>0</v>
      </c>
      <c r="J191" s="329">
        <f t="shared" si="2"/>
        <v>-22000</v>
      </c>
    </row>
    <row r="192" spans="1:10" hidden="1" x14ac:dyDescent="0.45">
      <c r="A192" s="215" t="s">
        <v>2572</v>
      </c>
      <c r="B192" s="215" t="s">
        <v>2573</v>
      </c>
      <c r="C192" s="215" t="s">
        <v>2572</v>
      </c>
      <c r="D192" s="215" t="s">
        <v>2336</v>
      </c>
      <c r="E192" s="215" t="s">
        <v>2053</v>
      </c>
      <c r="F192" s="215">
        <v>0</v>
      </c>
      <c r="G192" s="215">
        <v>786724</v>
      </c>
      <c r="H192" s="215">
        <v>58573906</v>
      </c>
      <c r="I192" s="215">
        <v>0</v>
      </c>
      <c r="J192" s="329">
        <f t="shared" si="2"/>
        <v>-786724</v>
      </c>
    </row>
    <row r="193" spans="1:10" hidden="1" x14ac:dyDescent="0.45">
      <c r="A193" s="215" t="s">
        <v>2572</v>
      </c>
      <c r="B193" s="215" t="s">
        <v>2574</v>
      </c>
      <c r="C193" s="215" t="s">
        <v>2572</v>
      </c>
      <c r="D193" s="215" t="s">
        <v>2331</v>
      </c>
      <c r="E193" s="215" t="s">
        <v>2097</v>
      </c>
      <c r="F193" s="215">
        <v>0</v>
      </c>
      <c r="G193" s="215">
        <v>22000</v>
      </c>
      <c r="H193" s="215">
        <v>58551906</v>
      </c>
      <c r="I193" s="215">
        <v>0</v>
      </c>
      <c r="J193" s="329">
        <f t="shared" si="2"/>
        <v>-22000</v>
      </c>
    </row>
    <row r="194" spans="1:10" hidden="1" x14ac:dyDescent="0.45">
      <c r="A194" s="215" t="s">
        <v>2572</v>
      </c>
      <c r="B194" s="215" t="s">
        <v>2575</v>
      </c>
      <c r="C194" s="215" t="s">
        <v>2572</v>
      </c>
      <c r="D194" s="215" t="s">
        <v>2336</v>
      </c>
      <c r="E194" s="215" t="s">
        <v>2053</v>
      </c>
      <c r="F194" s="215">
        <v>0</v>
      </c>
      <c r="G194" s="215">
        <v>1801852</v>
      </c>
      <c r="H194" s="215">
        <v>56750054</v>
      </c>
      <c r="I194" s="215">
        <v>0</v>
      </c>
      <c r="J194" s="329">
        <f t="shared" si="2"/>
        <v>-1801852</v>
      </c>
    </row>
    <row r="195" spans="1:10" hidden="1" x14ac:dyDescent="0.45">
      <c r="A195" s="215" t="s">
        <v>2572</v>
      </c>
      <c r="B195" s="215" t="s">
        <v>2576</v>
      </c>
      <c r="C195" s="215" t="s">
        <v>2572</v>
      </c>
      <c r="D195" s="215" t="s">
        <v>2331</v>
      </c>
      <c r="E195" s="215" t="s">
        <v>2097</v>
      </c>
      <c r="F195" s="215">
        <v>0</v>
      </c>
      <c r="G195" s="215">
        <v>22000</v>
      </c>
      <c r="H195" s="215">
        <v>56728054</v>
      </c>
      <c r="I195" s="215">
        <v>0</v>
      </c>
      <c r="J195" s="329">
        <f t="shared" si="2"/>
        <v>-22000</v>
      </c>
    </row>
    <row r="196" spans="1:10" hidden="1" x14ac:dyDescent="0.45">
      <c r="A196" s="215" t="s">
        <v>2316</v>
      </c>
      <c r="B196" s="215" t="s">
        <v>2577</v>
      </c>
      <c r="C196" s="215" t="s">
        <v>2316</v>
      </c>
      <c r="D196" s="215" t="s">
        <v>2354</v>
      </c>
      <c r="E196" s="215" t="s">
        <v>2108</v>
      </c>
      <c r="F196" s="215">
        <v>0</v>
      </c>
      <c r="G196" s="215">
        <v>681658</v>
      </c>
      <c r="H196" s="215">
        <v>56046396</v>
      </c>
      <c r="I196" s="215">
        <v>0</v>
      </c>
      <c r="J196" s="329">
        <f t="shared" si="2"/>
        <v>-681658</v>
      </c>
    </row>
    <row r="197" spans="1:10" hidden="1" x14ac:dyDescent="0.45">
      <c r="A197" s="215" t="s">
        <v>2316</v>
      </c>
      <c r="B197" s="215" t="s">
        <v>2578</v>
      </c>
      <c r="C197" s="215" t="s">
        <v>2316</v>
      </c>
      <c r="D197" s="215" t="s">
        <v>2331</v>
      </c>
      <c r="E197" s="215" t="s">
        <v>2097</v>
      </c>
      <c r="F197" s="215">
        <v>0</v>
      </c>
      <c r="G197" s="215">
        <v>22000</v>
      </c>
      <c r="H197" s="215">
        <v>56024396</v>
      </c>
      <c r="I197" s="215">
        <v>0</v>
      </c>
      <c r="J197" s="329">
        <f t="shared" si="2"/>
        <v>-22000</v>
      </c>
    </row>
    <row r="198" spans="1:10" x14ac:dyDescent="0.45">
      <c r="A198" s="215" t="s">
        <v>2317</v>
      </c>
      <c r="B198" s="215" t="s">
        <v>2579</v>
      </c>
      <c r="C198" s="215" t="s">
        <v>2317</v>
      </c>
      <c r="D198" s="215" t="s">
        <v>2349</v>
      </c>
      <c r="E198" s="215" t="s">
        <v>2350</v>
      </c>
      <c r="F198" s="215">
        <v>7161</v>
      </c>
      <c r="G198" s="215">
        <v>0</v>
      </c>
      <c r="H198" s="215">
        <v>56031557</v>
      </c>
      <c r="I198" s="215">
        <v>0</v>
      </c>
      <c r="J198" s="329">
        <f t="shared" ref="J198:J199" si="3">IF(F198&gt;0,F198,-G198)</f>
        <v>7161</v>
      </c>
    </row>
    <row r="199" spans="1:10" hidden="1" x14ac:dyDescent="0.45">
      <c r="A199" s="215" t="s">
        <v>2317</v>
      </c>
      <c r="B199" s="215" t="s">
        <v>2580</v>
      </c>
      <c r="C199" s="215" t="s">
        <v>2317</v>
      </c>
      <c r="D199" s="215" t="s">
        <v>2331</v>
      </c>
      <c r="E199" s="215" t="s">
        <v>2097</v>
      </c>
      <c r="F199" s="215">
        <v>0</v>
      </c>
      <c r="G199" s="215">
        <v>30000</v>
      </c>
      <c r="H199" s="215">
        <v>56001557</v>
      </c>
      <c r="I199" s="215">
        <v>0</v>
      </c>
      <c r="J199" s="329">
        <f t="shared" si="3"/>
        <v>-30000</v>
      </c>
    </row>
  </sheetData>
  <autoFilter ref="A4:I199" xr:uid="{00000000-0009-0000-0000-00000A000000}">
    <filterColumn colId="4">
      <filters>
        <filter val="131"/>
        <filter val="515"/>
      </filters>
    </filterColumn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>
    <tabColor rgb="FF0070C0"/>
  </sheetPr>
  <dimension ref="A1:O299"/>
  <sheetViews>
    <sheetView showGridLines="0" zoomScale="92" zoomScaleNormal="100" workbookViewId="0"/>
  </sheetViews>
  <sheetFormatPr defaultColWidth="9.265625" defaultRowHeight="12.75" x14ac:dyDescent="0.45"/>
  <cols>
    <col min="1" max="1" width="3.86328125" style="87" customWidth="1"/>
    <col min="2" max="2" width="9.265625" style="87" customWidth="1"/>
    <col min="3" max="3" width="11" style="87" customWidth="1"/>
    <col min="4" max="4" width="9.265625" style="87"/>
    <col min="5" max="5" width="18" style="87" bestFit="1" customWidth="1"/>
    <col min="6" max="6" width="18.265625" style="87" bestFit="1" customWidth="1"/>
    <col min="7" max="7" width="16.73046875" style="87" bestFit="1" customWidth="1"/>
    <col min="8" max="8" width="18.265625" style="87" customWidth="1"/>
    <col min="9" max="9" width="16.265625" style="87" customWidth="1"/>
    <col min="10" max="10" width="19.265625" style="87" customWidth="1"/>
    <col min="11" max="11" width="18.265625" style="87" bestFit="1" customWidth="1"/>
    <col min="12" max="12" width="4.265625" style="87" customWidth="1"/>
    <col min="13" max="13" width="12.265625" style="87" customWidth="1"/>
    <col min="14" max="14" width="12.59765625" style="87" customWidth="1"/>
    <col min="15" max="15" width="10.86328125" style="87" customWidth="1"/>
    <col min="16" max="16384" width="9.265625" style="87"/>
  </cols>
  <sheetData>
    <row r="1" spans="1:15" ht="27.75" customHeight="1" x14ac:dyDescent="0.45">
      <c r="A1" s="331" t="str">
        <f>MAIN!D7</f>
        <v>Công ty TNHH phát triển công nghệ thực phẩm YABEI</v>
      </c>
      <c r="N1" s="447" t="s">
        <v>4358</v>
      </c>
      <c r="O1" s="448" t="s">
        <v>4359</v>
      </c>
    </row>
    <row r="2" spans="1:15" ht="38.1" customHeight="1" x14ac:dyDescent="0.45">
      <c r="A2" s="335"/>
    </row>
    <row r="3" spans="1:15" ht="20.25" thickBot="1" x14ac:dyDescent="0.5">
      <c r="A3" s="374" t="s">
        <v>1850</v>
      </c>
      <c r="B3" s="336"/>
      <c r="C3" s="336"/>
      <c r="D3" s="336"/>
      <c r="E3" s="336"/>
      <c r="F3" s="336"/>
      <c r="G3" s="375" t="s">
        <v>1038</v>
      </c>
      <c r="H3" s="376">
        <f>MAIN!D6</f>
        <v>2024</v>
      </c>
      <c r="I3" s="376"/>
      <c r="J3" s="337" t="s">
        <v>1037</v>
      </c>
      <c r="K3" s="377">
        <f ca="1">NOW()</f>
        <v>45942.488246990739</v>
      </c>
      <c r="L3" s="16"/>
    </row>
    <row r="4" spans="1:15" ht="13.15" thickTop="1" x14ac:dyDescent="0.45">
      <c r="A4" s="97"/>
    </row>
    <row r="6" spans="1:15" x14ac:dyDescent="0.45">
      <c r="A6" s="97" t="s">
        <v>1851</v>
      </c>
    </row>
    <row r="7" spans="1:15" x14ac:dyDescent="0.45">
      <c r="A7" s="338" t="s">
        <v>1852</v>
      </c>
      <c r="B7" s="87" t="s">
        <v>1853</v>
      </c>
    </row>
    <row r="8" spans="1:15" x14ac:dyDescent="0.45">
      <c r="A8" s="338" t="s">
        <v>1858</v>
      </c>
      <c r="B8" s="87" t="s">
        <v>1854</v>
      </c>
    </row>
    <row r="9" spans="1:15" x14ac:dyDescent="0.45">
      <c r="A9" s="338" t="s">
        <v>1859</v>
      </c>
      <c r="B9" s="87" t="s">
        <v>1855</v>
      </c>
    </row>
    <row r="10" spans="1:15" x14ac:dyDescent="0.45">
      <c r="A10" s="338" t="s">
        <v>1860</v>
      </c>
      <c r="B10" s="87" t="s">
        <v>1856</v>
      </c>
    </row>
    <row r="11" spans="1:15" x14ac:dyDescent="0.45">
      <c r="A11" s="338" t="s">
        <v>1861</v>
      </c>
      <c r="B11" s="87" t="s">
        <v>1857</v>
      </c>
    </row>
    <row r="12" spans="1:15" x14ac:dyDescent="0.45">
      <c r="A12" s="338" t="s">
        <v>1862</v>
      </c>
      <c r="B12" s="87" t="s">
        <v>1864</v>
      </c>
    </row>
    <row r="13" spans="1:15" x14ac:dyDescent="0.45">
      <c r="A13" s="97" t="s">
        <v>1863</v>
      </c>
    </row>
    <row r="14" spans="1:15" x14ac:dyDescent="0.45">
      <c r="A14" s="338" t="s">
        <v>1852</v>
      </c>
      <c r="B14" s="87" t="s">
        <v>1865</v>
      </c>
      <c r="D14" s="87" t="s">
        <v>1866</v>
      </c>
      <c r="E14" s="87" t="str">
        <f>MAIN!E6</f>
        <v>01/01</v>
      </c>
      <c r="F14" s="87" t="s">
        <v>1867</v>
      </c>
      <c r="G14" s="339" t="str">
        <f>IF(E14="","",IF(E14="01/01","31/12","31/03"))</f>
        <v>31/12</v>
      </c>
    </row>
    <row r="15" spans="1:15" x14ac:dyDescent="0.45">
      <c r="A15" s="338" t="s">
        <v>1858</v>
      </c>
      <c r="B15" s="87" t="s">
        <v>1868</v>
      </c>
    </row>
    <row r="16" spans="1:15" x14ac:dyDescent="0.45">
      <c r="A16" s="97" t="s">
        <v>1869</v>
      </c>
    </row>
    <row r="17" spans="1:6" x14ac:dyDescent="0.45">
      <c r="B17" s="87" t="s">
        <v>1870</v>
      </c>
    </row>
    <row r="19" spans="1:6" x14ac:dyDescent="0.45">
      <c r="A19" s="97" t="s">
        <v>1871</v>
      </c>
    </row>
    <row r="20" spans="1:6" x14ac:dyDescent="0.45">
      <c r="B20" s="340" t="s">
        <v>1884</v>
      </c>
    </row>
    <row r="21" spans="1:6" x14ac:dyDescent="0.45">
      <c r="B21" s="340" t="s">
        <v>1872</v>
      </c>
    </row>
    <row r="22" spans="1:6" x14ac:dyDescent="0.45">
      <c r="B22" s="340" t="s">
        <v>1873</v>
      </c>
    </row>
    <row r="23" spans="1:6" x14ac:dyDescent="0.45">
      <c r="B23" s="341" t="s">
        <v>1874</v>
      </c>
    </row>
    <row r="24" spans="1:6" x14ac:dyDescent="0.45">
      <c r="B24" s="341" t="s">
        <v>1875</v>
      </c>
    </row>
    <row r="25" spans="1:6" x14ac:dyDescent="0.45">
      <c r="B25" s="340" t="s">
        <v>1876</v>
      </c>
    </row>
    <row r="26" spans="1:6" x14ac:dyDescent="0.45">
      <c r="B26" s="340" t="s">
        <v>1877</v>
      </c>
    </row>
    <row r="27" spans="1:6" x14ac:dyDescent="0.45">
      <c r="B27" s="341" t="s">
        <v>1885</v>
      </c>
    </row>
    <row r="28" spans="1:6" x14ac:dyDescent="0.45">
      <c r="B28" s="341" t="s">
        <v>1886</v>
      </c>
    </row>
    <row r="29" spans="1:6" x14ac:dyDescent="0.45">
      <c r="B29" s="341" t="s">
        <v>1887</v>
      </c>
    </row>
    <row r="30" spans="1:6" x14ac:dyDescent="0.45">
      <c r="B30" s="342" t="s">
        <v>1878</v>
      </c>
    </row>
    <row r="31" spans="1:6" x14ac:dyDescent="0.45">
      <c r="B31" s="343" t="s">
        <v>1888</v>
      </c>
    </row>
    <row r="32" spans="1:6" x14ac:dyDescent="0.45">
      <c r="B32" s="343" t="s">
        <v>1890</v>
      </c>
      <c r="F32" s="383" t="s">
        <v>1891</v>
      </c>
    </row>
    <row r="33" spans="1:11" x14ac:dyDescent="0.45">
      <c r="B33" s="343" t="s">
        <v>1889</v>
      </c>
      <c r="F33" s="383" t="s">
        <v>1892</v>
      </c>
    </row>
    <row r="34" spans="1:11" x14ac:dyDescent="0.45">
      <c r="B34" s="342" t="s">
        <v>1893</v>
      </c>
    </row>
    <row r="35" spans="1:11" x14ac:dyDescent="0.45">
      <c r="B35" s="342" t="s">
        <v>1883</v>
      </c>
    </row>
    <row r="36" spans="1:11" x14ac:dyDescent="0.45">
      <c r="B36" s="342" t="s">
        <v>1894</v>
      </c>
    </row>
    <row r="37" spans="1:11" x14ac:dyDescent="0.45">
      <c r="B37" s="342" t="s">
        <v>1895</v>
      </c>
    </row>
    <row r="38" spans="1:11" x14ac:dyDescent="0.45">
      <c r="B38" s="342" t="s">
        <v>1879</v>
      </c>
    </row>
    <row r="39" spans="1:11" x14ac:dyDescent="0.45">
      <c r="B39" s="342" t="s">
        <v>1882</v>
      </c>
    </row>
    <row r="40" spans="1:11" x14ac:dyDescent="0.45">
      <c r="B40" s="342" t="s">
        <v>1881</v>
      </c>
    </row>
    <row r="41" spans="1:11" x14ac:dyDescent="0.45">
      <c r="B41" s="342" t="s">
        <v>1880</v>
      </c>
    </row>
    <row r="43" spans="1:11" x14ac:dyDescent="0.45">
      <c r="A43" s="97" t="s">
        <v>1896</v>
      </c>
    </row>
    <row r="45" spans="1:11" ht="20.100000000000001" customHeight="1" x14ac:dyDescent="0.45">
      <c r="B45" s="344" t="s">
        <v>1897</v>
      </c>
      <c r="C45" s="345"/>
      <c r="D45" s="345"/>
      <c r="E45" s="345"/>
      <c r="F45" s="345"/>
      <c r="G45" s="345"/>
      <c r="H45" s="345"/>
      <c r="I45" s="346"/>
      <c r="J45" s="347" t="s">
        <v>159</v>
      </c>
      <c r="K45" s="347" t="s">
        <v>160</v>
      </c>
    </row>
    <row r="46" spans="1:11" ht="20.100000000000001" customHeight="1" x14ac:dyDescent="0.45">
      <c r="B46" s="348" t="s">
        <v>1346</v>
      </c>
      <c r="C46" s="349"/>
      <c r="D46" s="349"/>
      <c r="E46" s="349"/>
      <c r="F46" s="349"/>
      <c r="G46" s="349"/>
      <c r="H46" s="349"/>
      <c r="I46" s="350"/>
      <c r="J46" s="378">
        <f>BCDTK!K9</f>
        <v>297125444</v>
      </c>
      <c r="K46" s="378">
        <f>BCDTK!G9</f>
        <v>439885419</v>
      </c>
    </row>
    <row r="47" spans="1:11" ht="20.100000000000001" customHeight="1" x14ac:dyDescent="0.45">
      <c r="B47" s="348" t="s">
        <v>1898</v>
      </c>
      <c r="C47" s="349"/>
      <c r="D47" s="349"/>
      <c r="E47" s="349"/>
      <c r="F47" s="349"/>
      <c r="G47" s="349"/>
      <c r="H47" s="349"/>
      <c r="I47" s="350"/>
      <c r="J47" s="378">
        <f>BCDTK!K12</f>
        <v>143106</v>
      </c>
      <c r="K47" s="378">
        <f>BCDTK!G12</f>
        <v>229512</v>
      </c>
    </row>
    <row r="48" spans="1:11" ht="20.100000000000001" customHeight="1" x14ac:dyDescent="0.45">
      <c r="B48" s="348" t="s">
        <v>1899</v>
      </c>
      <c r="C48" s="349"/>
      <c r="D48" s="349"/>
      <c r="E48" s="349"/>
      <c r="F48" s="349"/>
      <c r="G48" s="349"/>
      <c r="H48" s="349"/>
      <c r="I48" s="350"/>
      <c r="J48" s="378"/>
      <c r="K48" s="378"/>
    </row>
    <row r="49" spans="2:11" ht="20.100000000000001" customHeight="1" x14ac:dyDescent="0.45">
      <c r="B49" s="344" t="s">
        <v>1288</v>
      </c>
      <c r="C49" s="351"/>
      <c r="D49" s="351"/>
      <c r="E49" s="351"/>
      <c r="F49" s="351"/>
      <c r="G49" s="351"/>
      <c r="H49" s="351"/>
      <c r="I49" s="355"/>
      <c r="J49" s="381">
        <f>SUM(J46:J48)</f>
        <v>297268550</v>
      </c>
      <c r="K49" s="381">
        <f>SUM(K46:K48)</f>
        <v>440114931</v>
      </c>
    </row>
    <row r="52" spans="2:11" ht="18" customHeight="1" x14ac:dyDescent="0.45">
      <c r="B52" s="344" t="s">
        <v>1900</v>
      </c>
      <c r="C52" s="351"/>
      <c r="D52" s="351"/>
      <c r="E52" s="351"/>
      <c r="F52" s="351"/>
      <c r="G52" s="351"/>
      <c r="H52" s="351"/>
      <c r="I52" s="351"/>
      <c r="J52" s="347" t="s">
        <v>159</v>
      </c>
      <c r="K52" s="347" t="s">
        <v>160</v>
      </c>
    </row>
    <row r="53" spans="2:11" ht="18" customHeight="1" x14ac:dyDescent="0.45">
      <c r="B53" s="352" t="s">
        <v>1901</v>
      </c>
      <c r="C53" s="349"/>
      <c r="D53" s="349"/>
      <c r="E53" s="349"/>
      <c r="F53" s="349"/>
      <c r="G53" s="349"/>
      <c r="H53" s="349"/>
      <c r="I53" s="349"/>
      <c r="J53" s="333">
        <f>BCDTK!K15</f>
        <v>0</v>
      </c>
      <c r="K53" s="361">
        <f>BCDTK!G15</f>
        <v>0</v>
      </c>
    </row>
    <row r="54" spans="2:11" ht="18" customHeight="1" x14ac:dyDescent="0.45">
      <c r="B54" s="353" t="s">
        <v>1908</v>
      </c>
      <c r="C54" s="349"/>
      <c r="D54" s="349"/>
      <c r="E54" s="349"/>
      <c r="F54" s="349"/>
      <c r="G54" s="349"/>
      <c r="H54" s="349"/>
      <c r="I54" s="349"/>
      <c r="J54" s="333"/>
      <c r="K54" s="361"/>
    </row>
    <row r="55" spans="2:11" ht="18" customHeight="1" x14ac:dyDescent="0.45">
      <c r="B55" s="353" t="s">
        <v>1902</v>
      </c>
      <c r="C55" s="349"/>
      <c r="D55" s="349"/>
      <c r="E55" s="349"/>
      <c r="F55" s="349"/>
      <c r="G55" s="349"/>
      <c r="H55" s="349"/>
      <c r="I55" s="349"/>
      <c r="J55" s="333"/>
      <c r="K55" s="361"/>
    </row>
    <row r="56" spans="2:11" ht="18" customHeight="1" x14ac:dyDescent="0.45">
      <c r="B56" s="353" t="s">
        <v>1903</v>
      </c>
      <c r="C56" s="354"/>
      <c r="D56" s="349"/>
      <c r="E56" s="349"/>
      <c r="F56" s="349"/>
      <c r="G56" s="349"/>
      <c r="H56" s="349"/>
      <c r="I56" s="349"/>
      <c r="J56" s="333"/>
      <c r="K56" s="361"/>
    </row>
    <row r="57" spans="2:11" ht="18" customHeight="1" x14ac:dyDescent="0.45">
      <c r="B57" s="352" t="s">
        <v>1904</v>
      </c>
      <c r="C57" s="349"/>
      <c r="D57" s="349"/>
      <c r="E57" s="349"/>
      <c r="F57" s="349"/>
      <c r="G57" s="349"/>
      <c r="H57" s="349"/>
      <c r="I57" s="349"/>
      <c r="J57" s="333">
        <f>BCDTK!K16</f>
        <v>0</v>
      </c>
      <c r="K57" s="361">
        <f>BCDTK!G16</f>
        <v>0</v>
      </c>
    </row>
    <row r="58" spans="2:11" ht="18" customHeight="1" x14ac:dyDescent="0.45">
      <c r="B58" s="353" t="s">
        <v>20</v>
      </c>
      <c r="C58" s="349"/>
      <c r="D58" s="349"/>
      <c r="E58" s="349"/>
      <c r="F58" s="349"/>
      <c r="G58" s="349"/>
      <c r="H58" s="349"/>
      <c r="I58" s="349"/>
      <c r="J58" s="333">
        <f>BCDTK!K17</f>
        <v>0</v>
      </c>
      <c r="K58" s="361">
        <f>BCDTK!G17</f>
        <v>0</v>
      </c>
    </row>
    <row r="59" spans="2:11" ht="18" customHeight="1" x14ac:dyDescent="0.45">
      <c r="B59" s="353" t="s">
        <v>21</v>
      </c>
      <c r="C59" s="349"/>
      <c r="D59" s="349"/>
      <c r="E59" s="349"/>
      <c r="F59" s="349"/>
      <c r="G59" s="349"/>
      <c r="H59" s="349"/>
      <c r="I59" s="349"/>
      <c r="J59" s="333">
        <f>BCDTK!K18</f>
        <v>0</v>
      </c>
      <c r="K59" s="361">
        <f>BCDTK!G18</f>
        <v>0</v>
      </c>
    </row>
    <row r="60" spans="2:11" ht="18" customHeight="1" x14ac:dyDescent="0.45">
      <c r="B60" s="352" t="s">
        <v>1905</v>
      </c>
      <c r="C60" s="349"/>
      <c r="D60" s="349"/>
      <c r="E60" s="349"/>
      <c r="F60" s="349"/>
      <c r="G60" s="349"/>
      <c r="H60" s="349"/>
      <c r="I60" s="349"/>
      <c r="J60" s="333">
        <f>J61+J62</f>
        <v>0</v>
      </c>
      <c r="K60" s="333">
        <f>K61+K62</f>
        <v>0</v>
      </c>
    </row>
    <row r="61" spans="2:11" ht="18" customHeight="1" x14ac:dyDescent="0.45">
      <c r="B61" s="353" t="s">
        <v>1906</v>
      </c>
      <c r="C61" s="349"/>
      <c r="D61" s="349"/>
      <c r="E61" s="349"/>
      <c r="F61" s="349"/>
      <c r="G61" s="349"/>
      <c r="H61" s="349"/>
      <c r="I61" s="349"/>
      <c r="J61" s="333">
        <f>BCDTK!K52</f>
        <v>0</v>
      </c>
      <c r="K61" s="361">
        <f>BCDTK!G52</f>
        <v>0</v>
      </c>
    </row>
    <row r="62" spans="2:11" ht="18" customHeight="1" x14ac:dyDescent="0.45">
      <c r="B62" s="353" t="s">
        <v>1907</v>
      </c>
      <c r="C62" s="349"/>
      <c r="D62" s="349"/>
      <c r="E62" s="349"/>
      <c r="F62" s="349"/>
      <c r="G62" s="349"/>
      <c r="H62" s="349"/>
      <c r="I62" s="349"/>
      <c r="J62" s="333">
        <f>BCDTK!K53</f>
        <v>0</v>
      </c>
      <c r="K62" s="361">
        <f>BCDTK!G53</f>
        <v>0</v>
      </c>
    </row>
    <row r="63" spans="2:11" x14ac:dyDescent="0.45">
      <c r="K63" s="386"/>
    </row>
    <row r="65" spans="2:11" ht="19.5" customHeight="1" x14ac:dyDescent="0.45">
      <c r="B65" s="344" t="s">
        <v>1909</v>
      </c>
      <c r="C65" s="351"/>
      <c r="D65" s="351"/>
      <c r="E65" s="351"/>
      <c r="F65" s="351"/>
      <c r="G65" s="351"/>
      <c r="H65" s="351"/>
      <c r="I65" s="355"/>
      <c r="J65" s="347" t="s">
        <v>159</v>
      </c>
      <c r="K65" s="347" t="s">
        <v>160</v>
      </c>
    </row>
    <row r="66" spans="2:11" ht="19.5" customHeight="1" x14ac:dyDescent="0.45">
      <c r="B66" s="352" t="s">
        <v>1910</v>
      </c>
      <c r="C66" s="349"/>
      <c r="D66" s="349"/>
      <c r="E66" s="349"/>
      <c r="F66" s="349"/>
      <c r="G66" s="349"/>
      <c r="H66" s="349"/>
      <c r="I66" s="349"/>
      <c r="J66" s="333">
        <f>BCDTK!K19</f>
        <v>23880000</v>
      </c>
      <c r="K66" s="361">
        <f>BCDTK!G19</f>
        <v>22680000</v>
      </c>
    </row>
    <row r="67" spans="2:11" ht="19.5" customHeight="1" x14ac:dyDescent="0.45">
      <c r="B67" s="352" t="s">
        <v>1911</v>
      </c>
      <c r="C67" s="349"/>
      <c r="D67" s="349"/>
      <c r="E67" s="349"/>
      <c r="F67" s="349"/>
      <c r="G67" s="349"/>
      <c r="H67" s="349"/>
      <c r="I67" s="349"/>
      <c r="J67" s="333"/>
      <c r="K67" s="361"/>
    </row>
    <row r="68" spans="2:11" ht="19.5" customHeight="1" x14ac:dyDescent="0.45">
      <c r="B68" s="352" t="s">
        <v>1912</v>
      </c>
      <c r="C68" s="349"/>
      <c r="D68" s="349"/>
      <c r="E68" s="349"/>
      <c r="F68" s="349"/>
      <c r="G68" s="349"/>
      <c r="H68" s="349"/>
      <c r="I68" s="349"/>
      <c r="J68" s="333">
        <f>BCDTK!K61</f>
        <v>0</v>
      </c>
      <c r="K68" s="361">
        <f>BCDTK!G61</f>
        <v>0</v>
      </c>
    </row>
    <row r="69" spans="2:11" ht="19.5" customHeight="1" x14ac:dyDescent="0.45">
      <c r="B69" s="352" t="s">
        <v>1913</v>
      </c>
      <c r="C69" s="349"/>
      <c r="D69" s="349"/>
      <c r="E69" s="349"/>
      <c r="F69" s="349"/>
      <c r="G69" s="349"/>
      <c r="H69" s="349"/>
      <c r="I69" s="349"/>
      <c r="J69" s="333"/>
      <c r="K69" s="361"/>
    </row>
    <row r="70" spans="2:11" ht="19.5" customHeight="1" x14ac:dyDescent="0.45">
      <c r="B70" s="352" t="s">
        <v>1914</v>
      </c>
      <c r="C70" s="349"/>
      <c r="D70" s="349"/>
      <c r="E70" s="349"/>
      <c r="F70" s="349"/>
      <c r="G70" s="349"/>
      <c r="H70" s="349"/>
      <c r="I70" s="349"/>
      <c r="J70" s="333"/>
      <c r="K70" s="361"/>
    </row>
    <row r="71" spans="2:11" ht="19.5" customHeight="1" x14ac:dyDescent="0.45">
      <c r="B71" s="348"/>
      <c r="C71" s="349" t="s">
        <v>1915</v>
      </c>
      <c r="D71" s="349"/>
      <c r="E71" s="349"/>
      <c r="F71" s="349"/>
      <c r="G71" s="349"/>
      <c r="H71" s="349"/>
      <c r="I71" s="349"/>
      <c r="J71" s="333"/>
      <c r="K71" s="361"/>
    </row>
    <row r="72" spans="2:11" ht="19.5" customHeight="1" x14ac:dyDescent="0.45">
      <c r="B72" s="348"/>
      <c r="C72" s="349" t="s">
        <v>34</v>
      </c>
      <c r="D72" s="349"/>
      <c r="E72" s="349"/>
      <c r="F72" s="349"/>
      <c r="G72" s="349"/>
      <c r="H72" s="349"/>
      <c r="I72" s="349"/>
      <c r="J72" s="333">
        <f>BCDTK!K30</f>
        <v>0</v>
      </c>
      <c r="K72" s="333">
        <f>BCDTK!G30</f>
        <v>0</v>
      </c>
    </row>
    <row r="73" spans="2:11" ht="19.5" customHeight="1" x14ac:dyDescent="0.45">
      <c r="B73" s="348"/>
      <c r="C73" s="349" t="s">
        <v>29</v>
      </c>
      <c r="D73" s="349"/>
      <c r="E73" s="349"/>
      <c r="F73" s="349"/>
      <c r="G73" s="349"/>
      <c r="H73" s="349"/>
      <c r="I73" s="349"/>
      <c r="J73" s="333">
        <f>BCDTK!K25</f>
        <v>0</v>
      </c>
      <c r="K73" s="333">
        <f>BCDTK!G25</f>
        <v>0</v>
      </c>
    </row>
    <row r="74" spans="2:11" ht="19.5" customHeight="1" x14ac:dyDescent="0.45">
      <c r="B74" s="348"/>
      <c r="C74" s="349" t="s">
        <v>30</v>
      </c>
      <c r="D74" s="349"/>
      <c r="E74" s="349"/>
      <c r="F74" s="349"/>
      <c r="G74" s="349"/>
      <c r="H74" s="349"/>
      <c r="I74" s="349"/>
      <c r="J74" s="333">
        <f>BCDTK!K26+BCDTK!K81</f>
        <v>0</v>
      </c>
      <c r="K74" s="333">
        <f>BCDTK!G26+BCDTK!G81</f>
        <v>0</v>
      </c>
    </row>
    <row r="75" spans="2:11" ht="19.5" customHeight="1" x14ac:dyDescent="0.45">
      <c r="B75" s="352" t="s">
        <v>1916</v>
      </c>
      <c r="C75" s="349"/>
      <c r="D75" s="349"/>
      <c r="E75" s="349"/>
      <c r="F75" s="349"/>
      <c r="G75" s="349"/>
      <c r="H75" s="349"/>
      <c r="I75" s="349"/>
      <c r="J75" s="333">
        <f>BCDTK!K27</f>
        <v>0</v>
      </c>
      <c r="K75" s="361">
        <f>BCDTK!G27</f>
        <v>0</v>
      </c>
    </row>
    <row r="76" spans="2:11" ht="19.5" customHeight="1" x14ac:dyDescent="0.45">
      <c r="B76" s="352"/>
      <c r="C76" s="349" t="s">
        <v>1917</v>
      </c>
      <c r="D76" s="349"/>
      <c r="E76" s="349"/>
      <c r="F76" s="349"/>
      <c r="G76" s="349"/>
      <c r="H76" s="349"/>
      <c r="I76" s="349"/>
      <c r="J76" s="333"/>
      <c r="K76" s="361"/>
    </row>
    <row r="77" spans="2:11" ht="19.5" customHeight="1" x14ac:dyDescent="0.45">
      <c r="B77" s="352"/>
      <c r="C77" s="349" t="s">
        <v>1918</v>
      </c>
      <c r="D77" s="349"/>
      <c r="E77" s="349"/>
      <c r="F77" s="349"/>
      <c r="G77" s="349"/>
      <c r="H77" s="349"/>
      <c r="I77" s="349"/>
      <c r="J77" s="333"/>
      <c r="K77" s="361"/>
    </row>
    <row r="78" spans="2:11" ht="19.5" customHeight="1" x14ac:dyDescent="0.45">
      <c r="B78" s="352"/>
      <c r="C78" s="349" t="s">
        <v>1919</v>
      </c>
      <c r="D78" s="349"/>
      <c r="E78" s="349"/>
      <c r="F78" s="349"/>
      <c r="G78" s="349"/>
      <c r="H78" s="349"/>
      <c r="I78" s="349"/>
      <c r="J78" s="333"/>
      <c r="K78" s="361"/>
    </row>
    <row r="79" spans="2:11" ht="19.5" customHeight="1" x14ac:dyDescent="0.45">
      <c r="B79" s="352"/>
      <c r="C79" s="349" t="s">
        <v>1920</v>
      </c>
      <c r="D79" s="349"/>
      <c r="E79" s="349"/>
      <c r="F79" s="349"/>
      <c r="G79" s="349"/>
      <c r="H79" s="349"/>
      <c r="I79" s="349"/>
      <c r="J79" s="333"/>
      <c r="K79" s="361"/>
    </row>
    <row r="80" spans="2:11" ht="20.85" customHeight="1" x14ac:dyDescent="0.45">
      <c r="B80" s="352" t="s">
        <v>2039</v>
      </c>
      <c r="C80" s="349"/>
      <c r="D80" s="349"/>
      <c r="E80" s="349"/>
      <c r="F80" s="349"/>
      <c r="G80" s="349"/>
      <c r="H80" s="349"/>
      <c r="I80" s="349"/>
      <c r="J80" s="333"/>
      <c r="K80" s="361"/>
    </row>
    <row r="83" spans="2:11" ht="19.5" customHeight="1" x14ac:dyDescent="0.45">
      <c r="B83" s="344" t="s">
        <v>1921</v>
      </c>
      <c r="C83" s="345"/>
      <c r="D83" s="345"/>
      <c r="E83" s="345"/>
      <c r="F83" s="345"/>
      <c r="G83" s="345"/>
      <c r="H83" s="345"/>
      <c r="I83" s="346"/>
      <c r="J83" s="347" t="s">
        <v>159</v>
      </c>
      <c r="K83" s="347" t="s">
        <v>160</v>
      </c>
    </row>
    <row r="84" spans="2:11" ht="21.4" customHeight="1" x14ac:dyDescent="0.45">
      <c r="B84" s="352" t="s">
        <v>1922</v>
      </c>
      <c r="C84" s="349"/>
      <c r="D84" s="349"/>
      <c r="E84" s="349"/>
      <c r="F84" s="349"/>
      <c r="G84" s="349"/>
      <c r="H84" s="349"/>
      <c r="I84" s="349"/>
      <c r="J84" s="333">
        <f>BCDTK!K31</f>
        <v>0</v>
      </c>
      <c r="K84" s="361">
        <f>BCDTK!G31</f>
        <v>0</v>
      </c>
    </row>
    <row r="85" spans="2:11" ht="21.4" customHeight="1" x14ac:dyDescent="0.45">
      <c r="B85" s="352" t="s">
        <v>36</v>
      </c>
      <c r="C85" s="349"/>
      <c r="D85" s="349"/>
      <c r="E85" s="349"/>
      <c r="F85" s="349"/>
      <c r="G85" s="349"/>
      <c r="H85" s="349"/>
      <c r="I85" s="349"/>
      <c r="J85" s="333">
        <f>BCDTK!K32</f>
        <v>0</v>
      </c>
      <c r="K85" s="361">
        <f>BCDTK!G32</f>
        <v>0</v>
      </c>
    </row>
    <row r="86" spans="2:11" ht="21.4" customHeight="1" x14ac:dyDescent="0.45">
      <c r="B86" s="352" t="s">
        <v>1923</v>
      </c>
      <c r="C86" s="349"/>
      <c r="D86" s="349"/>
      <c r="E86" s="349"/>
      <c r="F86" s="349"/>
      <c r="G86" s="349"/>
      <c r="H86" s="349"/>
      <c r="I86" s="349"/>
      <c r="J86" s="333">
        <f>BCDTK!K33</f>
        <v>0</v>
      </c>
      <c r="K86" s="361">
        <f>BCDTK!G33</f>
        <v>0</v>
      </c>
    </row>
    <row r="87" spans="2:11" ht="21.4" customHeight="1" x14ac:dyDescent="0.45">
      <c r="B87" s="352" t="s">
        <v>1924</v>
      </c>
      <c r="C87" s="349"/>
      <c r="D87" s="349"/>
      <c r="E87" s="349"/>
      <c r="F87" s="349"/>
      <c r="G87" s="349"/>
      <c r="H87" s="349"/>
      <c r="I87" s="349"/>
      <c r="J87" s="333">
        <f>BCDTK!K34</f>
        <v>0</v>
      </c>
      <c r="K87" s="361">
        <f>BCDTK!G34</f>
        <v>0</v>
      </c>
    </row>
    <row r="88" spans="2:11" ht="21.4" customHeight="1" x14ac:dyDescent="0.45">
      <c r="B88" s="352" t="s">
        <v>39</v>
      </c>
      <c r="C88" s="349"/>
      <c r="D88" s="349"/>
      <c r="E88" s="349"/>
      <c r="F88" s="349"/>
      <c r="G88" s="349"/>
      <c r="H88" s="349"/>
      <c r="I88" s="349"/>
      <c r="J88" s="333">
        <f>BCDTK!K35</f>
        <v>0</v>
      </c>
      <c r="K88" s="361">
        <f>BCDTK!G35</f>
        <v>0</v>
      </c>
    </row>
    <row r="89" spans="2:11" ht="21.4" customHeight="1" x14ac:dyDescent="0.45">
      <c r="B89" s="352" t="s">
        <v>1925</v>
      </c>
      <c r="C89" s="349"/>
      <c r="D89" s="349"/>
      <c r="E89" s="349"/>
      <c r="F89" s="349"/>
      <c r="G89" s="349"/>
      <c r="H89" s="349"/>
      <c r="I89" s="349"/>
      <c r="J89" s="333">
        <f>BCDTK!K36</f>
        <v>0</v>
      </c>
      <c r="K89" s="361">
        <f>BCDTK!G36</f>
        <v>0</v>
      </c>
    </row>
    <row r="90" spans="2:11" ht="21.4" customHeight="1" x14ac:dyDescent="0.45">
      <c r="B90" s="352" t="s">
        <v>1926</v>
      </c>
      <c r="C90" s="349"/>
      <c r="D90" s="349"/>
      <c r="E90" s="349"/>
      <c r="F90" s="349"/>
      <c r="G90" s="349"/>
      <c r="H90" s="349"/>
      <c r="I90" s="349"/>
      <c r="J90" s="333">
        <f>BCDTK!K37</f>
        <v>0</v>
      </c>
      <c r="K90" s="361">
        <f>BCDTK!G37</f>
        <v>0</v>
      </c>
    </row>
    <row r="93" spans="2:11" ht="20.100000000000001" customHeight="1" x14ac:dyDescent="0.45">
      <c r="B93" s="344" t="s">
        <v>1927</v>
      </c>
      <c r="C93" s="351"/>
      <c r="D93" s="351"/>
      <c r="E93" s="351"/>
      <c r="F93" s="351"/>
      <c r="G93" s="351"/>
      <c r="H93" s="351"/>
      <c r="I93" s="351"/>
      <c r="J93" s="351"/>
      <c r="K93" s="351"/>
    </row>
    <row r="94" spans="2:11" ht="22.35" customHeight="1" x14ac:dyDescent="0.45">
      <c r="B94" s="513" t="s">
        <v>1928</v>
      </c>
      <c r="C94" s="514"/>
      <c r="D94" s="514"/>
      <c r="E94" s="514"/>
      <c r="F94" s="514"/>
      <c r="G94" s="515"/>
      <c r="H94" s="330" t="s">
        <v>1932</v>
      </c>
      <c r="I94" s="330" t="s">
        <v>1931</v>
      </c>
      <c r="J94" s="330" t="s">
        <v>1930</v>
      </c>
      <c r="K94" s="330" t="s">
        <v>1929</v>
      </c>
    </row>
    <row r="95" spans="2:11" ht="23.45" customHeight="1" x14ac:dyDescent="0.45">
      <c r="B95" s="356" t="s">
        <v>1936</v>
      </c>
      <c r="C95" s="357"/>
      <c r="D95" s="357"/>
      <c r="E95" s="357"/>
      <c r="F95" s="357"/>
      <c r="G95" s="349"/>
      <c r="H95" s="349"/>
      <c r="I95" s="349"/>
      <c r="J95" s="349"/>
      <c r="K95" s="350"/>
    </row>
    <row r="96" spans="2:11" ht="23.45" customHeight="1" x14ac:dyDescent="0.45">
      <c r="B96" s="352" t="s">
        <v>1933</v>
      </c>
      <c r="C96" s="349"/>
      <c r="D96" s="349"/>
      <c r="E96" s="349"/>
      <c r="F96" s="349"/>
      <c r="G96" s="350"/>
      <c r="H96" s="333">
        <f>BCDTK!G39</f>
        <v>0</v>
      </c>
      <c r="I96" s="333">
        <f>BCDTK!I39</f>
        <v>423501818</v>
      </c>
      <c r="J96" s="333">
        <f>BCDTK!J39</f>
        <v>0</v>
      </c>
      <c r="K96" s="384">
        <f>H96+I96-J96</f>
        <v>423501818</v>
      </c>
    </row>
    <row r="97" spans="2:11" ht="23.45" customHeight="1" x14ac:dyDescent="0.45">
      <c r="B97" s="352" t="s">
        <v>1934</v>
      </c>
      <c r="C97" s="349"/>
      <c r="D97" s="349"/>
      <c r="E97" s="349"/>
      <c r="F97" s="349"/>
      <c r="G97" s="350"/>
      <c r="H97" s="333">
        <f>BCDTK!H43</f>
        <v>0</v>
      </c>
      <c r="I97" s="333">
        <f>BCDTK!J43</f>
        <v>10083376</v>
      </c>
      <c r="J97" s="333">
        <f>BCDTK!I43</f>
        <v>0</v>
      </c>
      <c r="K97" s="384">
        <f>H97+I97-J97</f>
        <v>10083376</v>
      </c>
    </row>
    <row r="98" spans="2:11" ht="23.45" customHeight="1" x14ac:dyDescent="0.45">
      <c r="B98" s="385" t="s">
        <v>1935</v>
      </c>
      <c r="C98" s="349"/>
      <c r="D98" s="349"/>
      <c r="E98" s="349"/>
      <c r="F98" s="349"/>
      <c r="G98" s="350"/>
      <c r="H98" s="384">
        <f>MAX(0,H96-H97)</f>
        <v>0</v>
      </c>
      <c r="I98" s="384">
        <f t="shared" ref="I98:K98" si="0">MAX(0,I96-I97)</f>
        <v>413418442</v>
      </c>
      <c r="J98" s="384">
        <f t="shared" si="0"/>
        <v>0</v>
      </c>
      <c r="K98" s="384">
        <f t="shared" si="0"/>
        <v>413418442</v>
      </c>
    </row>
    <row r="99" spans="2:11" ht="23.45" customHeight="1" x14ac:dyDescent="0.45">
      <c r="B99" s="356" t="s">
        <v>1938</v>
      </c>
      <c r="C99" s="357"/>
      <c r="D99" s="357"/>
      <c r="E99" s="357"/>
      <c r="F99" s="357"/>
      <c r="G99" s="349"/>
      <c r="H99" s="349"/>
      <c r="I99" s="349"/>
      <c r="J99" s="349"/>
      <c r="K99" s="350"/>
    </row>
    <row r="100" spans="2:11" ht="23.45" customHeight="1" x14ac:dyDescent="0.45">
      <c r="B100" s="352" t="s">
        <v>1933</v>
      </c>
      <c r="C100" s="349"/>
      <c r="D100" s="349"/>
      <c r="E100" s="349"/>
      <c r="F100" s="349"/>
      <c r="G100" s="350"/>
      <c r="H100" s="333">
        <f>BCDTK!G41</f>
        <v>0</v>
      </c>
      <c r="I100" s="333">
        <f>BCDTK!I41</f>
        <v>0</v>
      </c>
      <c r="J100" s="333">
        <f>BCDTK!J41</f>
        <v>0</v>
      </c>
      <c r="K100" s="384">
        <f>H100+I100-J100</f>
        <v>0</v>
      </c>
    </row>
    <row r="101" spans="2:11" ht="23.45" customHeight="1" x14ac:dyDescent="0.45">
      <c r="B101" s="352" t="s">
        <v>1934</v>
      </c>
      <c r="C101" s="349"/>
      <c r="D101" s="349"/>
      <c r="E101" s="349"/>
      <c r="F101" s="349"/>
      <c r="G101" s="350"/>
      <c r="H101" s="333">
        <f>BCDTK!H45</f>
        <v>0</v>
      </c>
      <c r="I101" s="333">
        <f>BCDTK!J45</f>
        <v>0</v>
      </c>
      <c r="J101" s="333">
        <f>BCDTK!I45</f>
        <v>0</v>
      </c>
      <c r="K101" s="384">
        <f t="shared" ref="K101" si="1">H101+I101-J101</f>
        <v>0</v>
      </c>
    </row>
    <row r="102" spans="2:11" ht="23.45" customHeight="1" x14ac:dyDescent="0.45">
      <c r="B102" s="385" t="s">
        <v>1935</v>
      </c>
      <c r="C102" s="349"/>
      <c r="D102" s="349"/>
      <c r="E102" s="349"/>
      <c r="F102" s="349"/>
      <c r="G102" s="350"/>
      <c r="H102" s="384">
        <f>MAX(0,H100-H101)</f>
        <v>0</v>
      </c>
      <c r="I102" s="384">
        <f t="shared" ref="I102:K102" si="2">MAX(0,I100-I101)</f>
        <v>0</v>
      </c>
      <c r="J102" s="384">
        <f t="shared" si="2"/>
        <v>0</v>
      </c>
      <c r="K102" s="384">
        <f t="shared" si="2"/>
        <v>0</v>
      </c>
    </row>
    <row r="103" spans="2:11" ht="23.45" customHeight="1" x14ac:dyDescent="0.45">
      <c r="B103" s="356" t="s">
        <v>1937</v>
      </c>
      <c r="C103" s="357"/>
      <c r="D103" s="357"/>
      <c r="E103" s="357"/>
      <c r="F103" s="357"/>
      <c r="G103" s="349"/>
      <c r="H103" s="349"/>
      <c r="I103" s="349"/>
      <c r="J103" s="349"/>
      <c r="K103" s="350"/>
    </row>
    <row r="104" spans="2:11" ht="23.45" customHeight="1" x14ac:dyDescent="0.45">
      <c r="B104" s="352" t="s">
        <v>1933</v>
      </c>
      <c r="C104" s="349"/>
      <c r="D104" s="349"/>
      <c r="E104" s="349"/>
      <c r="F104" s="349"/>
      <c r="G104" s="350"/>
      <c r="H104" s="333">
        <f>BCDTK!G40</f>
        <v>0</v>
      </c>
      <c r="I104" s="333">
        <f>BCDTK!I40</f>
        <v>0</v>
      </c>
      <c r="J104" s="333">
        <f>BCDTK!J40</f>
        <v>0</v>
      </c>
      <c r="K104" s="333">
        <f>H104+I104-J104</f>
        <v>0</v>
      </c>
    </row>
    <row r="105" spans="2:11" ht="23.45" customHeight="1" x14ac:dyDescent="0.45">
      <c r="B105" s="352" t="s">
        <v>1934</v>
      </c>
      <c r="C105" s="349"/>
      <c r="D105" s="349"/>
      <c r="E105" s="349"/>
      <c r="F105" s="349"/>
      <c r="G105" s="350"/>
      <c r="H105" s="333">
        <f>BCDTK!H44</f>
        <v>0</v>
      </c>
      <c r="I105" s="333">
        <f>BCDTK!J44</f>
        <v>0</v>
      </c>
      <c r="J105" s="333">
        <f>BCDTK!I44</f>
        <v>0</v>
      </c>
      <c r="K105" s="333">
        <f t="shared" ref="K105" si="3">H105+I105-J105</f>
        <v>0</v>
      </c>
    </row>
    <row r="106" spans="2:11" ht="23.45" customHeight="1" x14ac:dyDescent="0.45">
      <c r="B106" s="385" t="s">
        <v>1935</v>
      </c>
      <c r="C106" s="349"/>
      <c r="D106" s="349"/>
      <c r="E106" s="349"/>
      <c r="F106" s="349"/>
      <c r="G106" s="350"/>
      <c r="H106" s="384">
        <f>MAX(H104-H105)</f>
        <v>0</v>
      </c>
      <c r="I106" s="384">
        <f t="shared" ref="I106:K106" si="4">MAX(I104-I105)</f>
        <v>0</v>
      </c>
      <c r="J106" s="384">
        <f t="shared" si="4"/>
        <v>0</v>
      </c>
      <c r="K106" s="384">
        <f t="shared" si="4"/>
        <v>0</v>
      </c>
    </row>
    <row r="109" spans="2:11" ht="21.4" customHeight="1" x14ac:dyDescent="0.45">
      <c r="B109" s="344" t="s">
        <v>1941</v>
      </c>
      <c r="C109" s="351"/>
      <c r="D109" s="351"/>
      <c r="E109" s="351"/>
      <c r="F109" s="351"/>
      <c r="G109" s="351"/>
      <c r="H109" s="351"/>
      <c r="I109" s="351"/>
      <c r="J109" s="351"/>
      <c r="K109" s="351"/>
    </row>
    <row r="110" spans="2:11" ht="21.4" customHeight="1" x14ac:dyDescent="0.45">
      <c r="B110" s="513" t="s">
        <v>1928</v>
      </c>
      <c r="C110" s="514"/>
      <c r="D110" s="514"/>
      <c r="E110" s="514"/>
      <c r="F110" s="514"/>
      <c r="G110" s="515"/>
      <c r="H110" s="330" t="s">
        <v>1932</v>
      </c>
      <c r="I110" s="330" t="s">
        <v>1931</v>
      </c>
      <c r="J110" s="330" t="s">
        <v>1930</v>
      </c>
      <c r="K110" s="330" t="s">
        <v>1929</v>
      </c>
    </row>
    <row r="111" spans="2:11" ht="21.4" customHeight="1" x14ac:dyDescent="0.45">
      <c r="B111" s="356" t="s">
        <v>1939</v>
      </c>
      <c r="C111" s="357"/>
      <c r="D111" s="357"/>
      <c r="E111" s="357"/>
      <c r="F111" s="357"/>
      <c r="G111" s="349"/>
      <c r="H111" s="349"/>
      <c r="I111" s="349"/>
      <c r="J111" s="349"/>
      <c r="K111" s="350"/>
    </row>
    <row r="112" spans="2:11" ht="21.4" customHeight="1" x14ac:dyDescent="0.45">
      <c r="B112" s="352" t="s">
        <v>1933</v>
      </c>
      <c r="C112" s="349"/>
      <c r="D112" s="349"/>
      <c r="E112" s="349"/>
      <c r="F112" s="349"/>
      <c r="G112" s="350"/>
      <c r="H112" s="145"/>
      <c r="I112" s="145"/>
      <c r="J112" s="145"/>
      <c r="K112" s="145"/>
    </row>
    <row r="113" spans="2:11" ht="21.4" customHeight="1" x14ac:dyDescent="0.45">
      <c r="B113" s="352" t="s">
        <v>1934</v>
      </c>
      <c r="C113" s="349"/>
      <c r="D113" s="349"/>
      <c r="E113" s="349"/>
      <c r="F113" s="349"/>
      <c r="G113" s="350"/>
      <c r="H113" s="145"/>
      <c r="I113" s="145"/>
      <c r="J113" s="145"/>
      <c r="K113" s="145"/>
    </row>
    <row r="114" spans="2:11" ht="21.4" customHeight="1" x14ac:dyDescent="0.45">
      <c r="B114" s="352" t="s">
        <v>1935</v>
      </c>
      <c r="C114" s="349"/>
      <c r="D114" s="349"/>
      <c r="E114" s="349"/>
      <c r="F114" s="349"/>
      <c r="G114" s="350"/>
      <c r="H114" s="145"/>
      <c r="I114" s="145"/>
      <c r="J114" s="145"/>
      <c r="K114" s="145"/>
    </row>
    <row r="115" spans="2:11" ht="21.4" customHeight="1" x14ac:dyDescent="0.45">
      <c r="B115" s="356" t="s">
        <v>1940</v>
      </c>
      <c r="C115" s="357"/>
      <c r="D115" s="357"/>
      <c r="E115" s="357"/>
      <c r="F115" s="357"/>
      <c r="G115" s="349"/>
      <c r="H115" s="349"/>
      <c r="I115" s="349"/>
      <c r="J115" s="349"/>
      <c r="K115" s="350"/>
    </row>
    <row r="116" spans="2:11" ht="21.4" customHeight="1" x14ac:dyDescent="0.45">
      <c r="B116" s="352" t="s">
        <v>1933</v>
      </c>
      <c r="C116" s="349"/>
      <c r="D116" s="349"/>
      <c r="E116" s="349"/>
      <c r="F116" s="349"/>
      <c r="G116" s="350"/>
      <c r="H116" s="145"/>
      <c r="I116" s="145"/>
      <c r="J116" s="145"/>
      <c r="K116" s="145"/>
    </row>
    <row r="117" spans="2:11" ht="21.4" customHeight="1" x14ac:dyDescent="0.45">
      <c r="B117" s="352" t="s">
        <v>1934</v>
      </c>
      <c r="C117" s="349"/>
      <c r="D117" s="349"/>
      <c r="E117" s="349"/>
      <c r="F117" s="349"/>
      <c r="G117" s="350"/>
      <c r="H117" s="145"/>
      <c r="I117" s="145"/>
      <c r="J117" s="145"/>
      <c r="K117" s="145"/>
    </row>
    <row r="118" spans="2:11" ht="21.4" customHeight="1" x14ac:dyDescent="0.45">
      <c r="B118" s="352" t="s">
        <v>1935</v>
      </c>
      <c r="C118" s="349"/>
      <c r="D118" s="349"/>
      <c r="E118" s="349"/>
      <c r="F118" s="349"/>
      <c r="G118" s="350"/>
      <c r="H118" s="145"/>
      <c r="I118" s="145"/>
      <c r="J118" s="145"/>
      <c r="K118" s="145"/>
    </row>
    <row r="121" spans="2:11" ht="20.85" customHeight="1" x14ac:dyDescent="0.45">
      <c r="B121" s="344" t="s">
        <v>1942</v>
      </c>
      <c r="C121" s="351"/>
      <c r="D121" s="351"/>
      <c r="E121" s="351"/>
      <c r="F121" s="351"/>
      <c r="G121" s="351"/>
      <c r="H121" s="351"/>
      <c r="I121" s="355"/>
      <c r="J121" s="347" t="s">
        <v>159</v>
      </c>
      <c r="K121" s="347" t="s">
        <v>160</v>
      </c>
    </row>
    <row r="122" spans="2:11" ht="20.85" customHeight="1" x14ac:dyDescent="0.45">
      <c r="B122" s="352" t="s">
        <v>1943</v>
      </c>
      <c r="C122" s="349"/>
      <c r="D122" s="349"/>
      <c r="E122" s="349"/>
      <c r="F122" s="349"/>
      <c r="G122" s="349"/>
      <c r="H122" s="349"/>
      <c r="I122" s="349"/>
      <c r="J122" s="333">
        <f>BCDTK!K57</f>
        <v>0</v>
      </c>
      <c r="K122" s="361">
        <f>BCDTK!G57</f>
        <v>0</v>
      </c>
    </row>
    <row r="123" spans="2:11" ht="20.85" customHeight="1" x14ac:dyDescent="0.45">
      <c r="B123" s="352" t="s">
        <v>1944</v>
      </c>
      <c r="C123" s="349"/>
      <c r="D123" s="349"/>
      <c r="E123" s="349"/>
      <c r="F123" s="349"/>
      <c r="G123" s="349"/>
      <c r="H123" s="349"/>
      <c r="I123" s="349"/>
      <c r="J123" s="333">
        <f>BCDTK!K58</f>
        <v>0</v>
      </c>
      <c r="K123" s="361">
        <f>BCDTK!G58</f>
        <v>0</v>
      </c>
    </row>
    <row r="124" spans="2:11" ht="20.85" customHeight="1" x14ac:dyDescent="0.45">
      <c r="B124" s="352" t="s">
        <v>63</v>
      </c>
      <c r="C124" s="349"/>
      <c r="D124" s="349"/>
      <c r="E124" s="349"/>
      <c r="F124" s="349"/>
      <c r="G124" s="349"/>
      <c r="H124" s="349"/>
      <c r="I124" s="349"/>
      <c r="J124" s="333">
        <f>BCDTK!K59</f>
        <v>0</v>
      </c>
      <c r="K124" s="361">
        <f>BCDTK!G59</f>
        <v>0</v>
      </c>
    </row>
    <row r="125" spans="2:11" ht="20.85" customHeight="1" x14ac:dyDescent="0.45">
      <c r="B125" s="344" t="s">
        <v>1288</v>
      </c>
      <c r="C125" s="351"/>
      <c r="D125" s="351"/>
      <c r="E125" s="351"/>
      <c r="F125" s="351"/>
      <c r="G125" s="351"/>
      <c r="H125" s="351"/>
      <c r="I125" s="351"/>
      <c r="J125" s="387">
        <f>J122+J123+J124</f>
        <v>0</v>
      </c>
      <c r="K125" s="387">
        <f>K122+K123+K124</f>
        <v>0</v>
      </c>
    </row>
    <row r="126" spans="2:11" ht="20.100000000000001" customHeight="1" x14ac:dyDescent="0.45"/>
    <row r="128" spans="2:11" ht="22.35" customHeight="1" x14ac:dyDescent="0.45">
      <c r="B128" s="344" t="s">
        <v>1945</v>
      </c>
      <c r="C128" s="351"/>
      <c r="D128" s="351"/>
      <c r="E128" s="351"/>
      <c r="F128" s="351"/>
      <c r="G128" s="351"/>
      <c r="H128" s="351"/>
      <c r="I128" s="355"/>
      <c r="J128" s="347" t="s">
        <v>159</v>
      </c>
      <c r="K128" s="347" t="s">
        <v>160</v>
      </c>
    </row>
    <row r="129" spans="2:11" ht="22.35" customHeight="1" x14ac:dyDescent="0.45">
      <c r="B129" s="348" t="s">
        <v>64</v>
      </c>
      <c r="C129" s="349"/>
      <c r="D129" s="349"/>
      <c r="E129" s="349"/>
      <c r="F129" s="349"/>
      <c r="G129" s="349"/>
      <c r="H129" s="349"/>
      <c r="I129" s="349"/>
      <c r="J129" s="379">
        <f>BCDTK!K60</f>
        <v>22550101</v>
      </c>
      <c r="K129" s="379">
        <f>BCDTK!G60</f>
        <v>34900050</v>
      </c>
    </row>
    <row r="130" spans="2:11" ht="22.35" customHeight="1" x14ac:dyDescent="0.45">
      <c r="B130" s="348" t="s">
        <v>1946</v>
      </c>
      <c r="C130" s="349"/>
      <c r="D130" s="349"/>
      <c r="E130" s="349"/>
      <c r="F130" s="349"/>
      <c r="G130" s="349"/>
      <c r="H130" s="349"/>
      <c r="I130" s="349"/>
      <c r="J130" s="379">
        <f>BCDTK!K62</f>
        <v>0</v>
      </c>
      <c r="K130" s="379">
        <f>BCDTK!G62</f>
        <v>0</v>
      </c>
    </row>
    <row r="133" spans="2:11" ht="21.6" customHeight="1" x14ac:dyDescent="0.45">
      <c r="B133" s="344" t="s">
        <v>1947</v>
      </c>
      <c r="C133" s="345"/>
      <c r="D133" s="345"/>
      <c r="E133" s="345"/>
      <c r="F133" s="345"/>
      <c r="G133" s="345"/>
      <c r="H133" s="345"/>
      <c r="I133" s="345"/>
      <c r="J133" s="347" t="s">
        <v>159</v>
      </c>
      <c r="K133" s="347" t="s">
        <v>160</v>
      </c>
    </row>
    <row r="134" spans="2:11" ht="21.6" customHeight="1" x14ac:dyDescent="0.45">
      <c r="B134" s="352" t="s">
        <v>1948</v>
      </c>
      <c r="C134" s="349"/>
      <c r="D134" s="349"/>
      <c r="E134" s="349"/>
      <c r="F134" s="349"/>
      <c r="G134" s="349"/>
      <c r="H134" s="349"/>
      <c r="I134" s="349"/>
      <c r="J134" s="333">
        <f>BCDTK!L61</f>
        <v>0</v>
      </c>
      <c r="K134" s="333">
        <f>BCDTK!H61</f>
        <v>0</v>
      </c>
    </row>
    <row r="135" spans="2:11" ht="21.6" customHeight="1" x14ac:dyDescent="0.45">
      <c r="B135" s="352" t="s">
        <v>1949</v>
      </c>
      <c r="C135" s="349"/>
      <c r="D135" s="349"/>
      <c r="E135" s="349"/>
      <c r="F135" s="349"/>
      <c r="G135" s="349"/>
      <c r="H135" s="349"/>
      <c r="I135" s="349"/>
      <c r="J135" s="333">
        <f>BCDTK!L19</f>
        <v>0</v>
      </c>
      <c r="K135" s="333">
        <f>BCDTK!H19</f>
        <v>0</v>
      </c>
    </row>
    <row r="136" spans="2:11" ht="21.6" customHeight="1" x14ac:dyDescent="0.45">
      <c r="B136" s="352" t="s">
        <v>1950</v>
      </c>
      <c r="C136" s="349"/>
      <c r="D136" s="349"/>
      <c r="E136" s="349"/>
      <c r="F136" s="349"/>
      <c r="G136" s="349"/>
      <c r="H136" s="349"/>
      <c r="I136" s="349"/>
      <c r="J136" s="333"/>
      <c r="K136" s="333"/>
    </row>
    <row r="137" spans="2:11" ht="21.6" customHeight="1" x14ac:dyDescent="0.45">
      <c r="B137" s="352"/>
      <c r="C137" s="358" t="s">
        <v>1951</v>
      </c>
      <c r="D137" s="349"/>
      <c r="E137" s="349"/>
      <c r="F137" s="349"/>
      <c r="G137" s="349"/>
      <c r="H137" s="349"/>
      <c r="I137" s="349"/>
      <c r="J137" s="333">
        <f>BCDTK!L77</f>
        <v>0</v>
      </c>
      <c r="K137" s="333">
        <f>BCDTK!H77</f>
        <v>0</v>
      </c>
    </row>
    <row r="138" spans="2:11" ht="21.6" customHeight="1" x14ac:dyDescent="0.45">
      <c r="B138" s="352"/>
      <c r="C138" s="358" t="s">
        <v>1952</v>
      </c>
      <c r="D138" s="349"/>
      <c r="E138" s="349"/>
      <c r="F138" s="349"/>
      <c r="G138" s="349"/>
      <c r="H138" s="349"/>
      <c r="I138" s="349"/>
      <c r="J138" s="333">
        <f>BCDTK!L80</f>
        <v>0</v>
      </c>
      <c r="K138" s="333">
        <f>BCDTK!H80</f>
        <v>0</v>
      </c>
    </row>
    <row r="139" spans="2:11" ht="21.6" customHeight="1" x14ac:dyDescent="0.45">
      <c r="B139" s="352"/>
      <c r="C139" s="358" t="s">
        <v>1953</v>
      </c>
      <c r="D139" s="349"/>
      <c r="E139" s="349"/>
      <c r="F139" s="349"/>
      <c r="G139" s="349"/>
      <c r="H139" s="349"/>
      <c r="I139" s="349"/>
      <c r="J139" s="333"/>
      <c r="K139" s="333"/>
    </row>
    <row r="140" spans="2:11" ht="21.6" customHeight="1" x14ac:dyDescent="0.45">
      <c r="B140" s="352"/>
      <c r="C140" s="359" t="s">
        <v>1954</v>
      </c>
      <c r="D140" s="349"/>
      <c r="E140" s="349"/>
      <c r="F140" s="349"/>
      <c r="G140" s="349"/>
      <c r="H140" s="349"/>
      <c r="I140" s="349"/>
      <c r="J140" s="333">
        <f>BCDTK!L82</f>
        <v>0</v>
      </c>
      <c r="K140" s="333">
        <f>BCDTK!H82</f>
        <v>0</v>
      </c>
    </row>
    <row r="141" spans="2:11" ht="21.6" customHeight="1" x14ac:dyDescent="0.45">
      <c r="B141" s="352"/>
      <c r="C141" s="359" t="s">
        <v>1955</v>
      </c>
      <c r="D141" s="349"/>
      <c r="E141" s="349"/>
      <c r="F141" s="349"/>
      <c r="G141" s="349"/>
      <c r="H141" s="349"/>
      <c r="I141" s="349"/>
      <c r="J141" s="333">
        <f>BCDTK!L84+BCDTK!L85+BCDTK!L86+BCDTK!L83</f>
        <v>0</v>
      </c>
      <c r="K141" s="333">
        <f>BCDTK!H83+BCDTK!H84+BCDTK!H85+BCDTK!H86</f>
        <v>0</v>
      </c>
    </row>
    <row r="142" spans="2:11" ht="21.6" customHeight="1" x14ac:dyDescent="0.45">
      <c r="B142" s="352"/>
      <c r="C142" s="359" t="s">
        <v>1956</v>
      </c>
      <c r="D142" s="349"/>
      <c r="E142" s="349"/>
      <c r="F142" s="349"/>
      <c r="G142" s="349"/>
      <c r="H142" s="349"/>
      <c r="I142" s="349"/>
      <c r="J142" s="333">
        <f>BCDTK!K89</f>
        <v>0</v>
      </c>
      <c r="K142" s="333">
        <f>BCDTK!H89</f>
        <v>0</v>
      </c>
    </row>
    <row r="143" spans="2:11" ht="21.6" customHeight="1" x14ac:dyDescent="0.45">
      <c r="B143" s="352" t="s">
        <v>1957</v>
      </c>
      <c r="C143" s="359"/>
      <c r="D143" s="349"/>
      <c r="E143" s="349"/>
      <c r="F143" s="349"/>
      <c r="G143" s="349"/>
      <c r="H143" s="349"/>
      <c r="I143" s="349"/>
      <c r="J143" s="333"/>
      <c r="K143" s="333"/>
    </row>
    <row r="146" spans="2:11" s="97" customFormat="1" ht="19.149999999999999" customHeight="1" x14ac:dyDescent="0.45">
      <c r="B146" s="344" t="s">
        <v>1958</v>
      </c>
      <c r="C146" s="345"/>
      <c r="D146" s="345"/>
      <c r="E146" s="345"/>
      <c r="F146" s="345"/>
      <c r="G146" s="345"/>
      <c r="H146" s="347" t="s">
        <v>160</v>
      </c>
      <c r="I146" s="347" t="s">
        <v>1959</v>
      </c>
      <c r="J146" s="347" t="s">
        <v>1960</v>
      </c>
      <c r="K146" s="347" t="s">
        <v>159</v>
      </c>
    </row>
    <row r="147" spans="2:11" ht="20.100000000000001" customHeight="1" x14ac:dyDescent="0.45">
      <c r="B147" s="353" t="s">
        <v>69</v>
      </c>
      <c r="C147" s="349"/>
      <c r="D147" s="349"/>
      <c r="E147" s="349"/>
      <c r="F147" s="349"/>
      <c r="G147" s="350"/>
      <c r="H147" s="333">
        <f>BCDTK!H63</f>
        <v>5015463</v>
      </c>
      <c r="I147" s="333">
        <f>BCDTK!J63</f>
        <v>20006121</v>
      </c>
      <c r="J147" s="333">
        <f>BCDTK!I63</f>
        <v>25021584</v>
      </c>
      <c r="K147" s="333">
        <f>H147+I147-J147</f>
        <v>0</v>
      </c>
    </row>
    <row r="148" spans="2:11" ht="20.100000000000001" customHeight="1" x14ac:dyDescent="0.45">
      <c r="B148" s="353" t="s">
        <v>72</v>
      </c>
      <c r="C148" s="349"/>
      <c r="D148" s="349"/>
      <c r="E148" s="349"/>
      <c r="F148" s="349"/>
      <c r="G148" s="350"/>
      <c r="H148" s="333">
        <f>BCDTK!H66</f>
        <v>0</v>
      </c>
      <c r="I148" s="333">
        <f>BCDTK!J66</f>
        <v>0</v>
      </c>
      <c r="J148" s="333">
        <f>BCDTK!I66</f>
        <v>0</v>
      </c>
      <c r="K148" s="333">
        <f t="shared" ref="K148:K156" si="5">H148+I148-J148</f>
        <v>0</v>
      </c>
    </row>
    <row r="149" spans="2:11" ht="20.100000000000001" customHeight="1" x14ac:dyDescent="0.45">
      <c r="B149" s="353" t="s">
        <v>73</v>
      </c>
      <c r="C149" s="349"/>
      <c r="D149" s="349"/>
      <c r="E149" s="349"/>
      <c r="F149" s="349"/>
      <c r="G149" s="350"/>
      <c r="H149" s="333">
        <f>BCDTK!H67</f>
        <v>0</v>
      </c>
      <c r="I149" s="333">
        <f>BCDTK!J67</f>
        <v>0</v>
      </c>
      <c r="J149" s="333">
        <f>BCDTK!I67</f>
        <v>0</v>
      </c>
      <c r="K149" s="333">
        <f t="shared" si="5"/>
        <v>0</v>
      </c>
    </row>
    <row r="150" spans="2:11" ht="20.100000000000001" customHeight="1" x14ac:dyDescent="0.45">
      <c r="B150" s="353" t="s">
        <v>74</v>
      </c>
      <c r="C150" s="349"/>
      <c r="D150" s="349"/>
      <c r="E150" s="349"/>
      <c r="F150" s="349"/>
      <c r="G150" s="350"/>
      <c r="H150" s="333">
        <f>BCDTK!H68</f>
        <v>0</v>
      </c>
      <c r="I150" s="333">
        <f>BCDTK!J68</f>
        <v>2035545</v>
      </c>
      <c r="J150" s="333">
        <f>BCDTK!I68</f>
        <v>0</v>
      </c>
      <c r="K150" s="333">
        <f t="shared" si="5"/>
        <v>2035545</v>
      </c>
    </row>
    <row r="151" spans="2:11" ht="20.100000000000001" customHeight="1" x14ac:dyDescent="0.45">
      <c r="B151" s="353" t="s">
        <v>75</v>
      </c>
      <c r="C151" s="349"/>
      <c r="D151" s="349"/>
      <c r="E151" s="349"/>
      <c r="F151" s="349"/>
      <c r="G151" s="350"/>
      <c r="H151" s="333">
        <f>BCDTK!H69</f>
        <v>0</v>
      </c>
      <c r="I151" s="333">
        <f>BCDTK!J69</f>
        <v>0</v>
      </c>
      <c r="J151" s="333">
        <f>BCDTK!I69</f>
        <v>0</v>
      </c>
      <c r="K151" s="333">
        <f t="shared" si="5"/>
        <v>0</v>
      </c>
    </row>
    <row r="152" spans="2:11" ht="20.100000000000001" customHeight="1" x14ac:dyDescent="0.45">
      <c r="B152" s="353" t="s">
        <v>76</v>
      </c>
      <c r="C152" s="349"/>
      <c r="D152" s="349"/>
      <c r="E152" s="349"/>
      <c r="F152" s="349"/>
      <c r="G152" s="350"/>
      <c r="H152" s="333">
        <f>BCDTK!H70</f>
        <v>0</v>
      </c>
      <c r="I152" s="333">
        <f>BCDTK!J70</f>
        <v>0</v>
      </c>
      <c r="J152" s="333">
        <f>BCDTK!I70</f>
        <v>0</v>
      </c>
      <c r="K152" s="333">
        <f t="shared" si="5"/>
        <v>0</v>
      </c>
    </row>
    <row r="153" spans="2:11" ht="20.100000000000001" customHeight="1" x14ac:dyDescent="0.45">
      <c r="B153" s="353" t="s">
        <v>77</v>
      </c>
      <c r="C153" s="349"/>
      <c r="D153" s="349"/>
      <c r="E153" s="349"/>
      <c r="F153" s="349"/>
      <c r="G153" s="350"/>
      <c r="H153" s="333">
        <f>BCDTK!H71</f>
        <v>0</v>
      </c>
      <c r="I153" s="333">
        <f>BCDTK!J71</f>
        <v>0</v>
      </c>
      <c r="J153" s="333">
        <f>BCDTK!I71</f>
        <v>0</v>
      </c>
      <c r="K153" s="333">
        <f t="shared" si="5"/>
        <v>0</v>
      </c>
    </row>
    <row r="154" spans="2:11" ht="20.100000000000001" customHeight="1" x14ac:dyDescent="0.45">
      <c r="B154" s="353" t="s">
        <v>79</v>
      </c>
      <c r="C154" s="349"/>
      <c r="D154" s="349"/>
      <c r="E154" s="349"/>
      <c r="F154" s="349"/>
      <c r="G154" s="350"/>
      <c r="H154" s="333">
        <f>BCDTK!H73</f>
        <v>0</v>
      </c>
      <c r="I154" s="333">
        <f>BCDTK!J73</f>
        <v>0</v>
      </c>
      <c r="J154" s="333">
        <f>BCDTK!I73</f>
        <v>0</v>
      </c>
      <c r="K154" s="333">
        <f t="shared" si="5"/>
        <v>0</v>
      </c>
    </row>
    <row r="155" spans="2:11" ht="20.100000000000001" customHeight="1" x14ac:dyDescent="0.45">
      <c r="B155" s="353" t="s">
        <v>80</v>
      </c>
      <c r="C155" s="349"/>
      <c r="D155" s="349"/>
      <c r="E155" s="349"/>
      <c r="F155" s="349"/>
      <c r="G155" s="350"/>
      <c r="H155" s="333">
        <f>BCDTK!H74</f>
        <v>0</v>
      </c>
      <c r="I155" s="333">
        <f>BCDTK!J74</f>
        <v>0</v>
      </c>
      <c r="J155" s="333">
        <f>BCDTK!I74</f>
        <v>0</v>
      </c>
      <c r="K155" s="333">
        <f t="shared" si="5"/>
        <v>0</v>
      </c>
    </row>
    <row r="156" spans="2:11" ht="20.100000000000001" customHeight="1" x14ac:dyDescent="0.45">
      <c r="B156" s="353" t="s">
        <v>81</v>
      </c>
      <c r="C156" s="349"/>
      <c r="D156" s="349"/>
      <c r="E156" s="349"/>
      <c r="F156" s="349"/>
      <c r="G156" s="350"/>
      <c r="H156" s="333">
        <f>BCDTK!H75</f>
        <v>0</v>
      </c>
      <c r="I156" s="333">
        <f>BCDTK!J75</f>
        <v>2000000</v>
      </c>
      <c r="J156" s="333">
        <f>BCDTK!I75</f>
        <v>2000000</v>
      </c>
      <c r="K156" s="333">
        <f t="shared" si="5"/>
        <v>0</v>
      </c>
    </row>
    <row r="157" spans="2:11" ht="20.100000000000001" customHeight="1" x14ac:dyDescent="0.45">
      <c r="B157" s="498" t="s">
        <v>1288</v>
      </c>
      <c r="C157" s="499"/>
      <c r="D157" s="499"/>
      <c r="E157" s="499"/>
      <c r="F157" s="499"/>
      <c r="G157" s="500"/>
      <c r="H157" s="334">
        <f>SUM(H147:H156)</f>
        <v>5015463</v>
      </c>
      <c r="I157" s="334">
        <f>SUM(I147:I156)</f>
        <v>24041666</v>
      </c>
      <c r="J157" s="334">
        <f>SUM(J147:J156)</f>
        <v>27021584</v>
      </c>
      <c r="K157" s="334">
        <f>SUM(K147:K156)</f>
        <v>2035545</v>
      </c>
    </row>
    <row r="158" spans="2:11" x14ac:dyDescent="0.45">
      <c r="B158" s="97"/>
    </row>
    <row r="160" spans="2:11" ht="22.35" customHeight="1" x14ac:dyDescent="0.45">
      <c r="B160" s="344" t="s">
        <v>1961</v>
      </c>
      <c r="C160" s="345"/>
      <c r="D160" s="345"/>
      <c r="E160" s="345"/>
      <c r="F160" s="345"/>
      <c r="G160" s="345"/>
      <c r="H160" s="347" t="s">
        <v>160</v>
      </c>
      <c r="I160" s="347" t="s">
        <v>1962</v>
      </c>
      <c r="J160" s="347" t="s">
        <v>1963</v>
      </c>
      <c r="K160" s="347" t="s">
        <v>159</v>
      </c>
    </row>
    <row r="161" spans="2:11" ht="22.35" customHeight="1" x14ac:dyDescent="0.45">
      <c r="B161" s="352" t="s">
        <v>2040</v>
      </c>
      <c r="C161" s="349"/>
      <c r="D161" s="349"/>
      <c r="E161" s="349"/>
      <c r="F161" s="349"/>
      <c r="G161" s="350"/>
      <c r="H161" s="333">
        <f>BCDTK!H91</f>
        <v>0</v>
      </c>
      <c r="I161" s="333">
        <f>BCDTK!J91</f>
        <v>290000000</v>
      </c>
      <c r="J161" s="333">
        <f>BCDTK!I91</f>
        <v>4027000</v>
      </c>
      <c r="K161" s="333">
        <f>BCDTK!L91</f>
        <v>285973000</v>
      </c>
    </row>
    <row r="162" spans="2:11" ht="22.35" customHeight="1" x14ac:dyDescent="0.45">
      <c r="B162" s="353" t="s">
        <v>1964</v>
      </c>
      <c r="C162" s="349"/>
      <c r="D162" s="349"/>
      <c r="E162" s="349"/>
      <c r="F162" s="349"/>
      <c r="G162" s="350"/>
      <c r="H162" s="333"/>
      <c r="I162" s="333"/>
      <c r="J162" s="333"/>
      <c r="K162" s="333"/>
    </row>
    <row r="163" spans="2:11" ht="22.35" customHeight="1" x14ac:dyDescent="0.45">
      <c r="B163" s="352" t="s">
        <v>2041</v>
      </c>
      <c r="C163" s="349"/>
      <c r="D163" s="349"/>
      <c r="E163" s="349"/>
      <c r="F163" s="349"/>
      <c r="G163" s="350"/>
      <c r="H163" s="333">
        <f>BCDTK!H92</f>
        <v>0</v>
      </c>
      <c r="I163" s="333">
        <f>BCDTK!J92</f>
        <v>0</v>
      </c>
      <c r="J163" s="333">
        <f>BCDTK!J92</f>
        <v>0</v>
      </c>
      <c r="K163" s="333">
        <f>BCDTK!L92</f>
        <v>0</v>
      </c>
    </row>
    <row r="164" spans="2:11" ht="22.35" customHeight="1" x14ac:dyDescent="0.45">
      <c r="B164" s="353" t="s">
        <v>1965</v>
      </c>
      <c r="C164" s="349"/>
      <c r="D164" s="349"/>
      <c r="E164" s="349"/>
      <c r="F164" s="349"/>
      <c r="G164" s="350"/>
      <c r="H164" s="333"/>
      <c r="I164" s="333"/>
      <c r="J164" s="333"/>
      <c r="K164" s="333"/>
    </row>
    <row r="167" spans="2:11" ht="22.35" customHeight="1" x14ac:dyDescent="0.45">
      <c r="B167" s="344" t="s">
        <v>1966</v>
      </c>
      <c r="C167" s="351"/>
      <c r="D167" s="351"/>
      <c r="E167" s="351"/>
      <c r="F167" s="351"/>
      <c r="G167" s="351"/>
      <c r="H167" s="351"/>
      <c r="I167" s="355"/>
      <c r="J167" s="347" t="s">
        <v>159</v>
      </c>
      <c r="K167" s="347" t="s">
        <v>160</v>
      </c>
    </row>
    <row r="168" spans="2:11" ht="22.35" customHeight="1" x14ac:dyDescent="0.45">
      <c r="B168" s="360" t="s">
        <v>1967</v>
      </c>
      <c r="C168" s="349"/>
      <c r="D168" s="349"/>
      <c r="E168" s="349"/>
      <c r="F168" s="349"/>
      <c r="G168" s="349"/>
      <c r="H168" s="349"/>
      <c r="I168" s="349"/>
      <c r="J168" s="333">
        <f>BCDTK!L94</f>
        <v>0</v>
      </c>
      <c r="K168" s="361">
        <f>BCDTK!H94</f>
        <v>0</v>
      </c>
    </row>
    <row r="169" spans="2:11" ht="22.35" customHeight="1" x14ac:dyDescent="0.45">
      <c r="B169" s="360" t="s">
        <v>1968</v>
      </c>
      <c r="C169" s="349"/>
      <c r="D169" s="349"/>
      <c r="E169" s="349"/>
      <c r="F169" s="349"/>
      <c r="G169" s="349"/>
      <c r="H169" s="349"/>
      <c r="I169" s="349"/>
      <c r="J169" s="333">
        <f>BCDTK!L95</f>
        <v>0</v>
      </c>
      <c r="K169" s="361">
        <f>BCDTK!H95</f>
        <v>0</v>
      </c>
    </row>
    <row r="170" spans="2:11" ht="22.35" customHeight="1" x14ac:dyDescent="0.45">
      <c r="B170" s="360" t="s">
        <v>1969</v>
      </c>
      <c r="C170" s="349"/>
      <c r="D170" s="349"/>
      <c r="E170" s="349"/>
      <c r="F170" s="349"/>
      <c r="G170" s="349"/>
      <c r="H170" s="349"/>
      <c r="I170" s="349"/>
      <c r="J170" s="333">
        <f>BCDTK!L96</f>
        <v>0</v>
      </c>
      <c r="K170" s="361">
        <f>BCDTK!H96</f>
        <v>0</v>
      </c>
    </row>
    <row r="171" spans="2:11" ht="22.35" customHeight="1" x14ac:dyDescent="0.45">
      <c r="B171" s="344" t="s">
        <v>1288</v>
      </c>
      <c r="C171" s="351"/>
      <c r="D171" s="351"/>
      <c r="E171" s="351"/>
      <c r="F171" s="351"/>
      <c r="G171" s="351"/>
      <c r="H171" s="351"/>
      <c r="I171" s="351"/>
      <c r="J171" s="334">
        <f>SUM(J168:J170)</f>
        <v>0</v>
      </c>
      <c r="K171" s="334">
        <f>SUM(K168:K170)</f>
        <v>0</v>
      </c>
    </row>
    <row r="174" spans="2:11" ht="18.600000000000001" customHeight="1" x14ac:dyDescent="0.45">
      <c r="B174" s="344" t="s">
        <v>1970</v>
      </c>
      <c r="C174" s="351"/>
      <c r="D174" s="351"/>
      <c r="E174" s="351"/>
      <c r="F174" s="351"/>
      <c r="G174" s="351"/>
      <c r="H174" s="351"/>
      <c r="I174" s="351"/>
      <c r="J174" s="351"/>
      <c r="K174" s="355"/>
    </row>
    <row r="175" spans="2:11" ht="22.35" customHeight="1" x14ac:dyDescent="0.45">
      <c r="B175" s="516" t="s">
        <v>1047</v>
      </c>
      <c r="C175" s="516"/>
      <c r="D175" s="516"/>
      <c r="E175" s="506" t="s">
        <v>1971</v>
      </c>
      <c r="F175" s="507"/>
      <c r="G175" s="507"/>
      <c r="H175" s="507"/>
      <c r="I175" s="507"/>
      <c r="J175" s="508"/>
      <c r="K175" s="509" t="s">
        <v>1977</v>
      </c>
    </row>
    <row r="176" spans="2:11" ht="44.1" customHeight="1" x14ac:dyDescent="0.45">
      <c r="B176" s="516"/>
      <c r="C176" s="516"/>
      <c r="D176" s="516"/>
      <c r="E176" s="332" t="s">
        <v>1972</v>
      </c>
      <c r="F176" s="332" t="s">
        <v>1973</v>
      </c>
      <c r="G176" s="332" t="s">
        <v>1974</v>
      </c>
      <c r="H176" s="332" t="s">
        <v>126</v>
      </c>
      <c r="I176" s="332" t="s">
        <v>1975</v>
      </c>
      <c r="J176" s="332" t="s">
        <v>1976</v>
      </c>
      <c r="K176" s="510"/>
    </row>
    <row r="177" spans="2:11" ht="24.6" customHeight="1" x14ac:dyDescent="0.45">
      <c r="B177" s="511" t="s">
        <v>1932</v>
      </c>
      <c r="C177" s="511"/>
      <c r="D177" s="511"/>
      <c r="E177" s="333">
        <f>BCDTK!H106</f>
        <v>500000000</v>
      </c>
      <c r="F177" s="333">
        <f>BCDTK!H107</f>
        <v>0</v>
      </c>
      <c r="G177" s="333">
        <f>BCDTK!H108</f>
        <v>0</v>
      </c>
      <c r="H177" s="333">
        <f>BCDTK!H111</f>
        <v>0</v>
      </c>
      <c r="I177" s="333">
        <f>BCDTK!H109</f>
        <v>0</v>
      </c>
      <c r="J177" s="333">
        <f>BCDTK!H112+BCDTK!H110-BCDTK!G112</f>
        <v>-7320482</v>
      </c>
      <c r="K177" s="334">
        <f>SUM(E177:J177)</f>
        <v>492679518</v>
      </c>
    </row>
    <row r="178" spans="2:11" ht="24.6" customHeight="1" x14ac:dyDescent="0.45">
      <c r="B178" s="511" t="s">
        <v>1931</v>
      </c>
      <c r="C178" s="511"/>
      <c r="D178" s="511"/>
      <c r="E178" s="333">
        <f>BCDTK!J106</f>
        <v>0</v>
      </c>
      <c r="F178" s="333">
        <f>BCDTK!J107</f>
        <v>0</v>
      </c>
      <c r="G178" s="333">
        <f>BCDTK!J108</f>
        <v>0</v>
      </c>
      <c r="H178" s="333">
        <f>BCDTK!J111</f>
        <v>0</v>
      </c>
      <c r="I178" s="333">
        <f>BCDTK!J109</f>
        <v>0</v>
      </c>
      <c r="J178" s="333">
        <f>BCDTK!J112+BCDTK!J110</f>
        <v>15462661</v>
      </c>
      <c r="K178" s="334">
        <f t="shared" ref="K178:K180" si="6">SUM(E178:J178)</f>
        <v>15462661</v>
      </c>
    </row>
    <row r="179" spans="2:11" ht="24.6" customHeight="1" x14ac:dyDescent="0.45">
      <c r="B179" s="511" t="s">
        <v>1930</v>
      </c>
      <c r="C179" s="511"/>
      <c r="D179" s="511"/>
      <c r="E179" s="333">
        <f>BCDTK!I106</f>
        <v>0</v>
      </c>
      <c r="F179" s="333">
        <f>BCDTK!I107</f>
        <v>0</v>
      </c>
      <c r="G179" s="333">
        <f>BCDTK!I108</f>
        <v>0</v>
      </c>
      <c r="H179" s="333">
        <f>BCDTK!I111</f>
        <v>0</v>
      </c>
      <c r="I179" s="333">
        <f>BCDTK!I109</f>
        <v>0</v>
      </c>
      <c r="J179" s="333">
        <f>BCDTK!I110+BCDTK!I112</f>
        <v>0</v>
      </c>
      <c r="K179" s="334">
        <f t="shared" si="6"/>
        <v>0</v>
      </c>
    </row>
    <row r="180" spans="2:11" ht="24.6" customHeight="1" x14ac:dyDescent="0.45">
      <c r="B180" s="512" t="s">
        <v>1929</v>
      </c>
      <c r="C180" s="512"/>
      <c r="D180" s="512"/>
      <c r="E180" s="334">
        <f>E177+E178-E179</f>
        <v>500000000</v>
      </c>
      <c r="F180" s="334">
        <f t="shared" ref="F180:J180" si="7">F177+F178-F179</f>
        <v>0</v>
      </c>
      <c r="G180" s="334">
        <f t="shared" si="7"/>
        <v>0</v>
      </c>
      <c r="H180" s="334">
        <f t="shared" si="7"/>
        <v>0</v>
      </c>
      <c r="I180" s="334">
        <f t="shared" si="7"/>
        <v>0</v>
      </c>
      <c r="J180" s="334">
        <f t="shared" si="7"/>
        <v>8142179</v>
      </c>
      <c r="K180" s="334">
        <f t="shared" si="6"/>
        <v>508142179</v>
      </c>
    </row>
    <row r="183" spans="2:11" ht="17.100000000000001" customHeight="1" x14ac:dyDescent="0.45">
      <c r="B183" s="344" t="s">
        <v>1978</v>
      </c>
      <c r="C183" s="351"/>
      <c r="D183" s="351"/>
      <c r="E183" s="351"/>
      <c r="F183" s="351"/>
      <c r="G183" s="351"/>
      <c r="H183" s="351"/>
      <c r="I183" s="351"/>
      <c r="J183" s="351"/>
      <c r="K183" s="355"/>
    </row>
    <row r="184" spans="2:11" ht="19.5" customHeight="1" x14ac:dyDescent="0.45">
      <c r="B184" s="516" t="s">
        <v>1979</v>
      </c>
      <c r="C184" s="516"/>
      <c r="D184" s="516"/>
      <c r="E184" s="516"/>
      <c r="F184" s="516"/>
      <c r="G184" s="516"/>
      <c r="H184" s="506" t="s">
        <v>158</v>
      </c>
      <c r="I184" s="507"/>
      <c r="J184" s="507"/>
      <c r="K184" s="508"/>
    </row>
    <row r="185" spans="2:11" ht="18" customHeight="1" x14ac:dyDescent="0.45">
      <c r="B185" s="503" t="s">
        <v>1980</v>
      </c>
      <c r="C185" s="503"/>
      <c r="D185" s="503"/>
      <c r="E185" s="503"/>
      <c r="F185" s="503"/>
      <c r="G185" s="503"/>
      <c r="H185" s="503"/>
      <c r="I185" s="503"/>
      <c r="J185" s="503"/>
      <c r="K185" s="503"/>
    </row>
    <row r="186" spans="2:11" ht="18" customHeight="1" x14ac:dyDescent="0.45">
      <c r="B186" s="503" t="s">
        <v>1981</v>
      </c>
      <c r="C186" s="503"/>
      <c r="D186" s="503"/>
      <c r="E186" s="503"/>
      <c r="F186" s="503"/>
      <c r="G186" s="503"/>
      <c r="H186" s="503"/>
      <c r="I186" s="503"/>
      <c r="J186" s="503"/>
      <c r="K186" s="503"/>
    </row>
    <row r="187" spans="2:11" ht="18" customHeight="1" x14ac:dyDescent="0.45">
      <c r="B187" s="505" t="s">
        <v>1982</v>
      </c>
      <c r="C187" s="503"/>
      <c r="D187" s="503"/>
      <c r="E187" s="503"/>
      <c r="F187" s="503"/>
      <c r="G187" s="503"/>
      <c r="H187" s="503"/>
      <c r="I187" s="503"/>
      <c r="J187" s="503"/>
      <c r="K187" s="503"/>
    </row>
    <row r="188" spans="2:11" ht="18" customHeight="1" x14ac:dyDescent="0.45">
      <c r="B188" s="505" t="s">
        <v>1983</v>
      </c>
      <c r="C188" s="503"/>
      <c r="D188" s="503"/>
      <c r="E188" s="503"/>
      <c r="F188" s="503"/>
      <c r="G188" s="503"/>
      <c r="H188" s="503"/>
      <c r="I188" s="503"/>
      <c r="J188" s="503"/>
      <c r="K188" s="503"/>
    </row>
    <row r="189" spans="2:11" ht="18" customHeight="1" x14ac:dyDescent="0.45">
      <c r="B189" s="503" t="s">
        <v>1984</v>
      </c>
      <c r="C189" s="503"/>
      <c r="D189" s="503"/>
      <c r="E189" s="503"/>
      <c r="F189" s="503"/>
      <c r="G189" s="503"/>
      <c r="H189" s="503"/>
      <c r="I189" s="503"/>
      <c r="J189" s="503"/>
      <c r="K189" s="503"/>
    </row>
    <row r="190" spans="2:11" ht="18" customHeight="1" x14ac:dyDescent="0.45">
      <c r="B190" s="503" t="s">
        <v>1985</v>
      </c>
      <c r="C190" s="503"/>
      <c r="D190" s="503"/>
      <c r="E190" s="503"/>
      <c r="F190" s="503"/>
      <c r="G190" s="503"/>
      <c r="H190" s="503"/>
      <c r="I190" s="503"/>
      <c r="J190" s="503"/>
      <c r="K190" s="503"/>
    </row>
    <row r="191" spans="2:11" ht="31.35" customHeight="1" x14ac:dyDescent="0.45">
      <c r="B191" s="504" t="s">
        <v>1986</v>
      </c>
      <c r="C191" s="504"/>
      <c r="D191" s="504"/>
      <c r="E191" s="504"/>
      <c r="F191" s="504"/>
      <c r="G191" s="504"/>
      <c r="H191" s="503"/>
      <c r="I191" s="503"/>
      <c r="J191" s="503"/>
      <c r="K191" s="503"/>
    </row>
    <row r="194" spans="1:11" ht="18" customHeight="1" x14ac:dyDescent="0.45">
      <c r="B194" s="498" t="s">
        <v>1987</v>
      </c>
      <c r="C194" s="499"/>
      <c r="D194" s="499"/>
      <c r="E194" s="499"/>
      <c r="F194" s="499"/>
      <c r="G194" s="499"/>
      <c r="H194" s="499"/>
      <c r="I194" s="499"/>
      <c r="J194" s="499"/>
      <c r="K194" s="500"/>
    </row>
    <row r="195" spans="1:11" x14ac:dyDescent="0.45">
      <c r="B195" s="362"/>
      <c r="C195" s="363"/>
      <c r="D195" s="363"/>
      <c r="E195" s="363"/>
      <c r="F195" s="363"/>
      <c r="G195" s="363"/>
      <c r="H195" s="363"/>
      <c r="I195" s="363"/>
      <c r="J195" s="363"/>
      <c r="K195" s="364"/>
    </row>
    <row r="196" spans="1:11" x14ac:dyDescent="0.45">
      <c r="B196" s="365"/>
      <c r="K196" s="366"/>
    </row>
    <row r="197" spans="1:11" x14ac:dyDescent="0.45">
      <c r="B197" s="365"/>
      <c r="K197" s="366"/>
    </row>
    <row r="198" spans="1:11" x14ac:dyDescent="0.45">
      <c r="B198" s="365"/>
      <c r="K198" s="366"/>
    </row>
    <row r="199" spans="1:11" x14ac:dyDescent="0.45">
      <c r="B199" s="365"/>
      <c r="K199" s="366"/>
    </row>
    <row r="200" spans="1:11" x14ac:dyDescent="0.45">
      <c r="B200" s="365"/>
      <c r="K200" s="366"/>
    </row>
    <row r="201" spans="1:11" x14ac:dyDescent="0.45">
      <c r="B201" s="365"/>
      <c r="K201" s="366"/>
    </row>
    <row r="202" spans="1:11" x14ac:dyDescent="0.45">
      <c r="B202" s="365"/>
      <c r="K202" s="366"/>
    </row>
    <row r="203" spans="1:11" x14ac:dyDescent="0.45">
      <c r="B203" s="365"/>
      <c r="K203" s="366"/>
    </row>
    <row r="204" spans="1:11" x14ac:dyDescent="0.45">
      <c r="B204" s="367"/>
      <c r="C204" s="368"/>
      <c r="D204" s="368"/>
      <c r="E204" s="368"/>
      <c r="F204" s="368"/>
      <c r="G204" s="368"/>
      <c r="H204" s="368"/>
      <c r="I204" s="368"/>
      <c r="J204" s="368"/>
      <c r="K204" s="369"/>
    </row>
    <row r="207" spans="1:11" x14ac:dyDescent="0.45">
      <c r="A207" s="97" t="s">
        <v>1988</v>
      </c>
      <c r="B207" s="97"/>
    </row>
    <row r="209" spans="2:11" ht="20.45" customHeight="1" x14ac:dyDescent="0.45">
      <c r="B209" s="370" t="s">
        <v>1989</v>
      </c>
      <c r="C209" s="371"/>
      <c r="D209" s="371"/>
      <c r="E209" s="371"/>
      <c r="F209" s="371"/>
      <c r="G209" s="371"/>
      <c r="H209" s="371"/>
      <c r="I209" s="371"/>
      <c r="J209" s="347" t="s">
        <v>336</v>
      </c>
      <c r="K209" s="347" t="s">
        <v>337</v>
      </c>
    </row>
    <row r="210" spans="2:11" ht="20.45" customHeight="1" x14ac:dyDescent="0.45">
      <c r="B210" s="356" t="s">
        <v>1990</v>
      </c>
      <c r="C210" s="349"/>
      <c r="D210" s="349"/>
      <c r="E210" s="349"/>
      <c r="F210" s="349"/>
      <c r="G210" s="349"/>
      <c r="H210" s="349"/>
      <c r="I210" s="350"/>
      <c r="J210" s="333"/>
      <c r="K210" s="333"/>
    </row>
    <row r="211" spans="2:11" ht="20.45" customHeight="1" x14ac:dyDescent="0.45">
      <c r="B211" s="360" t="s">
        <v>1991</v>
      </c>
      <c r="C211" s="349"/>
      <c r="D211" s="349"/>
      <c r="E211" s="349"/>
      <c r="F211" s="349"/>
      <c r="G211" s="349"/>
      <c r="H211" s="349"/>
      <c r="I211" s="350"/>
      <c r="J211" s="333">
        <f>BCDTK!I116</f>
        <v>0</v>
      </c>
      <c r="K211" s="333"/>
    </row>
    <row r="212" spans="2:11" ht="20.45" customHeight="1" x14ac:dyDescent="0.45">
      <c r="B212" s="360" t="s">
        <v>1992</v>
      </c>
      <c r="C212" s="349"/>
      <c r="D212" s="349"/>
      <c r="E212" s="349"/>
      <c r="F212" s="349"/>
      <c r="G212" s="349"/>
      <c r="H212" s="349"/>
      <c r="I212" s="350"/>
      <c r="J212" s="333">
        <f>BCDTK!I117</f>
        <v>0</v>
      </c>
      <c r="K212" s="333"/>
    </row>
    <row r="213" spans="2:11" ht="20.45" customHeight="1" x14ac:dyDescent="0.45">
      <c r="B213" s="360" t="s">
        <v>1993</v>
      </c>
      <c r="C213" s="349"/>
      <c r="D213" s="349"/>
      <c r="E213" s="349"/>
      <c r="F213" s="349"/>
      <c r="G213" s="349"/>
      <c r="H213" s="349"/>
      <c r="I213" s="350"/>
      <c r="J213" s="333">
        <f>BCDTK!I118</f>
        <v>244520964</v>
      </c>
      <c r="K213" s="333"/>
    </row>
    <row r="214" spans="2:11" ht="20.45" customHeight="1" x14ac:dyDescent="0.45">
      <c r="B214" s="360" t="s">
        <v>1994</v>
      </c>
      <c r="C214" s="349"/>
      <c r="D214" s="349"/>
      <c r="E214" s="349"/>
      <c r="F214" s="349"/>
      <c r="G214" s="349"/>
      <c r="H214" s="349"/>
      <c r="I214" s="350"/>
      <c r="J214" s="333">
        <f>BCDTK!I119</f>
        <v>0</v>
      </c>
      <c r="K214" s="333"/>
    </row>
    <row r="215" spans="2:11" ht="20.45" customHeight="1" x14ac:dyDescent="0.45">
      <c r="B215" s="344" t="s">
        <v>1288</v>
      </c>
      <c r="C215" s="351"/>
      <c r="D215" s="351"/>
      <c r="E215" s="351"/>
      <c r="F215" s="351"/>
      <c r="G215" s="351"/>
      <c r="H215" s="351"/>
      <c r="I215" s="355"/>
      <c r="J215" s="334">
        <f>SUM(J210:J214)</f>
        <v>244520964</v>
      </c>
      <c r="K215" s="334">
        <f>SUM(K210:K214)</f>
        <v>0</v>
      </c>
    </row>
    <row r="216" spans="2:11" ht="20.45" customHeight="1" x14ac:dyDescent="0.45">
      <c r="B216" s="356" t="s">
        <v>1995</v>
      </c>
      <c r="C216" s="349"/>
      <c r="D216" s="349"/>
      <c r="E216" s="349"/>
      <c r="F216" s="349"/>
      <c r="G216" s="349"/>
      <c r="H216" s="349"/>
      <c r="I216" s="350"/>
      <c r="J216" s="380"/>
      <c r="K216" s="380"/>
    </row>
    <row r="217" spans="2:11" ht="20.45" customHeight="1" x14ac:dyDescent="0.45">
      <c r="B217" s="360"/>
      <c r="C217" s="349"/>
      <c r="D217" s="349"/>
      <c r="E217" s="349"/>
      <c r="F217" s="349"/>
      <c r="G217" s="349"/>
      <c r="H217" s="349"/>
      <c r="I217" s="350"/>
      <c r="J217" s="380"/>
      <c r="K217" s="380"/>
    </row>
    <row r="218" spans="2:11" ht="20.45" customHeight="1" x14ac:dyDescent="0.45">
      <c r="B218" s="360"/>
      <c r="C218" s="349"/>
      <c r="D218" s="349"/>
      <c r="E218" s="349"/>
      <c r="F218" s="349"/>
      <c r="G218" s="349"/>
      <c r="H218" s="349"/>
      <c r="I218" s="350"/>
      <c r="J218" s="380"/>
      <c r="K218" s="380"/>
    </row>
    <row r="219" spans="2:11" ht="20.45" customHeight="1" x14ac:dyDescent="0.45">
      <c r="B219" s="360"/>
      <c r="C219" s="349"/>
      <c r="D219" s="349"/>
      <c r="E219" s="349"/>
      <c r="F219" s="349"/>
      <c r="G219" s="349"/>
      <c r="H219" s="349"/>
      <c r="I219" s="350"/>
      <c r="J219" s="380"/>
      <c r="K219" s="380"/>
    </row>
    <row r="220" spans="2:11" ht="20.45" customHeight="1" x14ac:dyDescent="0.45">
      <c r="B220" s="388" t="s">
        <v>1288</v>
      </c>
      <c r="C220" s="351"/>
      <c r="D220" s="351"/>
      <c r="E220" s="351"/>
      <c r="F220" s="351"/>
      <c r="G220" s="351"/>
      <c r="H220" s="351"/>
      <c r="I220" s="355"/>
      <c r="J220" s="389">
        <f>SUM(J217:J219)</f>
        <v>0</v>
      </c>
      <c r="K220" s="389">
        <f>SUM(K217:K219)</f>
        <v>0</v>
      </c>
    </row>
    <row r="222" spans="2:11" ht="20.100000000000001" customHeight="1" x14ac:dyDescent="0.45">
      <c r="B222" s="370" t="s">
        <v>339</v>
      </c>
      <c r="C222" s="371"/>
      <c r="D222" s="371"/>
      <c r="E222" s="371"/>
      <c r="F222" s="371"/>
      <c r="G222" s="371"/>
      <c r="H222" s="371"/>
      <c r="I222" s="371"/>
      <c r="J222" s="347" t="s">
        <v>336</v>
      </c>
      <c r="K222" s="347" t="s">
        <v>337</v>
      </c>
    </row>
    <row r="223" spans="2:11" ht="20.100000000000001" customHeight="1" x14ac:dyDescent="0.45">
      <c r="B223" s="360" t="s">
        <v>1996</v>
      </c>
      <c r="C223" s="349"/>
      <c r="D223" s="349"/>
      <c r="E223" s="349"/>
      <c r="F223" s="349"/>
      <c r="G223" s="349"/>
      <c r="H223" s="349"/>
      <c r="I223" s="350"/>
      <c r="J223" s="333"/>
      <c r="K223" s="333"/>
    </row>
    <row r="224" spans="2:11" ht="20.100000000000001" customHeight="1" x14ac:dyDescent="0.45">
      <c r="B224" s="360" t="s">
        <v>1997</v>
      </c>
      <c r="C224" s="349"/>
      <c r="D224" s="349"/>
      <c r="E224" s="349"/>
      <c r="F224" s="349"/>
      <c r="G224" s="349"/>
      <c r="H224" s="349"/>
      <c r="I224" s="350"/>
      <c r="J224" s="333"/>
      <c r="K224" s="333"/>
    </row>
    <row r="225" spans="2:11" ht="20.100000000000001" customHeight="1" x14ac:dyDescent="0.45">
      <c r="B225" s="360" t="s">
        <v>1998</v>
      </c>
      <c r="C225" s="349"/>
      <c r="D225" s="349"/>
      <c r="E225" s="349"/>
      <c r="F225" s="349"/>
      <c r="G225" s="349"/>
      <c r="H225" s="349"/>
      <c r="I225" s="350"/>
      <c r="J225" s="333"/>
      <c r="K225" s="333"/>
    </row>
    <row r="226" spans="2:11" ht="20.100000000000001" customHeight="1" x14ac:dyDescent="0.45">
      <c r="B226" s="344" t="s">
        <v>1288</v>
      </c>
      <c r="C226" s="351"/>
      <c r="D226" s="351"/>
      <c r="E226" s="351"/>
      <c r="F226" s="351"/>
      <c r="G226" s="351"/>
      <c r="H226" s="351"/>
      <c r="I226" s="355"/>
      <c r="J226" s="334">
        <f>SUM(J223:J225)</f>
        <v>0</v>
      </c>
      <c r="K226" s="334">
        <f>SUM(K223:K225)</f>
        <v>0</v>
      </c>
    </row>
    <row r="228" spans="2:11" ht="20.100000000000001" customHeight="1" x14ac:dyDescent="0.45">
      <c r="B228" s="370" t="s">
        <v>1999</v>
      </c>
      <c r="C228" s="371"/>
      <c r="D228" s="371"/>
      <c r="E228" s="371"/>
      <c r="F228" s="371"/>
      <c r="G228" s="371"/>
      <c r="H228" s="371"/>
      <c r="I228" s="371"/>
      <c r="J228" s="347" t="s">
        <v>336</v>
      </c>
      <c r="K228" s="347" t="s">
        <v>337</v>
      </c>
    </row>
    <row r="229" spans="2:11" ht="21.4" customHeight="1" x14ac:dyDescent="0.45">
      <c r="B229" s="360" t="s">
        <v>4357</v>
      </c>
      <c r="C229" s="349"/>
      <c r="D229" s="349"/>
      <c r="E229" s="349"/>
      <c r="F229" s="349"/>
      <c r="G229" s="349"/>
      <c r="H229" s="349"/>
      <c r="I229" s="350"/>
      <c r="J229" s="445">
        <f>BCDTK!I123</f>
        <v>183572894</v>
      </c>
      <c r="K229" s="445"/>
    </row>
    <row r="230" spans="2:11" ht="21.4" customHeight="1" x14ac:dyDescent="0.45">
      <c r="B230" s="360" t="s">
        <v>2000</v>
      </c>
      <c r="C230" s="349"/>
      <c r="D230" s="349"/>
      <c r="E230" s="349"/>
      <c r="F230" s="349"/>
      <c r="G230" s="349"/>
      <c r="H230" s="349"/>
      <c r="I230" s="350"/>
      <c r="J230" s="445"/>
      <c r="K230" s="445"/>
    </row>
    <row r="231" spans="2:11" ht="21.4" customHeight="1" x14ac:dyDescent="0.45">
      <c r="B231" s="360" t="s">
        <v>2001</v>
      </c>
      <c r="C231" s="349"/>
      <c r="D231" s="349"/>
      <c r="E231" s="349"/>
      <c r="F231" s="349"/>
      <c r="G231" s="349"/>
      <c r="H231" s="349"/>
      <c r="I231" s="350"/>
      <c r="J231" s="445"/>
      <c r="K231" s="445"/>
    </row>
    <row r="232" spans="2:11" ht="21.4" customHeight="1" x14ac:dyDescent="0.45">
      <c r="B232" s="360" t="s">
        <v>2002</v>
      </c>
      <c r="C232" s="349"/>
      <c r="D232" s="349"/>
      <c r="E232" s="349"/>
      <c r="F232" s="349"/>
      <c r="G232" s="349"/>
      <c r="H232" s="349"/>
      <c r="I232" s="350"/>
      <c r="J232" s="445"/>
      <c r="K232" s="445"/>
    </row>
    <row r="233" spans="2:11" ht="21.4" customHeight="1" x14ac:dyDescent="0.45">
      <c r="B233" s="344" t="s">
        <v>1288</v>
      </c>
      <c r="C233" s="351"/>
      <c r="D233" s="351"/>
      <c r="E233" s="351"/>
      <c r="F233" s="351"/>
      <c r="G233" s="351"/>
      <c r="H233" s="351"/>
      <c r="I233" s="355"/>
      <c r="J233" s="446">
        <f>SUM(J229:J231)-J232</f>
        <v>183572894</v>
      </c>
      <c r="K233" s="446">
        <f>SUM(K229:K231)-K232</f>
        <v>0</v>
      </c>
    </row>
    <row r="235" spans="2:11" ht="22.35" customHeight="1" x14ac:dyDescent="0.45">
      <c r="B235" s="370" t="s">
        <v>2003</v>
      </c>
      <c r="C235" s="371"/>
      <c r="D235" s="371"/>
      <c r="E235" s="371"/>
      <c r="F235" s="371"/>
      <c r="G235" s="371"/>
      <c r="H235" s="371"/>
      <c r="I235" s="371"/>
      <c r="J235" s="347" t="s">
        <v>336</v>
      </c>
      <c r="K235" s="347" t="s">
        <v>337</v>
      </c>
    </row>
    <row r="236" spans="2:11" ht="22.35" customHeight="1" x14ac:dyDescent="0.45">
      <c r="B236" s="372" t="s">
        <v>2004</v>
      </c>
      <c r="C236" s="349"/>
      <c r="D236" s="349"/>
      <c r="E236" s="349"/>
      <c r="F236" s="349"/>
      <c r="G236" s="349"/>
      <c r="H236" s="349"/>
      <c r="I236" s="350"/>
      <c r="J236" s="333">
        <f>BCDTK!I120</f>
        <v>161</v>
      </c>
      <c r="K236" s="145"/>
    </row>
    <row r="237" spans="2:11" ht="22.35" customHeight="1" x14ac:dyDescent="0.45">
      <c r="B237" s="372" t="s">
        <v>2005</v>
      </c>
      <c r="C237" s="349"/>
      <c r="D237" s="349"/>
      <c r="E237" s="349"/>
      <c r="F237" s="349"/>
      <c r="G237" s="349"/>
      <c r="H237" s="349"/>
      <c r="I237" s="350"/>
      <c r="J237" s="145"/>
      <c r="K237" s="145"/>
    </row>
    <row r="238" spans="2:11" ht="22.35" customHeight="1" x14ac:dyDescent="0.45">
      <c r="B238" s="372" t="s">
        <v>2006</v>
      </c>
      <c r="C238" s="349"/>
      <c r="D238" s="349"/>
      <c r="E238" s="349"/>
      <c r="F238" s="349"/>
      <c r="G238" s="349"/>
      <c r="H238" s="349"/>
      <c r="I238" s="350"/>
      <c r="J238" s="145"/>
      <c r="K238" s="145"/>
    </row>
    <row r="239" spans="2:11" ht="22.35" customHeight="1" x14ac:dyDescent="0.45">
      <c r="B239" s="372" t="s">
        <v>2007</v>
      </c>
      <c r="C239" s="349"/>
      <c r="D239" s="349"/>
      <c r="E239" s="349"/>
      <c r="F239" s="349"/>
      <c r="G239" s="349"/>
      <c r="H239" s="349"/>
      <c r="I239" s="350"/>
      <c r="J239" s="145"/>
      <c r="K239" s="145"/>
    </row>
    <row r="240" spans="2:11" ht="22.35" customHeight="1" x14ac:dyDescent="0.45">
      <c r="B240" s="372" t="s">
        <v>2008</v>
      </c>
      <c r="C240" s="349"/>
      <c r="D240" s="349"/>
      <c r="E240" s="349"/>
      <c r="F240" s="349"/>
      <c r="G240" s="349"/>
      <c r="H240" s="349"/>
      <c r="I240" s="350"/>
      <c r="J240" s="145"/>
      <c r="K240" s="145"/>
    </row>
    <row r="241" spans="2:13" ht="22.35" customHeight="1" x14ac:dyDescent="0.45">
      <c r="B241" s="372" t="s">
        <v>2009</v>
      </c>
      <c r="C241" s="349"/>
      <c r="D241" s="349"/>
      <c r="E241" s="349"/>
      <c r="F241" s="349"/>
      <c r="G241" s="349"/>
      <c r="H241" s="349"/>
      <c r="I241" s="350"/>
      <c r="J241" s="145"/>
      <c r="K241" s="145"/>
    </row>
    <row r="242" spans="2:13" ht="22.35" customHeight="1" x14ac:dyDescent="0.45">
      <c r="B242" s="344" t="s">
        <v>1288</v>
      </c>
      <c r="C242" s="351"/>
      <c r="D242" s="351"/>
      <c r="E242" s="351"/>
      <c r="F242" s="351"/>
      <c r="G242" s="351"/>
      <c r="H242" s="351"/>
      <c r="I242" s="355"/>
      <c r="J242" s="334">
        <f>SUM(J236:J241)</f>
        <v>161</v>
      </c>
      <c r="K242" s="334">
        <f>SUM(K236:K241)</f>
        <v>0</v>
      </c>
      <c r="M242" s="390"/>
    </row>
    <row r="244" spans="2:13" ht="19.149999999999999" customHeight="1" x14ac:dyDescent="0.45">
      <c r="B244" s="370" t="s">
        <v>2010</v>
      </c>
      <c r="C244" s="371"/>
      <c r="D244" s="371"/>
      <c r="E244" s="371"/>
      <c r="F244" s="371"/>
      <c r="G244" s="371"/>
      <c r="H244" s="371"/>
      <c r="I244" s="371"/>
      <c r="J244" s="347" t="s">
        <v>336</v>
      </c>
      <c r="K244" s="347" t="s">
        <v>337</v>
      </c>
    </row>
    <row r="245" spans="2:13" ht="19.149999999999999" customHeight="1" x14ac:dyDescent="0.45">
      <c r="B245" s="372" t="s">
        <v>2011</v>
      </c>
      <c r="C245" s="349"/>
      <c r="D245" s="349"/>
      <c r="E245" s="349"/>
      <c r="F245" s="349"/>
      <c r="G245" s="349"/>
      <c r="H245" s="349"/>
      <c r="I245" s="350"/>
      <c r="J245" s="333">
        <f>BCDTK!I124</f>
        <v>2573376</v>
      </c>
      <c r="K245" s="333"/>
    </row>
    <row r="246" spans="2:13" ht="19.149999999999999" customHeight="1" x14ac:dyDescent="0.45">
      <c r="B246" s="372" t="s">
        <v>2012</v>
      </c>
      <c r="C246" s="349"/>
      <c r="D246" s="349"/>
      <c r="E246" s="349"/>
      <c r="F246" s="349"/>
      <c r="G246" s="349"/>
      <c r="H246" s="349"/>
      <c r="I246" s="350"/>
      <c r="J246" s="333"/>
      <c r="K246" s="333"/>
    </row>
    <row r="247" spans="2:13" ht="19.149999999999999" customHeight="1" x14ac:dyDescent="0.45">
      <c r="B247" s="372" t="s">
        <v>2013</v>
      </c>
      <c r="C247" s="349"/>
      <c r="D247" s="349"/>
      <c r="E247" s="349"/>
      <c r="F247" s="349"/>
      <c r="G247" s="349"/>
      <c r="H247" s="349"/>
      <c r="I247" s="350"/>
      <c r="J247" s="333"/>
      <c r="K247" s="333"/>
    </row>
    <row r="248" spans="2:13" ht="19.149999999999999" customHeight="1" x14ac:dyDescent="0.45">
      <c r="B248" s="372" t="s">
        <v>2014</v>
      </c>
      <c r="C248" s="349"/>
      <c r="D248" s="349"/>
      <c r="E248" s="349"/>
      <c r="F248" s="349"/>
      <c r="G248" s="349"/>
      <c r="H248" s="349"/>
      <c r="I248" s="350"/>
      <c r="J248" s="333"/>
      <c r="K248" s="333"/>
    </row>
    <row r="249" spans="2:13" ht="19.149999999999999" customHeight="1" x14ac:dyDescent="0.45">
      <c r="B249" s="372" t="s">
        <v>2015</v>
      </c>
      <c r="C249" s="349"/>
      <c r="D249" s="349"/>
      <c r="E249" s="349"/>
      <c r="F249" s="349"/>
      <c r="G249" s="349"/>
      <c r="H249" s="349"/>
      <c r="I249" s="350"/>
      <c r="J249" s="333"/>
      <c r="K249" s="333"/>
    </row>
    <row r="250" spans="2:13" ht="19.149999999999999" customHeight="1" x14ac:dyDescent="0.45">
      <c r="B250" s="372" t="s">
        <v>2016</v>
      </c>
      <c r="C250" s="349"/>
      <c r="D250" s="349"/>
      <c r="E250" s="349"/>
      <c r="F250" s="349"/>
      <c r="G250" s="349"/>
      <c r="H250" s="349"/>
      <c r="I250" s="350"/>
      <c r="J250" s="333"/>
      <c r="K250" s="333"/>
    </row>
    <row r="251" spans="2:13" ht="19.149999999999999" customHeight="1" x14ac:dyDescent="0.45">
      <c r="B251" s="372" t="s">
        <v>2017</v>
      </c>
      <c r="C251" s="349"/>
      <c r="D251" s="349"/>
      <c r="E251" s="349"/>
      <c r="F251" s="349"/>
      <c r="G251" s="349"/>
      <c r="H251" s="349"/>
      <c r="I251" s="350"/>
      <c r="J251" s="333"/>
      <c r="K251" s="333"/>
    </row>
    <row r="252" spans="2:13" ht="19.149999999999999" customHeight="1" x14ac:dyDescent="0.45">
      <c r="B252" s="344" t="s">
        <v>1288</v>
      </c>
      <c r="C252" s="351"/>
      <c r="D252" s="351"/>
      <c r="E252" s="351"/>
      <c r="F252" s="351"/>
      <c r="G252" s="351"/>
      <c r="H252" s="351"/>
      <c r="I252" s="355"/>
      <c r="J252" s="334">
        <f>SUM(J245:J250)-J251</f>
        <v>2573376</v>
      </c>
      <c r="K252" s="334">
        <f>SUM(K245:K250)-K251</f>
        <v>0</v>
      </c>
    </row>
    <row r="254" spans="2:13" ht="20.45" customHeight="1" x14ac:dyDescent="0.45">
      <c r="B254" s="370" t="s">
        <v>2023</v>
      </c>
      <c r="C254" s="371"/>
      <c r="D254" s="371"/>
      <c r="E254" s="371"/>
      <c r="F254" s="371"/>
      <c r="G254" s="371"/>
      <c r="H254" s="371"/>
      <c r="I254" s="371"/>
      <c r="J254" s="347" t="s">
        <v>336</v>
      </c>
      <c r="K254" s="347" t="s">
        <v>337</v>
      </c>
    </row>
    <row r="255" spans="2:13" ht="20.45" customHeight="1" x14ac:dyDescent="0.45">
      <c r="B255" s="372" t="s">
        <v>2018</v>
      </c>
      <c r="C255" s="349"/>
      <c r="D255" s="349"/>
      <c r="E255" s="349"/>
      <c r="F255" s="349"/>
      <c r="G255" s="349"/>
      <c r="H255" s="349"/>
      <c r="I255" s="350"/>
      <c r="J255" s="333">
        <f>SUMIFS(BCDTK!$I$9:$I$131,BCDTK!$E$9:$E$131,6422)</f>
        <v>0</v>
      </c>
      <c r="K255" s="333"/>
    </row>
    <row r="256" spans="2:13" ht="20.45" customHeight="1" x14ac:dyDescent="0.45">
      <c r="B256" s="372" t="s">
        <v>2019</v>
      </c>
      <c r="C256" s="349"/>
      <c r="D256" s="349"/>
      <c r="E256" s="349"/>
      <c r="F256" s="349"/>
      <c r="G256" s="349"/>
      <c r="H256" s="349"/>
      <c r="I256" s="350"/>
      <c r="J256" s="333">
        <f>SUMIFS(BCDTK!$I$9:$I$131,BCDTK!$E$9:$E$131,6421)</f>
        <v>46432205</v>
      </c>
      <c r="K256" s="333"/>
    </row>
    <row r="257" spans="2:11" ht="20.45" customHeight="1" x14ac:dyDescent="0.45">
      <c r="B257" s="372" t="s">
        <v>2020</v>
      </c>
      <c r="C257" s="349"/>
      <c r="D257" s="349"/>
      <c r="E257" s="349"/>
      <c r="F257" s="349"/>
      <c r="G257" s="349"/>
      <c r="H257" s="349"/>
      <c r="I257" s="350"/>
      <c r="J257" s="333">
        <f>J258+J259</f>
        <v>0</v>
      </c>
      <c r="K257" s="333">
        <f>K258+K259</f>
        <v>0</v>
      </c>
    </row>
    <row r="258" spans="2:11" ht="20.45" customHeight="1" x14ac:dyDescent="0.45">
      <c r="B258" s="373" t="s">
        <v>2021</v>
      </c>
      <c r="C258" s="349"/>
      <c r="D258" s="349"/>
      <c r="E258" s="349"/>
      <c r="F258" s="349"/>
      <c r="G258" s="349"/>
      <c r="H258" s="349"/>
      <c r="I258" s="350"/>
      <c r="J258" s="333"/>
      <c r="K258" s="333"/>
    </row>
    <row r="259" spans="2:11" ht="20.45" customHeight="1" x14ac:dyDescent="0.45">
      <c r="B259" s="373" t="s">
        <v>2022</v>
      </c>
      <c r="C259" s="349"/>
      <c r="D259" s="349"/>
      <c r="E259" s="349"/>
      <c r="F259" s="349"/>
      <c r="G259" s="349"/>
      <c r="H259" s="349"/>
      <c r="I259" s="350"/>
      <c r="J259" s="333"/>
      <c r="K259" s="333"/>
    </row>
    <row r="260" spans="2:11" ht="20.45" customHeight="1" x14ac:dyDescent="0.45">
      <c r="B260" s="344" t="s">
        <v>1288</v>
      </c>
      <c r="C260" s="351"/>
      <c r="D260" s="351"/>
      <c r="E260" s="351"/>
      <c r="F260" s="351"/>
      <c r="G260" s="351"/>
      <c r="H260" s="351"/>
      <c r="I260" s="355"/>
      <c r="J260" s="334">
        <f>J255+J256+J257</f>
        <v>46432205</v>
      </c>
      <c r="K260" s="334">
        <f>K255+K256+K257</f>
        <v>0</v>
      </c>
    </row>
    <row r="262" spans="2:11" ht="21.6" customHeight="1" x14ac:dyDescent="0.45">
      <c r="B262" s="370" t="s">
        <v>2024</v>
      </c>
      <c r="C262" s="371"/>
      <c r="D262" s="371"/>
      <c r="E262" s="371"/>
      <c r="F262" s="371"/>
      <c r="G262" s="371"/>
      <c r="H262" s="371"/>
      <c r="I262" s="371"/>
      <c r="J262" s="347" t="s">
        <v>336</v>
      </c>
      <c r="K262" s="347" t="s">
        <v>337</v>
      </c>
    </row>
    <row r="263" spans="2:11" ht="21.6" customHeight="1" x14ac:dyDescent="0.45">
      <c r="B263" s="372" t="s">
        <v>2025</v>
      </c>
      <c r="C263" s="349"/>
      <c r="D263" s="349"/>
      <c r="E263" s="349"/>
      <c r="F263" s="349"/>
      <c r="G263" s="349"/>
      <c r="H263" s="349"/>
      <c r="I263" s="350"/>
      <c r="J263" s="333"/>
      <c r="K263" s="333"/>
    </row>
    <row r="264" spans="2:11" ht="21.6" customHeight="1" x14ac:dyDescent="0.45">
      <c r="B264" s="372" t="s">
        <v>2026</v>
      </c>
      <c r="C264" s="349"/>
      <c r="D264" s="349"/>
      <c r="E264" s="349"/>
      <c r="F264" s="349"/>
      <c r="G264" s="349"/>
      <c r="H264" s="349"/>
      <c r="I264" s="350"/>
      <c r="J264" s="333"/>
      <c r="K264" s="333"/>
    </row>
    <row r="265" spans="2:11" ht="21.6" customHeight="1" x14ac:dyDescent="0.45">
      <c r="B265" s="372" t="s">
        <v>2027</v>
      </c>
      <c r="C265" s="349"/>
      <c r="D265" s="349"/>
      <c r="E265" s="349"/>
      <c r="F265" s="349"/>
      <c r="G265" s="349"/>
      <c r="H265" s="349"/>
      <c r="I265" s="350"/>
      <c r="J265" s="333"/>
      <c r="K265" s="333"/>
    </row>
    <row r="266" spans="2:11" ht="21.6" customHeight="1" x14ac:dyDescent="0.45">
      <c r="B266" s="372" t="s">
        <v>2028</v>
      </c>
      <c r="C266" s="349"/>
      <c r="D266" s="349"/>
      <c r="E266" s="349"/>
      <c r="F266" s="349"/>
      <c r="G266" s="349"/>
      <c r="H266" s="349"/>
      <c r="I266" s="350"/>
      <c r="J266" s="333"/>
      <c r="K266" s="333"/>
    </row>
    <row r="267" spans="2:11" ht="21.6" customHeight="1" x14ac:dyDescent="0.45">
      <c r="B267" s="372" t="s">
        <v>2029</v>
      </c>
      <c r="C267" s="349"/>
      <c r="D267" s="349"/>
      <c r="E267" s="349"/>
      <c r="F267" s="349"/>
      <c r="G267" s="349"/>
      <c r="H267" s="349"/>
      <c r="I267" s="350"/>
      <c r="J267" s="333">
        <f>SUMIFS(BCDTK!$I$9:$I$131,BCDTK!$E$9:$E$131,711)</f>
        <v>5555556</v>
      </c>
      <c r="K267" s="333"/>
    </row>
    <row r="268" spans="2:11" ht="21.6" customHeight="1" x14ac:dyDescent="0.45">
      <c r="B268" s="344" t="s">
        <v>1288</v>
      </c>
      <c r="C268" s="351"/>
      <c r="D268" s="351"/>
      <c r="E268" s="351"/>
      <c r="F268" s="351"/>
      <c r="G268" s="351"/>
      <c r="H268" s="351"/>
      <c r="I268" s="355"/>
      <c r="J268" s="334">
        <f>SUM(J263:J267)</f>
        <v>5555556</v>
      </c>
      <c r="K268" s="334">
        <f>SUM(K263:K267)</f>
        <v>0</v>
      </c>
    </row>
    <row r="270" spans="2:11" ht="21.6" customHeight="1" x14ac:dyDescent="0.45">
      <c r="B270" s="370" t="s">
        <v>2030</v>
      </c>
      <c r="C270" s="371"/>
      <c r="D270" s="371"/>
      <c r="E270" s="371"/>
      <c r="F270" s="371"/>
      <c r="G270" s="371"/>
      <c r="H270" s="371"/>
      <c r="I270" s="371"/>
      <c r="J270" s="347" t="s">
        <v>336</v>
      </c>
      <c r="K270" s="347" t="s">
        <v>337</v>
      </c>
    </row>
    <row r="271" spans="2:11" ht="21.6" customHeight="1" x14ac:dyDescent="0.45">
      <c r="B271" s="372" t="s">
        <v>2031</v>
      </c>
      <c r="C271" s="349"/>
      <c r="D271" s="349"/>
      <c r="E271" s="349"/>
      <c r="F271" s="349"/>
      <c r="G271" s="349"/>
      <c r="H271" s="349"/>
      <c r="I271" s="350"/>
      <c r="J271" s="333"/>
      <c r="K271" s="333"/>
    </row>
    <row r="272" spans="2:11" ht="21.6" customHeight="1" x14ac:dyDescent="0.45">
      <c r="B272" s="372" t="s">
        <v>2032</v>
      </c>
      <c r="C272" s="349"/>
      <c r="D272" s="349"/>
      <c r="E272" s="349"/>
      <c r="F272" s="349"/>
      <c r="G272" s="349"/>
      <c r="H272" s="349"/>
      <c r="I272" s="350"/>
      <c r="J272" s="333"/>
      <c r="K272" s="333"/>
    </row>
    <row r="273" spans="1:11" ht="21.6" customHeight="1" x14ac:dyDescent="0.45">
      <c r="B273" s="372" t="s">
        <v>2033</v>
      </c>
      <c r="C273" s="349"/>
      <c r="D273" s="349"/>
      <c r="E273" s="349"/>
      <c r="F273" s="349"/>
      <c r="G273" s="349"/>
      <c r="H273" s="349"/>
      <c r="I273" s="350"/>
      <c r="J273" s="333"/>
      <c r="K273" s="333"/>
    </row>
    <row r="274" spans="1:11" ht="21.6" customHeight="1" x14ac:dyDescent="0.45">
      <c r="B274" s="372" t="s">
        <v>2029</v>
      </c>
      <c r="C274" s="349"/>
      <c r="D274" s="349"/>
      <c r="E274" s="349"/>
      <c r="F274" s="349"/>
      <c r="G274" s="349"/>
      <c r="H274" s="349"/>
      <c r="I274" s="350"/>
      <c r="J274" s="333">
        <f>SUMIFS(BCDTK!$I$9:$I$131,BCDTK!$E$9:$E$131,811)</f>
        <v>7540197</v>
      </c>
      <c r="K274" s="333"/>
    </row>
    <row r="275" spans="1:11" ht="21.6" customHeight="1" x14ac:dyDescent="0.45">
      <c r="B275" s="344" t="s">
        <v>1288</v>
      </c>
      <c r="C275" s="351"/>
      <c r="D275" s="351"/>
      <c r="E275" s="351"/>
      <c r="F275" s="351"/>
      <c r="G275" s="351"/>
      <c r="H275" s="351"/>
      <c r="I275" s="355"/>
      <c r="J275" s="334">
        <f>SUM(J271:J274)</f>
        <v>7540197</v>
      </c>
      <c r="K275" s="334">
        <f>SUM(K271:K274)</f>
        <v>0</v>
      </c>
    </row>
    <row r="277" spans="1:11" ht="21.6" customHeight="1" x14ac:dyDescent="0.45">
      <c r="B277" s="370" t="s">
        <v>2034</v>
      </c>
      <c r="C277" s="371"/>
      <c r="D277" s="371"/>
      <c r="E277" s="371"/>
      <c r="F277" s="371"/>
      <c r="G277" s="371"/>
      <c r="H277" s="371"/>
      <c r="I277" s="371"/>
      <c r="J277" s="347" t="s">
        <v>336</v>
      </c>
      <c r="K277" s="347" t="s">
        <v>337</v>
      </c>
    </row>
    <row r="278" spans="1:11" ht="21.6" customHeight="1" x14ac:dyDescent="0.45">
      <c r="B278" s="372" t="s">
        <v>2035</v>
      </c>
      <c r="C278" s="349"/>
      <c r="D278" s="349"/>
      <c r="E278" s="349"/>
      <c r="F278" s="349"/>
      <c r="G278" s="349"/>
      <c r="H278" s="349"/>
      <c r="I278" s="350"/>
      <c r="J278" s="333">
        <f>SUMIFS(BCDTK!$I$9:$I$131,BCDTK!$E$9:$E$131,821)</f>
        <v>2035545</v>
      </c>
      <c r="K278" s="333"/>
    </row>
    <row r="279" spans="1:11" ht="21.6" customHeight="1" x14ac:dyDescent="0.45">
      <c r="B279" s="372" t="s">
        <v>2036</v>
      </c>
      <c r="C279" s="349"/>
      <c r="D279" s="349"/>
      <c r="E279" s="349"/>
      <c r="F279" s="349"/>
      <c r="G279" s="349"/>
      <c r="H279" s="349"/>
      <c r="I279" s="350"/>
      <c r="J279" s="333"/>
      <c r="K279" s="333"/>
    </row>
    <row r="280" spans="1:11" ht="21.6" customHeight="1" x14ac:dyDescent="0.45">
      <c r="B280" s="391" t="s">
        <v>2042</v>
      </c>
      <c r="C280" s="345"/>
      <c r="D280" s="345"/>
      <c r="E280" s="345"/>
      <c r="F280" s="345"/>
      <c r="G280" s="345"/>
      <c r="H280" s="345"/>
      <c r="I280" s="346"/>
      <c r="J280" s="334">
        <f>J278+J279</f>
        <v>2035545</v>
      </c>
      <c r="K280" s="334"/>
    </row>
    <row r="282" spans="1:11" x14ac:dyDescent="0.45">
      <c r="A282" s="97" t="s">
        <v>2037</v>
      </c>
    </row>
    <row r="284" spans="1:11" x14ac:dyDescent="0.45">
      <c r="B284" s="362"/>
      <c r="C284" s="363"/>
      <c r="D284" s="363"/>
      <c r="E284" s="363"/>
      <c r="F284" s="363"/>
      <c r="G284" s="363"/>
      <c r="H284" s="363"/>
      <c r="I284" s="363"/>
      <c r="J284" s="363"/>
      <c r="K284" s="364"/>
    </row>
    <row r="285" spans="1:11" x14ac:dyDescent="0.45">
      <c r="B285" s="365"/>
      <c r="K285" s="366"/>
    </row>
    <row r="286" spans="1:11" x14ac:dyDescent="0.45">
      <c r="B286" s="365"/>
      <c r="K286" s="366"/>
    </row>
    <row r="287" spans="1:11" x14ac:dyDescent="0.45">
      <c r="B287" s="365"/>
      <c r="K287" s="366"/>
    </row>
    <row r="288" spans="1:11" x14ac:dyDescent="0.45">
      <c r="B288" s="365"/>
      <c r="K288" s="366"/>
    </row>
    <row r="289" spans="1:12" x14ac:dyDescent="0.45">
      <c r="B289" s="365"/>
      <c r="K289" s="366"/>
    </row>
    <row r="290" spans="1:12" x14ac:dyDescent="0.45">
      <c r="B290" s="365"/>
      <c r="K290" s="366"/>
    </row>
    <row r="291" spans="1:12" x14ac:dyDescent="0.45">
      <c r="B291" s="365"/>
      <c r="K291" s="366"/>
    </row>
    <row r="292" spans="1:12" x14ac:dyDescent="0.45">
      <c r="B292" s="365"/>
      <c r="K292" s="366"/>
    </row>
    <row r="293" spans="1:12" x14ac:dyDescent="0.45">
      <c r="B293" s="367"/>
      <c r="C293" s="368"/>
      <c r="D293" s="368"/>
      <c r="E293" s="368"/>
      <c r="F293" s="368"/>
      <c r="G293" s="368"/>
      <c r="H293" s="368"/>
      <c r="I293" s="368"/>
      <c r="J293" s="368"/>
      <c r="K293" s="369"/>
    </row>
    <row r="298" spans="1:12" ht="14.65" thickBot="1" x14ac:dyDescent="0.5">
      <c r="A298" s="501" t="s">
        <v>2038</v>
      </c>
      <c r="B298" s="502"/>
      <c r="C298" s="502"/>
      <c r="D298" s="502"/>
      <c r="E298" s="502"/>
      <c r="F298" s="502"/>
      <c r="G298" s="502"/>
      <c r="H298" s="502"/>
      <c r="I298" s="502"/>
      <c r="J298" s="502"/>
      <c r="K298" s="502"/>
      <c r="L298" s="502"/>
    </row>
    <row r="299" spans="1:12" ht="13.15" thickTop="1" x14ac:dyDescent="0.45"/>
  </sheetData>
  <mergeCells count="28">
    <mergeCell ref="B94:G94"/>
    <mergeCell ref="B110:G110"/>
    <mergeCell ref="B157:G157"/>
    <mergeCell ref="B175:D176"/>
    <mergeCell ref="B184:G184"/>
    <mergeCell ref="H184:K184"/>
    <mergeCell ref="H185:K185"/>
    <mergeCell ref="K175:K176"/>
    <mergeCell ref="B177:D177"/>
    <mergeCell ref="B178:D178"/>
    <mergeCell ref="B179:D179"/>
    <mergeCell ref="B180:D180"/>
    <mergeCell ref="E175:J175"/>
    <mergeCell ref="B185:G185"/>
    <mergeCell ref="B194:K194"/>
    <mergeCell ref="A298:L298"/>
    <mergeCell ref="H186:K186"/>
    <mergeCell ref="H187:K187"/>
    <mergeCell ref="H188:K188"/>
    <mergeCell ref="H189:K189"/>
    <mergeCell ref="H190:K190"/>
    <mergeCell ref="B190:G190"/>
    <mergeCell ref="B191:G191"/>
    <mergeCell ref="B186:G186"/>
    <mergeCell ref="B187:G187"/>
    <mergeCell ref="B188:G188"/>
    <mergeCell ref="B189:G189"/>
    <mergeCell ref="H191:K191"/>
  </mergeCells>
  <dataValidations count="3">
    <dataValidation type="list" allowBlank="1" showInputMessage="1" showErrorMessage="1" sqref="F32" xr:uid="{00000000-0002-0000-0B00-000000000000}">
      <formula1>"Giá đích danh,Bình quân cuối kỳ, Bình quân gia quyền"</formula1>
    </dataValidation>
    <dataValidation type="list" allowBlank="1" showInputMessage="1" showErrorMessage="1" sqref="F33" xr:uid="{00000000-0002-0000-0B00-000001000000}">
      <formula1>"Kê khai thường xuyên,Kiểm kê định kỳ"</formula1>
    </dataValidation>
    <dataValidation type="list" allowBlank="1" showInputMessage="1" showErrorMessage="1" sqref="O1" xr:uid="{00000000-0002-0000-0B00-000002000000}">
      <formula1>"yes,no"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>
    <tabColor theme="5" tint="-0.249977111117893"/>
  </sheetPr>
  <dimension ref="A1:AA181"/>
  <sheetViews>
    <sheetView showGridLines="0" topLeftCell="B1" workbookViewId="0">
      <pane ySplit="1" topLeftCell="A22" activePane="bottomLeft" state="frozen"/>
      <selection pane="bottomLeft" activeCell="AE25" sqref="AE25"/>
    </sheetView>
  </sheetViews>
  <sheetFormatPr defaultRowHeight="14.25" x14ac:dyDescent="0.45"/>
  <cols>
    <col min="2" max="2" width="57.265625" bestFit="1" customWidth="1"/>
    <col min="3" max="3" width="15.1328125" customWidth="1"/>
    <col min="4" max="4" width="11" style="413" bestFit="1" customWidth="1"/>
    <col min="5" max="8" width="0" hidden="1" customWidth="1"/>
    <col min="12" max="12" width="0" hidden="1" customWidth="1"/>
    <col min="13" max="13" width="18.265625" hidden="1" customWidth="1"/>
    <col min="14" max="14" width="17.265625" hidden="1" customWidth="1"/>
    <col min="15" max="16" width="0" hidden="1" customWidth="1"/>
    <col min="17" max="17" width="32.73046875" bestFit="1" customWidth="1"/>
    <col min="18" max="18" width="8.86328125" hidden="1" customWidth="1"/>
    <col min="19" max="19" width="8.86328125" style="414" customWidth="1"/>
    <col min="20" max="20" width="8.86328125" hidden="1" customWidth="1"/>
    <col min="21" max="22" width="13.86328125" hidden="1" customWidth="1"/>
    <col min="23" max="24" width="8.86328125" hidden="1" customWidth="1"/>
    <col min="25" max="25" width="10.86328125" hidden="1" customWidth="1"/>
    <col min="26" max="26" width="10.265625" hidden="1" customWidth="1"/>
    <col min="27" max="27" width="8.86328125" style="413"/>
  </cols>
  <sheetData>
    <row r="1" spans="1:27" x14ac:dyDescent="0.45">
      <c r="A1" s="10" t="s">
        <v>378</v>
      </c>
      <c r="B1" s="10" t="s">
        <v>379</v>
      </c>
      <c r="C1" s="10" t="s">
        <v>380</v>
      </c>
      <c r="D1" s="11" t="s">
        <v>381</v>
      </c>
      <c r="E1" s="10" t="s">
        <v>382</v>
      </c>
      <c r="F1" s="10" t="s">
        <v>383</v>
      </c>
      <c r="G1" s="10" t="s">
        <v>384</v>
      </c>
      <c r="H1" s="10" t="s">
        <v>385</v>
      </c>
      <c r="I1" s="10" t="s">
        <v>386</v>
      </c>
      <c r="J1" s="10" t="s">
        <v>387</v>
      </c>
      <c r="K1" s="10" t="s">
        <v>388</v>
      </c>
      <c r="L1" s="10" t="s">
        <v>389</v>
      </c>
      <c r="M1" s="10" t="s">
        <v>390</v>
      </c>
      <c r="N1" s="10" t="s">
        <v>391</v>
      </c>
      <c r="O1" s="10" t="s">
        <v>392</v>
      </c>
      <c r="P1" s="10" t="s">
        <v>212</v>
      </c>
      <c r="Q1" s="10" t="s">
        <v>393</v>
      </c>
      <c r="R1" s="10" t="s">
        <v>212</v>
      </c>
      <c r="S1" s="11" t="s">
        <v>394</v>
      </c>
      <c r="Y1" s="271" t="s">
        <v>4581</v>
      </c>
      <c r="Z1" s="272">
        <f>V2</f>
        <v>68</v>
      </c>
    </row>
    <row r="2" spans="1:27" x14ac:dyDescent="0.45">
      <c r="A2" s="12" t="s">
        <v>395</v>
      </c>
      <c r="B2" s="12" t="s">
        <v>396</v>
      </c>
      <c r="C2" s="12" t="s">
        <v>397</v>
      </c>
      <c r="D2" s="415" t="s">
        <v>398</v>
      </c>
      <c r="E2" s="12" t="s">
        <v>399</v>
      </c>
      <c r="F2" s="12" t="s">
        <v>400</v>
      </c>
      <c r="G2" s="12">
        <v>0</v>
      </c>
      <c r="H2" s="12"/>
      <c r="I2" s="12" t="s">
        <v>401</v>
      </c>
      <c r="J2" s="12" t="s">
        <v>402</v>
      </c>
      <c r="K2" s="12" t="s">
        <v>403</v>
      </c>
      <c r="L2" s="12" t="s">
        <v>4361</v>
      </c>
      <c r="M2" s="12" t="s">
        <v>404</v>
      </c>
      <c r="N2" s="12" t="s">
        <v>405</v>
      </c>
      <c r="O2" s="12" t="s">
        <v>403</v>
      </c>
      <c r="P2" s="12">
        <v>301</v>
      </c>
      <c r="Q2" s="12" t="s">
        <v>406</v>
      </c>
      <c r="R2" s="12" t="s">
        <v>131</v>
      </c>
      <c r="S2" s="13" t="s">
        <v>407</v>
      </c>
      <c r="T2" t="b">
        <f>ISNUMBER(SEARCH($Y$1,C2))</f>
        <v>0</v>
      </c>
      <c r="U2" t="str">
        <f>IF(T2=TRUE,ROWS($T$2:T2),"")</f>
        <v/>
      </c>
      <c r="V2">
        <f>IFERROR(SMALL($U$2:$U$2000,ROWS($U$2:U2)),"")</f>
        <v>68</v>
      </c>
      <c r="AA2" s="413" t="str">
        <f>P2&amp;R2</f>
        <v>30101</v>
      </c>
    </row>
    <row r="3" spans="1:27" x14ac:dyDescent="0.45">
      <c r="A3" s="12" t="s">
        <v>408</v>
      </c>
      <c r="B3" s="12" t="s">
        <v>409</v>
      </c>
      <c r="C3" s="12" t="s">
        <v>410</v>
      </c>
      <c r="D3" s="415" t="s">
        <v>411</v>
      </c>
      <c r="E3" s="12" t="s">
        <v>412</v>
      </c>
      <c r="F3" s="12" t="s">
        <v>413</v>
      </c>
      <c r="G3" s="12" t="s">
        <v>414</v>
      </c>
      <c r="H3" s="12"/>
      <c r="I3" s="12" t="s">
        <v>415</v>
      </c>
      <c r="J3" s="12" t="s">
        <v>416</v>
      </c>
      <c r="K3" s="12" t="s">
        <v>417</v>
      </c>
      <c r="L3" s="12" t="s">
        <v>418</v>
      </c>
      <c r="M3" s="12" t="s">
        <v>419</v>
      </c>
      <c r="N3" s="12" t="s">
        <v>420</v>
      </c>
      <c r="O3" s="12" t="s">
        <v>417</v>
      </c>
      <c r="P3" s="12">
        <v>101</v>
      </c>
      <c r="Q3" s="12" t="s">
        <v>421</v>
      </c>
      <c r="R3" s="12" t="s">
        <v>131</v>
      </c>
      <c r="S3" s="13" t="s">
        <v>407</v>
      </c>
      <c r="T3" t="b">
        <f t="shared" ref="T3:T63" si="0">ISNUMBER(SEARCH($Y$1,C3))</f>
        <v>0</v>
      </c>
      <c r="U3" t="str">
        <f>IF(T3=TRUE,ROWS($T$2:T3),"")</f>
        <v/>
      </c>
      <c r="V3" t="str">
        <f>IFERROR(SMALL($U$2:$U$2000,ROWS($U$2:U3)),"")</f>
        <v/>
      </c>
      <c r="AA3" s="413" t="str">
        <f t="shared" ref="AA3:AA63" si="1">P3&amp;R3</f>
        <v>10101</v>
      </c>
    </row>
    <row r="4" spans="1:27" x14ac:dyDescent="0.45">
      <c r="A4" s="12" t="s">
        <v>422</v>
      </c>
      <c r="B4" s="12" t="s">
        <v>423</v>
      </c>
      <c r="C4" s="12" t="s">
        <v>424</v>
      </c>
      <c r="D4" s="415" t="s">
        <v>425</v>
      </c>
      <c r="E4" s="12" t="s">
        <v>426</v>
      </c>
      <c r="F4" s="12" t="s">
        <v>413</v>
      </c>
      <c r="G4" s="12" t="s">
        <v>427</v>
      </c>
      <c r="H4" s="12"/>
      <c r="I4" s="12" t="s">
        <v>428</v>
      </c>
      <c r="J4" s="12" t="s">
        <v>429</v>
      </c>
      <c r="K4" s="12" t="s">
        <v>417</v>
      </c>
      <c r="L4" s="12" t="s">
        <v>430</v>
      </c>
      <c r="M4" s="12" t="s">
        <v>431</v>
      </c>
      <c r="N4" s="12" t="s">
        <v>432</v>
      </c>
      <c r="O4" s="12" t="s">
        <v>417</v>
      </c>
      <c r="P4" s="12">
        <v>101</v>
      </c>
      <c r="Q4" s="12" t="s">
        <v>433</v>
      </c>
      <c r="R4" s="12" t="s">
        <v>434</v>
      </c>
      <c r="S4" s="13" t="s">
        <v>407</v>
      </c>
      <c r="T4" t="b">
        <f t="shared" si="0"/>
        <v>0</v>
      </c>
      <c r="U4" t="str">
        <f>IF(T4=TRUE,ROWS($T$2:T4),"")</f>
        <v/>
      </c>
      <c r="V4" t="str">
        <f>IFERROR(SMALL($U$2:$U$2000,ROWS($U$2:U4)),"")</f>
        <v/>
      </c>
      <c r="AA4" s="413" t="str">
        <f t="shared" si="1"/>
        <v>10103</v>
      </c>
    </row>
    <row r="5" spans="1:27" x14ac:dyDescent="0.45">
      <c r="A5" s="12" t="s">
        <v>435</v>
      </c>
      <c r="B5" s="12" t="s">
        <v>436</v>
      </c>
      <c r="C5" s="12" t="s">
        <v>437</v>
      </c>
      <c r="D5" s="415" t="s">
        <v>438</v>
      </c>
      <c r="E5" s="12" t="s">
        <v>439</v>
      </c>
      <c r="F5" s="12" t="s">
        <v>440</v>
      </c>
      <c r="G5" s="12" t="s">
        <v>441</v>
      </c>
      <c r="H5" s="12"/>
      <c r="I5" s="12" t="s">
        <v>442</v>
      </c>
      <c r="J5" s="12" t="s">
        <v>443</v>
      </c>
      <c r="K5" s="12" t="s">
        <v>444</v>
      </c>
      <c r="L5" s="12" t="s">
        <v>445</v>
      </c>
      <c r="M5" s="12" t="s">
        <v>446</v>
      </c>
      <c r="N5" s="12" t="s">
        <v>447</v>
      </c>
      <c r="O5" s="12" t="s">
        <v>417</v>
      </c>
      <c r="P5" s="12">
        <v>101</v>
      </c>
      <c r="Q5" s="12" t="s">
        <v>448</v>
      </c>
      <c r="R5" s="12" t="s">
        <v>449</v>
      </c>
      <c r="S5" s="13" t="s">
        <v>407</v>
      </c>
      <c r="T5" t="b">
        <f t="shared" si="0"/>
        <v>0</v>
      </c>
      <c r="U5" t="str">
        <f>IF(T5=TRUE,ROWS($T$2:T5),"")</f>
        <v/>
      </c>
      <c r="V5" t="str">
        <f>IFERROR(SMALL($U$2:$U$2000,ROWS($U$2:U5)),"")</f>
        <v/>
      </c>
      <c r="AA5" s="413" t="str">
        <f t="shared" si="1"/>
        <v>10105</v>
      </c>
    </row>
    <row r="6" spans="1:27" x14ac:dyDescent="0.45">
      <c r="A6" s="12" t="s">
        <v>450</v>
      </c>
      <c r="B6" s="12" t="s">
        <v>451</v>
      </c>
      <c r="C6" s="12" t="s">
        <v>452</v>
      </c>
      <c r="D6" s="415" t="s">
        <v>453</v>
      </c>
      <c r="E6" s="12" t="s">
        <v>454</v>
      </c>
      <c r="F6" s="12" t="s">
        <v>455</v>
      </c>
      <c r="G6" s="12" t="s">
        <v>456</v>
      </c>
      <c r="H6" s="12"/>
      <c r="I6" s="12" t="s">
        <v>457</v>
      </c>
      <c r="J6" s="12" t="s">
        <v>458</v>
      </c>
      <c r="K6" s="12" t="s">
        <v>444</v>
      </c>
      <c r="L6" s="12" t="s">
        <v>459</v>
      </c>
      <c r="M6" s="12" t="s">
        <v>460</v>
      </c>
      <c r="N6" s="12" t="s">
        <v>461</v>
      </c>
      <c r="O6" s="12" t="s">
        <v>417</v>
      </c>
      <c r="P6" s="12">
        <v>101</v>
      </c>
      <c r="Q6" s="12" t="s">
        <v>462</v>
      </c>
      <c r="R6" s="12" t="s">
        <v>463</v>
      </c>
      <c r="S6" s="13" t="s">
        <v>407</v>
      </c>
      <c r="T6" t="b">
        <f t="shared" si="0"/>
        <v>0</v>
      </c>
      <c r="U6" t="str">
        <f>IF(T6=TRUE,ROWS($T$2:T6),"")</f>
        <v/>
      </c>
      <c r="V6" t="str">
        <f>IFERROR(SMALL($U$2:$U$2000,ROWS($U$2:U6)),"")</f>
        <v/>
      </c>
      <c r="AA6" s="413" t="str">
        <f t="shared" si="1"/>
        <v>10107</v>
      </c>
    </row>
    <row r="7" spans="1:27" x14ac:dyDescent="0.45">
      <c r="A7" s="12" t="s">
        <v>464</v>
      </c>
      <c r="B7" s="12" t="s">
        <v>465</v>
      </c>
      <c r="C7" s="12" t="s">
        <v>466</v>
      </c>
      <c r="D7" s="415" t="s">
        <v>467</v>
      </c>
      <c r="E7" s="12" t="s">
        <v>468</v>
      </c>
      <c r="F7" s="12" t="s">
        <v>413</v>
      </c>
      <c r="G7" s="12">
        <v>0</v>
      </c>
      <c r="H7" s="12"/>
      <c r="I7" s="12" t="s">
        <v>469</v>
      </c>
      <c r="J7" s="12" t="s">
        <v>458</v>
      </c>
      <c r="K7" s="12" t="s">
        <v>444</v>
      </c>
      <c r="L7" s="12" t="s">
        <v>470</v>
      </c>
      <c r="M7" s="12">
        <v>0</v>
      </c>
      <c r="N7" s="12">
        <v>0</v>
      </c>
      <c r="O7" s="12" t="s">
        <v>417</v>
      </c>
      <c r="P7" s="12">
        <v>101</v>
      </c>
      <c r="Q7" s="12" t="s">
        <v>462</v>
      </c>
      <c r="R7" s="12" t="s">
        <v>463</v>
      </c>
      <c r="S7" s="13" t="s">
        <v>407</v>
      </c>
      <c r="T7" t="b">
        <f t="shared" si="0"/>
        <v>0</v>
      </c>
      <c r="U7" t="str">
        <f>IF(T7=TRUE,ROWS($T$2:T7),"")</f>
        <v/>
      </c>
      <c r="V7" t="str">
        <f>IFERROR(SMALL($U$2:$U$2000,ROWS($U$2:U7)),"")</f>
        <v/>
      </c>
      <c r="AA7" s="413" t="str">
        <f t="shared" si="1"/>
        <v>10107</v>
      </c>
    </row>
    <row r="8" spans="1:27" x14ac:dyDescent="0.45">
      <c r="A8" s="12" t="s">
        <v>471</v>
      </c>
      <c r="B8" s="12" t="s">
        <v>472</v>
      </c>
      <c r="C8" s="12" t="s">
        <v>473</v>
      </c>
      <c r="D8" s="415" t="s">
        <v>474</v>
      </c>
      <c r="E8" s="12" t="s">
        <v>475</v>
      </c>
      <c r="F8" s="12" t="s">
        <v>413</v>
      </c>
      <c r="G8" s="12" t="s">
        <v>476</v>
      </c>
      <c r="H8" s="12"/>
      <c r="I8" s="12" t="s">
        <v>477</v>
      </c>
      <c r="J8" s="12" t="s">
        <v>478</v>
      </c>
      <c r="K8" s="12" t="s">
        <v>444</v>
      </c>
      <c r="L8" s="12" t="s">
        <v>479</v>
      </c>
      <c r="M8" s="12" t="s">
        <v>480</v>
      </c>
      <c r="N8" s="12" t="s">
        <v>481</v>
      </c>
      <c r="O8" s="12" t="s">
        <v>417</v>
      </c>
      <c r="P8" s="12">
        <v>101</v>
      </c>
      <c r="Q8" s="12" t="s">
        <v>482</v>
      </c>
      <c r="R8" s="12" t="s">
        <v>483</v>
      </c>
      <c r="S8" s="13" t="s">
        <v>407</v>
      </c>
      <c r="T8" t="b">
        <f t="shared" si="0"/>
        <v>0</v>
      </c>
      <c r="U8" t="str">
        <f>IF(T8=TRUE,ROWS($T$2:T8),"")</f>
        <v/>
      </c>
      <c r="V8" t="str">
        <f>IFERROR(SMALL($U$2:$U$2000,ROWS($U$2:U8)),"")</f>
        <v/>
      </c>
      <c r="AA8" s="413" t="str">
        <f t="shared" si="1"/>
        <v>10109</v>
      </c>
    </row>
    <row r="9" spans="1:27" x14ac:dyDescent="0.45">
      <c r="A9" s="12" t="s">
        <v>484</v>
      </c>
      <c r="B9" s="12" t="s">
        <v>485</v>
      </c>
      <c r="C9" s="12" t="s">
        <v>486</v>
      </c>
      <c r="D9" s="415" t="s">
        <v>487</v>
      </c>
      <c r="E9" s="12" t="s">
        <v>488</v>
      </c>
      <c r="F9" s="12" t="s">
        <v>413</v>
      </c>
      <c r="G9" s="12" t="s">
        <v>489</v>
      </c>
      <c r="H9" s="12"/>
      <c r="I9" s="12" t="s">
        <v>490</v>
      </c>
      <c r="J9" s="12" t="s">
        <v>478</v>
      </c>
      <c r="K9" s="12" t="s">
        <v>444</v>
      </c>
      <c r="L9" s="12" t="s">
        <v>491</v>
      </c>
      <c r="M9" s="12" t="s">
        <v>492</v>
      </c>
      <c r="N9" s="12" t="s">
        <v>493</v>
      </c>
      <c r="O9" s="12" t="s">
        <v>417</v>
      </c>
      <c r="P9" s="12">
        <v>101</v>
      </c>
      <c r="Q9" s="12" t="s">
        <v>482</v>
      </c>
      <c r="R9" s="12" t="s">
        <v>483</v>
      </c>
      <c r="S9" s="13" t="s">
        <v>407</v>
      </c>
      <c r="T9" t="b">
        <f t="shared" si="0"/>
        <v>0</v>
      </c>
      <c r="U9" t="str">
        <f>IF(T9=TRUE,ROWS($T$2:T9),"")</f>
        <v/>
      </c>
      <c r="V9" t="str">
        <f>IFERROR(SMALL($U$2:$U$2000,ROWS($U$2:U9)),"")</f>
        <v/>
      </c>
      <c r="AA9" s="413" t="str">
        <f t="shared" si="1"/>
        <v>10109</v>
      </c>
    </row>
    <row r="10" spans="1:27" x14ac:dyDescent="0.45">
      <c r="A10" s="12" t="s">
        <v>494</v>
      </c>
      <c r="B10" s="12" t="s">
        <v>495</v>
      </c>
      <c r="C10" s="12" t="s">
        <v>496</v>
      </c>
      <c r="D10" s="415" t="s">
        <v>497</v>
      </c>
      <c r="E10" s="12" t="s">
        <v>498</v>
      </c>
      <c r="F10" s="12" t="s">
        <v>413</v>
      </c>
      <c r="G10" s="12" t="s">
        <v>499</v>
      </c>
      <c r="H10" s="12"/>
      <c r="I10" s="12" t="s">
        <v>500</v>
      </c>
      <c r="J10" s="12" t="s">
        <v>478</v>
      </c>
      <c r="K10" s="12" t="s">
        <v>444</v>
      </c>
      <c r="L10" s="12" t="s">
        <v>501</v>
      </c>
      <c r="M10" s="12" t="s">
        <v>502</v>
      </c>
      <c r="N10" s="12" t="s">
        <v>503</v>
      </c>
      <c r="O10" s="12" t="s">
        <v>417</v>
      </c>
      <c r="P10" s="12">
        <v>101</v>
      </c>
      <c r="Q10" s="12" t="s">
        <v>482</v>
      </c>
      <c r="R10" s="12" t="s">
        <v>483</v>
      </c>
      <c r="S10" s="13" t="s">
        <v>407</v>
      </c>
      <c r="T10" t="b">
        <f t="shared" si="0"/>
        <v>0</v>
      </c>
      <c r="U10" t="str">
        <f>IF(T10=TRUE,ROWS($T$2:T10),"")</f>
        <v/>
      </c>
      <c r="V10" t="str">
        <f>IFERROR(SMALL($U$2:$U$2000,ROWS($U$2:U10)),"")</f>
        <v/>
      </c>
      <c r="AA10" s="413" t="str">
        <f t="shared" si="1"/>
        <v>10109</v>
      </c>
    </row>
    <row r="11" spans="1:27" x14ac:dyDescent="0.45">
      <c r="A11" s="12" t="s">
        <v>504</v>
      </c>
      <c r="B11" s="12" t="s">
        <v>505</v>
      </c>
      <c r="C11" s="12" t="s">
        <v>506</v>
      </c>
      <c r="D11" s="415" t="s">
        <v>507</v>
      </c>
      <c r="E11" s="12" t="s">
        <v>508</v>
      </c>
      <c r="F11" s="12" t="s">
        <v>413</v>
      </c>
      <c r="G11" s="12" t="s">
        <v>509</v>
      </c>
      <c r="H11" s="12" t="s">
        <v>510</v>
      </c>
      <c r="I11" s="12" t="s">
        <v>511</v>
      </c>
      <c r="J11" s="12" t="s">
        <v>478</v>
      </c>
      <c r="K11" s="12" t="s">
        <v>444</v>
      </c>
      <c r="L11" s="12" t="s">
        <v>512</v>
      </c>
      <c r="M11" s="12" t="s">
        <v>513</v>
      </c>
      <c r="N11" s="12" t="s">
        <v>514</v>
      </c>
      <c r="O11" s="12" t="s">
        <v>417</v>
      </c>
      <c r="P11" s="12">
        <v>101</v>
      </c>
      <c r="Q11" s="12" t="s">
        <v>482</v>
      </c>
      <c r="R11" s="12" t="s">
        <v>483</v>
      </c>
      <c r="S11" s="13" t="s">
        <v>407</v>
      </c>
      <c r="T11" t="b">
        <f t="shared" si="0"/>
        <v>0</v>
      </c>
      <c r="U11" t="str">
        <f>IF(T11=TRUE,ROWS($T$2:T11),"")</f>
        <v/>
      </c>
      <c r="V11" t="str">
        <f>IFERROR(SMALL($U$2:$U$2000,ROWS($U$2:U11)),"")</f>
        <v/>
      </c>
      <c r="AA11" s="413" t="str">
        <f t="shared" si="1"/>
        <v>10109</v>
      </c>
    </row>
    <row r="12" spans="1:27" x14ac:dyDescent="0.45">
      <c r="A12" s="12" t="s">
        <v>515</v>
      </c>
      <c r="B12" s="12" t="s">
        <v>516</v>
      </c>
      <c r="C12" s="12" t="s">
        <v>517</v>
      </c>
      <c r="D12" s="415" t="s">
        <v>518</v>
      </c>
      <c r="E12" s="12" t="s">
        <v>519</v>
      </c>
      <c r="F12" s="12" t="s">
        <v>413</v>
      </c>
      <c r="G12" s="12" t="s">
        <v>520</v>
      </c>
      <c r="H12" s="12"/>
      <c r="I12" s="12" t="s">
        <v>521</v>
      </c>
      <c r="J12" s="12" t="s">
        <v>478</v>
      </c>
      <c r="K12" s="12" t="s">
        <v>444</v>
      </c>
      <c r="L12" s="12" t="s">
        <v>522</v>
      </c>
      <c r="M12" s="12" t="s">
        <v>523</v>
      </c>
      <c r="N12" s="12" t="s">
        <v>524</v>
      </c>
      <c r="O12" s="12" t="s">
        <v>417</v>
      </c>
      <c r="P12" s="12">
        <v>101</v>
      </c>
      <c r="Q12" s="12" t="s">
        <v>482</v>
      </c>
      <c r="R12" s="12" t="s">
        <v>483</v>
      </c>
      <c r="S12" s="13" t="s">
        <v>407</v>
      </c>
      <c r="T12" t="b">
        <f t="shared" si="0"/>
        <v>0</v>
      </c>
      <c r="U12" t="str">
        <f>IF(T12=TRUE,ROWS($T$2:T12),"")</f>
        <v/>
      </c>
      <c r="V12" t="str">
        <f>IFERROR(SMALL($U$2:$U$2000,ROWS($U$2:U12)),"")</f>
        <v/>
      </c>
      <c r="AA12" s="413" t="str">
        <f t="shared" si="1"/>
        <v>10109</v>
      </c>
    </row>
    <row r="13" spans="1:27" x14ac:dyDescent="0.45">
      <c r="A13" s="12" t="s">
        <v>525</v>
      </c>
      <c r="B13" s="12" t="s">
        <v>526</v>
      </c>
      <c r="C13" s="12" t="s">
        <v>527</v>
      </c>
      <c r="D13" s="415" t="s">
        <v>528</v>
      </c>
      <c r="E13" s="12" t="s">
        <v>529</v>
      </c>
      <c r="F13" s="12" t="s">
        <v>440</v>
      </c>
      <c r="G13" s="12" t="s">
        <v>530</v>
      </c>
      <c r="H13" s="12"/>
      <c r="I13" s="12" t="s">
        <v>531</v>
      </c>
      <c r="J13" s="12" t="s">
        <v>478</v>
      </c>
      <c r="K13" s="12" t="s">
        <v>444</v>
      </c>
      <c r="L13" s="12" t="s">
        <v>532</v>
      </c>
      <c r="M13" s="12" t="s">
        <v>533</v>
      </c>
      <c r="N13" s="12" t="s">
        <v>534</v>
      </c>
      <c r="O13" s="12" t="s">
        <v>417</v>
      </c>
      <c r="P13" s="12">
        <v>101</v>
      </c>
      <c r="Q13" s="12" t="s">
        <v>482</v>
      </c>
      <c r="R13" s="12" t="s">
        <v>483</v>
      </c>
      <c r="S13" s="13" t="s">
        <v>407</v>
      </c>
      <c r="T13" t="b">
        <f t="shared" si="0"/>
        <v>0</v>
      </c>
      <c r="U13" t="str">
        <f>IF(T13=TRUE,ROWS($T$2:T13),"")</f>
        <v/>
      </c>
      <c r="V13" t="str">
        <f>IFERROR(SMALL($U$2:$U$2000,ROWS($U$2:U13)),"")</f>
        <v/>
      </c>
      <c r="AA13" s="413" t="str">
        <f t="shared" si="1"/>
        <v>10109</v>
      </c>
    </row>
    <row r="14" spans="1:27" x14ac:dyDescent="0.45">
      <c r="A14" s="12" t="s">
        <v>535</v>
      </c>
      <c r="B14" s="12" t="s">
        <v>536</v>
      </c>
      <c r="C14" s="12" t="s">
        <v>537</v>
      </c>
      <c r="D14" s="415" t="s">
        <v>538</v>
      </c>
      <c r="E14" s="12" t="s">
        <v>539</v>
      </c>
      <c r="F14" s="12" t="s">
        <v>413</v>
      </c>
      <c r="G14" s="12" t="s">
        <v>540</v>
      </c>
      <c r="H14" s="12"/>
      <c r="I14" s="12" t="s">
        <v>541</v>
      </c>
      <c r="J14" s="12" t="s">
        <v>478</v>
      </c>
      <c r="K14" s="12" t="s">
        <v>444</v>
      </c>
      <c r="L14" s="12" t="s">
        <v>542</v>
      </c>
      <c r="M14" s="12" t="s">
        <v>543</v>
      </c>
      <c r="N14" s="12" t="s">
        <v>544</v>
      </c>
      <c r="O14" s="12" t="s">
        <v>417</v>
      </c>
      <c r="P14" s="12">
        <v>101</v>
      </c>
      <c r="Q14" s="12" t="s">
        <v>482</v>
      </c>
      <c r="R14" s="12" t="s">
        <v>483</v>
      </c>
      <c r="S14" s="13" t="s">
        <v>407</v>
      </c>
      <c r="T14" t="b">
        <f t="shared" si="0"/>
        <v>0</v>
      </c>
      <c r="U14" t="str">
        <f>IF(T14=TRUE,ROWS($T$2:T14),"")</f>
        <v/>
      </c>
      <c r="V14" t="str">
        <f>IFERROR(SMALL($U$2:$U$2000,ROWS($U$2:U14)),"")</f>
        <v/>
      </c>
      <c r="AA14" s="413" t="str">
        <f t="shared" si="1"/>
        <v>10109</v>
      </c>
    </row>
    <row r="15" spans="1:27" x14ac:dyDescent="0.45">
      <c r="A15" s="12" t="s">
        <v>545</v>
      </c>
      <c r="B15" s="12" t="s">
        <v>546</v>
      </c>
      <c r="C15" s="12" t="s">
        <v>547</v>
      </c>
      <c r="D15" s="415" t="s">
        <v>548</v>
      </c>
      <c r="E15" s="12" t="s">
        <v>549</v>
      </c>
      <c r="F15" s="12" t="s">
        <v>413</v>
      </c>
      <c r="G15" s="12" t="s">
        <v>550</v>
      </c>
      <c r="H15" s="12"/>
      <c r="I15" s="12" t="s">
        <v>551</v>
      </c>
      <c r="J15" s="12" t="s">
        <v>552</v>
      </c>
      <c r="K15" s="12" t="s">
        <v>444</v>
      </c>
      <c r="L15" s="12"/>
      <c r="M15" s="12" t="s">
        <v>553</v>
      </c>
      <c r="N15" s="12" t="s">
        <v>554</v>
      </c>
      <c r="O15" s="12" t="s">
        <v>417</v>
      </c>
      <c r="P15" s="12">
        <v>101</v>
      </c>
      <c r="Q15" s="12" t="s">
        <v>555</v>
      </c>
      <c r="R15" s="12" t="s">
        <v>141</v>
      </c>
      <c r="S15" s="13" t="s">
        <v>407</v>
      </c>
      <c r="T15" t="b">
        <f t="shared" si="0"/>
        <v>0</v>
      </c>
      <c r="U15" t="str">
        <f>IF(T15=TRUE,ROWS($T$2:T15),"")</f>
        <v/>
      </c>
      <c r="V15" t="str">
        <f>IFERROR(SMALL($U$2:$U$2000,ROWS($U$2:U15)),"")</f>
        <v/>
      </c>
      <c r="AA15" s="413" t="str">
        <f t="shared" si="1"/>
        <v>10111</v>
      </c>
    </row>
    <row r="16" spans="1:27" x14ac:dyDescent="0.45">
      <c r="A16" s="12" t="s">
        <v>556</v>
      </c>
      <c r="B16" s="12" t="s">
        <v>557</v>
      </c>
      <c r="C16" s="12" t="s">
        <v>558</v>
      </c>
      <c r="D16" s="415" t="s">
        <v>559</v>
      </c>
      <c r="E16" s="12" t="s">
        <v>560</v>
      </c>
      <c r="F16" s="12" t="s">
        <v>413</v>
      </c>
      <c r="G16" s="12" t="s">
        <v>561</v>
      </c>
      <c r="H16" s="12"/>
      <c r="I16" s="12" t="s">
        <v>562</v>
      </c>
      <c r="J16" s="12" t="s">
        <v>552</v>
      </c>
      <c r="K16" s="12" t="s">
        <v>444</v>
      </c>
      <c r="L16" s="12" t="s">
        <v>563</v>
      </c>
      <c r="M16" s="12" t="s">
        <v>564</v>
      </c>
      <c r="N16" s="12" t="s">
        <v>565</v>
      </c>
      <c r="O16" s="12" t="s">
        <v>417</v>
      </c>
      <c r="P16" s="12">
        <v>101</v>
      </c>
      <c r="Q16" s="12" t="s">
        <v>555</v>
      </c>
      <c r="R16" s="12" t="s">
        <v>141</v>
      </c>
      <c r="S16" s="13" t="s">
        <v>407</v>
      </c>
      <c r="T16" t="b">
        <f t="shared" si="0"/>
        <v>0</v>
      </c>
      <c r="U16" t="str">
        <f>IF(T16=TRUE,ROWS($T$2:T16),"")</f>
        <v/>
      </c>
      <c r="V16" t="str">
        <f>IFERROR(SMALL($U$2:$U$2000,ROWS($U$2:U16)),"")</f>
        <v/>
      </c>
      <c r="AA16" s="413" t="str">
        <f t="shared" si="1"/>
        <v>10111</v>
      </c>
    </row>
    <row r="17" spans="1:27" x14ac:dyDescent="0.45">
      <c r="A17" s="12" t="s">
        <v>566</v>
      </c>
      <c r="B17" s="12" t="s">
        <v>567</v>
      </c>
      <c r="C17" s="12" t="s">
        <v>568</v>
      </c>
      <c r="D17" s="415" t="s">
        <v>569</v>
      </c>
      <c r="E17" s="12" t="s">
        <v>570</v>
      </c>
      <c r="F17" s="12" t="s">
        <v>413</v>
      </c>
      <c r="G17" s="12" t="s">
        <v>571</v>
      </c>
      <c r="H17" s="12"/>
      <c r="I17" s="12" t="s">
        <v>572</v>
      </c>
      <c r="J17" s="12" t="s">
        <v>552</v>
      </c>
      <c r="K17" s="12" t="s">
        <v>444</v>
      </c>
      <c r="L17" s="12" t="s">
        <v>573</v>
      </c>
      <c r="M17" s="12" t="s">
        <v>574</v>
      </c>
      <c r="N17" s="12" t="s">
        <v>575</v>
      </c>
      <c r="O17" s="12" t="s">
        <v>417</v>
      </c>
      <c r="P17" s="12">
        <v>101</v>
      </c>
      <c r="Q17" s="12" t="s">
        <v>555</v>
      </c>
      <c r="R17" s="12" t="s">
        <v>141</v>
      </c>
      <c r="S17" s="13" t="s">
        <v>407</v>
      </c>
      <c r="T17" t="b">
        <f t="shared" si="0"/>
        <v>0</v>
      </c>
      <c r="U17" t="str">
        <f>IF(T17=TRUE,ROWS($T$2:T17),"")</f>
        <v/>
      </c>
      <c r="V17" t="str">
        <f>IFERROR(SMALL($U$2:$U$2000,ROWS($U$2:U17)),"")</f>
        <v/>
      </c>
      <c r="AA17" s="413" t="str">
        <f t="shared" si="1"/>
        <v>10111</v>
      </c>
    </row>
    <row r="18" spans="1:27" x14ac:dyDescent="0.45">
      <c r="A18" s="12" t="s">
        <v>576</v>
      </c>
      <c r="B18" s="12" t="s">
        <v>577</v>
      </c>
      <c r="C18" s="12" t="s">
        <v>578</v>
      </c>
      <c r="D18" s="415" t="s">
        <v>579</v>
      </c>
      <c r="E18" s="12" t="s">
        <v>580</v>
      </c>
      <c r="F18" s="12" t="s">
        <v>581</v>
      </c>
      <c r="G18" s="12" t="s">
        <v>582</v>
      </c>
      <c r="H18" s="12"/>
      <c r="I18" s="12" t="s">
        <v>583</v>
      </c>
      <c r="J18" s="12" t="s">
        <v>552</v>
      </c>
      <c r="K18" s="12" t="s">
        <v>444</v>
      </c>
      <c r="L18" s="12" t="s">
        <v>584</v>
      </c>
      <c r="M18" s="12" t="s">
        <v>585</v>
      </c>
      <c r="N18" s="12" t="s">
        <v>586</v>
      </c>
      <c r="O18" s="12" t="s">
        <v>417</v>
      </c>
      <c r="P18" s="12">
        <v>101</v>
      </c>
      <c r="Q18" s="12" t="s">
        <v>555</v>
      </c>
      <c r="R18" s="12" t="s">
        <v>141</v>
      </c>
      <c r="S18" s="13" t="s">
        <v>407</v>
      </c>
      <c r="T18" t="b">
        <f t="shared" si="0"/>
        <v>0</v>
      </c>
      <c r="U18" t="str">
        <f>IF(T18=TRUE,ROWS($T$2:T18),"")</f>
        <v/>
      </c>
      <c r="V18" t="str">
        <f>IFERROR(SMALL($U$2:$U$2000,ROWS($U$2:U18)),"")</f>
        <v/>
      </c>
      <c r="AA18" s="413" t="str">
        <f t="shared" si="1"/>
        <v>10111</v>
      </c>
    </row>
    <row r="19" spans="1:27" x14ac:dyDescent="0.45">
      <c r="A19" s="12" t="s">
        <v>587</v>
      </c>
      <c r="B19" s="12" t="s">
        <v>588</v>
      </c>
      <c r="C19" s="12" t="s">
        <v>589</v>
      </c>
      <c r="D19" s="415" t="s">
        <v>590</v>
      </c>
      <c r="E19" s="12" t="s">
        <v>591</v>
      </c>
      <c r="F19" s="12" t="s">
        <v>413</v>
      </c>
      <c r="G19" s="12" t="s">
        <v>592</v>
      </c>
      <c r="H19" s="12"/>
      <c r="I19" s="12" t="s">
        <v>593</v>
      </c>
      <c r="J19" s="12" t="s">
        <v>552</v>
      </c>
      <c r="K19" s="12" t="s">
        <v>444</v>
      </c>
      <c r="L19" s="12" t="s">
        <v>594</v>
      </c>
      <c r="M19" s="12" t="s">
        <v>595</v>
      </c>
      <c r="N19" s="12" t="s">
        <v>596</v>
      </c>
      <c r="O19" s="12" t="s">
        <v>417</v>
      </c>
      <c r="P19" s="12">
        <v>101</v>
      </c>
      <c r="Q19" s="12" t="s">
        <v>555</v>
      </c>
      <c r="R19" s="12" t="s">
        <v>141</v>
      </c>
      <c r="S19" s="13" t="s">
        <v>407</v>
      </c>
      <c r="T19" t="b">
        <f t="shared" si="0"/>
        <v>0</v>
      </c>
      <c r="U19" t="str">
        <f>IF(T19=TRUE,ROWS($T$2:T19),"")</f>
        <v/>
      </c>
      <c r="V19" t="str">
        <f>IFERROR(SMALL($U$2:$U$2000,ROWS($U$2:U19)),"")</f>
        <v/>
      </c>
      <c r="AA19" s="413" t="str">
        <f t="shared" si="1"/>
        <v>10111</v>
      </c>
    </row>
    <row r="20" spans="1:27" x14ac:dyDescent="0.45">
      <c r="A20" s="12" t="s">
        <v>597</v>
      </c>
      <c r="B20" s="12" t="s">
        <v>598</v>
      </c>
      <c r="C20" s="12" t="s">
        <v>599</v>
      </c>
      <c r="D20" s="415" t="s">
        <v>600</v>
      </c>
      <c r="E20" s="12" t="s">
        <v>601</v>
      </c>
      <c r="F20" s="12" t="s">
        <v>602</v>
      </c>
      <c r="G20" s="12" t="s">
        <v>603</v>
      </c>
      <c r="H20" s="12"/>
      <c r="I20" s="12" t="s">
        <v>604</v>
      </c>
      <c r="J20" s="12" t="s">
        <v>605</v>
      </c>
      <c r="K20" s="12" t="s">
        <v>444</v>
      </c>
      <c r="L20" s="12" t="s">
        <v>606</v>
      </c>
      <c r="M20" s="12" t="s">
        <v>607</v>
      </c>
      <c r="N20" s="12" t="s">
        <v>608</v>
      </c>
      <c r="O20" s="12" t="s">
        <v>417</v>
      </c>
      <c r="P20" s="12">
        <v>101</v>
      </c>
      <c r="Q20" s="12" t="s">
        <v>609</v>
      </c>
      <c r="R20" s="12" t="s">
        <v>610</v>
      </c>
      <c r="S20" s="13" t="s">
        <v>407</v>
      </c>
      <c r="T20" t="b">
        <f t="shared" si="0"/>
        <v>0</v>
      </c>
      <c r="U20" t="str">
        <f>IF(T20=TRUE,ROWS($T$2:T20),"")</f>
        <v/>
      </c>
      <c r="V20" t="str">
        <f>IFERROR(SMALL($U$2:$U$2000,ROWS($U$2:U20)),"")</f>
        <v/>
      </c>
      <c r="AA20" s="413" t="str">
        <f t="shared" si="1"/>
        <v>10113</v>
      </c>
    </row>
    <row r="21" spans="1:27" x14ac:dyDescent="0.45">
      <c r="A21" s="12" t="s">
        <v>611</v>
      </c>
      <c r="B21" s="12" t="s">
        <v>612</v>
      </c>
      <c r="C21" s="12" t="s">
        <v>613</v>
      </c>
      <c r="D21" s="415" t="s">
        <v>614</v>
      </c>
      <c r="E21" s="12" t="s">
        <v>615</v>
      </c>
      <c r="F21" s="12" t="s">
        <v>413</v>
      </c>
      <c r="G21" s="12">
        <v>0</v>
      </c>
      <c r="H21" s="12"/>
      <c r="I21" s="12" t="s">
        <v>616</v>
      </c>
      <c r="J21" s="12" t="s">
        <v>605</v>
      </c>
      <c r="K21" s="12" t="s">
        <v>444</v>
      </c>
      <c r="L21" s="12" t="s">
        <v>617</v>
      </c>
      <c r="M21" s="12">
        <v>0</v>
      </c>
      <c r="N21" s="12">
        <v>0</v>
      </c>
      <c r="O21" s="12" t="s">
        <v>417</v>
      </c>
      <c r="P21" s="12">
        <v>101</v>
      </c>
      <c r="Q21" s="12" t="s">
        <v>609</v>
      </c>
      <c r="R21" s="12" t="s">
        <v>610</v>
      </c>
      <c r="S21" s="13" t="s">
        <v>1801</v>
      </c>
      <c r="T21" t="b">
        <f t="shared" si="0"/>
        <v>0</v>
      </c>
      <c r="U21" t="str">
        <f>IF(T21=TRUE,ROWS($T$2:T21),"")</f>
        <v/>
      </c>
      <c r="V21" t="str">
        <f>IFERROR(SMALL($U$2:$U$2000,ROWS($U$2:U21)),"")</f>
        <v/>
      </c>
      <c r="AA21" s="413" t="str">
        <f t="shared" si="1"/>
        <v>10113</v>
      </c>
    </row>
    <row r="22" spans="1:27" x14ac:dyDescent="0.45">
      <c r="A22" s="12" t="s">
        <v>618</v>
      </c>
      <c r="B22" s="12" t="s">
        <v>619</v>
      </c>
      <c r="C22" s="12" t="s">
        <v>620</v>
      </c>
      <c r="D22" s="415" t="s">
        <v>621</v>
      </c>
      <c r="E22" s="12" t="s">
        <v>622</v>
      </c>
      <c r="F22" s="12" t="s">
        <v>413</v>
      </c>
      <c r="G22" s="12" t="s">
        <v>623</v>
      </c>
      <c r="H22" s="12"/>
      <c r="I22" s="12" t="s">
        <v>624</v>
      </c>
      <c r="J22" s="12" t="s">
        <v>625</v>
      </c>
      <c r="K22" s="12" t="s">
        <v>444</v>
      </c>
      <c r="L22" s="12" t="s">
        <v>626</v>
      </c>
      <c r="M22" s="12" t="s">
        <v>627</v>
      </c>
      <c r="N22" s="12" t="s">
        <v>628</v>
      </c>
      <c r="O22" s="12" t="s">
        <v>417</v>
      </c>
      <c r="P22" s="12">
        <v>101</v>
      </c>
      <c r="Q22" s="12" t="s">
        <v>609</v>
      </c>
      <c r="R22" s="12" t="s">
        <v>610</v>
      </c>
      <c r="S22" s="13" t="s">
        <v>407</v>
      </c>
      <c r="T22" t="b">
        <f t="shared" si="0"/>
        <v>0</v>
      </c>
      <c r="U22" t="str">
        <f>IF(T22=TRUE,ROWS($T$2:T22),"")</f>
        <v/>
      </c>
      <c r="V22" t="str">
        <f>IFERROR(SMALL($U$2:$U$2000,ROWS($U$2:U22)),"")</f>
        <v/>
      </c>
      <c r="AA22" s="413" t="str">
        <f t="shared" si="1"/>
        <v>10113</v>
      </c>
    </row>
    <row r="23" spans="1:27" x14ac:dyDescent="0.45">
      <c r="A23" s="12" t="s">
        <v>629</v>
      </c>
      <c r="B23" s="12" t="s">
        <v>630</v>
      </c>
      <c r="C23" s="12" t="s">
        <v>631</v>
      </c>
      <c r="D23" s="415" t="s">
        <v>632</v>
      </c>
      <c r="E23" s="12" t="s">
        <v>633</v>
      </c>
      <c r="F23" s="12" t="s">
        <v>413</v>
      </c>
      <c r="G23" s="12" t="s">
        <v>634</v>
      </c>
      <c r="H23" s="12"/>
      <c r="I23" s="12" t="s">
        <v>635</v>
      </c>
      <c r="J23" s="12" t="s">
        <v>636</v>
      </c>
      <c r="K23" s="12" t="s">
        <v>444</v>
      </c>
      <c r="L23" s="12" t="s">
        <v>637</v>
      </c>
      <c r="M23" s="12" t="s">
        <v>638</v>
      </c>
      <c r="N23" s="12" t="s">
        <v>639</v>
      </c>
      <c r="O23" s="12" t="s">
        <v>417</v>
      </c>
      <c r="P23" s="12">
        <v>101</v>
      </c>
      <c r="Q23" s="12" t="s">
        <v>640</v>
      </c>
      <c r="R23" s="12" t="s">
        <v>641</v>
      </c>
      <c r="S23" s="13" t="s">
        <v>407</v>
      </c>
      <c r="T23" t="b">
        <f t="shared" si="0"/>
        <v>0</v>
      </c>
      <c r="U23" t="str">
        <f>IF(T23=TRUE,ROWS($T$2:T23),"")</f>
        <v/>
      </c>
      <c r="V23" t="str">
        <f>IFERROR(SMALL($U$2:$U$2000,ROWS($U$2:U23)),"")</f>
        <v/>
      </c>
      <c r="AA23" s="413" t="str">
        <f t="shared" si="1"/>
        <v>10155</v>
      </c>
    </row>
    <row r="24" spans="1:27" x14ac:dyDescent="0.45">
      <c r="A24" s="12" t="s">
        <v>642</v>
      </c>
      <c r="B24" s="12" t="s">
        <v>643</v>
      </c>
      <c r="C24" s="12" t="s">
        <v>644</v>
      </c>
      <c r="D24" s="415" t="s">
        <v>645</v>
      </c>
      <c r="E24" s="12" t="s">
        <v>646</v>
      </c>
      <c r="F24" s="12" t="s">
        <v>413</v>
      </c>
      <c r="G24" s="12" t="s">
        <v>647</v>
      </c>
      <c r="H24" s="12"/>
      <c r="I24" s="12" t="s">
        <v>648</v>
      </c>
      <c r="J24" s="12" t="s">
        <v>649</v>
      </c>
      <c r="K24" s="12" t="s">
        <v>444</v>
      </c>
      <c r="L24" s="12" t="s">
        <v>650</v>
      </c>
      <c r="M24" s="12" t="s">
        <v>651</v>
      </c>
      <c r="N24" s="12" t="s">
        <v>652</v>
      </c>
      <c r="O24" s="12" t="s">
        <v>417</v>
      </c>
      <c r="P24" s="12">
        <v>101</v>
      </c>
      <c r="Q24" s="12" t="s">
        <v>653</v>
      </c>
      <c r="R24" s="12" t="s">
        <v>654</v>
      </c>
      <c r="S24" s="13" t="s">
        <v>407</v>
      </c>
      <c r="T24" t="b">
        <f t="shared" si="0"/>
        <v>0</v>
      </c>
      <c r="U24" t="str">
        <f>IF(T24=TRUE,ROWS($T$2:T24),"")</f>
        <v/>
      </c>
      <c r="V24" t="str">
        <f>IFERROR(SMALL($U$2:$U$2000,ROWS($U$2:U24)),"")</f>
        <v/>
      </c>
      <c r="AA24" s="413" t="str">
        <f t="shared" si="1"/>
        <v>10123</v>
      </c>
    </row>
    <row r="25" spans="1:27" x14ac:dyDescent="0.45">
      <c r="A25" s="12" t="s">
        <v>655</v>
      </c>
      <c r="B25" s="12" t="s">
        <v>656</v>
      </c>
      <c r="C25" s="12" t="s">
        <v>657</v>
      </c>
      <c r="D25" s="415" t="s">
        <v>658</v>
      </c>
      <c r="E25" s="12" t="s">
        <v>659</v>
      </c>
      <c r="F25" s="12" t="s">
        <v>413</v>
      </c>
      <c r="G25" s="12">
        <v>0</v>
      </c>
      <c r="H25" s="12"/>
      <c r="I25" s="12" t="s">
        <v>660</v>
      </c>
      <c r="J25" s="12" t="s">
        <v>649</v>
      </c>
      <c r="K25" s="12" t="s">
        <v>444</v>
      </c>
      <c r="L25" s="12" t="s">
        <v>661</v>
      </c>
      <c r="M25" s="12" t="s">
        <v>662</v>
      </c>
      <c r="N25" s="12" t="s">
        <v>663</v>
      </c>
      <c r="O25" s="12" t="s">
        <v>417</v>
      </c>
      <c r="P25" s="12">
        <v>101</v>
      </c>
      <c r="Q25" s="12" t="s">
        <v>653</v>
      </c>
      <c r="R25" s="12" t="s">
        <v>654</v>
      </c>
      <c r="S25" s="13" t="s">
        <v>407</v>
      </c>
      <c r="T25" t="b">
        <f t="shared" si="0"/>
        <v>0</v>
      </c>
      <c r="U25" t="str">
        <f>IF(T25=TRUE,ROWS($T$2:T25),"")</f>
        <v/>
      </c>
      <c r="V25" t="str">
        <f>IFERROR(SMALL($U$2:$U$2000,ROWS($U$2:U25)),"")</f>
        <v/>
      </c>
      <c r="AA25" s="413" t="str">
        <f t="shared" si="1"/>
        <v>10123</v>
      </c>
    </row>
    <row r="26" spans="1:27" x14ac:dyDescent="0.45">
      <c r="A26" s="12" t="s">
        <v>664</v>
      </c>
      <c r="B26" s="12" t="s">
        <v>4363</v>
      </c>
      <c r="C26" s="12" t="s">
        <v>665</v>
      </c>
      <c r="D26" s="415" t="s">
        <v>666</v>
      </c>
      <c r="E26" s="12" t="s">
        <v>667</v>
      </c>
      <c r="F26" s="12" t="s">
        <v>413</v>
      </c>
      <c r="G26" s="12" t="s">
        <v>668</v>
      </c>
      <c r="H26" s="12"/>
      <c r="I26" s="12" t="s">
        <v>669</v>
      </c>
      <c r="J26" s="12" t="s">
        <v>670</v>
      </c>
      <c r="K26" s="12" t="s">
        <v>444</v>
      </c>
      <c r="L26" s="12" t="s">
        <v>671</v>
      </c>
      <c r="M26" s="12" t="s">
        <v>672</v>
      </c>
      <c r="N26" s="12" t="s">
        <v>673</v>
      </c>
      <c r="O26" s="12" t="s">
        <v>417</v>
      </c>
      <c r="P26" s="12">
        <v>101</v>
      </c>
      <c r="Q26" s="12" t="s">
        <v>674</v>
      </c>
      <c r="R26" s="12" t="s">
        <v>675</v>
      </c>
      <c r="S26" s="13" t="s">
        <v>407</v>
      </c>
      <c r="T26" t="b">
        <f t="shared" si="0"/>
        <v>0</v>
      </c>
      <c r="U26" t="str">
        <f>IF(T26=TRUE,ROWS($T$2:T26),"")</f>
        <v/>
      </c>
      <c r="V26" t="str">
        <f>IFERROR(SMALL($U$2:$U$2000,ROWS($U$2:U26)),"")</f>
        <v/>
      </c>
      <c r="AA26" s="413" t="s">
        <v>2766</v>
      </c>
    </row>
    <row r="27" spans="1:27" x14ac:dyDescent="0.45">
      <c r="A27" s="12" t="s">
        <v>676</v>
      </c>
      <c r="B27" s="12" t="s">
        <v>677</v>
      </c>
      <c r="C27" s="12" t="s">
        <v>678</v>
      </c>
      <c r="D27" s="415" t="s">
        <v>679</v>
      </c>
      <c r="E27" s="12" t="s">
        <v>680</v>
      </c>
      <c r="F27" s="12" t="s">
        <v>413</v>
      </c>
      <c r="G27" s="12" t="s">
        <v>681</v>
      </c>
      <c r="H27" s="12"/>
      <c r="I27" s="12" t="s">
        <v>682</v>
      </c>
      <c r="J27" s="12" t="s">
        <v>683</v>
      </c>
      <c r="K27" s="12" t="s">
        <v>444</v>
      </c>
      <c r="L27" s="12" t="s">
        <v>684</v>
      </c>
      <c r="M27" s="12" t="s">
        <v>685</v>
      </c>
      <c r="N27" s="12" t="s">
        <v>686</v>
      </c>
      <c r="O27" s="12" t="s">
        <v>417</v>
      </c>
      <c r="P27" s="12">
        <v>101</v>
      </c>
      <c r="Q27" s="12" t="s">
        <v>687</v>
      </c>
      <c r="R27" s="12" t="s">
        <v>688</v>
      </c>
      <c r="S27" s="13" t="s">
        <v>407</v>
      </c>
      <c r="T27" t="b">
        <f t="shared" si="0"/>
        <v>0</v>
      </c>
      <c r="U27" t="str">
        <f>IF(T27=TRUE,ROWS($T$2:T27),"")</f>
        <v/>
      </c>
      <c r="V27" t="str">
        <f>IFERROR(SMALL($U$2:$U$2000,ROWS($U$2:U27)),"")</f>
        <v/>
      </c>
      <c r="AA27" s="413" t="str">
        <f t="shared" si="1"/>
        <v>10153</v>
      </c>
    </row>
    <row r="28" spans="1:27" x14ac:dyDescent="0.45">
      <c r="A28" s="12" t="s">
        <v>689</v>
      </c>
      <c r="B28" s="12" t="s">
        <v>690</v>
      </c>
      <c r="C28" s="12" t="s">
        <v>691</v>
      </c>
      <c r="D28" s="415" t="s">
        <v>692</v>
      </c>
      <c r="E28" s="12" t="s">
        <v>693</v>
      </c>
      <c r="F28" s="12" t="s">
        <v>413</v>
      </c>
      <c r="G28" s="12" t="s">
        <v>693</v>
      </c>
      <c r="H28" s="12"/>
      <c r="I28" s="12" t="s">
        <v>694</v>
      </c>
      <c r="J28" s="12" t="s">
        <v>695</v>
      </c>
      <c r="K28" s="12" t="s">
        <v>696</v>
      </c>
      <c r="L28" s="12" t="s">
        <v>697</v>
      </c>
      <c r="M28" s="12" t="s">
        <v>698</v>
      </c>
      <c r="N28" s="12" t="s">
        <v>699</v>
      </c>
      <c r="O28" s="12" t="s">
        <v>700</v>
      </c>
      <c r="P28" s="12">
        <v>109</v>
      </c>
      <c r="Q28" s="12" t="s">
        <v>701</v>
      </c>
      <c r="R28" s="12" t="s">
        <v>449</v>
      </c>
      <c r="S28" s="13" t="s">
        <v>407</v>
      </c>
      <c r="T28" t="b">
        <f t="shared" si="0"/>
        <v>0</v>
      </c>
      <c r="U28" t="str">
        <f>IF(T28=TRUE,ROWS($T$2:T28),"")</f>
        <v/>
      </c>
      <c r="V28" t="str">
        <f>IFERROR(SMALL($U$2:$U$2000,ROWS($U$2:U28)),"")</f>
        <v/>
      </c>
      <c r="AA28" s="413" t="str">
        <f t="shared" si="1"/>
        <v>10905</v>
      </c>
    </row>
    <row r="29" spans="1:27" x14ac:dyDescent="0.45">
      <c r="A29" s="12" t="s">
        <v>702</v>
      </c>
      <c r="B29" s="12" t="s">
        <v>703</v>
      </c>
      <c r="C29" s="12" t="s">
        <v>704</v>
      </c>
      <c r="D29" s="415" t="s">
        <v>705</v>
      </c>
      <c r="E29" s="12" t="s">
        <v>706</v>
      </c>
      <c r="F29" s="12" t="s">
        <v>413</v>
      </c>
      <c r="G29" s="12" t="s">
        <v>707</v>
      </c>
      <c r="H29" s="12"/>
      <c r="I29" s="12" t="s">
        <v>708</v>
      </c>
      <c r="J29" s="12" t="s">
        <v>709</v>
      </c>
      <c r="K29" s="12" t="s">
        <v>444</v>
      </c>
      <c r="L29" s="12" t="s">
        <v>710</v>
      </c>
      <c r="M29" s="12" t="s">
        <v>711</v>
      </c>
      <c r="N29" s="12" t="s">
        <v>712</v>
      </c>
      <c r="O29" s="12" t="s">
        <v>417</v>
      </c>
      <c r="P29" s="12">
        <v>101</v>
      </c>
      <c r="Q29" s="12" t="s">
        <v>713</v>
      </c>
      <c r="R29" s="12" t="s">
        <v>714</v>
      </c>
      <c r="S29" s="13" t="s">
        <v>407</v>
      </c>
      <c r="T29" t="b">
        <f t="shared" si="0"/>
        <v>0</v>
      </c>
      <c r="U29" t="str">
        <f>IF(T29=TRUE,ROWS($T$2:T29),"")</f>
        <v/>
      </c>
      <c r="V29" t="str">
        <f>IFERROR(SMALL($U$2:$U$2000,ROWS($U$2:U29)),"")</f>
        <v/>
      </c>
      <c r="AA29" s="413" t="str">
        <f t="shared" si="1"/>
        <v>10108</v>
      </c>
    </row>
    <row r="30" spans="1:27" x14ac:dyDescent="0.45">
      <c r="A30" s="12" t="s">
        <v>715</v>
      </c>
      <c r="B30" s="12" t="s">
        <v>716</v>
      </c>
      <c r="C30" s="12" t="s">
        <v>717</v>
      </c>
      <c r="D30" s="415" t="s">
        <v>718</v>
      </c>
      <c r="E30" s="12" t="s">
        <v>719</v>
      </c>
      <c r="F30" s="12" t="s">
        <v>413</v>
      </c>
      <c r="G30" s="12" t="s">
        <v>720</v>
      </c>
      <c r="H30" s="12"/>
      <c r="I30" s="12" t="s">
        <v>721</v>
      </c>
      <c r="J30" s="12" t="s">
        <v>552</v>
      </c>
      <c r="K30" s="12" t="s">
        <v>444</v>
      </c>
      <c r="L30" s="12" t="s">
        <v>722</v>
      </c>
      <c r="M30" s="12" t="s">
        <v>723</v>
      </c>
      <c r="N30" s="12" t="s">
        <v>724</v>
      </c>
      <c r="O30" s="12" t="s">
        <v>417</v>
      </c>
      <c r="P30" s="12">
        <v>101</v>
      </c>
      <c r="Q30" s="12" t="s">
        <v>555</v>
      </c>
      <c r="R30" s="12" t="s">
        <v>141</v>
      </c>
      <c r="S30" s="13" t="s">
        <v>407</v>
      </c>
      <c r="T30" t="b">
        <f t="shared" si="0"/>
        <v>0</v>
      </c>
      <c r="U30" t="str">
        <f>IF(T30=TRUE,ROWS($T$2:T30),"")</f>
        <v/>
      </c>
      <c r="V30" t="str">
        <f>IFERROR(SMALL($U$2:$U$2000,ROWS($U$2:U30)),"")</f>
        <v/>
      </c>
      <c r="AA30" s="413" t="str">
        <f t="shared" si="1"/>
        <v>10111</v>
      </c>
    </row>
    <row r="31" spans="1:27" x14ac:dyDescent="0.45">
      <c r="A31" s="12" t="s">
        <v>725</v>
      </c>
      <c r="B31" s="12" t="s">
        <v>726</v>
      </c>
      <c r="C31" s="12" t="s">
        <v>727</v>
      </c>
      <c r="D31" s="415" t="s">
        <v>728</v>
      </c>
      <c r="E31" s="12" t="s">
        <v>729</v>
      </c>
      <c r="F31" s="12" t="s">
        <v>413</v>
      </c>
      <c r="G31" s="12" t="s">
        <v>720</v>
      </c>
      <c r="H31" s="12"/>
      <c r="I31" s="12" t="s">
        <v>730</v>
      </c>
      <c r="J31" s="12" t="s">
        <v>552</v>
      </c>
      <c r="K31" s="12" t="s">
        <v>444</v>
      </c>
      <c r="L31" s="12" t="s">
        <v>722</v>
      </c>
      <c r="M31" s="12" t="s">
        <v>723</v>
      </c>
      <c r="N31" s="12" t="s">
        <v>724</v>
      </c>
      <c r="O31" s="12" t="s">
        <v>417</v>
      </c>
      <c r="P31" s="12">
        <v>101</v>
      </c>
      <c r="Q31" s="12" t="s">
        <v>555</v>
      </c>
      <c r="R31" s="12" t="s">
        <v>141</v>
      </c>
      <c r="S31" s="13" t="s">
        <v>407</v>
      </c>
      <c r="T31" t="b">
        <f t="shared" si="0"/>
        <v>0</v>
      </c>
      <c r="U31" t="str">
        <f>IF(T31=TRUE,ROWS($T$2:T31),"")</f>
        <v/>
      </c>
      <c r="V31" t="str">
        <f>IFERROR(SMALL($U$2:$U$2000,ROWS($U$2:U31)),"")</f>
        <v/>
      </c>
      <c r="AA31" s="413" t="str">
        <f t="shared" si="1"/>
        <v>10111</v>
      </c>
    </row>
    <row r="32" spans="1:27" x14ac:dyDescent="0.45">
      <c r="A32" s="12" t="s">
        <v>731</v>
      </c>
      <c r="B32" s="12" t="s">
        <v>732</v>
      </c>
      <c r="C32" s="12" t="s">
        <v>733</v>
      </c>
      <c r="D32" s="415" t="s">
        <v>734</v>
      </c>
      <c r="E32" s="12" t="s">
        <v>735</v>
      </c>
      <c r="F32" s="12" t="s">
        <v>413</v>
      </c>
      <c r="G32" s="12" t="s">
        <v>736</v>
      </c>
      <c r="H32" s="12"/>
      <c r="I32" s="12" t="s">
        <v>737</v>
      </c>
      <c r="J32" s="12" t="s">
        <v>552</v>
      </c>
      <c r="K32" s="12" t="s">
        <v>444</v>
      </c>
      <c r="L32" s="12" t="s">
        <v>738</v>
      </c>
      <c r="M32" s="12" t="s">
        <v>739</v>
      </c>
      <c r="N32" s="12">
        <v>0</v>
      </c>
      <c r="O32" s="12" t="s">
        <v>417</v>
      </c>
      <c r="P32" s="12">
        <v>101</v>
      </c>
      <c r="Q32" s="12" t="s">
        <v>555</v>
      </c>
      <c r="R32" s="12" t="s">
        <v>141</v>
      </c>
      <c r="S32" s="13" t="s">
        <v>407</v>
      </c>
      <c r="T32" t="b">
        <f t="shared" si="0"/>
        <v>0</v>
      </c>
      <c r="U32" t="str">
        <f>IF(T32=TRUE,ROWS($T$2:T32),"")</f>
        <v/>
      </c>
      <c r="V32" t="str">
        <f>IFERROR(SMALL($U$2:$U$2000,ROWS($U$2:U32)),"")</f>
        <v/>
      </c>
      <c r="AA32" s="413" t="str">
        <f t="shared" si="1"/>
        <v>10111</v>
      </c>
    </row>
    <row r="33" spans="1:27" x14ac:dyDescent="0.45">
      <c r="A33" s="12" t="s">
        <v>740</v>
      </c>
      <c r="B33" s="12" t="s">
        <v>741</v>
      </c>
      <c r="C33" s="12" t="s">
        <v>742</v>
      </c>
      <c r="D33" s="415" t="s">
        <v>743</v>
      </c>
      <c r="E33" s="12" t="s">
        <v>744</v>
      </c>
      <c r="F33" s="12" t="s">
        <v>455</v>
      </c>
      <c r="G33" s="12" t="s">
        <v>745</v>
      </c>
      <c r="H33" s="12"/>
      <c r="I33" s="12" t="s">
        <v>746</v>
      </c>
      <c r="J33" s="12" t="s">
        <v>605</v>
      </c>
      <c r="K33" s="12" t="s">
        <v>444</v>
      </c>
      <c r="L33" s="12" t="s">
        <v>747</v>
      </c>
      <c r="M33" s="12" t="s">
        <v>748</v>
      </c>
      <c r="N33" s="12" t="s">
        <v>749</v>
      </c>
      <c r="O33" s="12" t="s">
        <v>417</v>
      </c>
      <c r="P33" s="12">
        <v>101</v>
      </c>
      <c r="Q33" s="12" t="s">
        <v>609</v>
      </c>
      <c r="R33" s="12" t="s">
        <v>610</v>
      </c>
      <c r="S33" s="13" t="s">
        <v>407</v>
      </c>
      <c r="T33" t="b">
        <f t="shared" si="0"/>
        <v>0</v>
      </c>
      <c r="U33" t="str">
        <f>IF(T33=TRUE,ROWS($T$2:T33),"")</f>
        <v/>
      </c>
      <c r="V33" t="str">
        <f>IFERROR(SMALL($U$2:$U$2000,ROWS($U$2:U33)),"")</f>
        <v/>
      </c>
      <c r="AA33" s="413" t="str">
        <f t="shared" si="1"/>
        <v>10113</v>
      </c>
    </row>
    <row r="34" spans="1:27" x14ac:dyDescent="0.45">
      <c r="A34" s="12" t="s">
        <v>750</v>
      </c>
      <c r="B34" s="12" t="s">
        <v>751</v>
      </c>
      <c r="C34" s="12" t="s">
        <v>752</v>
      </c>
      <c r="D34" s="415" t="s">
        <v>753</v>
      </c>
      <c r="E34" s="12" t="s">
        <v>754</v>
      </c>
      <c r="F34" s="12" t="s">
        <v>413</v>
      </c>
      <c r="G34" s="12" t="s">
        <v>755</v>
      </c>
      <c r="H34" s="12"/>
      <c r="I34" s="12" t="s">
        <v>756</v>
      </c>
      <c r="J34" s="12" t="s">
        <v>757</v>
      </c>
      <c r="K34" s="12" t="s">
        <v>444</v>
      </c>
      <c r="L34" s="12" t="s">
        <v>758</v>
      </c>
      <c r="M34" s="12" t="s">
        <v>759</v>
      </c>
      <c r="N34" s="12" t="s">
        <v>760</v>
      </c>
      <c r="O34" s="12" t="s">
        <v>417</v>
      </c>
      <c r="P34" s="12">
        <v>101</v>
      </c>
      <c r="Q34" s="12" t="s">
        <v>640</v>
      </c>
      <c r="R34" s="12" t="s">
        <v>641</v>
      </c>
      <c r="S34" s="13" t="s">
        <v>407</v>
      </c>
      <c r="T34" t="b">
        <f t="shared" si="0"/>
        <v>0</v>
      </c>
      <c r="U34" t="str">
        <f>IF(T34=TRUE,ROWS($T$2:T34),"")</f>
        <v/>
      </c>
      <c r="V34" t="str">
        <f>IFERROR(SMALL($U$2:$U$2000,ROWS($U$2:U34)),"")</f>
        <v/>
      </c>
      <c r="AA34" s="413" t="str">
        <f t="shared" si="1"/>
        <v>10155</v>
      </c>
    </row>
    <row r="35" spans="1:27" x14ac:dyDescent="0.45">
      <c r="A35" s="12" t="s">
        <v>761</v>
      </c>
      <c r="B35" s="12" t="s">
        <v>762</v>
      </c>
      <c r="C35" s="12" t="s">
        <v>763</v>
      </c>
      <c r="D35" s="415" t="s">
        <v>764</v>
      </c>
      <c r="E35" s="12" t="s">
        <v>765</v>
      </c>
      <c r="F35" s="12" t="s">
        <v>413</v>
      </c>
      <c r="G35" s="12">
        <v>0</v>
      </c>
      <c r="H35" s="12"/>
      <c r="I35" s="12" t="s">
        <v>766</v>
      </c>
      <c r="J35" s="12" t="s">
        <v>605</v>
      </c>
      <c r="K35" s="12" t="s">
        <v>444</v>
      </c>
      <c r="L35" s="12" t="s">
        <v>767</v>
      </c>
      <c r="M35" s="12" t="s">
        <v>768</v>
      </c>
      <c r="N35" s="12">
        <v>0</v>
      </c>
      <c r="O35" s="12" t="s">
        <v>417</v>
      </c>
      <c r="P35" s="12">
        <v>101</v>
      </c>
      <c r="Q35" s="12" t="s">
        <v>609</v>
      </c>
      <c r="R35" s="12" t="s">
        <v>610</v>
      </c>
      <c r="S35" s="13" t="s">
        <v>407</v>
      </c>
      <c r="T35" t="b">
        <f t="shared" si="0"/>
        <v>0</v>
      </c>
      <c r="U35" t="str">
        <f>IF(T35=TRUE,ROWS($T$2:T35),"")</f>
        <v/>
      </c>
      <c r="V35" t="str">
        <f>IFERROR(SMALL($U$2:$U$2000,ROWS($U$2:U35)),"")</f>
        <v/>
      </c>
      <c r="AA35" s="413" t="str">
        <f t="shared" si="1"/>
        <v>10113</v>
      </c>
    </row>
    <row r="36" spans="1:27" x14ac:dyDescent="0.45">
      <c r="A36" s="12" t="s">
        <v>769</v>
      </c>
      <c r="B36" s="12" t="s">
        <v>770</v>
      </c>
      <c r="C36" s="12" t="s">
        <v>771</v>
      </c>
      <c r="D36" s="415" t="s">
        <v>772</v>
      </c>
      <c r="E36" s="12" t="s">
        <v>773</v>
      </c>
      <c r="F36" s="12" t="s">
        <v>581</v>
      </c>
      <c r="G36" s="12" t="s">
        <v>774</v>
      </c>
      <c r="H36" s="12"/>
      <c r="I36" s="12" t="s">
        <v>775</v>
      </c>
      <c r="J36" s="12" t="s">
        <v>605</v>
      </c>
      <c r="K36" s="12" t="s">
        <v>444</v>
      </c>
      <c r="L36" s="12" t="s">
        <v>776</v>
      </c>
      <c r="M36" s="12" t="s">
        <v>777</v>
      </c>
      <c r="N36" s="12" t="s">
        <v>778</v>
      </c>
      <c r="O36" s="12" t="s">
        <v>417</v>
      </c>
      <c r="P36" s="12">
        <v>101</v>
      </c>
      <c r="Q36" s="12" t="s">
        <v>609</v>
      </c>
      <c r="R36" s="12" t="s">
        <v>610</v>
      </c>
      <c r="S36" s="13" t="s">
        <v>407</v>
      </c>
      <c r="T36" t="b">
        <f t="shared" si="0"/>
        <v>0</v>
      </c>
      <c r="U36" t="str">
        <f>IF(T36=TRUE,ROWS($T$2:T36),"")</f>
        <v/>
      </c>
      <c r="V36" t="str">
        <f>IFERROR(SMALL($U$2:$U$2000,ROWS($U$2:U36)),"")</f>
        <v/>
      </c>
      <c r="AA36" s="413" t="str">
        <f t="shared" si="1"/>
        <v>10113</v>
      </c>
    </row>
    <row r="37" spans="1:27" x14ac:dyDescent="0.45">
      <c r="A37" s="12" t="s">
        <v>779</v>
      </c>
      <c r="B37" s="12" t="s">
        <v>780</v>
      </c>
      <c r="C37" s="12" t="s">
        <v>781</v>
      </c>
      <c r="D37" s="415" t="s">
        <v>782</v>
      </c>
      <c r="E37" s="12" t="s">
        <v>773</v>
      </c>
      <c r="F37" s="12" t="s">
        <v>413</v>
      </c>
      <c r="G37" s="12">
        <v>0</v>
      </c>
      <c r="H37" s="12"/>
      <c r="I37" s="12" t="s">
        <v>783</v>
      </c>
      <c r="J37" s="12" t="s">
        <v>478</v>
      </c>
      <c r="K37" s="12" t="s">
        <v>444</v>
      </c>
      <c r="L37" s="12" t="s">
        <v>784</v>
      </c>
      <c r="M37" s="12" t="s">
        <v>777</v>
      </c>
      <c r="N37" s="12">
        <v>0</v>
      </c>
      <c r="O37" s="12" t="s">
        <v>417</v>
      </c>
      <c r="P37" s="12">
        <v>101</v>
      </c>
      <c r="Q37" s="12" t="s">
        <v>482</v>
      </c>
      <c r="R37" s="12" t="s">
        <v>483</v>
      </c>
      <c r="S37" s="13" t="s">
        <v>407</v>
      </c>
      <c r="T37" t="b">
        <f t="shared" si="0"/>
        <v>0</v>
      </c>
      <c r="U37" t="str">
        <f>IF(T37=TRUE,ROWS($T$2:T37),"")</f>
        <v/>
      </c>
      <c r="V37" t="str">
        <f>IFERROR(SMALL($U$2:$U$2000,ROWS($U$2:U37)),"")</f>
        <v/>
      </c>
      <c r="AA37" s="413" t="str">
        <f t="shared" si="1"/>
        <v>10109</v>
      </c>
    </row>
    <row r="38" spans="1:27" x14ac:dyDescent="0.45">
      <c r="A38" s="12" t="s">
        <v>785</v>
      </c>
      <c r="B38" s="12" t="s">
        <v>786</v>
      </c>
      <c r="C38" s="12" t="s">
        <v>787</v>
      </c>
      <c r="D38" s="415" t="s">
        <v>788</v>
      </c>
      <c r="E38" s="12" t="s">
        <v>789</v>
      </c>
      <c r="F38" s="12" t="s">
        <v>581</v>
      </c>
      <c r="G38" s="12" t="s">
        <v>790</v>
      </c>
      <c r="H38" s="12"/>
      <c r="I38" s="12" t="s">
        <v>791</v>
      </c>
      <c r="J38" s="12" t="s">
        <v>458</v>
      </c>
      <c r="K38" s="12" t="s">
        <v>444</v>
      </c>
      <c r="L38" s="12" t="s">
        <v>792</v>
      </c>
      <c r="M38" s="12" t="s">
        <v>793</v>
      </c>
      <c r="N38" s="12">
        <v>0</v>
      </c>
      <c r="O38" s="12" t="s">
        <v>417</v>
      </c>
      <c r="P38" s="12">
        <v>101</v>
      </c>
      <c r="Q38" s="12" t="s">
        <v>462</v>
      </c>
      <c r="R38" s="12" t="s">
        <v>463</v>
      </c>
      <c r="S38" s="13" t="s">
        <v>407</v>
      </c>
      <c r="T38" t="b">
        <f t="shared" si="0"/>
        <v>0</v>
      </c>
      <c r="U38" t="str">
        <f>IF(T38=TRUE,ROWS($T$2:T38),"")</f>
        <v/>
      </c>
      <c r="V38" t="str">
        <f>IFERROR(SMALL($U$2:$U$2000,ROWS($U$2:U38)),"")</f>
        <v/>
      </c>
      <c r="AA38" s="413" t="str">
        <f t="shared" si="1"/>
        <v>10107</v>
      </c>
    </row>
    <row r="39" spans="1:27" x14ac:dyDescent="0.45">
      <c r="A39" s="12" t="s">
        <v>794</v>
      </c>
      <c r="B39" s="12" t="s">
        <v>795</v>
      </c>
      <c r="C39" s="12" t="s">
        <v>796</v>
      </c>
      <c r="D39" s="415" t="s">
        <v>797</v>
      </c>
      <c r="E39" s="12" t="s">
        <v>798</v>
      </c>
      <c r="F39" s="12" t="s">
        <v>413</v>
      </c>
      <c r="G39" s="12">
        <v>0</v>
      </c>
      <c r="H39" s="12"/>
      <c r="I39" s="12" t="s">
        <v>799</v>
      </c>
      <c r="J39" s="12" t="s">
        <v>552</v>
      </c>
      <c r="K39" s="12" t="s">
        <v>444</v>
      </c>
      <c r="L39" s="12" t="s">
        <v>800</v>
      </c>
      <c r="M39" s="12" t="s">
        <v>801</v>
      </c>
      <c r="N39" s="12">
        <v>0</v>
      </c>
      <c r="O39" s="12" t="s">
        <v>417</v>
      </c>
      <c r="P39" s="12">
        <v>101</v>
      </c>
      <c r="Q39" s="12" t="s">
        <v>555</v>
      </c>
      <c r="R39" s="12" t="s">
        <v>141</v>
      </c>
      <c r="S39" s="13" t="s">
        <v>407</v>
      </c>
      <c r="T39" t="b">
        <f t="shared" si="0"/>
        <v>0</v>
      </c>
      <c r="U39" t="str">
        <f>IF(T39=TRUE,ROWS($T$2:T39),"")</f>
        <v/>
      </c>
      <c r="V39" t="str">
        <f>IFERROR(SMALL($U$2:$U$2000,ROWS($U$2:U39)),"")</f>
        <v/>
      </c>
      <c r="AA39" s="413" t="str">
        <f t="shared" si="1"/>
        <v>10111</v>
      </c>
    </row>
    <row r="40" spans="1:27" x14ac:dyDescent="0.45">
      <c r="A40" s="12" t="s">
        <v>802</v>
      </c>
      <c r="B40" s="12" t="s">
        <v>803</v>
      </c>
      <c r="C40" s="12" t="s">
        <v>804</v>
      </c>
      <c r="D40" s="415" t="s">
        <v>805</v>
      </c>
      <c r="E40" s="12" t="s">
        <v>426</v>
      </c>
      <c r="F40" s="12" t="s">
        <v>413</v>
      </c>
      <c r="G40" s="12">
        <v>0</v>
      </c>
      <c r="H40" s="12"/>
      <c r="I40" s="12" t="s">
        <v>428</v>
      </c>
      <c r="J40" s="12" t="s">
        <v>806</v>
      </c>
      <c r="K40" s="12" t="s">
        <v>444</v>
      </c>
      <c r="L40" s="12" t="s">
        <v>430</v>
      </c>
      <c r="M40" s="12" t="s">
        <v>807</v>
      </c>
      <c r="N40" s="12">
        <v>0</v>
      </c>
      <c r="O40" s="12" t="s">
        <v>417</v>
      </c>
      <c r="P40" s="12">
        <v>101</v>
      </c>
      <c r="Q40" s="12" t="s">
        <v>433</v>
      </c>
      <c r="R40" s="12" t="s">
        <v>434</v>
      </c>
      <c r="S40" s="13" t="s">
        <v>407</v>
      </c>
      <c r="T40" t="b">
        <f t="shared" si="0"/>
        <v>0</v>
      </c>
      <c r="U40" t="str">
        <f>IF(T40=TRUE,ROWS($T$2:T40),"")</f>
        <v/>
      </c>
      <c r="V40" t="str">
        <f>IFERROR(SMALL($U$2:$U$2000,ROWS($U$2:U40)),"")</f>
        <v/>
      </c>
      <c r="AA40" s="413" t="str">
        <f t="shared" si="1"/>
        <v>10103</v>
      </c>
    </row>
    <row r="41" spans="1:27" x14ac:dyDescent="0.45">
      <c r="A41" s="12" t="s">
        <v>808</v>
      </c>
      <c r="B41" s="12" t="s">
        <v>809</v>
      </c>
      <c r="C41" s="12" t="s">
        <v>810</v>
      </c>
      <c r="D41" s="415" t="s">
        <v>811</v>
      </c>
      <c r="E41" s="12" t="s">
        <v>812</v>
      </c>
      <c r="F41" s="12" t="s">
        <v>413</v>
      </c>
      <c r="G41" s="12">
        <v>0</v>
      </c>
      <c r="H41" s="12"/>
      <c r="I41" s="12" t="s">
        <v>813</v>
      </c>
      <c r="J41" s="12" t="s">
        <v>552</v>
      </c>
      <c r="K41" s="12" t="s">
        <v>444</v>
      </c>
      <c r="L41" s="12" t="s">
        <v>814</v>
      </c>
      <c r="M41" s="12" t="s">
        <v>815</v>
      </c>
      <c r="N41" s="12">
        <v>0</v>
      </c>
      <c r="O41" s="12" t="s">
        <v>417</v>
      </c>
      <c r="P41" s="12">
        <v>101</v>
      </c>
      <c r="Q41" s="12" t="s">
        <v>555</v>
      </c>
      <c r="R41" s="12" t="s">
        <v>141</v>
      </c>
      <c r="S41" s="13" t="s">
        <v>407</v>
      </c>
      <c r="T41" t="b">
        <f t="shared" si="0"/>
        <v>0</v>
      </c>
      <c r="U41" t="str">
        <f>IF(T41=TRUE,ROWS($T$2:T41),"")</f>
        <v/>
      </c>
      <c r="V41" t="str">
        <f>IFERROR(SMALL($U$2:$U$2000,ROWS($U$2:U41)),"")</f>
        <v/>
      </c>
      <c r="AA41" s="413" t="str">
        <f t="shared" si="1"/>
        <v>10111</v>
      </c>
    </row>
    <row r="42" spans="1:27" x14ac:dyDescent="0.45">
      <c r="A42" s="12" t="s">
        <v>816</v>
      </c>
      <c r="B42" s="12" t="s">
        <v>817</v>
      </c>
      <c r="C42" s="12" t="s">
        <v>818</v>
      </c>
      <c r="D42" s="415" t="s">
        <v>819</v>
      </c>
      <c r="E42" s="12" t="s">
        <v>820</v>
      </c>
      <c r="F42" s="12" t="s">
        <v>821</v>
      </c>
      <c r="G42" s="12" t="s">
        <v>822</v>
      </c>
      <c r="H42" s="12"/>
      <c r="I42" s="12" t="s">
        <v>823</v>
      </c>
      <c r="J42" s="12" t="s">
        <v>478</v>
      </c>
      <c r="K42" s="12" t="s">
        <v>444</v>
      </c>
      <c r="L42" s="12" t="s">
        <v>824</v>
      </c>
      <c r="M42" s="12" t="s">
        <v>825</v>
      </c>
      <c r="N42" s="12" t="s">
        <v>826</v>
      </c>
      <c r="O42" s="12" t="s">
        <v>417</v>
      </c>
      <c r="P42" s="12">
        <v>101</v>
      </c>
      <c r="Q42" s="12" t="s">
        <v>482</v>
      </c>
      <c r="R42" s="12" t="s">
        <v>483</v>
      </c>
      <c r="S42" s="13" t="s">
        <v>407</v>
      </c>
      <c r="T42" t="b">
        <f t="shared" si="0"/>
        <v>0</v>
      </c>
      <c r="U42" t="str">
        <f>IF(T42=TRUE,ROWS($T$2:T42),"")</f>
        <v/>
      </c>
      <c r="V42" t="str">
        <f>IFERROR(SMALL($U$2:$U$2000,ROWS($U$2:U42)),"")</f>
        <v/>
      </c>
      <c r="AA42" s="413" t="str">
        <f t="shared" si="1"/>
        <v>10109</v>
      </c>
    </row>
    <row r="43" spans="1:27" x14ac:dyDescent="0.45">
      <c r="A43" s="12" t="s">
        <v>827</v>
      </c>
      <c r="B43" s="12" t="s">
        <v>828</v>
      </c>
      <c r="C43" s="12" t="s">
        <v>829</v>
      </c>
      <c r="D43" s="415" t="s">
        <v>830</v>
      </c>
      <c r="E43" s="12" t="s">
        <v>831</v>
      </c>
      <c r="F43" s="12" t="s">
        <v>413</v>
      </c>
      <c r="G43" s="12">
        <v>0</v>
      </c>
      <c r="H43" s="12"/>
      <c r="I43" s="12" t="s">
        <v>832</v>
      </c>
      <c r="J43" s="12" t="s">
        <v>833</v>
      </c>
      <c r="K43" s="12" t="s">
        <v>444</v>
      </c>
      <c r="L43" s="12" t="s">
        <v>834</v>
      </c>
      <c r="M43" s="12" t="s">
        <v>835</v>
      </c>
      <c r="N43" s="12">
        <v>0</v>
      </c>
      <c r="O43" s="12" t="s">
        <v>417</v>
      </c>
      <c r="P43" s="12">
        <v>101</v>
      </c>
      <c r="Q43" s="12" t="s">
        <v>421</v>
      </c>
      <c r="R43" s="12" t="s">
        <v>131</v>
      </c>
      <c r="S43" s="13" t="s">
        <v>407</v>
      </c>
      <c r="T43" t="b">
        <f t="shared" si="0"/>
        <v>0</v>
      </c>
      <c r="U43" t="str">
        <f>IF(T43=TRUE,ROWS($T$2:T43),"")</f>
        <v/>
      </c>
      <c r="V43" t="str">
        <f>IFERROR(SMALL($U$2:$U$2000,ROWS($U$2:U43)),"")</f>
        <v/>
      </c>
      <c r="AA43" s="413" t="str">
        <f t="shared" si="1"/>
        <v>10101</v>
      </c>
    </row>
    <row r="44" spans="1:27" x14ac:dyDescent="0.45">
      <c r="A44" s="12" t="s">
        <v>836</v>
      </c>
      <c r="B44" s="12" t="s">
        <v>837</v>
      </c>
      <c r="C44" s="12" t="s">
        <v>838</v>
      </c>
      <c r="D44" s="415" t="s">
        <v>839</v>
      </c>
      <c r="E44" s="12" t="s">
        <v>840</v>
      </c>
      <c r="F44" s="12" t="s">
        <v>841</v>
      </c>
      <c r="G44" s="12">
        <v>0</v>
      </c>
      <c r="H44" s="12"/>
      <c r="I44" s="12" t="s">
        <v>842</v>
      </c>
      <c r="J44" s="12" t="s">
        <v>833</v>
      </c>
      <c r="K44" s="12" t="s">
        <v>444</v>
      </c>
      <c r="L44" s="12" t="s">
        <v>843</v>
      </c>
      <c r="M44" s="12" t="s">
        <v>844</v>
      </c>
      <c r="N44" s="12">
        <v>0</v>
      </c>
      <c r="O44" s="12" t="s">
        <v>417</v>
      </c>
      <c r="P44" s="12">
        <v>101</v>
      </c>
      <c r="Q44" s="12" t="s">
        <v>4362</v>
      </c>
      <c r="R44" s="12" t="s">
        <v>845</v>
      </c>
      <c r="S44" s="13" t="s">
        <v>407</v>
      </c>
      <c r="T44" t="b">
        <f t="shared" si="0"/>
        <v>0</v>
      </c>
      <c r="U44" t="str">
        <f>IF(T44=TRUE,ROWS($T$2:T44),"")</f>
        <v/>
      </c>
      <c r="V44" t="str">
        <f>IFERROR(SMALL($U$2:$U$2000,ROWS($U$2:U44)),"")</f>
        <v/>
      </c>
      <c r="AA44" s="413" t="str">
        <f t="shared" si="1"/>
        <v>10100</v>
      </c>
    </row>
    <row r="45" spans="1:27" x14ac:dyDescent="0.45">
      <c r="A45" s="12" t="s">
        <v>846</v>
      </c>
      <c r="B45" s="12" t="s">
        <v>847</v>
      </c>
      <c r="C45" s="12" t="s">
        <v>848</v>
      </c>
      <c r="D45" s="415" t="s">
        <v>849</v>
      </c>
      <c r="E45" s="12" t="s">
        <v>850</v>
      </c>
      <c r="F45" s="12" t="s">
        <v>413</v>
      </c>
      <c r="G45" s="12">
        <v>0</v>
      </c>
      <c r="H45" s="12"/>
      <c r="I45" s="12" t="s">
        <v>851</v>
      </c>
      <c r="J45" s="12" t="s">
        <v>852</v>
      </c>
      <c r="K45" s="12" t="s">
        <v>444</v>
      </c>
      <c r="L45" s="12" t="s">
        <v>853</v>
      </c>
      <c r="M45" s="12" t="s">
        <v>854</v>
      </c>
      <c r="N45" s="12">
        <v>0</v>
      </c>
      <c r="O45" s="12" t="s">
        <v>417</v>
      </c>
      <c r="P45" s="12">
        <v>101</v>
      </c>
      <c r="Q45" s="12" t="s">
        <v>4362</v>
      </c>
      <c r="R45" s="12" t="s">
        <v>845</v>
      </c>
      <c r="S45" s="13" t="s">
        <v>407</v>
      </c>
      <c r="T45" t="b">
        <f t="shared" si="0"/>
        <v>0</v>
      </c>
      <c r="U45" t="str">
        <f>IF(T45=TRUE,ROWS($T$2:T45),"")</f>
        <v/>
      </c>
      <c r="V45" t="str">
        <f>IFERROR(SMALL($U$2:$U$2000,ROWS($U$2:U45)),"")</f>
        <v/>
      </c>
      <c r="AA45" s="413" t="str">
        <f t="shared" si="1"/>
        <v>10100</v>
      </c>
    </row>
    <row r="46" spans="1:27" x14ac:dyDescent="0.45">
      <c r="A46" s="12" t="s">
        <v>855</v>
      </c>
      <c r="B46" s="12" t="s">
        <v>856</v>
      </c>
      <c r="C46" s="12" t="s">
        <v>857</v>
      </c>
      <c r="D46" s="415" t="s">
        <v>858</v>
      </c>
      <c r="E46" s="12" t="s">
        <v>859</v>
      </c>
      <c r="F46" s="12" t="s">
        <v>413</v>
      </c>
      <c r="G46" s="12">
        <v>0</v>
      </c>
      <c r="H46" s="12"/>
      <c r="I46" s="12" t="s">
        <v>860</v>
      </c>
      <c r="J46" s="12" t="s">
        <v>757</v>
      </c>
      <c r="K46" s="12" t="s">
        <v>444</v>
      </c>
      <c r="L46" s="12">
        <v>0</v>
      </c>
      <c r="M46" s="12" t="s">
        <v>861</v>
      </c>
      <c r="N46" s="12">
        <v>0</v>
      </c>
      <c r="O46" s="12" t="s">
        <v>417</v>
      </c>
      <c r="P46" s="12">
        <v>101</v>
      </c>
      <c r="Q46" s="12" t="s">
        <v>640</v>
      </c>
      <c r="R46" s="12" t="s">
        <v>641</v>
      </c>
      <c r="S46" s="13" t="s">
        <v>407</v>
      </c>
      <c r="T46" t="b">
        <f t="shared" si="0"/>
        <v>0</v>
      </c>
      <c r="U46" t="str">
        <f>IF(T46=TRUE,ROWS($T$2:T46),"")</f>
        <v/>
      </c>
      <c r="V46" t="str">
        <f>IFERROR(SMALL($U$2:$U$2000,ROWS($U$2:U46)),"")</f>
        <v/>
      </c>
      <c r="AA46" s="413" t="str">
        <f t="shared" si="1"/>
        <v>10155</v>
      </c>
    </row>
    <row r="47" spans="1:27" x14ac:dyDescent="0.45">
      <c r="A47" s="12" t="s">
        <v>862</v>
      </c>
      <c r="B47" s="12" t="s">
        <v>863</v>
      </c>
      <c r="C47" s="12" t="s">
        <v>864</v>
      </c>
      <c r="D47" s="415" t="s">
        <v>865</v>
      </c>
      <c r="E47" s="12" t="s">
        <v>866</v>
      </c>
      <c r="F47" s="12" t="s">
        <v>413</v>
      </c>
      <c r="G47" s="12" t="s">
        <v>866</v>
      </c>
      <c r="H47" s="12"/>
      <c r="I47" s="12" t="s">
        <v>867</v>
      </c>
      <c r="J47" s="12" t="s">
        <v>868</v>
      </c>
      <c r="K47" s="12" t="s">
        <v>444</v>
      </c>
      <c r="L47" s="12" t="s">
        <v>869</v>
      </c>
      <c r="M47" s="12" t="s">
        <v>870</v>
      </c>
      <c r="N47" s="12" t="s">
        <v>871</v>
      </c>
      <c r="O47" s="12" t="s">
        <v>417</v>
      </c>
      <c r="P47" s="12">
        <v>101</v>
      </c>
      <c r="Q47" s="12" t="s">
        <v>482</v>
      </c>
      <c r="R47" s="12" t="s">
        <v>483</v>
      </c>
      <c r="S47" s="13" t="s">
        <v>407</v>
      </c>
      <c r="T47" t="b">
        <f t="shared" si="0"/>
        <v>0</v>
      </c>
      <c r="U47" t="str">
        <f>IF(T47=TRUE,ROWS($T$2:T47),"")</f>
        <v/>
      </c>
      <c r="V47" t="str">
        <f>IFERROR(SMALL($U$2:$U$2000,ROWS($U$2:U47)),"")</f>
        <v/>
      </c>
      <c r="AA47" s="413" t="str">
        <f t="shared" si="1"/>
        <v>10109</v>
      </c>
    </row>
    <row r="48" spans="1:27" x14ac:dyDescent="0.45">
      <c r="A48" s="12" t="s">
        <v>872</v>
      </c>
      <c r="B48" s="12" t="s">
        <v>873</v>
      </c>
      <c r="C48" s="12" t="s">
        <v>874</v>
      </c>
      <c r="D48" s="415" t="s">
        <v>875</v>
      </c>
      <c r="E48" s="12" t="s">
        <v>876</v>
      </c>
      <c r="F48" s="12" t="s">
        <v>413</v>
      </c>
      <c r="G48" s="12" t="s">
        <v>876</v>
      </c>
      <c r="H48" s="12"/>
      <c r="I48" s="12" t="s">
        <v>877</v>
      </c>
      <c r="J48" s="12" t="s">
        <v>709</v>
      </c>
      <c r="K48" s="12" t="s">
        <v>444</v>
      </c>
      <c r="L48" s="12" t="s">
        <v>878</v>
      </c>
      <c r="M48" s="12" t="s">
        <v>879</v>
      </c>
      <c r="N48" s="12" t="s">
        <v>880</v>
      </c>
      <c r="O48" s="12" t="s">
        <v>417</v>
      </c>
      <c r="P48" s="12">
        <v>101</v>
      </c>
      <c r="Q48" s="12" t="s">
        <v>713</v>
      </c>
      <c r="R48" s="12" t="s">
        <v>714</v>
      </c>
      <c r="S48" s="13" t="s">
        <v>407</v>
      </c>
      <c r="T48" t="b">
        <f t="shared" si="0"/>
        <v>0</v>
      </c>
      <c r="U48" t="str">
        <f>IF(T48=TRUE,ROWS($T$2:T48),"")</f>
        <v/>
      </c>
      <c r="V48" t="str">
        <f>IFERROR(SMALL($U$2:$U$2000,ROWS($U$2:U48)),"")</f>
        <v/>
      </c>
      <c r="AA48" s="413" t="str">
        <f t="shared" si="1"/>
        <v>10108</v>
      </c>
    </row>
    <row r="49" spans="1:27" x14ac:dyDescent="0.45">
      <c r="A49" s="12" t="s">
        <v>881</v>
      </c>
      <c r="B49" s="12" t="s">
        <v>882</v>
      </c>
      <c r="C49" s="12" t="s">
        <v>883</v>
      </c>
      <c r="D49" s="415" t="s">
        <v>884</v>
      </c>
      <c r="E49" s="12" t="s">
        <v>885</v>
      </c>
      <c r="F49" s="12" t="s">
        <v>413</v>
      </c>
      <c r="G49" s="12" t="s">
        <v>886</v>
      </c>
      <c r="H49" s="12"/>
      <c r="I49" s="12" t="s">
        <v>887</v>
      </c>
      <c r="J49" s="12" t="s">
        <v>888</v>
      </c>
      <c r="K49" s="12" t="s">
        <v>889</v>
      </c>
      <c r="L49" s="12" t="s">
        <v>890</v>
      </c>
      <c r="M49" s="12" t="s">
        <v>891</v>
      </c>
      <c r="N49" s="12" t="s">
        <v>892</v>
      </c>
      <c r="O49" s="12" t="s">
        <v>893</v>
      </c>
      <c r="P49" s="12">
        <v>223</v>
      </c>
      <c r="Q49" s="12" t="s">
        <v>894</v>
      </c>
      <c r="R49" s="12" t="s">
        <v>845</v>
      </c>
      <c r="S49" s="13" t="s">
        <v>407</v>
      </c>
      <c r="T49" t="b">
        <f t="shared" si="0"/>
        <v>0</v>
      </c>
      <c r="U49" t="str">
        <f>IF(T49=TRUE,ROWS($T$2:T49),"")</f>
        <v/>
      </c>
      <c r="V49" t="str">
        <f>IFERROR(SMALL($U$2:$U$2000,ROWS($U$2:U49)),"")</f>
        <v/>
      </c>
      <c r="AA49" s="413" t="str">
        <f t="shared" si="1"/>
        <v>22300</v>
      </c>
    </row>
    <row r="50" spans="1:27" x14ac:dyDescent="0.45">
      <c r="A50" s="12" t="s">
        <v>895</v>
      </c>
      <c r="B50" s="12" t="s">
        <v>896</v>
      </c>
      <c r="C50" s="12" t="s">
        <v>897</v>
      </c>
      <c r="D50" s="415" t="s">
        <v>898</v>
      </c>
      <c r="E50" s="12" t="s">
        <v>885</v>
      </c>
      <c r="F50" s="12" t="s">
        <v>413</v>
      </c>
      <c r="G50" s="12" t="s">
        <v>886</v>
      </c>
      <c r="H50" s="12"/>
      <c r="I50" s="12" t="s">
        <v>899</v>
      </c>
      <c r="J50" s="12" t="s">
        <v>709</v>
      </c>
      <c r="K50" s="12" t="s">
        <v>444</v>
      </c>
      <c r="L50" s="12" t="s">
        <v>900</v>
      </c>
      <c r="M50" s="12" t="s">
        <v>891</v>
      </c>
      <c r="N50" s="12" t="s">
        <v>892</v>
      </c>
      <c r="O50" s="12" t="s">
        <v>417</v>
      </c>
      <c r="P50" s="12">
        <v>101</v>
      </c>
      <c r="Q50" s="12" t="s">
        <v>4362</v>
      </c>
      <c r="R50" s="12" t="s">
        <v>845</v>
      </c>
      <c r="S50" s="13" t="s">
        <v>407</v>
      </c>
      <c r="T50" t="b">
        <f t="shared" si="0"/>
        <v>0</v>
      </c>
      <c r="U50" t="str">
        <f>IF(T50=TRUE,ROWS($T$2:T50),"")</f>
        <v/>
      </c>
      <c r="V50" t="str">
        <f>IFERROR(SMALL($U$2:$U$2000,ROWS($U$2:U50)),"")</f>
        <v/>
      </c>
      <c r="AA50" s="413" t="str">
        <f t="shared" si="1"/>
        <v>10100</v>
      </c>
    </row>
    <row r="51" spans="1:27" x14ac:dyDescent="0.45">
      <c r="A51" s="12" t="s">
        <v>901</v>
      </c>
      <c r="B51" s="12" t="s">
        <v>1849</v>
      </c>
      <c r="C51" s="12" t="s">
        <v>902</v>
      </c>
      <c r="D51" s="415" t="s">
        <v>903</v>
      </c>
      <c r="E51" s="12" t="s">
        <v>904</v>
      </c>
      <c r="F51" s="12" t="s">
        <v>413</v>
      </c>
      <c r="G51" s="12" t="s">
        <v>904</v>
      </c>
      <c r="H51" s="12"/>
      <c r="I51" s="12" t="s">
        <v>905</v>
      </c>
      <c r="J51" s="12" t="s">
        <v>906</v>
      </c>
      <c r="K51" s="12" t="s">
        <v>417</v>
      </c>
      <c r="L51" s="12" t="s">
        <v>907</v>
      </c>
      <c r="M51" s="12" t="s">
        <v>908</v>
      </c>
      <c r="N51" s="12">
        <v>0</v>
      </c>
      <c r="O51" s="12" t="s">
        <v>417</v>
      </c>
      <c r="P51" s="12">
        <v>101</v>
      </c>
      <c r="Q51" s="12" t="s">
        <v>4362</v>
      </c>
      <c r="R51" s="12" t="s">
        <v>845</v>
      </c>
      <c r="S51" s="13" t="s">
        <v>407</v>
      </c>
      <c r="T51" t="b">
        <f t="shared" si="0"/>
        <v>0</v>
      </c>
      <c r="U51" t="str">
        <f>IF(T51=TRUE,ROWS($T$2:T51),"")</f>
        <v/>
      </c>
      <c r="V51" t="str">
        <f>IFERROR(SMALL($U$2:$U$2000,ROWS($U$2:U51)),"")</f>
        <v/>
      </c>
      <c r="AA51" s="413" t="str">
        <f t="shared" si="1"/>
        <v>10100</v>
      </c>
    </row>
    <row r="52" spans="1:27" x14ac:dyDescent="0.45">
      <c r="A52" s="12" t="s">
        <v>909</v>
      </c>
      <c r="B52" s="12" t="s">
        <v>910</v>
      </c>
      <c r="C52" s="12" t="s">
        <v>911</v>
      </c>
      <c r="D52" s="415" t="s">
        <v>912</v>
      </c>
      <c r="E52" s="12" t="s">
        <v>913</v>
      </c>
      <c r="F52" s="12" t="s">
        <v>413</v>
      </c>
      <c r="G52" s="12" t="s">
        <v>913</v>
      </c>
      <c r="H52" s="12"/>
      <c r="I52" s="12" t="s">
        <v>914</v>
      </c>
      <c r="J52" s="12" t="s">
        <v>625</v>
      </c>
      <c r="K52" s="12" t="s">
        <v>417</v>
      </c>
      <c r="L52" s="12" t="s">
        <v>915</v>
      </c>
      <c r="M52" s="12" t="s">
        <v>916</v>
      </c>
      <c r="N52" s="12" t="s">
        <v>917</v>
      </c>
      <c r="O52" s="12" t="s">
        <v>417</v>
      </c>
      <c r="P52" s="12">
        <v>101</v>
      </c>
      <c r="Q52" s="12" t="s">
        <v>918</v>
      </c>
      <c r="R52" s="12" t="s">
        <v>610</v>
      </c>
      <c r="S52" s="13" t="s">
        <v>407</v>
      </c>
      <c r="T52" t="b">
        <f t="shared" si="0"/>
        <v>0</v>
      </c>
      <c r="U52" t="str">
        <f>IF(T52=TRUE,ROWS($T$2:T52),"")</f>
        <v/>
      </c>
      <c r="V52" t="str">
        <f>IFERROR(SMALL($U$2:$U$2000,ROWS($U$2:U52)),"")</f>
        <v/>
      </c>
      <c r="AA52" s="413" t="str">
        <f t="shared" si="1"/>
        <v>10113</v>
      </c>
    </row>
    <row r="53" spans="1:27" x14ac:dyDescent="0.45">
      <c r="A53" s="12" t="s">
        <v>919</v>
      </c>
      <c r="B53" s="12" t="s">
        <v>920</v>
      </c>
      <c r="C53" s="12" t="s">
        <v>921</v>
      </c>
      <c r="D53" s="415" t="s">
        <v>922</v>
      </c>
      <c r="E53" s="12" t="s">
        <v>923</v>
      </c>
      <c r="F53" s="12" t="s">
        <v>413</v>
      </c>
      <c r="G53" s="12" t="s">
        <v>924</v>
      </c>
      <c r="H53" s="12"/>
      <c r="I53" s="12" t="s">
        <v>925</v>
      </c>
      <c r="J53" s="12" t="s">
        <v>906</v>
      </c>
      <c r="K53" s="12" t="s">
        <v>417</v>
      </c>
      <c r="L53" s="12" t="s">
        <v>926</v>
      </c>
      <c r="M53" s="12" t="s">
        <v>927</v>
      </c>
      <c r="N53" s="12" t="s">
        <v>928</v>
      </c>
      <c r="O53" s="12" t="s">
        <v>417</v>
      </c>
      <c r="P53" s="12">
        <v>101</v>
      </c>
      <c r="Q53" s="12" t="s">
        <v>929</v>
      </c>
      <c r="R53" s="12" t="s">
        <v>930</v>
      </c>
      <c r="S53" s="13" t="s">
        <v>407</v>
      </c>
      <c r="T53" t="b">
        <f t="shared" si="0"/>
        <v>0</v>
      </c>
      <c r="U53" t="str">
        <f>IF(T53=TRUE,ROWS($T$2:T53),"")</f>
        <v/>
      </c>
      <c r="V53" t="str">
        <f>IFERROR(SMALL($U$2:$U$2000,ROWS($U$2:U53)),"")</f>
        <v/>
      </c>
      <c r="AA53" s="413" t="str">
        <f t="shared" si="1"/>
        <v>10106</v>
      </c>
    </row>
    <row r="54" spans="1:27" x14ac:dyDescent="0.45">
      <c r="A54" s="12" t="s">
        <v>931</v>
      </c>
      <c r="B54" s="12" t="s">
        <v>932</v>
      </c>
      <c r="C54" s="12" t="s">
        <v>933</v>
      </c>
      <c r="D54" s="415" t="s">
        <v>934</v>
      </c>
      <c r="E54" s="12" t="s">
        <v>935</v>
      </c>
      <c r="F54" s="12" t="s">
        <v>413</v>
      </c>
      <c r="G54" s="12" t="s">
        <v>936</v>
      </c>
      <c r="H54" s="12"/>
      <c r="I54" s="12" t="s">
        <v>937</v>
      </c>
      <c r="J54" s="12" t="s">
        <v>683</v>
      </c>
      <c r="K54" s="12" t="s">
        <v>417</v>
      </c>
      <c r="L54" s="12">
        <v>0</v>
      </c>
      <c r="M54" s="12" t="s">
        <v>938</v>
      </c>
      <c r="N54" s="12">
        <v>0</v>
      </c>
      <c r="O54" s="12" t="s">
        <v>417</v>
      </c>
      <c r="P54" s="12">
        <v>101</v>
      </c>
      <c r="Q54" s="12" t="s">
        <v>939</v>
      </c>
      <c r="R54" s="12" t="s">
        <v>688</v>
      </c>
      <c r="S54" s="13" t="s">
        <v>407</v>
      </c>
      <c r="T54" t="b">
        <f t="shared" si="0"/>
        <v>0</v>
      </c>
      <c r="U54" t="str">
        <f>IF(T54=TRUE,ROWS($T$2:T54),"")</f>
        <v/>
      </c>
      <c r="V54" t="str">
        <f>IFERROR(SMALL($U$2:$U$2000,ROWS($U$2:U54)),"")</f>
        <v/>
      </c>
      <c r="AA54" s="413" t="str">
        <f t="shared" si="1"/>
        <v>10153</v>
      </c>
    </row>
    <row r="55" spans="1:27" x14ac:dyDescent="0.45">
      <c r="A55" s="12" t="s">
        <v>940</v>
      </c>
      <c r="B55" s="12" t="s">
        <v>941</v>
      </c>
      <c r="C55" s="12" t="s">
        <v>942</v>
      </c>
      <c r="D55" s="415" t="s">
        <v>943</v>
      </c>
      <c r="E55" s="12" t="s">
        <v>944</v>
      </c>
      <c r="F55" s="12" t="s">
        <v>413</v>
      </c>
      <c r="G55" s="12" t="s">
        <v>936</v>
      </c>
      <c r="H55" s="12"/>
      <c r="I55" s="12" t="s">
        <v>945</v>
      </c>
      <c r="J55" s="12" t="s">
        <v>946</v>
      </c>
      <c r="K55" s="12" t="s">
        <v>417</v>
      </c>
      <c r="L55" s="12" t="s">
        <v>947</v>
      </c>
      <c r="M55" s="12" t="s">
        <v>938</v>
      </c>
      <c r="N55" s="12">
        <v>0</v>
      </c>
      <c r="O55" s="12" t="s">
        <v>417</v>
      </c>
      <c r="P55" s="12">
        <v>101</v>
      </c>
      <c r="Q55" s="12" t="s">
        <v>948</v>
      </c>
      <c r="R55" s="12" t="s">
        <v>714</v>
      </c>
      <c r="S55" s="13" t="s">
        <v>407</v>
      </c>
      <c r="T55" t="b">
        <f t="shared" si="0"/>
        <v>0</v>
      </c>
      <c r="U55" t="str">
        <f>IF(T55=TRUE,ROWS($T$2:T55),"")</f>
        <v/>
      </c>
      <c r="V55" t="str">
        <f>IFERROR(SMALL($U$2:$U$2000,ROWS($U$2:U55)),"")</f>
        <v/>
      </c>
      <c r="AA55" s="413" t="str">
        <f t="shared" si="1"/>
        <v>10108</v>
      </c>
    </row>
    <row r="56" spans="1:27" x14ac:dyDescent="0.45">
      <c r="A56" s="12" t="s">
        <v>949</v>
      </c>
      <c r="B56" s="12" t="s">
        <v>950</v>
      </c>
      <c r="C56" s="12" t="s">
        <v>951</v>
      </c>
      <c r="D56" s="415" t="s">
        <v>952</v>
      </c>
      <c r="E56" s="12" t="s">
        <v>953</v>
      </c>
      <c r="F56" s="12" t="s">
        <v>413</v>
      </c>
      <c r="G56" s="12">
        <v>0</v>
      </c>
      <c r="H56" s="12"/>
      <c r="I56" s="12" t="s">
        <v>954</v>
      </c>
      <c r="J56" s="12" t="s">
        <v>955</v>
      </c>
      <c r="K56" s="12" t="s">
        <v>417</v>
      </c>
      <c r="L56" s="12" t="s">
        <v>956</v>
      </c>
      <c r="M56" s="12" t="s">
        <v>957</v>
      </c>
      <c r="N56" s="12" t="s">
        <v>958</v>
      </c>
      <c r="O56" s="12" t="s">
        <v>417</v>
      </c>
      <c r="P56" s="12">
        <v>101</v>
      </c>
      <c r="Q56" s="12" t="s">
        <v>959</v>
      </c>
      <c r="R56" s="12" t="s">
        <v>960</v>
      </c>
      <c r="S56" s="13" t="s">
        <v>407</v>
      </c>
      <c r="T56" t="b">
        <f t="shared" si="0"/>
        <v>0</v>
      </c>
      <c r="U56" t="str">
        <f>IF(T56=TRUE,ROWS($T$2:T56),"")</f>
        <v/>
      </c>
      <c r="V56" t="str">
        <f>IFERROR(SMALL($U$2:$U$2000,ROWS($U$2:U56)),"")</f>
        <v/>
      </c>
      <c r="AA56" s="413" t="str">
        <f t="shared" si="1"/>
        <v>10133</v>
      </c>
    </row>
    <row r="57" spans="1:27" x14ac:dyDescent="0.45">
      <c r="A57" s="12" t="s">
        <v>961</v>
      </c>
      <c r="B57" s="12" t="s">
        <v>962</v>
      </c>
      <c r="C57" s="12" t="s">
        <v>963</v>
      </c>
      <c r="D57" s="415" t="s">
        <v>964</v>
      </c>
      <c r="E57" s="12" t="s">
        <v>965</v>
      </c>
      <c r="F57" s="12" t="s">
        <v>581</v>
      </c>
      <c r="G57" s="12" t="s">
        <v>965</v>
      </c>
      <c r="H57" s="12"/>
      <c r="I57" s="12" t="s">
        <v>966</v>
      </c>
      <c r="J57" s="12" t="s">
        <v>967</v>
      </c>
      <c r="K57" s="12" t="s">
        <v>417</v>
      </c>
      <c r="L57" s="12" t="s">
        <v>968</v>
      </c>
      <c r="M57" s="12" t="s">
        <v>969</v>
      </c>
      <c r="N57" s="12">
        <v>0</v>
      </c>
      <c r="O57" s="12" t="s">
        <v>417</v>
      </c>
      <c r="P57" s="12">
        <v>101</v>
      </c>
      <c r="Q57" s="12" t="s">
        <v>970</v>
      </c>
      <c r="R57" s="12" t="s">
        <v>141</v>
      </c>
      <c r="S57" s="13" t="s">
        <v>407</v>
      </c>
      <c r="T57" t="b">
        <f t="shared" si="0"/>
        <v>0</v>
      </c>
      <c r="U57" t="str">
        <f>IF(T57=TRUE,ROWS($T$2:T57),"")</f>
        <v/>
      </c>
      <c r="V57" t="str">
        <f>IFERROR(SMALL($U$2:$U$2000,ROWS($U$2:U57)),"")</f>
        <v/>
      </c>
      <c r="AA57" s="413" t="str">
        <f t="shared" si="1"/>
        <v>10111</v>
      </c>
    </row>
    <row r="58" spans="1:27" x14ac:dyDescent="0.45">
      <c r="A58" s="12" t="s">
        <v>971</v>
      </c>
      <c r="B58" s="12" t="s">
        <v>972</v>
      </c>
      <c r="C58" s="12" t="s">
        <v>973</v>
      </c>
      <c r="D58" s="415" t="s">
        <v>974</v>
      </c>
      <c r="E58" s="12" t="s">
        <v>975</v>
      </c>
      <c r="F58" s="12" t="s">
        <v>413</v>
      </c>
      <c r="G58" s="12" t="s">
        <v>975</v>
      </c>
      <c r="H58" s="12"/>
      <c r="I58" s="12" t="s">
        <v>976</v>
      </c>
      <c r="J58" s="12" t="s">
        <v>977</v>
      </c>
      <c r="K58" s="12" t="s">
        <v>417</v>
      </c>
      <c r="L58" s="12" t="s">
        <v>978</v>
      </c>
      <c r="M58" s="12" t="s">
        <v>979</v>
      </c>
      <c r="N58" s="12" t="s">
        <v>980</v>
      </c>
      <c r="O58" s="12" t="s">
        <v>417</v>
      </c>
      <c r="P58" s="12">
        <v>101</v>
      </c>
      <c r="Q58" s="12" t="s">
        <v>981</v>
      </c>
      <c r="R58" s="12" t="s">
        <v>675</v>
      </c>
      <c r="S58" s="13" t="s">
        <v>407</v>
      </c>
      <c r="T58" t="b">
        <f t="shared" si="0"/>
        <v>0</v>
      </c>
      <c r="U58" t="str">
        <f>IF(T58=TRUE,ROWS($T$2:T58),"")</f>
        <v/>
      </c>
      <c r="V58" t="str">
        <f>IFERROR(SMALL($U$2:$U$2000,ROWS($U$2:U58)),"")</f>
        <v/>
      </c>
      <c r="AA58" s="413" t="str">
        <f t="shared" si="1"/>
        <v>10127</v>
      </c>
    </row>
    <row r="59" spans="1:27" x14ac:dyDescent="0.45">
      <c r="A59" s="12" t="s">
        <v>982</v>
      </c>
      <c r="B59" s="12" t="s">
        <v>983</v>
      </c>
      <c r="C59" s="12" t="s">
        <v>984</v>
      </c>
      <c r="D59" s="415" t="s">
        <v>985</v>
      </c>
      <c r="E59" s="12" t="s">
        <v>953</v>
      </c>
      <c r="F59" s="12" t="s">
        <v>413</v>
      </c>
      <c r="G59" s="12" t="s">
        <v>953</v>
      </c>
      <c r="H59" s="12"/>
      <c r="I59" s="12" t="s">
        <v>954</v>
      </c>
      <c r="J59" s="12" t="s">
        <v>955</v>
      </c>
      <c r="K59" s="12" t="s">
        <v>417</v>
      </c>
      <c r="L59" s="12" t="s">
        <v>956</v>
      </c>
      <c r="M59" s="12" t="s">
        <v>986</v>
      </c>
      <c r="N59" s="12" t="s">
        <v>987</v>
      </c>
      <c r="O59" s="12" t="s">
        <v>417</v>
      </c>
      <c r="P59" s="12">
        <v>101</v>
      </c>
      <c r="Q59" s="12" t="s">
        <v>959</v>
      </c>
      <c r="R59" s="12" t="s">
        <v>960</v>
      </c>
      <c r="S59" s="13" t="s">
        <v>407</v>
      </c>
      <c r="T59" t="b">
        <f t="shared" si="0"/>
        <v>0</v>
      </c>
      <c r="U59" t="str">
        <f>IF(T59=TRUE,ROWS($T$2:T59),"")</f>
        <v/>
      </c>
      <c r="V59" t="str">
        <f>IFERROR(SMALL($U$2:$U$2000,ROWS($U$2:U59)),"")</f>
        <v/>
      </c>
      <c r="AA59" s="413" t="str">
        <f t="shared" si="1"/>
        <v>10133</v>
      </c>
    </row>
    <row r="60" spans="1:27" x14ac:dyDescent="0.45">
      <c r="A60" s="12" t="s">
        <v>988</v>
      </c>
      <c r="B60" s="12" t="s">
        <v>989</v>
      </c>
      <c r="C60" s="12" t="s">
        <v>990</v>
      </c>
      <c r="D60" s="415" t="s">
        <v>991</v>
      </c>
      <c r="E60" s="12" t="s">
        <v>992</v>
      </c>
      <c r="F60" s="12" t="s">
        <v>413</v>
      </c>
      <c r="G60" s="12">
        <v>0</v>
      </c>
      <c r="H60" s="12"/>
      <c r="I60" s="12" t="s">
        <v>993</v>
      </c>
      <c r="J60" s="12" t="s">
        <v>994</v>
      </c>
      <c r="K60" s="12" t="s">
        <v>417</v>
      </c>
      <c r="L60" s="12" t="s">
        <v>995</v>
      </c>
      <c r="M60" s="12" t="s">
        <v>996</v>
      </c>
      <c r="N60" s="12" t="s">
        <v>997</v>
      </c>
      <c r="O60" s="12" t="s">
        <v>417</v>
      </c>
      <c r="P60" s="12">
        <v>101</v>
      </c>
      <c r="Q60" s="12" t="s">
        <v>998</v>
      </c>
      <c r="R60" s="12" t="s">
        <v>999</v>
      </c>
      <c r="S60" s="13" t="s">
        <v>407</v>
      </c>
      <c r="T60" t="b">
        <f t="shared" si="0"/>
        <v>0</v>
      </c>
      <c r="U60" t="str">
        <f>IF(T60=TRUE,ROWS($T$2:T60),"")</f>
        <v/>
      </c>
      <c r="V60" t="str">
        <f>IFERROR(SMALL($U$2:$U$2000,ROWS($U$2:U60)),"")</f>
        <v/>
      </c>
      <c r="AA60" s="413" t="str">
        <f t="shared" si="1"/>
        <v>10137</v>
      </c>
    </row>
    <row r="61" spans="1:27" x14ac:dyDescent="0.45">
      <c r="A61" s="12" t="s">
        <v>1000</v>
      </c>
      <c r="B61" s="12" t="s">
        <v>1001</v>
      </c>
      <c r="C61" s="12" t="s">
        <v>1002</v>
      </c>
      <c r="D61" s="415" t="s">
        <v>1003</v>
      </c>
      <c r="E61" s="12" t="s">
        <v>1004</v>
      </c>
      <c r="F61" s="12" t="s">
        <v>413</v>
      </c>
      <c r="G61" s="12">
        <v>0</v>
      </c>
      <c r="H61" s="12"/>
      <c r="I61" s="12" t="s">
        <v>1005</v>
      </c>
      <c r="J61" s="12" t="s">
        <v>1006</v>
      </c>
      <c r="K61" s="12" t="s">
        <v>417</v>
      </c>
      <c r="L61" s="12" t="s">
        <v>1007</v>
      </c>
      <c r="M61" s="12" t="s">
        <v>1008</v>
      </c>
      <c r="N61" s="12">
        <v>0</v>
      </c>
      <c r="O61" s="12" t="s">
        <v>417</v>
      </c>
      <c r="P61" s="12">
        <v>101</v>
      </c>
      <c r="Q61" s="12" t="s">
        <v>1009</v>
      </c>
      <c r="R61" s="12" t="s">
        <v>654</v>
      </c>
      <c r="S61" s="13" t="s">
        <v>407</v>
      </c>
      <c r="T61" t="b">
        <f t="shared" si="0"/>
        <v>0</v>
      </c>
      <c r="U61" t="str">
        <f>IF(T61=TRUE,ROWS($T$2:T61),"")</f>
        <v/>
      </c>
      <c r="V61" t="str">
        <f>IFERROR(SMALL($U$2:$U$2000,ROWS($U$2:U61)),"")</f>
        <v/>
      </c>
      <c r="AA61" s="413" t="str">
        <f t="shared" si="1"/>
        <v>10123</v>
      </c>
    </row>
    <row r="62" spans="1:27" x14ac:dyDescent="0.45">
      <c r="A62" s="12" t="s">
        <v>1010</v>
      </c>
      <c r="B62" s="12" t="s">
        <v>1011</v>
      </c>
      <c r="C62" s="12" t="s">
        <v>1012</v>
      </c>
      <c r="D62" s="415" t="s">
        <v>1013</v>
      </c>
      <c r="E62" s="12" t="s">
        <v>1014</v>
      </c>
      <c r="F62" s="12" t="s">
        <v>413</v>
      </c>
      <c r="G62" s="12" t="s">
        <v>1014</v>
      </c>
      <c r="H62" s="12"/>
      <c r="I62" s="12" t="s">
        <v>1015</v>
      </c>
      <c r="J62" s="12" t="s">
        <v>1006</v>
      </c>
      <c r="K62" s="12" t="s">
        <v>417</v>
      </c>
      <c r="L62" s="12" t="s">
        <v>1016</v>
      </c>
      <c r="M62" s="12" t="s">
        <v>1017</v>
      </c>
      <c r="N62" s="12" t="s">
        <v>997</v>
      </c>
      <c r="O62" s="12" t="s">
        <v>417</v>
      </c>
      <c r="P62" s="12">
        <v>101</v>
      </c>
      <c r="Q62" s="12" t="s">
        <v>1009</v>
      </c>
      <c r="R62" s="12" t="s">
        <v>654</v>
      </c>
      <c r="S62" s="13" t="s">
        <v>407</v>
      </c>
      <c r="T62" t="b">
        <f t="shared" si="0"/>
        <v>0</v>
      </c>
      <c r="U62" t="str">
        <f>IF(T62=TRUE,ROWS($T$2:T62),"")</f>
        <v/>
      </c>
      <c r="V62" t="str">
        <f>IFERROR(SMALL($U$2:$U$2000,ROWS($U$2:U62)),"")</f>
        <v/>
      </c>
      <c r="AA62" s="413" t="str">
        <f t="shared" si="1"/>
        <v>10123</v>
      </c>
    </row>
    <row r="63" spans="1:27" x14ac:dyDescent="0.45">
      <c r="A63" s="12" t="s">
        <v>1018</v>
      </c>
      <c r="B63" s="12" t="s">
        <v>1019</v>
      </c>
      <c r="C63" s="12" t="s">
        <v>1020</v>
      </c>
      <c r="D63" s="415" t="s">
        <v>1021</v>
      </c>
      <c r="E63" s="12" t="s">
        <v>1022</v>
      </c>
      <c r="F63" s="12" t="s">
        <v>413</v>
      </c>
      <c r="G63" s="12" t="s">
        <v>1023</v>
      </c>
      <c r="H63" s="12"/>
      <c r="I63" s="12" t="s">
        <v>1024</v>
      </c>
      <c r="J63" s="12" t="s">
        <v>967</v>
      </c>
      <c r="K63" s="12" t="s">
        <v>417</v>
      </c>
      <c r="L63" s="12" t="s">
        <v>1025</v>
      </c>
      <c r="M63" s="12" t="s">
        <v>1026</v>
      </c>
      <c r="N63" s="12" t="s">
        <v>1027</v>
      </c>
      <c r="O63" s="12" t="s">
        <v>417</v>
      </c>
      <c r="P63" s="12">
        <v>101</v>
      </c>
      <c r="Q63" s="12" t="s">
        <v>970</v>
      </c>
      <c r="R63" s="12" t="s">
        <v>141</v>
      </c>
      <c r="S63" s="13" t="s">
        <v>407</v>
      </c>
      <c r="T63" t="b">
        <f t="shared" si="0"/>
        <v>0</v>
      </c>
      <c r="U63" t="str">
        <f>IF(T63=TRUE,ROWS($T$2:T63),"")</f>
        <v/>
      </c>
      <c r="V63" t="str">
        <f>IFERROR(SMALL($U$2:$U$2000,ROWS($U$2:U63)),"")</f>
        <v/>
      </c>
      <c r="AA63" s="413" t="str">
        <f t="shared" si="1"/>
        <v>10111</v>
      </c>
    </row>
    <row r="64" spans="1:27" x14ac:dyDescent="0.45">
      <c r="B64" t="s">
        <v>2596</v>
      </c>
      <c r="C64" t="s">
        <v>2597</v>
      </c>
      <c r="D64" s="413" t="s">
        <v>2598</v>
      </c>
      <c r="I64" t="s">
        <v>2599</v>
      </c>
      <c r="J64" t="s">
        <v>625</v>
      </c>
      <c r="K64" t="s">
        <v>417</v>
      </c>
      <c r="Q64" t="s">
        <v>609</v>
      </c>
      <c r="S64" s="414" t="s">
        <v>1801</v>
      </c>
      <c r="T64" t="b">
        <f t="shared" ref="T64:T127" si="2">ISNUMBER(SEARCH($Y$1,C64))</f>
        <v>0</v>
      </c>
      <c r="U64" t="str">
        <f>IF(T64=TRUE,ROWS($T$2:T64),"")</f>
        <v/>
      </c>
      <c r="V64" t="str">
        <f>IFERROR(SMALL($U$2:$U$2000,ROWS($U$2:U64)),"")</f>
        <v/>
      </c>
      <c r="AA64" s="413" t="s">
        <v>2600</v>
      </c>
    </row>
    <row r="65" spans="2:27" x14ac:dyDescent="0.45">
      <c r="B65" t="s">
        <v>4550</v>
      </c>
      <c r="C65" t="s">
        <v>4364</v>
      </c>
      <c r="D65" s="413" t="s">
        <v>4365</v>
      </c>
      <c r="I65" t="s">
        <v>4366</v>
      </c>
      <c r="J65" t="s">
        <v>977</v>
      </c>
      <c r="K65" t="s">
        <v>417</v>
      </c>
      <c r="Q65" t="s">
        <v>981</v>
      </c>
      <c r="S65" s="414" t="s">
        <v>407</v>
      </c>
      <c r="T65" t="b">
        <f t="shared" si="2"/>
        <v>0</v>
      </c>
      <c r="U65" t="str">
        <f>IF(T65=TRUE,ROWS($T$2:T65),"")</f>
        <v/>
      </c>
      <c r="V65" t="str">
        <f>IFERROR(SMALL($U$2:$U$2000,ROWS($U$2:U65)),"")</f>
        <v/>
      </c>
      <c r="AA65" s="413" t="s">
        <v>2766</v>
      </c>
    </row>
    <row r="66" spans="2:27" x14ac:dyDescent="0.45">
      <c r="B66" t="s">
        <v>4579</v>
      </c>
      <c r="C66" t="s">
        <v>4551</v>
      </c>
      <c r="D66" s="413" t="s">
        <v>4552</v>
      </c>
      <c r="I66" t="s">
        <v>4580</v>
      </c>
      <c r="J66" t="s">
        <v>977</v>
      </c>
      <c r="K66" t="s">
        <v>417</v>
      </c>
      <c r="Q66" t="s">
        <v>981</v>
      </c>
      <c r="S66" s="414" t="s">
        <v>407</v>
      </c>
      <c r="T66" t="b">
        <f t="shared" si="2"/>
        <v>0</v>
      </c>
      <c r="U66" t="str">
        <f>IF(T66=TRUE,ROWS($T$2:T66),"")</f>
        <v/>
      </c>
      <c r="V66" t="str">
        <f>IFERROR(SMALL($U$2:$U$2000,ROWS($U$2:U66)),"")</f>
        <v/>
      </c>
      <c r="AA66" s="413" t="s">
        <v>2766</v>
      </c>
    </row>
    <row r="67" spans="2:27" x14ac:dyDescent="0.45">
      <c r="B67" t="s">
        <v>4553</v>
      </c>
      <c r="C67" t="s">
        <v>4554</v>
      </c>
      <c r="D67" s="413" t="s">
        <v>4555</v>
      </c>
      <c r="I67" t="s">
        <v>4556</v>
      </c>
      <c r="J67" t="s">
        <v>946</v>
      </c>
      <c r="K67" t="s">
        <v>417</v>
      </c>
      <c r="Q67" t="s">
        <v>948</v>
      </c>
      <c r="S67" s="414" t="s">
        <v>407</v>
      </c>
      <c r="T67" t="b">
        <f t="shared" si="2"/>
        <v>0</v>
      </c>
      <c r="U67" t="str">
        <f>IF(T67=TRUE,ROWS($T$2:T67),"")</f>
        <v/>
      </c>
      <c r="V67" t="str">
        <f>IFERROR(SMALL($U$2:$U$2000,ROWS($U$2:U67)),"")</f>
        <v/>
      </c>
      <c r="AA67" s="413" t="s">
        <v>2747</v>
      </c>
    </row>
    <row r="68" spans="2:27" x14ac:dyDescent="0.45">
      <c r="B68" t="s">
        <v>4557</v>
      </c>
      <c r="C68" t="s">
        <v>4558</v>
      </c>
      <c r="D68" s="413" t="s">
        <v>4559</v>
      </c>
      <c r="I68" t="s">
        <v>4560</v>
      </c>
      <c r="J68" t="s">
        <v>1006</v>
      </c>
      <c r="K68" t="s">
        <v>417</v>
      </c>
      <c r="Q68" t="s">
        <v>1009</v>
      </c>
      <c r="S68" s="414" t="s">
        <v>407</v>
      </c>
      <c r="T68" t="b">
        <f t="shared" si="2"/>
        <v>0</v>
      </c>
      <c r="U68" t="str">
        <f>IF(T68=TRUE,ROWS($T$2:T68),"")</f>
        <v/>
      </c>
      <c r="V68" t="str">
        <f>IFERROR(SMALL($U$2:$U$2000,ROWS($U$2:U68)),"")</f>
        <v/>
      </c>
      <c r="AA68" s="413" t="s">
        <v>2762</v>
      </c>
    </row>
    <row r="69" spans="2:27" x14ac:dyDescent="0.45">
      <c r="B69" t="s">
        <v>4561</v>
      </c>
      <c r="C69" t="s">
        <v>4562</v>
      </c>
      <c r="D69" s="413" t="s">
        <v>4563</v>
      </c>
      <c r="I69" t="s">
        <v>4564</v>
      </c>
      <c r="J69" t="s">
        <v>977</v>
      </c>
      <c r="K69" t="s">
        <v>417</v>
      </c>
      <c r="Q69" t="s">
        <v>981</v>
      </c>
      <c r="S69" s="414" t="s">
        <v>407</v>
      </c>
      <c r="T69" t="b">
        <f t="shared" si="2"/>
        <v>1</v>
      </c>
      <c r="U69">
        <f>IF(T69=TRUE,ROWS($T$2:T69),"")</f>
        <v>68</v>
      </c>
      <c r="V69" t="str">
        <f>IFERROR(SMALL($U$2:$U$2000,ROWS($U$2:U69)),"")</f>
        <v/>
      </c>
      <c r="AA69" s="413" t="s">
        <v>2766</v>
      </c>
    </row>
    <row r="70" spans="2:27" x14ac:dyDescent="0.45">
      <c r="B70" t="s">
        <v>4565</v>
      </c>
      <c r="C70" t="s">
        <v>4566</v>
      </c>
      <c r="D70" s="413" t="s">
        <v>4567</v>
      </c>
      <c r="I70" t="s">
        <v>4568</v>
      </c>
      <c r="J70" t="s">
        <v>946</v>
      </c>
      <c r="K70" t="s">
        <v>417</v>
      </c>
      <c r="Q70" t="s">
        <v>948</v>
      </c>
      <c r="S70" s="414" t="s">
        <v>407</v>
      </c>
      <c r="T70" t="b">
        <f t="shared" si="2"/>
        <v>0</v>
      </c>
      <c r="U70" t="str">
        <f>IF(T70=TRUE,ROWS($T$2:T70),"")</f>
        <v/>
      </c>
      <c r="V70" t="str">
        <f>IFERROR(SMALL($U$2:$U$2000,ROWS($U$2:U70)),"")</f>
        <v/>
      </c>
      <c r="AA70" s="413" t="s">
        <v>2747</v>
      </c>
    </row>
    <row r="71" spans="2:27" x14ac:dyDescent="0.45">
      <c r="B71" t="s">
        <v>4569</v>
      </c>
      <c r="C71" t="s">
        <v>4570</v>
      </c>
      <c r="D71" s="413" t="s">
        <v>4571</v>
      </c>
      <c r="I71" t="s">
        <v>4572</v>
      </c>
      <c r="J71" t="s">
        <v>4573</v>
      </c>
      <c r="K71" t="s">
        <v>700</v>
      </c>
      <c r="Q71" t="s">
        <v>4574</v>
      </c>
      <c r="S71" s="414" t="s">
        <v>407</v>
      </c>
      <c r="T71" t="b">
        <f t="shared" si="2"/>
        <v>0</v>
      </c>
      <c r="U71" t="str">
        <f>IF(T71=TRUE,ROWS($T$2:T71),"")</f>
        <v/>
      </c>
      <c r="V71" t="str">
        <f>IFERROR(SMALL($U$2:$U$2000,ROWS($U$2:U71)),"")</f>
        <v/>
      </c>
      <c r="AA71" s="413" t="s">
        <v>2863</v>
      </c>
    </row>
    <row r="72" spans="2:27" x14ac:dyDescent="0.45">
      <c r="B72" t="s">
        <v>4575</v>
      </c>
      <c r="C72" t="s">
        <v>4576</v>
      </c>
      <c r="D72" s="413" t="s">
        <v>4577</v>
      </c>
      <c r="I72" t="s">
        <v>4578</v>
      </c>
      <c r="J72" t="s">
        <v>946</v>
      </c>
      <c r="K72" t="s">
        <v>417</v>
      </c>
      <c r="Q72" t="s">
        <v>948</v>
      </c>
      <c r="S72" s="414" t="s">
        <v>407</v>
      </c>
      <c r="T72" t="b">
        <f t="shared" si="2"/>
        <v>0</v>
      </c>
      <c r="U72" t="str">
        <f>IF(T72=TRUE,ROWS($T$2:T72),"")</f>
        <v/>
      </c>
      <c r="V72" t="str">
        <f>IFERROR(SMALL($U$2:$U$2000,ROWS($U$2:U72)),"")</f>
        <v/>
      </c>
      <c r="AA72" s="413" t="s">
        <v>2747</v>
      </c>
    </row>
    <row r="73" spans="2:27" x14ac:dyDescent="0.45">
      <c r="T73" t="b">
        <f t="shared" si="2"/>
        <v>0</v>
      </c>
      <c r="U73" t="str">
        <f>IF(T73=TRUE,ROWS($T$2:T73),"")</f>
        <v/>
      </c>
      <c r="V73" t="str">
        <f>IFERROR(SMALL($U$2:$U$2000,ROWS($U$2:U73)),"")</f>
        <v/>
      </c>
    </row>
    <row r="74" spans="2:27" x14ac:dyDescent="0.45">
      <c r="T74" t="b">
        <f t="shared" si="2"/>
        <v>0</v>
      </c>
      <c r="U74" t="str">
        <f>IF(T74=TRUE,ROWS($T$2:T74),"")</f>
        <v/>
      </c>
      <c r="V74" t="str">
        <f>IFERROR(SMALL($U$2:$U$2000,ROWS($U$2:U74)),"")</f>
        <v/>
      </c>
    </row>
    <row r="75" spans="2:27" x14ac:dyDescent="0.45">
      <c r="T75" t="b">
        <f t="shared" si="2"/>
        <v>0</v>
      </c>
      <c r="U75" t="str">
        <f>IF(T75=TRUE,ROWS($T$2:T75),"")</f>
        <v/>
      </c>
      <c r="V75" t="str">
        <f>IFERROR(SMALL($U$2:$U$2000,ROWS($U$2:U75)),"")</f>
        <v/>
      </c>
    </row>
    <row r="76" spans="2:27" x14ac:dyDescent="0.45">
      <c r="T76" t="b">
        <f t="shared" si="2"/>
        <v>0</v>
      </c>
      <c r="U76" t="str">
        <f>IF(T76=TRUE,ROWS($T$2:T76),"")</f>
        <v/>
      </c>
      <c r="V76" t="str">
        <f>IFERROR(SMALL($U$2:$U$2000,ROWS($U$2:U76)),"")</f>
        <v/>
      </c>
    </row>
    <row r="77" spans="2:27" x14ac:dyDescent="0.45">
      <c r="T77" t="b">
        <f t="shared" si="2"/>
        <v>0</v>
      </c>
      <c r="U77" t="str">
        <f>IF(T77=TRUE,ROWS($T$2:T77),"")</f>
        <v/>
      </c>
      <c r="V77" t="str">
        <f>IFERROR(SMALL($U$2:$U$2000,ROWS($U$2:U77)),"")</f>
        <v/>
      </c>
    </row>
    <row r="78" spans="2:27" x14ac:dyDescent="0.45">
      <c r="T78" t="b">
        <f t="shared" si="2"/>
        <v>0</v>
      </c>
      <c r="U78" t="str">
        <f>IF(T78=TRUE,ROWS($T$2:T78),"")</f>
        <v/>
      </c>
      <c r="V78" t="str">
        <f>IFERROR(SMALL($U$2:$U$2000,ROWS($U$2:U78)),"")</f>
        <v/>
      </c>
    </row>
    <row r="79" spans="2:27" x14ac:dyDescent="0.45">
      <c r="T79" t="b">
        <f t="shared" si="2"/>
        <v>0</v>
      </c>
      <c r="U79" t="str">
        <f>IF(T79=TRUE,ROWS($T$2:T79),"")</f>
        <v/>
      </c>
      <c r="V79" t="str">
        <f>IFERROR(SMALL($U$2:$U$2000,ROWS($U$2:U79)),"")</f>
        <v/>
      </c>
    </row>
    <row r="80" spans="2:27" x14ac:dyDescent="0.45">
      <c r="T80" t="b">
        <f t="shared" si="2"/>
        <v>0</v>
      </c>
      <c r="U80" t="str">
        <f>IF(T80=TRUE,ROWS($T$2:T80),"")</f>
        <v/>
      </c>
      <c r="V80" t="str">
        <f>IFERROR(SMALL($U$2:$U$2000,ROWS($U$2:U80)),"")</f>
        <v/>
      </c>
    </row>
    <row r="81" spans="20:22" x14ac:dyDescent="0.45">
      <c r="T81" t="b">
        <f t="shared" si="2"/>
        <v>0</v>
      </c>
      <c r="U81" t="str">
        <f>IF(T81=TRUE,ROWS($T$2:T81),"")</f>
        <v/>
      </c>
      <c r="V81" t="str">
        <f>IFERROR(SMALL($U$2:$U$2000,ROWS($U$2:U81)),"")</f>
        <v/>
      </c>
    </row>
    <row r="82" spans="20:22" x14ac:dyDescent="0.45">
      <c r="T82" t="b">
        <f t="shared" si="2"/>
        <v>0</v>
      </c>
      <c r="U82" t="str">
        <f>IF(T82=TRUE,ROWS($T$2:T82),"")</f>
        <v/>
      </c>
      <c r="V82" t="str">
        <f>IFERROR(SMALL($U$2:$U$2000,ROWS($U$2:U82)),"")</f>
        <v/>
      </c>
    </row>
    <row r="83" spans="20:22" x14ac:dyDescent="0.45">
      <c r="T83" t="b">
        <f t="shared" si="2"/>
        <v>0</v>
      </c>
      <c r="U83" t="str">
        <f>IF(T83=TRUE,ROWS($T$2:T83),"")</f>
        <v/>
      </c>
      <c r="V83" t="str">
        <f>IFERROR(SMALL($U$2:$U$2000,ROWS($U$2:U83)),"")</f>
        <v/>
      </c>
    </row>
    <row r="84" spans="20:22" x14ac:dyDescent="0.45">
      <c r="T84" t="b">
        <f t="shared" si="2"/>
        <v>0</v>
      </c>
      <c r="U84" t="str">
        <f>IF(T84=TRUE,ROWS($T$2:T84),"")</f>
        <v/>
      </c>
      <c r="V84" t="str">
        <f>IFERROR(SMALL($U$2:$U$2000,ROWS($U$2:U84)),"")</f>
        <v/>
      </c>
    </row>
    <row r="85" spans="20:22" x14ac:dyDescent="0.45">
      <c r="T85" t="b">
        <f t="shared" si="2"/>
        <v>0</v>
      </c>
      <c r="U85" t="str">
        <f>IF(T85=TRUE,ROWS($T$2:T85),"")</f>
        <v/>
      </c>
      <c r="V85" t="str">
        <f>IFERROR(SMALL($U$2:$U$2000,ROWS($U$2:U85)),"")</f>
        <v/>
      </c>
    </row>
    <row r="86" spans="20:22" x14ac:dyDescent="0.45">
      <c r="T86" t="b">
        <f t="shared" si="2"/>
        <v>0</v>
      </c>
      <c r="U86" t="str">
        <f>IF(T86=TRUE,ROWS($T$2:T86),"")</f>
        <v/>
      </c>
      <c r="V86" t="str">
        <f>IFERROR(SMALL($U$2:$U$2000,ROWS($U$2:U86)),"")</f>
        <v/>
      </c>
    </row>
    <row r="87" spans="20:22" x14ac:dyDescent="0.45">
      <c r="T87" t="b">
        <f t="shared" si="2"/>
        <v>0</v>
      </c>
      <c r="U87" t="str">
        <f>IF(T87=TRUE,ROWS($T$2:T87),"")</f>
        <v/>
      </c>
      <c r="V87" t="str">
        <f>IFERROR(SMALL($U$2:$U$2000,ROWS($U$2:U87)),"")</f>
        <v/>
      </c>
    </row>
    <row r="88" spans="20:22" x14ac:dyDescent="0.45">
      <c r="T88" t="b">
        <f t="shared" si="2"/>
        <v>0</v>
      </c>
      <c r="U88" t="str">
        <f>IF(T88=TRUE,ROWS($T$2:T88),"")</f>
        <v/>
      </c>
      <c r="V88" t="str">
        <f>IFERROR(SMALL($U$2:$U$2000,ROWS($U$2:U88)),"")</f>
        <v/>
      </c>
    </row>
    <row r="89" spans="20:22" x14ac:dyDescent="0.45">
      <c r="T89" t="b">
        <f t="shared" si="2"/>
        <v>0</v>
      </c>
      <c r="U89" t="str">
        <f>IF(T89=TRUE,ROWS($T$2:T89),"")</f>
        <v/>
      </c>
      <c r="V89" t="str">
        <f>IFERROR(SMALL($U$2:$U$2000,ROWS($U$2:U89)),"")</f>
        <v/>
      </c>
    </row>
    <row r="90" spans="20:22" x14ac:dyDescent="0.45">
      <c r="T90" t="b">
        <f t="shared" si="2"/>
        <v>0</v>
      </c>
      <c r="U90" t="str">
        <f>IF(T90=TRUE,ROWS($T$2:T90),"")</f>
        <v/>
      </c>
      <c r="V90" t="str">
        <f>IFERROR(SMALL($U$2:$U$2000,ROWS($U$2:U90)),"")</f>
        <v/>
      </c>
    </row>
    <row r="91" spans="20:22" x14ac:dyDescent="0.45">
      <c r="T91" t="b">
        <f t="shared" si="2"/>
        <v>0</v>
      </c>
      <c r="U91" t="str">
        <f>IF(T91=TRUE,ROWS($T$2:T91),"")</f>
        <v/>
      </c>
      <c r="V91" t="str">
        <f>IFERROR(SMALL($U$2:$U$2000,ROWS($U$2:U91)),"")</f>
        <v/>
      </c>
    </row>
    <row r="92" spans="20:22" x14ac:dyDescent="0.45">
      <c r="T92" t="b">
        <f t="shared" si="2"/>
        <v>0</v>
      </c>
      <c r="U92" t="str">
        <f>IF(T92=TRUE,ROWS($T$2:T92),"")</f>
        <v/>
      </c>
      <c r="V92" t="str">
        <f>IFERROR(SMALL($U$2:$U$2000,ROWS($U$2:U92)),"")</f>
        <v/>
      </c>
    </row>
    <row r="93" spans="20:22" x14ac:dyDescent="0.45">
      <c r="T93" t="b">
        <f t="shared" si="2"/>
        <v>0</v>
      </c>
      <c r="U93" t="str">
        <f>IF(T93=TRUE,ROWS($T$2:T93),"")</f>
        <v/>
      </c>
      <c r="V93" t="str">
        <f>IFERROR(SMALL($U$2:$U$2000,ROWS($U$2:U93)),"")</f>
        <v/>
      </c>
    </row>
    <row r="94" spans="20:22" x14ac:dyDescent="0.45">
      <c r="T94" t="b">
        <f t="shared" si="2"/>
        <v>0</v>
      </c>
      <c r="U94" t="str">
        <f>IF(T94=TRUE,ROWS($T$2:T94),"")</f>
        <v/>
      </c>
      <c r="V94" t="str">
        <f>IFERROR(SMALL($U$2:$U$2000,ROWS($U$2:U94)),"")</f>
        <v/>
      </c>
    </row>
    <row r="95" spans="20:22" x14ac:dyDescent="0.45">
      <c r="T95" t="b">
        <f t="shared" si="2"/>
        <v>0</v>
      </c>
      <c r="U95" t="str">
        <f>IF(T95=TRUE,ROWS($T$2:T95),"")</f>
        <v/>
      </c>
      <c r="V95" t="str">
        <f>IFERROR(SMALL($U$2:$U$2000,ROWS($U$2:U95)),"")</f>
        <v/>
      </c>
    </row>
    <row r="96" spans="20:22" x14ac:dyDescent="0.45">
      <c r="T96" t="b">
        <f t="shared" si="2"/>
        <v>0</v>
      </c>
      <c r="U96" t="str">
        <f>IF(T96=TRUE,ROWS($T$2:T96),"")</f>
        <v/>
      </c>
      <c r="V96" t="str">
        <f>IFERROR(SMALL($U$2:$U$2000,ROWS($U$2:U96)),"")</f>
        <v/>
      </c>
    </row>
    <row r="97" spans="20:22" x14ac:dyDescent="0.45">
      <c r="T97" t="b">
        <f t="shared" si="2"/>
        <v>0</v>
      </c>
      <c r="U97" t="str">
        <f>IF(T97=TRUE,ROWS($T$2:T97),"")</f>
        <v/>
      </c>
      <c r="V97" t="str">
        <f>IFERROR(SMALL($U$2:$U$2000,ROWS($U$2:U97)),"")</f>
        <v/>
      </c>
    </row>
    <row r="98" spans="20:22" x14ac:dyDescent="0.45">
      <c r="T98" t="b">
        <f t="shared" si="2"/>
        <v>0</v>
      </c>
      <c r="U98" t="str">
        <f>IF(T98=TRUE,ROWS($T$2:T98),"")</f>
        <v/>
      </c>
      <c r="V98" t="str">
        <f>IFERROR(SMALL($U$2:$U$2000,ROWS($U$2:U98)),"")</f>
        <v/>
      </c>
    </row>
    <row r="99" spans="20:22" x14ac:dyDescent="0.45">
      <c r="T99" t="b">
        <f t="shared" si="2"/>
        <v>0</v>
      </c>
      <c r="U99" t="str">
        <f>IF(T99=TRUE,ROWS($T$2:T99),"")</f>
        <v/>
      </c>
      <c r="V99" t="str">
        <f>IFERROR(SMALL($U$2:$U$2000,ROWS($U$2:U99)),"")</f>
        <v/>
      </c>
    </row>
    <row r="100" spans="20:22" x14ac:dyDescent="0.45">
      <c r="T100" t="b">
        <f t="shared" si="2"/>
        <v>0</v>
      </c>
      <c r="U100" t="str">
        <f>IF(T100=TRUE,ROWS($T$2:T100),"")</f>
        <v/>
      </c>
      <c r="V100" t="str">
        <f>IFERROR(SMALL($U$2:$U$2000,ROWS($U$2:U100)),"")</f>
        <v/>
      </c>
    </row>
    <row r="101" spans="20:22" x14ac:dyDescent="0.45">
      <c r="T101" t="b">
        <f t="shared" si="2"/>
        <v>0</v>
      </c>
      <c r="U101" t="str">
        <f>IF(T101=TRUE,ROWS($T$2:T101),"")</f>
        <v/>
      </c>
      <c r="V101" t="str">
        <f>IFERROR(SMALL($U$2:$U$2000,ROWS($U$2:U101)),"")</f>
        <v/>
      </c>
    </row>
    <row r="102" spans="20:22" x14ac:dyDescent="0.45">
      <c r="T102" t="b">
        <f t="shared" si="2"/>
        <v>0</v>
      </c>
      <c r="U102" t="str">
        <f>IF(T102=TRUE,ROWS($T$2:T102),"")</f>
        <v/>
      </c>
      <c r="V102" t="str">
        <f>IFERROR(SMALL($U$2:$U$2000,ROWS($U$2:U102)),"")</f>
        <v/>
      </c>
    </row>
    <row r="103" spans="20:22" x14ac:dyDescent="0.45">
      <c r="T103" t="b">
        <f t="shared" si="2"/>
        <v>0</v>
      </c>
      <c r="U103" t="str">
        <f>IF(T103=TRUE,ROWS($T$2:T103),"")</f>
        <v/>
      </c>
      <c r="V103" t="str">
        <f>IFERROR(SMALL($U$2:$U$2000,ROWS($U$2:U103)),"")</f>
        <v/>
      </c>
    </row>
    <row r="104" spans="20:22" x14ac:dyDescent="0.45">
      <c r="T104" t="b">
        <f t="shared" si="2"/>
        <v>0</v>
      </c>
      <c r="U104" t="str">
        <f>IF(T104=TRUE,ROWS($T$2:T104),"")</f>
        <v/>
      </c>
      <c r="V104" t="str">
        <f>IFERROR(SMALL($U$2:$U$2000,ROWS($U$2:U104)),"")</f>
        <v/>
      </c>
    </row>
    <row r="105" spans="20:22" x14ac:dyDescent="0.45">
      <c r="T105" t="b">
        <f t="shared" si="2"/>
        <v>0</v>
      </c>
      <c r="U105" t="str">
        <f>IF(T105=TRUE,ROWS($T$2:T105),"")</f>
        <v/>
      </c>
      <c r="V105" t="str">
        <f>IFERROR(SMALL($U$2:$U$2000,ROWS($U$2:U105)),"")</f>
        <v/>
      </c>
    </row>
    <row r="106" spans="20:22" x14ac:dyDescent="0.45">
      <c r="T106" t="b">
        <f t="shared" si="2"/>
        <v>0</v>
      </c>
      <c r="U106" t="str">
        <f>IF(T106=TRUE,ROWS($T$2:T106),"")</f>
        <v/>
      </c>
      <c r="V106" t="str">
        <f>IFERROR(SMALL($U$2:$U$2000,ROWS($U$2:U106)),"")</f>
        <v/>
      </c>
    </row>
    <row r="107" spans="20:22" x14ac:dyDescent="0.45">
      <c r="T107" t="b">
        <f t="shared" si="2"/>
        <v>0</v>
      </c>
      <c r="U107" t="str">
        <f>IF(T107=TRUE,ROWS($T$2:T107),"")</f>
        <v/>
      </c>
      <c r="V107" t="str">
        <f>IFERROR(SMALL($U$2:$U$2000,ROWS($U$2:U107)),"")</f>
        <v/>
      </c>
    </row>
    <row r="108" spans="20:22" x14ac:dyDescent="0.45">
      <c r="T108" t="b">
        <f t="shared" si="2"/>
        <v>0</v>
      </c>
      <c r="U108" t="str">
        <f>IF(T108=TRUE,ROWS($T$2:T108),"")</f>
        <v/>
      </c>
      <c r="V108" t="str">
        <f>IFERROR(SMALL($U$2:$U$2000,ROWS($U$2:U108)),"")</f>
        <v/>
      </c>
    </row>
    <row r="109" spans="20:22" x14ac:dyDescent="0.45">
      <c r="T109" t="b">
        <f t="shared" si="2"/>
        <v>0</v>
      </c>
      <c r="U109" t="str">
        <f>IF(T109=TRUE,ROWS($T$2:T109),"")</f>
        <v/>
      </c>
      <c r="V109" t="str">
        <f>IFERROR(SMALL($U$2:$U$2000,ROWS($U$2:U109)),"")</f>
        <v/>
      </c>
    </row>
    <row r="110" spans="20:22" x14ac:dyDescent="0.45">
      <c r="T110" t="b">
        <f t="shared" si="2"/>
        <v>0</v>
      </c>
      <c r="U110" t="str">
        <f>IF(T110=TRUE,ROWS($T$2:T110),"")</f>
        <v/>
      </c>
      <c r="V110" t="str">
        <f>IFERROR(SMALL($U$2:$U$2000,ROWS($U$2:U110)),"")</f>
        <v/>
      </c>
    </row>
    <row r="111" spans="20:22" x14ac:dyDescent="0.45">
      <c r="T111" t="b">
        <f t="shared" si="2"/>
        <v>0</v>
      </c>
      <c r="U111" t="str">
        <f>IF(T111=TRUE,ROWS($T$2:T111),"")</f>
        <v/>
      </c>
      <c r="V111" t="str">
        <f>IFERROR(SMALL($U$2:$U$2000,ROWS($U$2:U111)),"")</f>
        <v/>
      </c>
    </row>
    <row r="112" spans="20:22" x14ac:dyDescent="0.45">
      <c r="T112" t="b">
        <f t="shared" si="2"/>
        <v>0</v>
      </c>
      <c r="U112" t="str">
        <f>IF(T112=TRUE,ROWS($T$2:T112),"")</f>
        <v/>
      </c>
      <c r="V112" t="str">
        <f>IFERROR(SMALL($U$2:$U$2000,ROWS($U$2:U112)),"")</f>
        <v/>
      </c>
    </row>
    <row r="113" spans="20:22" x14ac:dyDescent="0.45">
      <c r="T113" t="b">
        <f t="shared" si="2"/>
        <v>0</v>
      </c>
      <c r="U113" t="str">
        <f>IF(T113=TRUE,ROWS($T$2:T113),"")</f>
        <v/>
      </c>
      <c r="V113" t="str">
        <f>IFERROR(SMALL($U$2:$U$2000,ROWS($U$2:U113)),"")</f>
        <v/>
      </c>
    </row>
    <row r="114" spans="20:22" x14ac:dyDescent="0.45">
      <c r="T114" t="b">
        <f t="shared" si="2"/>
        <v>0</v>
      </c>
      <c r="U114" t="str">
        <f>IF(T114=TRUE,ROWS($T$2:T114),"")</f>
        <v/>
      </c>
      <c r="V114" t="str">
        <f>IFERROR(SMALL($U$2:$U$2000,ROWS($U$2:U114)),"")</f>
        <v/>
      </c>
    </row>
    <row r="115" spans="20:22" x14ac:dyDescent="0.45">
      <c r="T115" t="b">
        <f t="shared" si="2"/>
        <v>0</v>
      </c>
      <c r="U115" t="str">
        <f>IF(T115=TRUE,ROWS($T$2:T115),"")</f>
        <v/>
      </c>
      <c r="V115" t="str">
        <f>IFERROR(SMALL($U$2:$U$2000,ROWS($U$2:U115)),"")</f>
        <v/>
      </c>
    </row>
    <row r="116" spans="20:22" x14ac:dyDescent="0.45">
      <c r="T116" t="b">
        <f t="shared" si="2"/>
        <v>0</v>
      </c>
      <c r="U116" t="str">
        <f>IF(T116=TRUE,ROWS($T$2:T116),"")</f>
        <v/>
      </c>
      <c r="V116" t="str">
        <f>IFERROR(SMALL($U$2:$U$2000,ROWS($U$2:U116)),"")</f>
        <v/>
      </c>
    </row>
    <row r="117" spans="20:22" x14ac:dyDescent="0.45">
      <c r="T117" t="b">
        <f t="shared" si="2"/>
        <v>0</v>
      </c>
      <c r="U117" t="str">
        <f>IF(T117=TRUE,ROWS($T$2:T117),"")</f>
        <v/>
      </c>
      <c r="V117" t="str">
        <f>IFERROR(SMALL($U$2:$U$2000,ROWS($U$2:U117)),"")</f>
        <v/>
      </c>
    </row>
    <row r="118" spans="20:22" x14ac:dyDescent="0.45">
      <c r="T118" t="b">
        <f t="shared" si="2"/>
        <v>0</v>
      </c>
      <c r="U118" t="str">
        <f>IF(T118=TRUE,ROWS($T$2:T118),"")</f>
        <v/>
      </c>
      <c r="V118" t="str">
        <f>IFERROR(SMALL($U$2:$U$2000,ROWS($U$2:U118)),"")</f>
        <v/>
      </c>
    </row>
    <row r="119" spans="20:22" x14ac:dyDescent="0.45">
      <c r="T119" t="b">
        <f t="shared" si="2"/>
        <v>0</v>
      </c>
      <c r="U119" t="str">
        <f>IF(T119=TRUE,ROWS($T$2:T119),"")</f>
        <v/>
      </c>
      <c r="V119" t="str">
        <f>IFERROR(SMALL($U$2:$U$2000,ROWS($U$2:U119)),"")</f>
        <v/>
      </c>
    </row>
    <row r="120" spans="20:22" x14ac:dyDescent="0.45">
      <c r="T120" t="b">
        <f t="shared" si="2"/>
        <v>0</v>
      </c>
      <c r="U120" t="str">
        <f>IF(T120=TRUE,ROWS($T$2:T120),"")</f>
        <v/>
      </c>
      <c r="V120" t="str">
        <f>IFERROR(SMALL($U$2:$U$2000,ROWS($U$2:U120)),"")</f>
        <v/>
      </c>
    </row>
    <row r="121" spans="20:22" x14ac:dyDescent="0.45">
      <c r="T121" t="b">
        <f t="shared" si="2"/>
        <v>0</v>
      </c>
      <c r="U121" t="str">
        <f>IF(T121=TRUE,ROWS($T$2:T121),"")</f>
        <v/>
      </c>
      <c r="V121" t="str">
        <f>IFERROR(SMALL($U$2:$U$2000,ROWS($U$2:U121)),"")</f>
        <v/>
      </c>
    </row>
    <row r="122" spans="20:22" x14ac:dyDescent="0.45">
      <c r="T122" t="b">
        <f t="shared" si="2"/>
        <v>0</v>
      </c>
      <c r="U122" t="str">
        <f>IF(T122=TRUE,ROWS($T$2:T122),"")</f>
        <v/>
      </c>
      <c r="V122" t="str">
        <f>IFERROR(SMALL($U$2:$U$2000,ROWS($U$2:U122)),"")</f>
        <v/>
      </c>
    </row>
    <row r="123" spans="20:22" x14ac:dyDescent="0.45">
      <c r="T123" t="b">
        <f t="shared" si="2"/>
        <v>0</v>
      </c>
      <c r="U123" t="str">
        <f>IF(T123=TRUE,ROWS($T$2:T123),"")</f>
        <v/>
      </c>
      <c r="V123" t="str">
        <f>IFERROR(SMALL($U$2:$U$2000,ROWS($U$2:U123)),"")</f>
        <v/>
      </c>
    </row>
    <row r="124" spans="20:22" x14ac:dyDescent="0.45">
      <c r="T124" t="b">
        <f t="shared" si="2"/>
        <v>0</v>
      </c>
      <c r="U124" t="str">
        <f>IF(T124=TRUE,ROWS($T$2:T124),"")</f>
        <v/>
      </c>
      <c r="V124" t="str">
        <f>IFERROR(SMALL($U$2:$U$2000,ROWS($U$2:U124)),"")</f>
        <v/>
      </c>
    </row>
    <row r="125" spans="20:22" x14ac:dyDescent="0.45">
      <c r="T125" t="b">
        <f t="shared" si="2"/>
        <v>0</v>
      </c>
      <c r="U125" t="str">
        <f>IF(T125=TRUE,ROWS($T$2:T125),"")</f>
        <v/>
      </c>
      <c r="V125" t="str">
        <f>IFERROR(SMALL($U$2:$U$2000,ROWS($U$2:U125)),"")</f>
        <v/>
      </c>
    </row>
    <row r="126" spans="20:22" x14ac:dyDescent="0.45">
      <c r="T126" t="b">
        <f t="shared" si="2"/>
        <v>0</v>
      </c>
      <c r="U126" t="str">
        <f>IF(T126=TRUE,ROWS($T$2:T126),"")</f>
        <v/>
      </c>
      <c r="V126" t="str">
        <f>IFERROR(SMALL($U$2:$U$2000,ROWS($U$2:U126)),"")</f>
        <v/>
      </c>
    </row>
    <row r="127" spans="20:22" x14ac:dyDescent="0.45">
      <c r="T127" t="b">
        <f t="shared" si="2"/>
        <v>0</v>
      </c>
      <c r="U127" t="str">
        <f>IF(T127=TRUE,ROWS($T$2:T127),"")</f>
        <v/>
      </c>
      <c r="V127" t="str">
        <f>IFERROR(SMALL($U$2:$U$2000,ROWS($U$2:U127)),"")</f>
        <v/>
      </c>
    </row>
    <row r="128" spans="20:22" x14ac:dyDescent="0.45">
      <c r="T128" t="b">
        <f t="shared" ref="T128:T181" si="3">ISNUMBER(SEARCH($Y$1,C128))</f>
        <v>0</v>
      </c>
      <c r="U128" t="str">
        <f>IF(T128=TRUE,ROWS($T$2:T128),"")</f>
        <v/>
      </c>
      <c r="V128" t="str">
        <f>IFERROR(SMALL($U$2:$U$2000,ROWS($U$2:U128)),"")</f>
        <v/>
      </c>
    </row>
    <row r="129" spans="20:22" x14ac:dyDescent="0.45">
      <c r="T129" t="b">
        <f t="shared" si="3"/>
        <v>0</v>
      </c>
      <c r="U129" t="str">
        <f>IF(T129=TRUE,ROWS($T$2:T129),"")</f>
        <v/>
      </c>
      <c r="V129" t="str">
        <f>IFERROR(SMALL($U$2:$U$2000,ROWS($U$2:U129)),"")</f>
        <v/>
      </c>
    </row>
    <row r="130" spans="20:22" x14ac:dyDescent="0.45">
      <c r="T130" t="b">
        <f t="shared" si="3"/>
        <v>0</v>
      </c>
      <c r="U130" t="str">
        <f>IF(T130=TRUE,ROWS($T$2:T130),"")</f>
        <v/>
      </c>
      <c r="V130" t="str">
        <f>IFERROR(SMALL($U$2:$U$2000,ROWS($U$2:U130)),"")</f>
        <v/>
      </c>
    </row>
    <row r="131" spans="20:22" x14ac:dyDescent="0.45">
      <c r="T131" t="b">
        <f t="shared" si="3"/>
        <v>0</v>
      </c>
      <c r="U131" t="str">
        <f>IF(T131=TRUE,ROWS($T$2:T131),"")</f>
        <v/>
      </c>
      <c r="V131" t="str">
        <f>IFERROR(SMALL($U$2:$U$2000,ROWS($U$2:U131)),"")</f>
        <v/>
      </c>
    </row>
    <row r="132" spans="20:22" x14ac:dyDescent="0.45">
      <c r="T132" t="b">
        <f t="shared" si="3"/>
        <v>0</v>
      </c>
      <c r="U132" t="str">
        <f>IF(T132=TRUE,ROWS($T$2:T132),"")</f>
        <v/>
      </c>
      <c r="V132" t="str">
        <f>IFERROR(SMALL($U$2:$U$2000,ROWS($U$2:U132)),"")</f>
        <v/>
      </c>
    </row>
    <row r="133" spans="20:22" x14ac:dyDescent="0.45">
      <c r="T133" t="b">
        <f t="shared" si="3"/>
        <v>0</v>
      </c>
      <c r="U133" t="str">
        <f>IF(T133=TRUE,ROWS($T$2:T133),"")</f>
        <v/>
      </c>
      <c r="V133" t="str">
        <f>IFERROR(SMALL($U$2:$U$2000,ROWS($U$2:U133)),"")</f>
        <v/>
      </c>
    </row>
    <row r="134" spans="20:22" x14ac:dyDescent="0.45">
      <c r="T134" t="b">
        <f t="shared" si="3"/>
        <v>0</v>
      </c>
      <c r="U134" t="str">
        <f>IF(T134=TRUE,ROWS($T$2:T134),"")</f>
        <v/>
      </c>
      <c r="V134" t="str">
        <f>IFERROR(SMALL($U$2:$U$2000,ROWS($U$2:U134)),"")</f>
        <v/>
      </c>
    </row>
    <row r="135" spans="20:22" x14ac:dyDescent="0.45">
      <c r="T135" t="b">
        <f t="shared" si="3"/>
        <v>0</v>
      </c>
      <c r="U135" t="str">
        <f>IF(T135=TRUE,ROWS($T$2:T135),"")</f>
        <v/>
      </c>
      <c r="V135" t="str">
        <f>IFERROR(SMALL($U$2:$U$2000,ROWS($U$2:U135)),"")</f>
        <v/>
      </c>
    </row>
    <row r="136" spans="20:22" x14ac:dyDescent="0.45">
      <c r="T136" t="b">
        <f t="shared" si="3"/>
        <v>0</v>
      </c>
      <c r="U136" t="str">
        <f>IF(T136=TRUE,ROWS($T$2:T136),"")</f>
        <v/>
      </c>
      <c r="V136" t="str">
        <f>IFERROR(SMALL($U$2:$U$2000,ROWS($U$2:U136)),"")</f>
        <v/>
      </c>
    </row>
    <row r="137" spans="20:22" x14ac:dyDescent="0.45">
      <c r="T137" t="b">
        <f t="shared" si="3"/>
        <v>0</v>
      </c>
      <c r="U137" t="str">
        <f>IF(T137=TRUE,ROWS($T$2:T137),"")</f>
        <v/>
      </c>
      <c r="V137" t="str">
        <f>IFERROR(SMALL($U$2:$U$2000,ROWS($U$2:U137)),"")</f>
        <v/>
      </c>
    </row>
    <row r="138" spans="20:22" x14ac:dyDescent="0.45">
      <c r="T138" t="b">
        <f t="shared" si="3"/>
        <v>0</v>
      </c>
      <c r="U138" t="str">
        <f>IF(T138=TRUE,ROWS($T$2:T138),"")</f>
        <v/>
      </c>
      <c r="V138" t="str">
        <f>IFERROR(SMALL($U$2:$U$2000,ROWS($U$2:U138)),"")</f>
        <v/>
      </c>
    </row>
    <row r="139" spans="20:22" x14ac:dyDescent="0.45">
      <c r="T139" t="b">
        <f t="shared" si="3"/>
        <v>0</v>
      </c>
      <c r="U139" t="str">
        <f>IF(T139=TRUE,ROWS($T$2:T139),"")</f>
        <v/>
      </c>
      <c r="V139" t="str">
        <f>IFERROR(SMALL($U$2:$U$2000,ROWS($U$2:U139)),"")</f>
        <v/>
      </c>
    </row>
    <row r="140" spans="20:22" x14ac:dyDescent="0.45">
      <c r="T140" t="b">
        <f t="shared" si="3"/>
        <v>0</v>
      </c>
      <c r="U140" t="str">
        <f>IF(T140=TRUE,ROWS($T$2:T140),"")</f>
        <v/>
      </c>
      <c r="V140" t="str">
        <f>IFERROR(SMALL($U$2:$U$2000,ROWS($U$2:U140)),"")</f>
        <v/>
      </c>
    </row>
    <row r="141" spans="20:22" x14ac:dyDescent="0.45">
      <c r="T141" t="b">
        <f t="shared" si="3"/>
        <v>0</v>
      </c>
      <c r="U141" t="str">
        <f>IF(T141=TRUE,ROWS($T$2:T141),"")</f>
        <v/>
      </c>
      <c r="V141" t="str">
        <f>IFERROR(SMALL($U$2:$U$2000,ROWS($U$2:U141)),"")</f>
        <v/>
      </c>
    </row>
    <row r="142" spans="20:22" x14ac:dyDescent="0.45">
      <c r="T142" t="b">
        <f t="shared" si="3"/>
        <v>0</v>
      </c>
      <c r="U142" t="str">
        <f>IF(T142=TRUE,ROWS($T$2:T142),"")</f>
        <v/>
      </c>
      <c r="V142" t="str">
        <f>IFERROR(SMALL($U$2:$U$2000,ROWS($U$2:U142)),"")</f>
        <v/>
      </c>
    </row>
    <row r="143" spans="20:22" x14ac:dyDescent="0.45">
      <c r="T143" t="b">
        <f t="shared" si="3"/>
        <v>0</v>
      </c>
      <c r="U143" t="str">
        <f>IF(T143=TRUE,ROWS($T$2:T143),"")</f>
        <v/>
      </c>
      <c r="V143" t="str">
        <f>IFERROR(SMALL($U$2:$U$2000,ROWS($U$2:U143)),"")</f>
        <v/>
      </c>
    </row>
    <row r="144" spans="20:22" x14ac:dyDescent="0.45">
      <c r="T144" t="b">
        <f t="shared" si="3"/>
        <v>0</v>
      </c>
      <c r="U144" t="str">
        <f>IF(T144=TRUE,ROWS($T$2:T144),"")</f>
        <v/>
      </c>
      <c r="V144" t="str">
        <f>IFERROR(SMALL($U$2:$U$2000,ROWS($U$2:U144)),"")</f>
        <v/>
      </c>
    </row>
    <row r="145" spans="20:22" x14ac:dyDescent="0.45">
      <c r="T145" t="b">
        <f t="shared" si="3"/>
        <v>0</v>
      </c>
      <c r="U145" t="str">
        <f>IF(T145=TRUE,ROWS($T$2:T145),"")</f>
        <v/>
      </c>
      <c r="V145" t="str">
        <f>IFERROR(SMALL($U$2:$U$2000,ROWS($U$2:U145)),"")</f>
        <v/>
      </c>
    </row>
    <row r="146" spans="20:22" x14ac:dyDescent="0.45">
      <c r="T146" t="b">
        <f t="shared" si="3"/>
        <v>0</v>
      </c>
      <c r="U146" t="str">
        <f>IF(T146=TRUE,ROWS($T$2:T146),"")</f>
        <v/>
      </c>
      <c r="V146" t="str">
        <f>IFERROR(SMALL($U$2:$U$2000,ROWS($U$2:U146)),"")</f>
        <v/>
      </c>
    </row>
    <row r="147" spans="20:22" x14ac:dyDescent="0.45">
      <c r="T147" t="b">
        <f t="shared" si="3"/>
        <v>0</v>
      </c>
      <c r="U147" t="str">
        <f>IF(T147=TRUE,ROWS($T$2:T147),"")</f>
        <v/>
      </c>
      <c r="V147" t="str">
        <f>IFERROR(SMALL($U$2:$U$2000,ROWS($U$2:U147)),"")</f>
        <v/>
      </c>
    </row>
    <row r="148" spans="20:22" x14ac:dyDescent="0.45">
      <c r="T148" t="b">
        <f t="shared" si="3"/>
        <v>0</v>
      </c>
      <c r="U148" t="str">
        <f>IF(T148=TRUE,ROWS($T$2:T148),"")</f>
        <v/>
      </c>
      <c r="V148" t="str">
        <f>IFERROR(SMALL($U$2:$U$2000,ROWS($U$2:U148)),"")</f>
        <v/>
      </c>
    </row>
    <row r="149" spans="20:22" x14ac:dyDescent="0.45">
      <c r="T149" t="b">
        <f t="shared" si="3"/>
        <v>0</v>
      </c>
      <c r="U149" t="str">
        <f>IF(T149=TRUE,ROWS($T$2:T149),"")</f>
        <v/>
      </c>
      <c r="V149" t="str">
        <f>IFERROR(SMALL($U$2:$U$2000,ROWS($U$2:U149)),"")</f>
        <v/>
      </c>
    </row>
    <row r="150" spans="20:22" x14ac:dyDescent="0.45">
      <c r="T150" t="b">
        <f t="shared" si="3"/>
        <v>0</v>
      </c>
      <c r="U150" t="str">
        <f>IF(T150=TRUE,ROWS($T$2:T150),"")</f>
        <v/>
      </c>
      <c r="V150" t="str">
        <f>IFERROR(SMALL($U$2:$U$2000,ROWS($U$2:U150)),"")</f>
        <v/>
      </c>
    </row>
    <row r="151" spans="20:22" x14ac:dyDescent="0.45">
      <c r="T151" t="b">
        <f t="shared" si="3"/>
        <v>0</v>
      </c>
      <c r="U151" t="str">
        <f>IF(T151=TRUE,ROWS($T$2:T151),"")</f>
        <v/>
      </c>
      <c r="V151" t="str">
        <f>IFERROR(SMALL($U$2:$U$2000,ROWS($U$2:U151)),"")</f>
        <v/>
      </c>
    </row>
    <row r="152" spans="20:22" x14ac:dyDescent="0.45">
      <c r="T152" t="b">
        <f t="shared" si="3"/>
        <v>0</v>
      </c>
      <c r="U152" t="str">
        <f>IF(T152=TRUE,ROWS($T$2:T152),"")</f>
        <v/>
      </c>
      <c r="V152" t="str">
        <f>IFERROR(SMALL($U$2:$U$2000,ROWS($U$2:U152)),"")</f>
        <v/>
      </c>
    </row>
    <row r="153" spans="20:22" x14ac:dyDescent="0.45">
      <c r="T153" t="b">
        <f t="shared" si="3"/>
        <v>0</v>
      </c>
      <c r="U153" t="str">
        <f>IF(T153=TRUE,ROWS($T$2:T153),"")</f>
        <v/>
      </c>
      <c r="V153" t="str">
        <f>IFERROR(SMALL($U$2:$U$2000,ROWS($U$2:U153)),"")</f>
        <v/>
      </c>
    </row>
    <row r="154" spans="20:22" x14ac:dyDescent="0.45">
      <c r="T154" t="b">
        <f t="shared" si="3"/>
        <v>0</v>
      </c>
      <c r="U154" t="str">
        <f>IF(T154=TRUE,ROWS($T$2:T154),"")</f>
        <v/>
      </c>
      <c r="V154" t="str">
        <f>IFERROR(SMALL($U$2:$U$2000,ROWS($U$2:U154)),"")</f>
        <v/>
      </c>
    </row>
    <row r="155" spans="20:22" x14ac:dyDescent="0.45">
      <c r="T155" t="b">
        <f t="shared" si="3"/>
        <v>0</v>
      </c>
      <c r="U155" t="str">
        <f>IF(T155=TRUE,ROWS($T$2:T155),"")</f>
        <v/>
      </c>
      <c r="V155" t="str">
        <f>IFERROR(SMALL($U$2:$U$2000,ROWS($U$2:U155)),"")</f>
        <v/>
      </c>
    </row>
    <row r="156" spans="20:22" x14ac:dyDescent="0.45">
      <c r="T156" t="b">
        <f t="shared" si="3"/>
        <v>0</v>
      </c>
      <c r="U156" t="str">
        <f>IF(T156=TRUE,ROWS($T$2:T156),"")</f>
        <v/>
      </c>
      <c r="V156" t="str">
        <f>IFERROR(SMALL($U$2:$U$2000,ROWS($U$2:U156)),"")</f>
        <v/>
      </c>
    </row>
    <row r="157" spans="20:22" x14ac:dyDescent="0.45">
      <c r="T157" t="b">
        <f t="shared" si="3"/>
        <v>0</v>
      </c>
      <c r="U157" t="str">
        <f>IF(T157=TRUE,ROWS($T$2:T157),"")</f>
        <v/>
      </c>
      <c r="V157" t="str">
        <f>IFERROR(SMALL($U$2:$U$2000,ROWS($U$2:U157)),"")</f>
        <v/>
      </c>
    </row>
    <row r="158" spans="20:22" x14ac:dyDescent="0.45">
      <c r="T158" t="b">
        <f t="shared" si="3"/>
        <v>0</v>
      </c>
      <c r="U158" t="str">
        <f>IF(T158=TRUE,ROWS($T$2:T158),"")</f>
        <v/>
      </c>
      <c r="V158" t="str">
        <f>IFERROR(SMALL($U$2:$U$2000,ROWS($U$2:U158)),"")</f>
        <v/>
      </c>
    </row>
    <row r="159" spans="20:22" x14ac:dyDescent="0.45">
      <c r="T159" t="b">
        <f t="shared" si="3"/>
        <v>0</v>
      </c>
      <c r="U159" t="str">
        <f>IF(T159=TRUE,ROWS($T$2:T159),"")</f>
        <v/>
      </c>
      <c r="V159" t="str">
        <f>IFERROR(SMALL($U$2:$U$2000,ROWS($U$2:U159)),"")</f>
        <v/>
      </c>
    </row>
    <row r="160" spans="20:22" x14ac:dyDescent="0.45">
      <c r="T160" t="b">
        <f t="shared" si="3"/>
        <v>0</v>
      </c>
      <c r="U160" t="str">
        <f>IF(T160=TRUE,ROWS($T$2:T160),"")</f>
        <v/>
      </c>
      <c r="V160" t="str">
        <f>IFERROR(SMALL($U$2:$U$2000,ROWS($U$2:U160)),"")</f>
        <v/>
      </c>
    </row>
    <row r="161" spans="20:22" x14ac:dyDescent="0.45">
      <c r="T161" t="b">
        <f t="shared" si="3"/>
        <v>0</v>
      </c>
      <c r="U161" t="str">
        <f>IF(T161=TRUE,ROWS($T$2:T161),"")</f>
        <v/>
      </c>
      <c r="V161" t="str">
        <f>IFERROR(SMALL($U$2:$U$2000,ROWS($U$2:U161)),"")</f>
        <v/>
      </c>
    </row>
    <row r="162" spans="20:22" x14ac:dyDescent="0.45">
      <c r="T162" t="b">
        <f t="shared" si="3"/>
        <v>0</v>
      </c>
      <c r="U162" t="str">
        <f>IF(T162=TRUE,ROWS($T$2:T162),"")</f>
        <v/>
      </c>
      <c r="V162" t="str">
        <f>IFERROR(SMALL($U$2:$U$2000,ROWS($U$2:U162)),"")</f>
        <v/>
      </c>
    </row>
    <row r="163" spans="20:22" x14ac:dyDescent="0.45">
      <c r="T163" t="b">
        <f t="shared" si="3"/>
        <v>0</v>
      </c>
      <c r="U163" t="str">
        <f>IF(T163=TRUE,ROWS($T$2:T163),"")</f>
        <v/>
      </c>
      <c r="V163" t="str">
        <f>IFERROR(SMALL($U$2:$U$2000,ROWS($U$2:U163)),"")</f>
        <v/>
      </c>
    </row>
    <row r="164" spans="20:22" x14ac:dyDescent="0.45">
      <c r="T164" t="b">
        <f t="shared" si="3"/>
        <v>0</v>
      </c>
      <c r="U164" t="str">
        <f>IF(T164=TRUE,ROWS($T$2:T164),"")</f>
        <v/>
      </c>
      <c r="V164" t="str">
        <f>IFERROR(SMALL($U$2:$U$2000,ROWS($U$2:U164)),"")</f>
        <v/>
      </c>
    </row>
    <row r="165" spans="20:22" x14ac:dyDescent="0.45">
      <c r="T165" t="b">
        <f t="shared" si="3"/>
        <v>0</v>
      </c>
      <c r="U165" t="str">
        <f>IF(T165=TRUE,ROWS($T$2:T165),"")</f>
        <v/>
      </c>
      <c r="V165" t="str">
        <f>IFERROR(SMALL($U$2:$U$2000,ROWS($U$2:U165)),"")</f>
        <v/>
      </c>
    </row>
    <row r="166" spans="20:22" x14ac:dyDescent="0.45">
      <c r="T166" t="b">
        <f t="shared" si="3"/>
        <v>0</v>
      </c>
      <c r="U166" t="str">
        <f>IF(T166=TRUE,ROWS($T$2:T166),"")</f>
        <v/>
      </c>
      <c r="V166" t="str">
        <f>IFERROR(SMALL($U$2:$U$2000,ROWS($U$2:U166)),"")</f>
        <v/>
      </c>
    </row>
    <row r="167" spans="20:22" x14ac:dyDescent="0.45">
      <c r="T167" t="b">
        <f t="shared" si="3"/>
        <v>0</v>
      </c>
      <c r="U167" t="str">
        <f>IF(T167=TRUE,ROWS($T$2:T167),"")</f>
        <v/>
      </c>
      <c r="V167" t="str">
        <f>IFERROR(SMALL($U$2:$U$2000,ROWS($U$2:U167)),"")</f>
        <v/>
      </c>
    </row>
    <row r="168" spans="20:22" x14ac:dyDescent="0.45">
      <c r="T168" t="b">
        <f t="shared" si="3"/>
        <v>0</v>
      </c>
      <c r="U168" t="str">
        <f>IF(T168=TRUE,ROWS($T$2:T168),"")</f>
        <v/>
      </c>
      <c r="V168" t="str">
        <f>IFERROR(SMALL($U$2:$U$2000,ROWS($U$2:U168)),"")</f>
        <v/>
      </c>
    </row>
    <row r="169" spans="20:22" x14ac:dyDescent="0.45">
      <c r="T169" t="b">
        <f t="shared" si="3"/>
        <v>0</v>
      </c>
      <c r="U169" t="str">
        <f>IF(T169=TRUE,ROWS($T$2:T169),"")</f>
        <v/>
      </c>
      <c r="V169" t="str">
        <f>IFERROR(SMALL($U$2:$U$2000,ROWS($U$2:U169)),"")</f>
        <v/>
      </c>
    </row>
    <row r="170" spans="20:22" x14ac:dyDescent="0.45">
      <c r="T170" t="b">
        <f t="shared" si="3"/>
        <v>0</v>
      </c>
      <c r="U170" t="str">
        <f>IF(T170=TRUE,ROWS($T$2:T170),"")</f>
        <v/>
      </c>
      <c r="V170" t="str">
        <f>IFERROR(SMALL($U$2:$U$2000,ROWS($U$2:U170)),"")</f>
        <v/>
      </c>
    </row>
    <row r="171" spans="20:22" x14ac:dyDescent="0.45">
      <c r="T171" t="b">
        <f t="shared" si="3"/>
        <v>0</v>
      </c>
      <c r="U171" t="str">
        <f>IF(T171=TRUE,ROWS($T$2:T171),"")</f>
        <v/>
      </c>
      <c r="V171" t="str">
        <f>IFERROR(SMALL($U$2:$U$2000,ROWS($U$2:U171)),"")</f>
        <v/>
      </c>
    </row>
    <row r="172" spans="20:22" x14ac:dyDescent="0.45">
      <c r="T172" t="b">
        <f t="shared" si="3"/>
        <v>0</v>
      </c>
      <c r="U172" t="str">
        <f>IF(T172=TRUE,ROWS($T$2:T172),"")</f>
        <v/>
      </c>
      <c r="V172" t="str">
        <f>IFERROR(SMALL($U$2:$U$2000,ROWS($U$2:U172)),"")</f>
        <v/>
      </c>
    </row>
    <row r="173" spans="20:22" x14ac:dyDescent="0.45">
      <c r="T173" t="b">
        <f t="shared" si="3"/>
        <v>0</v>
      </c>
      <c r="U173" t="str">
        <f>IF(T173=TRUE,ROWS($T$2:T173),"")</f>
        <v/>
      </c>
      <c r="V173" t="str">
        <f>IFERROR(SMALL($U$2:$U$2000,ROWS($U$2:U173)),"")</f>
        <v/>
      </c>
    </row>
    <row r="174" spans="20:22" x14ac:dyDescent="0.45">
      <c r="T174" t="b">
        <f t="shared" si="3"/>
        <v>0</v>
      </c>
      <c r="U174" t="str">
        <f>IF(T174=TRUE,ROWS($T$2:T174),"")</f>
        <v/>
      </c>
      <c r="V174" t="str">
        <f>IFERROR(SMALL($U$2:$U$2000,ROWS($U$2:U174)),"")</f>
        <v/>
      </c>
    </row>
    <row r="175" spans="20:22" x14ac:dyDescent="0.45">
      <c r="T175" t="b">
        <f t="shared" si="3"/>
        <v>0</v>
      </c>
      <c r="U175" t="str">
        <f>IF(T175=TRUE,ROWS($T$2:T175),"")</f>
        <v/>
      </c>
      <c r="V175" t="str">
        <f>IFERROR(SMALL($U$2:$U$2000,ROWS($U$2:U175)),"")</f>
        <v/>
      </c>
    </row>
    <row r="176" spans="20:22" x14ac:dyDescent="0.45">
      <c r="T176" t="b">
        <f t="shared" si="3"/>
        <v>0</v>
      </c>
      <c r="U176" t="str">
        <f>IF(T176=TRUE,ROWS($T$2:T176),"")</f>
        <v/>
      </c>
      <c r="V176" t="str">
        <f>IFERROR(SMALL($U$2:$U$2000,ROWS($U$2:U176)),"")</f>
        <v/>
      </c>
    </row>
    <row r="177" spans="20:22" x14ac:dyDescent="0.45">
      <c r="T177" t="b">
        <f t="shared" si="3"/>
        <v>0</v>
      </c>
      <c r="U177" t="str">
        <f>IF(T177=TRUE,ROWS($T$2:T177),"")</f>
        <v/>
      </c>
      <c r="V177" t="str">
        <f>IFERROR(SMALL($U$2:$U$2000,ROWS($U$2:U177)),"")</f>
        <v/>
      </c>
    </row>
    <row r="178" spans="20:22" x14ac:dyDescent="0.45">
      <c r="T178" t="b">
        <f t="shared" si="3"/>
        <v>0</v>
      </c>
      <c r="U178" t="str">
        <f>IF(T178=TRUE,ROWS($T$2:T178),"")</f>
        <v/>
      </c>
      <c r="V178" t="str">
        <f>IFERROR(SMALL($U$2:$U$2000,ROWS($U$2:U178)),"")</f>
        <v/>
      </c>
    </row>
    <row r="179" spans="20:22" x14ac:dyDescent="0.45">
      <c r="T179" t="b">
        <f t="shared" si="3"/>
        <v>0</v>
      </c>
      <c r="U179" t="str">
        <f>IF(T179=TRUE,ROWS($T$2:T179),"")</f>
        <v/>
      </c>
      <c r="V179" t="str">
        <f>IFERROR(SMALL($U$2:$U$2000,ROWS($U$2:U179)),"")</f>
        <v/>
      </c>
    </row>
    <row r="180" spans="20:22" x14ac:dyDescent="0.45">
      <c r="T180" t="b">
        <f t="shared" si="3"/>
        <v>0</v>
      </c>
      <c r="U180" t="str">
        <f>IF(T180=TRUE,ROWS($T$2:T180),"")</f>
        <v/>
      </c>
      <c r="V180" t="str">
        <f>IFERROR(SMALL($U$2:$U$2000,ROWS($U$2:U180)),"")</f>
        <v/>
      </c>
    </row>
    <row r="181" spans="20:22" x14ac:dyDescent="0.45">
      <c r="T181" t="b">
        <f t="shared" si="3"/>
        <v>0</v>
      </c>
      <c r="U181" t="str">
        <f>IF(T181=TRUE,ROWS($T$2:T181),"")</f>
        <v/>
      </c>
      <c r="V181" t="str">
        <f>IFERROR(SMALL($U$2:$U$2000,ROWS($U$2:U181)),"")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/>
  <dimension ref="A1:O846"/>
  <sheetViews>
    <sheetView workbookViewId="0">
      <selection activeCell="F35" sqref="F35:F36"/>
    </sheetView>
  </sheetViews>
  <sheetFormatPr defaultRowHeight="14.25" x14ac:dyDescent="0.45"/>
  <cols>
    <col min="1" max="1" width="12" customWidth="1"/>
    <col min="2" max="2" width="21.1328125" customWidth="1"/>
    <col min="3" max="3" width="22.265625" bestFit="1" customWidth="1"/>
    <col min="4" max="4" width="12.86328125" customWidth="1"/>
    <col min="5" max="5" width="10.73046875" customWidth="1"/>
    <col min="6" max="6" width="33.265625" bestFit="1" customWidth="1"/>
    <col min="7" max="7" width="20.1328125" customWidth="1"/>
    <col min="10" max="10" width="13.265625" customWidth="1"/>
    <col min="11" max="11" width="8.265625" customWidth="1"/>
    <col min="13" max="13" width="25.59765625" customWidth="1"/>
    <col min="15" max="15" width="14.265625" customWidth="1"/>
  </cols>
  <sheetData>
    <row r="1" spans="1:15" x14ac:dyDescent="0.45">
      <c r="A1" s="416" t="s">
        <v>2601</v>
      </c>
      <c r="B1" s="416" t="s">
        <v>2602</v>
      </c>
      <c r="C1" s="416" t="s">
        <v>2601</v>
      </c>
      <c r="D1" s="416" t="s">
        <v>2603</v>
      </c>
      <c r="J1" s="215" t="s">
        <v>2604</v>
      </c>
      <c r="K1" s="215" t="s">
        <v>417</v>
      </c>
      <c r="L1" s="206"/>
      <c r="M1" t="s">
        <v>2605</v>
      </c>
      <c r="N1">
        <f>MATCH(K1,$A$70:$A$846,0)+69</f>
        <v>70</v>
      </c>
      <c r="O1" s="215" t="str">
        <f>"City!F"&amp;N1&amp;":F"&amp;N2</f>
        <v>City!F70:F101</v>
      </c>
    </row>
    <row r="2" spans="1:15" x14ac:dyDescent="0.45">
      <c r="A2" s="413">
        <v>805</v>
      </c>
      <c r="B2" t="s">
        <v>2606</v>
      </c>
      <c r="C2">
        <v>805</v>
      </c>
      <c r="D2" s="206" t="s">
        <v>2607</v>
      </c>
      <c r="H2" s="206"/>
      <c r="J2" s="205" t="s">
        <v>2608</v>
      </c>
      <c r="K2" s="215" t="s">
        <v>4339</v>
      </c>
      <c r="L2" s="206"/>
      <c r="M2" t="s">
        <v>2609</v>
      </c>
      <c r="N2">
        <f>COUNTIF(A70:A846,K1)+N1-1</f>
        <v>101</v>
      </c>
    </row>
    <row r="3" spans="1:15" x14ac:dyDescent="0.45">
      <c r="A3" s="413">
        <v>717</v>
      </c>
      <c r="B3" t="s">
        <v>2610</v>
      </c>
      <c r="C3">
        <v>717</v>
      </c>
      <c r="D3" s="206" t="s">
        <v>2611</v>
      </c>
      <c r="H3" s="206"/>
      <c r="J3" s="206"/>
      <c r="K3" s="206"/>
      <c r="L3" s="206"/>
      <c r="O3" t="str">
        <f>"City!G"&amp;N1&amp;":G"&amp;N2</f>
        <v>City!G70:G101</v>
      </c>
    </row>
    <row r="4" spans="1:15" x14ac:dyDescent="0.45">
      <c r="A4" s="413">
        <v>207</v>
      </c>
      <c r="B4" t="s">
        <v>2612</v>
      </c>
      <c r="C4">
        <v>207</v>
      </c>
      <c r="D4" s="206" t="s">
        <v>2613</v>
      </c>
      <c r="H4" s="206"/>
    </row>
    <row r="5" spans="1:15" x14ac:dyDescent="0.45">
      <c r="A5" s="413">
        <v>221</v>
      </c>
      <c r="B5" t="s">
        <v>2614</v>
      </c>
      <c r="C5">
        <v>221</v>
      </c>
      <c r="D5" s="206" t="s">
        <v>2615</v>
      </c>
      <c r="H5" s="206"/>
    </row>
    <row r="6" spans="1:15" x14ac:dyDescent="0.45">
      <c r="A6" s="413">
        <v>821</v>
      </c>
      <c r="B6" t="s">
        <v>2616</v>
      </c>
      <c r="C6">
        <v>821</v>
      </c>
      <c r="D6" s="206" t="s">
        <v>2617</v>
      </c>
      <c r="H6" s="206"/>
    </row>
    <row r="7" spans="1:15" x14ac:dyDescent="0.45">
      <c r="A7" s="413">
        <v>223</v>
      </c>
      <c r="B7" t="s">
        <v>893</v>
      </c>
      <c r="C7">
        <v>223</v>
      </c>
      <c r="D7" s="206" t="s">
        <v>2618</v>
      </c>
      <c r="H7" s="206"/>
    </row>
    <row r="8" spans="1:15" x14ac:dyDescent="0.45">
      <c r="A8" s="413">
        <v>811</v>
      </c>
      <c r="B8" t="s">
        <v>2619</v>
      </c>
      <c r="C8">
        <v>811</v>
      </c>
      <c r="D8" s="206" t="s">
        <v>2620</v>
      </c>
      <c r="H8" s="206"/>
    </row>
    <row r="9" spans="1:15" x14ac:dyDescent="0.45">
      <c r="A9" s="413">
        <v>507</v>
      </c>
      <c r="B9" t="s">
        <v>2621</v>
      </c>
      <c r="C9">
        <v>507</v>
      </c>
      <c r="D9" s="206" t="s">
        <v>2622</v>
      </c>
      <c r="H9" s="206"/>
    </row>
    <row r="10" spans="1:15" x14ac:dyDescent="0.45">
      <c r="A10" s="413">
        <v>711</v>
      </c>
      <c r="B10" t="s">
        <v>2623</v>
      </c>
      <c r="C10">
        <v>711</v>
      </c>
      <c r="D10" s="206" t="s">
        <v>2624</v>
      </c>
      <c r="H10" s="206"/>
    </row>
    <row r="11" spans="1:15" x14ac:dyDescent="0.45">
      <c r="A11" s="413">
        <v>707</v>
      </c>
      <c r="B11" t="s">
        <v>2625</v>
      </c>
      <c r="C11">
        <v>707</v>
      </c>
      <c r="D11" s="206" t="s">
        <v>2626</v>
      </c>
      <c r="H11" s="206"/>
    </row>
    <row r="12" spans="1:15" x14ac:dyDescent="0.45">
      <c r="A12" s="413">
        <v>715</v>
      </c>
      <c r="B12" t="s">
        <v>2627</v>
      </c>
      <c r="C12">
        <v>715</v>
      </c>
      <c r="D12" s="206" t="s">
        <v>2628</v>
      </c>
      <c r="H12" s="206"/>
    </row>
    <row r="13" spans="1:15" x14ac:dyDescent="0.45">
      <c r="A13" s="413">
        <v>823</v>
      </c>
      <c r="B13" t="s">
        <v>2629</v>
      </c>
      <c r="C13">
        <v>823</v>
      </c>
      <c r="D13" s="206" t="s">
        <v>2630</v>
      </c>
      <c r="H13" s="206"/>
    </row>
    <row r="14" spans="1:15" x14ac:dyDescent="0.45">
      <c r="A14" s="413">
        <v>815</v>
      </c>
      <c r="B14" t="s">
        <v>2631</v>
      </c>
      <c r="C14">
        <v>815</v>
      </c>
      <c r="D14" s="206" t="s">
        <v>2632</v>
      </c>
      <c r="H14" s="206"/>
    </row>
    <row r="15" spans="1:15" x14ac:dyDescent="0.45">
      <c r="A15" s="413">
        <v>203</v>
      </c>
      <c r="B15" t="s">
        <v>2633</v>
      </c>
      <c r="C15">
        <v>203</v>
      </c>
      <c r="D15" s="206" t="s">
        <v>2634</v>
      </c>
      <c r="H15" s="206"/>
    </row>
    <row r="16" spans="1:15" x14ac:dyDescent="0.45">
      <c r="A16" s="413">
        <v>501</v>
      </c>
      <c r="B16" t="s">
        <v>2635</v>
      </c>
      <c r="C16">
        <v>501</v>
      </c>
      <c r="D16" s="206" t="s">
        <v>2636</v>
      </c>
      <c r="H16" s="206"/>
    </row>
    <row r="17" spans="1:8" x14ac:dyDescent="0.45">
      <c r="A17" s="413">
        <v>605</v>
      </c>
      <c r="B17" t="s">
        <v>2637</v>
      </c>
      <c r="C17">
        <v>605</v>
      </c>
      <c r="D17" s="206" t="s">
        <v>2638</v>
      </c>
      <c r="H17" s="206"/>
    </row>
    <row r="18" spans="1:8" x14ac:dyDescent="0.45">
      <c r="A18" s="413">
        <v>606</v>
      </c>
      <c r="B18" t="s">
        <v>2639</v>
      </c>
      <c r="C18">
        <v>606</v>
      </c>
      <c r="D18" s="206" t="s">
        <v>2640</v>
      </c>
      <c r="H18" s="206"/>
    </row>
    <row r="19" spans="1:8" x14ac:dyDescent="0.45">
      <c r="A19" s="413">
        <v>301</v>
      </c>
      <c r="B19" t="s">
        <v>403</v>
      </c>
      <c r="C19">
        <v>301</v>
      </c>
      <c r="D19" s="206" t="s">
        <v>2641</v>
      </c>
      <c r="H19" s="206"/>
    </row>
    <row r="20" spans="1:8" x14ac:dyDescent="0.45">
      <c r="A20" s="413">
        <v>713</v>
      </c>
      <c r="B20" t="s">
        <v>2642</v>
      </c>
      <c r="C20">
        <v>713</v>
      </c>
      <c r="D20" s="206" t="s">
        <v>2643</v>
      </c>
      <c r="H20" s="206"/>
    </row>
    <row r="21" spans="1:8" x14ac:dyDescent="0.45">
      <c r="A21" s="413">
        <v>803</v>
      </c>
      <c r="B21" t="s">
        <v>2644</v>
      </c>
      <c r="C21">
        <v>803</v>
      </c>
      <c r="D21" s="206" t="s">
        <v>2645</v>
      </c>
      <c r="H21" s="206"/>
    </row>
    <row r="22" spans="1:8" x14ac:dyDescent="0.45">
      <c r="A22" s="413">
        <v>603</v>
      </c>
      <c r="B22" t="s">
        <v>2646</v>
      </c>
      <c r="C22">
        <v>603</v>
      </c>
      <c r="D22" s="206" t="s">
        <v>2647</v>
      </c>
      <c r="H22" s="206"/>
    </row>
    <row r="23" spans="1:8" x14ac:dyDescent="0.45">
      <c r="A23" s="413">
        <v>201</v>
      </c>
      <c r="B23" t="s">
        <v>2648</v>
      </c>
      <c r="C23">
        <v>201</v>
      </c>
      <c r="D23" s="206" t="s">
        <v>2649</v>
      </c>
      <c r="H23" s="206"/>
    </row>
    <row r="24" spans="1:8" x14ac:dyDescent="0.45">
      <c r="A24" s="413">
        <v>111</v>
      </c>
      <c r="B24" t="s">
        <v>2650</v>
      </c>
      <c r="C24">
        <v>111</v>
      </c>
      <c r="D24" s="206" t="s">
        <v>2651</v>
      </c>
      <c r="H24" s="206"/>
    </row>
    <row r="25" spans="1:8" x14ac:dyDescent="0.45">
      <c r="A25" s="413">
        <v>101</v>
      </c>
      <c r="B25" t="s">
        <v>417</v>
      </c>
      <c r="C25">
        <v>101</v>
      </c>
      <c r="D25" s="206" t="s">
        <v>2652</v>
      </c>
      <c r="H25" s="206"/>
    </row>
    <row r="26" spans="1:8" x14ac:dyDescent="0.45">
      <c r="A26" s="413">
        <v>405</v>
      </c>
      <c r="B26" t="s">
        <v>2653</v>
      </c>
      <c r="C26">
        <v>405</v>
      </c>
      <c r="D26" s="206" t="s">
        <v>2654</v>
      </c>
      <c r="H26" s="206"/>
    </row>
    <row r="27" spans="1:8" x14ac:dyDescent="0.45">
      <c r="A27" s="413">
        <v>107</v>
      </c>
      <c r="B27" t="s">
        <v>2655</v>
      </c>
      <c r="C27">
        <v>107</v>
      </c>
      <c r="D27" s="206" t="s">
        <v>2656</v>
      </c>
      <c r="H27" s="206"/>
    </row>
    <row r="28" spans="1:8" x14ac:dyDescent="0.45">
      <c r="A28" s="413">
        <v>103</v>
      </c>
      <c r="B28" t="s">
        <v>2657</v>
      </c>
      <c r="C28">
        <v>103</v>
      </c>
      <c r="D28" s="206" t="s">
        <v>2658</v>
      </c>
      <c r="H28" s="206"/>
    </row>
    <row r="29" spans="1:8" x14ac:dyDescent="0.45">
      <c r="A29" s="413">
        <v>816</v>
      </c>
      <c r="B29" t="s">
        <v>2659</v>
      </c>
      <c r="C29">
        <v>816</v>
      </c>
      <c r="D29" s="206" t="s">
        <v>2660</v>
      </c>
      <c r="H29" s="206"/>
    </row>
    <row r="30" spans="1:8" x14ac:dyDescent="0.45">
      <c r="A30" s="413">
        <v>305</v>
      </c>
      <c r="B30" t="s">
        <v>2661</v>
      </c>
      <c r="C30">
        <v>305</v>
      </c>
      <c r="D30" s="206" t="s">
        <v>2662</v>
      </c>
      <c r="H30" s="206"/>
    </row>
    <row r="31" spans="1:8" x14ac:dyDescent="0.45">
      <c r="A31" s="413">
        <v>109</v>
      </c>
      <c r="B31" t="s">
        <v>700</v>
      </c>
      <c r="C31">
        <v>109</v>
      </c>
      <c r="D31" s="206" t="s">
        <v>2663</v>
      </c>
      <c r="H31" s="206"/>
    </row>
    <row r="32" spans="1:8" x14ac:dyDescent="0.45">
      <c r="A32" s="413">
        <v>511</v>
      </c>
      <c r="B32" t="s">
        <v>2664</v>
      </c>
      <c r="C32">
        <v>511</v>
      </c>
      <c r="D32" s="206" t="s">
        <v>2665</v>
      </c>
      <c r="H32" s="206"/>
    </row>
    <row r="33" spans="1:8" x14ac:dyDescent="0.45">
      <c r="A33" s="413">
        <v>813</v>
      </c>
      <c r="B33" t="s">
        <v>2666</v>
      </c>
      <c r="C33">
        <v>813</v>
      </c>
      <c r="D33" s="206" t="s">
        <v>2667</v>
      </c>
      <c r="H33" s="206"/>
    </row>
    <row r="34" spans="1:8" x14ac:dyDescent="0.45">
      <c r="A34" s="413">
        <v>601</v>
      </c>
      <c r="B34" t="s">
        <v>2668</v>
      </c>
      <c r="C34">
        <v>601</v>
      </c>
      <c r="D34" s="206" t="s">
        <v>2669</v>
      </c>
      <c r="H34" s="206"/>
    </row>
    <row r="35" spans="1:8" x14ac:dyDescent="0.45">
      <c r="A35" s="413">
        <v>302</v>
      </c>
      <c r="B35" t="s">
        <v>2670</v>
      </c>
      <c r="C35">
        <v>302</v>
      </c>
      <c r="D35" s="206" t="s">
        <v>2671</v>
      </c>
      <c r="H35" s="206"/>
    </row>
    <row r="36" spans="1:8" x14ac:dyDescent="0.45">
      <c r="A36" s="413">
        <v>703</v>
      </c>
      <c r="B36" t="s">
        <v>2672</v>
      </c>
      <c r="C36">
        <v>703</v>
      </c>
      <c r="D36" s="206" t="s">
        <v>2673</v>
      </c>
      <c r="H36" s="206"/>
    </row>
    <row r="37" spans="1:8" x14ac:dyDescent="0.45">
      <c r="A37" s="413">
        <v>209</v>
      </c>
      <c r="B37" t="s">
        <v>2674</v>
      </c>
      <c r="C37">
        <v>209</v>
      </c>
      <c r="D37" s="206" t="s">
        <v>2675</v>
      </c>
      <c r="H37" s="206"/>
    </row>
    <row r="38" spans="1:8" x14ac:dyDescent="0.45">
      <c r="A38" s="413">
        <v>205</v>
      </c>
      <c r="B38" t="s">
        <v>2676</v>
      </c>
      <c r="C38">
        <v>205</v>
      </c>
      <c r="D38" s="206" t="s">
        <v>2677</v>
      </c>
      <c r="H38" s="206"/>
    </row>
    <row r="39" spans="1:8" x14ac:dyDescent="0.45">
      <c r="A39" s="413">
        <v>801</v>
      </c>
      <c r="B39" t="s">
        <v>2678</v>
      </c>
      <c r="C39">
        <v>801</v>
      </c>
      <c r="D39" s="206" t="s">
        <v>2679</v>
      </c>
      <c r="H39" s="206"/>
    </row>
    <row r="40" spans="1:8" x14ac:dyDescent="0.45">
      <c r="A40" s="413">
        <v>113</v>
      </c>
      <c r="B40" t="s">
        <v>2680</v>
      </c>
      <c r="C40">
        <v>113</v>
      </c>
      <c r="D40" s="206" t="s">
        <v>2681</v>
      </c>
      <c r="H40" s="206"/>
    </row>
    <row r="41" spans="1:8" x14ac:dyDescent="0.45">
      <c r="A41" s="413">
        <v>403</v>
      </c>
      <c r="B41" t="s">
        <v>2682</v>
      </c>
      <c r="C41">
        <v>403</v>
      </c>
      <c r="D41" s="206" t="s">
        <v>2683</v>
      </c>
      <c r="H41" s="206"/>
    </row>
    <row r="42" spans="1:8" x14ac:dyDescent="0.45">
      <c r="A42" s="413">
        <v>117</v>
      </c>
      <c r="B42" t="s">
        <v>2684</v>
      </c>
      <c r="C42">
        <v>117</v>
      </c>
      <c r="D42" s="206" t="s">
        <v>2685</v>
      </c>
      <c r="H42" s="206"/>
    </row>
    <row r="43" spans="1:8" x14ac:dyDescent="0.45">
      <c r="A43" s="413">
        <v>705</v>
      </c>
      <c r="B43" t="s">
        <v>2686</v>
      </c>
      <c r="C43">
        <v>705</v>
      </c>
      <c r="D43" s="206" t="s">
        <v>2687</v>
      </c>
      <c r="H43" s="206"/>
    </row>
    <row r="44" spans="1:8" x14ac:dyDescent="0.45">
      <c r="A44" s="413">
        <v>217</v>
      </c>
      <c r="B44" t="s">
        <v>2688</v>
      </c>
      <c r="C44">
        <v>217</v>
      </c>
      <c r="D44" s="206" t="s">
        <v>2689</v>
      </c>
      <c r="H44" s="206"/>
    </row>
    <row r="45" spans="1:8" x14ac:dyDescent="0.45">
      <c r="A45" s="413">
        <v>509</v>
      </c>
      <c r="B45" t="s">
        <v>2690</v>
      </c>
      <c r="C45">
        <v>509</v>
      </c>
      <c r="D45" s="206" t="s">
        <v>2691</v>
      </c>
      <c r="H45" s="206"/>
    </row>
    <row r="46" spans="1:8" x14ac:dyDescent="0.45">
      <c r="A46" s="413">
        <v>407</v>
      </c>
      <c r="B46" t="s">
        <v>2692</v>
      </c>
      <c r="C46">
        <v>407</v>
      </c>
      <c r="D46" s="206" t="s">
        <v>2693</v>
      </c>
      <c r="H46" s="206"/>
    </row>
    <row r="47" spans="1:8" x14ac:dyDescent="0.45">
      <c r="A47" s="413">
        <v>503</v>
      </c>
      <c r="B47" t="s">
        <v>2694</v>
      </c>
      <c r="C47">
        <v>503</v>
      </c>
      <c r="D47" s="206" t="s">
        <v>2695</v>
      </c>
      <c r="H47" s="206"/>
    </row>
    <row r="48" spans="1:8" x14ac:dyDescent="0.45">
      <c r="A48" s="413">
        <v>505</v>
      </c>
      <c r="B48" t="s">
        <v>2696</v>
      </c>
      <c r="C48">
        <v>505</v>
      </c>
      <c r="D48" s="206" t="s">
        <v>2697</v>
      </c>
      <c r="H48" s="206"/>
    </row>
    <row r="49" spans="1:8" x14ac:dyDescent="0.45">
      <c r="A49" s="413">
        <v>225</v>
      </c>
      <c r="B49" t="s">
        <v>2698</v>
      </c>
      <c r="C49">
        <v>225</v>
      </c>
      <c r="D49" s="206" t="s">
        <v>2699</v>
      </c>
      <c r="H49" s="206"/>
    </row>
    <row r="50" spans="1:8" x14ac:dyDescent="0.45">
      <c r="A50" s="413">
        <v>409</v>
      </c>
      <c r="B50" t="s">
        <v>2700</v>
      </c>
      <c r="C50">
        <v>409</v>
      </c>
      <c r="D50" s="206" t="s">
        <v>2701</v>
      </c>
      <c r="H50" s="206"/>
    </row>
    <row r="51" spans="1:8" x14ac:dyDescent="0.45">
      <c r="A51" s="413">
        <v>819</v>
      </c>
      <c r="B51" t="s">
        <v>2702</v>
      </c>
      <c r="C51">
        <v>819</v>
      </c>
      <c r="D51" s="206" t="s">
        <v>2703</v>
      </c>
      <c r="H51" s="206"/>
    </row>
    <row r="52" spans="1:8" x14ac:dyDescent="0.45">
      <c r="A52" s="413">
        <v>303</v>
      </c>
      <c r="B52" t="s">
        <v>2704</v>
      </c>
      <c r="C52">
        <v>303</v>
      </c>
      <c r="D52" s="206" t="s">
        <v>2705</v>
      </c>
      <c r="H52" s="206"/>
    </row>
    <row r="53" spans="1:8" x14ac:dyDescent="0.45">
      <c r="A53" s="413">
        <v>709</v>
      </c>
      <c r="B53" t="s">
        <v>2706</v>
      </c>
      <c r="C53">
        <v>709</v>
      </c>
      <c r="D53" s="206" t="s">
        <v>2707</v>
      </c>
      <c r="H53" s="206"/>
    </row>
    <row r="54" spans="1:8" x14ac:dyDescent="0.45">
      <c r="A54" s="413">
        <v>115</v>
      </c>
      <c r="B54" t="s">
        <v>2708</v>
      </c>
      <c r="C54">
        <v>115</v>
      </c>
      <c r="D54" s="206" t="s">
        <v>2709</v>
      </c>
      <c r="H54" s="206"/>
    </row>
    <row r="55" spans="1:8" x14ac:dyDescent="0.45">
      <c r="A55" s="413">
        <v>215</v>
      </c>
      <c r="B55" t="s">
        <v>2710</v>
      </c>
      <c r="C55">
        <v>215</v>
      </c>
      <c r="D55" s="206" t="s">
        <v>2711</v>
      </c>
      <c r="H55" s="206"/>
    </row>
    <row r="56" spans="1:8" x14ac:dyDescent="0.45">
      <c r="A56" s="413">
        <v>401</v>
      </c>
      <c r="B56" t="s">
        <v>2712</v>
      </c>
      <c r="C56">
        <v>401</v>
      </c>
      <c r="D56" s="206" t="s">
        <v>2713</v>
      </c>
      <c r="H56" s="206"/>
    </row>
    <row r="57" spans="1:8" x14ac:dyDescent="0.45">
      <c r="A57" s="413">
        <v>411</v>
      </c>
      <c r="B57" t="s">
        <v>2714</v>
      </c>
      <c r="C57">
        <v>411</v>
      </c>
      <c r="D57" s="206" t="s">
        <v>2715</v>
      </c>
      <c r="H57" s="206"/>
    </row>
    <row r="58" spans="1:8" x14ac:dyDescent="0.45">
      <c r="A58" s="413">
        <v>807</v>
      </c>
      <c r="B58" t="s">
        <v>2716</v>
      </c>
      <c r="C58">
        <v>807</v>
      </c>
      <c r="D58" s="206" t="s">
        <v>2717</v>
      </c>
      <c r="H58" s="206"/>
    </row>
    <row r="59" spans="1:8" x14ac:dyDescent="0.45">
      <c r="A59" s="413">
        <v>701</v>
      </c>
      <c r="B59" t="s">
        <v>2718</v>
      </c>
      <c r="C59">
        <v>701</v>
      </c>
      <c r="D59" s="206" t="s">
        <v>2719</v>
      </c>
      <c r="H59" s="206"/>
    </row>
    <row r="60" spans="1:8" x14ac:dyDescent="0.45">
      <c r="A60" s="413">
        <v>817</v>
      </c>
      <c r="B60" t="s">
        <v>2720</v>
      </c>
      <c r="C60">
        <v>817</v>
      </c>
      <c r="D60" s="206" t="s">
        <v>2721</v>
      </c>
      <c r="H60" s="206"/>
    </row>
    <row r="61" spans="1:8" x14ac:dyDescent="0.45">
      <c r="A61" s="413">
        <v>211</v>
      </c>
      <c r="B61" t="s">
        <v>2722</v>
      </c>
      <c r="C61">
        <v>211</v>
      </c>
      <c r="D61" s="206" t="s">
        <v>2723</v>
      </c>
      <c r="H61" s="206"/>
    </row>
    <row r="62" spans="1:8" x14ac:dyDescent="0.45">
      <c r="A62" s="413">
        <v>809</v>
      </c>
      <c r="B62" t="s">
        <v>2724</v>
      </c>
      <c r="C62">
        <v>809</v>
      </c>
      <c r="D62" s="206" t="s">
        <v>2725</v>
      </c>
      <c r="H62" s="206"/>
    </row>
    <row r="63" spans="1:8" x14ac:dyDescent="0.45">
      <c r="A63" s="413">
        <v>219</v>
      </c>
      <c r="B63" t="s">
        <v>2726</v>
      </c>
      <c r="C63">
        <v>219</v>
      </c>
      <c r="D63" s="206" t="s">
        <v>2727</v>
      </c>
      <c r="H63" s="206"/>
    </row>
    <row r="64" spans="1:8" x14ac:dyDescent="0.45">
      <c r="A64" s="413">
        <v>213</v>
      </c>
      <c r="B64" t="s">
        <v>2728</v>
      </c>
      <c r="C64">
        <v>213</v>
      </c>
      <c r="D64" s="206" t="s">
        <v>2729</v>
      </c>
      <c r="H64" s="206"/>
    </row>
    <row r="65" spans="1:13" x14ac:dyDescent="0.45">
      <c r="A65" s="413">
        <v>999</v>
      </c>
      <c r="B65" t="s">
        <v>2730</v>
      </c>
      <c r="C65">
        <v>999</v>
      </c>
      <c r="D65" s="206"/>
      <c r="H65" s="206"/>
    </row>
    <row r="66" spans="1:13" x14ac:dyDescent="0.45">
      <c r="D66" s="206"/>
      <c r="H66" s="206"/>
    </row>
    <row r="67" spans="1:13" x14ac:dyDescent="0.45">
      <c r="D67" s="206"/>
      <c r="H67" s="206"/>
    </row>
    <row r="68" spans="1:13" x14ac:dyDescent="0.45">
      <c r="D68" s="206"/>
      <c r="H68" s="206"/>
    </row>
    <row r="69" spans="1:13" x14ac:dyDescent="0.45">
      <c r="A69" s="417" t="s">
        <v>388</v>
      </c>
      <c r="B69" s="417" t="s">
        <v>2731</v>
      </c>
      <c r="C69" s="417" t="s">
        <v>2732</v>
      </c>
      <c r="D69" s="417" t="s">
        <v>2733</v>
      </c>
      <c r="E69" s="418"/>
      <c r="F69" s="417" t="s">
        <v>393</v>
      </c>
      <c r="G69" s="417" t="s">
        <v>2734</v>
      </c>
      <c r="H69" s="206"/>
      <c r="J69" t="str">
        <f>K1</f>
        <v>Hà Nội</v>
      </c>
    </row>
    <row r="70" spans="1:13" x14ac:dyDescent="0.45">
      <c r="A70" t="s">
        <v>417</v>
      </c>
      <c r="B70" s="206">
        <v>101</v>
      </c>
      <c r="C70" s="205" t="s">
        <v>2735</v>
      </c>
      <c r="D70" s="19">
        <v>10100</v>
      </c>
      <c r="E70" s="206" t="str">
        <f>RIGHT(D70,2)</f>
        <v>00</v>
      </c>
      <c r="F70" t="str">
        <f>IF(E70="00","Cục thuế "&amp;C70,"Chi cục thuế "&amp;C70)</f>
        <v>Cục thuế Thành phố Hà Nội</v>
      </c>
      <c r="H70" s="206" t="s">
        <v>417</v>
      </c>
      <c r="I70" s="206">
        <f>D70</f>
        <v>10100</v>
      </c>
      <c r="J70" t="str">
        <f>IF(A70=$J$69,F70,"")</f>
        <v>Cục thuế Thành phố Hà Nội</v>
      </c>
      <c r="K70">
        <f>IF(J70="","",ROWS($K$70:K70))</f>
        <v>1</v>
      </c>
      <c r="L70">
        <f>IFERROR(SMALL($K$70:$K$846,ROWS($L$70:L70)),"")</f>
        <v>1</v>
      </c>
      <c r="M70" t="str" cm="1">
        <f t="array" ref="M70">IFERROR(INDEX($F$70:$F$846,L70,1),"")</f>
        <v>Cục thuế Thành phố Hà Nội</v>
      </c>
    </row>
    <row r="71" spans="1:13" x14ac:dyDescent="0.45">
      <c r="A71" t="s">
        <v>417</v>
      </c>
      <c r="B71" s="206">
        <v>101</v>
      </c>
      <c r="C71" t="s">
        <v>2736</v>
      </c>
      <c r="D71" s="206" t="s">
        <v>2737</v>
      </c>
      <c r="E71" s="206" t="str">
        <f t="shared" ref="E71:E134" si="0">RIGHT(D71,2)</f>
        <v>01</v>
      </c>
      <c r="F71" t="str">
        <f t="shared" ref="F71:F134" si="1">IF(E71="00","Cục thuế "&amp;C71,"Chi cục thuế "&amp;C71)</f>
        <v>Chi cục thuế Quận Ba Đình</v>
      </c>
      <c r="G71" t="str">
        <f>RIGHT(C71,LEN(C71)-5)</f>
        <v>Ba Đình</v>
      </c>
      <c r="H71" s="206"/>
      <c r="I71" s="206" t="str">
        <f t="shared" ref="I71:I134" si="2">D71</f>
        <v>10101</v>
      </c>
      <c r="J71" t="str">
        <f t="shared" ref="J71:J135" si="3">IF(A71=$J$69,F71,"")</f>
        <v>Chi cục thuế Quận Ba Đình</v>
      </c>
      <c r="K71">
        <f>IF(J71="","",ROWS($K$70:K71))</f>
        <v>2</v>
      </c>
      <c r="L71">
        <f>IFERROR(SMALL($K$70:$K$846,ROWS($L$70:L71)),"")</f>
        <v>2</v>
      </c>
      <c r="M71" t="str" cm="1">
        <f t="array" ref="M71">IFERROR(INDEX($F$70:$F$846,L71,1),"")</f>
        <v>Chi cục thuế Quận Ba Đình</v>
      </c>
    </row>
    <row r="72" spans="1:13" x14ac:dyDescent="0.45">
      <c r="A72" t="s">
        <v>417</v>
      </c>
      <c r="B72" s="206">
        <v>101</v>
      </c>
      <c r="C72" t="s">
        <v>2738</v>
      </c>
      <c r="D72" s="206" t="s">
        <v>2739</v>
      </c>
      <c r="E72" s="206" t="str">
        <f t="shared" si="0"/>
        <v>03</v>
      </c>
      <c r="F72" t="str">
        <f t="shared" si="1"/>
        <v>Chi cục thuế Quận Tây Hồ</v>
      </c>
      <c r="G72" t="str">
        <f t="shared" ref="G72:G79" si="4">RIGHT(C72,LEN(C72)-5)</f>
        <v>Tây Hồ</v>
      </c>
      <c r="H72" s="206"/>
      <c r="I72" s="206" t="str">
        <f t="shared" si="2"/>
        <v>10103</v>
      </c>
      <c r="J72" t="str">
        <f t="shared" si="3"/>
        <v>Chi cục thuế Quận Tây Hồ</v>
      </c>
      <c r="K72">
        <f>IF(J72="","",ROWS($K$70:K72))</f>
        <v>3</v>
      </c>
      <c r="L72">
        <f>IFERROR(SMALL($K$70:$K$846,ROWS($L$70:L72)),"")</f>
        <v>3</v>
      </c>
      <c r="M72" t="str" cm="1">
        <f t="array" ref="M72">IFERROR(INDEX($F$70:$F$846,L72,1),"")</f>
        <v>Chi cục thuế Quận Tây Hồ</v>
      </c>
    </row>
    <row r="73" spans="1:13" x14ac:dyDescent="0.45">
      <c r="A73" t="s">
        <v>417</v>
      </c>
      <c r="B73" s="206">
        <v>101</v>
      </c>
      <c r="C73" t="s">
        <v>2740</v>
      </c>
      <c r="D73" s="206" t="s">
        <v>2741</v>
      </c>
      <c r="E73" s="206" t="str">
        <f t="shared" si="0"/>
        <v>05</v>
      </c>
      <c r="F73" t="str">
        <f t="shared" si="1"/>
        <v>Chi cục thuế Quận Hoàn Kiếm</v>
      </c>
      <c r="G73" t="str">
        <f t="shared" si="4"/>
        <v>Hoàn Kiếm</v>
      </c>
      <c r="H73" s="206"/>
      <c r="I73" s="206" t="str">
        <f t="shared" si="2"/>
        <v>10105</v>
      </c>
      <c r="J73" t="str">
        <f t="shared" si="3"/>
        <v>Chi cục thuế Quận Hoàn Kiếm</v>
      </c>
      <c r="K73">
        <f>IF(J73="","",ROWS($K$70:K73))</f>
        <v>4</v>
      </c>
      <c r="L73">
        <f>IFERROR(SMALL($K$70:$K$846,ROWS($L$70:L73)),"")</f>
        <v>4</v>
      </c>
      <c r="M73" t="str" cm="1">
        <f t="array" ref="M73">IFERROR(INDEX($F$70:$F$846,L73,1),"")</f>
        <v>Chi cục thuế Quận Hoàn Kiếm</v>
      </c>
    </row>
    <row r="74" spans="1:13" x14ac:dyDescent="0.45">
      <c r="A74" t="s">
        <v>417</v>
      </c>
      <c r="B74" s="206">
        <v>101</v>
      </c>
      <c r="C74" t="s">
        <v>2742</v>
      </c>
      <c r="D74" s="206" t="s">
        <v>2743</v>
      </c>
      <c r="E74" s="206" t="str">
        <f t="shared" si="0"/>
        <v>06</v>
      </c>
      <c r="F74" t="str">
        <f t="shared" si="1"/>
        <v>Chi cục thuế Quận Long Biên</v>
      </c>
      <c r="G74" t="str">
        <f t="shared" si="4"/>
        <v>Long Biên</v>
      </c>
      <c r="H74" s="206"/>
      <c r="I74" s="206" t="str">
        <f t="shared" si="2"/>
        <v>10106</v>
      </c>
      <c r="J74" t="str">
        <f t="shared" si="3"/>
        <v>Chi cục thuế Quận Long Biên</v>
      </c>
      <c r="K74">
        <f>IF(J74="","",ROWS($K$70:K74))</f>
        <v>5</v>
      </c>
      <c r="L74">
        <f>IFERROR(SMALL($K$70:$K$846,ROWS($L$70:L74)),"")</f>
        <v>5</v>
      </c>
      <c r="M74" t="str" cm="1">
        <f t="array" ref="M74">IFERROR(INDEX($F$70:$F$846,L74,1),"")</f>
        <v>Chi cục thuế Quận Long Biên</v>
      </c>
    </row>
    <row r="75" spans="1:13" x14ac:dyDescent="0.45">
      <c r="A75" t="s">
        <v>417</v>
      </c>
      <c r="B75" s="206">
        <v>101</v>
      </c>
      <c r="C75" t="s">
        <v>2744</v>
      </c>
      <c r="D75" s="206" t="s">
        <v>2745</v>
      </c>
      <c r="E75" s="206" t="str">
        <f t="shared" si="0"/>
        <v>07</v>
      </c>
      <c r="F75" t="str">
        <f t="shared" si="1"/>
        <v>Chi cục thuế Quận Hai Bà Trưng</v>
      </c>
      <c r="G75" t="str">
        <f t="shared" si="4"/>
        <v>Hai Bà Trưng</v>
      </c>
      <c r="H75" s="206"/>
      <c r="I75" s="206" t="str">
        <f t="shared" si="2"/>
        <v>10107</v>
      </c>
      <c r="J75" t="str">
        <f t="shared" si="3"/>
        <v>Chi cục thuế Quận Hai Bà Trưng</v>
      </c>
      <c r="K75">
        <f>IF(J75="","",ROWS($K$70:K75))</f>
        <v>6</v>
      </c>
      <c r="L75">
        <f>IFERROR(SMALL($K$70:$K$846,ROWS($L$70:L75)),"")</f>
        <v>6</v>
      </c>
      <c r="M75" t="str" cm="1">
        <f t="array" ref="M75">IFERROR(INDEX($F$70:$F$846,L75,1),"")</f>
        <v>Chi cục thuế Quận Hai Bà Trưng</v>
      </c>
    </row>
    <row r="76" spans="1:13" x14ac:dyDescent="0.45">
      <c r="A76" t="s">
        <v>417</v>
      </c>
      <c r="B76" s="206">
        <v>101</v>
      </c>
      <c r="C76" t="s">
        <v>2746</v>
      </c>
      <c r="D76" s="206" t="s">
        <v>2747</v>
      </c>
      <c r="E76" s="206" t="str">
        <f t="shared" si="0"/>
        <v>08</v>
      </c>
      <c r="F76" t="str">
        <f t="shared" si="1"/>
        <v>Chi cục thuế Quận Hoàng Mai</v>
      </c>
      <c r="G76" t="str">
        <f t="shared" si="4"/>
        <v>Hoàng Mai</v>
      </c>
      <c r="H76" s="206"/>
      <c r="I76" s="206" t="str">
        <f t="shared" si="2"/>
        <v>10108</v>
      </c>
      <c r="J76" t="str">
        <f t="shared" si="3"/>
        <v>Chi cục thuế Quận Hoàng Mai</v>
      </c>
      <c r="K76">
        <f>IF(J76="","",ROWS($K$70:K76))</f>
        <v>7</v>
      </c>
      <c r="L76">
        <f>IFERROR(SMALL($K$70:$K$846,ROWS($L$70:L76)),"")</f>
        <v>7</v>
      </c>
      <c r="M76" t="str" cm="1">
        <f t="array" ref="M76">IFERROR(INDEX($F$70:$F$846,L76,1),"")</f>
        <v>Chi cục thuế Quận Hoàng Mai</v>
      </c>
    </row>
    <row r="77" spans="1:13" x14ac:dyDescent="0.45">
      <c r="A77" t="s">
        <v>417</v>
      </c>
      <c r="B77" s="206">
        <v>101</v>
      </c>
      <c r="C77" t="s">
        <v>2748</v>
      </c>
      <c r="D77" s="206" t="s">
        <v>2749</v>
      </c>
      <c r="E77" s="206" t="str">
        <f t="shared" si="0"/>
        <v>09</v>
      </c>
      <c r="F77" t="str">
        <f t="shared" si="1"/>
        <v>Chi cục thuế Quận Đống đa</v>
      </c>
      <c r="G77" t="str">
        <f t="shared" si="4"/>
        <v>Đống đa</v>
      </c>
      <c r="H77" s="206"/>
      <c r="I77" s="206" t="str">
        <f t="shared" si="2"/>
        <v>10109</v>
      </c>
      <c r="J77" t="str">
        <f t="shared" si="3"/>
        <v>Chi cục thuế Quận Đống đa</v>
      </c>
      <c r="K77">
        <f>IF(J77="","",ROWS($K$70:K77))</f>
        <v>8</v>
      </c>
      <c r="L77">
        <f>IFERROR(SMALL($K$70:$K$846,ROWS($L$70:L77)),"")</f>
        <v>8</v>
      </c>
      <c r="M77" t="str" cm="1">
        <f t="array" ref="M77">IFERROR(INDEX($F$70:$F$846,L77,1),"")</f>
        <v>Chi cục thuế Quận Đống đa</v>
      </c>
    </row>
    <row r="78" spans="1:13" x14ac:dyDescent="0.45">
      <c r="A78" t="s">
        <v>417</v>
      </c>
      <c r="B78" s="206">
        <v>101</v>
      </c>
      <c r="C78" t="s">
        <v>2750</v>
      </c>
      <c r="D78" s="206" t="s">
        <v>2751</v>
      </c>
      <c r="E78" s="206" t="str">
        <f t="shared" si="0"/>
        <v>11</v>
      </c>
      <c r="F78" t="str">
        <f t="shared" si="1"/>
        <v>Chi cục thuế Quận Thanh Xuân</v>
      </c>
      <c r="G78" t="str">
        <f t="shared" si="4"/>
        <v>Thanh Xuân</v>
      </c>
      <c r="H78" s="206"/>
      <c r="I78" s="206" t="str">
        <f t="shared" si="2"/>
        <v>10111</v>
      </c>
      <c r="J78" t="str">
        <f t="shared" si="3"/>
        <v>Chi cục thuế Quận Thanh Xuân</v>
      </c>
      <c r="K78">
        <f>IF(J78="","",ROWS($K$70:K78))</f>
        <v>9</v>
      </c>
      <c r="L78">
        <f>IFERROR(SMALL($K$70:$K$846,ROWS($L$70:L78)),"")</f>
        <v>9</v>
      </c>
      <c r="M78" t="str" cm="1">
        <f t="array" ref="M78">IFERROR(INDEX($F$70:$F$846,L78,1),"")</f>
        <v>Chi cục thuế Quận Thanh Xuân</v>
      </c>
    </row>
    <row r="79" spans="1:13" x14ac:dyDescent="0.45">
      <c r="A79" t="s">
        <v>417</v>
      </c>
      <c r="B79" s="206">
        <v>101</v>
      </c>
      <c r="C79" t="s">
        <v>2752</v>
      </c>
      <c r="D79" s="206" t="s">
        <v>2600</v>
      </c>
      <c r="E79" s="206" t="str">
        <f t="shared" si="0"/>
        <v>13</v>
      </c>
      <c r="F79" t="str">
        <f t="shared" si="1"/>
        <v>Chi cục thuế Quận Cầu Giấy</v>
      </c>
      <c r="G79" t="str">
        <f t="shared" si="4"/>
        <v>Cầu Giấy</v>
      </c>
      <c r="H79" s="206"/>
      <c r="I79" s="206" t="str">
        <f t="shared" si="2"/>
        <v>10113</v>
      </c>
      <c r="J79" t="str">
        <f t="shared" si="3"/>
        <v>Chi cục thuế Quận Cầu Giấy</v>
      </c>
      <c r="K79">
        <f>IF(J79="","",ROWS($K$70:K79))</f>
        <v>10</v>
      </c>
      <c r="L79">
        <f>IFERROR(SMALL($K$70:$K$846,ROWS($L$70:L79)),"")</f>
        <v>10</v>
      </c>
      <c r="M79" t="str" cm="1">
        <f t="array" ref="M79">IFERROR(INDEX($F$70:$F$846,L79,1),"")</f>
        <v>Chi cục thuế Quận Cầu Giấy</v>
      </c>
    </row>
    <row r="80" spans="1:13" x14ac:dyDescent="0.45">
      <c r="A80" t="s">
        <v>417</v>
      </c>
      <c r="B80" s="206">
        <v>101</v>
      </c>
      <c r="C80" t="s">
        <v>2753</v>
      </c>
      <c r="D80" s="206" t="s">
        <v>2754</v>
      </c>
      <c r="E80" s="206" t="str">
        <f t="shared" si="0"/>
        <v>15</v>
      </c>
      <c r="F80" t="str">
        <f t="shared" si="1"/>
        <v>Chi cục thuế Huyện Sóc Sơn</v>
      </c>
      <c r="G80" t="str">
        <f t="shared" ref="G80:G85" si="5">RIGHT(C80,LEN(C80)-6)</f>
        <v>Sóc Sơn</v>
      </c>
      <c r="H80" s="206"/>
      <c r="I80" s="206" t="str">
        <f t="shared" si="2"/>
        <v>10115</v>
      </c>
      <c r="J80" t="str">
        <f t="shared" si="3"/>
        <v>Chi cục thuế Huyện Sóc Sơn</v>
      </c>
      <c r="K80">
        <f>IF(J80="","",ROWS($K$70:K80))</f>
        <v>11</v>
      </c>
      <c r="L80">
        <f>IFERROR(SMALL($K$70:$K$846,ROWS($L$70:L80)),"")</f>
        <v>11</v>
      </c>
      <c r="M80" t="str" cm="1">
        <f t="array" ref="M80">IFERROR(INDEX($F$70:$F$846,L80,1),"")</f>
        <v>Chi cục thuế Huyện Sóc Sơn</v>
      </c>
    </row>
    <row r="81" spans="1:13" x14ac:dyDescent="0.45">
      <c r="A81" t="s">
        <v>417</v>
      </c>
      <c r="B81" s="206">
        <v>101</v>
      </c>
      <c r="C81" t="s">
        <v>2755</v>
      </c>
      <c r="D81" s="206" t="s">
        <v>2756</v>
      </c>
      <c r="E81" s="206" t="str">
        <f t="shared" si="0"/>
        <v>17</v>
      </c>
      <c r="F81" t="str">
        <f t="shared" si="1"/>
        <v>Chi cục thuế Huyện Đông Anh</v>
      </c>
      <c r="G81" t="str">
        <f t="shared" si="5"/>
        <v>Đông Anh</v>
      </c>
      <c r="H81" s="206"/>
      <c r="I81" s="206" t="str">
        <f t="shared" si="2"/>
        <v>10117</v>
      </c>
      <c r="J81" t="str">
        <f t="shared" si="3"/>
        <v>Chi cục thuế Huyện Đông Anh</v>
      </c>
      <c r="K81">
        <f>IF(J81="","",ROWS($K$70:K81))</f>
        <v>12</v>
      </c>
      <c r="L81">
        <f>IFERROR(SMALL($K$70:$K$846,ROWS($L$70:L81)),"")</f>
        <v>12</v>
      </c>
      <c r="M81" t="str" cm="1">
        <f t="array" ref="M81">IFERROR(INDEX($F$70:$F$846,L81,1),"")</f>
        <v>Chi cục thuế Huyện Đông Anh</v>
      </c>
    </row>
    <row r="82" spans="1:13" x14ac:dyDescent="0.45">
      <c r="A82" t="s">
        <v>417</v>
      </c>
      <c r="B82" s="206">
        <v>101</v>
      </c>
      <c r="C82" t="s">
        <v>2757</v>
      </c>
      <c r="D82" s="206" t="s">
        <v>2758</v>
      </c>
      <c r="E82" s="206" t="str">
        <f t="shared" si="0"/>
        <v>19</v>
      </c>
      <c r="F82" t="str">
        <f t="shared" si="1"/>
        <v>Chi cục thuế Huyện Gia Lâm</v>
      </c>
      <c r="G82" t="str">
        <f t="shared" si="5"/>
        <v>Gia Lâm</v>
      </c>
      <c r="H82" s="206"/>
      <c r="I82" s="206" t="str">
        <f t="shared" si="2"/>
        <v>10119</v>
      </c>
      <c r="J82" t="str">
        <f t="shared" si="3"/>
        <v>Chi cục thuế Huyện Gia Lâm</v>
      </c>
      <c r="K82">
        <f>IF(J82="","",ROWS($K$70:K82))</f>
        <v>13</v>
      </c>
      <c r="L82">
        <f>IFERROR(SMALL($K$70:$K$846,ROWS($L$70:L82)),"")</f>
        <v>13</v>
      </c>
      <c r="M82" t="str" cm="1">
        <f t="array" ref="M82">IFERROR(INDEX($F$70:$F$846,L82,1),"")</f>
        <v>Chi cục thuế Huyện Gia Lâm</v>
      </c>
    </row>
    <row r="83" spans="1:13" x14ac:dyDescent="0.45">
      <c r="A83" t="s">
        <v>417</v>
      </c>
      <c r="B83" s="206">
        <v>101</v>
      </c>
      <c r="C83" t="s">
        <v>2759</v>
      </c>
      <c r="D83" s="206" t="s">
        <v>2760</v>
      </c>
      <c r="E83" s="206" t="str">
        <f t="shared" si="0"/>
        <v>21</v>
      </c>
      <c r="F83" t="str">
        <f t="shared" si="1"/>
        <v>Chi cục thuế Huyện Từ Liêm</v>
      </c>
      <c r="G83" t="str">
        <f t="shared" si="5"/>
        <v>Từ Liêm</v>
      </c>
      <c r="H83" s="206"/>
      <c r="I83" s="206" t="str">
        <f t="shared" si="2"/>
        <v>10121</v>
      </c>
      <c r="J83" t="str">
        <f t="shared" si="3"/>
        <v>Chi cục thuế Huyện Từ Liêm</v>
      </c>
      <c r="K83">
        <f>IF(J83="","",ROWS($K$70:K83))</f>
        <v>14</v>
      </c>
      <c r="L83">
        <f>IFERROR(SMALL($K$70:$K$846,ROWS($L$70:L83)),"")</f>
        <v>14</v>
      </c>
      <c r="M83" t="str" cm="1">
        <f t="array" ref="M83">IFERROR(INDEX($F$70:$F$846,L83,1),"")</f>
        <v>Chi cục thuế Huyện Từ Liêm</v>
      </c>
    </row>
    <row r="84" spans="1:13" x14ac:dyDescent="0.45">
      <c r="A84" t="s">
        <v>417</v>
      </c>
      <c r="B84" s="206">
        <v>101</v>
      </c>
      <c r="C84" t="s">
        <v>2761</v>
      </c>
      <c r="D84" s="206" t="s">
        <v>2762</v>
      </c>
      <c r="E84" s="206" t="str">
        <f t="shared" si="0"/>
        <v>23</v>
      </c>
      <c r="F84" t="str">
        <f t="shared" si="1"/>
        <v>Chi cục thuế Huyện Thanh Trì</v>
      </c>
      <c r="G84" t="str">
        <f t="shared" si="5"/>
        <v>Thanh Trì</v>
      </c>
      <c r="H84" s="206"/>
      <c r="I84" s="206" t="str">
        <f t="shared" si="2"/>
        <v>10123</v>
      </c>
      <c r="J84" t="str">
        <f t="shared" si="3"/>
        <v>Chi cục thuế Huyện Thanh Trì</v>
      </c>
      <c r="K84">
        <f>IF(J84="","",ROWS($K$70:K84))</f>
        <v>15</v>
      </c>
      <c r="L84">
        <f>IFERROR(SMALL($K$70:$K$846,ROWS($L$70:L84)),"")</f>
        <v>15</v>
      </c>
      <c r="M84" t="str" cm="1">
        <f t="array" ref="M84">IFERROR(INDEX($F$70:$F$846,L84,1),"")</f>
        <v>Chi cục thuế Huyện Thanh Trì</v>
      </c>
    </row>
    <row r="85" spans="1:13" x14ac:dyDescent="0.45">
      <c r="A85" t="s">
        <v>417</v>
      </c>
      <c r="B85" s="206">
        <v>101</v>
      </c>
      <c r="C85" t="s">
        <v>2763</v>
      </c>
      <c r="D85" s="206" t="s">
        <v>2764</v>
      </c>
      <c r="E85" s="206" t="str">
        <f t="shared" si="0"/>
        <v>25</v>
      </c>
      <c r="F85" t="str">
        <f t="shared" si="1"/>
        <v>Chi cục thuế Huyện Mê Linh</v>
      </c>
      <c r="G85" t="str">
        <f t="shared" si="5"/>
        <v>Mê Linh</v>
      </c>
      <c r="H85" s="206"/>
      <c r="I85" s="206" t="str">
        <f t="shared" si="2"/>
        <v>10125</v>
      </c>
      <c r="J85" t="str">
        <f t="shared" si="3"/>
        <v>Chi cục thuế Huyện Mê Linh</v>
      </c>
      <c r="K85">
        <f>IF(J85="","",ROWS($K$70:K85))</f>
        <v>16</v>
      </c>
      <c r="L85">
        <f>IFERROR(SMALL($K$70:$K$846,ROWS($L$70:L85)),"")</f>
        <v>16</v>
      </c>
      <c r="M85" t="str" cm="1">
        <f t="array" ref="M85">IFERROR(INDEX($F$70:$F$846,L85,1),"")</f>
        <v>Chi cục thuế Huyện Mê Linh</v>
      </c>
    </row>
    <row r="86" spans="1:13" x14ac:dyDescent="0.45">
      <c r="A86" t="s">
        <v>417</v>
      </c>
      <c r="B86" s="206">
        <v>101</v>
      </c>
      <c r="C86" t="s">
        <v>2765</v>
      </c>
      <c r="D86" s="206" t="s">
        <v>2766</v>
      </c>
      <c r="E86" s="206" t="str">
        <f t="shared" si="0"/>
        <v>27</v>
      </c>
      <c r="F86" t="str">
        <f t="shared" si="1"/>
        <v>Chi cục thuế Quận Hà Đông</v>
      </c>
      <c r="G86" t="str">
        <f>RIGHT(C86,LEN(C86)-5)</f>
        <v>Hà Đông</v>
      </c>
      <c r="H86" s="206"/>
      <c r="I86" s="206" t="str">
        <f t="shared" si="2"/>
        <v>10127</v>
      </c>
      <c r="J86" t="str">
        <f t="shared" si="3"/>
        <v>Chi cục thuế Quận Hà Đông</v>
      </c>
      <c r="K86">
        <f>IF(J86="","",ROWS($K$70:K86))</f>
        <v>17</v>
      </c>
      <c r="L86">
        <f>IFERROR(SMALL($K$70:$K$846,ROWS($L$70:L86)),"")</f>
        <v>17</v>
      </c>
      <c r="M86" t="str" cm="1">
        <f t="array" ref="M86">IFERROR(INDEX($F$70:$F$846,L86,1),"")</f>
        <v>Chi cục thuế Quận Hà Đông</v>
      </c>
    </row>
    <row r="87" spans="1:13" x14ac:dyDescent="0.45">
      <c r="A87" t="s">
        <v>417</v>
      </c>
      <c r="B87" s="206">
        <v>101</v>
      </c>
      <c r="C87" t="s">
        <v>2767</v>
      </c>
      <c r="D87" s="206" t="s">
        <v>2768</v>
      </c>
      <c r="E87" s="206" t="str">
        <f t="shared" si="0"/>
        <v>29</v>
      </c>
      <c r="F87" t="str">
        <f t="shared" si="1"/>
        <v>Chi cục thuế Thị Xã Sơn Tây</v>
      </c>
      <c r="H87" s="206"/>
      <c r="I87" s="206" t="str">
        <f t="shared" si="2"/>
        <v>10129</v>
      </c>
      <c r="J87" t="str">
        <f t="shared" si="3"/>
        <v>Chi cục thuế Thị Xã Sơn Tây</v>
      </c>
      <c r="K87">
        <f>IF(J87="","",ROWS($K$70:K87))</f>
        <v>18</v>
      </c>
      <c r="L87">
        <f>IFERROR(SMALL($K$70:$K$846,ROWS($L$70:L87)),"")</f>
        <v>18</v>
      </c>
      <c r="M87" t="str" cm="1">
        <f t="array" ref="M87">IFERROR(INDEX($F$70:$F$846,L87,1),"")</f>
        <v>Chi cục thuế Thị Xã Sơn Tây</v>
      </c>
    </row>
    <row r="88" spans="1:13" x14ac:dyDescent="0.45">
      <c r="A88" t="s">
        <v>417</v>
      </c>
      <c r="B88" s="206">
        <v>101</v>
      </c>
      <c r="C88" t="s">
        <v>2769</v>
      </c>
      <c r="D88" s="206" t="s">
        <v>2770</v>
      </c>
      <c r="E88" s="206" t="str">
        <f t="shared" si="0"/>
        <v>31</v>
      </c>
      <c r="F88" t="str">
        <f t="shared" si="1"/>
        <v>Chi cục thuế Huyện Phúc Thọ</v>
      </c>
      <c r="G88" t="str">
        <f t="shared" ref="G88:G99" si="6">RIGHT(C88,LEN(C88)-6)</f>
        <v>Phúc Thọ</v>
      </c>
      <c r="H88" s="206"/>
      <c r="I88" s="206" t="str">
        <f t="shared" si="2"/>
        <v>10131</v>
      </c>
      <c r="J88" t="str">
        <f t="shared" si="3"/>
        <v>Chi cục thuế Huyện Phúc Thọ</v>
      </c>
      <c r="K88">
        <f>IF(J88="","",ROWS($K$70:K88))</f>
        <v>19</v>
      </c>
      <c r="L88">
        <f>IFERROR(SMALL($K$70:$K$846,ROWS($L$70:L88)),"")</f>
        <v>19</v>
      </c>
      <c r="M88" t="str" cm="1">
        <f t="array" ref="M88">IFERROR(INDEX($F$70:$F$846,L88,1),"")</f>
        <v>Chi cục thuế Huyện Phúc Thọ</v>
      </c>
    </row>
    <row r="89" spans="1:13" x14ac:dyDescent="0.45">
      <c r="A89" t="s">
        <v>417</v>
      </c>
      <c r="B89" s="206">
        <v>101</v>
      </c>
      <c r="C89" t="s">
        <v>2771</v>
      </c>
      <c r="D89" s="206" t="s">
        <v>2772</v>
      </c>
      <c r="E89" s="206" t="str">
        <f t="shared" si="0"/>
        <v>33</v>
      </c>
      <c r="F89" t="str">
        <f t="shared" si="1"/>
        <v>Chi cục thuế Huyện Đan Phượng</v>
      </c>
      <c r="G89" t="str">
        <f t="shared" si="6"/>
        <v>Đan Phượng</v>
      </c>
      <c r="H89" s="206"/>
      <c r="I89" s="206" t="str">
        <f t="shared" si="2"/>
        <v>10133</v>
      </c>
      <c r="J89" t="str">
        <f t="shared" si="3"/>
        <v>Chi cục thuế Huyện Đan Phượng</v>
      </c>
      <c r="K89">
        <f>IF(J89="","",ROWS($K$70:K89))</f>
        <v>20</v>
      </c>
      <c r="L89">
        <f>IFERROR(SMALL($K$70:$K$846,ROWS($L$70:L89)),"")</f>
        <v>20</v>
      </c>
      <c r="M89" t="str" cm="1">
        <f t="array" ref="M89">IFERROR(INDEX($F$70:$F$846,L89,1),"")</f>
        <v>Chi cục thuế Huyện Đan Phượng</v>
      </c>
    </row>
    <row r="90" spans="1:13" x14ac:dyDescent="0.45">
      <c r="A90" t="s">
        <v>417</v>
      </c>
      <c r="B90" s="206">
        <v>101</v>
      </c>
      <c r="C90" t="s">
        <v>2773</v>
      </c>
      <c r="D90" s="206" t="s">
        <v>2774</v>
      </c>
      <c r="E90" s="206" t="str">
        <f t="shared" si="0"/>
        <v>35</v>
      </c>
      <c r="F90" t="str">
        <f t="shared" si="1"/>
        <v>Chi cục thuế Huyện Thạch Thất</v>
      </c>
      <c r="G90" t="str">
        <f t="shared" si="6"/>
        <v>Thạch Thất</v>
      </c>
      <c r="H90" s="206"/>
      <c r="I90" s="206" t="str">
        <f t="shared" si="2"/>
        <v>10135</v>
      </c>
      <c r="J90" t="str">
        <f t="shared" si="3"/>
        <v>Chi cục thuế Huyện Thạch Thất</v>
      </c>
      <c r="K90">
        <f>IF(J90="","",ROWS($K$70:K90))</f>
        <v>21</v>
      </c>
      <c r="L90">
        <f>IFERROR(SMALL($K$70:$K$846,ROWS($L$70:L90)),"")</f>
        <v>21</v>
      </c>
      <c r="M90" t="str" cm="1">
        <f t="array" ref="M90">IFERROR(INDEX($F$70:$F$846,L90,1),"")</f>
        <v>Chi cục thuế Huyện Thạch Thất</v>
      </c>
    </row>
    <row r="91" spans="1:13" x14ac:dyDescent="0.45">
      <c r="A91" t="s">
        <v>417</v>
      </c>
      <c r="B91" s="206">
        <v>101</v>
      </c>
      <c r="C91" t="s">
        <v>2775</v>
      </c>
      <c r="D91" s="206" t="s">
        <v>2776</v>
      </c>
      <c r="E91" s="206" t="str">
        <f t="shared" si="0"/>
        <v>37</v>
      </c>
      <c r="F91" t="str">
        <f t="shared" si="1"/>
        <v>Chi cục thuế Huyện Hoài Đức</v>
      </c>
      <c r="G91" t="str">
        <f t="shared" si="6"/>
        <v>Hoài Đức</v>
      </c>
      <c r="H91" s="206"/>
      <c r="I91" s="206" t="str">
        <f t="shared" si="2"/>
        <v>10137</v>
      </c>
      <c r="J91" t="str">
        <f t="shared" si="3"/>
        <v>Chi cục thuế Huyện Hoài Đức</v>
      </c>
      <c r="K91">
        <f>IF(J91="","",ROWS($K$70:K91))</f>
        <v>22</v>
      </c>
      <c r="L91">
        <f>IFERROR(SMALL($K$70:$K$846,ROWS($L$70:L91)),"")</f>
        <v>22</v>
      </c>
      <c r="M91" t="str" cm="1">
        <f t="array" ref="M91">IFERROR(INDEX($F$70:$F$846,L91,1),"")</f>
        <v>Chi cục thuế Huyện Hoài Đức</v>
      </c>
    </row>
    <row r="92" spans="1:13" x14ac:dyDescent="0.45">
      <c r="A92" t="s">
        <v>417</v>
      </c>
      <c r="B92" s="206">
        <v>101</v>
      </c>
      <c r="C92" t="s">
        <v>2777</v>
      </c>
      <c r="D92" s="206" t="s">
        <v>2778</v>
      </c>
      <c r="E92" s="206" t="str">
        <f t="shared" si="0"/>
        <v>39</v>
      </c>
      <c r="F92" t="str">
        <f t="shared" si="1"/>
        <v>Chi cục thuế Huyện Quốc Oai</v>
      </c>
      <c r="G92" t="str">
        <f t="shared" si="6"/>
        <v>Quốc Oai</v>
      </c>
      <c r="H92" s="206"/>
      <c r="I92" s="206" t="str">
        <f t="shared" si="2"/>
        <v>10139</v>
      </c>
      <c r="J92" t="str">
        <f t="shared" si="3"/>
        <v>Chi cục thuế Huyện Quốc Oai</v>
      </c>
      <c r="K92">
        <f>IF(J92="","",ROWS($K$70:K92))</f>
        <v>23</v>
      </c>
      <c r="L92">
        <f>IFERROR(SMALL($K$70:$K$846,ROWS($L$70:L92)),"")</f>
        <v>23</v>
      </c>
      <c r="M92" t="str" cm="1">
        <f t="array" ref="M92">IFERROR(INDEX($F$70:$F$846,L92,1),"")</f>
        <v>Chi cục thuế Huyện Quốc Oai</v>
      </c>
    </row>
    <row r="93" spans="1:13" x14ac:dyDescent="0.45">
      <c r="A93" t="s">
        <v>417</v>
      </c>
      <c r="B93" s="206">
        <v>101</v>
      </c>
      <c r="C93" t="s">
        <v>2779</v>
      </c>
      <c r="D93" s="206" t="s">
        <v>2780</v>
      </c>
      <c r="E93" s="206" t="str">
        <f t="shared" si="0"/>
        <v>41</v>
      </c>
      <c r="F93" t="str">
        <f t="shared" si="1"/>
        <v>Chi cục thuế Huyện Thanh Oai</v>
      </c>
      <c r="G93" t="str">
        <f t="shared" si="6"/>
        <v>Thanh Oai</v>
      </c>
      <c r="H93" s="206"/>
      <c r="I93" s="206" t="str">
        <f t="shared" si="2"/>
        <v>10141</v>
      </c>
      <c r="J93" t="str">
        <f t="shared" si="3"/>
        <v>Chi cục thuế Huyện Thanh Oai</v>
      </c>
      <c r="K93">
        <f>IF(J93="","",ROWS($K$70:K93))</f>
        <v>24</v>
      </c>
      <c r="L93">
        <f>IFERROR(SMALL($K$70:$K$846,ROWS($L$70:L93)),"")</f>
        <v>24</v>
      </c>
      <c r="M93" t="str" cm="1">
        <f t="array" ref="M93">IFERROR(INDEX($F$70:$F$846,L93,1),"")</f>
        <v>Chi cục thuế Huyện Thanh Oai</v>
      </c>
    </row>
    <row r="94" spans="1:13" x14ac:dyDescent="0.45">
      <c r="A94" t="s">
        <v>417</v>
      </c>
      <c r="B94" s="206">
        <v>101</v>
      </c>
      <c r="C94" t="s">
        <v>2781</v>
      </c>
      <c r="D94" s="206" t="s">
        <v>2782</v>
      </c>
      <c r="E94" s="206" t="str">
        <f t="shared" si="0"/>
        <v>43</v>
      </c>
      <c r="F94" t="str">
        <f t="shared" si="1"/>
        <v>Chi cục thuế Huyện Thường Tín</v>
      </c>
      <c r="G94" t="str">
        <f t="shared" si="6"/>
        <v>Thường Tín</v>
      </c>
      <c r="H94" s="206"/>
      <c r="I94" s="206" t="str">
        <f t="shared" si="2"/>
        <v>10143</v>
      </c>
      <c r="J94" t="str">
        <f t="shared" si="3"/>
        <v>Chi cục thuế Huyện Thường Tín</v>
      </c>
      <c r="K94">
        <f>IF(J94="","",ROWS($K$70:K94))</f>
        <v>25</v>
      </c>
      <c r="L94">
        <f>IFERROR(SMALL($K$70:$K$846,ROWS($L$70:L94)),"")</f>
        <v>25</v>
      </c>
      <c r="M94" t="str" cm="1">
        <f t="array" ref="M94">IFERROR(INDEX($F$70:$F$846,L94,1),"")</f>
        <v>Chi cục thuế Huyện Thường Tín</v>
      </c>
    </row>
    <row r="95" spans="1:13" x14ac:dyDescent="0.45">
      <c r="A95" t="s">
        <v>417</v>
      </c>
      <c r="B95" s="206">
        <v>101</v>
      </c>
      <c r="C95" t="s">
        <v>2783</v>
      </c>
      <c r="D95" s="206" t="s">
        <v>2784</v>
      </c>
      <c r="E95" s="206" t="str">
        <f t="shared" si="0"/>
        <v>45</v>
      </c>
      <c r="F95" t="str">
        <f t="shared" si="1"/>
        <v>Chi cục thuế Huyện Mỹ Đức</v>
      </c>
      <c r="G95" t="str">
        <f t="shared" si="6"/>
        <v>Mỹ Đức</v>
      </c>
      <c r="H95" s="206"/>
      <c r="I95" s="206" t="str">
        <f t="shared" si="2"/>
        <v>10145</v>
      </c>
      <c r="J95" t="str">
        <f t="shared" si="3"/>
        <v>Chi cục thuế Huyện Mỹ Đức</v>
      </c>
      <c r="K95">
        <f>IF(J95="","",ROWS($K$70:K95))</f>
        <v>26</v>
      </c>
      <c r="L95">
        <f>IFERROR(SMALL($K$70:$K$846,ROWS($L$70:L95)),"")</f>
        <v>26</v>
      </c>
      <c r="M95" t="str" cm="1">
        <f t="array" ref="M95">IFERROR(INDEX($F$70:$F$846,L95,1),"")</f>
        <v>Chi cục thuế Huyện Mỹ Đức</v>
      </c>
    </row>
    <row r="96" spans="1:13" x14ac:dyDescent="0.45">
      <c r="A96" t="s">
        <v>417</v>
      </c>
      <c r="B96" s="206">
        <v>101</v>
      </c>
      <c r="C96" t="s">
        <v>2785</v>
      </c>
      <c r="D96" s="206" t="s">
        <v>2786</v>
      </c>
      <c r="E96" s="206" t="str">
        <f t="shared" si="0"/>
        <v>47</v>
      </c>
      <c r="F96" t="str">
        <f t="shared" si="1"/>
        <v>Chi cục thuế Huyện ứng Hòa</v>
      </c>
      <c r="G96" t="str">
        <f t="shared" si="6"/>
        <v>ứng Hòa</v>
      </c>
      <c r="H96" s="206"/>
      <c r="I96" s="206" t="str">
        <f t="shared" si="2"/>
        <v>10147</v>
      </c>
      <c r="J96" t="str">
        <f t="shared" si="3"/>
        <v>Chi cục thuế Huyện ứng Hòa</v>
      </c>
      <c r="K96">
        <f>IF(J96="","",ROWS($K$70:K96))</f>
        <v>27</v>
      </c>
      <c r="L96">
        <f>IFERROR(SMALL($K$70:$K$846,ROWS($L$70:L96)),"")</f>
        <v>27</v>
      </c>
      <c r="M96" t="str" cm="1">
        <f t="array" ref="M96">IFERROR(INDEX($F$70:$F$846,L96,1),"")</f>
        <v>Chi cục thuế Huyện ứng Hòa</v>
      </c>
    </row>
    <row r="97" spans="1:13" x14ac:dyDescent="0.45">
      <c r="A97" t="s">
        <v>417</v>
      </c>
      <c r="B97" s="206">
        <v>101</v>
      </c>
      <c r="C97" t="s">
        <v>2787</v>
      </c>
      <c r="D97" s="206" t="s">
        <v>2788</v>
      </c>
      <c r="E97" s="206" t="str">
        <f t="shared" si="0"/>
        <v>49</v>
      </c>
      <c r="F97" t="str">
        <f t="shared" si="1"/>
        <v>Chi cục thuế Huyện Phú Xuyên</v>
      </c>
      <c r="G97" t="str">
        <f t="shared" si="6"/>
        <v>Phú Xuyên</v>
      </c>
      <c r="H97" s="206"/>
      <c r="I97" s="206" t="str">
        <f t="shared" si="2"/>
        <v>10149</v>
      </c>
      <c r="J97" t="str">
        <f t="shared" si="3"/>
        <v>Chi cục thuế Huyện Phú Xuyên</v>
      </c>
      <c r="K97">
        <f>IF(J97="","",ROWS($K$70:K97))</f>
        <v>28</v>
      </c>
      <c r="L97">
        <f>IFERROR(SMALL($K$70:$K$846,ROWS($L$70:L97)),"")</f>
        <v>28</v>
      </c>
      <c r="M97" t="str" cm="1">
        <f t="array" ref="M97">IFERROR(INDEX($F$70:$F$846,L97,1),"")</f>
        <v>Chi cục thuế Huyện Phú Xuyên</v>
      </c>
    </row>
    <row r="98" spans="1:13" x14ac:dyDescent="0.45">
      <c r="A98" t="s">
        <v>417</v>
      </c>
      <c r="B98" s="206">
        <v>101</v>
      </c>
      <c r="C98" t="s">
        <v>2789</v>
      </c>
      <c r="D98" s="206" t="s">
        <v>2790</v>
      </c>
      <c r="E98" s="206" t="str">
        <f t="shared" si="0"/>
        <v>51</v>
      </c>
      <c r="F98" t="str">
        <f t="shared" si="1"/>
        <v>Chi cục thuế Huyện Ba Vì</v>
      </c>
      <c r="G98" t="str">
        <f t="shared" si="6"/>
        <v>Ba Vì</v>
      </c>
      <c r="H98" s="206"/>
      <c r="I98" s="206" t="str">
        <f t="shared" si="2"/>
        <v>10151</v>
      </c>
      <c r="J98" t="str">
        <f t="shared" si="3"/>
        <v>Chi cục thuế Huyện Ba Vì</v>
      </c>
      <c r="K98">
        <f>IF(J98="","",ROWS($K$70:K98))</f>
        <v>29</v>
      </c>
      <c r="L98">
        <f>IFERROR(SMALL($K$70:$K$846,ROWS($L$70:L98)),"")</f>
        <v>29</v>
      </c>
      <c r="M98" t="str" cm="1">
        <f t="array" ref="M98">IFERROR(INDEX($F$70:$F$846,L98,1),"")</f>
        <v>Chi cục thuế Huyện Ba Vì</v>
      </c>
    </row>
    <row r="99" spans="1:13" x14ac:dyDescent="0.45">
      <c r="A99" t="s">
        <v>417</v>
      </c>
      <c r="B99" s="206">
        <v>101</v>
      </c>
      <c r="C99" t="s">
        <v>2791</v>
      </c>
      <c r="D99" s="206" t="s">
        <v>2792</v>
      </c>
      <c r="E99" s="206" t="str">
        <f t="shared" si="0"/>
        <v>53</v>
      </c>
      <c r="F99" t="str">
        <f t="shared" si="1"/>
        <v>Chi cục thuế Huyện Chương Mỹ</v>
      </c>
      <c r="G99" t="str">
        <f t="shared" si="6"/>
        <v>Chương Mỹ</v>
      </c>
      <c r="H99" s="206"/>
      <c r="I99" s="206" t="str">
        <f t="shared" si="2"/>
        <v>10153</v>
      </c>
      <c r="J99" t="str">
        <f t="shared" si="3"/>
        <v>Chi cục thuế Huyện Chương Mỹ</v>
      </c>
      <c r="K99">
        <f>IF(J99="","",ROWS($K$70:K99))</f>
        <v>30</v>
      </c>
      <c r="L99">
        <f>IFERROR(SMALL($K$70:$K$846,ROWS($L$70:L99)),"")</f>
        <v>30</v>
      </c>
      <c r="M99" t="str" cm="1">
        <f t="array" ref="M99">IFERROR(INDEX($F$70:$F$846,L99,1),"")</f>
        <v>Chi cục thuế Huyện Chương Mỹ</v>
      </c>
    </row>
    <row r="100" spans="1:13" x14ac:dyDescent="0.45">
      <c r="A100" t="s">
        <v>417</v>
      </c>
      <c r="B100" s="206">
        <v>101</v>
      </c>
      <c r="C100" t="s">
        <v>2793</v>
      </c>
      <c r="D100" s="206" t="s">
        <v>2794</v>
      </c>
      <c r="E100" s="206" t="str">
        <f t="shared" si="0"/>
        <v>55</v>
      </c>
      <c r="F100" t="str">
        <f t="shared" si="1"/>
        <v>Chi cục thuế Quận Nam Từ Liêm</v>
      </c>
      <c r="G100" t="str">
        <f>RIGHT(C100,LEN(C100)-5)</f>
        <v>Nam Từ Liêm</v>
      </c>
      <c r="H100" s="206"/>
      <c r="I100" s="206" t="str">
        <f t="shared" si="2"/>
        <v>10155</v>
      </c>
      <c r="J100" t="str">
        <f t="shared" si="3"/>
        <v>Chi cục thuế Quận Nam Từ Liêm</v>
      </c>
      <c r="K100">
        <f>IF(J100="","",ROWS($K$70:K100))</f>
        <v>31</v>
      </c>
      <c r="L100">
        <f>IFERROR(SMALL($K$70:$K$846,ROWS($L$70:L100)),"")</f>
        <v>31</v>
      </c>
      <c r="M100" t="str" cm="1">
        <f t="array" ref="M100">IFERROR(INDEX($F$70:$F$846,L100,1),"")</f>
        <v>Chi cục thuế Quận Nam Từ Liêm</v>
      </c>
    </row>
    <row r="101" spans="1:13" x14ac:dyDescent="0.45">
      <c r="A101" t="s">
        <v>417</v>
      </c>
      <c r="B101" s="206">
        <v>101</v>
      </c>
      <c r="C101" t="s">
        <v>2795</v>
      </c>
      <c r="D101" s="206" t="s">
        <v>2796</v>
      </c>
      <c r="E101" s="206" t="str">
        <f t="shared" si="0"/>
        <v>57</v>
      </c>
      <c r="F101" t="str">
        <f t="shared" si="1"/>
        <v>Chi cục thuế Quận Bắc Từ Liêm</v>
      </c>
      <c r="G101" t="str">
        <f>RIGHT(C101,LEN(C101)-5)</f>
        <v>Bắc Từ Liêm</v>
      </c>
      <c r="H101" s="206"/>
      <c r="I101" s="206" t="str">
        <f t="shared" si="2"/>
        <v>10157</v>
      </c>
      <c r="J101" t="str">
        <f t="shared" si="3"/>
        <v>Chi cục thuế Quận Bắc Từ Liêm</v>
      </c>
      <c r="K101">
        <f>IF(J101="","",ROWS($K$70:K101))</f>
        <v>32</v>
      </c>
      <c r="L101">
        <f>IFERROR(SMALL($K$70:$K$846,ROWS($L$70:L101)),"")</f>
        <v>32</v>
      </c>
      <c r="M101" t="str" cm="1">
        <f t="array" ref="M101">IFERROR(INDEX($F$70:$F$846,L101,1),"")</f>
        <v>Chi cục thuế Quận Bắc Từ Liêm</v>
      </c>
    </row>
    <row r="102" spans="1:13" x14ac:dyDescent="0.45">
      <c r="A102" t="s">
        <v>2657</v>
      </c>
      <c r="B102" s="206">
        <v>103</v>
      </c>
      <c r="C102" t="s">
        <v>2797</v>
      </c>
      <c r="D102" s="206">
        <v>10300</v>
      </c>
      <c r="E102" s="206" t="str">
        <f t="shared" si="0"/>
        <v>00</v>
      </c>
      <c r="F102" t="str">
        <f t="shared" si="1"/>
        <v>Cục thuế Thành phố Hải Phòng</v>
      </c>
      <c r="H102" s="206"/>
      <c r="I102" s="206">
        <f t="shared" si="2"/>
        <v>10300</v>
      </c>
      <c r="J102" t="str">
        <f t="shared" si="3"/>
        <v/>
      </c>
      <c r="K102" t="str">
        <f>IF(J102="","",ROWS($K$70:K102))</f>
        <v/>
      </c>
      <c r="L102" t="str">
        <f>IFERROR(SMALL($K$70:$K$846,ROWS($L$70:L102)),"")</f>
        <v/>
      </c>
      <c r="M102" t="str" cm="1">
        <f t="array" ref="M102">IFERROR(INDEX($F$70:$F$846,L102,1),"")</f>
        <v/>
      </c>
    </row>
    <row r="103" spans="1:13" x14ac:dyDescent="0.45">
      <c r="A103" t="s">
        <v>2657</v>
      </c>
      <c r="B103" s="206">
        <v>103</v>
      </c>
      <c r="C103" t="s">
        <v>2798</v>
      </c>
      <c r="D103" s="206" t="s">
        <v>2799</v>
      </c>
      <c r="E103" s="206" t="str">
        <f t="shared" si="0"/>
        <v>01</v>
      </c>
      <c r="F103" t="str">
        <f t="shared" si="1"/>
        <v>Chi cục thuế Quận Hồng Bàng</v>
      </c>
      <c r="G103" t="str">
        <f t="shared" ref="G103:G108" si="7">RIGHT(C103,LEN(C103)-5)</f>
        <v>Hồng Bàng</v>
      </c>
      <c r="H103" s="206"/>
      <c r="I103" s="206" t="str">
        <f t="shared" si="2"/>
        <v>10301</v>
      </c>
      <c r="J103" t="str">
        <f t="shared" si="3"/>
        <v/>
      </c>
      <c r="K103" t="str">
        <f>IF(J103="","",ROWS($K$70:K103))</f>
        <v/>
      </c>
      <c r="L103" t="str">
        <f>IFERROR(SMALL($K$70:$K$846,ROWS($L$70:L103)),"")</f>
        <v/>
      </c>
      <c r="M103" t="str" cm="1">
        <f t="array" ref="M103">IFERROR(INDEX($F$70:$F$846,L103,1),"")</f>
        <v/>
      </c>
    </row>
    <row r="104" spans="1:13" x14ac:dyDescent="0.45">
      <c r="A104" t="s">
        <v>2657</v>
      </c>
      <c r="B104" s="206">
        <v>103</v>
      </c>
      <c r="C104" t="s">
        <v>2800</v>
      </c>
      <c r="D104" s="206" t="s">
        <v>2801</v>
      </c>
      <c r="E104" s="206" t="str">
        <f t="shared" si="0"/>
        <v>03</v>
      </c>
      <c r="F104" t="str">
        <f t="shared" si="1"/>
        <v>Chi cục thuế Quận Ngô Quyền</v>
      </c>
      <c r="G104" t="str">
        <f t="shared" si="7"/>
        <v>Ngô Quyền</v>
      </c>
      <c r="H104" s="206"/>
      <c r="I104" s="206" t="str">
        <f t="shared" si="2"/>
        <v>10303</v>
      </c>
      <c r="J104" t="str">
        <f t="shared" si="3"/>
        <v/>
      </c>
      <c r="K104" t="str">
        <f>IF(J104="","",ROWS($K$70:K104))</f>
        <v/>
      </c>
      <c r="L104" t="str">
        <f>IFERROR(SMALL($K$70:$K$846,ROWS($L$70:L104)),"")</f>
        <v/>
      </c>
      <c r="M104" t="str" cm="1">
        <f t="array" ref="M104">IFERROR(INDEX($F$70:$F$846,L104,1),"")</f>
        <v/>
      </c>
    </row>
    <row r="105" spans="1:13" x14ac:dyDescent="0.45">
      <c r="A105" t="s">
        <v>2657</v>
      </c>
      <c r="B105" s="206">
        <v>103</v>
      </c>
      <c r="C105" t="s">
        <v>2802</v>
      </c>
      <c r="D105" s="206" t="s">
        <v>2803</v>
      </c>
      <c r="E105" s="206" t="str">
        <f t="shared" si="0"/>
        <v>04</v>
      </c>
      <c r="F105" t="str">
        <f t="shared" si="1"/>
        <v>Chi cục thuế Quận Hải An</v>
      </c>
      <c r="G105" t="str">
        <f t="shared" si="7"/>
        <v>Hải An</v>
      </c>
      <c r="H105" s="206"/>
      <c r="I105" s="206" t="str">
        <f t="shared" si="2"/>
        <v>10304</v>
      </c>
      <c r="J105" t="str">
        <f t="shared" si="3"/>
        <v/>
      </c>
      <c r="K105" t="str">
        <f>IF(J105="","",ROWS($K$70:K105))</f>
        <v/>
      </c>
      <c r="L105" t="str">
        <f>IFERROR(SMALL($K$70:$K$846,ROWS($L$70:L105)),"")</f>
        <v/>
      </c>
      <c r="M105" t="str" cm="1">
        <f t="array" ref="M105">IFERROR(INDEX($F$70:$F$846,L105,1),"")</f>
        <v/>
      </c>
    </row>
    <row r="106" spans="1:13" x14ac:dyDescent="0.45">
      <c r="A106" t="s">
        <v>2657</v>
      </c>
      <c r="B106" s="206">
        <v>103</v>
      </c>
      <c r="C106" t="s">
        <v>2804</v>
      </c>
      <c r="D106" s="206" t="s">
        <v>2805</v>
      </c>
      <c r="E106" s="206" t="str">
        <f t="shared" si="0"/>
        <v>05</v>
      </c>
      <c r="F106" t="str">
        <f t="shared" si="1"/>
        <v>Chi cục thuế Quận Lê Chân</v>
      </c>
      <c r="G106" t="str">
        <f t="shared" si="7"/>
        <v>Lê Chân</v>
      </c>
      <c r="H106" s="206"/>
      <c r="I106" s="206" t="str">
        <f t="shared" si="2"/>
        <v>10305</v>
      </c>
      <c r="J106" t="str">
        <f t="shared" si="3"/>
        <v/>
      </c>
      <c r="K106" t="str">
        <f>IF(J106="","",ROWS($K$70:K106))</f>
        <v/>
      </c>
      <c r="L106" t="str">
        <f>IFERROR(SMALL($K$70:$K$846,ROWS($L$70:L106)),"")</f>
        <v/>
      </c>
      <c r="M106" t="str" cm="1">
        <f t="array" ref="M106">IFERROR(INDEX($F$70:$F$846,L106,1),"")</f>
        <v/>
      </c>
    </row>
    <row r="107" spans="1:13" x14ac:dyDescent="0.45">
      <c r="A107" t="s">
        <v>2657</v>
      </c>
      <c r="B107" s="206">
        <v>103</v>
      </c>
      <c r="C107" t="s">
        <v>2806</v>
      </c>
      <c r="D107" s="206" t="s">
        <v>2807</v>
      </c>
      <c r="E107" s="206" t="str">
        <f t="shared" si="0"/>
        <v>07</v>
      </c>
      <c r="F107" t="str">
        <f t="shared" si="1"/>
        <v>Chi cục thuế Quận Kiến An</v>
      </c>
      <c r="G107" t="str">
        <f t="shared" si="7"/>
        <v>Kiến An</v>
      </c>
      <c r="H107" s="206"/>
      <c r="I107" s="206" t="str">
        <f t="shared" si="2"/>
        <v>10307</v>
      </c>
      <c r="J107" t="str">
        <f t="shared" si="3"/>
        <v/>
      </c>
      <c r="K107" t="str">
        <f>IF(J107="","",ROWS($K$70:K107))</f>
        <v/>
      </c>
      <c r="L107" t="str">
        <f>IFERROR(SMALL($K$70:$K$846,ROWS($L$70:L107)),"")</f>
        <v/>
      </c>
      <c r="M107" t="str" cm="1">
        <f t="array" ref="M107">IFERROR(INDEX($F$70:$F$846,L107,1),"")</f>
        <v/>
      </c>
    </row>
    <row r="108" spans="1:13" x14ac:dyDescent="0.45">
      <c r="A108" t="s">
        <v>2657</v>
      </c>
      <c r="B108" s="206">
        <v>103</v>
      </c>
      <c r="C108" t="s">
        <v>2808</v>
      </c>
      <c r="D108" s="206" t="s">
        <v>2809</v>
      </c>
      <c r="E108" s="206" t="str">
        <f t="shared" si="0"/>
        <v>09</v>
      </c>
      <c r="F108" t="str">
        <f t="shared" si="1"/>
        <v>Chi cục thuế Quận Đồ Sơn</v>
      </c>
      <c r="G108" t="str">
        <f t="shared" si="7"/>
        <v>Đồ Sơn</v>
      </c>
      <c r="H108" s="206"/>
      <c r="I108" s="206" t="str">
        <f t="shared" si="2"/>
        <v>10309</v>
      </c>
      <c r="J108" t="str">
        <f t="shared" si="3"/>
        <v/>
      </c>
      <c r="K108" t="str">
        <f>IF(J108="","",ROWS($K$70:K108))</f>
        <v/>
      </c>
      <c r="L108" t="str">
        <f>IFERROR(SMALL($K$70:$K$846,ROWS($L$70:L108)),"")</f>
        <v/>
      </c>
      <c r="M108" t="str" cm="1">
        <f t="array" ref="M108">IFERROR(INDEX($F$70:$F$846,L108,1),"")</f>
        <v/>
      </c>
    </row>
    <row r="109" spans="1:13" x14ac:dyDescent="0.45">
      <c r="A109" t="s">
        <v>2657</v>
      </c>
      <c r="B109" s="206">
        <v>103</v>
      </c>
      <c r="C109" t="s">
        <v>2810</v>
      </c>
      <c r="D109" s="206" t="s">
        <v>2811</v>
      </c>
      <c r="E109" s="206" t="str">
        <f t="shared" si="0"/>
        <v>11</v>
      </c>
      <c r="F109" t="str">
        <f t="shared" si="1"/>
        <v>Chi cục thuế Huyện Thuỷ Nguyên</v>
      </c>
      <c r="G109" t="str">
        <f t="shared" ref="G109:G116" si="8">RIGHT(C109,LEN(C109)-6)</f>
        <v>Thuỷ Nguyên</v>
      </c>
      <c r="H109" s="206"/>
      <c r="I109" s="206" t="str">
        <f t="shared" si="2"/>
        <v>10311</v>
      </c>
      <c r="J109" t="str">
        <f t="shared" si="3"/>
        <v/>
      </c>
      <c r="K109" t="str">
        <f>IF(J109="","",ROWS($K$70:K109))</f>
        <v/>
      </c>
      <c r="L109" t="str">
        <f>IFERROR(SMALL($K$70:$K$846,ROWS($L$70:L109)),"")</f>
        <v/>
      </c>
      <c r="M109" t="str" cm="1">
        <f t="array" ref="M109">IFERROR(INDEX($F$70:$F$846,L109,1),"")</f>
        <v/>
      </c>
    </row>
    <row r="110" spans="1:13" x14ac:dyDescent="0.45">
      <c r="A110" t="s">
        <v>2657</v>
      </c>
      <c r="B110" s="206">
        <v>103</v>
      </c>
      <c r="C110" t="s">
        <v>2812</v>
      </c>
      <c r="D110" s="206" t="s">
        <v>2813</v>
      </c>
      <c r="E110" s="206" t="str">
        <f t="shared" si="0"/>
        <v>13</v>
      </c>
      <c r="F110" t="str">
        <f t="shared" si="1"/>
        <v>Chi cục thuế Huyện An Dương</v>
      </c>
      <c r="G110" t="str">
        <f t="shared" si="8"/>
        <v>An Dương</v>
      </c>
      <c r="H110" s="206"/>
      <c r="I110" s="206" t="str">
        <f t="shared" si="2"/>
        <v>10313</v>
      </c>
      <c r="J110" t="str">
        <f t="shared" si="3"/>
        <v/>
      </c>
      <c r="K110" t="str">
        <f>IF(J110="","",ROWS($K$70:K110))</f>
        <v/>
      </c>
      <c r="L110" t="str">
        <f>IFERROR(SMALL($K$70:$K$846,ROWS($L$70:L110)),"")</f>
        <v/>
      </c>
      <c r="M110" t="str" cm="1">
        <f t="array" ref="M110">IFERROR(INDEX($F$70:$F$846,L110,1),"")</f>
        <v/>
      </c>
    </row>
    <row r="111" spans="1:13" x14ac:dyDescent="0.45">
      <c r="A111" t="s">
        <v>2657</v>
      </c>
      <c r="B111" s="206">
        <v>103</v>
      </c>
      <c r="C111" t="s">
        <v>2814</v>
      </c>
      <c r="D111" s="206" t="s">
        <v>2815</v>
      </c>
      <c r="E111" s="206" t="str">
        <f t="shared" si="0"/>
        <v>15</v>
      </c>
      <c r="F111" t="str">
        <f t="shared" si="1"/>
        <v>Chi cục thuế Huyện An Lão</v>
      </c>
      <c r="G111" t="str">
        <f t="shared" si="8"/>
        <v>An Lão</v>
      </c>
      <c r="H111" s="206"/>
      <c r="I111" s="206" t="str">
        <f t="shared" si="2"/>
        <v>10315</v>
      </c>
      <c r="J111" t="str">
        <f t="shared" si="3"/>
        <v/>
      </c>
      <c r="K111" t="str">
        <f>IF(J111="","",ROWS($K$70:K111))</f>
        <v/>
      </c>
      <c r="L111" t="str">
        <f>IFERROR(SMALL($K$70:$K$846,ROWS($L$70:L111)),"")</f>
        <v/>
      </c>
      <c r="M111" t="str" cm="1">
        <f t="array" ref="M111">IFERROR(INDEX($F$70:$F$846,L111,1),"")</f>
        <v/>
      </c>
    </row>
    <row r="112" spans="1:13" x14ac:dyDescent="0.45">
      <c r="A112" t="s">
        <v>2657</v>
      </c>
      <c r="B112" s="206">
        <v>103</v>
      </c>
      <c r="C112" t="s">
        <v>2816</v>
      </c>
      <c r="D112" s="206" t="s">
        <v>2817</v>
      </c>
      <c r="E112" s="206" t="str">
        <f t="shared" si="0"/>
        <v>17</v>
      </c>
      <c r="F112" t="str">
        <f t="shared" si="1"/>
        <v>Chi cục thuế Huyện Kiến Thuỵ</v>
      </c>
      <c r="G112" t="str">
        <f t="shared" si="8"/>
        <v>Kiến Thuỵ</v>
      </c>
      <c r="H112" s="206"/>
      <c r="I112" s="206" t="str">
        <f t="shared" si="2"/>
        <v>10317</v>
      </c>
      <c r="J112" t="str">
        <f t="shared" si="3"/>
        <v/>
      </c>
      <c r="K112" t="str">
        <f>IF(J112="","",ROWS($K$70:K112))</f>
        <v/>
      </c>
      <c r="L112" t="str">
        <f>IFERROR(SMALL($K$70:$K$846,ROWS($L$70:L112)),"")</f>
        <v/>
      </c>
      <c r="M112" t="str" cm="1">
        <f t="array" ref="M112">IFERROR(INDEX($F$70:$F$846,L112,1),"")</f>
        <v/>
      </c>
    </row>
    <row r="113" spans="1:13" x14ac:dyDescent="0.45">
      <c r="A113" t="s">
        <v>2657</v>
      </c>
      <c r="B113" s="206">
        <v>103</v>
      </c>
      <c r="C113" t="s">
        <v>2818</v>
      </c>
      <c r="D113" s="206" t="s">
        <v>2819</v>
      </c>
      <c r="E113" s="206" t="str">
        <f t="shared" si="0"/>
        <v>19</v>
      </c>
      <c r="F113" t="str">
        <f t="shared" si="1"/>
        <v>Chi cục thuế Huyện Tiên Lãng</v>
      </c>
      <c r="G113" t="str">
        <f t="shared" si="8"/>
        <v>Tiên Lãng</v>
      </c>
      <c r="H113" s="206"/>
      <c r="I113" s="206" t="str">
        <f t="shared" si="2"/>
        <v>10319</v>
      </c>
      <c r="J113" t="str">
        <f t="shared" si="3"/>
        <v/>
      </c>
      <c r="K113" t="str">
        <f>IF(J113="","",ROWS($K$70:K113))</f>
        <v/>
      </c>
      <c r="L113" t="str">
        <f>IFERROR(SMALL($K$70:$K$846,ROWS($L$70:L113)),"")</f>
        <v/>
      </c>
      <c r="M113" t="str" cm="1">
        <f t="array" ref="M113">IFERROR(INDEX($F$70:$F$846,L113,1),"")</f>
        <v/>
      </c>
    </row>
    <row r="114" spans="1:13" x14ac:dyDescent="0.45">
      <c r="A114" t="s">
        <v>2657</v>
      </c>
      <c r="B114" s="206">
        <v>103</v>
      </c>
      <c r="C114" t="s">
        <v>2820</v>
      </c>
      <c r="D114" s="206" t="s">
        <v>2821</v>
      </c>
      <c r="E114" s="206" t="str">
        <f t="shared" si="0"/>
        <v>21</v>
      </c>
      <c r="F114" t="str">
        <f t="shared" si="1"/>
        <v>Chi cục thuế Huyện Vĩnh Bảo</v>
      </c>
      <c r="G114" t="str">
        <f t="shared" si="8"/>
        <v>Vĩnh Bảo</v>
      </c>
      <c r="H114" s="206"/>
      <c r="I114" s="206" t="str">
        <f t="shared" si="2"/>
        <v>10321</v>
      </c>
      <c r="J114" t="str">
        <f t="shared" si="3"/>
        <v/>
      </c>
      <c r="K114" t="str">
        <f>IF(J114="","",ROWS($K$70:K114))</f>
        <v/>
      </c>
      <c r="L114" t="str">
        <f>IFERROR(SMALL($K$70:$K$846,ROWS($L$70:L114)),"")</f>
        <v/>
      </c>
      <c r="M114" t="str" cm="1">
        <f t="array" ref="M114">IFERROR(INDEX($F$70:$F$846,L114,1),"")</f>
        <v/>
      </c>
    </row>
    <row r="115" spans="1:13" x14ac:dyDescent="0.45">
      <c r="A115" t="s">
        <v>2657</v>
      </c>
      <c r="B115" s="206">
        <v>103</v>
      </c>
      <c r="C115" t="s">
        <v>2822</v>
      </c>
      <c r="D115" s="206" t="s">
        <v>2823</v>
      </c>
      <c r="E115" s="206" t="str">
        <f t="shared" si="0"/>
        <v>23</v>
      </c>
      <c r="F115" t="str">
        <f t="shared" si="1"/>
        <v>Chi cục thuế Huyện Cát Hải</v>
      </c>
      <c r="G115" t="str">
        <f t="shared" si="8"/>
        <v>Cát Hải</v>
      </c>
      <c r="H115" s="206"/>
      <c r="I115" s="206" t="str">
        <f t="shared" si="2"/>
        <v>10323</v>
      </c>
      <c r="J115" t="str">
        <f t="shared" si="3"/>
        <v/>
      </c>
      <c r="K115" t="str">
        <f>IF(J115="","",ROWS($K$70:K115))</f>
        <v/>
      </c>
      <c r="L115" t="str">
        <f>IFERROR(SMALL($K$70:$K$846,ROWS($L$70:L115)),"")</f>
        <v/>
      </c>
      <c r="M115" t="str" cm="1">
        <f t="array" ref="M115">IFERROR(INDEX($F$70:$F$846,L115,1),"")</f>
        <v/>
      </c>
    </row>
    <row r="116" spans="1:13" x14ac:dyDescent="0.45">
      <c r="A116" t="s">
        <v>2657</v>
      </c>
      <c r="B116" s="206">
        <v>103</v>
      </c>
      <c r="C116" t="s">
        <v>2824</v>
      </c>
      <c r="D116" s="206" t="s">
        <v>2825</v>
      </c>
      <c r="E116" s="206" t="str">
        <f t="shared" si="0"/>
        <v>25</v>
      </c>
      <c r="F116" t="str">
        <f t="shared" si="1"/>
        <v>Chi cục thuế Huyện Bạch Long Vĩ</v>
      </c>
      <c r="G116" t="str">
        <f t="shared" si="8"/>
        <v>Bạch Long Vĩ</v>
      </c>
      <c r="H116" s="206"/>
      <c r="I116" s="206" t="str">
        <f t="shared" si="2"/>
        <v>10325</v>
      </c>
      <c r="J116" t="str">
        <f t="shared" si="3"/>
        <v/>
      </c>
      <c r="K116" t="str">
        <f>IF(J116="","",ROWS($K$70:K116))</f>
        <v/>
      </c>
      <c r="L116" t="str">
        <f>IFERROR(SMALL($K$70:$K$846,ROWS($L$70:L116)),"")</f>
        <v/>
      </c>
      <c r="M116" t="str" cm="1">
        <f t="array" ref="M116">IFERROR(INDEX($F$70:$F$846,L116,1),"")</f>
        <v/>
      </c>
    </row>
    <row r="117" spans="1:13" x14ac:dyDescent="0.45">
      <c r="A117" t="s">
        <v>2657</v>
      </c>
      <c r="B117" s="206">
        <v>103</v>
      </c>
      <c r="C117" t="s">
        <v>2826</v>
      </c>
      <c r="D117" s="206" t="s">
        <v>2827</v>
      </c>
      <c r="E117" s="206" t="str">
        <f t="shared" si="0"/>
        <v>27</v>
      </c>
      <c r="F117" t="str">
        <f t="shared" si="1"/>
        <v>Chi cục thuế Quận Dương Kinh</v>
      </c>
      <c r="G117" t="str">
        <f>RIGHT(C117,LEN(C117)-5)</f>
        <v>Dương Kinh</v>
      </c>
      <c r="H117" s="206"/>
      <c r="I117" s="206" t="str">
        <f t="shared" si="2"/>
        <v>10327</v>
      </c>
      <c r="J117" t="str">
        <f t="shared" si="3"/>
        <v/>
      </c>
      <c r="K117" t="str">
        <f>IF(J117="","",ROWS($K$70:K117))</f>
        <v/>
      </c>
      <c r="L117" t="str">
        <f>IFERROR(SMALL($K$70:$K$846,ROWS($L$70:L117)),"")</f>
        <v/>
      </c>
      <c r="M117" t="str" cm="1">
        <f t="array" ref="M117">IFERROR(INDEX($F$70:$F$846,L117,1),"")</f>
        <v/>
      </c>
    </row>
    <row r="118" spans="1:13" x14ac:dyDescent="0.45">
      <c r="A118" t="s">
        <v>2655</v>
      </c>
      <c r="B118" s="206" t="s">
        <v>2828</v>
      </c>
      <c r="C118" t="s">
        <v>2829</v>
      </c>
      <c r="D118" s="206" t="s">
        <v>2830</v>
      </c>
      <c r="E118" s="206" t="str">
        <f t="shared" si="0"/>
        <v>00</v>
      </c>
      <c r="F118" t="str">
        <f t="shared" si="1"/>
        <v>Cục thuế Tỉnh Hải Dương</v>
      </c>
      <c r="H118" s="206"/>
      <c r="I118" s="206" t="str">
        <f t="shared" si="2"/>
        <v>10700</v>
      </c>
      <c r="J118" t="str">
        <f t="shared" si="3"/>
        <v/>
      </c>
      <c r="K118" t="str">
        <f>IF(J118="","",ROWS($K$70:K118))</f>
        <v/>
      </c>
      <c r="L118" t="str">
        <f>IFERROR(SMALL($K$70:$K$846,ROWS($L$70:L118)),"")</f>
        <v/>
      </c>
      <c r="M118" t="str" cm="1">
        <f t="array" ref="M118">IFERROR(INDEX($F$70:$F$846,L118,1),"")</f>
        <v/>
      </c>
    </row>
    <row r="119" spans="1:13" x14ac:dyDescent="0.45">
      <c r="A119" t="s">
        <v>2655</v>
      </c>
      <c r="B119" s="206">
        <v>107</v>
      </c>
      <c r="C119" t="s">
        <v>2831</v>
      </c>
      <c r="D119" s="206" t="s">
        <v>2832</v>
      </c>
      <c r="E119" s="206" t="str">
        <f t="shared" si="0"/>
        <v>01</v>
      </c>
      <c r="F119" t="str">
        <f t="shared" si="1"/>
        <v>Chi cục thuế Thành phố Hải Dương</v>
      </c>
      <c r="H119" s="206"/>
      <c r="I119" s="206" t="str">
        <f t="shared" si="2"/>
        <v>10701</v>
      </c>
      <c r="J119" t="str">
        <f t="shared" si="3"/>
        <v/>
      </c>
      <c r="K119" t="str">
        <f>IF(J119="","",ROWS($K$70:K119))</f>
        <v/>
      </c>
      <c r="L119" t="str">
        <f>IFERROR(SMALL($K$70:$K$846,ROWS($L$70:L119)),"")</f>
        <v/>
      </c>
      <c r="M119" t="str" cm="1">
        <f t="array" ref="M119">IFERROR(INDEX($F$70:$F$846,L119,1),"")</f>
        <v/>
      </c>
    </row>
    <row r="120" spans="1:13" x14ac:dyDescent="0.45">
      <c r="A120" t="s">
        <v>2655</v>
      </c>
      <c r="B120" s="206">
        <v>107</v>
      </c>
      <c r="C120" t="s">
        <v>2833</v>
      </c>
      <c r="D120" s="206" t="s">
        <v>2834</v>
      </c>
      <c r="E120" s="206" t="str">
        <f t="shared" si="0"/>
        <v>03</v>
      </c>
      <c r="F120" t="str">
        <f t="shared" si="1"/>
        <v>Chi cục thuế Thị xã Chí Linh</v>
      </c>
      <c r="H120" s="206"/>
      <c r="I120" s="206" t="str">
        <f t="shared" si="2"/>
        <v>10703</v>
      </c>
      <c r="J120" t="str">
        <f t="shared" si="3"/>
        <v/>
      </c>
      <c r="K120" t="str">
        <f>IF(J120="","",ROWS($K$70:K120))</f>
        <v/>
      </c>
      <c r="L120" t="str">
        <f>IFERROR(SMALL($K$70:$K$846,ROWS($L$70:L120)),"")</f>
        <v/>
      </c>
      <c r="M120" t="str" cm="1">
        <f t="array" ref="M120">IFERROR(INDEX($F$70:$F$846,L120,1),"")</f>
        <v/>
      </c>
    </row>
    <row r="121" spans="1:13" x14ac:dyDescent="0.45">
      <c r="A121" t="s">
        <v>2655</v>
      </c>
      <c r="B121" s="206">
        <v>107</v>
      </c>
      <c r="C121" t="s">
        <v>2835</v>
      </c>
      <c r="D121" s="206" t="s">
        <v>2836</v>
      </c>
      <c r="E121" s="206" t="str">
        <f t="shared" si="0"/>
        <v>05</v>
      </c>
      <c r="F121" t="str">
        <f t="shared" si="1"/>
        <v>Chi cục thuế Huyện Nam Sách</v>
      </c>
      <c r="G121" t="str">
        <f t="shared" ref="G121:G130" si="9">RIGHT(C121,LEN(C121)-6)</f>
        <v>Nam Sách</v>
      </c>
      <c r="H121" s="206"/>
      <c r="I121" s="206" t="str">
        <f t="shared" si="2"/>
        <v>10705</v>
      </c>
      <c r="J121" t="str">
        <f t="shared" si="3"/>
        <v/>
      </c>
      <c r="K121" t="str">
        <f>IF(J121="","",ROWS($K$70:K121))</f>
        <v/>
      </c>
      <c r="L121" t="str">
        <f>IFERROR(SMALL($K$70:$K$846,ROWS($L$70:L121)),"")</f>
        <v/>
      </c>
      <c r="M121" t="str" cm="1">
        <f t="array" ref="M121">IFERROR(INDEX($F$70:$F$846,L121,1),"")</f>
        <v/>
      </c>
    </row>
    <row r="122" spans="1:13" x14ac:dyDescent="0.45">
      <c r="A122" t="s">
        <v>2655</v>
      </c>
      <c r="B122" s="206">
        <v>107</v>
      </c>
      <c r="C122" t="s">
        <v>2837</v>
      </c>
      <c r="D122" s="206" t="s">
        <v>2838</v>
      </c>
      <c r="E122" s="206" t="str">
        <f t="shared" si="0"/>
        <v>07</v>
      </c>
      <c r="F122" t="str">
        <f t="shared" si="1"/>
        <v>Chi cục thuế Huyện Thanh Hà</v>
      </c>
      <c r="G122" t="str">
        <f t="shared" si="9"/>
        <v>Thanh Hà</v>
      </c>
      <c r="H122" s="206"/>
      <c r="I122" s="206" t="str">
        <f t="shared" si="2"/>
        <v>10707</v>
      </c>
      <c r="J122" t="str">
        <f t="shared" si="3"/>
        <v/>
      </c>
      <c r="K122" t="str">
        <f>IF(J122="","",ROWS($K$70:K122))</f>
        <v/>
      </c>
      <c r="L122" t="str">
        <f>IFERROR(SMALL($K$70:$K$846,ROWS($L$70:L122)),"")</f>
        <v/>
      </c>
      <c r="M122" t="str" cm="1">
        <f t="array" ref="M122">IFERROR(INDEX($F$70:$F$846,L122,1),"")</f>
        <v/>
      </c>
    </row>
    <row r="123" spans="1:13" x14ac:dyDescent="0.45">
      <c r="A123" t="s">
        <v>2655</v>
      </c>
      <c r="B123" s="206">
        <v>107</v>
      </c>
      <c r="C123" t="s">
        <v>2839</v>
      </c>
      <c r="D123" s="206" t="s">
        <v>2840</v>
      </c>
      <c r="E123" s="206" t="str">
        <f t="shared" si="0"/>
        <v>09</v>
      </c>
      <c r="F123" t="str">
        <f t="shared" si="1"/>
        <v>Chi cục thuế Huyện Kinh Môn</v>
      </c>
      <c r="G123" t="str">
        <f t="shared" si="9"/>
        <v>Kinh Môn</v>
      </c>
      <c r="H123" s="206"/>
      <c r="I123" s="206" t="str">
        <f t="shared" si="2"/>
        <v>10709</v>
      </c>
      <c r="J123" t="str">
        <f t="shared" si="3"/>
        <v/>
      </c>
      <c r="K123" t="str">
        <f>IF(J123="","",ROWS($K$70:K123))</f>
        <v/>
      </c>
      <c r="L123" t="str">
        <f>IFERROR(SMALL($K$70:$K$846,ROWS($L$70:L123)),"")</f>
        <v/>
      </c>
      <c r="M123" t="str" cm="1">
        <f t="array" ref="M123">IFERROR(INDEX($F$70:$F$846,L123,1),"")</f>
        <v/>
      </c>
    </row>
    <row r="124" spans="1:13" x14ac:dyDescent="0.45">
      <c r="A124" t="s">
        <v>2655</v>
      </c>
      <c r="B124" s="206">
        <v>107</v>
      </c>
      <c r="C124" t="s">
        <v>2841</v>
      </c>
      <c r="D124" s="206" t="s">
        <v>2842</v>
      </c>
      <c r="E124" s="206" t="str">
        <f t="shared" si="0"/>
        <v>11</v>
      </c>
      <c r="F124" t="str">
        <f t="shared" si="1"/>
        <v>Chi cục thuế Huyện Kim Thành</v>
      </c>
      <c r="G124" t="str">
        <f t="shared" si="9"/>
        <v>Kim Thành</v>
      </c>
      <c r="H124" s="206"/>
      <c r="I124" s="206" t="str">
        <f t="shared" si="2"/>
        <v>10711</v>
      </c>
      <c r="J124" t="str">
        <f t="shared" si="3"/>
        <v/>
      </c>
      <c r="K124" t="str">
        <f>IF(J124="","",ROWS($K$70:K124))</f>
        <v/>
      </c>
      <c r="L124" t="str">
        <f>IFERROR(SMALL($K$70:$K$846,ROWS($L$70:L124)),"")</f>
        <v/>
      </c>
      <c r="M124" t="str" cm="1">
        <f t="array" ref="M124">IFERROR(INDEX($F$70:$F$846,L124,1),"")</f>
        <v/>
      </c>
    </row>
    <row r="125" spans="1:13" x14ac:dyDescent="0.45">
      <c r="A125" t="s">
        <v>2655</v>
      </c>
      <c r="B125" s="206">
        <v>107</v>
      </c>
      <c r="C125" t="s">
        <v>2843</v>
      </c>
      <c r="D125" s="206" t="s">
        <v>2844</v>
      </c>
      <c r="E125" s="206" t="str">
        <f t="shared" si="0"/>
        <v>13</v>
      </c>
      <c r="F125" t="str">
        <f t="shared" si="1"/>
        <v>Chi cục thuế Huyện Gia Lộc</v>
      </c>
      <c r="G125" t="str">
        <f t="shared" si="9"/>
        <v>Gia Lộc</v>
      </c>
      <c r="H125" s="206"/>
      <c r="I125" s="206" t="str">
        <f t="shared" si="2"/>
        <v>10713</v>
      </c>
      <c r="J125" t="str">
        <f t="shared" si="3"/>
        <v/>
      </c>
      <c r="K125" t="str">
        <f>IF(J125="","",ROWS($K$70:K125))</f>
        <v/>
      </c>
      <c r="L125" t="str">
        <f>IFERROR(SMALL($K$70:$K$846,ROWS($L$70:L125)),"")</f>
        <v/>
      </c>
      <c r="M125" t="str" cm="1">
        <f t="array" ref="M125">IFERROR(INDEX($F$70:$F$846,L125,1),"")</f>
        <v/>
      </c>
    </row>
    <row r="126" spans="1:13" x14ac:dyDescent="0.45">
      <c r="A126" t="s">
        <v>2655</v>
      </c>
      <c r="B126" s="206">
        <v>107</v>
      </c>
      <c r="C126" t="s">
        <v>2845</v>
      </c>
      <c r="D126" s="206" t="s">
        <v>2846</v>
      </c>
      <c r="E126" s="206" t="str">
        <f t="shared" si="0"/>
        <v>15</v>
      </c>
      <c r="F126" t="str">
        <f t="shared" si="1"/>
        <v>Chi cục thuế Huyện Tứ Kỳ</v>
      </c>
      <c r="G126" t="str">
        <f t="shared" si="9"/>
        <v>Tứ Kỳ</v>
      </c>
      <c r="H126" s="206"/>
      <c r="I126" s="206" t="str">
        <f t="shared" si="2"/>
        <v>10715</v>
      </c>
      <c r="J126" t="str">
        <f t="shared" si="3"/>
        <v/>
      </c>
      <c r="K126" t="str">
        <f>IF(J126="","",ROWS($K$70:K126))</f>
        <v/>
      </c>
      <c r="L126" t="str">
        <f>IFERROR(SMALL($K$70:$K$846,ROWS($L$70:L126)),"")</f>
        <v/>
      </c>
      <c r="M126" t="str" cm="1">
        <f t="array" ref="M126">IFERROR(INDEX($F$70:$F$846,L126,1),"")</f>
        <v/>
      </c>
    </row>
    <row r="127" spans="1:13" x14ac:dyDescent="0.45">
      <c r="A127" t="s">
        <v>2655</v>
      </c>
      <c r="B127" s="206">
        <v>107</v>
      </c>
      <c r="C127" t="s">
        <v>2847</v>
      </c>
      <c r="D127" s="206" t="s">
        <v>2848</v>
      </c>
      <c r="E127" s="206" t="str">
        <f t="shared" si="0"/>
        <v>17</v>
      </c>
      <c r="F127" t="str">
        <f t="shared" si="1"/>
        <v>Chi cục thuế Huyện Cẩm Giàng</v>
      </c>
      <c r="G127" t="str">
        <f t="shared" si="9"/>
        <v>Cẩm Giàng</v>
      </c>
      <c r="H127" s="206"/>
      <c r="I127" s="206" t="str">
        <f t="shared" si="2"/>
        <v>10717</v>
      </c>
      <c r="J127" t="str">
        <f t="shared" si="3"/>
        <v/>
      </c>
      <c r="K127" t="str">
        <f>IF(J127="","",ROWS($K$70:K127))</f>
        <v/>
      </c>
      <c r="L127" t="str">
        <f>IFERROR(SMALL($K$70:$K$846,ROWS($L$70:L127)),"")</f>
        <v/>
      </c>
      <c r="M127" t="str" cm="1">
        <f t="array" ref="M127">IFERROR(INDEX($F$70:$F$846,L127,1),"")</f>
        <v/>
      </c>
    </row>
    <row r="128" spans="1:13" x14ac:dyDescent="0.45">
      <c r="A128" t="s">
        <v>2655</v>
      </c>
      <c r="B128" s="206">
        <v>107</v>
      </c>
      <c r="C128" t="s">
        <v>2849</v>
      </c>
      <c r="D128" s="206" t="s">
        <v>2850</v>
      </c>
      <c r="E128" s="206" t="str">
        <f t="shared" si="0"/>
        <v>19</v>
      </c>
      <c r="F128" t="str">
        <f t="shared" si="1"/>
        <v>Chi cục thuế Huyện Bình Giang</v>
      </c>
      <c r="G128" t="str">
        <f t="shared" si="9"/>
        <v>Bình Giang</v>
      </c>
      <c r="H128" s="206"/>
      <c r="I128" s="206" t="str">
        <f t="shared" si="2"/>
        <v>10719</v>
      </c>
      <c r="J128" t="str">
        <f t="shared" si="3"/>
        <v/>
      </c>
      <c r="K128" t="str">
        <f>IF(J128="","",ROWS($K$70:K128))</f>
        <v/>
      </c>
      <c r="L128" t="str">
        <f>IFERROR(SMALL($K$70:$K$846,ROWS($L$70:L128)),"")</f>
        <v/>
      </c>
      <c r="M128" t="str" cm="1">
        <f t="array" ref="M128">IFERROR(INDEX($F$70:$F$846,L128,1),"")</f>
        <v/>
      </c>
    </row>
    <row r="129" spans="1:13" x14ac:dyDescent="0.45">
      <c r="A129" t="s">
        <v>2655</v>
      </c>
      <c r="B129" s="206">
        <v>107</v>
      </c>
      <c r="C129" t="s">
        <v>2851</v>
      </c>
      <c r="D129" s="206" t="s">
        <v>2852</v>
      </c>
      <c r="E129" s="206" t="str">
        <f t="shared" si="0"/>
        <v>21</v>
      </c>
      <c r="F129" t="str">
        <f t="shared" si="1"/>
        <v>Chi cục thuế Huyện Thanh Miện</v>
      </c>
      <c r="G129" t="str">
        <f t="shared" si="9"/>
        <v>Thanh Miện</v>
      </c>
      <c r="H129" s="206"/>
      <c r="I129" s="206" t="str">
        <f t="shared" si="2"/>
        <v>10721</v>
      </c>
      <c r="J129" t="str">
        <f t="shared" si="3"/>
        <v/>
      </c>
      <c r="K129" t="str">
        <f>IF(J129="","",ROWS($K$70:K129))</f>
        <v/>
      </c>
      <c r="L129" t="str">
        <f>IFERROR(SMALL($K$70:$K$846,ROWS($L$70:L129)),"")</f>
        <v/>
      </c>
      <c r="M129" t="str" cm="1">
        <f t="array" ref="M129">IFERROR(INDEX($F$70:$F$846,L129,1),"")</f>
        <v/>
      </c>
    </row>
    <row r="130" spans="1:13" x14ac:dyDescent="0.45">
      <c r="A130" t="s">
        <v>2655</v>
      </c>
      <c r="B130" s="206">
        <v>107</v>
      </c>
      <c r="C130" t="s">
        <v>2853</v>
      </c>
      <c r="D130" s="206" t="s">
        <v>2854</v>
      </c>
      <c r="E130" s="206" t="str">
        <f t="shared" si="0"/>
        <v>23</v>
      </c>
      <c r="F130" t="str">
        <f t="shared" si="1"/>
        <v>Chi cục thuế Huyện Ninh Giang</v>
      </c>
      <c r="G130" t="str">
        <f t="shared" si="9"/>
        <v>Ninh Giang</v>
      </c>
      <c r="H130" s="206"/>
      <c r="I130" s="206" t="str">
        <f t="shared" si="2"/>
        <v>10723</v>
      </c>
      <c r="J130" t="str">
        <f t="shared" si="3"/>
        <v/>
      </c>
      <c r="K130" t="str">
        <f>IF(J130="","",ROWS($K$70:K130))</f>
        <v/>
      </c>
      <c r="L130" t="str">
        <f>IFERROR(SMALL($K$70:$K$846,ROWS($L$70:L130)),"")</f>
        <v/>
      </c>
      <c r="M130" t="str" cm="1">
        <f t="array" ref="M130">IFERROR(INDEX($F$70:$F$846,L130,1),"")</f>
        <v/>
      </c>
    </row>
    <row r="131" spans="1:13" x14ac:dyDescent="0.45">
      <c r="A131" t="s">
        <v>700</v>
      </c>
      <c r="B131" s="206" t="s">
        <v>2855</v>
      </c>
      <c r="C131" t="s">
        <v>2856</v>
      </c>
      <c r="D131" s="206" t="s">
        <v>2857</v>
      </c>
      <c r="E131" s="206" t="str">
        <f t="shared" si="0"/>
        <v>00</v>
      </c>
      <c r="F131" t="str">
        <f t="shared" si="1"/>
        <v>Cục thuế Tỉnh Hưng Yên</v>
      </c>
      <c r="H131" s="206" t="str">
        <f>IF(E132="01",A132,"")</f>
        <v>Hưng Yên</v>
      </c>
      <c r="I131" s="206" t="str">
        <f t="shared" si="2"/>
        <v>10900</v>
      </c>
      <c r="J131" t="str">
        <f t="shared" si="3"/>
        <v/>
      </c>
      <c r="K131" t="str">
        <f>IF(J131="","",ROWS($K$70:K131))</f>
        <v/>
      </c>
      <c r="L131" t="str">
        <f>IFERROR(SMALL($K$70:$K$846,ROWS($L$70:L131)),"")</f>
        <v/>
      </c>
      <c r="M131" t="str" cm="1">
        <f t="array" ref="M131">IFERROR(INDEX($F$70:$F$846,L131,1),"")</f>
        <v/>
      </c>
    </row>
    <row r="132" spans="1:13" x14ac:dyDescent="0.45">
      <c r="A132" t="s">
        <v>700</v>
      </c>
      <c r="B132" s="206">
        <v>109</v>
      </c>
      <c r="C132" t="s">
        <v>2858</v>
      </c>
      <c r="D132" s="206" t="s">
        <v>2859</v>
      </c>
      <c r="E132" s="206" t="str">
        <f t="shared" si="0"/>
        <v>01</v>
      </c>
      <c r="F132" t="str">
        <f t="shared" si="1"/>
        <v>Chi cục thuế Thành phố Hưng yên</v>
      </c>
      <c r="H132" s="206" t="str">
        <f t="shared" ref="H132:H141" si="10">IF(E133="01",A133,"")</f>
        <v/>
      </c>
      <c r="I132" s="206" t="str">
        <f t="shared" si="2"/>
        <v>10901</v>
      </c>
      <c r="J132" t="str">
        <f t="shared" si="3"/>
        <v/>
      </c>
      <c r="K132" t="str">
        <f>IF(J132="","",ROWS($K$70:K132))</f>
        <v/>
      </c>
      <c r="L132" t="str">
        <f>IFERROR(SMALL($K$70:$K$846,ROWS($L$70:L132)),"")</f>
        <v/>
      </c>
      <c r="M132" t="str" cm="1">
        <f t="array" ref="M132">IFERROR(INDEX($F$70:$F$846,L132,1),"")</f>
        <v/>
      </c>
    </row>
    <row r="133" spans="1:13" x14ac:dyDescent="0.45">
      <c r="A133" t="s">
        <v>700</v>
      </c>
      <c r="B133" s="206">
        <v>109</v>
      </c>
      <c r="C133" t="s">
        <v>2860</v>
      </c>
      <c r="D133" s="206" t="s">
        <v>2861</v>
      </c>
      <c r="E133" s="206" t="str">
        <f t="shared" si="0"/>
        <v>03</v>
      </c>
      <c r="F133" t="str">
        <f t="shared" si="1"/>
        <v>Chi cục thuế Huyện Mỹ Hào</v>
      </c>
      <c r="G133" t="str">
        <f t="shared" ref="G133:G141" si="11">RIGHT(C133,LEN(C133)-6)</f>
        <v>Mỹ Hào</v>
      </c>
      <c r="H133" s="206" t="str">
        <f t="shared" si="10"/>
        <v/>
      </c>
      <c r="I133" s="206" t="str">
        <f t="shared" si="2"/>
        <v>10903</v>
      </c>
      <c r="J133" t="str">
        <f t="shared" si="3"/>
        <v/>
      </c>
      <c r="K133" t="str">
        <f>IF(J133="","",ROWS($K$70:K133))</f>
        <v/>
      </c>
      <c r="L133" t="str">
        <f>IFERROR(SMALL($K$70:$K$846,ROWS($L$70:L133)),"")</f>
        <v/>
      </c>
      <c r="M133" t="str" cm="1">
        <f t="array" ref="M133">IFERROR(INDEX($F$70:$F$846,L133,1),"")</f>
        <v/>
      </c>
    </row>
    <row r="134" spans="1:13" x14ac:dyDescent="0.45">
      <c r="A134" t="s">
        <v>700</v>
      </c>
      <c r="B134" s="206">
        <v>109</v>
      </c>
      <c r="C134" t="s">
        <v>2862</v>
      </c>
      <c r="D134" s="206" t="s">
        <v>2863</v>
      </c>
      <c r="E134" s="206" t="str">
        <f t="shared" si="0"/>
        <v>05</v>
      </c>
      <c r="F134" t="str">
        <f t="shared" si="1"/>
        <v>Chi cục thuế Huyện Khoái Châu</v>
      </c>
      <c r="G134" t="str">
        <f t="shared" si="11"/>
        <v>Khoái Châu</v>
      </c>
      <c r="H134" s="206" t="str">
        <f t="shared" si="10"/>
        <v/>
      </c>
      <c r="I134" s="206" t="str">
        <f t="shared" si="2"/>
        <v>10905</v>
      </c>
      <c r="J134" t="str">
        <f t="shared" si="3"/>
        <v/>
      </c>
      <c r="K134" t="str">
        <f>IF(J134="","",ROWS($K$70:K134))</f>
        <v/>
      </c>
      <c r="L134" t="str">
        <f>IFERROR(SMALL($K$70:$K$846,ROWS($L$70:L134)),"")</f>
        <v/>
      </c>
      <c r="M134" t="str" cm="1">
        <f t="array" ref="M134">IFERROR(INDEX($F$70:$F$846,L134,1),"")</f>
        <v/>
      </c>
    </row>
    <row r="135" spans="1:13" x14ac:dyDescent="0.45">
      <c r="A135" t="s">
        <v>700</v>
      </c>
      <c r="B135" s="206">
        <v>109</v>
      </c>
      <c r="C135" t="s">
        <v>2864</v>
      </c>
      <c r="D135" s="206" t="s">
        <v>2865</v>
      </c>
      <c r="E135" s="206" t="str">
        <f t="shared" ref="E135:E198" si="12">RIGHT(D135,2)</f>
        <v>07</v>
      </c>
      <c r="F135" t="str">
        <f t="shared" ref="F135:F198" si="13">IF(E135="00","Cục thuế "&amp;C135,"Chi cục thuế "&amp;C135)</f>
        <v>Chi cục thuế Huyện Ân Thi</v>
      </c>
      <c r="G135" t="str">
        <f t="shared" si="11"/>
        <v>Ân Thi</v>
      </c>
      <c r="H135" s="206" t="str">
        <f t="shared" si="10"/>
        <v/>
      </c>
      <c r="I135" s="206" t="str">
        <f t="shared" ref="I135:I198" si="14">D135</f>
        <v>10907</v>
      </c>
      <c r="J135" t="str">
        <f t="shared" si="3"/>
        <v/>
      </c>
      <c r="K135" t="str">
        <f>IF(J135="","",ROWS($K$70:K135))</f>
        <v/>
      </c>
      <c r="L135" t="str">
        <f>IFERROR(SMALL($K$70:$K$846,ROWS($L$70:L135)),"")</f>
        <v/>
      </c>
      <c r="M135" t="str" cm="1">
        <f t="array" ref="M135">IFERROR(INDEX($F$70:$F$846,L135,1),"")</f>
        <v/>
      </c>
    </row>
    <row r="136" spans="1:13" x14ac:dyDescent="0.45">
      <c r="A136" t="s">
        <v>700</v>
      </c>
      <c r="B136" s="206">
        <v>109</v>
      </c>
      <c r="C136" t="s">
        <v>2866</v>
      </c>
      <c r="D136" s="206" t="s">
        <v>2867</v>
      </c>
      <c r="E136" s="206" t="str">
        <f t="shared" si="12"/>
        <v>09</v>
      </c>
      <c r="F136" t="str">
        <f t="shared" si="13"/>
        <v>Chi cục thuế Huyện Kim Động</v>
      </c>
      <c r="G136" t="str">
        <f t="shared" si="11"/>
        <v>Kim Động</v>
      </c>
      <c r="H136" s="206" t="str">
        <f t="shared" si="10"/>
        <v/>
      </c>
      <c r="I136" s="206" t="str">
        <f t="shared" si="14"/>
        <v>10909</v>
      </c>
      <c r="J136" t="str">
        <f t="shared" ref="J136:J199" si="15">IF(A136=$J$69,F136,"")</f>
        <v/>
      </c>
      <c r="K136" t="str">
        <f>IF(J136="","",ROWS($K$70:K136))</f>
        <v/>
      </c>
      <c r="L136" t="str">
        <f>IFERROR(SMALL($K$70:$K$846,ROWS($L$70:L136)),"")</f>
        <v/>
      </c>
      <c r="M136" t="str" cm="1">
        <f t="array" ref="M136">IFERROR(INDEX($F$70:$F$846,L136,1),"")</f>
        <v/>
      </c>
    </row>
    <row r="137" spans="1:13" x14ac:dyDescent="0.45">
      <c r="A137" t="s">
        <v>700</v>
      </c>
      <c r="B137" s="206">
        <v>109</v>
      </c>
      <c r="C137" t="s">
        <v>2868</v>
      </c>
      <c r="D137" s="206" t="s">
        <v>2869</v>
      </c>
      <c r="E137" s="206" t="str">
        <f t="shared" si="12"/>
        <v>11</v>
      </c>
      <c r="F137" t="str">
        <f t="shared" si="13"/>
        <v>Chi cục thuế Huyện Phù Cừ</v>
      </c>
      <c r="G137" t="str">
        <f t="shared" si="11"/>
        <v>Phù Cừ</v>
      </c>
      <c r="H137" s="206" t="str">
        <f t="shared" si="10"/>
        <v/>
      </c>
      <c r="I137" s="206" t="str">
        <f t="shared" si="14"/>
        <v>10911</v>
      </c>
      <c r="J137" t="str">
        <f t="shared" si="15"/>
        <v/>
      </c>
      <c r="K137" t="str">
        <f>IF(J137="","",ROWS($K$70:K137))</f>
        <v/>
      </c>
      <c r="L137" t="str">
        <f>IFERROR(SMALL($K$70:$K$846,ROWS($L$70:L137)),"")</f>
        <v/>
      </c>
      <c r="M137" t="str" cm="1">
        <f t="array" ref="M137">IFERROR(INDEX($F$70:$F$846,L137,1),"")</f>
        <v/>
      </c>
    </row>
    <row r="138" spans="1:13" x14ac:dyDescent="0.45">
      <c r="A138" t="s">
        <v>700</v>
      </c>
      <c r="B138" s="206">
        <v>109</v>
      </c>
      <c r="C138" t="s">
        <v>2870</v>
      </c>
      <c r="D138" s="206" t="s">
        <v>2871</v>
      </c>
      <c r="E138" s="206" t="str">
        <f t="shared" si="12"/>
        <v>13</v>
      </c>
      <c r="F138" t="str">
        <f t="shared" si="13"/>
        <v>Chi cục thuế Huyện Tiên Lữ</v>
      </c>
      <c r="G138" t="str">
        <f t="shared" si="11"/>
        <v>Tiên Lữ</v>
      </c>
      <c r="H138" s="206" t="str">
        <f t="shared" si="10"/>
        <v/>
      </c>
      <c r="I138" s="206" t="str">
        <f t="shared" si="14"/>
        <v>10913</v>
      </c>
      <c r="J138" t="str">
        <f t="shared" si="15"/>
        <v/>
      </c>
      <c r="K138" t="str">
        <f>IF(J138="","",ROWS($K$70:K138))</f>
        <v/>
      </c>
      <c r="L138" t="str">
        <f>IFERROR(SMALL($K$70:$K$846,ROWS($L$70:L138)),"")</f>
        <v/>
      </c>
      <c r="M138" t="str" cm="1">
        <f t="array" ref="M138">IFERROR(INDEX($F$70:$F$846,L138,1),"")</f>
        <v/>
      </c>
    </row>
    <row r="139" spans="1:13" x14ac:dyDescent="0.45">
      <c r="A139" t="s">
        <v>700</v>
      </c>
      <c r="B139" s="206">
        <v>109</v>
      </c>
      <c r="C139" t="s">
        <v>2872</v>
      </c>
      <c r="D139" s="206" t="s">
        <v>2873</v>
      </c>
      <c r="E139" s="206" t="str">
        <f t="shared" si="12"/>
        <v>15</v>
      </c>
      <c r="F139" t="str">
        <f t="shared" si="13"/>
        <v>Chi cục thuế Huyện Văn Giang</v>
      </c>
      <c r="G139" t="str">
        <f t="shared" si="11"/>
        <v>Văn Giang</v>
      </c>
      <c r="H139" s="206" t="str">
        <f t="shared" si="10"/>
        <v/>
      </c>
      <c r="I139" s="206" t="str">
        <f t="shared" si="14"/>
        <v>10915</v>
      </c>
      <c r="J139" t="str">
        <f t="shared" si="15"/>
        <v/>
      </c>
      <c r="K139" t="str">
        <f>IF(J139="","",ROWS($K$70:K139))</f>
        <v/>
      </c>
      <c r="L139" t="str">
        <f>IFERROR(SMALL($K$70:$K$846,ROWS($L$70:L139)),"")</f>
        <v/>
      </c>
      <c r="M139" t="str" cm="1">
        <f t="array" ref="M139">IFERROR(INDEX($F$70:$F$846,L139,1),"")</f>
        <v/>
      </c>
    </row>
    <row r="140" spans="1:13" x14ac:dyDescent="0.45">
      <c r="A140" t="s">
        <v>700</v>
      </c>
      <c r="B140" s="206">
        <v>109</v>
      </c>
      <c r="C140" t="s">
        <v>2874</v>
      </c>
      <c r="D140" s="206" t="s">
        <v>2875</v>
      </c>
      <c r="E140" s="206" t="str">
        <f t="shared" si="12"/>
        <v>17</v>
      </c>
      <c r="F140" t="str">
        <f t="shared" si="13"/>
        <v>Chi cục thuế Huyện Văn Lâm</v>
      </c>
      <c r="G140" t="str">
        <f t="shared" si="11"/>
        <v>Văn Lâm</v>
      </c>
      <c r="H140" s="206" t="str">
        <f t="shared" si="10"/>
        <v/>
      </c>
      <c r="I140" s="206" t="str">
        <f t="shared" si="14"/>
        <v>10917</v>
      </c>
      <c r="J140" t="str">
        <f t="shared" si="15"/>
        <v/>
      </c>
      <c r="K140" t="str">
        <f>IF(J140="","",ROWS($K$70:K140))</f>
        <v/>
      </c>
      <c r="L140" t="str">
        <f>IFERROR(SMALL($K$70:$K$846,ROWS($L$70:L140)),"")</f>
        <v/>
      </c>
      <c r="M140" t="str" cm="1">
        <f t="array" ref="M140">IFERROR(INDEX($F$70:$F$846,L140,1),"")</f>
        <v/>
      </c>
    </row>
    <row r="141" spans="1:13" x14ac:dyDescent="0.45">
      <c r="A141" t="s">
        <v>700</v>
      </c>
      <c r="B141" s="206">
        <v>109</v>
      </c>
      <c r="C141" t="s">
        <v>2876</v>
      </c>
      <c r="D141" s="206" t="s">
        <v>2877</v>
      </c>
      <c r="E141" s="206" t="str">
        <f t="shared" si="12"/>
        <v>19</v>
      </c>
      <c r="F141" t="str">
        <f t="shared" si="13"/>
        <v>Chi cục thuế Huyện Yên Mỹ</v>
      </c>
      <c r="G141" t="str">
        <f t="shared" si="11"/>
        <v>Yên Mỹ</v>
      </c>
      <c r="H141" s="206" t="str">
        <f t="shared" si="10"/>
        <v/>
      </c>
      <c r="I141" s="206" t="str">
        <f t="shared" si="14"/>
        <v>10919</v>
      </c>
      <c r="J141" t="str">
        <f t="shared" si="15"/>
        <v/>
      </c>
      <c r="K141" t="str">
        <f>IF(J141="","",ROWS($K$70:K141))</f>
        <v/>
      </c>
      <c r="L141" t="str">
        <f>IFERROR(SMALL($K$70:$K$846,ROWS($L$70:L141)),"")</f>
        <v/>
      </c>
      <c r="M141" t="str" cm="1">
        <f t="array" ref="M141">IFERROR(INDEX($F$70:$F$846,L141,1),"")</f>
        <v/>
      </c>
    </row>
    <row r="142" spans="1:13" x14ac:dyDescent="0.45">
      <c r="A142" t="s">
        <v>2650</v>
      </c>
      <c r="B142" s="206" t="s">
        <v>2878</v>
      </c>
      <c r="C142" t="s">
        <v>2879</v>
      </c>
      <c r="D142" s="206" t="s">
        <v>2880</v>
      </c>
      <c r="E142" s="206" t="str">
        <f t="shared" si="12"/>
        <v>00</v>
      </c>
      <c r="F142" t="str">
        <f t="shared" si="13"/>
        <v>Cục thuế Tỉnh Hà Nam</v>
      </c>
      <c r="H142" s="206" t="str">
        <f>IF(E143="01",A143,"")</f>
        <v>Hà Nam</v>
      </c>
      <c r="I142" s="206" t="str">
        <f t="shared" si="14"/>
        <v>11100</v>
      </c>
      <c r="J142" t="str">
        <f t="shared" si="15"/>
        <v/>
      </c>
      <c r="K142" t="str">
        <f>IF(J142="","",ROWS($K$70:K142))</f>
        <v/>
      </c>
      <c r="L142" t="str">
        <f>IFERROR(SMALL($K$70:$K$846,ROWS($L$70:L142)),"")</f>
        <v/>
      </c>
      <c r="M142" t="str" cm="1">
        <f t="array" ref="M142">IFERROR(INDEX($F$70:$F$846,L142,1),"")</f>
        <v/>
      </c>
    </row>
    <row r="143" spans="1:13" x14ac:dyDescent="0.45">
      <c r="A143" t="s">
        <v>2650</v>
      </c>
      <c r="B143" s="206">
        <v>111</v>
      </c>
      <c r="C143" t="s">
        <v>2881</v>
      </c>
      <c r="D143" s="206" t="s">
        <v>2882</v>
      </c>
      <c r="E143" s="206" t="str">
        <f t="shared" si="12"/>
        <v>01</v>
      </c>
      <c r="F143" t="str">
        <f t="shared" si="13"/>
        <v>Chi cục thuế Thành phố Phủ Lý</v>
      </c>
      <c r="H143" s="206"/>
      <c r="I143" s="206" t="str">
        <f t="shared" si="14"/>
        <v>11101</v>
      </c>
      <c r="J143" t="str">
        <f t="shared" si="15"/>
        <v/>
      </c>
      <c r="K143" t="str">
        <f>IF(J143="","",ROWS($K$70:K143))</f>
        <v/>
      </c>
      <c r="L143" t="str">
        <f>IFERROR(SMALL($K$70:$K$846,ROWS($L$70:L143)),"")</f>
        <v/>
      </c>
      <c r="M143" t="str" cm="1">
        <f t="array" ref="M143">IFERROR(INDEX($F$70:$F$846,L143,1),"")</f>
        <v/>
      </c>
    </row>
    <row r="144" spans="1:13" x14ac:dyDescent="0.45">
      <c r="A144" t="s">
        <v>2650</v>
      </c>
      <c r="B144" s="206">
        <v>111</v>
      </c>
      <c r="C144" t="s">
        <v>2883</v>
      </c>
      <c r="D144" s="206" t="s">
        <v>2884</v>
      </c>
      <c r="E144" s="206" t="str">
        <f t="shared" si="12"/>
        <v>03</v>
      </c>
      <c r="F144" t="str">
        <f t="shared" si="13"/>
        <v>Chi cục thuế Huyện Duy Tiên</v>
      </c>
      <c r="G144" t="str">
        <f>RIGHT(C144,LEN(C144)-6)</f>
        <v>Duy Tiên</v>
      </c>
      <c r="H144" s="206"/>
      <c r="I144" s="206" t="str">
        <f t="shared" si="14"/>
        <v>11103</v>
      </c>
      <c r="J144" t="str">
        <f t="shared" si="15"/>
        <v/>
      </c>
      <c r="K144" t="str">
        <f>IF(J144="","",ROWS($K$70:K144))</f>
        <v/>
      </c>
      <c r="L144" t="str">
        <f>IFERROR(SMALL($K$70:$K$846,ROWS($L$70:L144)),"")</f>
        <v/>
      </c>
      <c r="M144" t="str" cm="1">
        <f t="array" ref="M144">IFERROR(INDEX($F$70:$F$846,L144,1),"")</f>
        <v/>
      </c>
    </row>
    <row r="145" spans="1:13" x14ac:dyDescent="0.45">
      <c r="A145" t="s">
        <v>2650</v>
      </c>
      <c r="B145" s="206">
        <v>111</v>
      </c>
      <c r="C145" t="s">
        <v>2885</v>
      </c>
      <c r="D145" s="206" t="s">
        <v>2886</v>
      </c>
      <c r="E145" s="206" t="str">
        <f t="shared" si="12"/>
        <v>05</v>
      </c>
      <c r="F145" t="str">
        <f t="shared" si="13"/>
        <v>Chi cục thuế Huyện Kim Bảng</v>
      </c>
      <c r="G145" t="str">
        <f>RIGHT(C145,LEN(C145)-6)</f>
        <v>Kim Bảng</v>
      </c>
      <c r="H145" s="206"/>
      <c r="I145" s="206" t="str">
        <f t="shared" si="14"/>
        <v>11105</v>
      </c>
      <c r="J145" t="str">
        <f t="shared" si="15"/>
        <v/>
      </c>
      <c r="K145" t="str">
        <f>IF(J145="","",ROWS($K$70:K145))</f>
        <v/>
      </c>
      <c r="L145" t="str">
        <f>IFERROR(SMALL($K$70:$K$846,ROWS($L$70:L145)),"")</f>
        <v/>
      </c>
      <c r="M145" t="str" cm="1">
        <f t="array" ref="M145">IFERROR(INDEX($F$70:$F$846,L145,1),"")</f>
        <v/>
      </c>
    </row>
    <row r="146" spans="1:13" x14ac:dyDescent="0.45">
      <c r="A146" t="s">
        <v>2650</v>
      </c>
      <c r="B146" s="206">
        <v>111</v>
      </c>
      <c r="C146" t="s">
        <v>2887</v>
      </c>
      <c r="D146" s="206" t="s">
        <v>2888</v>
      </c>
      <c r="E146" s="206" t="str">
        <f t="shared" si="12"/>
        <v>07</v>
      </c>
      <c r="F146" t="str">
        <f t="shared" si="13"/>
        <v>Chi cục thuế Huyện Lý Nhân</v>
      </c>
      <c r="G146" t="str">
        <f>RIGHT(C146,LEN(C146)-6)</f>
        <v>Lý Nhân</v>
      </c>
      <c r="H146" s="206"/>
      <c r="I146" s="206" t="str">
        <f t="shared" si="14"/>
        <v>11107</v>
      </c>
      <c r="J146" t="str">
        <f t="shared" si="15"/>
        <v/>
      </c>
      <c r="K146" t="str">
        <f>IF(J146="","",ROWS($K$70:K146))</f>
        <v/>
      </c>
      <c r="L146" t="str">
        <f>IFERROR(SMALL($K$70:$K$846,ROWS($L$70:L146)),"")</f>
        <v/>
      </c>
      <c r="M146" t="str" cm="1">
        <f t="array" ref="M146">IFERROR(INDEX($F$70:$F$846,L146,1),"")</f>
        <v/>
      </c>
    </row>
    <row r="147" spans="1:13" x14ac:dyDescent="0.45">
      <c r="A147" t="s">
        <v>2650</v>
      </c>
      <c r="B147" s="206">
        <v>111</v>
      </c>
      <c r="C147" t="s">
        <v>2889</v>
      </c>
      <c r="D147" s="206" t="s">
        <v>2890</v>
      </c>
      <c r="E147" s="206" t="str">
        <f t="shared" si="12"/>
        <v>09</v>
      </c>
      <c r="F147" t="str">
        <f t="shared" si="13"/>
        <v>Chi cục thuế Huyện Thanh Liêm</v>
      </c>
      <c r="G147" t="str">
        <f>RIGHT(C147,LEN(C147)-6)</f>
        <v>Thanh Liêm</v>
      </c>
      <c r="H147" s="206"/>
      <c r="I147" s="206" t="str">
        <f t="shared" si="14"/>
        <v>11109</v>
      </c>
      <c r="J147" t="str">
        <f t="shared" si="15"/>
        <v/>
      </c>
      <c r="K147" t="str">
        <f>IF(J147="","",ROWS($K$70:K147))</f>
        <v/>
      </c>
      <c r="L147" t="str">
        <f>IFERROR(SMALL($K$70:$K$846,ROWS($L$70:L147)),"")</f>
        <v/>
      </c>
      <c r="M147" t="str" cm="1">
        <f t="array" ref="M147">IFERROR(INDEX($F$70:$F$846,L147,1),"")</f>
        <v/>
      </c>
    </row>
    <row r="148" spans="1:13" x14ac:dyDescent="0.45">
      <c r="A148" t="s">
        <v>2650</v>
      </c>
      <c r="B148" s="206">
        <v>111</v>
      </c>
      <c r="C148" t="s">
        <v>2891</v>
      </c>
      <c r="D148" s="206" t="s">
        <v>2892</v>
      </c>
      <c r="E148" s="206" t="str">
        <f t="shared" si="12"/>
        <v>11</v>
      </c>
      <c r="F148" t="str">
        <f t="shared" si="13"/>
        <v>Chi cục thuế Huyện Bình Lục</v>
      </c>
      <c r="G148" t="str">
        <f>RIGHT(C148,LEN(C148)-6)</f>
        <v>Bình Lục</v>
      </c>
      <c r="H148" s="206"/>
      <c r="I148" s="206" t="str">
        <f t="shared" si="14"/>
        <v>11111</v>
      </c>
      <c r="J148" t="str">
        <f t="shared" si="15"/>
        <v/>
      </c>
      <c r="K148" t="str">
        <f>IF(J148="","",ROWS($K$70:K148))</f>
        <v/>
      </c>
      <c r="L148" t="str">
        <f>IFERROR(SMALL($K$70:$K$846,ROWS($L$70:L148)),"")</f>
        <v/>
      </c>
      <c r="M148" t="str" cm="1">
        <f t="array" ref="M148">IFERROR(INDEX($F$70:$F$846,L148,1),"")</f>
        <v/>
      </c>
    </row>
    <row r="149" spans="1:13" x14ac:dyDescent="0.45">
      <c r="A149" t="s">
        <v>2680</v>
      </c>
      <c r="B149" s="206" t="s">
        <v>2893</v>
      </c>
      <c r="C149" t="s">
        <v>2894</v>
      </c>
      <c r="D149" s="206" t="s">
        <v>2895</v>
      </c>
      <c r="E149" s="206" t="str">
        <f t="shared" si="12"/>
        <v>00</v>
      </c>
      <c r="F149" t="str">
        <f t="shared" si="13"/>
        <v>Cục thuế Tỉnh Nam Định</v>
      </c>
      <c r="H149" s="206" t="str">
        <f>IF(E150="01",A150,"")</f>
        <v>Nam Định</v>
      </c>
      <c r="I149" s="206" t="str">
        <f t="shared" si="14"/>
        <v>11300</v>
      </c>
      <c r="J149" t="str">
        <f t="shared" si="15"/>
        <v/>
      </c>
      <c r="K149" t="str">
        <f>IF(J149="","",ROWS($K$70:K149))</f>
        <v/>
      </c>
      <c r="L149" t="str">
        <f>IFERROR(SMALL($K$70:$K$846,ROWS($L$70:L149)),"")</f>
        <v/>
      </c>
      <c r="M149" t="str" cm="1">
        <f t="array" ref="M149">IFERROR(INDEX($F$70:$F$846,L149,1),"")</f>
        <v/>
      </c>
    </row>
    <row r="150" spans="1:13" x14ac:dyDescent="0.45">
      <c r="A150" t="s">
        <v>2680</v>
      </c>
      <c r="B150" s="206">
        <v>113</v>
      </c>
      <c r="C150" t="s">
        <v>2896</v>
      </c>
      <c r="D150" s="206" t="s">
        <v>2897</v>
      </c>
      <c r="E150" s="206" t="str">
        <f t="shared" si="12"/>
        <v>01</v>
      </c>
      <c r="F150" t="str">
        <f t="shared" si="13"/>
        <v>Chi cục thuế Thành phố Nam Định</v>
      </c>
      <c r="H150" s="206"/>
      <c r="I150" s="206" t="str">
        <f t="shared" si="14"/>
        <v>11301</v>
      </c>
      <c r="J150" t="str">
        <f t="shared" si="15"/>
        <v/>
      </c>
      <c r="K150" t="str">
        <f>IF(J150="","",ROWS($K$70:K150))</f>
        <v/>
      </c>
      <c r="L150" t="str">
        <f>IFERROR(SMALL($K$70:$K$846,ROWS($L$70:L150)),"")</f>
        <v/>
      </c>
      <c r="M150" t="str" cm="1">
        <f t="array" ref="M150">IFERROR(INDEX($F$70:$F$846,L150,1),"")</f>
        <v/>
      </c>
    </row>
    <row r="151" spans="1:13" x14ac:dyDescent="0.45">
      <c r="A151" t="s">
        <v>2680</v>
      </c>
      <c r="B151" s="206">
        <v>113</v>
      </c>
      <c r="C151" t="s">
        <v>2898</v>
      </c>
      <c r="D151" s="206" t="s">
        <v>2899</v>
      </c>
      <c r="E151" s="206" t="str">
        <f t="shared" si="12"/>
        <v>03</v>
      </c>
      <c r="F151" t="str">
        <f t="shared" si="13"/>
        <v>Chi cục thuế Huyện Vụ Bản</v>
      </c>
      <c r="G151" t="str">
        <f t="shared" ref="G151:G159" si="16">RIGHT(C151,LEN(C151)-6)</f>
        <v>Vụ Bản</v>
      </c>
      <c r="H151" s="206"/>
      <c r="I151" s="206" t="str">
        <f t="shared" si="14"/>
        <v>11303</v>
      </c>
      <c r="J151" t="str">
        <f t="shared" si="15"/>
        <v/>
      </c>
      <c r="K151" t="str">
        <f>IF(J151="","",ROWS($K$70:K151))</f>
        <v/>
      </c>
      <c r="L151" t="str">
        <f>IFERROR(SMALL($K$70:$K$846,ROWS($L$70:L151)),"")</f>
        <v/>
      </c>
      <c r="M151" t="str" cm="1">
        <f t="array" ref="M151">IFERROR(INDEX($F$70:$F$846,L151,1),"")</f>
        <v/>
      </c>
    </row>
    <row r="152" spans="1:13" x14ac:dyDescent="0.45">
      <c r="A152" t="s">
        <v>2680</v>
      </c>
      <c r="B152" s="206">
        <v>113</v>
      </c>
      <c r="C152" t="s">
        <v>2900</v>
      </c>
      <c r="D152" s="206" t="s">
        <v>2901</v>
      </c>
      <c r="E152" s="206" t="str">
        <f t="shared" si="12"/>
        <v>05</v>
      </c>
      <c r="F152" t="str">
        <f t="shared" si="13"/>
        <v>Chi cục thuế Huyện Mỹ Lộc</v>
      </c>
      <c r="G152" t="str">
        <f t="shared" si="16"/>
        <v>Mỹ Lộc</v>
      </c>
      <c r="H152" s="206"/>
      <c r="I152" s="206" t="str">
        <f t="shared" si="14"/>
        <v>11305</v>
      </c>
      <c r="J152" t="str">
        <f t="shared" si="15"/>
        <v/>
      </c>
      <c r="K152" t="str">
        <f>IF(J152="","",ROWS($K$70:K152))</f>
        <v/>
      </c>
      <c r="L152" t="str">
        <f>IFERROR(SMALL($K$70:$K$846,ROWS($L$70:L152)),"")</f>
        <v/>
      </c>
      <c r="M152" t="str" cm="1">
        <f t="array" ref="M152">IFERROR(INDEX($F$70:$F$846,L152,1),"")</f>
        <v/>
      </c>
    </row>
    <row r="153" spans="1:13" x14ac:dyDescent="0.45">
      <c r="A153" t="s">
        <v>2680</v>
      </c>
      <c r="B153" s="206">
        <v>113</v>
      </c>
      <c r="C153" t="s">
        <v>2902</v>
      </c>
      <c r="D153" s="206" t="s">
        <v>2903</v>
      </c>
      <c r="E153" s="206" t="str">
        <f t="shared" si="12"/>
        <v>07</v>
      </c>
      <c r="F153" t="str">
        <f t="shared" si="13"/>
        <v>Chi cục thuế Huyện ý Yên</v>
      </c>
      <c r="G153" t="str">
        <f t="shared" si="16"/>
        <v>ý Yên</v>
      </c>
      <c r="H153" s="206"/>
      <c r="I153" s="206" t="str">
        <f t="shared" si="14"/>
        <v>11307</v>
      </c>
      <c r="J153" t="str">
        <f t="shared" si="15"/>
        <v/>
      </c>
      <c r="K153" t="str">
        <f>IF(J153="","",ROWS($K$70:K153))</f>
        <v/>
      </c>
      <c r="L153" t="str">
        <f>IFERROR(SMALL($K$70:$K$846,ROWS($L$70:L153)),"")</f>
        <v/>
      </c>
      <c r="M153" t="str" cm="1">
        <f t="array" ref="M153">IFERROR(INDEX($F$70:$F$846,L153,1),"")</f>
        <v/>
      </c>
    </row>
    <row r="154" spans="1:13" x14ac:dyDescent="0.45">
      <c r="A154" t="s">
        <v>2680</v>
      </c>
      <c r="B154" s="206">
        <v>113</v>
      </c>
      <c r="C154" t="s">
        <v>2904</v>
      </c>
      <c r="D154" s="206" t="s">
        <v>2905</v>
      </c>
      <c r="E154" s="206" t="str">
        <f t="shared" si="12"/>
        <v>09</v>
      </c>
      <c r="F154" t="str">
        <f t="shared" si="13"/>
        <v>Chi cục thuế Huyện Nam Trực</v>
      </c>
      <c r="G154" t="str">
        <f t="shared" si="16"/>
        <v>Nam Trực</v>
      </c>
      <c r="H154" s="206"/>
      <c r="I154" s="206" t="str">
        <f t="shared" si="14"/>
        <v>11309</v>
      </c>
      <c r="J154" t="str">
        <f t="shared" si="15"/>
        <v/>
      </c>
      <c r="K154" t="str">
        <f>IF(J154="","",ROWS($K$70:K154))</f>
        <v/>
      </c>
      <c r="L154" t="str">
        <f>IFERROR(SMALL($K$70:$K$846,ROWS($L$70:L154)),"")</f>
        <v/>
      </c>
      <c r="M154" t="str" cm="1">
        <f t="array" ref="M154">IFERROR(INDEX($F$70:$F$846,L154,1),"")</f>
        <v/>
      </c>
    </row>
    <row r="155" spans="1:13" x14ac:dyDescent="0.45">
      <c r="A155" t="s">
        <v>2680</v>
      </c>
      <c r="B155" s="206">
        <v>113</v>
      </c>
      <c r="C155" t="s">
        <v>2906</v>
      </c>
      <c r="D155" s="206" t="s">
        <v>2907</v>
      </c>
      <c r="E155" s="206" t="str">
        <f t="shared" si="12"/>
        <v>11</v>
      </c>
      <c r="F155" t="str">
        <f t="shared" si="13"/>
        <v>Chi cục thuế Huyện Trực Ninh</v>
      </c>
      <c r="G155" t="str">
        <f t="shared" si="16"/>
        <v>Trực Ninh</v>
      </c>
      <c r="H155" s="206"/>
      <c r="I155" s="206" t="str">
        <f t="shared" si="14"/>
        <v>11311</v>
      </c>
      <c r="J155" t="str">
        <f t="shared" si="15"/>
        <v/>
      </c>
      <c r="K155" t="str">
        <f>IF(J155="","",ROWS($K$70:K155))</f>
        <v/>
      </c>
      <c r="L155" t="str">
        <f>IFERROR(SMALL($K$70:$K$846,ROWS($L$70:L155)),"")</f>
        <v/>
      </c>
      <c r="M155" t="str" cm="1">
        <f t="array" ref="M155">IFERROR(INDEX($F$70:$F$846,L155,1),"")</f>
        <v/>
      </c>
    </row>
    <row r="156" spans="1:13" x14ac:dyDescent="0.45">
      <c r="A156" t="s">
        <v>2680</v>
      </c>
      <c r="B156" s="206">
        <v>113</v>
      </c>
      <c r="C156" t="s">
        <v>2908</v>
      </c>
      <c r="D156" s="206" t="s">
        <v>2909</v>
      </c>
      <c r="E156" s="206" t="str">
        <f t="shared" si="12"/>
        <v>13</v>
      </c>
      <c r="F156" t="str">
        <f t="shared" si="13"/>
        <v>Chi cục thuế Huyện Xuân Trường</v>
      </c>
      <c r="G156" t="str">
        <f t="shared" si="16"/>
        <v>Xuân Trường</v>
      </c>
      <c r="H156" s="206"/>
      <c r="I156" s="206" t="str">
        <f t="shared" si="14"/>
        <v>11313</v>
      </c>
      <c r="J156" t="str">
        <f t="shared" si="15"/>
        <v/>
      </c>
      <c r="K156" t="str">
        <f>IF(J156="","",ROWS($K$70:K156))</f>
        <v/>
      </c>
      <c r="L156" t="str">
        <f>IFERROR(SMALL($K$70:$K$846,ROWS($L$70:L156)),"")</f>
        <v/>
      </c>
      <c r="M156" t="str" cm="1">
        <f t="array" ref="M156">IFERROR(INDEX($F$70:$F$846,L156,1),"")</f>
        <v/>
      </c>
    </row>
    <row r="157" spans="1:13" x14ac:dyDescent="0.45">
      <c r="A157" t="s">
        <v>2680</v>
      </c>
      <c r="B157" s="206">
        <v>113</v>
      </c>
      <c r="C157" t="s">
        <v>2910</v>
      </c>
      <c r="D157" s="206" t="s">
        <v>2911</v>
      </c>
      <c r="E157" s="206" t="str">
        <f t="shared" si="12"/>
        <v>15</v>
      </c>
      <c r="F157" t="str">
        <f t="shared" si="13"/>
        <v>Chi cục thuế Huyện Giao Thuỷ</v>
      </c>
      <c r="G157" t="str">
        <f t="shared" si="16"/>
        <v>Giao Thuỷ</v>
      </c>
      <c r="H157" s="206"/>
      <c r="I157" s="206" t="str">
        <f t="shared" si="14"/>
        <v>11315</v>
      </c>
      <c r="J157" t="str">
        <f t="shared" si="15"/>
        <v/>
      </c>
      <c r="K157" t="str">
        <f>IF(J157="","",ROWS($K$70:K157))</f>
        <v/>
      </c>
      <c r="L157" t="str">
        <f>IFERROR(SMALL($K$70:$K$846,ROWS($L$70:L157)),"")</f>
        <v/>
      </c>
      <c r="M157" t="str" cm="1">
        <f t="array" ref="M157">IFERROR(INDEX($F$70:$F$846,L157,1),"")</f>
        <v/>
      </c>
    </row>
    <row r="158" spans="1:13" x14ac:dyDescent="0.45">
      <c r="A158" t="s">
        <v>2680</v>
      </c>
      <c r="B158" s="206">
        <v>113</v>
      </c>
      <c r="C158" t="s">
        <v>2912</v>
      </c>
      <c r="D158" s="206" t="s">
        <v>2913</v>
      </c>
      <c r="E158" s="206" t="str">
        <f t="shared" si="12"/>
        <v>17</v>
      </c>
      <c r="F158" t="str">
        <f t="shared" si="13"/>
        <v>Chi cục thuế Huyện Nghĩa Hưng</v>
      </c>
      <c r="G158" t="str">
        <f t="shared" si="16"/>
        <v>Nghĩa Hưng</v>
      </c>
      <c r="H158" s="206"/>
      <c r="I158" s="206" t="str">
        <f t="shared" si="14"/>
        <v>11317</v>
      </c>
      <c r="J158" t="str">
        <f t="shared" si="15"/>
        <v/>
      </c>
      <c r="K158" t="str">
        <f>IF(J158="","",ROWS($K$70:K158))</f>
        <v/>
      </c>
      <c r="L158" t="str">
        <f>IFERROR(SMALL($K$70:$K$846,ROWS($L$70:L158)),"")</f>
        <v/>
      </c>
      <c r="M158" t="str" cm="1">
        <f t="array" ref="M158">IFERROR(INDEX($F$70:$F$846,L158,1),"")</f>
        <v/>
      </c>
    </row>
    <row r="159" spans="1:13" x14ac:dyDescent="0.45">
      <c r="A159" t="s">
        <v>2680</v>
      </c>
      <c r="B159" s="206">
        <v>113</v>
      </c>
      <c r="C159" t="s">
        <v>2914</v>
      </c>
      <c r="D159" s="206" t="s">
        <v>2915</v>
      </c>
      <c r="E159" s="206" t="str">
        <f t="shared" si="12"/>
        <v>19</v>
      </c>
      <c r="F159" t="str">
        <f t="shared" si="13"/>
        <v>Chi cục thuế Huyện Hải Hậu</v>
      </c>
      <c r="G159" t="str">
        <f t="shared" si="16"/>
        <v>Hải Hậu</v>
      </c>
      <c r="H159" s="206"/>
      <c r="I159" s="206" t="str">
        <f t="shared" si="14"/>
        <v>11319</v>
      </c>
      <c r="J159" t="str">
        <f t="shared" si="15"/>
        <v/>
      </c>
      <c r="K159" t="str">
        <f>IF(J159="","",ROWS($K$70:K159))</f>
        <v/>
      </c>
      <c r="L159" t="str">
        <f>IFERROR(SMALL($K$70:$K$846,ROWS($L$70:L159)),"")</f>
        <v/>
      </c>
      <c r="M159" t="str" cm="1">
        <f t="array" ref="M159">IFERROR(INDEX($F$70:$F$846,L159,1),"")</f>
        <v/>
      </c>
    </row>
    <row r="160" spans="1:13" x14ac:dyDescent="0.45">
      <c r="A160" t="s">
        <v>2708</v>
      </c>
      <c r="B160" s="206" t="s">
        <v>2916</v>
      </c>
      <c r="C160" t="s">
        <v>2917</v>
      </c>
      <c r="D160" s="206" t="s">
        <v>2918</v>
      </c>
      <c r="E160" s="206" t="str">
        <f t="shared" si="12"/>
        <v>00</v>
      </c>
      <c r="F160" t="str">
        <f t="shared" si="13"/>
        <v>Cục thuế Tỉnh Thái Bình</v>
      </c>
      <c r="H160" s="206" t="str">
        <f>IF(E161="01",A161,"")</f>
        <v>Thái Bình</v>
      </c>
      <c r="I160" s="206" t="str">
        <f t="shared" si="14"/>
        <v>11500</v>
      </c>
      <c r="J160" t="str">
        <f t="shared" si="15"/>
        <v/>
      </c>
      <c r="K160" t="str">
        <f>IF(J160="","",ROWS($K$70:K160))</f>
        <v/>
      </c>
      <c r="L160" t="str">
        <f>IFERROR(SMALL($K$70:$K$846,ROWS($L$70:L160)),"")</f>
        <v/>
      </c>
      <c r="M160" t="str" cm="1">
        <f t="array" ref="M160">IFERROR(INDEX($F$70:$F$846,L160,1),"")</f>
        <v/>
      </c>
    </row>
    <row r="161" spans="1:13" x14ac:dyDescent="0.45">
      <c r="A161" t="s">
        <v>2708</v>
      </c>
      <c r="B161" s="206">
        <v>115</v>
      </c>
      <c r="C161" t="s">
        <v>2919</v>
      </c>
      <c r="D161" s="206" t="s">
        <v>2920</v>
      </c>
      <c r="E161" s="206" t="str">
        <f t="shared" si="12"/>
        <v>01</v>
      </c>
      <c r="F161" t="str">
        <f t="shared" si="13"/>
        <v>Chi cục thuế Thành phố Thái Bình</v>
      </c>
      <c r="H161" s="206"/>
      <c r="I161" s="206" t="str">
        <f t="shared" si="14"/>
        <v>11501</v>
      </c>
      <c r="J161" t="str">
        <f t="shared" si="15"/>
        <v/>
      </c>
      <c r="K161" t="str">
        <f>IF(J161="","",ROWS($K$70:K161))</f>
        <v/>
      </c>
      <c r="L161" t="str">
        <f>IFERROR(SMALL($K$70:$K$846,ROWS($L$70:L161)),"")</f>
        <v/>
      </c>
      <c r="M161" t="str" cm="1">
        <f t="array" ref="M161">IFERROR(INDEX($F$70:$F$846,L161,1),"")</f>
        <v/>
      </c>
    </row>
    <row r="162" spans="1:13" x14ac:dyDescent="0.45">
      <c r="A162" t="s">
        <v>2708</v>
      </c>
      <c r="B162" s="206">
        <v>115</v>
      </c>
      <c r="C162" t="s">
        <v>2921</v>
      </c>
      <c r="D162" s="206" t="s">
        <v>2922</v>
      </c>
      <c r="E162" s="206" t="str">
        <f t="shared" si="12"/>
        <v>03</v>
      </c>
      <c r="F162" t="str">
        <f t="shared" si="13"/>
        <v>Chi cục thuế Huyện Quỳnh Phụ</v>
      </c>
      <c r="G162" t="str">
        <f t="shared" ref="G162:G168" si="17">RIGHT(C162,LEN(C162)-6)</f>
        <v>Quỳnh Phụ</v>
      </c>
      <c r="H162" s="206"/>
      <c r="I162" s="206" t="str">
        <f t="shared" si="14"/>
        <v>11503</v>
      </c>
      <c r="J162" t="str">
        <f t="shared" si="15"/>
        <v/>
      </c>
      <c r="K162" t="str">
        <f>IF(J162="","",ROWS($K$70:K162))</f>
        <v/>
      </c>
      <c r="L162" t="str">
        <f>IFERROR(SMALL($K$70:$K$846,ROWS($L$70:L162)),"")</f>
        <v/>
      </c>
      <c r="M162" t="str" cm="1">
        <f t="array" ref="M162">IFERROR(INDEX($F$70:$F$846,L162,1),"")</f>
        <v/>
      </c>
    </row>
    <row r="163" spans="1:13" x14ac:dyDescent="0.45">
      <c r="A163" t="s">
        <v>2708</v>
      </c>
      <c r="B163" s="206">
        <v>115</v>
      </c>
      <c r="C163" t="s">
        <v>2923</v>
      </c>
      <c r="D163" s="206" t="s">
        <v>2924</v>
      </c>
      <c r="E163" s="206" t="str">
        <f t="shared" si="12"/>
        <v>05</v>
      </c>
      <c r="F163" t="str">
        <f t="shared" si="13"/>
        <v>Chi cục thuế Huyện Hưng Hà</v>
      </c>
      <c r="G163" t="str">
        <f t="shared" si="17"/>
        <v>Hưng Hà</v>
      </c>
      <c r="H163" s="206"/>
      <c r="I163" s="206" t="str">
        <f t="shared" si="14"/>
        <v>11505</v>
      </c>
      <c r="J163" t="str">
        <f t="shared" si="15"/>
        <v/>
      </c>
      <c r="K163" t="str">
        <f>IF(J163="","",ROWS($K$70:K163))</f>
        <v/>
      </c>
      <c r="L163" t="str">
        <f>IFERROR(SMALL($K$70:$K$846,ROWS($L$70:L163)),"")</f>
        <v/>
      </c>
      <c r="M163" t="str" cm="1">
        <f t="array" ref="M163">IFERROR(INDEX($F$70:$F$846,L163,1),"")</f>
        <v/>
      </c>
    </row>
    <row r="164" spans="1:13" x14ac:dyDescent="0.45">
      <c r="A164" t="s">
        <v>2708</v>
      </c>
      <c r="B164" s="206">
        <v>115</v>
      </c>
      <c r="C164" t="s">
        <v>2925</v>
      </c>
      <c r="D164" s="206" t="s">
        <v>2926</v>
      </c>
      <c r="E164" s="206" t="str">
        <f t="shared" si="12"/>
        <v>07</v>
      </c>
      <c r="F164" t="str">
        <f t="shared" si="13"/>
        <v>Chi cục thuế Huyện Thái Thụy</v>
      </c>
      <c r="G164" t="str">
        <f t="shared" si="17"/>
        <v>Thái Thụy</v>
      </c>
      <c r="H164" s="206"/>
      <c r="I164" s="206" t="str">
        <f t="shared" si="14"/>
        <v>11507</v>
      </c>
      <c r="J164" t="str">
        <f t="shared" si="15"/>
        <v/>
      </c>
      <c r="K164" t="str">
        <f>IF(J164="","",ROWS($K$70:K164))</f>
        <v/>
      </c>
      <c r="L164" t="str">
        <f>IFERROR(SMALL($K$70:$K$846,ROWS($L$70:L164)),"")</f>
        <v/>
      </c>
      <c r="M164" t="str" cm="1">
        <f t="array" ref="M164">IFERROR(INDEX($F$70:$F$846,L164,1),"")</f>
        <v/>
      </c>
    </row>
    <row r="165" spans="1:13" x14ac:dyDescent="0.45">
      <c r="A165" t="s">
        <v>2708</v>
      </c>
      <c r="B165" s="206">
        <v>115</v>
      </c>
      <c r="C165" t="s">
        <v>2927</v>
      </c>
      <c r="D165" s="206" t="s">
        <v>2928</v>
      </c>
      <c r="E165" s="206" t="str">
        <f t="shared" si="12"/>
        <v>09</v>
      </c>
      <c r="F165" t="str">
        <f t="shared" si="13"/>
        <v>Chi cục thuế Huyện Đông Hưng</v>
      </c>
      <c r="G165" t="str">
        <f t="shared" si="17"/>
        <v>Đông Hưng</v>
      </c>
      <c r="H165" s="206"/>
      <c r="I165" s="206" t="str">
        <f t="shared" si="14"/>
        <v>11509</v>
      </c>
      <c r="J165" t="str">
        <f t="shared" si="15"/>
        <v/>
      </c>
      <c r="K165" t="str">
        <f>IF(J165="","",ROWS($K$70:K165))</f>
        <v/>
      </c>
      <c r="L165" t="str">
        <f>IFERROR(SMALL($K$70:$K$846,ROWS($L$70:L165)),"")</f>
        <v/>
      </c>
      <c r="M165" t="str" cm="1">
        <f t="array" ref="M165">IFERROR(INDEX($F$70:$F$846,L165,1),"")</f>
        <v/>
      </c>
    </row>
    <row r="166" spans="1:13" x14ac:dyDescent="0.45">
      <c r="A166" t="s">
        <v>2708</v>
      </c>
      <c r="B166" s="206">
        <v>115</v>
      </c>
      <c r="C166" t="s">
        <v>2929</v>
      </c>
      <c r="D166" s="206" t="s">
        <v>2930</v>
      </c>
      <c r="E166" s="206" t="str">
        <f t="shared" si="12"/>
        <v>11</v>
      </c>
      <c r="F166" t="str">
        <f t="shared" si="13"/>
        <v>Chi cục thuế Huyện Vũ Thư</v>
      </c>
      <c r="G166" t="str">
        <f t="shared" si="17"/>
        <v>Vũ Thư</v>
      </c>
      <c r="H166" s="206"/>
      <c r="I166" s="206" t="str">
        <f t="shared" si="14"/>
        <v>11511</v>
      </c>
      <c r="J166" t="str">
        <f t="shared" si="15"/>
        <v/>
      </c>
      <c r="K166" t="str">
        <f>IF(J166="","",ROWS($K$70:K166))</f>
        <v/>
      </c>
      <c r="L166" t="str">
        <f>IFERROR(SMALL($K$70:$K$846,ROWS($L$70:L166)),"")</f>
        <v/>
      </c>
      <c r="M166" t="str" cm="1">
        <f t="array" ref="M166">IFERROR(INDEX($F$70:$F$846,L166,1),"")</f>
        <v/>
      </c>
    </row>
    <row r="167" spans="1:13" x14ac:dyDescent="0.45">
      <c r="A167" t="s">
        <v>2708</v>
      </c>
      <c r="B167" s="206">
        <v>115</v>
      </c>
      <c r="C167" t="s">
        <v>2931</v>
      </c>
      <c r="D167" s="206" t="s">
        <v>2932</v>
      </c>
      <c r="E167" s="206" t="str">
        <f t="shared" si="12"/>
        <v>13</v>
      </c>
      <c r="F167" t="str">
        <f t="shared" si="13"/>
        <v>Chi cục thuế Huyện Kiến Xương</v>
      </c>
      <c r="G167" t="str">
        <f t="shared" si="17"/>
        <v>Kiến Xương</v>
      </c>
      <c r="H167" s="206"/>
      <c r="I167" s="206" t="str">
        <f t="shared" si="14"/>
        <v>11513</v>
      </c>
      <c r="J167" t="str">
        <f t="shared" si="15"/>
        <v/>
      </c>
      <c r="K167" t="str">
        <f>IF(J167="","",ROWS($K$70:K167))</f>
        <v/>
      </c>
      <c r="L167" t="str">
        <f>IFERROR(SMALL($K$70:$K$846,ROWS($L$70:L167)),"")</f>
        <v/>
      </c>
      <c r="M167" t="str" cm="1">
        <f t="array" ref="M167">IFERROR(INDEX($F$70:$F$846,L167,1),"")</f>
        <v/>
      </c>
    </row>
    <row r="168" spans="1:13" x14ac:dyDescent="0.45">
      <c r="A168" t="s">
        <v>2708</v>
      </c>
      <c r="B168" s="206">
        <v>115</v>
      </c>
      <c r="C168" t="s">
        <v>2933</v>
      </c>
      <c r="D168" s="206" t="s">
        <v>2934</v>
      </c>
      <c r="E168" s="206" t="str">
        <f t="shared" si="12"/>
        <v>15</v>
      </c>
      <c r="F168" t="str">
        <f t="shared" si="13"/>
        <v>Chi cục thuế Huyện Tiền Hải</v>
      </c>
      <c r="G168" t="str">
        <f t="shared" si="17"/>
        <v>Tiền Hải</v>
      </c>
      <c r="H168" s="206"/>
      <c r="I168" s="206" t="str">
        <f t="shared" si="14"/>
        <v>11515</v>
      </c>
      <c r="J168" t="str">
        <f t="shared" si="15"/>
        <v/>
      </c>
      <c r="K168" t="str">
        <f>IF(J168="","",ROWS($K$70:K168))</f>
        <v/>
      </c>
      <c r="L168" t="str">
        <f>IFERROR(SMALL($K$70:$K$846,ROWS($L$70:L168)),"")</f>
        <v/>
      </c>
      <c r="M168" t="str" cm="1">
        <f t="array" ref="M168">IFERROR(INDEX($F$70:$F$846,L168,1),"")</f>
        <v/>
      </c>
    </row>
    <row r="169" spans="1:13" x14ac:dyDescent="0.45">
      <c r="A169" t="s">
        <v>2684</v>
      </c>
      <c r="B169" s="206" t="s">
        <v>2935</v>
      </c>
      <c r="C169" t="s">
        <v>2936</v>
      </c>
      <c r="D169" s="206" t="s">
        <v>2937</v>
      </c>
      <c r="E169" s="206" t="str">
        <f t="shared" si="12"/>
        <v>00</v>
      </c>
      <c r="F169" t="str">
        <f t="shared" si="13"/>
        <v>Cục thuế Tỉnh Ninh Bình</v>
      </c>
      <c r="H169" s="206" t="str">
        <f>IF(E170="01",A170,"")</f>
        <v>Ninh Bình</v>
      </c>
      <c r="I169" s="206" t="str">
        <f t="shared" si="14"/>
        <v>11700</v>
      </c>
      <c r="J169" t="str">
        <f t="shared" si="15"/>
        <v/>
      </c>
      <c r="K169" t="str">
        <f>IF(J169="","",ROWS($K$70:K169))</f>
        <v/>
      </c>
      <c r="L169" t="str">
        <f>IFERROR(SMALL($K$70:$K$846,ROWS($L$70:L169)),"")</f>
        <v/>
      </c>
      <c r="M169" t="str" cm="1">
        <f t="array" ref="M169">IFERROR(INDEX($F$70:$F$846,L169,1),"")</f>
        <v/>
      </c>
    </row>
    <row r="170" spans="1:13" x14ac:dyDescent="0.45">
      <c r="A170" t="s">
        <v>2684</v>
      </c>
      <c r="B170" s="206">
        <v>117</v>
      </c>
      <c r="C170" t="s">
        <v>2938</v>
      </c>
      <c r="D170" s="206" t="s">
        <v>2939</v>
      </c>
      <c r="E170" s="206" t="str">
        <f t="shared" si="12"/>
        <v>01</v>
      </c>
      <c r="F170" t="str">
        <f t="shared" si="13"/>
        <v>Chi cục thuế Thành phố Ninh Bình</v>
      </c>
      <c r="H170" s="206"/>
      <c r="I170" s="206" t="str">
        <f t="shared" si="14"/>
        <v>11701</v>
      </c>
      <c r="J170" t="str">
        <f t="shared" si="15"/>
        <v/>
      </c>
      <c r="K170" t="str">
        <f>IF(J170="","",ROWS($K$70:K170))</f>
        <v/>
      </c>
      <c r="L170" t="str">
        <f>IFERROR(SMALL($K$70:$K$846,ROWS($L$70:L170)),"")</f>
        <v/>
      </c>
      <c r="M170" t="str" cm="1">
        <f t="array" ref="M170">IFERROR(INDEX($F$70:$F$846,L170,1),"")</f>
        <v/>
      </c>
    </row>
    <row r="171" spans="1:13" x14ac:dyDescent="0.45">
      <c r="A171" t="s">
        <v>2684</v>
      </c>
      <c r="B171" s="206">
        <v>117</v>
      </c>
      <c r="C171" t="s">
        <v>2940</v>
      </c>
      <c r="D171" s="206" t="s">
        <v>2941</v>
      </c>
      <c r="E171" s="206" t="str">
        <f t="shared" si="12"/>
        <v>03</v>
      </c>
      <c r="F171" t="str">
        <f t="shared" si="13"/>
        <v>Chi cục thuế Thị xã Tam Điệp</v>
      </c>
      <c r="H171" s="206"/>
      <c r="I171" s="206" t="str">
        <f t="shared" si="14"/>
        <v>11703</v>
      </c>
      <c r="J171" t="str">
        <f t="shared" si="15"/>
        <v/>
      </c>
      <c r="K171" t="str">
        <f>IF(J171="","",ROWS($K$70:K171))</f>
        <v/>
      </c>
      <c r="L171" t="str">
        <f>IFERROR(SMALL($K$70:$K$846,ROWS($L$70:L171)),"")</f>
        <v/>
      </c>
      <c r="M171" t="str" cm="1">
        <f t="array" ref="M171">IFERROR(INDEX($F$70:$F$846,L171,1),"")</f>
        <v/>
      </c>
    </row>
    <row r="172" spans="1:13" x14ac:dyDescent="0.45">
      <c r="A172" t="s">
        <v>2684</v>
      </c>
      <c r="B172" s="206">
        <v>117</v>
      </c>
      <c r="C172" t="s">
        <v>2942</v>
      </c>
      <c r="D172" s="206" t="s">
        <v>2943</v>
      </c>
      <c r="E172" s="206" t="str">
        <f t="shared" si="12"/>
        <v>05</v>
      </c>
      <c r="F172" t="str">
        <f t="shared" si="13"/>
        <v>Chi cục thuế Huyện Nho quan</v>
      </c>
      <c r="G172" t="str">
        <f t="shared" ref="G172:G177" si="18">RIGHT(C172,LEN(C172)-6)</f>
        <v>Nho quan</v>
      </c>
      <c r="H172" s="206"/>
      <c r="I172" s="206" t="str">
        <f t="shared" si="14"/>
        <v>11705</v>
      </c>
      <c r="J172" t="str">
        <f t="shared" si="15"/>
        <v/>
      </c>
      <c r="K172" t="str">
        <f>IF(J172="","",ROWS($K$70:K172))</f>
        <v/>
      </c>
      <c r="L172" t="str">
        <f>IFERROR(SMALL($K$70:$K$846,ROWS($L$70:L172)),"")</f>
        <v/>
      </c>
      <c r="M172" t="str" cm="1">
        <f t="array" ref="M172">IFERROR(INDEX($F$70:$F$846,L172,1),"")</f>
        <v/>
      </c>
    </row>
    <row r="173" spans="1:13" x14ac:dyDescent="0.45">
      <c r="A173" t="s">
        <v>2684</v>
      </c>
      <c r="B173" s="206">
        <v>117</v>
      </c>
      <c r="C173" t="s">
        <v>2944</v>
      </c>
      <c r="D173" s="206" t="s">
        <v>2945</v>
      </c>
      <c r="E173" s="206" t="str">
        <f t="shared" si="12"/>
        <v>07</v>
      </c>
      <c r="F173" t="str">
        <f t="shared" si="13"/>
        <v>Chi cục thuế Huyện Gia Viễn</v>
      </c>
      <c r="G173" t="str">
        <f t="shared" si="18"/>
        <v>Gia Viễn</v>
      </c>
      <c r="H173" s="206"/>
      <c r="I173" s="206" t="str">
        <f t="shared" si="14"/>
        <v>11707</v>
      </c>
      <c r="J173" t="str">
        <f t="shared" si="15"/>
        <v/>
      </c>
      <c r="K173" t="str">
        <f>IF(J173="","",ROWS($K$70:K173))</f>
        <v/>
      </c>
      <c r="L173" t="str">
        <f>IFERROR(SMALL($K$70:$K$846,ROWS($L$70:L173)),"")</f>
        <v/>
      </c>
      <c r="M173" t="str" cm="1">
        <f t="array" ref="M173">IFERROR(INDEX($F$70:$F$846,L173,1),"")</f>
        <v/>
      </c>
    </row>
    <row r="174" spans="1:13" x14ac:dyDescent="0.45">
      <c r="A174" t="s">
        <v>2684</v>
      </c>
      <c r="B174" s="206">
        <v>117</v>
      </c>
      <c r="C174" t="s">
        <v>2946</v>
      </c>
      <c r="D174" s="206" t="s">
        <v>2947</v>
      </c>
      <c r="E174" s="206" t="str">
        <f t="shared" si="12"/>
        <v>09</v>
      </c>
      <c r="F174" t="str">
        <f t="shared" si="13"/>
        <v>Chi cục thuế Huyện Hoa Lư</v>
      </c>
      <c r="G174" t="str">
        <f t="shared" si="18"/>
        <v>Hoa Lư</v>
      </c>
      <c r="H174" s="206"/>
      <c r="I174" s="206" t="str">
        <f t="shared" si="14"/>
        <v>11709</v>
      </c>
      <c r="J174" t="str">
        <f t="shared" si="15"/>
        <v/>
      </c>
      <c r="K174" t="str">
        <f>IF(J174="","",ROWS($K$70:K174))</f>
        <v/>
      </c>
      <c r="L174" t="str">
        <f>IFERROR(SMALL($K$70:$K$846,ROWS($L$70:L174)),"")</f>
        <v/>
      </c>
      <c r="M174" t="str" cm="1">
        <f t="array" ref="M174">IFERROR(INDEX($F$70:$F$846,L174,1),"")</f>
        <v/>
      </c>
    </row>
    <row r="175" spans="1:13" x14ac:dyDescent="0.45">
      <c r="A175" t="s">
        <v>2684</v>
      </c>
      <c r="B175" s="206">
        <v>117</v>
      </c>
      <c r="C175" t="s">
        <v>2948</v>
      </c>
      <c r="D175" s="206" t="s">
        <v>2949</v>
      </c>
      <c r="E175" s="206" t="str">
        <f t="shared" si="12"/>
        <v>11</v>
      </c>
      <c r="F175" t="str">
        <f t="shared" si="13"/>
        <v>Chi cục thuế Huyện Yên Mô</v>
      </c>
      <c r="G175" t="str">
        <f t="shared" si="18"/>
        <v>Yên Mô</v>
      </c>
      <c r="H175" s="206"/>
      <c r="I175" s="206" t="str">
        <f t="shared" si="14"/>
        <v>11711</v>
      </c>
      <c r="J175" t="str">
        <f t="shared" si="15"/>
        <v/>
      </c>
      <c r="K175" t="str">
        <f>IF(J175="","",ROWS($K$70:K175))</f>
        <v/>
      </c>
      <c r="L175" t="str">
        <f>IFERROR(SMALL($K$70:$K$846,ROWS($L$70:L175)),"")</f>
        <v/>
      </c>
      <c r="M175" t="str" cm="1">
        <f t="array" ref="M175">IFERROR(INDEX($F$70:$F$846,L175,1),"")</f>
        <v/>
      </c>
    </row>
    <row r="176" spans="1:13" x14ac:dyDescent="0.45">
      <c r="A176" t="s">
        <v>2684</v>
      </c>
      <c r="B176" s="206">
        <v>117</v>
      </c>
      <c r="C176" t="s">
        <v>2950</v>
      </c>
      <c r="D176" s="206" t="s">
        <v>2951</v>
      </c>
      <c r="E176" s="206" t="str">
        <f t="shared" si="12"/>
        <v>13</v>
      </c>
      <c r="F176" t="str">
        <f t="shared" si="13"/>
        <v>Chi cục thuế Huyện Yên Khánh</v>
      </c>
      <c r="G176" t="str">
        <f t="shared" si="18"/>
        <v>Yên Khánh</v>
      </c>
      <c r="H176" s="206"/>
      <c r="I176" s="206" t="str">
        <f t="shared" si="14"/>
        <v>11713</v>
      </c>
      <c r="J176" t="str">
        <f t="shared" si="15"/>
        <v/>
      </c>
      <c r="K176" t="str">
        <f>IF(J176="","",ROWS($K$70:K176))</f>
        <v/>
      </c>
      <c r="L176" t="str">
        <f>IFERROR(SMALL($K$70:$K$846,ROWS($L$70:L176)),"")</f>
        <v/>
      </c>
      <c r="M176" t="str" cm="1">
        <f t="array" ref="M176">IFERROR(INDEX($F$70:$F$846,L176,1),"")</f>
        <v/>
      </c>
    </row>
    <row r="177" spans="1:13" x14ac:dyDescent="0.45">
      <c r="A177" t="s">
        <v>2684</v>
      </c>
      <c r="B177" s="206">
        <v>117</v>
      </c>
      <c r="C177" t="s">
        <v>2952</v>
      </c>
      <c r="D177" s="206" t="s">
        <v>2953</v>
      </c>
      <c r="E177" s="206" t="str">
        <f t="shared" si="12"/>
        <v>15</v>
      </c>
      <c r="F177" t="str">
        <f t="shared" si="13"/>
        <v>Chi cục thuế Huyện Kim Sơn</v>
      </c>
      <c r="G177" t="str">
        <f t="shared" si="18"/>
        <v>Kim Sơn</v>
      </c>
      <c r="H177" s="206"/>
      <c r="I177" s="206" t="str">
        <f t="shared" si="14"/>
        <v>11715</v>
      </c>
      <c r="J177" t="str">
        <f t="shared" si="15"/>
        <v/>
      </c>
      <c r="K177" t="str">
        <f>IF(J177="","",ROWS($K$70:K177))</f>
        <v/>
      </c>
      <c r="L177" t="str">
        <f>IFERROR(SMALL($K$70:$K$846,ROWS($L$70:L177)),"")</f>
        <v/>
      </c>
      <c r="M177" t="str" cm="1">
        <f t="array" ref="M177">IFERROR(INDEX($F$70:$F$846,L177,1),"")</f>
        <v/>
      </c>
    </row>
    <row r="178" spans="1:13" x14ac:dyDescent="0.45">
      <c r="A178" t="s">
        <v>2648</v>
      </c>
      <c r="B178" s="206" t="s">
        <v>2954</v>
      </c>
      <c r="C178" t="s">
        <v>2955</v>
      </c>
      <c r="D178" s="206" t="s">
        <v>2956</v>
      </c>
      <c r="E178" s="206" t="str">
        <f t="shared" si="12"/>
        <v>00</v>
      </c>
      <c r="F178" t="str">
        <f t="shared" si="13"/>
        <v>Cục thuế Tỉnh Hà Giang</v>
      </c>
      <c r="H178" s="206" t="str">
        <f>IF(E179="01",A179,"")</f>
        <v>Hà Giang</v>
      </c>
      <c r="I178" s="206" t="str">
        <f t="shared" si="14"/>
        <v>20100</v>
      </c>
      <c r="J178" t="str">
        <f t="shared" si="15"/>
        <v/>
      </c>
      <c r="K178" t="str">
        <f>IF(J178="","",ROWS($K$70:K178))</f>
        <v/>
      </c>
      <c r="L178" t="str">
        <f>IFERROR(SMALL($K$70:$K$846,ROWS($L$70:L178)),"")</f>
        <v/>
      </c>
      <c r="M178" t="str" cm="1">
        <f t="array" ref="M178">IFERROR(INDEX($F$70:$F$846,L178,1),"")</f>
        <v/>
      </c>
    </row>
    <row r="179" spans="1:13" x14ac:dyDescent="0.45">
      <c r="A179" t="s">
        <v>2648</v>
      </c>
      <c r="B179" s="206">
        <v>201</v>
      </c>
      <c r="C179" t="s">
        <v>2957</v>
      </c>
      <c r="D179" s="206" t="s">
        <v>2958</v>
      </c>
      <c r="E179" s="206" t="str">
        <f t="shared" si="12"/>
        <v>01</v>
      </c>
      <c r="F179" t="str">
        <f t="shared" si="13"/>
        <v>Chi cục thuế TP Hà Giang</v>
      </c>
      <c r="H179" s="206"/>
      <c r="I179" s="206" t="str">
        <f t="shared" si="14"/>
        <v>20101</v>
      </c>
      <c r="J179" t="str">
        <f t="shared" si="15"/>
        <v/>
      </c>
      <c r="K179" t="str">
        <f>IF(J179="","",ROWS($K$70:K179))</f>
        <v/>
      </c>
      <c r="L179" t="str">
        <f>IFERROR(SMALL($K$70:$K$846,ROWS($L$70:L179)),"")</f>
        <v/>
      </c>
      <c r="M179" t="str" cm="1">
        <f t="array" ref="M179">IFERROR(INDEX($F$70:$F$846,L179,1),"")</f>
        <v/>
      </c>
    </row>
    <row r="180" spans="1:13" x14ac:dyDescent="0.45">
      <c r="A180" t="s">
        <v>2648</v>
      </c>
      <c r="B180" s="206">
        <v>201</v>
      </c>
      <c r="C180" t="s">
        <v>2959</v>
      </c>
      <c r="D180" s="206" t="s">
        <v>2960</v>
      </c>
      <c r="E180" s="206" t="str">
        <f t="shared" si="12"/>
        <v>03</v>
      </c>
      <c r="F180" t="str">
        <f t="shared" si="13"/>
        <v>Chi cục thuế Huyện Đồng Văn</v>
      </c>
      <c r="G180" t="str">
        <f t="shared" ref="G180:G189" si="19">RIGHT(C180,LEN(C180)-6)</f>
        <v>Đồng Văn</v>
      </c>
      <c r="H180" s="206"/>
      <c r="I180" s="206" t="str">
        <f t="shared" si="14"/>
        <v>20103</v>
      </c>
      <c r="J180" t="str">
        <f t="shared" si="15"/>
        <v/>
      </c>
      <c r="K180" t="str">
        <f>IF(J180="","",ROWS($K$70:K180))</f>
        <v/>
      </c>
      <c r="L180" t="str">
        <f>IFERROR(SMALL($K$70:$K$846,ROWS($L$70:L180)),"")</f>
        <v/>
      </c>
      <c r="M180" t="str" cm="1">
        <f t="array" ref="M180">IFERROR(INDEX($F$70:$F$846,L180,1),"")</f>
        <v/>
      </c>
    </row>
    <row r="181" spans="1:13" x14ac:dyDescent="0.45">
      <c r="A181" t="s">
        <v>2648</v>
      </c>
      <c r="B181" s="206">
        <v>201</v>
      </c>
      <c r="C181" t="s">
        <v>2961</v>
      </c>
      <c r="D181" s="206" t="s">
        <v>2962</v>
      </c>
      <c r="E181" s="206" t="str">
        <f t="shared" si="12"/>
        <v>05</v>
      </c>
      <c r="F181" t="str">
        <f t="shared" si="13"/>
        <v>Chi cục thuế Huyện Mèo Vạc</v>
      </c>
      <c r="G181" t="str">
        <f t="shared" si="19"/>
        <v>Mèo Vạc</v>
      </c>
      <c r="H181" s="206"/>
      <c r="I181" s="206" t="str">
        <f t="shared" si="14"/>
        <v>20105</v>
      </c>
      <c r="J181" t="str">
        <f t="shared" si="15"/>
        <v/>
      </c>
      <c r="K181" t="str">
        <f>IF(J181="","",ROWS($K$70:K181))</f>
        <v/>
      </c>
      <c r="L181" t="str">
        <f>IFERROR(SMALL($K$70:$K$846,ROWS($L$70:L181)),"")</f>
        <v/>
      </c>
      <c r="M181" t="str" cm="1">
        <f t="array" ref="M181">IFERROR(INDEX($F$70:$F$846,L181,1),"")</f>
        <v/>
      </c>
    </row>
    <row r="182" spans="1:13" x14ac:dyDescent="0.45">
      <c r="A182" t="s">
        <v>2648</v>
      </c>
      <c r="B182" s="206">
        <v>201</v>
      </c>
      <c r="C182" t="s">
        <v>2963</v>
      </c>
      <c r="D182" s="206" t="s">
        <v>2964</v>
      </c>
      <c r="E182" s="206" t="str">
        <f t="shared" si="12"/>
        <v>07</v>
      </c>
      <c r="F182" t="str">
        <f t="shared" si="13"/>
        <v>Chi cục thuế Huyện Yên Minh</v>
      </c>
      <c r="G182" t="str">
        <f t="shared" si="19"/>
        <v>Yên Minh</v>
      </c>
      <c r="H182" s="206"/>
      <c r="I182" s="206" t="str">
        <f t="shared" si="14"/>
        <v>20107</v>
      </c>
      <c r="J182" t="str">
        <f t="shared" si="15"/>
        <v/>
      </c>
      <c r="K182" t="str">
        <f>IF(J182="","",ROWS($K$70:K182))</f>
        <v/>
      </c>
      <c r="L182" t="str">
        <f>IFERROR(SMALL($K$70:$K$846,ROWS($L$70:L182)),"")</f>
        <v/>
      </c>
      <c r="M182" t="str" cm="1">
        <f t="array" ref="M182">IFERROR(INDEX($F$70:$F$846,L182,1),"")</f>
        <v/>
      </c>
    </row>
    <row r="183" spans="1:13" x14ac:dyDescent="0.45">
      <c r="A183" t="s">
        <v>2648</v>
      </c>
      <c r="B183" s="206">
        <v>201</v>
      </c>
      <c r="C183" t="s">
        <v>2965</v>
      </c>
      <c r="D183" s="206" t="s">
        <v>2966</v>
      </c>
      <c r="E183" s="206" t="str">
        <f t="shared" si="12"/>
        <v>09</v>
      </c>
      <c r="F183" t="str">
        <f t="shared" si="13"/>
        <v>Chi cục thuế Huyện Quản Bạ</v>
      </c>
      <c r="G183" t="str">
        <f t="shared" si="19"/>
        <v>Quản Bạ</v>
      </c>
      <c r="H183" s="206"/>
      <c r="I183" s="206" t="str">
        <f t="shared" si="14"/>
        <v>20109</v>
      </c>
      <c r="J183" t="str">
        <f t="shared" si="15"/>
        <v/>
      </c>
      <c r="K183" t="str">
        <f>IF(J183="","",ROWS($K$70:K183))</f>
        <v/>
      </c>
      <c r="L183" t="str">
        <f>IFERROR(SMALL($K$70:$K$846,ROWS($L$70:L183)),"")</f>
        <v/>
      </c>
      <c r="M183" t="str" cm="1">
        <f t="array" ref="M183">IFERROR(INDEX($F$70:$F$846,L183,1),"")</f>
        <v/>
      </c>
    </row>
    <row r="184" spans="1:13" x14ac:dyDescent="0.45">
      <c r="A184" t="s">
        <v>2648</v>
      </c>
      <c r="B184" s="206">
        <v>201</v>
      </c>
      <c r="C184" t="s">
        <v>2967</v>
      </c>
      <c r="D184" s="206" t="s">
        <v>2968</v>
      </c>
      <c r="E184" s="206" t="str">
        <f t="shared" si="12"/>
        <v>11</v>
      </c>
      <c r="F184" t="str">
        <f t="shared" si="13"/>
        <v>Chi cục thuế Huyện Bắc Mê</v>
      </c>
      <c r="G184" t="str">
        <f t="shared" si="19"/>
        <v>Bắc Mê</v>
      </c>
      <c r="H184" s="206"/>
      <c r="I184" s="206" t="str">
        <f t="shared" si="14"/>
        <v>20111</v>
      </c>
      <c r="J184" t="str">
        <f t="shared" si="15"/>
        <v/>
      </c>
      <c r="K184" t="str">
        <f>IF(J184="","",ROWS($K$70:K184))</f>
        <v/>
      </c>
      <c r="L184" t="str">
        <f>IFERROR(SMALL($K$70:$K$846,ROWS($L$70:L184)),"")</f>
        <v/>
      </c>
      <c r="M184" t="str" cm="1">
        <f t="array" ref="M184">IFERROR(INDEX($F$70:$F$846,L184,1),"")</f>
        <v/>
      </c>
    </row>
    <row r="185" spans="1:13" x14ac:dyDescent="0.45">
      <c r="A185" t="s">
        <v>2648</v>
      </c>
      <c r="B185" s="206">
        <v>201</v>
      </c>
      <c r="C185" t="s">
        <v>2969</v>
      </c>
      <c r="D185" s="206" t="s">
        <v>2970</v>
      </c>
      <c r="E185" s="206" t="str">
        <f t="shared" si="12"/>
        <v>13</v>
      </c>
      <c r="F185" t="str">
        <f t="shared" si="13"/>
        <v>Chi cục thuế Huyện Hoàng Su Phì</v>
      </c>
      <c r="G185" t="str">
        <f t="shared" si="19"/>
        <v>Hoàng Su Phì</v>
      </c>
      <c r="H185" s="206"/>
      <c r="I185" s="206" t="str">
        <f t="shared" si="14"/>
        <v>20113</v>
      </c>
      <c r="J185" t="str">
        <f t="shared" si="15"/>
        <v/>
      </c>
      <c r="K185" t="str">
        <f>IF(J185="","",ROWS($K$70:K185))</f>
        <v/>
      </c>
      <c r="L185" t="str">
        <f>IFERROR(SMALL($K$70:$K$846,ROWS($L$70:L185)),"")</f>
        <v/>
      </c>
      <c r="M185" t="str" cm="1">
        <f t="array" ref="M185">IFERROR(INDEX($F$70:$F$846,L185,1),"")</f>
        <v/>
      </c>
    </row>
    <row r="186" spans="1:13" x14ac:dyDescent="0.45">
      <c r="A186" t="s">
        <v>2648</v>
      </c>
      <c r="B186" s="206">
        <v>201</v>
      </c>
      <c r="C186" t="s">
        <v>2971</v>
      </c>
      <c r="D186" s="206" t="s">
        <v>2972</v>
      </c>
      <c r="E186" s="206" t="str">
        <f t="shared" si="12"/>
        <v>15</v>
      </c>
      <c r="F186" t="str">
        <f t="shared" si="13"/>
        <v>Chi cục thuế Huyện Vị Xuyên</v>
      </c>
      <c r="G186" t="str">
        <f t="shared" si="19"/>
        <v>Vị Xuyên</v>
      </c>
      <c r="H186" s="206"/>
      <c r="I186" s="206" t="str">
        <f t="shared" si="14"/>
        <v>20115</v>
      </c>
      <c r="J186" t="str">
        <f t="shared" si="15"/>
        <v/>
      </c>
      <c r="K186" t="str">
        <f>IF(J186="","",ROWS($K$70:K186))</f>
        <v/>
      </c>
      <c r="L186" t="str">
        <f>IFERROR(SMALL($K$70:$K$846,ROWS($L$70:L186)),"")</f>
        <v/>
      </c>
      <c r="M186" t="str" cm="1">
        <f t="array" ref="M186">IFERROR(INDEX($F$70:$F$846,L186,1),"")</f>
        <v/>
      </c>
    </row>
    <row r="187" spans="1:13" x14ac:dyDescent="0.45">
      <c r="A187" t="s">
        <v>2648</v>
      </c>
      <c r="B187" s="206">
        <v>201</v>
      </c>
      <c r="C187" t="s">
        <v>2973</v>
      </c>
      <c r="D187" s="206" t="s">
        <v>2974</v>
      </c>
      <c r="E187" s="206" t="str">
        <f t="shared" si="12"/>
        <v>17</v>
      </c>
      <c r="F187" t="str">
        <f t="shared" si="13"/>
        <v>Chi cục thuế Huyện Xín Mần</v>
      </c>
      <c r="G187" t="str">
        <f t="shared" si="19"/>
        <v>Xín Mần</v>
      </c>
      <c r="H187" s="206"/>
      <c r="I187" s="206" t="str">
        <f t="shared" si="14"/>
        <v>20117</v>
      </c>
      <c r="J187" t="str">
        <f t="shared" si="15"/>
        <v/>
      </c>
      <c r="K187" t="str">
        <f>IF(J187="","",ROWS($K$70:K187))</f>
        <v/>
      </c>
      <c r="L187" t="str">
        <f>IFERROR(SMALL($K$70:$K$846,ROWS($L$70:L187)),"")</f>
        <v/>
      </c>
      <c r="M187" t="str" cm="1">
        <f t="array" ref="M187">IFERROR(INDEX($F$70:$F$846,L187,1),"")</f>
        <v/>
      </c>
    </row>
    <row r="188" spans="1:13" x14ac:dyDescent="0.45">
      <c r="A188" t="s">
        <v>2648</v>
      </c>
      <c r="B188" s="206">
        <v>201</v>
      </c>
      <c r="C188" t="s">
        <v>2975</v>
      </c>
      <c r="D188" s="206" t="s">
        <v>2976</v>
      </c>
      <c r="E188" s="206" t="str">
        <f t="shared" si="12"/>
        <v>18</v>
      </c>
      <c r="F188" t="str">
        <f t="shared" si="13"/>
        <v>Chi cục thuế Huyện Quang Bình</v>
      </c>
      <c r="G188" t="str">
        <f t="shared" si="19"/>
        <v>Quang Bình</v>
      </c>
      <c r="H188" s="206"/>
      <c r="I188" s="206" t="str">
        <f t="shared" si="14"/>
        <v>20118</v>
      </c>
      <c r="J188" t="str">
        <f t="shared" si="15"/>
        <v/>
      </c>
      <c r="K188" t="str">
        <f>IF(J188="","",ROWS($K$70:K188))</f>
        <v/>
      </c>
      <c r="L188" t="str">
        <f>IFERROR(SMALL($K$70:$K$846,ROWS($L$70:L188)),"")</f>
        <v/>
      </c>
      <c r="M188" t="str" cm="1">
        <f t="array" ref="M188">IFERROR(INDEX($F$70:$F$846,L188,1),"")</f>
        <v/>
      </c>
    </row>
    <row r="189" spans="1:13" x14ac:dyDescent="0.45">
      <c r="A189" t="s">
        <v>2648</v>
      </c>
      <c r="B189" s="206">
        <v>201</v>
      </c>
      <c r="C189" t="s">
        <v>2977</v>
      </c>
      <c r="D189" s="206" t="s">
        <v>2978</v>
      </c>
      <c r="E189" s="206" t="str">
        <f t="shared" si="12"/>
        <v>19</v>
      </c>
      <c r="F189" t="str">
        <f t="shared" si="13"/>
        <v>Chi cục thuế Huyện Bắc Quang</v>
      </c>
      <c r="G189" t="str">
        <f t="shared" si="19"/>
        <v>Bắc Quang</v>
      </c>
      <c r="H189" s="206"/>
      <c r="I189" s="206" t="str">
        <f t="shared" si="14"/>
        <v>20119</v>
      </c>
      <c r="J189" t="str">
        <f t="shared" si="15"/>
        <v/>
      </c>
      <c r="K189" t="str">
        <f>IF(J189="","",ROWS($K$70:K189))</f>
        <v/>
      </c>
      <c r="L189" t="str">
        <f>IFERROR(SMALL($K$70:$K$846,ROWS($L$70:L189)),"")</f>
        <v/>
      </c>
      <c r="M189" t="str" cm="1">
        <f t="array" ref="M189">IFERROR(INDEX($F$70:$F$846,L189,1),"")</f>
        <v/>
      </c>
    </row>
    <row r="190" spans="1:13" x14ac:dyDescent="0.45">
      <c r="A190" t="s">
        <v>2633</v>
      </c>
      <c r="B190" s="206" t="s">
        <v>2979</v>
      </c>
      <c r="C190" t="s">
        <v>2980</v>
      </c>
      <c r="D190" s="206" t="s">
        <v>2981</v>
      </c>
      <c r="E190" s="206" t="str">
        <f t="shared" si="12"/>
        <v>00</v>
      </c>
      <c r="F190" t="str">
        <f t="shared" si="13"/>
        <v>Cục thuế Tỉnh Cao Bằng</v>
      </c>
      <c r="H190" s="206" t="str">
        <f>IF(E191="01",A191,"")</f>
        <v>Cao Bằng</v>
      </c>
      <c r="I190" s="206" t="str">
        <f t="shared" si="14"/>
        <v>20300</v>
      </c>
      <c r="J190" t="str">
        <f t="shared" si="15"/>
        <v/>
      </c>
      <c r="K190" t="str">
        <f>IF(J190="","",ROWS($K$70:K190))</f>
        <v/>
      </c>
      <c r="L190" t="str">
        <f>IFERROR(SMALL($K$70:$K$846,ROWS($L$70:L190)),"")</f>
        <v/>
      </c>
      <c r="M190" t="str" cm="1">
        <f t="array" ref="M190">IFERROR(INDEX($F$70:$F$846,L190,1),"")</f>
        <v/>
      </c>
    </row>
    <row r="191" spans="1:13" x14ac:dyDescent="0.45">
      <c r="A191" t="s">
        <v>2633</v>
      </c>
      <c r="B191" s="206">
        <v>203</v>
      </c>
      <c r="C191" t="s">
        <v>2982</v>
      </c>
      <c r="D191" s="206" t="s">
        <v>2983</v>
      </c>
      <c r="E191" s="206" t="str">
        <f t="shared" si="12"/>
        <v>01</v>
      </c>
      <c r="F191" t="str">
        <f t="shared" si="13"/>
        <v>Chi cục thuế Thành phố Cao Bằng</v>
      </c>
      <c r="H191" s="206"/>
      <c r="I191" s="206" t="str">
        <f t="shared" si="14"/>
        <v>20301</v>
      </c>
      <c r="J191" t="str">
        <f t="shared" si="15"/>
        <v/>
      </c>
      <c r="K191" t="str">
        <f>IF(J191="","",ROWS($K$70:K191))</f>
        <v/>
      </c>
      <c r="L191" t="str">
        <f>IFERROR(SMALL($K$70:$K$846,ROWS($L$70:L191)),"")</f>
        <v/>
      </c>
      <c r="M191" t="str" cm="1">
        <f t="array" ref="M191">IFERROR(INDEX($F$70:$F$846,L191,1),"")</f>
        <v/>
      </c>
    </row>
    <row r="192" spans="1:13" x14ac:dyDescent="0.45">
      <c r="A192" t="s">
        <v>2633</v>
      </c>
      <c r="B192" s="206">
        <v>203</v>
      </c>
      <c r="C192" t="s">
        <v>2984</v>
      </c>
      <c r="D192" s="206" t="s">
        <v>2985</v>
      </c>
      <c r="E192" s="206" t="str">
        <f t="shared" si="12"/>
        <v>03</v>
      </c>
      <c r="F192" t="str">
        <f t="shared" si="13"/>
        <v>Chi cục thuế Huyện Bảo Lạc</v>
      </c>
      <c r="G192" t="str">
        <f t="shared" ref="G192:G203" si="20">RIGHT(C192,LEN(C192)-6)</f>
        <v>Bảo Lạc</v>
      </c>
      <c r="H192" s="206"/>
      <c r="I192" s="206" t="str">
        <f t="shared" si="14"/>
        <v>20303</v>
      </c>
      <c r="J192" t="str">
        <f t="shared" si="15"/>
        <v/>
      </c>
      <c r="K192" t="str">
        <f>IF(J192="","",ROWS($K$70:K192))</f>
        <v/>
      </c>
      <c r="L192" t="str">
        <f>IFERROR(SMALL($K$70:$K$846,ROWS($L$70:L192)),"")</f>
        <v/>
      </c>
      <c r="M192" t="str" cm="1">
        <f t="array" ref="M192">IFERROR(INDEX($F$70:$F$846,L192,1),"")</f>
        <v/>
      </c>
    </row>
    <row r="193" spans="1:13" x14ac:dyDescent="0.45">
      <c r="A193" t="s">
        <v>2633</v>
      </c>
      <c r="B193" s="206">
        <v>203</v>
      </c>
      <c r="C193" t="s">
        <v>2986</v>
      </c>
      <c r="D193" s="206" t="s">
        <v>2987</v>
      </c>
      <c r="E193" s="206" t="str">
        <f t="shared" si="12"/>
        <v>05</v>
      </c>
      <c r="F193" t="str">
        <f t="shared" si="13"/>
        <v>Chi cục thuế Huyện Hà Quảng</v>
      </c>
      <c r="G193" t="str">
        <f t="shared" si="20"/>
        <v>Hà Quảng</v>
      </c>
      <c r="H193" s="206"/>
      <c r="I193" s="206" t="str">
        <f t="shared" si="14"/>
        <v>20305</v>
      </c>
      <c r="J193" t="str">
        <f t="shared" si="15"/>
        <v/>
      </c>
      <c r="K193" t="str">
        <f>IF(J193="","",ROWS($K$70:K193))</f>
        <v/>
      </c>
      <c r="L193" t="str">
        <f>IFERROR(SMALL($K$70:$K$846,ROWS($L$70:L193)),"")</f>
        <v/>
      </c>
      <c r="M193" t="str" cm="1">
        <f t="array" ref="M193">IFERROR(INDEX($F$70:$F$846,L193,1),"")</f>
        <v/>
      </c>
    </row>
    <row r="194" spans="1:13" x14ac:dyDescent="0.45">
      <c r="A194" t="s">
        <v>2633</v>
      </c>
      <c r="B194" s="206">
        <v>203</v>
      </c>
      <c r="C194" t="s">
        <v>2988</v>
      </c>
      <c r="D194" s="206" t="s">
        <v>2989</v>
      </c>
      <c r="E194" s="206" t="str">
        <f t="shared" si="12"/>
        <v>07</v>
      </c>
      <c r="F194" t="str">
        <f t="shared" si="13"/>
        <v>Chi cục thuế Huyện Thông Nông</v>
      </c>
      <c r="G194" t="str">
        <f t="shared" si="20"/>
        <v>Thông Nông</v>
      </c>
      <c r="H194" s="206"/>
      <c r="I194" s="206" t="str">
        <f t="shared" si="14"/>
        <v>20307</v>
      </c>
      <c r="J194" t="str">
        <f t="shared" si="15"/>
        <v/>
      </c>
      <c r="K194" t="str">
        <f>IF(J194="","",ROWS($K$70:K194))</f>
        <v/>
      </c>
      <c r="L194" t="str">
        <f>IFERROR(SMALL($K$70:$K$846,ROWS($L$70:L194)),"")</f>
        <v/>
      </c>
      <c r="M194" t="str" cm="1">
        <f t="array" ref="M194">IFERROR(INDEX($F$70:$F$846,L194,1),"")</f>
        <v/>
      </c>
    </row>
    <row r="195" spans="1:13" x14ac:dyDescent="0.45">
      <c r="A195" t="s">
        <v>2633</v>
      </c>
      <c r="B195" s="206">
        <v>203</v>
      </c>
      <c r="C195" t="s">
        <v>2990</v>
      </c>
      <c r="D195" s="206" t="s">
        <v>2991</v>
      </c>
      <c r="E195" s="206" t="str">
        <f t="shared" si="12"/>
        <v>09</v>
      </c>
      <c r="F195" t="str">
        <f t="shared" si="13"/>
        <v>Chi cục thuế Huyện Trà Lĩnh</v>
      </c>
      <c r="G195" t="str">
        <f t="shared" si="20"/>
        <v>Trà Lĩnh</v>
      </c>
      <c r="H195" s="206"/>
      <c r="I195" s="206" t="str">
        <f t="shared" si="14"/>
        <v>20309</v>
      </c>
      <c r="J195" t="str">
        <f t="shared" si="15"/>
        <v/>
      </c>
      <c r="K195" t="str">
        <f>IF(J195="","",ROWS($K$70:K195))</f>
        <v/>
      </c>
      <c r="L195" t="str">
        <f>IFERROR(SMALL($K$70:$K$846,ROWS($L$70:L195)),"")</f>
        <v/>
      </c>
      <c r="M195" t="str" cm="1">
        <f t="array" ref="M195">IFERROR(INDEX($F$70:$F$846,L195,1),"")</f>
        <v/>
      </c>
    </row>
    <row r="196" spans="1:13" x14ac:dyDescent="0.45">
      <c r="A196" t="s">
        <v>2633</v>
      </c>
      <c r="B196" s="206">
        <v>203</v>
      </c>
      <c r="C196" t="s">
        <v>2992</v>
      </c>
      <c r="D196" s="206" t="s">
        <v>2993</v>
      </c>
      <c r="E196" s="206" t="str">
        <f t="shared" si="12"/>
        <v>11</v>
      </c>
      <c r="F196" t="str">
        <f t="shared" si="13"/>
        <v>Chi cục thuế Huyện Trùng Khánh</v>
      </c>
      <c r="G196" t="str">
        <f t="shared" si="20"/>
        <v>Trùng Khánh</v>
      </c>
      <c r="H196" s="206"/>
      <c r="I196" s="206" t="str">
        <f t="shared" si="14"/>
        <v>20311</v>
      </c>
      <c r="J196" t="str">
        <f t="shared" si="15"/>
        <v/>
      </c>
      <c r="K196" t="str">
        <f>IF(J196="","",ROWS($K$70:K196))</f>
        <v/>
      </c>
      <c r="L196" t="str">
        <f>IFERROR(SMALL($K$70:$K$846,ROWS($L$70:L196)),"")</f>
        <v/>
      </c>
      <c r="M196" t="str" cm="1">
        <f t="array" ref="M196">IFERROR(INDEX($F$70:$F$846,L196,1),"")</f>
        <v/>
      </c>
    </row>
    <row r="197" spans="1:13" x14ac:dyDescent="0.45">
      <c r="A197" t="s">
        <v>2633</v>
      </c>
      <c r="B197" s="206">
        <v>203</v>
      </c>
      <c r="C197" t="s">
        <v>2994</v>
      </c>
      <c r="D197" s="206" t="s">
        <v>2995</v>
      </c>
      <c r="E197" s="206" t="str">
        <f t="shared" si="12"/>
        <v>13</v>
      </c>
      <c r="F197" t="str">
        <f t="shared" si="13"/>
        <v>Chi cục thuế Huyện Nguyên Bình</v>
      </c>
      <c r="G197" t="str">
        <f t="shared" si="20"/>
        <v>Nguyên Bình</v>
      </c>
      <c r="H197" s="206"/>
      <c r="I197" s="206" t="str">
        <f t="shared" si="14"/>
        <v>20313</v>
      </c>
      <c r="J197" t="str">
        <f t="shared" si="15"/>
        <v/>
      </c>
      <c r="K197" t="str">
        <f>IF(J197="","",ROWS($K$70:K197))</f>
        <v/>
      </c>
      <c r="L197" t="str">
        <f>IFERROR(SMALL($K$70:$K$846,ROWS($L$70:L197)),"")</f>
        <v/>
      </c>
      <c r="M197" t="str" cm="1">
        <f t="array" ref="M197">IFERROR(INDEX($F$70:$F$846,L197,1),"")</f>
        <v/>
      </c>
    </row>
    <row r="198" spans="1:13" x14ac:dyDescent="0.45">
      <c r="A198" t="s">
        <v>2633</v>
      </c>
      <c r="B198" s="206">
        <v>203</v>
      </c>
      <c r="C198" t="s">
        <v>2996</v>
      </c>
      <c r="D198" s="206" t="s">
        <v>2997</v>
      </c>
      <c r="E198" s="206" t="str">
        <f t="shared" si="12"/>
        <v>15</v>
      </c>
      <c r="F198" t="str">
        <f t="shared" si="13"/>
        <v>Chi cục thuế Huyện Hòa An</v>
      </c>
      <c r="G198" t="str">
        <f t="shared" si="20"/>
        <v>Hòa An</v>
      </c>
      <c r="H198" s="206"/>
      <c r="I198" s="206" t="str">
        <f t="shared" si="14"/>
        <v>20315</v>
      </c>
      <c r="J198" t="str">
        <f t="shared" si="15"/>
        <v/>
      </c>
      <c r="K198" t="str">
        <f>IF(J198="","",ROWS($K$70:K198))</f>
        <v/>
      </c>
      <c r="L198" t="str">
        <f>IFERROR(SMALL($K$70:$K$846,ROWS($L$70:L198)),"")</f>
        <v/>
      </c>
      <c r="M198" t="str" cm="1">
        <f t="array" ref="M198">IFERROR(INDEX($F$70:$F$846,L198,1),"")</f>
        <v/>
      </c>
    </row>
    <row r="199" spans="1:13" x14ac:dyDescent="0.45">
      <c r="A199" t="s">
        <v>2633</v>
      </c>
      <c r="B199" s="206">
        <v>203</v>
      </c>
      <c r="C199" t="s">
        <v>2998</v>
      </c>
      <c r="D199" s="206" t="s">
        <v>2999</v>
      </c>
      <c r="E199" s="206" t="str">
        <f t="shared" ref="E199:E262" si="21">RIGHT(D199,2)</f>
        <v>17</v>
      </c>
      <c r="F199" t="str">
        <f t="shared" ref="F199:F262" si="22">IF(E199="00","Cục thuế "&amp;C199,"Chi cục thuế "&amp;C199)</f>
        <v>Chi cục thuế Huyện Quảng Uyên</v>
      </c>
      <c r="G199" t="str">
        <f t="shared" si="20"/>
        <v>Quảng Uyên</v>
      </c>
      <c r="H199" s="206"/>
      <c r="I199" s="206" t="str">
        <f t="shared" ref="I199:I262" si="23">D199</f>
        <v>20317</v>
      </c>
      <c r="J199" t="str">
        <f t="shared" si="15"/>
        <v/>
      </c>
      <c r="K199" t="str">
        <f>IF(J199="","",ROWS($K$70:K199))</f>
        <v/>
      </c>
      <c r="L199" t="str">
        <f>IFERROR(SMALL($K$70:$K$846,ROWS($L$70:L199)),"")</f>
        <v/>
      </c>
      <c r="M199" t="str" cm="1">
        <f t="array" ref="M199">IFERROR(INDEX($F$70:$F$846,L199,1),"")</f>
        <v/>
      </c>
    </row>
    <row r="200" spans="1:13" x14ac:dyDescent="0.45">
      <c r="A200" t="s">
        <v>2633</v>
      </c>
      <c r="B200" s="206">
        <v>203</v>
      </c>
      <c r="C200" t="s">
        <v>3000</v>
      </c>
      <c r="D200" s="206" t="s">
        <v>3001</v>
      </c>
      <c r="E200" s="206" t="str">
        <f t="shared" si="21"/>
        <v>18</v>
      </c>
      <c r="F200" t="str">
        <f t="shared" si="22"/>
        <v>Chi cục thuế Huyện Phục Hòa</v>
      </c>
      <c r="G200" t="str">
        <f t="shared" si="20"/>
        <v>Phục Hòa</v>
      </c>
      <c r="H200" s="206"/>
      <c r="I200" s="206" t="str">
        <f t="shared" si="23"/>
        <v>20318</v>
      </c>
      <c r="J200" t="str">
        <f t="shared" ref="J200:J263" si="24">IF(A200=$J$69,F200,"")</f>
        <v/>
      </c>
      <c r="K200" t="str">
        <f>IF(J200="","",ROWS($K$70:K200))</f>
        <v/>
      </c>
      <c r="L200" t="str">
        <f>IFERROR(SMALL($K$70:$K$846,ROWS($L$70:L200)),"")</f>
        <v/>
      </c>
      <c r="M200" t="str" cm="1">
        <f t="array" ref="M200">IFERROR(INDEX($F$70:$F$846,L200,1),"")</f>
        <v/>
      </c>
    </row>
    <row r="201" spans="1:13" x14ac:dyDescent="0.45">
      <c r="A201" t="s">
        <v>2633</v>
      </c>
      <c r="B201" s="206">
        <v>203</v>
      </c>
      <c r="C201" t="s">
        <v>3002</v>
      </c>
      <c r="D201" s="206" t="s">
        <v>3003</v>
      </c>
      <c r="E201" s="206" t="str">
        <f t="shared" si="21"/>
        <v>19</v>
      </c>
      <c r="F201" t="str">
        <f t="shared" si="22"/>
        <v>Chi cục thuế Huyện Hạ Lang</v>
      </c>
      <c r="G201" t="str">
        <f t="shared" si="20"/>
        <v>Hạ Lang</v>
      </c>
      <c r="H201" s="206"/>
      <c r="I201" s="206" t="str">
        <f t="shared" si="23"/>
        <v>20319</v>
      </c>
      <c r="J201" t="str">
        <f t="shared" si="24"/>
        <v/>
      </c>
      <c r="K201" t="str">
        <f>IF(J201="","",ROWS($K$70:K201))</f>
        <v/>
      </c>
      <c r="L201" t="str">
        <f>IFERROR(SMALL($K$70:$K$846,ROWS($L$70:L201)),"")</f>
        <v/>
      </c>
      <c r="M201" t="str" cm="1">
        <f t="array" ref="M201">IFERROR(INDEX($F$70:$F$846,L201,1),"")</f>
        <v/>
      </c>
    </row>
    <row r="202" spans="1:13" x14ac:dyDescent="0.45">
      <c r="A202" t="s">
        <v>2633</v>
      </c>
      <c r="B202" s="206">
        <v>203</v>
      </c>
      <c r="C202" t="s">
        <v>3004</v>
      </c>
      <c r="D202" s="206" t="s">
        <v>3005</v>
      </c>
      <c r="E202" s="206" t="str">
        <f t="shared" si="21"/>
        <v>21</v>
      </c>
      <c r="F202" t="str">
        <f t="shared" si="22"/>
        <v>Chi cục thuế Huyện Thạch An</v>
      </c>
      <c r="G202" t="str">
        <f t="shared" si="20"/>
        <v>Thạch An</v>
      </c>
      <c r="H202" s="206"/>
      <c r="I202" s="206" t="str">
        <f t="shared" si="23"/>
        <v>20321</v>
      </c>
      <c r="J202" t="str">
        <f t="shared" si="24"/>
        <v/>
      </c>
      <c r="K202" t="str">
        <f>IF(J202="","",ROWS($K$70:K202))</f>
        <v/>
      </c>
      <c r="L202" t="str">
        <f>IFERROR(SMALL($K$70:$K$846,ROWS($L$70:L202)),"")</f>
        <v/>
      </c>
      <c r="M202" t="str" cm="1">
        <f t="array" ref="M202">IFERROR(INDEX($F$70:$F$846,L202,1),"")</f>
        <v/>
      </c>
    </row>
    <row r="203" spans="1:13" x14ac:dyDescent="0.45">
      <c r="A203" t="s">
        <v>2633</v>
      </c>
      <c r="B203" s="206">
        <v>203</v>
      </c>
      <c r="C203" t="s">
        <v>3006</v>
      </c>
      <c r="D203" s="206" t="s">
        <v>3007</v>
      </c>
      <c r="E203" s="206" t="str">
        <f t="shared" si="21"/>
        <v>23</v>
      </c>
      <c r="F203" t="str">
        <f t="shared" si="22"/>
        <v>Chi cục thuế Huyện Bảo Lâm</v>
      </c>
      <c r="G203" t="str">
        <f t="shared" si="20"/>
        <v>Bảo Lâm</v>
      </c>
      <c r="H203" s="206"/>
      <c r="I203" s="206" t="str">
        <f t="shared" si="23"/>
        <v>20323</v>
      </c>
      <c r="J203" t="str">
        <f t="shared" si="24"/>
        <v/>
      </c>
      <c r="K203" t="str">
        <f>IF(J203="","",ROWS($K$70:K203))</f>
        <v/>
      </c>
      <c r="L203" t="str">
        <f>IFERROR(SMALL($K$70:$K$846,ROWS($L$70:L203)),"")</f>
        <v/>
      </c>
      <c r="M203" t="str" cm="1">
        <f t="array" ref="M203">IFERROR(INDEX($F$70:$F$846,L203,1),"")</f>
        <v/>
      </c>
    </row>
    <row r="204" spans="1:13" x14ac:dyDescent="0.45">
      <c r="A204" t="s">
        <v>2676</v>
      </c>
      <c r="B204" s="206" t="s">
        <v>3008</v>
      </c>
      <c r="C204" t="s">
        <v>3009</v>
      </c>
      <c r="D204" s="206" t="s">
        <v>3010</v>
      </c>
      <c r="E204" s="206" t="str">
        <f t="shared" si="21"/>
        <v>00</v>
      </c>
      <c r="F204" t="str">
        <f t="shared" si="22"/>
        <v>Cục thuế Tỉnh Lào Cai</v>
      </c>
      <c r="H204" s="206" t="str">
        <f>IF(E205="01",A205,"")</f>
        <v>Lào Cai</v>
      </c>
      <c r="I204" s="206" t="str">
        <f t="shared" si="23"/>
        <v>20500</v>
      </c>
      <c r="J204" t="str">
        <f t="shared" si="24"/>
        <v/>
      </c>
      <c r="K204" t="str">
        <f>IF(J204="","",ROWS($K$70:K204))</f>
        <v/>
      </c>
      <c r="L204" t="str">
        <f>IFERROR(SMALL($K$70:$K$846,ROWS($L$70:L204)),"")</f>
        <v/>
      </c>
      <c r="M204" t="str" cm="1">
        <f t="array" ref="M204">IFERROR(INDEX($F$70:$F$846,L204,1),"")</f>
        <v/>
      </c>
    </row>
    <row r="205" spans="1:13" x14ac:dyDescent="0.45">
      <c r="A205" t="s">
        <v>2676</v>
      </c>
      <c r="B205" s="206">
        <v>205</v>
      </c>
      <c r="C205" t="s">
        <v>3011</v>
      </c>
      <c r="D205" s="206" t="s">
        <v>3012</v>
      </c>
      <c r="E205" s="206" t="str">
        <f t="shared" si="21"/>
        <v>01</v>
      </c>
      <c r="F205" t="str">
        <f t="shared" si="22"/>
        <v>Chi cục thuế Thành phố Lào Cai</v>
      </c>
      <c r="H205" s="206"/>
      <c r="I205" s="206" t="str">
        <f t="shared" si="23"/>
        <v>20501</v>
      </c>
      <c r="J205" t="str">
        <f t="shared" si="24"/>
        <v/>
      </c>
      <c r="K205" t="str">
        <f>IF(J205="","",ROWS($K$70:K205))</f>
        <v/>
      </c>
      <c r="L205" t="str">
        <f>IFERROR(SMALL($K$70:$K$846,ROWS($L$70:L205)),"")</f>
        <v/>
      </c>
      <c r="M205" t="str" cm="1">
        <f t="array" ref="M205">IFERROR(INDEX($F$70:$F$846,L205,1),"")</f>
        <v/>
      </c>
    </row>
    <row r="206" spans="1:13" x14ac:dyDescent="0.45">
      <c r="A206" t="s">
        <v>2676</v>
      </c>
      <c r="B206" s="206">
        <v>205</v>
      </c>
      <c r="C206" t="s">
        <v>3013</v>
      </c>
      <c r="D206" s="206" t="s">
        <v>3014</v>
      </c>
      <c r="E206" s="206" t="str">
        <f t="shared" si="21"/>
        <v>05</v>
      </c>
      <c r="F206" t="str">
        <f t="shared" si="22"/>
        <v>Chi cục thuế Huyện Mường Khương</v>
      </c>
      <c r="G206" t="str">
        <f t="shared" ref="G206:G213" si="25">RIGHT(C206,LEN(C206)-6)</f>
        <v>Mường Khương</v>
      </c>
      <c r="H206" s="206"/>
      <c r="I206" s="206" t="str">
        <f t="shared" si="23"/>
        <v>20505</v>
      </c>
      <c r="J206" t="str">
        <f t="shared" si="24"/>
        <v/>
      </c>
      <c r="K206" t="str">
        <f>IF(J206="","",ROWS($K$70:K206))</f>
        <v/>
      </c>
      <c r="L206" t="str">
        <f>IFERROR(SMALL($K$70:$K$846,ROWS($L$70:L206)),"")</f>
        <v/>
      </c>
      <c r="M206" t="str" cm="1">
        <f t="array" ref="M206">IFERROR(INDEX($F$70:$F$846,L206,1),"")</f>
        <v/>
      </c>
    </row>
    <row r="207" spans="1:13" x14ac:dyDescent="0.45">
      <c r="A207" t="s">
        <v>2676</v>
      </c>
      <c r="B207" s="206">
        <v>205</v>
      </c>
      <c r="C207" t="s">
        <v>3015</v>
      </c>
      <c r="D207" s="206" t="s">
        <v>3016</v>
      </c>
      <c r="E207" s="206" t="str">
        <f t="shared" si="21"/>
        <v>07</v>
      </c>
      <c r="F207" t="str">
        <f t="shared" si="22"/>
        <v>Chi cục thuế Huyện Bát Xát</v>
      </c>
      <c r="G207" t="str">
        <f t="shared" si="25"/>
        <v>Bát Xát</v>
      </c>
      <c r="H207" s="206"/>
      <c r="I207" s="206" t="str">
        <f t="shared" si="23"/>
        <v>20507</v>
      </c>
      <c r="J207" t="str">
        <f t="shared" si="24"/>
        <v/>
      </c>
      <c r="K207" t="str">
        <f>IF(J207="","",ROWS($K$70:K207))</f>
        <v/>
      </c>
      <c r="L207" t="str">
        <f>IFERROR(SMALL($K$70:$K$846,ROWS($L$70:L207)),"")</f>
        <v/>
      </c>
      <c r="M207" t="str" cm="1">
        <f t="array" ref="M207">IFERROR(INDEX($F$70:$F$846,L207,1),"")</f>
        <v/>
      </c>
    </row>
    <row r="208" spans="1:13" x14ac:dyDescent="0.45">
      <c r="A208" t="s">
        <v>2676</v>
      </c>
      <c r="B208" s="206">
        <v>205</v>
      </c>
      <c r="C208" t="s">
        <v>3017</v>
      </c>
      <c r="D208" s="206" t="s">
        <v>3018</v>
      </c>
      <c r="E208" s="206" t="str">
        <f t="shared" si="21"/>
        <v>09</v>
      </c>
      <c r="F208" t="str">
        <f t="shared" si="22"/>
        <v>Chi cục thuế Huyện Bắc Hà</v>
      </c>
      <c r="G208" t="str">
        <f t="shared" si="25"/>
        <v>Bắc Hà</v>
      </c>
      <c r="H208" s="206"/>
      <c r="I208" s="206" t="str">
        <f t="shared" si="23"/>
        <v>20509</v>
      </c>
      <c r="J208" t="str">
        <f t="shared" si="24"/>
        <v/>
      </c>
      <c r="K208" t="str">
        <f>IF(J208="","",ROWS($K$70:K208))</f>
        <v/>
      </c>
      <c r="L208" t="str">
        <f>IFERROR(SMALL($K$70:$K$846,ROWS($L$70:L208)),"")</f>
        <v/>
      </c>
      <c r="M208" t="str" cm="1">
        <f t="array" ref="M208">IFERROR(INDEX($F$70:$F$846,L208,1),"")</f>
        <v/>
      </c>
    </row>
    <row r="209" spans="1:13" x14ac:dyDescent="0.45">
      <c r="A209" t="s">
        <v>2676</v>
      </c>
      <c r="B209" s="206">
        <v>205</v>
      </c>
      <c r="C209" t="s">
        <v>3019</v>
      </c>
      <c r="D209" s="206" t="s">
        <v>3020</v>
      </c>
      <c r="E209" s="206" t="str">
        <f t="shared" si="21"/>
        <v>11</v>
      </c>
      <c r="F209" t="str">
        <f t="shared" si="22"/>
        <v>Chi cục thuế Huyện Bảo Thắng</v>
      </c>
      <c r="G209" t="str">
        <f t="shared" si="25"/>
        <v>Bảo Thắng</v>
      </c>
      <c r="H209" s="206"/>
      <c r="I209" s="206" t="str">
        <f t="shared" si="23"/>
        <v>20511</v>
      </c>
      <c r="J209" t="str">
        <f t="shared" si="24"/>
        <v/>
      </c>
      <c r="K209" t="str">
        <f>IF(J209="","",ROWS($K$70:K209))</f>
        <v/>
      </c>
      <c r="L209" t="str">
        <f>IFERROR(SMALL($K$70:$K$846,ROWS($L$70:L209)),"")</f>
        <v/>
      </c>
      <c r="M209" t="str" cm="1">
        <f t="array" ref="M209">IFERROR(INDEX($F$70:$F$846,L209,1),"")</f>
        <v/>
      </c>
    </row>
    <row r="210" spans="1:13" x14ac:dyDescent="0.45">
      <c r="A210" t="s">
        <v>2676</v>
      </c>
      <c r="B210" s="206">
        <v>205</v>
      </c>
      <c r="C210" t="s">
        <v>3021</v>
      </c>
      <c r="D210" s="206" t="s">
        <v>3022</v>
      </c>
      <c r="E210" s="206" t="str">
        <f t="shared" si="21"/>
        <v>13</v>
      </c>
      <c r="F210" t="str">
        <f t="shared" si="22"/>
        <v>Chi cục thuế Huyện Sa Pa</v>
      </c>
      <c r="G210" t="str">
        <f t="shared" si="25"/>
        <v>Sa Pa</v>
      </c>
      <c r="H210" s="206"/>
      <c r="I210" s="206" t="str">
        <f t="shared" si="23"/>
        <v>20513</v>
      </c>
      <c r="J210" t="str">
        <f t="shared" si="24"/>
        <v/>
      </c>
      <c r="K210" t="str">
        <f>IF(J210="","",ROWS($K$70:K210))</f>
        <v/>
      </c>
      <c r="L210" t="str">
        <f>IFERROR(SMALL($K$70:$K$846,ROWS($L$70:L210)),"")</f>
        <v/>
      </c>
      <c r="M210" t="str" cm="1">
        <f t="array" ref="M210">IFERROR(INDEX($F$70:$F$846,L210,1),"")</f>
        <v/>
      </c>
    </row>
    <row r="211" spans="1:13" x14ac:dyDescent="0.45">
      <c r="A211" t="s">
        <v>2676</v>
      </c>
      <c r="B211" s="206">
        <v>205</v>
      </c>
      <c r="C211" t="s">
        <v>3023</v>
      </c>
      <c r="D211" s="206" t="s">
        <v>3024</v>
      </c>
      <c r="E211" s="206" t="str">
        <f t="shared" si="21"/>
        <v>15</v>
      </c>
      <c r="F211" t="str">
        <f t="shared" si="22"/>
        <v>Chi cục thuế Huyện Bảo Yên</v>
      </c>
      <c r="G211" t="str">
        <f t="shared" si="25"/>
        <v>Bảo Yên</v>
      </c>
      <c r="H211" s="206"/>
      <c r="I211" s="206" t="str">
        <f t="shared" si="23"/>
        <v>20515</v>
      </c>
      <c r="J211" t="str">
        <f t="shared" si="24"/>
        <v/>
      </c>
      <c r="K211" t="str">
        <f>IF(J211="","",ROWS($K$70:K211))</f>
        <v/>
      </c>
      <c r="L211" t="str">
        <f>IFERROR(SMALL($K$70:$K$846,ROWS($L$70:L211)),"")</f>
        <v/>
      </c>
      <c r="M211" t="str" cm="1">
        <f t="array" ref="M211">IFERROR(INDEX($F$70:$F$846,L211,1),"")</f>
        <v/>
      </c>
    </row>
    <row r="212" spans="1:13" x14ac:dyDescent="0.45">
      <c r="A212" t="s">
        <v>2676</v>
      </c>
      <c r="B212" s="206">
        <v>205</v>
      </c>
      <c r="C212" t="s">
        <v>3025</v>
      </c>
      <c r="D212" s="206" t="s">
        <v>3026</v>
      </c>
      <c r="E212" s="206" t="str">
        <f t="shared" si="21"/>
        <v>19</v>
      </c>
      <c r="F212" t="str">
        <f t="shared" si="22"/>
        <v>Chi cục thuế Huyện Văn Bàn</v>
      </c>
      <c r="G212" t="str">
        <f t="shared" si="25"/>
        <v>Văn Bàn</v>
      </c>
      <c r="H212" s="206"/>
      <c r="I212" s="206" t="str">
        <f t="shared" si="23"/>
        <v>20519</v>
      </c>
      <c r="J212" t="str">
        <f t="shared" si="24"/>
        <v/>
      </c>
      <c r="K212" t="str">
        <f>IF(J212="","",ROWS($K$70:K212))</f>
        <v/>
      </c>
      <c r="L212" t="str">
        <f>IFERROR(SMALL($K$70:$K$846,ROWS($L$70:L212)),"")</f>
        <v/>
      </c>
      <c r="M212" t="str" cm="1">
        <f t="array" ref="M212">IFERROR(INDEX($F$70:$F$846,L212,1),"")</f>
        <v/>
      </c>
    </row>
    <row r="213" spans="1:13" x14ac:dyDescent="0.45">
      <c r="A213" t="s">
        <v>2676</v>
      </c>
      <c r="B213" s="206">
        <v>205</v>
      </c>
      <c r="C213" t="s">
        <v>3027</v>
      </c>
      <c r="D213" s="206" t="s">
        <v>3028</v>
      </c>
      <c r="E213" s="206" t="str">
        <f t="shared" si="21"/>
        <v>21</v>
      </c>
      <c r="F213" t="str">
        <f t="shared" si="22"/>
        <v>Chi cục thuế Huyện Si Ma Cai</v>
      </c>
      <c r="G213" t="str">
        <f t="shared" si="25"/>
        <v>Si Ma Cai</v>
      </c>
      <c r="H213" s="206"/>
      <c r="I213" s="206" t="str">
        <f t="shared" si="23"/>
        <v>20521</v>
      </c>
      <c r="J213" t="str">
        <f t="shared" si="24"/>
        <v/>
      </c>
      <c r="K213" t="str">
        <f>IF(J213="","",ROWS($K$70:K213))</f>
        <v/>
      </c>
      <c r="L213" t="str">
        <f>IFERROR(SMALL($K$70:$K$846,ROWS($L$70:L213)),"")</f>
        <v/>
      </c>
      <c r="M213" t="str" cm="1">
        <f t="array" ref="M213">IFERROR(INDEX($F$70:$F$846,L213,1),"")</f>
        <v/>
      </c>
    </row>
    <row r="214" spans="1:13" x14ac:dyDescent="0.45">
      <c r="A214" t="s">
        <v>2612</v>
      </c>
      <c r="B214" s="206" t="s">
        <v>3029</v>
      </c>
      <c r="C214" t="s">
        <v>3030</v>
      </c>
      <c r="D214" s="206" t="s">
        <v>3031</v>
      </c>
      <c r="E214" s="206" t="str">
        <f t="shared" si="21"/>
        <v>00</v>
      </c>
      <c r="F214" t="str">
        <f t="shared" si="22"/>
        <v>Cục thuế Tỉnh Bắc Cạn</v>
      </c>
      <c r="H214" s="206" t="str">
        <f>IF(E215="01",A215,"")</f>
        <v>Bắc Cạn</v>
      </c>
      <c r="I214" s="206" t="str">
        <f t="shared" si="23"/>
        <v>20700</v>
      </c>
      <c r="J214" t="str">
        <f t="shared" si="24"/>
        <v/>
      </c>
      <c r="K214" t="str">
        <f>IF(J214="","",ROWS($K$70:K214))</f>
        <v/>
      </c>
      <c r="L214" t="str">
        <f>IFERROR(SMALL($K$70:$K$846,ROWS($L$70:L214)),"")</f>
        <v/>
      </c>
      <c r="M214" t="str" cm="1">
        <f t="array" ref="M214">IFERROR(INDEX($F$70:$F$846,L214,1),"")</f>
        <v/>
      </c>
    </row>
    <row r="215" spans="1:13" x14ac:dyDescent="0.45">
      <c r="A215" t="s">
        <v>2612</v>
      </c>
      <c r="B215" s="206">
        <v>207</v>
      </c>
      <c r="C215" t="s">
        <v>3032</v>
      </c>
      <c r="D215" s="206" t="s">
        <v>3033</v>
      </c>
      <c r="E215" s="206" t="str">
        <f t="shared" si="21"/>
        <v>01</v>
      </c>
      <c r="F215" t="str">
        <f t="shared" si="22"/>
        <v>Chi cục thuế Thị xã Bắc Cạn</v>
      </c>
      <c r="H215" s="206"/>
      <c r="I215" s="206" t="str">
        <f t="shared" si="23"/>
        <v>20701</v>
      </c>
      <c r="J215" t="str">
        <f t="shared" si="24"/>
        <v/>
      </c>
      <c r="K215" t="str">
        <f>IF(J215="","",ROWS($K$70:K215))</f>
        <v/>
      </c>
      <c r="L215" t="str">
        <f>IFERROR(SMALL($K$70:$K$846,ROWS($L$70:L215)),"")</f>
        <v/>
      </c>
      <c r="M215" t="str" cm="1">
        <f t="array" ref="M215">IFERROR(INDEX($F$70:$F$846,L215,1),"")</f>
        <v/>
      </c>
    </row>
    <row r="216" spans="1:13" x14ac:dyDescent="0.45">
      <c r="A216" t="s">
        <v>2612</v>
      </c>
      <c r="B216" s="206">
        <v>207</v>
      </c>
      <c r="C216" t="s">
        <v>3034</v>
      </c>
      <c r="D216" s="206" t="s">
        <v>3035</v>
      </c>
      <c r="E216" s="206" t="str">
        <f t="shared" si="21"/>
        <v>03</v>
      </c>
      <c r="F216" t="str">
        <f t="shared" si="22"/>
        <v>Chi cục thuế Huyện Ba Bể</v>
      </c>
      <c r="G216" t="str">
        <f t="shared" ref="G216:G222" si="26">RIGHT(C216,LEN(C216)-6)</f>
        <v>Ba Bể</v>
      </c>
      <c r="H216" s="206"/>
      <c r="I216" s="206" t="str">
        <f t="shared" si="23"/>
        <v>20703</v>
      </c>
      <c r="J216" t="str">
        <f t="shared" si="24"/>
        <v/>
      </c>
      <c r="K216" t="str">
        <f>IF(J216="","",ROWS($K$70:K216))</f>
        <v/>
      </c>
      <c r="L216" t="str">
        <f>IFERROR(SMALL($K$70:$K$846,ROWS($L$70:L216)),"")</f>
        <v/>
      </c>
      <c r="M216" t="str" cm="1">
        <f t="array" ref="M216">IFERROR(INDEX($F$70:$F$846,L216,1),"")</f>
        <v/>
      </c>
    </row>
    <row r="217" spans="1:13" x14ac:dyDescent="0.45">
      <c r="A217" t="s">
        <v>2612</v>
      </c>
      <c r="B217" s="206">
        <v>207</v>
      </c>
      <c r="C217" t="s">
        <v>3036</v>
      </c>
      <c r="D217" s="206" t="s">
        <v>3037</v>
      </c>
      <c r="E217" s="206" t="str">
        <f t="shared" si="21"/>
        <v>04</v>
      </c>
      <c r="F217" t="str">
        <f t="shared" si="22"/>
        <v>Chi cục thuế Huyện Pác Nặm</v>
      </c>
      <c r="G217" t="str">
        <f t="shared" si="26"/>
        <v>Pác Nặm</v>
      </c>
      <c r="H217" s="206"/>
      <c r="I217" s="206" t="str">
        <f t="shared" si="23"/>
        <v>20704</v>
      </c>
      <c r="J217" t="str">
        <f t="shared" si="24"/>
        <v/>
      </c>
      <c r="K217" t="str">
        <f>IF(J217="","",ROWS($K$70:K217))</f>
        <v/>
      </c>
      <c r="L217" t="str">
        <f>IFERROR(SMALL($K$70:$K$846,ROWS($L$70:L217)),"")</f>
        <v/>
      </c>
      <c r="M217" t="str" cm="1">
        <f t="array" ref="M217">IFERROR(INDEX($F$70:$F$846,L217,1),"")</f>
        <v/>
      </c>
    </row>
    <row r="218" spans="1:13" x14ac:dyDescent="0.45">
      <c r="A218" t="s">
        <v>2612</v>
      </c>
      <c r="B218" s="206">
        <v>207</v>
      </c>
      <c r="C218" t="s">
        <v>3038</v>
      </c>
      <c r="D218" s="206" t="s">
        <v>3039</v>
      </c>
      <c r="E218" s="206" t="str">
        <f t="shared" si="21"/>
        <v>05</v>
      </c>
      <c r="F218" t="str">
        <f t="shared" si="22"/>
        <v>Chi cục thuế Huyện Ngân Sơn</v>
      </c>
      <c r="G218" t="str">
        <f t="shared" si="26"/>
        <v>Ngân Sơn</v>
      </c>
      <c r="H218" s="206"/>
      <c r="I218" s="206" t="str">
        <f t="shared" si="23"/>
        <v>20705</v>
      </c>
      <c r="J218" t="str">
        <f t="shared" si="24"/>
        <v/>
      </c>
      <c r="K218" t="str">
        <f>IF(J218="","",ROWS($K$70:K218))</f>
        <v/>
      </c>
      <c r="L218" t="str">
        <f>IFERROR(SMALL($K$70:$K$846,ROWS($L$70:L218)),"")</f>
        <v/>
      </c>
      <c r="M218" t="str" cm="1">
        <f t="array" ref="M218">IFERROR(INDEX($F$70:$F$846,L218,1),"")</f>
        <v/>
      </c>
    </row>
    <row r="219" spans="1:13" x14ac:dyDescent="0.45">
      <c r="A219" t="s">
        <v>2612</v>
      </c>
      <c r="B219" s="206">
        <v>207</v>
      </c>
      <c r="C219" t="s">
        <v>3040</v>
      </c>
      <c r="D219" s="206" t="s">
        <v>3041</v>
      </c>
      <c r="E219" s="206" t="str">
        <f t="shared" si="21"/>
        <v>07</v>
      </c>
      <c r="F219" t="str">
        <f t="shared" si="22"/>
        <v>Chi cục thuế Huyện Chợ Đồn</v>
      </c>
      <c r="G219" t="str">
        <f t="shared" si="26"/>
        <v>Chợ Đồn</v>
      </c>
      <c r="H219" s="206"/>
      <c r="I219" s="206" t="str">
        <f t="shared" si="23"/>
        <v>20707</v>
      </c>
      <c r="J219" t="str">
        <f t="shared" si="24"/>
        <v/>
      </c>
      <c r="K219" t="str">
        <f>IF(J219="","",ROWS($K$70:K219))</f>
        <v/>
      </c>
      <c r="L219" t="str">
        <f>IFERROR(SMALL($K$70:$K$846,ROWS($L$70:L219)),"")</f>
        <v/>
      </c>
      <c r="M219" t="str" cm="1">
        <f t="array" ref="M219">IFERROR(INDEX($F$70:$F$846,L219,1),"")</f>
        <v/>
      </c>
    </row>
    <row r="220" spans="1:13" x14ac:dyDescent="0.45">
      <c r="A220" t="s">
        <v>2612</v>
      </c>
      <c r="B220" s="206">
        <v>207</v>
      </c>
      <c r="C220" t="s">
        <v>3042</v>
      </c>
      <c r="D220" s="206" t="s">
        <v>3043</v>
      </c>
      <c r="E220" s="206" t="str">
        <f t="shared" si="21"/>
        <v>09</v>
      </c>
      <c r="F220" t="str">
        <f t="shared" si="22"/>
        <v>Chi cục thuế Huyện Na Rì</v>
      </c>
      <c r="G220" t="str">
        <f t="shared" si="26"/>
        <v>Na Rì</v>
      </c>
      <c r="H220" s="206"/>
      <c r="I220" s="206" t="str">
        <f t="shared" si="23"/>
        <v>20709</v>
      </c>
      <c r="J220" t="str">
        <f t="shared" si="24"/>
        <v/>
      </c>
      <c r="K220" t="str">
        <f>IF(J220="","",ROWS($K$70:K220))</f>
        <v/>
      </c>
      <c r="L220" t="str">
        <f>IFERROR(SMALL($K$70:$K$846,ROWS($L$70:L220)),"")</f>
        <v/>
      </c>
      <c r="M220" t="str" cm="1">
        <f t="array" ref="M220">IFERROR(INDEX($F$70:$F$846,L220,1),"")</f>
        <v/>
      </c>
    </row>
    <row r="221" spans="1:13" x14ac:dyDescent="0.45">
      <c r="A221" t="s">
        <v>2612</v>
      </c>
      <c r="B221" s="206">
        <v>207</v>
      </c>
      <c r="C221" t="s">
        <v>3044</v>
      </c>
      <c r="D221" s="206" t="s">
        <v>3045</v>
      </c>
      <c r="E221" s="206" t="str">
        <f t="shared" si="21"/>
        <v>11</v>
      </c>
      <c r="F221" t="str">
        <f t="shared" si="22"/>
        <v>Chi cục thuế Huyện Bạch Thông</v>
      </c>
      <c r="G221" t="str">
        <f t="shared" si="26"/>
        <v>Bạch Thông</v>
      </c>
      <c r="H221" s="206"/>
      <c r="I221" s="206" t="str">
        <f t="shared" si="23"/>
        <v>20711</v>
      </c>
      <c r="J221" t="str">
        <f t="shared" si="24"/>
        <v/>
      </c>
      <c r="K221" t="str">
        <f>IF(J221="","",ROWS($K$70:K221))</f>
        <v/>
      </c>
      <c r="L221" t="str">
        <f>IFERROR(SMALL($K$70:$K$846,ROWS($L$70:L221)),"")</f>
        <v/>
      </c>
      <c r="M221" t="str" cm="1">
        <f t="array" ref="M221">IFERROR(INDEX($F$70:$F$846,L221,1),"")</f>
        <v/>
      </c>
    </row>
    <row r="222" spans="1:13" x14ac:dyDescent="0.45">
      <c r="A222" t="s">
        <v>2612</v>
      </c>
      <c r="B222" s="206">
        <v>207</v>
      </c>
      <c r="C222" t="s">
        <v>3046</v>
      </c>
      <c r="D222" s="206" t="s">
        <v>3047</v>
      </c>
      <c r="E222" s="206" t="str">
        <f t="shared" si="21"/>
        <v>13</v>
      </c>
      <c r="F222" t="str">
        <f t="shared" si="22"/>
        <v>Chi cục thuế Huyện Chợ mới</v>
      </c>
      <c r="G222" t="str">
        <f t="shared" si="26"/>
        <v>Chợ mới</v>
      </c>
      <c r="H222" s="206"/>
      <c r="I222" s="206" t="str">
        <f t="shared" si="23"/>
        <v>20713</v>
      </c>
      <c r="J222" t="str">
        <f t="shared" si="24"/>
        <v/>
      </c>
      <c r="K222" t="str">
        <f>IF(J222="","",ROWS($K$70:K222))</f>
        <v/>
      </c>
      <c r="L222" t="str">
        <f>IFERROR(SMALL($K$70:$K$846,ROWS($L$70:L222)),"")</f>
        <v/>
      </c>
      <c r="M222" t="str" cm="1">
        <f t="array" ref="M222">IFERROR(INDEX($F$70:$F$846,L222,1),"")</f>
        <v/>
      </c>
    </row>
    <row r="223" spans="1:13" x14ac:dyDescent="0.45">
      <c r="A223" t="s">
        <v>2674</v>
      </c>
      <c r="B223" s="206" t="s">
        <v>3048</v>
      </c>
      <c r="C223" t="s">
        <v>3049</v>
      </c>
      <c r="D223" s="206" t="s">
        <v>3050</v>
      </c>
      <c r="E223" s="206" t="str">
        <f t="shared" si="21"/>
        <v>00</v>
      </c>
      <c r="F223" t="str">
        <f t="shared" si="22"/>
        <v>Cục thuế Tỉnh Lạng Sơn</v>
      </c>
      <c r="H223" s="206" t="str">
        <f>IF(E224="01",A224,"")</f>
        <v>Lạng Sơn</v>
      </c>
      <c r="I223" s="206" t="str">
        <f t="shared" si="23"/>
        <v>20900</v>
      </c>
      <c r="J223" t="str">
        <f t="shared" si="24"/>
        <v/>
      </c>
      <c r="K223" t="str">
        <f>IF(J223="","",ROWS($K$70:K223))</f>
        <v/>
      </c>
      <c r="L223" t="str">
        <f>IFERROR(SMALL($K$70:$K$846,ROWS($L$70:L223)),"")</f>
        <v/>
      </c>
      <c r="M223" t="str" cm="1">
        <f t="array" ref="M223">IFERROR(INDEX($F$70:$F$846,L223,1),"")</f>
        <v/>
      </c>
    </row>
    <row r="224" spans="1:13" x14ac:dyDescent="0.45">
      <c r="A224" t="s">
        <v>2674</v>
      </c>
      <c r="B224" s="206">
        <v>209</v>
      </c>
      <c r="C224" t="s">
        <v>3051</v>
      </c>
      <c r="D224" s="206" t="s">
        <v>3052</v>
      </c>
      <c r="E224" s="206" t="str">
        <f t="shared" si="21"/>
        <v>01</v>
      </c>
      <c r="F224" t="str">
        <f t="shared" si="22"/>
        <v>Chi cục thuế Thành phố Lạng Sơn</v>
      </c>
      <c r="H224" s="206"/>
      <c r="I224" s="206" t="str">
        <f t="shared" si="23"/>
        <v>20901</v>
      </c>
      <c r="J224" t="str">
        <f t="shared" si="24"/>
        <v/>
      </c>
      <c r="K224" t="str">
        <f>IF(J224="","",ROWS($K$70:K224))</f>
        <v/>
      </c>
      <c r="L224" t="str">
        <f>IFERROR(SMALL($K$70:$K$846,ROWS($L$70:L224)),"")</f>
        <v/>
      </c>
      <c r="M224" t="str" cm="1">
        <f t="array" ref="M224">IFERROR(INDEX($F$70:$F$846,L224,1),"")</f>
        <v/>
      </c>
    </row>
    <row r="225" spans="1:13" x14ac:dyDescent="0.45">
      <c r="A225" t="s">
        <v>2674</v>
      </c>
      <c r="B225" s="206">
        <v>209</v>
      </c>
      <c r="C225" t="s">
        <v>3053</v>
      </c>
      <c r="D225" s="206" t="s">
        <v>3054</v>
      </c>
      <c r="E225" s="206" t="str">
        <f t="shared" si="21"/>
        <v>03</v>
      </c>
      <c r="F225" t="str">
        <f t="shared" si="22"/>
        <v>Chi cục thuế Huyện Tràng Định</v>
      </c>
      <c r="G225" t="str">
        <f t="shared" ref="G225:G234" si="27">RIGHT(C225,LEN(C225)-6)</f>
        <v>Tràng Định</v>
      </c>
      <c r="H225" s="206"/>
      <c r="I225" s="206" t="str">
        <f t="shared" si="23"/>
        <v>20903</v>
      </c>
      <c r="J225" t="str">
        <f t="shared" si="24"/>
        <v/>
      </c>
      <c r="K225" t="str">
        <f>IF(J225="","",ROWS($K$70:K225))</f>
        <v/>
      </c>
      <c r="L225" t="str">
        <f>IFERROR(SMALL($K$70:$K$846,ROWS($L$70:L225)),"")</f>
        <v/>
      </c>
      <c r="M225" t="str" cm="1">
        <f t="array" ref="M225">IFERROR(INDEX($F$70:$F$846,L225,1),"")</f>
        <v/>
      </c>
    </row>
    <row r="226" spans="1:13" x14ac:dyDescent="0.45">
      <c r="A226" t="s">
        <v>2674</v>
      </c>
      <c r="B226" s="206">
        <v>209</v>
      </c>
      <c r="C226" t="s">
        <v>3055</v>
      </c>
      <c r="D226" s="206" t="s">
        <v>3056</v>
      </c>
      <c r="E226" s="206" t="str">
        <f t="shared" si="21"/>
        <v>05</v>
      </c>
      <c r="F226" t="str">
        <f t="shared" si="22"/>
        <v>Chi cục thuế Huyện Văn Lãng</v>
      </c>
      <c r="G226" t="str">
        <f t="shared" si="27"/>
        <v>Văn Lãng</v>
      </c>
      <c r="H226" s="206"/>
      <c r="I226" s="206" t="str">
        <f t="shared" si="23"/>
        <v>20905</v>
      </c>
      <c r="J226" t="str">
        <f t="shared" si="24"/>
        <v/>
      </c>
      <c r="K226" t="str">
        <f>IF(J226="","",ROWS($K$70:K226))</f>
        <v/>
      </c>
      <c r="L226" t="str">
        <f>IFERROR(SMALL($K$70:$K$846,ROWS($L$70:L226)),"")</f>
        <v/>
      </c>
      <c r="M226" t="str" cm="1">
        <f t="array" ref="M226">IFERROR(INDEX($F$70:$F$846,L226,1),"")</f>
        <v/>
      </c>
    </row>
    <row r="227" spans="1:13" x14ac:dyDescent="0.45">
      <c r="A227" t="s">
        <v>2674</v>
      </c>
      <c r="B227" s="206">
        <v>209</v>
      </c>
      <c r="C227" t="s">
        <v>3057</v>
      </c>
      <c r="D227" s="206" t="s">
        <v>3058</v>
      </c>
      <c r="E227" s="206" t="str">
        <f t="shared" si="21"/>
        <v>07</v>
      </c>
      <c r="F227" t="str">
        <f t="shared" si="22"/>
        <v>Chi cục thuế Huyện Bình Gia</v>
      </c>
      <c r="G227" t="str">
        <f t="shared" si="27"/>
        <v>Bình Gia</v>
      </c>
      <c r="H227" s="206"/>
      <c r="I227" s="206" t="str">
        <f t="shared" si="23"/>
        <v>20907</v>
      </c>
      <c r="J227" t="str">
        <f t="shared" si="24"/>
        <v/>
      </c>
      <c r="K227" t="str">
        <f>IF(J227="","",ROWS($K$70:K227))</f>
        <v/>
      </c>
      <c r="L227" t="str">
        <f>IFERROR(SMALL($K$70:$K$846,ROWS($L$70:L227)),"")</f>
        <v/>
      </c>
      <c r="M227" t="str" cm="1">
        <f t="array" ref="M227">IFERROR(INDEX($F$70:$F$846,L227,1),"")</f>
        <v/>
      </c>
    </row>
    <row r="228" spans="1:13" x14ac:dyDescent="0.45">
      <c r="A228" t="s">
        <v>2674</v>
      </c>
      <c r="B228" s="206">
        <v>209</v>
      </c>
      <c r="C228" t="s">
        <v>3059</v>
      </c>
      <c r="D228" s="206" t="s">
        <v>3060</v>
      </c>
      <c r="E228" s="206" t="str">
        <f t="shared" si="21"/>
        <v>09</v>
      </c>
      <c r="F228" t="str">
        <f t="shared" si="22"/>
        <v>Chi cục thuế Huyện Bắc Sơn</v>
      </c>
      <c r="G228" t="str">
        <f t="shared" si="27"/>
        <v>Bắc Sơn</v>
      </c>
      <c r="H228" s="206"/>
      <c r="I228" s="206" t="str">
        <f t="shared" si="23"/>
        <v>20909</v>
      </c>
      <c r="J228" t="str">
        <f t="shared" si="24"/>
        <v/>
      </c>
      <c r="K228" t="str">
        <f>IF(J228="","",ROWS($K$70:K228))</f>
        <v/>
      </c>
      <c r="L228" t="str">
        <f>IFERROR(SMALL($K$70:$K$846,ROWS($L$70:L228)),"")</f>
        <v/>
      </c>
      <c r="M228" t="str" cm="1">
        <f t="array" ref="M228">IFERROR(INDEX($F$70:$F$846,L228,1),"")</f>
        <v/>
      </c>
    </row>
    <row r="229" spans="1:13" x14ac:dyDescent="0.45">
      <c r="A229" t="s">
        <v>2674</v>
      </c>
      <c r="B229" s="206">
        <v>209</v>
      </c>
      <c r="C229" t="s">
        <v>3061</v>
      </c>
      <c r="D229" s="206" t="s">
        <v>3062</v>
      </c>
      <c r="E229" s="206" t="str">
        <f t="shared" si="21"/>
        <v>11</v>
      </c>
      <c r="F229" t="str">
        <f t="shared" si="22"/>
        <v>Chi cục thuế Huyện Văn Quan</v>
      </c>
      <c r="G229" t="str">
        <f t="shared" si="27"/>
        <v>Văn Quan</v>
      </c>
      <c r="H229" s="206"/>
      <c r="I229" s="206" t="str">
        <f t="shared" si="23"/>
        <v>20911</v>
      </c>
      <c r="J229" t="str">
        <f t="shared" si="24"/>
        <v/>
      </c>
      <c r="K229" t="str">
        <f>IF(J229="","",ROWS($K$70:K229))</f>
        <v/>
      </c>
      <c r="L229" t="str">
        <f>IFERROR(SMALL($K$70:$K$846,ROWS($L$70:L229)),"")</f>
        <v/>
      </c>
      <c r="M229" t="str" cm="1">
        <f t="array" ref="M229">IFERROR(INDEX($F$70:$F$846,L229,1),"")</f>
        <v/>
      </c>
    </row>
    <row r="230" spans="1:13" x14ac:dyDescent="0.45">
      <c r="A230" t="s">
        <v>2674</v>
      </c>
      <c r="B230" s="206">
        <v>209</v>
      </c>
      <c r="C230" t="s">
        <v>3063</v>
      </c>
      <c r="D230" s="206" t="s">
        <v>3064</v>
      </c>
      <c r="E230" s="206" t="str">
        <f t="shared" si="21"/>
        <v>13</v>
      </c>
      <c r="F230" t="str">
        <f t="shared" si="22"/>
        <v>Chi cục thuế Huyện Cao Lộc</v>
      </c>
      <c r="G230" t="str">
        <f t="shared" si="27"/>
        <v>Cao Lộc</v>
      </c>
      <c r="H230" s="206"/>
      <c r="I230" s="206" t="str">
        <f t="shared" si="23"/>
        <v>20913</v>
      </c>
      <c r="J230" t="str">
        <f t="shared" si="24"/>
        <v/>
      </c>
      <c r="K230" t="str">
        <f>IF(J230="","",ROWS($K$70:K230))</f>
        <v/>
      </c>
      <c r="L230" t="str">
        <f>IFERROR(SMALL($K$70:$K$846,ROWS($L$70:L230)),"")</f>
        <v/>
      </c>
      <c r="M230" t="str" cm="1">
        <f t="array" ref="M230">IFERROR(INDEX($F$70:$F$846,L230,1),"")</f>
        <v/>
      </c>
    </row>
    <row r="231" spans="1:13" x14ac:dyDescent="0.45">
      <c r="A231" t="s">
        <v>2674</v>
      </c>
      <c r="B231" s="206">
        <v>209</v>
      </c>
      <c r="C231" t="s">
        <v>3065</v>
      </c>
      <c r="D231" s="206" t="s">
        <v>3066</v>
      </c>
      <c r="E231" s="206" t="str">
        <f t="shared" si="21"/>
        <v>15</v>
      </c>
      <c r="F231" t="str">
        <f t="shared" si="22"/>
        <v>Chi cục thuế Huyện Lộc Bình</v>
      </c>
      <c r="G231" t="str">
        <f t="shared" si="27"/>
        <v>Lộc Bình</v>
      </c>
      <c r="H231" s="206"/>
      <c r="I231" s="206" t="str">
        <f t="shared" si="23"/>
        <v>20915</v>
      </c>
      <c r="J231" t="str">
        <f t="shared" si="24"/>
        <v/>
      </c>
      <c r="K231" t="str">
        <f>IF(J231="","",ROWS($K$70:K231))</f>
        <v/>
      </c>
      <c r="L231" t="str">
        <f>IFERROR(SMALL($K$70:$K$846,ROWS($L$70:L231)),"")</f>
        <v/>
      </c>
      <c r="M231" t="str" cm="1">
        <f t="array" ref="M231">IFERROR(INDEX($F$70:$F$846,L231,1),"")</f>
        <v/>
      </c>
    </row>
    <row r="232" spans="1:13" x14ac:dyDescent="0.45">
      <c r="A232" t="s">
        <v>2674</v>
      </c>
      <c r="B232" s="206">
        <v>209</v>
      </c>
      <c r="C232" t="s">
        <v>3067</v>
      </c>
      <c r="D232" s="206" t="s">
        <v>3068</v>
      </c>
      <c r="E232" s="206" t="str">
        <f t="shared" si="21"/>
        <v>17</v>
      </c>
      <c r="F232" t="str">
        <f t="shared" si="22"/>
        <v>Chi cục thuế Huyện Chi Lăng</v>
      </c>
      <c r="G232" t="str">
        <f t="shared" si="27"/>
        <v>Chi Lăng</v>
      </c>
      <c r="H232" s="206"/>
      <c r="I232" s="206" t="str">
        <f t="shared" si="23"/>
        <v>20917</v>
      </c>
      <c r="J232" t="str">
        <f t="shared" si="24"/>
        <v/>
      </c>
      <c r="K232" t="str">
        <f>IF(J232="","",ROWS($K$70:K232))</f>
        <v/>
      </c>
      <c r="L232" t="str">
        <f>IFERROR(SMALL($K$70:$K$846,ROWS($L$70:L232)),"")</f>
        <v/>
      </c>
      <c r="M232" t="str" cm="1">
        <f t="array" ref="M232">IFERROR(INDEX($F$70:$F$846,L232,1),"")</f>
        <v/>
      </c>
    </row>
    <row r="233" spans="1:13" x14ac:dyDescent="0.45">
      <c r="A233" t="s">
        <v>2674</v>
      </c>
      <c r="B233" s="206">
        <v>209</v>
      </c>
      <c r="C233" t="s">
        <v>3069</v>
      </c>
      <c r="D233" s="206" t="s">
        <v>3070</v>
      </c>
      <c r="E233" s="206" t="str">
        <f t="shared" si="21"/>
        <v>19</v>
      </c>
      <c r="F233" t="str">
        <f t="shared" si="22"/>
        <v>Chi cục thuế Huyện Đình Lập</v>
      </c>
      <c r="G233" t="str">
        <f t="shared" si="27"/>
        <v>Đình Lập</v>
      </c>
      <c r="H233" s="206"/>
      <c r="I233" s="206" t="str">
        <f t="shared" si="23"/>
        <v>20919</v>
      </c>
      <c r="J233" t="str">
        <f t="shared" si="24"/>
        <v/>
      </c>
      <c r="K233" t="str">
        <f>IF(J233="","",ROWS($K$70:K233))</f>
        <v/>
      </c>
      <c r="L233" t="str">
        <f>IFERROR(SMALL($K$70:$K$846,ROWS($L$70:L233)),"")</f>
        <v/>
      </c>
      <c r="M233" t="str" cm="1">
        <f t="array" ref="M233">IFERROR(INDEX($F$70:$F$846,L233,1),"")</f>
        <v/>
      </c>
    </row>
    <row r="234" spans="1:13" x14ac:dyDescent="0.45">
      <c r="A234" t="s">
        <v>2674</v>
      </c>
      <c r="B234" s="206">
        <v>209</v>
      </c>
      <c r="C234" t="s">
        <v>3071</v>
      </c>
      <c r="D234" s="206" t="s">
        <v>3072</v>
      </c>
      <c r="E234" s="206" t="str">
        <f t="shared" si="21"/>
        <v>21</v>
      </c>
      <c r="F234" t="str">
        <f t="shared" si="22"/>
        <v>Chi cục thuế Huyện Hữu Lũng</v>
      </c>
      <c r="G234" t="str">
        <f t="shared" si="27"/>
        <v>Hữu Lũng</v>
      </c>
      <c r="H234" s="206"/>
      <c r="I234" s="206" t="str">
        <f t="shared" si="23"/>
        <v>20921</v>
      </c>
      <c r="J234" t="str">
        <f t="shared" si="24"/>
        <v/>
      </c>
      <c r="K234" t="str">
        <f>IF(J234="","",ROWS($K$70:K234))</f>
        <v/>
      </c>
      <c r="L234" t="str">
        <f>IFERROR(SMALL($K$70:$K$846,ROWS($L$70:L234)),"")</f>
        <v/>
      </c>
      <c r="M234" t="str" cm="1">
        <f t="array" ref="M234">IFERROR(INDEX($F$70:$F$846,L234,1),"")</f>
        <v/>
      </c>
    </row>
    <row r="235" spans="1:13" x14ac:dyDescent="0.45">
      <c r="A235" t="s">
        <v>2722</v>
      </c>
      <c r="B235" s="206" t="s">
        <v>3073</v>
      </c>
      <c r="C235" t="s">
        <v>3074</v>
      </c>
      <c r="D235" s="206" t="s">
        <v>3075</v>
      </c>
      <c r="E235" s="206" t="str">
        <f t="shared" si="21"/>
        <v>00</v>
      </c>
      <c r="F235" t="str">
        <f t="shared" si="22"/>
        <v>Cục thuế Tỉnh Tuyên Quang</v>
      </c>
      <c r="H235" s="206" t="str">
        <f>IF(E236="01",A236,"")</f>
        <v>Tuyên Quang</v>
      </c>
      <c r="I235" s="206" t="str">
        <f t="shared" si="23"/>
        <v>21100</v>
      </c>
      <c r="J235" t="str">
        <f t="shared" si="24"/>
        <v/>
      </c>
      <c r="K235" t="str">
        <f>IF(J235="","",ROWS($K$70:K235))</f>
        <v/>
      </c>
      <c r="L235" t="str">
        <f>IFERROR(SMALL($K$70:$K$846,ROWS($L$70:L235)),"")</f>
        <v/>
      </c>
      <c r="M235" t="str" cm="1">
        <f t="array" ref="M235">IFERROR(INDEX($F$70:$F$846,L235,1),"")</f>
        <v/>
      </c>
    </row>
    <row r="236" spans="1:13" x14ac:dyDescent="0.45">
      <c r="A236" t="s">
        <v>2722</v>
      </c>
      <c r="B236" s="206">
        <v>211</v>
      </c>
      <c r="C236" t="s">
        <v>3076</v>
      </c>
      <c r="D236" s="206" t="s">
        <v>3077</v>
      </c>
      <c r="E236" s="206" t="str">
        <f t="shared" si="21"/>
        <v>01</v>
      </c>
      <c r="F236" t="str">
        <f t="shared" si="22"/>
        <v>Chi cục thuế Thành Phố Tuyên Quang</v>
      </c>
      <c r="H236" s="206"/>
      <c r="I236" s="206" t="str">
        <f t="shared" si="23"/>
        <v>21101</v>
      </c>
      <c r="J236" t="str">
        <f t="shared" si="24"/>
        <v/>
      </c>
      <c r="K236" t="str">
        <f>IF(J236="","",ROWS($K$70:K236))</f>
        <v/>
      </c>
      <c r="L236" t="str">
        <f>IFERROR(SMALL($K$70:$K$846,ROWS($L$70:L236)),"")</f>
        <v/>
      </c>
      <c r="M236" t="str" cm="1">
        <f t="array" ref="M236">IFERROR(INDEX($F$70:$F$846,L236,1),"")</f>
        <v/>
      </c>
    </row>
    <row r="237" spans="1:13" x14ac:dyDescent="0.45">
      <c r="A237" t="s">
        <v>2722</v>
      </c>
      <c r="B237" s="206">
        <v>211</v>
      </c>
      <c r="C237" t="s">
        <v>3078</v>
      </c>
      <c r="D237" s="206" t="s">
        <v>3079</v>
      </c>
      <c r="E237" s="206" t="str">
        <f t="shared" si="21"/>
        <v>03</v>
      </c>
      <c r="F237" t="str">
        <f t="shared" si="22"/>
        <v>Chi cục thuế Huyện Na Hang</v>
      </c>
      <c r="G237" t="str">
        <f t="shared" ref="G237:G242" si="28">RIGHT(C237,LEN(C237)-6)</f>
        <v>Na Hang</v>
      </c>
      <c r="H237" s="206"/>
      <c r="I237" s="206" t="str">
        <f t="shared" si="23"/>
        <v>21103</v>
      </c>
      <c r="J237" t="str">
        <f t="shared" si="24"/>
        <v/>
      </c>
      <c r="K237" t="str">
        <f>IF(J237="","",ROWS($K$70:K237))</f>
        <v/>
      </c>
      <c r="L237" t="str">
        <f>IFERROR(SMALL($K$70:$K$846,ROWS($L$70:L237)),"")</f>
        <v/>
      </c>
      <c r="M237" t="str" cm="1">
        <f t="array" ref="M237">IFERROR(INDEX($F$70:$F$846,L237,1),"")</f>
        <v/>
      </c>
    </row>
    <row r="238" spans="1:13" x14ac:dyDescent="0.45">
      <c r="A238" t="s">
        <v>2722</v>
      </c>
      <c r="B238" s="206">
        <v>211</v>
      </c>
      <c r="C238" t="s">
        <v>3080</v>
      </c>
      <c r="D238" s="206" t="s">
        <v>3081</v>
      </c>
      <c r="E238" s="206" t="str">
        <f t="shared" si="21"/>
        <v>05</v>
      </c>
      <c r="F238" t="str">
        <f t="shared" si="22"/>
        <v>Chi cục thuế Huyện Chiêm Hoá</v>
      </c>
      <c r="G238" t="str">
        <f t="shared" si="28"/>
        <v>Chiêm Hoá</v>
      </c>
      <c r="H238" s="206"/>
      <c r="I238" s="206" t="str">
        <f t="shared" si="23"/>
        <v>21105</v>
      </c>
      <c r="J238" t="str">
        <f t="shared" si="24"/>
        <v/>
      </c>
      <c r="K238" t="str">
        <f>IF(J238="","",ROWS($K$70:K238))</f>
        <v/>
      </c>
      <c r="L238" t="str">
        <f>IFERROR(SMALL($K$70:$K$846,ROWS($L$70:L238)),"")</f>
        <v/>
      </c>
      <c r="M238" t="str" cm="1">
        <f t="array" ref="M238">IFERROR(INDEX($F$70:$F$846,L238,1),"")</f>
        <v/>
      </c>
    </row>
    <row r="239" spans="1:13" x14ac:dyDescent="0.45">
      <c r="A239" t="s">
        <v>2722</v>
      </c>
      <c r="B239" s="206">
        <v>211</v>
      </c>
      <c r="C239" t="s">
        <v>3082</v>
      </c>
      <c r="D239" s="206" t="s">
        <v>3083</v>
      </c>
      <c r="E239" s="206" t="str">
        <f t="shared" si="21"/>
        <v>07</v>
      </c>
      <c r="F239" t="str">
        <f t="shared" si="22"/>
        <v>Chi cục thuế Huyện Hàm Yên</v>
      </c>
      <c r="G239" t="str">
        <f t="shared" si="28"/>
        <v>Hàm Yên</v>
      </c>
      <c r="H239" s="206"/>
      <c r="I239" s="206" t="str">
        <f t="shared" si="23"/>
        <v>21107</v>
      </c>
      <c r="J239" t="str">
        <f t="shared" si="24"/>
        <v/>
      </c>
      <c r="K239" t="str">
        <f>IF(J239="","",ROWS($K$70:K239))</f>
        <v/>
      </c>
      <c r="L239" t="str">
        <f>IFERROR(SMALL($K$70:$K$846,ROWS($L$70:L239)),"")</f>
        <v/>
      </c>
      <c r="M239" t="str" cm="1">
        <f t="array" ref="M239">IFERROR(INDEX($F$70:$F$846,L239,1),"")</f>
        <v/>
      </c>
    </row>
    <row r="240" spans="1:13" x14ac:dyDescent="0.45">
      <c r="A240" t="s">
        <v>2722</v>
      </c>
      <c r="B240" s="206">
        <v>211</v>
      </c>
      <c r="C240" t="s">
        <v>3084</v>
      </c>
      <c r="D240" s="206" t="s">
        <v>3085</v>
      </c>
      <c r="E240" s="206" t="str">
        <f t="shared" si="21"/>
        <v>09</v>
      </c>
      <c r="F240" t="str">
        <f t="shared" si="22"/>
        <v>Chi cục thuế Huyện Yên Sơn</v>
      </c>
      <c r="G240" t="str">
        <f t="shared" si="28"/>
        <v>Yên Sơn</v>
      </c>
      <c r="H240" s="206"/>
      <c r="I240" s="206" t="str">
        <f t="shared" si="23"/>
        <v>21109</v>
      </c>
      <c r="J240" t="str">
        <f t="shared" si="24"/>
        <v/>
      </c>
      <c r="K240" t="str">
        <f>IF(J240="","",ROWS($K$70:K240))</f>
        <v/>
      </c>
      <c r="L240" t="str">
        <f>IFERROR(SMALL($K$70:$K$846,ROWS($L$70:L240)),"")</f>
        <v/>
      </c>
      <c r="M240" t="str" cm="1">
        <f t="array" ref="M240">IFERROR(INDEX($F$70:$F$846,L240,1),"")</f>
        <v/>
      </c>
    </row>
    <row r="241" spans="1:13" x14ac:dyDescent="0.45">
      <c r="A241" t="s">
        <v>2722</v>
      </c>
      <c r="B241" s="206">
        <v>211</v>
      </c>
      <c r="C241" t="s">
        <v>3086</v>
      </c>
      <c r="D241" s="206" t="s">
        <v>3087</v>
      </c>
      <c r="E241" s="206" t="str">
        <f t="shared" si="21"/>
        <v>11</v>
      </c>
      <c r="F241" t="str">
        <f t="shared" si="22"/>
        <v>Chi cục thuế Huyện Sơn Dương</v>
      </c>
      <c r="G241" t="str">
        <f t="shared" si="28"/>
        <v>Sơn Dương</v>
      </c>
      <c r="H241" s="206"/>
      <c r="I241" s="206" t="str">
        <f t="shared" si="23"/>
        <v>21111</v>
      </c>
      <c r="J241" t="str">
        <f t="shared" si="24"/>
        <v/>
      </c>
      <c r="K241" t="str">
        <f>IF(J241="","",ROWS($K$70:K241))</f>
        <v/>
      </c>
      <c r="L241" t="str">
        <f>IFERROR(SMALL($K$70:$K$846,ROWS($L$70:L241)),"")</f>
        <v/>
      </c>
      <c r="M241" t="str" cm="1">
        <f t="array" ref="M241">IFERROR(INDEX($F$70:$F$846,L241,1),"")</f>
        <v/>
      </c>
    </row>
    <row r="242" spans="1:13" x14ac:dyDescent="0.45">
      <c r="A242" t="s">
        <v>2722</v>
      </c>
      <c r="B242" s="206">
        <v>211</v>
      </c>
      <c r="C242" t="s">
        <v>3088</v>
      </c>
      <c r="D242" s="206" t="s">
        <v>3089</v>
      </c>
      <c r="E242" s="206" t="str">
        <f t="shared" si="21"/>
        <v>13</v>
      </c>
      <c r="F242" t="str">
        <f t="shared" si="22"/>
        <v>Chi cục thuế Huyện Lâm Bình</v>
      </c>
      <c r="G242" t="str">
        <f t="shared" si="28"/>
        <v>Lâm Bình</v>
      </c>
      <c r="H242" s="206"/>
      <c r="I242" s="206" t="str">
        <f t="shared" si="23"/>
        <v>21113</v>
      </c>
      <c r="J242" t="str">
        <f t="shared" si="24"/>
        <v/>
      </c>
      <c r="K242" t="str">
        <f>IF(J242="","",ROWS($K$70:K242))</f>
        <v/>
      </c>
      <c r="L242" t="str">
        <f>IFERROR(SMALL($K$70:$K$846,ROWS($L$70:L242)),"")</f>
        <v/>
      </c>
      <c r="M242" t="str" cm="1">
        <f t="array" ref="M242">IFERROR(INDEX($F$70:$F$846,L242,1),"")</f>
        <v/>
      </c>
    </row>
    <row r="243" spans="1:13" x14ac:dyDescent="0.45">
      <c r="A243" t="s">
        <v>2728</v>
      </c>
      <c r="B243" s="206" t="s">
        <v>3090</v>
      </c>
      <c r="C243" t="s">
        <v>3091</v>
      </c>
      <c r="D243" s="206" t="s">
        <v>3092</v>
      </c>
      <c r="E243" s="206" t="str">
        <f t="shared" si="21"/>
        <v>00</v>
      </c>
      <c r="F243" t="str">
        <f t="shared" si="22"/>
        <v>Cục thuế Tỉnh Yên Bái</v>
      </c>
      <c r="H243" s="206" t="str">
        <f>IF(E244="01",A244,"")</f>
        <v>Yên Bái</v>
      </c>
      <c r="I243" s="206" t="str">
        <f t="shared" si="23"/>
        <v>21300</v>
      </c>
      <c r="J243" t="str">
        <f t="shared" si="24"/>
        <v/>
      </c>
      <c r="K243" t="str">
        <f>IF(J243="","",ROWS($K$70:K243))</f>
        <v/>
      </c>
      <c r="L243" t="str">
        <f>IFERROR(SMALL($K$70:$K$846,ROWS($L$70:L243)),"")</f>
        <v/>
      </c>
      <c r="M243" t="str" cm="1">
        <f t="array" ref="M243">IFERROR(INDEX($F$70:$F$846,L243,1),"")</f>
        <v/>
      </c>
    </row>
    <row r="244" spans="1:13" x14ac:dyDescent="0.45">
      <c r="A244" t="s">
        <v>2728</v>
      </c>
      <c r="B244" s="206">
        <v>213</v>
      </c>
      <c r="C244" t="s">
        <v>3093</v>
      </c>
      <c r="D244" s="206" t="s">
        <v>3094</v>
      </c>
      <c r="E244" s="206" t="str">
        <f t="shared" si="21"/>
        <v>01</v>
      </c>
      <c r="F244" t="str">
        <f t="shared" si="22"/>
        <v>Chi cục thuế Thành phố Yên Bái</v>
      </c>
      <c r="H244" s="206"/>
      <c r="I244" s="206" t="str">
        <f t="shared" si="23"/>
        <v>21301</v>
      </c>
      <c r="J244" t="str">
        <f t="shared" si="24"/>
        <v/>
      </c>
      <c r="K244" t="str">
        <f>IF(J244="","",ROWS($K$70:K244))</f>
        <v/>
      </c>
      <c r="L244" t="str">
        <f>IFERROR(SMALL($K$70:$K$846,ROWS($L$70:L244)),"")</f>
        <v/>
      </c>
      <c r="M244" t="str" cm="1">
        <f t="array" ref="M244">IFERROR(INDEX($F$70:$F$846,L244,1),"")</f>
        <v/>
      </c>
    </row>
    <row r="245" spans="1:13" x14ac:dyDescent="0.45">
      <c r="A245" t="s">
        <v>2728</v>
      </c>
      <c r="B245" s="206">
        <v>213</v>
      </c>
      <c r="C245" t="s">
        <v>3095</v>
      </c>
      <c r="D245" s="206" t="s">
        <v>3096</v>
      </c>
      <c r="E245" s="206" t="str">
        <f t="shared" si="21"/>
        <v>03</v>
      </c>
      <c r="F245" t="str">
        <f t="shared" si="22"/>
        <v>Chi cục thuế Thị xã Nghĩa Lộ</v>
      </c>
      <c r="H245" s="206"/>
      <c r="I245" s="206" t="str">
        <f t="shared" si="23"/>
        <v>21303</v>
      </c>
      <c r="J245" t="str">
        <f t="shared" si="24"/>
        <v/>
      </c>
      <c r="K245" t="str">
        <f>IF(J245="","",ROWS($K$70:K245))</f>
        <v/>
      </c>
      <c r="L245" t="str">
        <f>IFERROR(SMALL($K$70:$K$846,ROWS($L$70:L245)),"")</f>
        <v/>
      </c>
      <c r="M245" t="str" cm="1">
        <f t="array" ref="M245">IFERROR(INDEX($F$70:$F$846,L245,1),"")</f>
        <v/>
      </c>
    </row>
    <row r="246" spans="1:13" x14ac:dyDescent="0.45">
      <c r="A246" t="s">
        <v>2728</v>
      </c>
      <c r="B246" s="206">
        <v>213</v>
      </c>
      <c r="C246" t="s">
        <v>3097</v>
      </c>
      <c r="D246" s="206" t="s">
        <v>3098</v>
      </c>
      <c r="E246" s="206" t="str">
        <f t="shared" si="21"/>
        <v>05</v>
      </c>
      <c r="F246" t="str">
        <f t="shared" si="22"/>
        <v>Chi cục thuế Huyện Lục Yên</v>
      </c>
      <c r="G246" t="str">
        <f t="shared" ref="G246:G252" si="29">RIGHT(C246,LEN(C246)-6)</f>
        <v>Lục Yên</v>
      </c>
      <c r="H246" s="206"/>
      <c r="I246" s="206" t="str">
        <f t="shared" si="23"/>
        <v>21305</v>
      </c>
      <c r="J246" t="str">
        <f t="shared" si="24"/>
        <v/>
      </c>
      <c r="K246" t="str">
        <f>IF(J246="","",ROWS($K$70:K246))</f>
        <v/>
      </c>
      <c r="L246" t="str">
        <f>IFERROR(SMALL($K$70:$K$846,ROWS($L$70:L246)),"")</f>
        <v/>
      </c>
      <c r="M246" t="str" cm="1">
        <f t="array" ref="M246">IFERROR(INDEX($F$70:$F$846,L246,1),"")</f>
        <v/>
      </c>
    </row>
    <row r="247" spans="1:13" x14ac:dyDescent="0.45">
      <c r="A247" t="s">
        <v>2728</v>
      </c>
      <c r="B247" s="206">
        <v>213</v>
      </c>
      <c r="C247" t="s">
        <v>3099</v>
      </c>
      <c r="D247" s="206" t="s">
        <v>3100</v>
      </c>
      <c r="E247" s="206" t="str">
        <f t="shared" si="21"/>
        <v>07</v>
      </c>
      <c r="F247" t="str">
        <f t="shared" si="22"/>
        <v>Chi cục thuế Huyện Văn Yên</v>
      </c>
      <c r="G247" t="str">
        <f t="shared" si="29"/>
        <v>Văn Yên</v>
      </c>
      <c r="H247" s="206"/>
      <c r="I247" s="206" t="str">
        <f t="shared" si="23"/>
        <v>21307</v>
      </c>
      <c r="J247" t="str">
        <f t="shared" si="24"/>
        <v/>
      </c>
      <c r="K247" t="str">
        <f>IF(J247="","",ROWS($K$70:K247))</f>
        <v/>
      </c>
      <c r="L247" t="str">
        <f>IFERROR(SMALL($K$70:$K$846,ROWS($L$70:L247)),"")</f>
        <v/>
      </c>
      <c r="M247" t="str" cm="1">
        <f t="array" ref="M247">IFERROR(INDEX($F$70:$F$846,L247,1),"")</f>
        <v/>
      </c>
    </row>
    <row r="248" spans="1:13" x14ac:dyDescent="0.45">
      <c r="A248" t="s">
        <v>2728</v>
      </c>
      <c r="B248" s="206">
        <v>213</v>
      </c>
      <c r="C248" t="s">
        <v>3101</v>
      </c>
      <c r="D248" s="206" t="s">
        <v>3102</v>
      </c>
      <c r="E248" s="206" t="str">
        <f t="shared" si="21"/>
        <v>09</v>
      </c>
      <c r="F248" t="str">
        <f t="shared" si="22"/>
        <v>Chi cục thuế Huyện Mù Cang Chải</v>
      </c>
      <c r="G248" t="str">
        <f t="shared" si="29"/>
        <v>Mù Cang Chải</v>
      </c>
      <c r="H248" s="206"/>
      <c r="I248" s="206" t="str">
        <f t="shared" si="23"/>
        <v>21309</v>
      </c>
      <c r="J248" t="str">
        <f t="shared" si="24"/>
        <v/>
      </c>
      <c r="K248" t="str">
        <f>IF(J248="","",ROWS($K$70:K248))</f>
        <v/>
      </c>
      <c r="L248" t="str">
        <f>IFERROR(SMALL($K$70:$K$846,ROWS($L$70:L248)),"")</f>
        <v/>
      </c>
      <c r="M248" t="str" cm="1">
        <f t="array" ref="M248">IFERROR(INDEX($F$70:$F$846,L248,1),"")</f>
        <v/>
      </c>
    </row>
    <row r="249" spans="1:13" x14ac:dyDescent="0.45">
      <c r="A249" t="s">
        <v>2728</v>
      </c>
      <c r="B249" s="206">
        <v>213</v>
      </c>
      <c r="C249" t="s">
        <v>3103</v>
      </c>
      <c r="D249" s="206" t="s">
        <v>3104</v>
      </c>
      <c r="E249" s="206" t="str">
        <f t="shared" si="21"/>
        <v>11</v>
      </c>
      <c r="F249" t="str">
        <f t="shared" si="22"/>
        <v>Chi cục thuế Huyện Trấn Yên</v>
      </c>
      <c r="G249" t="str">
        <f t="shared" si="29"/>
        <v>Trấn Yên</v>
      </c>
      <c r="H249" s="206"/>
      <c r="I249" s="206" t="str">
        <f t="shared" si="23"/>
        <v>21311</v>
      </c>
      <c r="J249" t="str">
        <f t="shared" si="24"/>
        <v/>
      </c>
      <c r="K249" t="str">
        <f>IF(J249="","",ROWS($K$70:K249))</f>
        <v/>
      </c>
      <c r="L249" t="str">
        <f>IFERROR(SMALL($K$70:$K$846,ROWS($L$70:L249)),"")</f>
        <v/>
      </c>
      <c r="M249" t="str" cm="1">
        <f t="array" ref="M249">IFERROR(INDEX($F$70:$F$846,L249,1),"")</f>
        <v/>
      </c>
    </row>
    <row r="250" spans="1:13" x14ac:dyDescent="0.45">
      <c r="A250" t="s">
        <v>2728</v>
      </c>
      <c r="B250" s="206">
        <v>213</v>
      </c>
      <c r="C250" t="s">
        <v>3105</v>
      </c>
      <c r="D250" s="206" t="s">
        <v>3106</v>
      </c>
      <c r="E250" s="206" t="str">
        <f t="shared" si="21"/>
        <v>13</v>
      </c>
      <c r="F250" t="str">
        <f t="shared" si="22"/>
        <v>Chi cục thuế Huyện Yên Bình</v>
      </c>
      <c r="G250" t="str">
        <f t="shared" si="29"/>
        <v>Yên Bình</v>
      </c>
      <c r="H250" s="206"/>
      <c r="I250" s="206" t="str">
        <f t="shared" si="23"/>
        <v>21313</v>
      </c>
      <c r="J250" t="str">
        <f t="shared" si="24"/>
        <v/>
      </c>
      <c r="K250" t="str">
        <f>IF(J250="","",ROWS($K$70:K250))</f>
        <v/>
      </c>
      <c r="L250" t="str">
        <f>IFERROR(SMALL($K$70:$K$846,ROWS($L$70:L250)),"")</f>
        <v/>
      </c>
      <c r="M250" t="str" cm="1">
        <f t="array" ref="M250">IFERROR(INDEX($F$70:$F$846,L250,1),"")</f>
        <v/>
      </c>
    </row>
    <row r="251" spans="1:13" x14ac:dyDescent="0.45">
      <c r="A251" t="s">
        <v>2728</v>
      </c>
      <c r="B251" s="206">
        <v>213</v>
      </c>
      <c r="C251" t="s">
        <v>3107</v>
      </c>
      <c r="D251" s="206" t="s">
        <v>3108</v>
      </c>
      <c r="E251" s="206" t="str">
        <f t="shared" si="21"/>
        <v>15</v>
      </c>
      <c r="F251" t="str">
        <f t="shared" si="22"/>
        <v>Chi cục thuế Huyện Văn Chấn</v>
      </c>
      <c r="G251" t="str">
        <f t="shared" si="29"/>
        <v>Văn Chấn</v>
      </c>
      <c r="H251" s="206"/>
      <c r="I251" s="206" t="str">
        <f t="shared" si="23"/>
        <v>21315</v>
      </c>
      <c r="J251" t="str">
        <f t="shared" si="24"/>
        <v/>
      </c>
      <c r="K251" t="str">
        <f>IF(J251="","",ROWS($K$70:K251))</f>
        <v/>
      </c>
      <c r="L251" t="str">
        <f>IFERROR(SMALL($K$70:$K$846,ROWS($L$70:L251)),"")</f>
        <v/>
      </c>
      <c r="M251" t="str" cm="1">
        <f t="array" ref="M251">IFERROR(INDEX($F$70:$F$846,L251,1),"")</f>
        <v/>
      </c>
    </row>
    <row r="252" spans="1:13" x14ac:dyDescent="0.45">
      <c r="A252" t="s">
        <v>2728</v>
      </c>
      <c r="B252" s="206">
        <v>213</v>
      </c>
      <c r="C252" t="s">
        <v>3109</v>
      </c>
      <c r="D252" s="206" t="s">
        <v>3110</v>
      </c>
      <c r="E252" s="206" t="str">
        <f t="shared" si="21"/>
        <v>17</v>
      </c>
      <c r="F252" t="str">
        <f t="shared" si="22"/>
        <v>Chi cục thuế Huyện Trạm Tấu</v>
      </c>
      <c r="G252" t="str">
        <f t="shared" si="29"/>
        <v>Trạm Tấu</v>
      </c>
      <c r="H252" s="206"/>
      <c r="I252" s="206" t="str">
        <f t="shared" si="23"/>
        <v>21317</v>
      </c>
      <c r="J252" t="str">
        <f t="shared" si="24"/>
        <v/>
      </c>
      <c r="K252" t="str">
        <f>IF(J252="","",ROWS($K$70:K252))</f>
        <v/>
      </c>
      <c r="L252" t="str">
        <f>IFERROR(SMALL($K$70:$K$846,ROWS($L$70:L252)),"")</f>
        <v/>
      </c>
      <c r="M252" t="str" cm="1">
        <f t="array" ref="M252">IFERROR(INDEX($F$70:$F$846,L252,1),"")</f>
        <v/>
      </c>
    </row>
    <row r="253" spans="1:13" x14ac:dyDescent="0.45">
      <c r="A253" t="s">
        <v>2710</v>
      </c>
      <c r="B253" s="206" t="s">
        <v>3111</v>
      </c>
      <c r="C253" t="s">
        <v>3112</v>
      </c>
      <c r="D253" s="206" t="s">
        <v>3113</v>
      </c>
      <c r="E253" s="206" t="str">
        <f t="shared" si="21"/>
        <v>00</v>
      </c>
      <c r="F253" t="str">
        <f t="shared" si="22"/>
        <v>Cục thuế Tỉnh Thái Nguyên</v>
      </c>
      <c r="H253" s="206" t="str">
        <f>IF(E254="01",A254,"")</f>
        <v>Thái Nguyên</v>
      </c>
      <c r="I253" s="206" t="str">
        <f t="shared" si="23"/>
        <v>21500</v>
      </c>
      <c r="J253" t="str">
        <f t="shared" si="24"/>
        <v/>
      </c>
      <c r="K253" t="str">
        <f>IF(J253="","",ROWS($K$70:K253))</f>
        <v/>
      </c>
      <c r="L253" t="str">
        <f>IFERROR(SMALL($K$70:$K$846,ROWS($L$70:L253)),"")</f>
        <v/>
      </c>
      <c r="M253" t="str" cm="1">
        <f t="array" ref="M253">IFERROR(INDEX($F$70:$F$846,L253,1),"")</f>
        <v/>
      </c>
    </row>
    <row r="254" spans="1:13" x14ac:dyDescent="0.45">
      <c r="A254" t="s">
        <v>2710</v>
      </c>
      <c r="B254" s="206">
        <v>215</v>
      </c>
      <c r="C254" t="s">
        <v>3114</v>
      </c>
      <c r="D254" s="206" t="s">
        <v>3115</v>
      </c>
      <c r="E254" s="206" t="str">
        <f t="shared" si="21"/>
        <v>01</v>
      </c>
      <c r="F254" t="str">
        <f t="shared" si="22"/>
        <v>Chi cục thuế Thành phố Thái Nguyên</v>
      </c>
      <c r="H254" s="206"/>
      <c r="I254" s="206" t="str">
        <f t="shared" si="23"/>
        <v>21501</v>
      </c>
      <c r="J254" t="str">
        <f t="shared" si="24"/>
        <v/>
      </c>
      <c r="K254" t="str">
        <f>IF(J254="","",ROWS($K$70:K254))</f>
        <v/>
      </c>
      <c r="L254" t="str">
        <f>IFERROR(SMALL($K$70:$K$846,ROWS($L$70:L254)),"")</f>
        <v/>
      </c>
      <c r="M254" t="str" cm="1">
        <f t="array" ref="M254">IFERROR(INDEX($F$70:$F$846,L254,1),"")</f>
        <v/>
      </c>
    </row>
    <row r="255" spans="1:13" x14ac:dyDescent="0.45">
      <c r="A255" t="s">
        <v>2710</v>
      </c>
      <c r="B255" s="206">
        <v>215</v>
      </c>
      <c r="C255" t="s">
        <v>3116</v>
      </c>
      <c r="D255" s="206" t="s">
        <v>3117</v>
      </c>
      <c r="E255" s="206" t="str">
        <f t="shared" si="21"/>
        <v>03</v>
      </c>
      <c r="F255" t="str">
        <f t="shared" si="22"/>
        <v>Chi cục thuế Thành phố Sông Công</v>
      </c>
      <c r="H255" s="206"/>
      <c r="I255" s="206" t="str">
        <f t="shared" si="23"/>
        <v>21503</v>
      </c>
      <c r="J255" t="str">
        <f t="shared" si="24"/>
        <v/>
      </c>
      <c r="K255" t="str">
        <f>IF(J255="","",ROWS($K$70:K255))</f>
        <v/>
      </c>
      <c r="L255" t="str">
        <f>IFERROR(SMALL($K$70:$K$846,ROWS($L$70:L255)),"")</f>
        <v/>
      </c>
      <c r="M255" t="str" cm="1">
        <f t="array" ref="M255">IFERROR(INDEX($F$70:$F$846,L255,1),"")</f>
        <v/>
      </c>
    </row>
    <row r="256" spans="1:13" x14ac:dyDescent="0.45">
      <c r="A256" t="s">
        <v>2710</v>
      </c>
      <c r="B256" s="206">
        <v>215</v>
      </c>
      <c r="C256" t="s">
        <v>3118</v>
      </c>
      <c r="D256" s="206" t="s">
        <v>3119</v>
      </c>
      <c r="E256" s="206" t="str">
        <f t="shared" si="21"/>
        <v>05</v>
      </c>
      <c r="F256" t="str">
        <f t="shared" si="22"/>
        <v>Chi cục thuế Huyện Định Hoá</v>
      </c>
      <c r="G256" t="str">
        <f t="shared" ref="G256:G261" si="30">RIGHT(C256,LEN(C256)-6)</f>
        <v>Định Hoá</v>
      </c>
      <c r="H256" s="206"/>
      <c r="I256" s="206" t="str">
        <f t="shared" si="23"/>
        <v>21505</v>
      </c>
      <c r="J256" t="str">
        <f t="shared" si="24"/>
        <v/>
      </c>
      <c r="K256" t="str">
        <f>IF(J256="","",ROWS($K$70:K256))</f>
        <v/>
      </c>
      <c r="L256" t="str">
        <f>IFERROR(SMALL($K$70:$K$846,ROWS($L$70:L256)),"")</f>
        <v/>
      </c>
      <c r="M256" t="str" cm="1">
        <f t="array" ref="M256">IFERROR(INDEX($F$70:$F$846,L256,1),"")</f>
        <v/>
      </c>
    </row>
    <row r="257" spans="1:13" x14ac:dyDescent="0.45">
      <c r="A257" t="s">
        <v>2710</v>
      </c>
      <c r="B257" s="206">
        <v>215</v>
      </c>
      <c r="C257" t="s">
        <v>3120</v>
      </c>
      <c r="D257" s="206" t="s">
        <v>3121</v>
      </c>
      <c r="E257" s="206" t="str">
        <f t="shared" si="21"/>
        <v>07</v>
      </c>
      <c r="F257" t="str">
        <f t="shared" si="22"/>
        <v>Chi cục thuế Huyện Võ Nhai</v>
      </c>
      <c r="G257" t="str">
        <f t="shared" si="30"/>
        <v>Võ Nhai</v>
      </c>
      <c r="H257" s="206"/>
      <c r="I257" s="206" t="str">
        <f t="shared" si="23"/>
        <v>21507</v>
      </c>
      <c r="J257" t="str">
        <f t="shared" si="24"/>
        <v/>
      </c>
      <c r="K257" t="str">
        <f>IF(J257="","",ROWS($K$70:K257))</f>
        <v/>
      </c>
      <c r="L257" t="str">
        <f>IFERROR(SMALL($K$70:$K$846,ROWS($L$70:L257)),"")</f>
        <v/>
      </c>
      <c r="M257" t="str" cm="1">
        <f t="array" ref="M257">IFERROR(INDEX($F$70:$F$846,L257,1),"")</f>
        <v/>
      </c>
    </row>
    <row r="258" spans="1:13" x14ac:dyDescent="0.45">
      <c r="A258" t="s">
        <v>2710</v>
      </c>
      <c r="B258" s="206">
        <v>215</v>
      </c>
      <c r="C258" t="s">
        <v>3122</v>
      </c>
      <c r="D258" s="206" t="s">
        <v>3123</v>
      </c>
      <c r="E258" s="206" t="str">
        <f t="shared" si="21"/>
        <v>09</v>
      </c>
      <c r="F258" t="str">
        <f t="shared" si="22"/>
        <v>Chi cục thuế Huyện Phú Lương</v>
      </c>
      <c r="G258" t="str">
        <f t="shared" si="30"/>
        <v>Phú Lương</v>
      </c>
      <c r="H258" s="206"/>
      <c r="I258" s="206" t="str">
        <f t="shared" si="23"/>
        <v>21509</v>
      </c>
      <c r="J258" t="str">
        <f t="shared" si="24"/>
        <v/>
      </c>
      <c r="K258" t="str">
        <f>IF(J258="","",ROWS($K$70:K258))</f>
        <v/>
      </c>
      <c r="L258" t="str">
        <f>IFERROR(SMALL($K$70:$K$846,ROWS($L$70:L258)),"")</f>
        <v/>
      </c>
      <c r="M258" t="str" cm="1">
        <f t="array" ref="M258">IFERROR(INDEX($F$70:$F$846,L258,1),"")</f>
        <v/>
      </c>
    </row>
    <row r="259" spans="1:13" x14ac:dyDescent="0.45">
      <c r="A259" t="s">
        <v>2710</v>
      </c>
      <c r="B259" s="206">
        <v>215</v>
      </c>
      <c r="C259" t="s">
        <v>3124</v>
      </c>
      <c r="D259" s="206" t="s">
        <v>3125</v>
      </c>
      <c r="E259" s="206" t="str">
        <f t="shared" si="21"/>
        <v>11</v>
      </c>
      <c r="F259" t="str">
        <f t="shared" si="22"/>
        <v>Chi cục thuế Huyện Đồng Hỷ</v>
      </c>
      <c r="G259" t="str">
        <f t="shared" si="30"/>
        <v>Đồng Hỷ</v>
      </c>
      <c r="H259" s="206"/>
      <c r="I259" s="206" t="str">
        <f t="shared" si="23"/>
        <v>21511</v>
      </c>
      <c r="J259" t="str">
        <f t="shared" si="24"/>
        <v/>
      </c>
      <c r="K259" t="str">
        <f>IF(J259="","",ROWS($K$70:K259))</f>
        <v/>
      </c>
      <c r="L259" t="str">
        <f>IFERROR(SMALL($K$70:$K$846,ROWS($L$70:L259)),"")</f>
        <v/>
      </c>
      <c r="M259" t="str" cm="1">
        <f t="array" ref="M259">IFERROR(INDEX($F$70:$F$846,L259,1),"")</f>
        <v/>
      </c>
    </row>
    <row r="260" spans="1:13" x14ac:dyDescent="0.45">
      <c r="A260" t="s">
        <v>2710</v>
      </c>
      <c r="B260" s="206">
        <v>215</v>
      </c>
      <c r="C260" t="s">
        <v>3126</v>
      </c>
      <c r="D260" s="206" t="s">
        <v>3127</v>
      </c>
      <c r="E260" s="206" t="str">
        <f t="shared" si="21"/>
        <v>13</v>
      </c>
      <c r="F260" t="str">
        <f t="shared" si="22"/>
        <v>Chi cục thuế Huyện Đại Từ</v>
      </c>
      <c r="G260" t="str">
        <f t="shared" si="30"/>
        <v>Đại Từ</v>
      </c>
      <c r="H260" s="206"/>
      <c r="I260" s="206" t="str">
        <f t="shared" si="23"/>
        <v>21513</v>
      </c>
      <c r="J260" t="str">
        <f t="shared" si="24"/>
        <v/>
      </c>
      <c r="K260" t="str">
        <f>IF(J260="","",ROWS($K$70:K260))</f>
        <v/>
      </c>
      <c r="L260" t="str">
        <f>IFERROR(SMALL($K$70:$K$846,ROWS($L$70:L260)),"")</f>
        <v/>
      </c>
      <c r="M260" t="str" cm="1">
        <f t="array" ref="M260">IFERROR(INDEX($F$70:$F$846,L260,1),"")</f>
        <v/>
      </c>
    </row>
    <row r="261" spans="1:13" x14ac:dyDescent="0.45">
      <c r="A261" t="s">
        <v>2710</v>
      </c>
      <c r="B261" s="206">
        <v>215</v>
      </c>
      <c r="C261" t="s">
        <v>3128</v>
      </c>
      <c r="D261" s="206" t="s">
        <v>3129</v>
      </c>
      <c r="E261" s="206" t="str">
        <f t="shared" si="21"/>
        <v>15</v>
      </c>
      <c r="F261" t="str">
        <f t="shared" si="22"/>
        <v>Chi cục thuế Huyện Phú Bình</v>
      </c>
      <c r="G261" t="str">
        <f t="shared" si="30"/>
        <v>Phú Bình</v>
      </c>
      <c r="H261" s="206"/>
      <c r="I261" s="206" t="str">
        <f t="shared" si="23"/>
        <v>21515</v>
      </c>
      <c r="J261" t="str">
        <f t="shared" si="24"/>
        <v/>
      </c>
      <c r="K261" t="str">
        <f>IF(J261="","",ROWS($K$70:K261))</f>
        <v/>
      </c>
      <c r="L261" t="str">
        <f>IFERROR(SMALL($K$70:$K$846,ROWS($L$70:L261)),"")</f>
        <v/>
      </c>
      <c r="M261" t="str" cm="1">
        <f t="array" ref="M261">IFERROR(INDEX($F$70:$F$846,L261,1),"")</f>
        <v/>
      </c>
    </row>
    <row r="262" spans="1:13" x14ac:dyDescent="0.45">
      <c r="A262" t="s">
        <v>2710</v>
      </c>
      <c r="B262" s="206">
        <v>215</v>
      </c>
      <c r="C262" t="s">
        <v>3130</v>
      </c>
      <c r="D262" s="206" t="s">
        <v>3131</v>
      </c>
      <c r="E262" s="206" t="str">
        <f t="shared" si="21"/>
        <v>17</v>
      </c>
      <c r="F262" t="str">
        <f t="shared" si="22"/>
        <v>Chi cục thuế Thị xã Phổ Yên</v>
      </c>
      <c r="H262" s="206"/>
      <c r="I262" s="206" t="str">
        <f t="shared" si="23"/>
        <v>21517</v>
      </c>
      <c r="J262" t="str">
        <f t="shared" si="24"/>
        <v/>
      </c>
      <c r="K262" t="str">
        <f>IF(J262="","",ROWS($K$70:K262))</f>
        <v/>
      </c>
      <c r="L262" t="str">
        <f>IFERROR(SMALL($K$70:$K$846,ROWS($L$70:L262)),"")</f>
        <v/>
      </c>
      <c r="M262" t="str" cm="1">
        <f t="array" ref="M262">IFERROR(INDEX($F$70:$F$846,L262,1),"")</f>
        <v/>
      </c>
    </row>
    <row r="263" spans="1:13" x14ac:dyDescent="0.45">
      <c r="A263" t="s">
        <v>2688</v>
      </c>
      <c r="B263" s="206" t="s">
        <v>3132</v>
      </c>
      <c r="C263" t="s">
        <v>3133</v>
      </c>
      <c r="D263" s="206" t="s">
        <v>3134</v>
      </c>
      <c r="E263" s="206" t="str">
        <f t="shared" ref="E263:E326" si="31">RIGHT(D263,2)</f>
        <v>00</v>
      </c>
      <c r="F263" t="str">
        <f t="shared" ref="F263:F326" si="32">IF(E263="00","Cục thuế "&amp;C263,"Chi cục thuế "&amp;C263)</f>
        <v>Cục thuế Tỉnh Phú Thọ</v>
      </c>
      <c r="H263" s="206" t="str">
        <f>IF(E264="01",A264,"")</f>
        <v>Phú Thọ</v>
      </c>
      <c r="I263" s="206" t="str">
        <f t="shared" ref="I263:I326" si="33">D263</f>
        <v>21700</v>
      </c>
      <c r="J263" t="str">
        <f t="shared" si="24"/>
        <v/>
      </c>
      <c r="K263" t="str">
        <f>IF(J263="","",ROWS($K$70:K263))</f>
        <v/>
      </c>
      <c r="L263" t="str">
        <f>IFERROR(SMALL($K$70:$K$846,ROWS($L$70:L263)),"")</f>
        <v/>
      </c>
      <c r="M263" t="str" cm="1">
        <f t="array" ref="M263">IFERROR(INDEX($F$70:$F$846,L263,1),"")</f>
        <v/>
      </c>
    </row>
    <row r="264" spans="1:13" x14ac:dyDescent="0.45">
      <c r="A264" t="s">
        <v>2688</v>
      </c>
      <c r="B264" s="206">
        <v>217</v>
      </c>
      <c r="C264" t="s">
        <v>3135</v>
      </c>
      <c r="D264" s="206" t="s">
        <v>3136</v>
      </c>
      <c r="E264" s="206" t="str">
        <f t="shared" si="31"/>
        <v>01</v>
      </c>
      <c r="F264" t="str">
        <f t="shared" si="32"/>
        <v>Chi cục thuế Thành phố Việt Trì</v>
      </c>
      <c r="H264" s="206"/>
      <c r="I264" s="206" t="str">
        <f t="shared" si="33"/>
        <v>21701</v>
      </c>
      <c r="J264" t="str">
        <f t="shared" ref="J264:J327" si="34">IF(A264=$J$69,F264,"")</f>
        <v/>
      </c>
      <c r="K264" t="str">
        <f>IF(J264="","",ROWS($K$70:K264))</f>
        <v/>
      </c>
      <c r="L264" t="str">
        <f>IFERROR(SMALL($K$70:$K$846,ROWS($L$70:L264)),"")</f>
        <v/>
      </c>
      <c r="M264" t="str" cm="1">
        <f t="array" ref="M264">IFERROR(INDEX($F$70:$F$846,L264,1),"")</f>
        <v/>
      </c>
    </row>
    <row r="265" spans="1:13" x14ac:dyDescent="0.45">
      <c r="A265" t="s">
        <v>2688</v>
      </c>
      <c r="B265" s="206">
        <v>217</v>
      </c>
      <c r="C265" t="s">
        <v>3137</v>
      </c>
      <c r="D265" s="206" t="s">
        <v>3138</v>
      </c>
      <c r="E265" s="206" t="str">
        <f t="shared" si="31"/>
        <v>03</v>
      </c>
      <c r="F265" t="str">
        <f t="shared" si="32"/>
        <v>Chi cục thuế Thị xã Phú Thọ</v>
      </c>
      <c r="H265" s="206"/>
      <c r="I265" s="206" t="str">
        <f t="shared" si="33"/>
        <v>21703</v>
      </c>
      <c r="J265" t="str">
        <f t="shared" si="34"/>
        <v/>
      </c>
      <c r="K265" t="str">
        <f>IF(J265="","",ROWS($K$70:K265))</f>
        <v/>
      </c>
      <c r="L265" t="str">
        <f>IFERROR(SMALL($K$70:$K$846,ROWS($L$70:L265)),"")</f>
        <v/>
      </c>
      <c r="M265" t="str" cm="1">
        <f t="array" ref="M265">IFERROR(INDEX($F$70:$F$846,L265,1),"")</f>
        <v/>
      </c>
    </row>
    <row r="266" spans="1:13" x14ac:dyDescent="0.45">
      <c r="A266" t="s">
        <v>2688</v>
      </c>
      <c r="B266" s="206">
        <v>217</v>
      </c>
      <c r="C266" t="s">
        <v>3139</v>
      </c>
      <c r="D266" s="206" t="s">
        <v>3140</v>
      </c>
      <c r="E266" s="206" t="str">
        <f t="shared" si="31"/>
        <v>05</v>
      </c>
      <c r="F266" t="str">
        <f t="shared" si="32"/>
        <v>Chi cục thuế Huyện Đoan Hùng</v>
      </c>
      <c r="G266" t="str">
        <f t="shared" ref="G266:G276" si="35">RIGHT(C266,LEN(C266)-6)</f>
        <v>Đoan Hùng</v>
      </c>
      <c r="H266" s="206"/>
      <c r="I266" s="206" t="str">
        <f t="shared" si="33"/>
        <v>21705</v>
      </c>
      <c r="J266" t="str">
        <f t="shared" si="34"/>
        <v/>
      </c>
      <c r="K266" t="str">
        <f>IF(J266="","",ROWS($K$70:K266))</f>
        <v/>
      </c>
      <c r="L266" t="str">
        <f>IFERROR(SMALL($K$70:$K$846,ROWS($L$70:L266)),"")</f>
        <v/>
      </c>
      <c r="M266" t="str" cm="1">
        <f t="array" ref="M266">IFERROR(INDEX($F$70:$F$846,L266,1),"")</f>
        <v/>
      </c>
    </row>
    <row r="267" spans="1:13" x14ac:dyDescent="0.45">
      <c r="A267" t="s">
        <v>2688</v>
      </c>
      <c r="B267" s="206">
        <v>217</v>
      </c>
      <c r="C267" t="s">
        <v>3141</v>
      </c>
      <c r="D267" s="206" t="s">
        <v>3142</v>
      </c>
      <c r="E267" s="206" t="str">
        <f t="shared" si="31"/>
        <v>07</v>
      </c>
      <c r="F267" t="str">
        <f t="shared" si="32"/>
        <v>Chi cục thuế Huyện Hạ Hòa</v>
      </c>
      <c r="G267" t="str">
        <f t="shared" si="35"/>
        <v>Hạ Hòa</v>
      </c>
      <c r="H267" s="206"/>
      <c r="I267" s="206" t="str">
        <f t="shared" si="33"/>
        <v>21707</v>
      </c>
      <c r="J267" t="str">
        <f t="shared" si="34"/>
        <v/>
      </c>
      <c r="K267" t="str">
        <f>IF(J267="","",ROWS($K$70:K267))</f>
        <v/>
      </c>
      <c r="L267" t="str">
        <f>IFERROR(SMALL($K$70:$K$846,ROWS($L$70:L267)),"")</f>
        <v/>
      </c>
      <c r="M267" t="str" cm="1">
        <f t="array" ref="M267">IFERROR(INDEX($F$70:$F$846,L267,1),"")</f>
        <v/>
      </c>
    </row>
    <row r="268" spans="1:13" x14ac:dyDescent="0.45">
      <c r="A268" t="s">
        <v>2688</v>
      </c>
      <c r="B268" s="206">
        <v>217</v>
      </c>
      <c r="C268" t="s">
        <v>3143</v>
      </c>
      <c r="D268" s="206" t="s">
        <v>3144</v>
      </c>
      <c r="E268" s="206" t="str">
        <f t="shared" si="31"/>
        <v>09</v>
      </c>
      <c r="F268" t="str">
        <f t="shared" si="32"/>
        <v>Chi cục thuế Huyện Thanh Ba</v>
      </c>
      <c r="G268" t="str">
        <f t="shared" si="35"/>
        <v>Thanh Ba</v>
      </c>
      <c r="H268" s="206"/>
      <c r="I268" s="206" t="str">
        <f t="shared" si="33"/>
        <v>21709</v>
      </c>
      <c r="J268" t="str">
        <f t="shared" si="34"/>
        <v/>
      </c>
      <c r="K268" t="str">
        <f>IF(J268="","",ROWS($K$70:K268))</f>
        <v/>
      </c>
      <c r="L268" t="str">
        <f>IFERROR(SMALL($K$70:$K$846,ROWS($L$70:L268)),"")</f>
        <v/>
      </c>
      <c r="M268" t="str" cm="1">
        <f t="array" ref="M268">IFERROR(INDEX($F$70:$F$846,L268,1),"")</f>
        <v/>
      </c>
    </row>
    <row r="269" spans="1:13" x14ac:dyDescent="0.45">
      <c r="A269" t="s">
        <v>2688</v>
      </c>
      <c r="B269" s="206">
        <v>217</v>
      </c>
      <c r="C269" t="s">
        <v>3145</v>
      </c>
      <c r="D269" s="206" t="s">
        <v>3146</v>
      </c>
      <c r="E269" s="206" t="str">
        <f t="shared" si="31"/>
        <v>11</v>
      </c>
      <c r="F269" t="str">
        <f t="shared" si="32"/>
        <v>Chi cục thuế Huyện Phù Ninh</v>
      </c>
      <c r="G269" t="str">
        <f t="shared" si="35"/>
        <v>Phù Ninh</v>
      </c>
      <c r="H269" s="206"/>
      <c r="I269" s="206" t="str">
        <f t="shared" si="33"/>
        <v>21711</v>
      </c>
      <c r="J269" t="str">
        <f t="shared" si="34"/>
        <v/>
      </c>
      <c r="K269" t="str">
        <f>IF(J269="","",ROWS($K$70:K269))</f>
        <v/>
      </c>
      <c r="L269" t="str">
        <f>IFERROR(SMALL($K$70:$K$846,ROWS($L$70:L269)),"")</f>
        <v/>
      </c>
      <c r="M269" t="str" cm="1">
        <f t="array" ref="M269">IFERROR(INDEX($F$70:$F$846,L269,1),"")</f>
        <v/>
      </c>
    </row>
    <row r="270" spans="1:13" x14ac:dyDescent="0.45">
      <c r="A270" t="s">
        <v>2688</v>
      </c>
      <c r="B270" s="206">
        <v>217</v>
      </c>
      <c r="C270" t="s">
        <v>3147</v>
      </c>
      <c r="D270" s="206" t="s">
        <v>3148</v>
      </c>
      <c r="E270" s="206" t="str">
        <f t="shared" si="31"/>
        <v>13</v>
      </c>
      <c r="F270" t="str">
        <f t="shared" si="32"/>
        <v>Chi cục thuế Huyện Cẩm Khê</v>
      </c>
      <c r="G270" t="str">
        <f t="shared" si="35"/>
        <v>Cẩm Khê</v>
      </c>
      <c r="H270" s="206"/>
      <c r="I270" s="206" t="str">
        <f t="shared" si="33"/>
        <v>21713</v>
      </c>
      <c r="J270" t="str">
        <f t="shared" si="34"/>
        <v/>
      </c>
      <c r="K270" t="str">
        <f>IF(J270="","",ROWS($K$70:K270))</f>
        <v/>
      </c>
      <c r="L270" t="str">
        <f>IFERROR(SMALL($K$70:$K$846,ROWS($L$70:L270)),"")</f>
        <v/>
      </c>
      <c r="M270" t="str" cm="1">
        <f t="array" ref="M270">IFERROR(INDEX($F$70:$F$846,L270,1),"")</f>
        <v/>
      </c>
    </row>
    <row r="271" spans="1:13" x14ac:dyDescent="0.45">
      <c r="A271" t="s">
        <v>2688</v>
      </c>
      <c r="B271" s="206">
        <v>217</v>
      </c>
      <c r="C271" t="s">
        <v>3149</v>
      </c>
      <c r="D271" s="206" t="s">
        <v>3150</v>
      </c>
      <c r="E271" s="206" t="str">
        <f t="shared" si="31"/>
        <v>15</v>
      </c>
      <c r="F271" t="str">
        <f t="shared" si="32"/>
        <v>Chi cục thuế Huyện Yên Lập</v>
      </c>
      <c r="G271" t="str">
        <f t="shared" si="35"/>
        <v>Yên Lập</v>
      </c>
      <c r="H271" s="206"/>
      <c r="I271" s="206" t="str">
        <f t="shared" si="33"/>
        <v>21715</v>
      </c>
      <c r="J271" t="str">
        <f t="shared" si="34"/>
        <v/>
      </c>
      <c r="K271" t="str">
        <f>IF(J271="","",ROWS($K$70:K271))</f>
        <v/>
      </c>
      <c r="L271" t="str">
        <f>IFERROR(SMALL($K$70:$K$846,ROWS($L$70:L271)),"")</f>
        <v/>
      </c>
      <c r="M271" t="str" cm="1">
        <f t="array" ref="M271">IFERROR(INDEX($F$70:$F$846,L271,1),"")</f>
        <v/>
      </c>
    </row>
    <row r="272" spans="1:13" x14ac:dyDescent="0.45">
      <c r="A272" t="s">
        <v>2688</v>
      </c>
      <c r="B272" s="206">
        <v>217</v>
      </c>
      <c r="C272" t="s">
        <v>3151</v>
      </c>
      <c r="D272" s="206" t="s">
        <v>3152</v>
      </c>
      <c r="E272" s="206" t="str">
        <f t="shared" si="31"/>
        <v>17</v>
      </c>
      <c r="F272" t="str">
        <f t="shared" si="32"/>
        <v>Chi cục thuế Huyện Tam Nông</v>
      </c>
      <c r="G272" t="str">
        <f t="shared" si="35"/>
        <v>Tam Nông</v>
      </c>
      <c r="H272" s="206"/>
      <c r="I272" s="206" t="str">
        <f t="shared" si="33"/>
        <v>21717</v>
      </c>
      <c r="J272" t="str">
        <f t="shared" si="34"/>
        <v/>
      </c>
      <c r="K272" t="str">
        <f>IF(J272="","",ROWS($K$70:K272))</f>
        <v/>
      </c>
      <c r="L272" t="str">
        <f>IFERROR(SMALL($K$70:$K$846,ROWS($L$70:L272)),"")</f>
        <v/>
      </c>
      <c r="M272" t="str" cm="1">
        <f t="array" ref="M272">IFERROR(INDEX($F$70:$F$846,L272,1),"")</f>
        <v/>
      </c>
    </row>
    <row r="273" spans="1:13" x14ac:dyDescent="0.45">
      <c r="A273" t="s">
        <v>2688</v>
      </c>
      <c r="B273" s="206">
        <v>217</v>
      </c>
      <c r="C273" t="s">
        <v>3153</v>
      </c>
      <c r="D273" s="206" t="s">
        <v>3154</v>
      </c>
      <c r="E273" s="206" t="str">
        <f t="shared" si="31"/>
        <v>19</v>
      </c>
      <c r="F273" t="str">
        <f t="shared" si="32"/>
        <v>Chi cục thuế Huyện Thanh Sơn</v>
      </c>
      <c r="G273" t="str">
        <f t="shared" si="35"/>
        <v>Thanh Sơn</v>
      </c>
      <c r="H273" s="206"/>
      <c r="I273" s="206" t="str">
        <f t="shared" si="33"/>
        <v>21719</v>
      </c>
      <c r="J273" t="str">
        <f t="shared" si="34"/>
        <v/>
      </c>
      <c r="K273" t="str">
        <f>IF(J273="","",ROWS($K$70:K273))</f>
        <v/>
      </c>
      <c r="L273" t="str">
        <f>IFERROR(SMALL($K$70:$K$846,ROWS($L$70:L273)),"")</f>
        <v/>
      </c>
      <c r="M273" t="str" cm="1">
        <f t="array" ref="M273">IFERROR(INDEX($F$70:$F$846,L273,1),"")</f>
        <v/>
      </c>
    </row>
    <row r="274" spans="1:13" x14ac:dyDescent="0.45">
      <c r="A274" t="s">
        <v>2688</v>
      </c>
      <c r="B274" s="206">
        <v>217</v>
      </c>
      <c r="C274" t="s">
        <v>3155</v>
      </c>
      <c r="D274" s="206" t="s">
        <v>3156</v>
      </c>
      <c r="E274" s="206" t="str">
        <f t="shared" si="31"/>
        <v>20</v>
      </c>
      <c r="F274" t="str">
        <f t="shared" si="32"/>
        <v>Chi cục thuế Huyện Tân Sơn</v>
      </c>
      <c r="G274" t="str">
        <f t="shared" si="35"/>
        <v>Tân Sơn</v>
      </c>
      <c r="H274" s="206"/>
      <c r="I274" s="206" t="str">
        <f t="shared" si="33"/>
        <v>21720</v>
      </c>
      <c r="J274" t="str">
        <f t="shared" si="34"/>
        <v/>
      </c>
      <c r="K274" t="str">
        <f>IF(J274="","",ROWS($K$70:K274))</f>
        <v/>
      </c>
      <c r="L274" t="str">
        <f>IFERROR(SMALL($K$70:$K$846,ROWS($L$70:L274)),"")</f>
        <v/>
      </c>
      <c r="M274" t="str" cm="1">
        <f t="array" ref="M274">IFERROR(INDEX($F$70:$F$846,L274,1),"")</f>
        <v/>
      </c>
    </row>
    <row r="275" spans="1:13" x14ac:dyDescent="0.45">
      <c r="A275" t="s">
        <v>2688</v>
      </c>
      <c r="B275" s="206">
        <v>217</v>
      </c>
      <c r="C275" t="s">
        <v>3157</v>
      </c>
      <c r="D275" s="206" t="s">
        <v>3158</v>
      </c>
      <c r="E275" s="206" t="str">
        <f t="shared" si="31"/>
        <v>21</v>
      </c>
      <c r="F275" t="str">
        <f t="shared" si="32"/>
        <v>Chi cục thuế Huyện Lâm Thao</v>
      </c>
      <c r="G275" t="str">
        <f t="shared" si="35"/>
        <v>Lâm Thao</v>
      </c>
      <c r="H275" s="206"/>
      <c r="I275" s="206" t="str">
        <f t="shared" si="33"/>
        <v>21721</v>
      </c>
      <c r="J275" t="str">
        <f t="shared" si="34"/>
        <v/>
      </c>
      <c r="K275" t="str">
        <f>IF(J275="","",ROWS($K$70:K275))</f>
        <v/>
      </c>
      <c r="L275" t="str">
        <f>IFERROR(SMALL($K$70:$K$846,ROWS($L$70:L275)),"")</f>
        <v/>
      </c>
      <c r="M275" t="str" cm="1">
        <f t="array" ref="M275">IFERROR(INDEX($F$70:$F$846,L275,1),"")</f>
        <v/>
      </c>
    </row>
    <row r="276" spans="1:13" x14ac:dyDescent="0.45">
      <c r="A276" t="s">
        <v>2688</v>
      </c>
      <c r="B276" s="206">
        <v>217</v>
      </c>
      <c r="C276" t="s">
        <v>3159</v>
      </c>
      <c r="D276" s="206" t="s">
        <v>3160</v>
      </c>
      <c r="E276" s="206" t="str">
        <f t="shared" si="31"/>
        <v>23</v>
      </c>
      <c r="F276" t="str">
        <f t="shared" si="32"/>
        <v>Chi cục thuế Huyện Thanh Thuỷ</v>
      </c>
      <c r="G276" t="str">
        <f t="shared" si="35"/>
        <v>Thanh Thuỷ</v>
      </c>
      <c r="H276" s="206"/>
      <c r="I276" s="206" t="str">
        <f t="shared" si="33"/>
        <v>21723</v>
      </c>
      <c r="J276" t="str">
        <f t="shared" si="34"/>
        <v/>
      </c>
      <c r="K276" t="str">
        <f>IF(J276="","",ROWS($K$70:K276))</f>
        <v/>
      </c>
      <c r="L276" t="str">
        <f>IFERROR(SMALL($K$70:$K$846,ROWS($L$70:L276)),"")</f>
        <v/>
      </c>
      <c r="M276" t="str" cm="1">
        <f t="array" ref="M276">IFERROR(INDEX($F$70:$F$846,L276,1),"")</f>
        <v/>
      </c>
    </row>
    <row r="277" spans="1:13" x14ac:dyDescent="0.45">
      <c r="A277" t="s">
        <v>2726</v>
      </c>
      <c r="B277" s="206" t="s">
        <v>3161</v>
      </c>
      <c r="C277" t="s">
        <v>3162</v>
      </c>
      <c r="D277" s="206" t="s">
        <v>3163</v>
      </c>
      <c r="E277" s="206" t="str">
        <f t="shared" si="31"/>
        <v>00</v>
      </c>
      <c r="F277" t="str">
        <f t="shared" si="32"/>
        <v>Cục thuế Tỉnh Vĩnh Phúc</v>
      </c>
      <c r="H277" s="206" t="str">
        <f>IF(E278="01",A278,"")</f>
        <v>Vĩnh Phúc</v>
      </c>
      <c r="I277" s="206" t="str">
        <f t="shared" si="33"/>
        <v>21900</v>
      </c>
      <c r="J277" t="str">
        <f t="shared" si="34"/>
        <v/>
      </c>
      <c r="K277" t="str">
        <f>IF(J277="","",ROWS($K$70:K277))</f>
        <v/>
      </c>
      <c r="L277" t="str">
        <f>IFERROR(SMALL($K$70:$K$846,ROWS($L$70:L277)),"")</f>
        <v/>
      </c>
      <c r="M277" t="str" cm="1">
        <f t="array" ref="M277">IFERROR(INDEX($F$70:$F$846,L277,1),"")</f>
        <v/>
      </c>
    </row>
    <row r="278" spans="1:13" x14ac:dyDescent="0.45">
      <c r="A278" t="s">
        <v>2726</v>
      </c>
      <c r="B278" s="206">
        <v>219</v>
      </c>
      <c r="C278" t="s">
        <v>3164</v>
      </c>
      <c r="D278" s="206" t="s">
        <v>3165</v>
      </c>
      <c r="E278" s="206" t="str">
        <f t="shared" si="31"/>
        <v>01</v>
      </c>
      <c r="F278" t="str">
        <f t="shared" si="32"/>
        <v>Chi cục thuế Thành phố Vĩnh Yên</v>
      </c>
      <c r="H278" s="206"/>
      <c r="I278" s="206" t="str">
        <f t="shared" si="33"/>
        <v>21901</v>
      </c>
      <c r="J278" t="str">
        <f t="shared" si="34"/>
        <v/>
      </c>
      <c r="K278" t="str">
        <f>IF(J278="","",ROWS($K$70:K278))</f>
        <v/>
      </c>
      <c r="L278" t="str">
        <f>IFERROR(SMALL($K$70:$K$846,ROWS($L$70:L278)),"")</f>
        <v/>
      </c>
      <c r="M278" t="str" cm="1">
        <f t="array" ref="M278">IFERROR(INDEX($F$70:$F$846,L278,1),"")</f>
        <v/>
      </c>
    </row>
    <row r="279" spans="1:13" x14ac:dyDescent="0.45">
      <c r="A279" t="s">
        <v>2726</v>
      </c>
      <c r="B279" s="206">
        <v>219</v>
      </c>
      <c r="C279" t="s">
        <v>3166</v>
      </c>
      <c r="D279" s="206" t="s">
        <v>3167</v>
      </c>
      <c r="E279" s="206" t="str">
        <f t="shared" si="31"/>
        <v>02</v>
      </c>
      <c r="F279" t="str">
        <f t="shared" si="32"/>
        <v>Chi cục thuế Thị xã Phúc Yên</v>
      </c>
      <c r="H279" s="206"/>
      <c r="I279" s="206" t="str">
        <f t="shared" si="33"/>
        <v>21902</v>
      </c>
      <c r="J279" t="str">
        <f t="shared" si="34"/>
        <v/>
      </c>
      <c r="K279" t="str">
        <f>IF(J279="","",ROWS($K$70:K279))</f>
        <v/>
      </c>
      <c r="L279" t="str">
        <f>IFERROR(SMALL($K$70:$K$846,ROWS($L$70:L279)),"")</f>
        <v/>
      </c>
      <c r="M279" t="str" cm="1">
        <f t="array" ref="M279">IFERROR(INDEX($F$70:$F$846,L279,1),"")</f>
        <v/>
      </c>
    </row>
    <row r="280" spans="1:13" x14ac:dyDescent="0.45">
      <c r="A280" t="s">
        <v>2726</v>
      </c>
      <c r="B280" s="206">
        <v>219</v>
      </c>
      <c r="C280" t="s">
        <v>3168</v>
      </c>
      <c r="D280" s="206" t="s">
        <v>3169</v>
      </c>
      <c r="E280" s="206" t="str">
        <f t="shared" si="31"/>
        <v>03</v>
      </c>
      <c r="F280" t="str">
        <f t="shared" si="32"/>
        <v>Chi cục thuế Huyện Lập Thạch</v>
      </c>
      <c r="G280" t="str">
        <f t="shared" ref="G280:G286" si="36">RIGHT(C280,LEN(C280)-6)</f>
        <v>Lập Thạch</v>
      </c>
      <c r="H280" s="206"/>
      <c r="I280" s="206" t="str">
        <f t="shared" si="33"/>
        <v>21903</v>
      </c>
      <c r="J280" t="str">
        <f t="shared" si="34"/>
        <v/>
      </c>
      <c r="K280" t="str">
        <f>IF(J280="","",ROWS($K$70:K280))</f>
        <v/>
      </c>
      <c r="L280" t="str">
        <f>IFERROR(SMALL($K$70:$K$846,ROWS($L$70:L280)),"")</f>
        <v/>
      </c>
      <c r="M280" t="str" cm="1">
        <f t="array" ref="M280">IFERROR(INDEX($F$70:$F$846,L280,1),"")</f>
        <v/>
      </c>
    </row>
    <row r="281" spans="1:13" x14ac:dyDescent="0.45">
      <c r="A281" t="s">
        <v>2726</v>
      </c>
      <c r="B281" s="206">
        <v>219</v>
      </c>
      <c r="C281" t="s">
        <v>3170</v>
      </c>
      <c r="D281" s="206" t="s">
        <v>3171</v>
      </c>
      <c r="E281" s="206" t="str">
        <f t="shared" si="31"/>
        <v>04</v>
      </c>
      <c r="F281" t="str">
        <f t="shared" si="32"/>
        <v>Chi cục thuế Huyện Tam đảo</v>
      </c>
      <c r="G281" t="str">
        <f t="shared" si="36"/>
        <v>Tam đảo</v>
      </c>
      <c r="H281" s="206"/>
      <c r="I281" s="206" t="str">
        <f t="shared" si="33"/>
        <v>21904</v>
      </c>
      <c r="J281" t="str">
        <f t="shared" si="34"/>
        <v/>
      </c>
      <c r="K281" t="str">
        <f>IF(J281="","",ROWS($K$70:K281))</f>
        <v/>
      </c>
      <c r="L281" t="str">
        <f>IFERROR(SMALL($K$70:$K$846,ROWS($L$70:L281)),"")</f>
        <v/>
      </c>
      <c r="M281" t="str" cm="1">
        <f t="array" ref="M281">IFERROR(INDEX($F$70:$F$846,L281,1),"")</f>
        <v/>
      </c>
    </row>
    <row r="282" spans="1:13" x14ac:dyDescent="0.45">
      <c r="A282" t="s">
        <v>2726</v>
      </c>
      <c r="B282" s="206">
        <v>219</v>
      </c>
      <c r="C282" t="s">
        <v>3172</v>
      </c>
      <c r="D282" s="206" t="s">
        <v>3173</v>
      </c>
      <c r="E282" s="206" t="str">
        <f t="shared" si="31"/>
        <v>05</v>
      </c>
      <c r="F282" t="str">
        <f t="shared" si="32"/>
        <v>Chi cục thuế Huyện Tam Dương</v>
      </c>
      <c r="G282" t="str">
        <f t="shared" si="36"/>
        <v>Tam Dương</v>
      </c>
      <c r="H282" s="206"/>
      <c r="I282" s="206" t="str">
        <f t="shared" si="33"/>
        <v>21905</v>
      </c>
      <c r="J282" t="str">
        <f t="shared" si="34"/>
        <v/>
      </c>
      <c r="K282" t="str">
        <f>IF(J282="","",ROWS($K$70:K282))</f>
        <v/>
      </c>
      <c r="L282" t="str">
        <f>IFERROR(SMALL($K$70:$K$846,ROWS($L$70:L282)),"")</f>
        <v/>
      </c>
      <c r="M282" t="str" cm="1">
        <f t="array" ref="M282">IFERROR(INDEX($F$70:$F$846,L282,1),"")</f>
        <v/>
      </c>
    </row>
    <row r="283" spans="1:13" x14ac:dyDescent="0.45">
      <c r="A283" t="s">
        <v>2726</v>
      </c>
      <c r="B283" s="206">
        <v>219</v>
      </c>
      <c r="C283" t="s">
        <v>3174</v>
      </c>
      <c r="D283" s="206" t="s">
        <v>3175</v>
      </c>
      <c r="E283" s="206" t="str">
        <f t="shared" si="31"/>
        <v>07</v>
      </c>
      <c r="F283" t="str">
        <f t="shared" si="32"/>
        <v>Chi cục thuế Huyện Vĩnh Tường</v>
      </c>
      <c r="G283" t="str">
        <f t="shared" si="36"/>
        <v>Vĩnh Tường</v>
      </c>
      <c r="H283" s="206"/>
      <c r="I283" s="206" t="str">
        <f t="shared" si="33"/>
        <v>21907</v>
      </c>
      <c r="J283" t="str">
        <f t="shared" si="34"/>
        <v/>
      </c>
      <c r="K283" t="str">
        <f>IF(J283="","",ROWS($K$70:K283))</f>
        <v/>
      </c>
      <c r="L283" t="str">
        <f>IFERROR(SMALL($K$70:$K$846,ROWS($L$70:L283)),"")</f>
        <v/>
      </c>
      <c r="M283" t="str" cm="1">
        <f t="array" ref="M283">IFERROR(INDEX($F$70:$F$846,L283,1),"")</f>
        <v/>
      </c>
    </row>
    <row r="284" spans="1:13" x14ac:dyDescent="0.45">
      <c r="A284" t="s">
        <v>2726</v>
      </c>
      <c r="B284" s="206">
        <v>219</v>
      </c>
      <c r="C284" t="s">
        <v>3176</v>
      </c>
      <c r="D284" s="206" t="s">
        <v>3177</v>
      </c>
      <c r="E284" s="206" t="str">
        <f t="shared" si="31"/>
        <v>09</v>
      </c>
      <c r="F284" t="str">
        <f t="shared" si="32"/>
        <v>Chi cục thuế Huyện Yên Lạc</v>
      </c>
      <c r="G284" t="str">
        <f t="shared" si="36"/>
        <v>Yên Lạc</v>
      </c>
      <c r="H284" s="206"/>
      <c r="I284" s="206" t="str">
        <f t="shared" si="33"/>
        <v>21909</v>
      </c>
      <c r="J284" t="str">
        <f t="shared" si="34"/>
        <v/>
      </c>
      <c r="K284" t="str">
        <f>IF(J284="","",ROWS($K$70:K284))</f>
        <v/>
      </c>
      <c r="L284" t="str">
        <f>IFERROR(SMALL($K$70:$K$846,ROWS($L$70:L284)),"")</f>
        <v/>
      </c>
      <c r="M284" t="str" cm="1">
        <f t="array" ref="M284">IFERROR(INDEX($F$70:$F$846,L284,1),"")</f>
        <v/>
      </c>
    </row>
    <row r="285" spans="1:13" x14ac:dyDescent="0.45">
      <c r="A285" t="s">
        <v>2726</v>
      </c>
      <c r="B285" s="206">
        <v>219</v>
      </c>
      <c r="C285" t="s">
        <v>3178</v>
      </c>
      <c r="D285" s="206" t="s">
        <v>3179</v>
      </c>
      <c r="E285" s="206" t="str">
        <f t="shared" si="31"/>
        <v>13</v>
      </c>
      <c r="F285" t="str">
        <f t="shared" si="32"/>
        <v>Chi cục thuế Huyện Bình Xuyên</v>
      </c>
      <c r="G285" t="str">
        <f t="shared" si="36"/>
        <v>Bình Xuyên</v>
      </c>
      <c r="H285" s="206"/>
      <c r="I285" s="206" t="str">
        <f t="shared" si="33"/>
        <v>21913</v>
      </c>
      <c r="J285" t="str">
        <f t="shared" si="34"/>
        <v/>
      </c>
      <c r="K285" t="str">
        <f>IF(J285="","",ROWS($K$70:K285))</f>
        <v/>
      </c>
      <c r="L285" t="str">
        <f>IFERROR(SMALL($K$70:$K$846,ROWS($L$70:L285)),"")</f>
        <v/>
      </c>
      <c r="M285" t="str" cm="1">
        <f t="array" ref="M285">IFERROR(INDEX($F$70:$F$846,L285,1),"")</f>
        <v/>
      </c>
    </row>
    <row r="286" spans="1:13" x14ac:dyDescent="0.45">
      <c r="A286" t="s">
        <v>2726</v>
      </c>
      <c r="B286" s="206">
        <v>219</v>
      </c>
      <c r="C286" t="s">
        <v>3180</v>
      </c>
      <c r="D286" s="206" t="s">
        <v>3181</v>
      </c>
      <c r="E286" s="206" t="str">
        <f t="shared" si="31"/>
        <v>15</v>
      </c>
      <c r="F286" t="str">
        <f t="shared" si="32"/>
        <v>Chi cục thuế Huyện Sông Lô</v>
      </c>
      <c r="G286" t="str">
        <f t="shared" si="36"/>
        <v>Sông Lô</v>
      </c>
      <c r="H286" s="206"/>
      <c r="I286" s="206" t="str">
        <f t="shared" si="33"/>
        <v>21915</v>
      </c>
      <c r="J286" t="str">
        <f t="shared" si="34"/>
        <v/>
      </c>
      <c r="K286" t="str">
        <f>IF(J286="","",ROWS($K$70:K286))</f>
        <v/>
      </c>
      <c r="L286" t="str">
        <f>IFERROR(SMALL($K$70:$K$846,ROWS($L$70:L286)),"")</f>
        <v/>
      </c>
      <c r="M286" t="str" cm="1">
        <f t="array" ref="M286">IFERROR(INDEX($F$70:$F$846,L286,1),"")</f>
        <v/>
      </c>
    </row>
    <row r="287" spans="1:13" x14ac:dyDescent="0.45">
      <c r="A287" t="s">
        <v>2614</v>
      </c>
      <c r="B287" s="206" t="s">
        <v>3182</v>
      </c>
      <c r="C287" t="s">
        <v>3183</v>
      </c>
      <c r="D287" s="206" t="s">
        <v>3184</v>
      </c>
      <c r="E287" s="206" t="str">
        <f t="shared" si="31"/>
        <v>00</v>
      </c>
      <c r="F287" t="str">
        <f t="shared" si="32"/>
        <v>Cục thuế Tỉnh Bắc Giang</v>
      </c>
      <c r="H287" s="206" t="str">
        <f>IF(E288="01",A288,"")</f>
        <v>Bắc Giang</v>
      </c>
      <c r="I287" s="206" t="str">
        <f t="shared" si="33"/>
        <v>22100</v>
      </c>
      <c r="J287" t="str">
        <f t="shared" si="34"/>
        <v/>
      </c>
      <c r="K287" t="str">
        <f>IF(J287="","",ROWS($K$70:K287))</f>
        <v/>
      </c>
      <c r="L287" t="str">
        <f>IFERROR(SMALL($K$70:$K$846,ROWS($L$70:L287)),"")</f>
        <v/>
      </c>
      <c r="M287" t="str" cm="1">
        <f t="array" ref="M287">IFERROR(INDEX($F$70:$F$846,L287,1),"")</f>
        <v/>
      </c>
    </row>
    <row r="288" spans="1:13" x14ac:dyDescent="0.45">
      <c r="A288" t="s">
        <v>2614</v>
      </c>
      <c r="B288" s="206">
        <v>221</v>
      </c>
      <c r="C288" t="s">
        <v>3185</v>
      </c>
      <c r="D288" s="206" t="s">
        <v>3186</v>
      </c>
      <c r="E288" s="206" t="str">
        <f t="shared" si="31"/>
        <v>01</v>
      </c>
      <c r="F288" t="str">
        <f t="shared" si="32"/>
        <v>Chi cục thuế Thành phố Bắc Giang</v>
      </c>
      <c r="H288" s="206"/>
      <c r="I288" s="206" t="str">
        <f t="shared" si="33"/>
        <v>22101</v>
      </c>
      <c r="J288" t="str">
        <f t="shared" si="34"/>
        <v/>
      </c>
      <c r="K288" t="str">
        <f>IF(J288="","",ROWS($K$70:K288))</f>
        <v/>
      </c>
      <c r="L288" t="str">
        <f>IFERROR(SMALL($K$70:$K$846,ROWS($L$70:L288)),"")</f>
        <v/>
      </c>
      <c r="M288" t="str" cm="1">
        <f t="array" ref="M288">IFERROR(INDEX($F$70:$F$846,L288,1),"")</f>
        <v/>
      </c>
    </row>
    <row r="289" spans="1:13" x14ac:dyDescent="0.45">
      <c r="A289" t="s">
        <v>2614</v>
      </c>
      <c r="B289" s="206">
        <v>221</v>
      </c>
      <c r="C289" t="s">
        <v>3187</v>
      </c>
      <c r="D289" s="206" t="s">
        <v>3188</v>
      </c>
      <c r="E289" s="206" t="str">
        <f t="shared" si="31"/>
        <v>03</v>
      </c>
      <c r="F289" t="str">
        <f t="shared" si="32"/>
        <v>Chi cục thuế Huyện Yên Thế</v>
      </c>
      <c r="G289" t="str">
        <f t="shared" ref="G289:G297" si="37">RIGHT(C289,LEN(C289)-6)</f>
        <v>Yên Thế</v>
      </c>
      <c r="H289" s="206"/>
      <c r="I289" s="206" t="str">
        <f t="shared" si="33"/>
        <v>22103</v>
      </c>
      <c r="J289" t="str">
        <f t="shared" si="34"/>
        <v/>
      </c>
      <c r="K289" t="str">
        <f>IF(J289="","",ROWS($K$70:K289))</f>
        <v/>
      </c>
      <c r="L289" t="str">
        <f>IFERROR(SMALL($K$70:$K$846,ROWS($L$70:L289)),"")</f>
        <v/>
      </c>
      <c r="M289" t="str" cm="1">
        <f t="array" ref="M289">IFERROR(INDEX($F$70:$F$846,L289,1),"")</f>
        <v/>
      </c>
    </row>
    <row r="290" spans="1:13" x14ac:dyDescent="0.45">
      <c r="A290" t="s">
        <v>2614</v>
      </c>
      <c r="B290" s="206">
        <v>221</v>
      </c>
      <c r="C290" t="s">
        <v>3189</v>
      </c>
      <c r="D290" s="206" t="s">
        <v>3190</v>
      </c>
      <c r="E290" s="206" t="str">
        <f t="shared" si="31"/>
        <v>05</v>
      </c>
      <c r="F290" t="str">
        <f t="shared" si="32"/>
        <v>Chi cục thuế Huyện Tân Yên</v>
      </c>
      <c r="G290" t="str">
        <f t="shared" si="37"/>
        <v>Tân Yên</v>
      </c>
      <c r="H290" s="206"/>
      <c r="I290" s="206" t="str">
        <f t="shared" si="33"/>
        <v>22105</v>
      </c>
      <c r="J290" t="str">
        <f t="shared" si="34"/>
        <v/>
      </c>
      <c r="K290" t="str">
        <f>IF(J290="","",ROWS($K$70:K290))</f>
        <v/>
      </c>
      <c r="L290" t="str">
        <f>IFERROR(SMALL($K$70:$K$846,ROWS($L$70:L290)),"")</f>
        <v/>
      </c>
      <c r="M290" t="str" cm="1">
        <f t="array" ref="M290">IFERROR(INDEX($F$70:$F$846,L290,1),"")</f>
        <v/>
      </c>
    </row>
    <row r="291" spans="1:13" x14ac:dyDescent="0.45">
      <c r="A291" t="s">
        <v>2614</v>
      </c>
      <c r="B291" s="206">
        <v>221</v>
      </c>
      <c r="C291" t="s">
        <v>3191</v>
      </c>
      <c r="D291" s="206" t="s">
        <v>3192</v>
      </c>
      <c r="E291" s="206" t="str">
        <f t="shared" si="31"/>
        <v>07</v>
      </c>
      <c r="F291" t="str">
        <f t="shared" si="32"/>
        <v>Chi cục thuế Huyện Lục Ngạn</v>
      </c>
      <c r="G291" t="str">
        <f t="shared" si="37"/>
        <v>Lục Ngạn</v>
      </c>
      <c r="H291" s="206"/>
      <c r="I291" s="206" t="str">
        <f t="shared" si="33"/>
        <v>22107</v>
      </c>
      <c r="J291" t="str">
        <f t="shared" si="34"/>
        <v/>
      </c>
      <c r="K291" t="str">
        <f>IF(J291="","",ROWS($K$70:K291))</f>
        <v/>
      </c>
      <c r="L291" t="str">
        <f>IFERROR(SMALL($K$70:$K$846,ROWS($L$70:L291)),"")</f>
        <v/>
      </c>
      <c r="M291" t="str" cm="1">
        <f t="array" ref="M291">IFERROR(INDEX($F$70:$F$846,L291,1),"")</f>
        <v/>
      </c>
    </row>
    <row r="292" spans="1:13" x14ac:dyDescent="0.45">
      <c r="A292" t="s">
        <v>2614</v>
      </c>
      <c r="B292" s="206">
        <v>221</v>
      </c>
      <c r="C292" t="s">
        <v>3193</v>
      </c>
      <c r="D292" s="206" t="s">
        <v>3194</v>
      </c>
      <c r="E292" s="206" t="str">
        <f t="shared" si="31"/>
        <v>09</v>
      </c>
      <c r="F292" t="str">
        <f t="shared" si="32"/>
        <v>Chi cục thuế Huyện Hiệp Hòa</v>
      </c>
      <c r="G292" t="str">
        <f t="shared" si="37"/>
        <v>Hiệp Hòa</v>
      </c>
      <c r="H292" s="206"/>
      <c r="I292" s="206" t="str">
        <f t="shared" si="33"/>
        <v>22109</v>
      </c>
      <c r="J292" t="str">
        <f t="shared" si="34"/>
        <v/>
      </c>
      <c r="K292" t="str">
        <f>IF(J292="","",ROWS($K$70:K292))</f>
        <v/>
      </c>
      <c r="L292" t="str">
        <f>IFERROR(SMALL($K$70:$K$846,ROWS($L$70:L292)),"")</f>
        <v/>
      </c>
      <c r="M292" t="str" cm="1">
        <f t="array" ref="M292">IFERROR(INDEX($F$70:$F$846,L292,1),"")</f>
        <v/>
      </c>
    </row>
    <row r="293" spans="1:13" x14ac:dyDescent="0.45">
      <c r="A293" t="s">
        <v>2614</v>
      </c>
      <c r="B293" s="206">
        <v>221</v>
      </c>
      <c r="C293" t="s">
        <v>3195</v>
      </c>
      <c r="D293" s="206" t="s">
        <v>3196</v>
      </c>
      <c r="E293" s="206" t="str">
        <f t="shared" si="31"/>
        <v>11</v>
      </c>
      <c r="F293" t="str">
        <f t="shared" si="32"/>
        <v>Chi cục thuế Huyện Lạng Giang</v>
      </c>
      <c r="G293" t="str">
        <f t="shared" si="37"/>
        <v>Lạng Giang</v>
      </c>
      <c r="H293" s="206"/>
      <c r="I293" s="206" t="str">
        <f t="shared" si="33"/>
        <v>22111</v>
      </c>
      <c r="J293" t="str">
        <f t="shared" si="34"/>
        <v/>
      </c>
      <c r="K293" t="str">
        <f>IF(J293="","",ROWS($K$70:K293))</f>
        <v/>
      </c>
      <c r="L293" t="str">
        <f>IFERROR(SMALL($K$70:$K$846,ROWS($L$70:L293)),"")</f>
        <v/>
      </c>
      <c r="M293" t="str" cm="1">
        <f t="array" ref="M293">IFERROR(INDEX($F$70:$F$846,L293,1),"")</f>
        <v/>
      </c>
    </row>
    <row r="294" spans="1:13" x14ac:dyDescent="0.45">
      <c r="A294" t="s">
        <v>2614</v>
      </c>
      <c r="B294" s="206">
        <v>221</v>
      </c>
      <c r="C294" t="s">
        <v>3197</v>
      </c>
      <c r="D294" s="206" t="s">
        <v>3198</v>
      </c>
      <c r="E294" s="206" t="str">
        <f t="shared" si="31"/>
        <v>13</v>
      </c>
      <c r="F294" t="str">
        <f t="shared" si="32"/>
        <v>Chi cục thuế Huyện Sơn Động</v>
      </c>
      <c r="G294" t="str">
        <f t="shared" si="37"/>
        <v>Sơn Động</v>
      </c>
      <c r="H294" s="206"/>
      <c r="I294" s="206" t="str">
        <f t="shared" si="33"/>
        <v>22113</v>
      </c>
      <c r="J294" t="str">
        <f t="shared" si="34"/>
        <v/>
      </c>
      <c r="K294" t="str">
        <f>IF(J294="","",ROWS($K$70:K294))</f>
        <v/>
      </c>
      <c r="L294" t="str">
        <f>IFERROR(SMALL($K$70:$K$846,ROWS($L$70:L294)),"")</f>
        <v/>
      </c>
      <c r="M294" t="str" cm="1">
        <f t="array" ref="M294">IFERROR(INDEX($F$70:$F$846,L294,1),"")</f>
        <v/>
      </c>
    </row>
    <row r="295" spans="1:13" x14ac:dyDescent="0.45">
      <c r="A295" t="s">
        <v>2614</v>
      </c>
      <c r="B295" s="206">
        <v>221</v>
      </c>
      <c r="C295" t="s">
        <v>3199</v>
      </c>
      <c r="D295" s="206" t="s">
        <v>3200</v>
      </c>
      <c r="E295" s="206" t="str">
        <f t="shared" si="31"/>
        <v>15</v>
      </c>
      <c r="F295" t="str">
        <f t="shared" si="32"/>
        <v>Chi cục thuế Huyện Lục Nam</v>
      </c>
      <c r="G295" t="str">
        <f t="shared" si="37"/>
        <v>Lục Nam</v>
      </c>
      <c r="H295" s="206"/>
      <c r="I295" s="206" t="str">
        <f t="shared" si="33"/>
        <v>22115</v>
      </c>
      <c r="J295" t="str">
        <f t="shared" si="34"/>
        <v/>
      </c>
      <c r="K295" t="str">
        <f>IF(J295="","",ROWS($K$70:K295))</f>
        <v/>
      </c>
      <c r="L295" t="str">
        <f>IFERROR(SMALL($K$70:$K$846,ROWS($L$70:L295)),"")</f>
        <v/>
      </c>
      <c r="M295" t="str" cm="1">
        <f t="array" ref="M295">IFERROR(INDEX($F$70:$F$846,L295,1),"")</f>
        <v/>
      </c>
    </row>
    <row r="296" spans="1:13" x14ac:dyDescent="0.45">
      <c r="A296" t="s">
        <v>2614</v>
      </c>
      <c r="B296" s="206">
        <v>221</v>
      </c>
      <c r="C296" t="s">
        <v>3201</v>
      </c>
      <c r="D296" s="206" t="s">
        <v>3202</v>
      </c>
      <c r="E296" s="206" t="str">
        <f t="shared" si="31"/>
        <v>17</v>
      </c>
      <c r="F296" t="str">
        <f t="shared" si="32"/>
        <v>Chi cục thuế Huyện Việt Yên</v>
      </c>
      <c r="G296" t="str">
        <f t="shared" si="37"/>
        <v>Việt Yên</v>
      </c>
      <c r="H296" s="206"/>
      <c r="I296" s="206" t="str">
        <f t="shared" si="33"/>
        <v>22117</v>
      </c>
      <c r="J296" t="str">
        <f t="shared" si="34"/>
        <v/>
      </c>
      <c r="K296" t="str">
        <f>IF(J296="","",ROWS($K$70:K296))</f>
        <v/>
      </c>
      <c r="L296" t="str">
        <f>IFERROR(SMALL($K$70:$K$846,ROWS($L$70:L296)),"")</f>
        <v/>
      </c>
      <c r="M296" t="str" cm="1">
        <f t="array" ref="M296">IFERROR(INDEX($F$70:$F$846,L296,1),"")</f>
        <v/>
      </c>
    </row>
    <row r="297" spans="1:13" x14ac:dyDescent="0.45">
      <c r="A297" t="s">
        <v>2614</v>
      </c>
      <c r="B297" s="206">
        <v>221</v>
      </c>
      <c r="C297" t="s">
        <v>3203</v>
      </c>
      <c r="D297" s="206" t="s">
        <v>3204</v>
      </c>
      <c r="E297" s="206" t="str">
        <f t="shared" si="31"/>
        <v>19</v>
      </c>
      <c r="F297" t="str">
        <f t="shared" si="32"/>
        <v>Chi cục thuế Huyện Yên Dũng</v>
      </c>
      <c r="G297" t="str">
        <f t="shared" si="37"/>
        <v>Yên Dũng</v>
      </c>
      <c r="H297" s="206"/>
      <c r="I297" s="206" t="str">
        <f t="shared" si="33"/>
        <v>22119</v>
      </c>
      <c r="J297" t="str">
        <f t="shared" si="34"/>
        <v/>
      </c>
      <c r="K297" t="str">
        <f>IF(J297="","",ROWS($K$70:K297))</f>
        <v/>
      </c>
      <c r="L297" t="str">
        <f>IFERROR(SMALL($K$70:$K$846,ROWS($L$70:L297)),"")</f>
        <v/>
      </c>
      <c r="M297" t="str" cm="1">
        <f t="array" ref="M297">IFERROR(INDEX($F$70:$F$846,L297,1),"")</f>
        <v/>
      </c>
    </row>
    <row r="298" spans="1:13" x14ac:dyDescent="0.45">
      <c r="A298" t="s">
        <v>893</v>
      </c>
      <c r="B298" s="206" t="s">
        <v>3205</v>
      </c>
      <c r="C298" t="s">
        <v>3206</v>
      </c>
      <c r="D298" s="206" t="s">
        <v>3207</v>
      </c>
      <c r="E298" s="206" t="str">
        <f t="shared" si="31"/>
        <v>00</v>
      </c>
      <c r="F298" t="str">
        <f t="shared" si="32"/>
        <v>Cục thuế Tỉnh Bắc Ninh</v>
      </c>
      <c r="H298" s="206" t="str">
        <f>IF(E299="01",A299,"")</f>
        <v>Bắc Ninh</v>
      </c>
      <c r="I298" s="206" t="str">
        <f t="shared" si="33"/>
        <v>22300</v>
      </c>
      <c r="J298" t="str">
        <f t="shared" si="34"/>
        <v/>
      </c>
      <c r="K298" t="str">
        <f>IF(J298="","",ROWS($K$70:K298))</f>
        <v/>
      </c>
      <c r="L298" t="str">
        <f>IFERROR(SMALL($K$70:$K$846,ROWS($L$70:L298)),"")</f>
        <v/>
      </c>
      <c r="M298" t="str" cm="1">
        <f t="array" ref="M298">IFERROR(INDEX($F$70:$F$846,L298,1),"")</f>
        <v/>
      </c>
    </row>
    <row r="299" spans="1:13" x14ac:dyDescent="0.45">
      <c r="A299" t="s">
        <v>893</v>
      </c>
      <c r="B299" s="206">
        <v>223</v>
      </c>
      <c r="C299" t="s">
        <v>3208</v>
      </c>
      <c r="D299" s="206" t="s">
        <v>3209</v>
      </c>
      <c r="E299" s="206" t="str">
        <f t="shared" si="31"/>
        <v>01</v>
      </c>
      <c r="F299" t="str">
        <f t="shared" si="32"/>
        <v>Chi cục thuế Thành phố Bắc Ninh</v>
      </c>
      <c r="H299" s="206"/>
      <c r="I299" s="206" t="str">
        <f t="shared" si="33"/>
        <v>22301</v>
      </c>
      <c r="J299" t="str">
        <f t="shared" si="34"/>
        <v/>
      </c>
      <c r="K299" t="str">
        <f>IF(J299="","",ROWS($K$70:K299))</f>
        <v/>
      </c>
      <c r="L299" t="str">
        <f>IFERROR(SMALL($K$70:$K$846,ROWS($L$70:L299)),"")</f>
        <v/>
      </c>
      <c r="M299" t="str" cm="1">
        <f t="array" ref="M299">IFERROR(INDEX($F$70:$F$846,L299,1),"")</f>
        <v/>
      </c>
    </row>
    <row r="300" spans="1:13" x14ac:dyDescent="0.45">
      <c r="A300" t="s">
        <v>893</v>
      </c>
      <c r="B300" s="206">
        <v>223</v>
      </c>
      <c r="C300" t="s">
        <v>3210</v>
      </c>
      <c r="D300" s="206" t="s">
        <v>3211</v>
      </c>
      <c r="E300" s="206" t="str">
        <f t="shared" si="31"/>
        <v>03</v>
      </c>
      <c r="F300" t="str">
        <f t="shared" si="32"/>
        <v>Chi cục thuế Huyện Yên Phong</v>
      </c>
      <c r="G300" t="str">
        <f>RIGHT(C300,LEN(C300)-6)</f>
        <v>Yên Phong</v>
      </c>
      <c r="H300" s="206"/>
      <c r="I300" s="206" t="str">
        <f t="shared" si="33"/>
        <v>22303</v>
      </c>
      <c r="J300" t="str">
        <f t="shared" si="34"/>
        <v/>
      </c>
      <c r="K300" t="str">
        <f>IF(J300="","",ROWS($K$70:K300))</f>
        <v/>
      </c>
      <c r="L300" t="str">
        <f>IFERROR(SMALL($K$70:$K$846,ROWS($L$70:L300)),"")</f>
        <v/>
      </c>
      <c r="M300" t="str" cm="1">
        <f t="array" ref="M300">IFERROR(INDEX($F$70:$F$846,L300,1),"")</f>
        <v/>
      </c>
    </row>
    <row r="301" spans="1:13" x14ac:dyDescent="0.45">
      <c r="A301" t="s">
        <v>893</v>
      </c>
      <c r="B301" s="206">
        <v>223</v>
      </c>
      <c r="C301" t="s">
        <v>3212</v>
      </c>
      <c r="D301" s="206" t="s">
        <v>3213</v>
      </c>
      <c r="E301" s="206" t="str">
        <f t="shared" si="31"/>
        <v>05</v>
      </c>
      <c r="F301" t="str">
        <f t="shared" si="32"/>
        <v>Chi cục thuế Huyện Quế Võ</v>
      </c>
      <c r="G301" t="str">
        <f>RIGHT(C301,LEN(C301)-6)</f>
        <v>Quế Võ</v>
      </c>
      <c r="H301" s="206"/>
      <c r="I301" s="206" t="str">
        <f t="shared" si="33"/>
        <v>22305</v>
      </c>
      <c r="J301" t="str">
        <f t="shared" si="34"/>
        <v/>
      </c>
      <c r="K301" t="str">
        <f>IF(J301="","",ROWS($K$70:K301))</f>
        <v/>
      </c>
      <c r="L301" t="str">
        <f>IFERROR(SMALL($K$70:$K$846,ROWS($L$70:L301)),"")</f>
        <v/>
      </c>
      <c r="M301" t="str" cm="1">
        <f t="array" ref="M301">IFERROR(INDEX($F$70:$F$846,L301,1),"")</f>
        <v/>
      </c>
    </row>
    <row r="302" spans="1:13" x14ac:dyDescent="0.45">
      <c r="A302" t="s">
        <v>893</v>
      </c>
      <c r="B302" s="206">
        <v>223</v>
      </c>
      <c r="C302" t="s">
        <v>3214</v>
      </c>
      <c r="D302" s="206" t="s">
        <v>3215</v>
      </c>
      <c r="E302" s="206" t="str">
        <f t="shared" si="31"/>
        <v>07</v>
      </c>
      <c r="F302" t="str">
        <f t="shared" si="32"/>
        <v>Chi cục thuế Huyện Tiên Du</v>
      </c>
      <c r="G302" t="str">
        <f>RIGHT(C302,LEN(C302)-6)</f>
        <v>Tiên Du</v>
      </c>
      <c r="H302" s="206"/>
      <c r="I302" s="206" t="str">
        <f t="shared" si="33"/>
        <v>22307</v>
      </c>
      <c r="J302" t="str">
        <f t="shared" si="34"/>
        <v/>
      </c>
      <c r="K302" t="str">
        <f>IF(J302="","",ROWS($K$70:K302))</f>
        <v/>
      </c>
      <c r="L302" t="str">
        <f>IFERROR(SMALL($K$70:$K$846,ROWS($L$70:L302)),"")</f>
        <v/>
      </c>
      <c r="M302" t="str" cm="1">
        <f t="array" ref="M302">IFERROR(INDEX($F$70:$F$846,L302,1),"")</f>
        <v/>
      </c>
    </row>
    <row r="303" spans="1:13" x14ac:dyDescent="0.45">
      <c r="A303" t="s">
        <v>893</v>
      </c>
      <c r="B303" s="206">
        <v>223</v>
      </c>
      <c r="C303" t="s">
        <v>3216</v>
      </c>
      <c r="D303" s="206" t="s">
        <v>3217</v>
      </c>
      <c r="E303" s="206" t="str">
        <f t="shared" si="31"/>
        <v>09</v>
      </c>
      <c r="F303" t="str">
        <f t="shared" si="32"/>
        <v>Chi cục thuế Huyện Thuận Thành</v>
      </c>
      <c r="G303" t="str">
        <f>RIGHT(C303,LEN(C303)-6)</f>
        <v>Thuận Thành</v>
      </c>
      <c r="H303" s="206"/>
      <c r="I303" s="206" t="str">
        <f t="shared" si="33"/>
        <v>22309</v>
      </c>
      <c r="J303" t="str">
        <f t="shared" si="34"/>
        <v/>
      </c>
      <c r="K303" t="str">
        <f>IF(J303="","",ROWS($K$70:K303))</f>
        <v/>
      </c>
      <c r="L303" t="str">
        <f>IFERROR(SMALL($K$70:$K$846,ROWS($L$70:L303)),"")</f>
        <v/>
      </c>
      <c r="M303" t="str" cm="1">
        <f t="array" ref="M303">IFERROR(INDEX($F$70:$F$846,L303,1),"")</f>
        <v/>
      </c>
    </row>
    <row r="304" spans="1:13" x14ac:dyDescent="0.45">
      <c r="A304" t="s">
        <v>893</v>
      </c>
      <c r="B304" s="206">
        <v>223</v>
      </c>
      <c r="C304" t="s">
        <v>3218</v>
      </c>
      <c r="D304" s="206" t="s">
        <v>3219</v>
      </c>
      <c r="E304" s="206" t="str">
        <f t="shared" si="31"/>
        <v>11</v>
      </c>
      <c r="F304" t="str">
        <f t="shared" si="32"/>
        <v>Chi cục thuế Huyện Lương Tài</v>
      </c>
      <c r="G304" t="str">
        <f>RIGHT(C304,LEN(C304)-6)</f>
        <v>Lương Tài</v>
      </c>
      <c r="H304" s="206"/>
      <c r="I304" s="206" t="str">
        <f t="shared" si="33"/>
        <v>22311</v>
      </c>
      <c r="J304" t="str">
        <f t="shared" si="34"/>
        <v/>
      </c>
      <c r="K304" t="str">
        <f>IF(J304="","",ROWS($K$70:K304))</f>
        <v/>
      </c>
      <c r="L304" t="str">
        <f>IFERROR(SMALL($K$70:$K$846,ROWS($L$70:L304)),"")</f>
        <v/>
      </c>
      <c r="M304" t="str" cm="1">
        <f t="array" ref="M304">IFERROR(INDEX($F$70:$F$846,L304,1),"")</f>
        <v/>
      </c>
    </row>
    <row r="305" spans="1:13" x14ac:dyDescent="0.45">
      <c r="A305" t="s">
        <v>893</v>
      </c>
      <c r="B305" s="206">
        <v>223</v>
      </c>
      <c r="C305" t="s">
        <v>3220</v>
      </c>
      <c r="D305" s="206" t="s">
        <v>3221</v>
      </c>
      <c r="E305" s="206" t="str">
        <f t="shared" si="31"/>
        <v>13</v>
      </c>
      <c r="F305" t="str">
        <f t="shared" si="32"/>
        <v>Chi cục thuế Thị xã Từ Sơn</v>
      </c>
      <c r="H305" s="206"/>
      <c r="I305" s="206" t="str">
        <f t="shared" si="33"/>
        <v>22313</v>
      </c>
      <c r="J305" t="str">
        <f t="shared" si="34"/>
        <v/>
      </c>
      <c r="K305" t="str">
        <f>IF(J305="","",ROWS($K$70:K305))</f>
        <v/>
      </c>
      <c r="L305" t="str">
        <f>IFERROR(SMALL($K$70:$K$846,ROWS($L$70:L305)),"")</f>
        <v/>
      </c>
      <c r="M305" t="str" cm="1">
        <f t="array" ref="M305">IFERROR(INDEX($F$70:$F$846,L305,1),"")</f>
        <v/>
      </c>
    </row>
    <row r="306" spans="1:13" x14ac:dyDescent="0.45">
      <c r="A306" t="s">
        <v>893</v>
      </c>
      <c r="B306" s="206">
        <v>223</v>
      </c>
      <c r="C306" t="s">
        <v>3222</v>
      </c>
      <c r="D306" s="206" t="s">
        <v>3223</v>
      </c>
      <c r="E306" s="206" t="str">
        <f t="shared" si="31"/>
        <v>15</v>
      </c>
      <c r="F306" t="str">
        <f t="shared" si="32"/>
        <v>Chi cục thuế Huyện Gia Bình</v>
      </c>
      <c r="G306" t="str">
        <f>RIGHT(C306,LEN(C306)-6)</f>
        <v>Gia Bình</v>
      </c>
      <c r="H306" s="206"/>
      <c r="I306" s="206" t="str">
        <f t="shared" si="33"/>
        <v>22315</v>
      </c>
      <c r="J306" t="str">
        <f t="shared" si="34"/>
        <v/>
      </c>
      <c r="K306" t="str">
        <f>IF(J306="","",ROWS($K$70:K306))</f>
        <v/>
      </c>
      <c r="L306" t="str">
        <f>IFERROR(SMALL($K$70:$K$846,ROWS($L$70:L306)),"")</f>
        <v/>
      </c>
      <c r="M306" t="str" cm="1">
        <f t="array" ref="M306">IFERROR(INDEX($F$70:$F$846,L306,1),"")</f>
        <v/>
      </c>
    </row>
    <row r="307" spans="1:13" x14ac:dyDescent="0.45">
      <c r="A307" t="s">
        <v>2698</v>
      </c>
      <c r="B307" s="206" t="s">
        <v>3224</v>
      </c>
      <c r="C307" t="s">
        <v>3225</v>
      </c>
      <c r="D307" s="206" t="s">
        <v>3226</v>
      </c>
      <c r="E307" s="206" t="str">
        <f t="shared" si="31"/>
        <v>00</v>
      </c>
      <c r="F307" t="str">
        <f t="shared" si="32"/>
        <v>Cục thuế Tỉnh Quảng Ninh</v>
      </c>
      <c r="H307" s="206" t="str">
        <f>IF(E308="01",A308,"")</f>
        <v>Quảng Ninh</v>
      </c>
      <c r="I307" s="206" t="str">
        <f t="shared" si="33"/>
        <v>22500</v>
      </c>
      <c r="J307" t="str">
        <f t="shared" si="34"/>
        <v/>
      </c>
      <c r="K307" t="str">
        <f>IF(J307="","",ROWS($K$70:K307))</f>
        <v/>
      </c>
      <c r="L307" t="str">
        <f>IFERROR(SMALL($K$70:$K$846,ROWS($L$70:L307)),"")</f>
        <v/>
      </c>
      <c r="M307" t="str" cm="1">
        <f t="array" ref="M307">IFERROR(INDEX($F$70:$F$846,L307,1),"")</f>
        <v/>
      </c>
    </row>
    <row r="308" spans="1:13" x14ac:dyDescent="0.45">
      <c r="A308" t="s">
        <v>2698</v>
      </c>
      <c r="B308" s="206">
        <v>225</v>
      </c>
      <c r="C308" t="s">
        <v>3227</v>
      </c>
      <c r="D308" s="206" t="s">
        <v>3228</v>
      </c>
      <c r="E308" s="206" t="str">
        <f t="shared" si="31"/>
        <v>01</v>
      </c>
      <c r="F308" t="str">
        <f t="shared" si="32"/>
        <v>Chi cục thuế Thành phố Hạ Long</v>
      </c>
      <c r="H308" s="206"/>
      <c r="I308" s="206" t="str">
        <f t="shared" si="33"/>
        <v>22501</v>
      </c>
      <c r="J308" t="str">
        <f t="shared" si="34"/>
        <v/>
      </c>
      <c r="K308" t="str">
        <f>IF(J308="","",ROWS($K$70:K308))</f>
        <v/>
      </c>
      <c r="L308" t="str">
        <f>IFERROR(SMALL($K$70:$K$846,ROWS($L$70:L308)),"")</f>
        <v/>
      </c>
      <c r="M308" t="str" cm="1">
        <f t="array" ref="M308">IFERROR(INDEX($F$70:$F$846,L308,1),"")</f>
        <v/>
      </c>
    </row>
    <row r="309" spans="1:13" x14ac:dyDescent="0.45">
      <c r="A309" t="s">
        <v>2698</v>
      </c>
      <c r="B309" s="206">
        <v>225</v>
      </c>
      <c r="C309" t="s">
        <v>3229</v>
      </c>
      <c r="D309" s="206" t="s">
        <v>3230</v>
      </c>
      <c r="E309" s="206" t="str">
        <f t="shared" si="31"/>
        <v>03</v>
      </c>
      <c r="F309" t="str">
        <f t="shared" si="32"/>
        <v>Chi cục thuế Thành phố Cẩm Phả</v>
      </c>
      <c r="H309" s="206"/>
      <c r="I309" s="206" t="str">
        <f t="shared" si="33"/>
        <v>22503</v>
      </c>
      <c r="J309" t="str">
        <f t="shared" si="34"/>
        <v/>
      </c>
      <c r="K309" t="str">
        <f>IF(J309="","",ROWS($K$70:K309))</f>
        <v/>
      </c>
      <c r="L309" t="str">
        <f>IFERROR(SMALL($K$70:$K$846,ROWS($L$70:L309)),"")</f>
        <v/>
      </c>
      <c r="M309" t="str" cm="1">
        <f t="array" ref="M309">IFERROR(INDEX($F$70:$F$846,L309,1),"")</f>
        <v/>
      </c>
    </row>
    <row r="310" spans="1:13" x14ac:dyDescent="0.45">
      <c r="A310" t="s">
        <v>2698</v>
      </c>
      <c r="B310" s="206">
        <v>225</v>
      </c>
      <c r="C310" t="s">
        <v>3231</v>
      </c>
      <c r="D310" s="206" t="s">
        <v>3232</v>
      </c>
      <c r="E310" s="206" t="str">
        <f t="shared" si="31"/>
        <v>05</v>
      </c>
      <c r="F310" t="str">
        <f t="shared" si="32"/>
        <v>Chi cục thuế Thành phố Uông Bí</v>
      </c>
      <c r="H310" s="206"/>
      <c r="I310" s="206" t="str">
        <f t="shared" si="33"/>
        <v>22505</v>
      </c>
      <c r="J310" t="str">
        <f t="shared" si="34"/>
        <v/>
      </c>
      <c r="K310" t="str">
        <f>IF(J310="","",ROWS($K$70:K310))</f>
        <v/>
      </c>
      <c r="L310" t="str">
        <f>IFERROR(SMALL($K$70:$K$846,ROWS($L$70:L310)),"")</f>
        <v/>
      </c>
      <c r="M310" t="str" cm="1">
        <f t="array" ref="M310">IFERROR(INDEX($F$70:$F$846,L310,1),"")</f>
        <v/>
      </c>
    </row>
    <row r="311" spans="1:13" x14ac:dyDescent="0.45">
      <c r="A311" t="s">
        <v>2698</v>
      </c>
      <c r="B311" s="206">
        <v>225</v>
      </c>
      <c r="C311" t="s">
        <v>3233</v>
      </c>
      <c r="D311" s="206" t="s">
        <v>3234</v>
      </c>
      <c r="E311" s="206" t="str">
        <f t="shared" si="31"/>
        <v>07</v>
      </c>
      <c r="F311" t="str">
        <f t="shared" si="32"/>
        <v>Chi cục thuế Huyện Bình Liêu</v>
      </c>
      <c r="G311" t="str">
        <f>RIGHT(C311,LEN(C311)-6)</f>
        <v>Bình Liêu</v>
      </c>
      <c r="H311" s="206"/>
      <c r="I311" s="206" t="str">
        <f t="shared" si="33"/>
        <v>22507</v>
      </c>
      <c r="J311" t="str">
        <f t="shared" si="34"/>
        <v/>
      </c>
      <c r="K311" t="str">
        <f>IF(J311="","",ROWS($K$70:K311))</f>
        <v/>
      </c>
      <c r="L311" t="str">
        <f>IFERROR(SMALL($K$70:$K$846,ROWS($L$70:L311)),"")</f>
        <v/>
      </c>
      <c r="M311" t="str" cm="1">
        <f t="array" ref="M311">IFERROR(INDEX($F$70:$F$846,L311,1),"")</f>
        <v/>
      </c>
    </row>
    <row r="312" spans="1:13" x14ac:dyDescent="0.45">
      <c r="A312" t="s">
        <v>2698</v>
      </c>
      <c r="B312" s="206">
        <v>225</v>
      </c>
      <c r="C312" t="s">
        <v>3235</v>
      </c>
      <c r="D312" s="206" t="s">
        <v>3236</v>
      </c>
      <c r="E312" s="206" t="str">
        <f t="shared" si="31"/>
        <v>09</v>
      </c>
      <c r="F312" t="str">
        <f t="shared" si="32"/>
        <v>Chi cục thuế Thành phố Móng cái</v>
      </c>
      <c r="H312" s="206"/>
      <c r="I312" s="206" t="str">
        <f t="shared" si="33"/>
        <v>22509</v>
      </c>
      <c r="J312" t="str">
        <f t="shared" si="34"/>
        <v/>
      </c>
      <c r="K312" t="str">
        <f>IF(J312="","",ROWS($K$70:K312))</f>
        <v/>
      </c>
      <c r="L312" t="str">
        <f>IFERROR(SMALL($K$70:$K$846,ROWS($L$70:L312)),"")</f>
        <v/>
      </c>
      <c r="M312" t="str" cm="1">
        <f t="array" ref="M312">IFERROR(INDEX($F$70:$F$846,L312,1),"")</f>
        <v/>
      </c>
    </row>
    <row r="313" spans="1:13" x14ac:dyDescent="0.45">
      <c r="A313" t="s">
        <v>2698</v>
      </c>
      <c r="B313" s="206">
        <v>225</v>
      </c>
      <c r="C313" t="s">
        <v>3237</v>
      </c>
      <c r="D313" s="206" t="s">
        <v>3238</v>
      </c>
      <c r="E313" s="206" t="str">
        <f t="shared" si="31"/>
        <v>11</v>
      </c>
      <c r="F313" t="str">
        <f t="shared" si="32"/>
        <v>Chi cục thuế Huyện Hải Hà</v>
      </c>
      <c r="G313" t="str">
        <f t="shared" ref="G313:G319" si="38">RIGHT(C313,LEN(C313)-6)</f>
        <v>Hải Hà</v>
      </c>
      <c r="H313" s="206"/>
      <c r="I313" s="206" t="str">
        <f t="shared" si="33"/>
        <v>22511</v>
      </c>
      <c r="J313" t="str">
        <f t="shared" si="34"/>
        <v/>
      </c>
      <c r="K313" t="str">
        <f>IF(J313="","",ROWS($K$70:K313))</f>
        <v/>
      </c>
      <c r="L313" t="str">
        <f>IFERROR(SMALL($K$70:$K$846,ROWS($L$70:L313)),"")</f>
        <v/>
      </c>
      <c r="M313" t="str" cm="1">
        <f t="array" ref="M313">IFERROR(INDEX($F$70:$F$846,L313,1),"")</f>
        <v/>
      </c>
    </row>
    <row r="314" spans="1:13" x14ac:dyDescent="0.45">
      <c r="A314" t="s">
        <v>2698</v>
      </c>
      <c r="B314" s="206">
        <v>225</v>
      </c>
      <c r="C314" t="s">
        <v>3239</v>
      </c>
      <c r="D314" s="206" t="s">
        <v>3240</v>
      </c>
      <c r="E314" s="206" t="str">
        <f t="shared" si="31"/>
        <v>13</v>
      </c>
      <c r="F314" t="str">
        <f t="shared" si="32"/>
        <v>Chi cục thuế Huyện Tiên Yên</v>
      </c>
      <c r="G314" t="str">
        <f t="shared" si="38"/>
        <v>Tiên Yên</v>
      </c>
      <c r="H314" s="206"/>
      <c r="I314" s="206" t="str">
        <f t="shared" si="33"/>
        <v>22513</v>
      </c>
      <c r="J314" t="str">
        <f t="shared" si="34"/>
        <v/>
      </c>
      <c r="K314" t="str">
        <f>IF(J314="","",ROWS($K$70:K314))</f>
        <v/>
      </c>
      <c r="L314" t="str">
        <f>IFERROR(SMALL($K$70:$K$846,ROWS($L$70:L314)),"")</f>
        <v/>
      </c>
      <c r="M314" t="str" cm="1">
        <f t="array" ref="M314">IFERROR(INDEX($F$70:$F$846,L314,1),"")</f>
        <v/>
      </c>
    </row>
    <row r="315" spans="1:13" x14ac:dyDescent="0.45">
      <c r="A315" t="s">
        <v>2698</v>
      </c>
      <c r="B315" s="206">
        <v>225</v>
      </c>
      <c r="C315" t="s">
        <v>3241</v>
      </c>
      <c r="D315" s="206" t="s">
        <v>3242</v>
      </c>
      <c r="E315" s="206" t="str">
        <f t="shared" si="31"/>
        <v>15</v>
      </c>
      <c r="F315" t="str">
        <f t="shared" si="32"/>
        <v>Chi cục thuế Huyện Ba Chẽ</v>
      </c>
      <c r="G315" t="str">
        <f t="shared" si="38"/>
        <v>Ba Chẽ</v>
      </c>
      <c r="H315" s="206"/>
      <c r="I315" s="206" t="str">
        <f t="shared" si="33"/>
        <v>22515</v>
      </c>
      <c r="J315" t="str">
        <f t="shared" si="34"/>
        <v/>
      </c>
      <c r="K315" t="str">
        <f>IF(J315="","",ROWS($K$70:K315))</f>
        <v/>
      </c>
      <c r="L315" t="str">
        <f>IFERROR(SMALL($K$70:$K$846,ROWS($L$70:L315)),"")</f>
        <v/>
      </c>
      <c r="M315" t="str" cm="1">
        <f t="array" ref="M315">IFERROR(INDEX($F$70:$F$846,L315,1),"")</f>
        <v/>
      </c>
    </row>
    <row r="316" spans="1:13" x14ac:dyDescent="0.45">
      <c r="A316" t="s">
        <v>2698</v>
      </c>
      <c r="B316" s="206">
        <v>225</v>
      </c>
      <c r="C316" t="s">
        <v>3243</v>
      </c>
      <c r="D316" s="206" t="s">
        <v>3244</v>
      </c>
      <c r="E316" s="206" t="str">
        <f t="shared" si="31"/>
        <v>17</v>
      </c>
      <c r="F316" t="str">
        <f t="shared" si="32"/>
        <v>Chi cục thuế Huyện Vân Đồn</v>
      </c>
      <c r="G316" t="str">
        <f t="shared" si="38"/>
        <v>Vân Đồn</v>
      </c>
      <c r="H316" s="206"/>
      <c r="I316" s="206" t="str">
        <f t="shared" si="33"/>
        <v>22517</v>
      </c>
      <c r="J316" t="str">
        <f t="shared" si="34"/>
        <v/>
      </c>
      <c r="K316" t="str">
        <f>IF(J316="","",ROWS($K$70:K316))</f>
        <v/>
      </c>
      <c r="L316" t="str">
        <f>IFERROR(SMALL($K$70:$K$846,ROWS($L$70:L316)),"")</f>
        <v/>
      </c>
      <c r="M316" t="str" cm="1">
        <f t="array" ref="M316">IFERROR(INDEX($F$70:$F$846,L316,1),"")</f>
        <v/>
      </c>
    </row>
    <row r="317" spans="1:13" x14ac:dyDescent="0.45">
      <c r="A317" t="s">
        <v>2698</v>
      </c>
      <c r="B317" s="206">
        <v>225</v>
      </c>
      <c r="C317" t="s">
        <v>3245</v>
      </c>
      <c r="D317" s="206" t="s">
        <v>3246</v>
      </c>
      <c r="E317" s="206" t="str">
        <f t="shared" si="31"/>
        <v>19</v>
      </c>
      <c r="F317" t="str">
        <f t="shared" si="32"/>
        <v>Chi cục thuế Huyện Hoành Bồ</v>
      </c>
      <c r="G317" t="str">
        <f t="shared" si="38"/>
        <v>Hoành Bồ</v>
      </c>
      <c r="H317" s="206"/>
      <c r="I317" s="206" t="str">
        <f t="shared" si="33"/>
        <v>22519</v>
      </c>
      <c r="J317" t="str">
        <f t="shared" si="34"/>
        <v/>
      </c>
      <c r="K317" t="str">
        <f>IF(J317="","",ROWS($K$70:K317))</f>
        <v/>
      </c>
      <c r="L317" t="str">
        <f>IFERROR(SMALL($K$70:$K$846,ROWS($L$70:L317)),"")</f>
        <v/>
      </c>
      <c r="M317" t="str" cm="1">
        <f t="array" ref="M317">IFERROR(INDEX($F$70:$F$846,L317,1),"")</f>
        <v/>
      </c>
    </row>
    <row r="318" spans="1:13" x14ac:dyDescent="0.45">
      <c r="A318" t="s">
        <v>2698</v>
      </c>
      <c r="B318" s="206">
        <v>225</v>
      </c>
      <c r="C318" t="s">
        <v>3247</v>
      </c>
      <c r="D318" s="206" t="s">
        <v>3248</v>
      </c>
      <c r="E318" s="206" t="str">
        <f t="shared" si="31"/>
        <v>21</v>
      </c>
      <c r="F318" t="str">
        <f t="shared" si="32"/>
        <v>Chi cục thuế Huyện Đông Triều</v>
      </c>
      <c r="G318" t="str">
        <f t="shared" si="38"/>
        <v>Đông Triều</v>
      </c>
      <c r="H318" s="206"/>
      <c r="I318" s="206" t="str">
        <f t="shared" si="33"/>
        <v>22521</v>
      </c>
      <c r="J318" t="str">
        <f t="shared" si="34"/>
        <v/>
      </c>
      <c r="K318" t="str">
        <f>IF(J318="","",ROWS($K$70:K318))</f>
        <v/>
      </c>
      <c r="L318" t="str">
        <f>IFERROR(SMALL($K$70:$K$846,ROWS($L$70:L318)),"")</f>
        <v/>
      </c>
      <c r="M318" t="str" cm="1">
        <f t="array" ref="M318">IFERROR(INDEX($F$70:$F$846,L318,1),"")</f>
        <v/>
      </c>
    </row>
    <row r="319" spans="1:13" x14ac:dyDescent="0.45">
      <c r="A319" t="s">
        <v>2698</v>
      </c>
      <c r="B319" s="206">
        <v>225</v>
      </c>
      <c r="C319" t="s">
        <v>3249</v>
      </c>
      <c r="D319" s="206" t="s">
        <v>3250</v>
      </c>
      <c r="E319" s="206" t="str">
        <f t="shared" si="31"/>
        <v>23</v>
      </c>
      <c r="F319" t="str">
        <f t="shared" si="32"/>
        <v>Chi cục thuế Huyện Cô Tô</v>
      </c>
      <c r="G319" t="str">
        <f t="shared" si="38"/>
        <v>Cô Tô</v>
      </c>
      <c r="H319" s="206"/>
      <c r="I319" s="206" t="str">
        <f t="shared" si="33"/>
        <v>22523</v>
      </c>
      <c r="J319" t="str">
        <f t="shared" si="34"/>
        <v/>
      </c>
      <c r="K319" t="str">
        <f>IF(J319="","",ROWS($K$70:K319))</f>
        <v/>
      </c>
      <c r="L319" t="str">
        <f>IFERROR(SMALL($K$70:$K$846,ROWS($L$70:L319)),"")</f>
        <v/>
      </c>
      <c r="M319" t="str" cm="1">
        <f t="array" ref="M319">IFERROR(INDEX($F$70:$F$846,L319,1),"")</f>
        <v/>
      </c>
    </row>
    <row r="320" spans="1:13" x14ac:dyDescent="0.45">
      <c r="A320" t="s">
        <v>2698</v>
      </c>
      <c r="B320" s="206">
        <v>225</v>
      </c>
      <c r="C320" t="s">
        <v>3251</v>
      </c>
      <c r="D320" s="206" t="s">
        <v>3252</v>
      </c>
      <c r="E320" s="206" t="str">
        <f t="shared" si="31"/>
        <v>25</v>
      </c>
      <c r="F320" t="str">
        <f t="shared" si="32"/>
        <v>Chi cục thuế Thị xã Quảng Yên</v>
      </c>
      <c r="H320" s="206"/>
      <c r="I320" s="206" t="str">
        <f t="shared" si="33"/>
        <v>22525</v>
      </c>
      <c r="J320" t="str">
        <f t="shared" si="34"/>
        <v/>
      </c>
      <c r="K320" t="str">
        <f>IF(J320="","",ROWS($K$70:K320))</f>
        <v/>
      </c>
      <c r="L320" t="str">
        <f>IFERROR(SMALL($K$70:$K$846,ROWS($L$70:L320)),"")</f>
        <v/>
      </c>
      <c r="M320" t="str" cm="1">
        <f t="array" ref="M320">IFERROR(INDEX($F$70:$F$846,L320,1),"")</f>
        <v/>
      </c>
    </row>
    <row r="321" spans="1:13" x14ac:dyDescent="0.45">
      <c r="A321" t="s">
        <v>2698</v>
      </c>
      <c r="B321" s="206">
        <v>225</v>
      </c>
      <c r="C321" t="s">
        <v>3253</v>
      </c>
      <c r="D321" s="206" t="s">
        <v>3254</v>
      </c>
      <c r="E321" s="206" t="str">
        <f t="shared" si="31"/>
        <v>27</v>
      </c>
      <c r="F321" t="str">
        <f t="shared" si="32"/>
        <v>Chi cục thuế Huyện Đầm Hà</v>
      </c>
      <c r="G321" t="str">
        <f>RIGHT(C321,LEN(C321)-6)</f>
        <v>Đầm Hà</v>
      </c>
      <c r="H321" s="206"/>
      <c r="I321" s="206" t="str">
        <f t="shared" si="33"/>
        <v>22527</v>
      </c>
      <c r="J321" t="str">
        <f t="shared" si="34"/>
        <v/>
      </c>
      <c r="K321" t="str">
        <f>IF(J321="","",ROWS($K$70:K321))</f>
        <v/>
      </c>
      <c r="L321" t="str">
        <f>IFERROR(SMALL($K$70:$K$846,ROWS($L$70:L321)),"")</f>
        <v/>
      </c>
      <c r="M321" t="str" cm="1">
        <f t="array" ref="M321">IFERROR(INDEX($F$70:$F$846,L321,1),"")</f>
        <v/>
      </c>
    </row>
    <row r="322" spans="1:13" x14ac:dyDescent="0.45">
      <c r="A322" t="s">
        <v>403</v>
      </c>
      <c r="B322" s="206" t="s">
        <v>3255</v>
      </c>
      <c r="C322" t="s">
        <v>3256</v>
      </c>
      <c r="D322" s="206" t="s">
        <v>3257</v>
      </c>
      <c r="E322" s="206" t="str">
        <f t="shared" si="31"/>
        <v>00</v>
      </c>
      <c r="F322" t="str">
        <f t="shared" si="32"/>
        <v>Cục thuế Tỉnh Điện Biên</v>
      </c>
      <c r="H322" s="206" t="str">
        <f>IF(E323="01",A323,"")</f>
        <v>Điện Biên</v>
      </c>
      <c r="I322" s="206" t="str">
        <f t="shared" si="33"/>
        <v>30100</v>
      </c>
      <c r="J322" t="str">
        <f t="shared" si="34"/>
        <v/>
      </c>
      <c r="K322" t="str">
        <f>IF(J322="","",ROWS($K$70:K322))</f>
        <v/>
      </c>
      <c r="L322" t="str">
        <f>IFERROR(SMALL($K$70:$K$846,ROWS($L$70:L322)),"")</f>
        <v/>
      </c>
      <c r="M322" t="str" cm="1">
        <f t="array" ref="M322">IFERROR(INDEX($F$70:$F$846,L322,1),"")</f>
        <v/>
      </c>
    </row>
    <row r="323" spans="1:13" x14ac:dyDescent="0.45">
      <c r="A323" t="s">
        <v>403</v>
      </c>
      <c r="B323" s="206">
        <v>301</v>
      </c>
      <c r="C323" t="s">
        <v>3258</v>
      </c>
      <c r="D323" s="206" t="s">
        <v>3259</v>
      </c>
      <c r="E323" s="206" t="str">
        <f t="shared" si="31"/>
        <v>01</v>
      </c>
      <c r="F323" t="str">
        <f t="shared" si="32"/>
        <v>Chi cục thuế Thành phố Điện Biên Phủ</v>
      </c>
      <c r="H323" s="206"/>
      <c r="I323" s="206" t="str">
        <f t="shared" si="33"/>
        <v>30101</v>
      </c>
      <c r="J323" t="str">
        <f t="shared" si="34"/>
        <v/>
      </c>
      <c r="K323" t="str">
        <f>IF(J323="","",ROWS($K$70:K323))</f>
        <v/>
      </c>
      <c r="L323" t="str">
        <f>IFERROR(SMALL($K$70:$K$846,ROWS($L$70:L323)),"")</f>
        <v/>
      </c>
      <c r="M323" t="str" cm="1">
        <f t="array" ref="M323">IFERROR(INDEX($F$70:$F$846,L323,1),"")</f>
        <v/>
      </c>
    </row>
    <row r="324" spans="1:13" x14ac:dyDescent="0.45">
      <c r="A324" t="s">
        <v>403</v>
      </c>
      <c r="B324" s="206">
        <v>301</v>
      </c>
      <c r="C324" t="s">
        <v>3260</v>
      </c>
      <c r="D324" s="206" t="s">
        <v>3261</v>
      </c>
      <c r="E324" s="206" t="str">
        <f t="shared" si="31"/>
        <v>03</v>
      </c>
      <c r="F324" t="str">
        <f t="shared" si="32"/>
        <v>Chi cục thuế Thị xã Mường Lay</v>
      </c>
      <c r="H324" s="206"/>
      <c r="I324" s="206" t="str">
        <f t="shared" si="33"/>
        <v>30103</v>
      </c>
      <c r="J324" t="str">
        <f t="shared" si="34"/>
        <v/>
      </c>
      <c r="K324" t="str">
        <f>IF(J324="","",ROWS($K$70:K324))</f>
        <v/>
      </c>
      <c r="L324" t="str">
        <f>IFERROR(SMALL($K$70:$K$846,ROWS($L$70:L324)),"")</f>
        <v/>
      </c>
      <c r="M324" t="str" cm="1">
        <f t="array" ref="M324">IFERROR(INDEX($F$70:$F$846,L324,1),"")</f>
        <v/>
      </c>
    </row>
    <row r="325" spans="1:13" x14ac:dyDescent="0.45">
      <c r="A325" t="s">
        <v>403</v>
      </c>
      <c r="B325" s="206">
        <v>301</v>
      </c>
      <c r="C325" t="s">
        <v>3262</v>
      </c>
      <c r="D325" s="206" t="s">
        <v>3263</v>
      </c>
      <c r="E325" s="206" t="str">
        <f t="shared" si="31"/>
        <v>04</v>
      </c>
      <c r="F325" t="str">
        <f t="shared" si="32"/>
        <v>Chi cục thuế Huyện Mường Nhé</v>
      </c>
      <c r="G325" t="str">
        <f t="shared" ref="G325:G332" si="39">RIGHT(C325,LEN(C325)-6)</f>
        <v>Mường Nhé</v>
      </c>
      <c r="H325" s="206"/>
      <c r="I325" s="206" t="str">
        <f t="shared" si="33"/>
        <v>30104</v>
      </c>
      <c r="J325" t="str">
        <f t="shared" si="34"/>
        <v/>
      </c>
      <c r="K325" t="str">
        <f>IF(J325="","",ROWS($K$70:K325))</f>
        <v/>
      </c>
      <c r="L325" t="str">
        <f>IFERROR(SMALL($K$70:$K$846,ROWS($L$70:L325)),"")</f>
        <v/>
      </c>
      <c r="M325" t="str" cm="1">
        <f t="array" ref="M325">IFERROR(INDEX($F$70:$F$846,L325,1),"")</f>
        <v/>
      </c>
    </row>
    <row r="326" spans="1:13" x14ac:dyDescent="0.45">
      <c r="A326" t="s">
        <v>403</v>
      </c>
      <c r="B326" s="206">
        <v>301</v>
      </c>
      <c r="C326" t="s">
        <v>3264</v>
      </c>
      <c r="D326" s="206" t="s">
        <v>3265</v>
      </c>
      <c r="E326" s="206" t="str">
        <f t="shared" si="31"/>
        <v>11</v>
      </c>
      <c r="F326" t="str">
        <f t="shared" si="32"/>
        <v>Chi cục thuế Huyện Mường Chà</v>
      </c>
      <c r="G326" t="str">
        <f t="shared" si="39"/>
        <v>Mường Chà</v>
      </c>
      <c r="H326" s="206"/>
      <c r="I326" s="206" t="str">
        <f t="shared" si="33"/>
        <v>30111</v>
      </c>
      <c r="J326" t="str">
        <f t="shared" si="34"/>
        <v/>
      </c>
      <c r="K326" t="str">
        <f>IF(J326="","",ROWS($K$70:K326))</f>
        <v/>
      </c>
      <c r="L326" t="str">
        <f>IFERROR(SMALL($K$70:$K$846,ROWS($L$70:L326)),"")</f>
        <v/>
      </c>
      <c r="M326" t="str" cm="1">
        <f t="array" ref="M326">IFERROR(INDEX($F$70:$F$846,L326,1),"")</f>
        <v/>
      </c>
    </row>
    <row r="327" spans="1:13" x14ac:dyDescent="0.45">
      <c r="A327" t="s">
        <v>403</v>
      </c>
      <c r="B327" s="206">
        <v>301</v>
      </c>
      <c r="C327" t="s">
        <v>3266</v>
      </c>
      <c r="D327" s="206" t="s">
        <v>3267</v>
      </c>
      <c r="E327" s="206" t="str">
        <f t="shared" ref="E327:E390" si="40">RIGHT(D327,2)</f>
        <v>13</v>
      </c>
      <c r="F327" t="str">
        <f t="shared" ref="F327:F390" si="41">IF(E327="00","Cục thuế "&amp;C327,"Chi cục thuế "&amp;C327)</f>
        <v>Chi cục thuế Huyện Tủa Chùa</v>
      </c>
      <c r="G327" t="str">
        <f t="shared" si="39"/>
        <v>Tủa Chùa</v>
      </c>
      <c r="H327" s="206"/>
      <c r="I327" s="206" t="str">
        <f t="shared" ref="I327:I390" si="42">D327</f>
        <v>30113</v>
      </c>
      <c r="J327" t="str">
        <f t="shared" si="34"/>
        <v/>
      </c>
      <c r="K327" t="str">
        <f>IF(J327="","",ROWS($K$70:K327))</f>
        <v/>
      </c>
      <c r="L327" t="str">
        <f>IFERROR(SMALL($K$70:$K$846,ROWS($L$70:L327)),"")</f>
        <v/>
      </c>
      <c r="M327" t="str" cm="1">
        <f t="array" ref="M327">IFERROR(INDEX($F$70:$F$846,L327,1),"")</f>
        <v/>
      </c>
    </row>
    <row r="328" spans="1:13" x14ac:dyDescent="0.45">
      <c r="A328" t="s">
        <v>403</v>
      </c>
      <c r="B328" s="206">
        <v>301</v>
      </c>
      <c r="C328" t="s">
        <v>3268</v>
      </c>
      <c r="D328" s="206" t="s">
        <v>3269</v>
      </c>
      <c r="E328" s="206" t="str">
        <f t="shared" si="40"/>
        <v>15</v>
      </c>
      <c r="F328" t="str">
        <f t="shared" si="41"/>
        <v>Chi cục thuế Huyện Tuần Giáo</v>
      </c>
      <c r="G328" t="str">
        <f t="shared" si="39"/>
        <v>Tuần Giáo</v>
      </c>
      <c r="H328" s="206"/>
      <c r="I328" s="206" t="str">
        <f t="shared" si="42"/>
        <v>30115</v>
      </c>
      <c r="J328" t="str">
        <f t="shared" ref="J328:J391" si="43">IF(A328=$J$69,F328,"")</f>
        <v/>
      </c>
      <c r="K328" t="str">
        <f>IF(J328="","",ROWS($K$70:K328))</f>
        <v/>
      </c>
      <c r="L328" t="str">
        <f>IFERROR(SMALL($K$70:$K$846,ROWS($L$70:L328)),"")</f>
        <v/>
      </c>
      <c r="M328" t="str" cm="1">
        <f t="array" ref="M328">IFERROR(INDEX($F$70:$F$846,L328,1),"")</f>
        <v/>
      </c>
    </row>
    <row r="329" spans="1:13" x14ac:dyDescent="0.45">
      <c r="A329" t="s">
        <v>403</v>
      </c>
      <c r="B329" s="206">
        <v>301</v>
      </c>
      <c r="C329" t="s">
        <v>3270</v>
      </c>
      <c r="D329" s="206" t="s">
        <v>3271</v>
      </c>
      <c r="E329" s="206" t="str">
        <f t="shared" si="40"/>
        <v>17</v>
      </c>
      <c r="F329" t="str">
        <f t="shared" si="41"/>
        <v>Chi cục thuế Huyện Điện Biên</v>
      </c>
      <c r="G329" t="str">
        <f t="shared" si="39"/>
        <v>Điện Biên</v>
      </c>
      <c r="H329" s="206"/>
      <c r="I329" s="206" t="str">
        <f t="shared" si="42"/>
        <v>30117</v>
      </c>
      <c r="J329" t="str">
        <f t="shared" si="43"/>
        <v/>
      </c>
      <c r="K329" t="str">
        <f>IF(J329="","",ROWS($K$70:K329))</f>
        <v/>
      </c>
      <c r="L329" t="str">
        <f>IFERROR(SMALL($K$70:$K$846,ROWS($L$70:L329)),"")</f>
        <v/>
      </c>
      <c r="M329" t="str" cm="1">
        <f t="array" ref="M329">IFERROR(INDEX($F$70:$F$846,L329,1),"")</f>
        <v/>
      </c>
    </row>
    <row r="330" spans="1:13" x14ac:dyDescent="0.45">
      <c r="A330" t="s">
        <v>403</v>
      </c>
      <c r="B330" s="206">
        <v>301</v>
      </c>
      <c r="C330" t="s">
        <v>3272</v>
      </c>
      <c r="D330" s="206" t="s">
        <v>3273</v>
      </c>
      <c r="E330" s="206" t="str">
        <f t="shared" si="40"/>
        <v>19</v>
      </c>
      <c r="F330" t="str">
        <f t="shared" si="41"/>
        <v>Chi cục thuế Huyện Điện Biên Đông</v>
      </c>
      <c r="G330" t="str">
        <f t="shared" si="39"/>
        <v>Điện Biên Đông</v>
      </c>
      <c r="H330" s="206"/>
      <c r="I330" s="206" t="str">
        <f t="shared" si="42"/>
        <v>30119</v>
      </c>
      <c r="J330" t="str">
        <f t="shared" si="43"/>
        <v/>
      </c>
      <c r="K330" t="str">
        <f>IF(J330="","",ROWS($K$70:K330))</f>
        <v/>
      </c>
      <c r="L330" t="str">
        <f>IFERROR(SMALL($K$70:$K$846,ROWS($L$70:L330)),"")</f>
        <v/>
      </c>
      <c r="M330" t="str" cm="1">
        <f t="array" ref="M330">IFERROR(INDEX($F$70:$F$846,L330,1),"")</f>
        <v/>
      </c>
    </row>
    <row r="331" spans="1:13" x14ac:dyDescent="0.45">
      <c r="A331" t="s">
        <v>403</v>
      </c>
      <c r="B331" s="206">
        <v>301</v>
      </c>
      <c r="C331" t="s">
        <v>3274</v>
      </c>
      <c r="D331" s="206" t="s">
        <v>3275</v>
      </c>
      <c r="E331" s="206" t="str">
        <f t="shared" si="40"/>
        <v>21</v>
      </c>
      <c r="F331" t="str">
        <f t="shared" si="41"/>
        <v>Chi cục thuế Huyện Mường ảng</v>
      </c>
      <c r="G331" t="str">
        <f t="shared" si="39"/>
        <v>Mường ảng</v>
      </c>
      <c r="H331" s="206"/>
      <c r="I331" s="206" t="str">
        <f t="shared" si="42"/>
        <v>30121</v>
      </c>
      <c r="J331" t="str">
        <f t="shared" si="43"/>
        <v/>
      </c>
      <c r="K331" t="str">
        <f>IF(J331="","",ROWS($K$70:K331))</f>
        <v/>
      </c>
      <c r="L331" t="str">
        <f>IFERROR(SMALL($K$70:$K$846,ROWS($L$70:L331)),"")</f>
        <v/>
      </c>
      <c r="M331" t="str" cm="1">
        <f t="array" ref="M331">IFERROR(INDEX($F$70:$F$846,L331,1),"")</f>
        <v/>
      </c>
    </row>
    <row r="332" spans="1:13" x14ac:dyDescent="0.45">
      <c r="A332" t="s">
        <v>403</v>
      </c>
      <c r="B332" s="206">
        <v>301</v>
      </c>
      <c r="C332" t="s">
        <v>3276</v>
      </c>
      <c r="D332" s="206" t="s">
        <v>3277</v>
      </c>
      <c r="E332" s="206" t="str">
        <f t="shared" si="40"/>
        <v>23</v>
      </c>
      <c r="F332" t="str">
        <f t="shared" si="41"/>
        <v>Chi cục thuế Huyện Nậm Pồ</v>
      </c>
      <c r="G332" t="str">
        <f t="shared" si="39"/>
        <v>Nậm Pồ</v>
      </c>
      <c r="H332" s="206"/>
      <c r="I332" s="206" t="str">
        <f t="shared" si="42"/>
        <v>30123</v>
      </c>
      <c r="J332" t="str">
        <f t="shared" si="43"/>
        <v/>
      </c>
      <c r="K332" t="str">
        <f>IF(J332="","",ROWS($K$70:K332))</f>
        <v/>
      </c>
      <c r="L332" t="str">
        <f>IFERROR(SMALL($K$70:$K$846,ROWS($L$70:L332)),"")</f>
        <v/>
      </c>
      <c r="M332" t="str" cm="1">
        <f t="array" ref="M332">IFERROR(INDEX($F$70:$F$846,L332,1),"")</f>
        <v/>
      </c>
    </row>
    <row r="333" spans="1:13" x14ac:dyDescent="0.45">
      <c r="A333" t="s">
        <v>2670</v>
      </c>
      <c r="B333" s="206" t="s">
        <v>3278</v>
      </c>
      <c r="C333" t="s">
        <v>3279</v>
      </c>
      <c r="D333" s="206" t="s">
        <v>3280</v>
      </c>
      <c r="E333" s="206" t="str">
        <f t="shared" si="40"/>
        <v>00</v>
      </c>
      <c r="F333" t="str">
        <f t="shared" si="41"/>
        <v>Cục thuế Tỉnh Lai Châu</v>
      </c>
      <c r="H333" s="206" t="str">
        <f>IF(E334="01",A334,"")</f>
        <v>Lai Châu</v>
      </c>
      <c r="I333" s="206" t="str">
        <f t="shared" si="42"/>
        <v>30200</v>
      </c>
      <c r="J333" t="str">
        <f t="shared" si="43"/>
        <v/>
      </c>
      <c r="K333" t="str">
        <f>IF(J333="","",ROWS($K$70:K333))</f>
        <v/>
      </c>
      <c r="L333" t="str">
        <f>IFERROR(SMALL($K$70:$K$846,ROWS($L$70:L333)),"")</f>
        <v/>
      </c>
      <c r="M333" t="str" cm="1">
        <f t="array" ref="M333">IFERROR(INDEX($F$70:$F$846,L333,1),"")</f>
        <v/>
      </c>
    </row>
    <row r="334" spans="1:13" x14ac:dyDescent="0.45">
      <c r="A334" t="s">
        <v>2670</v>
      </c>
      <c r="B334" s="206">
        <v>302</v>
      </c>
      <c r="C334" t="s">
        <v>3281</v>
      </c>
      <c r="D334" s="206" t="s">
        <v>3282</v>
      </c>
      <c r="E334" s="206" t="str">
        <f t="shared" si="40"/>
        <v>01</v>
      </c>
      <c r="F334" t="str">
        <f t="shared" si="41"/>
        <v>Chi cục thuế Huyện Mường Tè</v>
      </c>
      <c r="G334" t="str">
        <f>RIGHT(C334,LEN(C334)-6)</f>
        <v>Mường Tè</v>
      </c>
      <c r="H334" s="206"/>
      <c r="I334" s="206" t="str">
        <f t="shared" si="42"/>
        <v>30201</v>
      </c>
      <c r="J334" t="str">
        <f t="shared" si="43"/>
        <v/>
      </c>
      <c r="K334" t="str">
        <f>IF(J334="","",ROWS($K$70:K334))</f>
        <v/>
      </c>
      <c r="L334" t="str">
        <f>IFERROR(SMALL($K$70:$K$846,ROWS($L$70:L334)),"")</f>
        <v/>
      </c>
      <c r="M334" t="str" cm="1">
        <f t="array" ref="M334">IFERROR(INDEX($F$70:$F$846,L334,1),"")</f>
        <v/>
      </c>
    </row>
    <row r="335" spans="1:13" x14ac:dyDescent="0.45">
      <c r="A335" t="s">
        <v>2670</v>
      </c>
      <c r="B335" s="206">
        <v>302</v>
      </c>
      <c r="C335" t="s">
        <v>3283</v>
      </c>
      <c r="D335" s="206" t="s">
        <v>3284</v>
      </c>
      <c r="E335" s="206" t="str">
        <f t="shared" si="40"/>
        <v>02</v>
      </c>
      <c r="F335" t="str">
        <f t="shared" si="41"/>
        <v>Chi cục thuế Thành Phố Lai Châu</v>
      </c>
      <c r="H335" s="206"/>
      <c r="I335" s="206" t="str">
        <f t="shared" si="42"/>
        <v>30202</v>
      </c>
      <c r="J335" t="str">
        <f t="shared" si="43"/>
        <v/>
      </c>
      <c r="K335" t="str">
        <f>IF(J335="","",ROWS($K$70:K335))</f>
        <v/>
      </c>
      <c r="L335" t="str">
        <f>IFERROR(SMALL($K$70:$K$846,ROWS($L$70:L335)),"")</f>
        <v/>
      </c>
      <c r="M335" t="str" cm="1">
        <f t="array" ref="M335">IFERROR(INDEX($F$70:$F$846,L335,1),"")</f>
        <v/>
      </c>
    </row>
    <row r="336" spans="1:13" x14ac:dyDescent="0.45">
      <c r="A336" t="s">
        <v>2670</v>
      </c>
      <c r="B336" s="206">
        <v>302</v>
      </c>
      <c r="C336" t="s">
        <v>3285</v>
      </c>
      <c r="D336" s="206" t="s">
        <v>3286</v>
      </c>
      <c r="E336" s="206" t="str">
        <f t="shared" si="40"/>
        <v>03</v>
      </c>
      <c r="F336" t="str">
        <f t="shared" si="41"/>
        <v>Chi cục thuế Huyện Phong Thổ</v>
      </c>
      <c r="G336" t="str">
        <f t="shared" ref="G336:G341" si="44">RIGHT(C336,LEN(C336)-6)</f>
        <v>Phong Thổ</v>
      </c>
      <c r="H336" s="206"/>
      <c r="I336" s="206" t="str">
        <f t="shared" si="42"/>
        <v>30203</v>
      </c>
      <c r="J336" t="str">
        <f t="shared" si="43"/>
        <v/>
      </c>
      <c r="K336" t="str">
        <f>IF(J336="","",ROWS($K$70:K336))</f>
        <v/>
      </c>
      <c r="L336" t="str">
        <f>IFERROR(SMALL($K$70:$K$846,ROWS($L$70:L336)),"")</f>
        <v/>
      </c>
      <c r="M336" t="str" cm="1">
        <f t="array" ref="M336">IFERROR(INDEX($F$70:$F$846,L336,1),"")</f>
        <v/>
      </c>
    </row>
    <row r="337" spans="1:13" x14ac:dyDescent="0.45">
      <c r="A337" t="s">
        <v>2670</v>
      </c>
      <c r="B337" s="206">
        <v>302</v>
      </c>
      <c r="C337" t="s">
        <v>3287</v>
      </c>
      <c r="D337" s="206" t="s">
        <v>3288</v>
      </c>
      <c r="E337" s="206" t="str">
        <f t="shared" si="40"/>
        <v>05</v>
      </c>
      <c r="F337" t="str">
        <f t="shared" si="41"/>
        <v>Chi cục thuế Huyện Tam Đường</v>
      </c>
      <c r="G337" t="str">
        <f t="shared" si="44"/>
        <v>Tam Đường</v>
      </c>
      <c r="H337" s="206"/>
      <c r="I337" s="206" t="str">
        <f t="shared" si="42"/>
        <v>30205</v>
      </c>
      <c r="J337" t="str">
        <f t="shared" si="43"/>
        <v/>
      </c>
      <c r="K337" t="str">
        <f>IF(J337="","",ROWS($K$70:K337))</f>
        <v/>
      </c>
      <c r="L337" t="str">
        <f>IFERROR(SMALL($K$70:$K$846,ROWS($L$70:L337)),"")</f>
        <v/>
      </c>
      <c r="M337" t="str" cm="1">
        <f t="array" ref="M337">IFERROR(INDEX($F$70:$F$846,L337,1),"")</f>
        <v/>
      </c>
    </row>
    <row r="338" spans="1:13" x14ac:dyDescent="0.45">
      <c r="A338" t="s">
        <v>2670</v>
      </c>
      <c r="B338" s="206">
        <v>302</v>
      </c>
      <c r="C338" t="s">
        <v>3289</v>
      </c>
      <c r="D338" s="206" t="s">
        <v>3290</v>
      </c>
      <c r="E338" s="206" t="str">
        <f t="shared" si="40"/>
        <v>07</v>
      </c>
      <c r="F338" t="str">
        <f t="shared" si="41"/>
        <v>Chi cục thuế Huyện Sìn Hồ</v>
      </c>
      <c r="G338" t="str">
        <f t="shared" si="44"/>
        <v>Sìn Hồ</v>
      </c>
      <c r="H338" s="206"/>
      <c r="I338" s="206" t="str">
        <f t="shared" si="42"/>
        <v>30207</v>
      </c>
      <c r="J338" t="str">
        <f t="shared" si="43"/>
        <v/>
      </c>
      <c r="K338" t="str">
        <f>IF(J338="","",ROWS($K$70:K338))</f>
        <v/>
      </c>
      <c r="L338" t="str">
        <f>IFERROR(SMALL($K$70:$K$846,ROWS($L$70:L338)),"")</f>
        <v/>
      </c>
      <c r="M338" t="str" cm="1">
        <f t="array" ref="M338">IFERROR(INDEX($F$70:$F$846,L338,1),"")</f>
        <v/>
      </c>
    </row>
    <row r="339" spans="1:13" x14ac:dyDescent="0.45">
      <c r="A339" t="s">
        <v>2670</v>
      </c>
      <c r="B339" s="206">
        <v>302</v>
      </c>
      <c r="C339" t="s">
        <v>3291</v>
      </c>
      <c r="D339" s="206" t="s">
        <v>3292</v>
      </c>
      <c r="E339" s="206" t="str">
        <f t="shared" si="40"/>
        <v>09</v>
      </c>
      <c r="F339" t="str">
        <f t="shared" si="41"/>
        <v>Chi cục thuế Huyện Than Uyên</v>
      </c>
      <c r="G339" t="str">
        <f t="shared" si="44"/>
        <v>Than Uyên</v>
      </c>
      <c r="H339" s="206"/>
      <c r="I339" s="206" t="str">
        <f t="shared" si="42"/>
        <v>30209</v>
      </c>
      <c r="J339" t="str">
        <f t="shared" si="43"/>
        <v/>
      </c>
      <c r="K339" t="str">
        <f>IF(J339="","",ROWS($K$70:K339))</f>
        <v/>
      </c>
      <c r="L339" t="str">
        <f>IFERROR(SMALL($K$70:$K$846,ROWS($L$70:L339)),"")</f>
        <v/>
      </c>
      <c r="M339" t="str" cm="1">
        <f t="array" ref="M339">IFERROR(INDEX($F$70:$F$846,L339,1),"")</f>
        <v/>
      </c>
    </row>
    <row r="340" spans="1:13" x14ac:dyDescent="0.45">
      <c r="A340" t="s">
        <v>2670</v>
      </c>
      <c r="B340" s="206">
        <v>302</v>
      </c>
      <c r="C340" t="s">
        <v>3293</v>
      </c>
      <c r="D340" s="206" t="s">
        <v>3294</v>
      </c>
      <c r="E340" s="206" t="str">
        <f t="shared" si="40"/>
        <v>11</v>
      </c>
      <c r="F340" t="str">
        <f t="shared" si="41"/>
        <v>Chi cục thuế Huyện Tân Uyên</v>
      </c>
      <c r="G340" t="str">
        <f t="shared" si="44"/>
        <v>Tân Uyên</v>
      </c>
      <c r="H340" s="206"/>
      <c r="I340" s="206" t="str">
        <f t="shared" si="42"/>
        <v>30211</v>
      </c>
      <c r="J340" t="str">
        <f t="shared" si="43"/>
        <v/>
      </c>
      <c r="K340" t="str">
        <f>IF(J340="","",ROWS($K$70:K340))</f>
        <v/>
      </c>
      <c r="L340" t="str">
        <f>IFERROR(SMALL($K$70:$K$846,ROWS($L$70:L340)),"")</f>
        <v/>
      </c>
      <c r="M340" t="str" cm="1">
        <f t="array" ref="M340">IFERROR(INDEX($F$70:$F$846,L340,1),"")</f>
        <v/>
      </c>
    </row>
    <row r="341" spans="1:13" x14ac:dyDescent="0.45">
      <c r="A341" t="s">
        <v>2670</v>
      </c>
      <c r="B341" s="206">
        <v>302</v>
      </c>
      <c r="C341" t="s">
        <v>3295</v>
      </c>
      <c r="D341" s="206" t="s">
        <v>3296</v>
      </c>
      <c r="E341" s="206" t="str">
        <f t="shared" si="40"/>
        <v>13</v>
      </c>
      <c r="F341" t="str">
        <f t="shared" si="41"/>
        <v>Chi cục thuế Huyện Nậm Nhùn</v>
      </c>
      <c r="G341" t="str">
        <f t="shared" si="44"/>
        <v>Nậm Nhùn</v>
      </c>
      <c r="H341" s="206"/>
      <c r="I341" s="206" t="str">
        <f t="shared" si="42"/>
        <v>30213</v>
      </c>
      <c r="J341" t="str">
        <f t="shared" si="43"/>
        <v/>
      </c>
      <c r="K341" t="str">
        <f>IF(J341="","",ROWS($K$70:K341))</f>
        <v/>
      </c>
      <c r="L341" t="str">
        <f>IFERROR(SMALL($K$70:$K$846,ROWS($L$70:L341)),"")</f>
        <v/>
      </c>
      <c r="M341" t="str" cm="1">
        <f t="array" ref="M341">IFERROR(INDEX($F$70:$F$846,L341,1),"")</f>
        <v/>
      </c>
    </row>
    <row r="342" spans="1:13" x14ac:dyDescent="0.45">
      <c r="A342" t="s">
        <v>2704</v>
      </c>
      <c r="B342" s="206" t="s">
        <v>3297</v>
      </c>
      <c r="C342" t="s">
        <v>3298</v>
      </c>
      <c r="D342" s="206" t="s">
        <v>3299</v>
      </c>
      <c r="E342" s="206" t="str">
        <f t="shared" si="40"/>
        <v>00</v>
      </c>
      <c r="F342" t="str">
        <f t="shared" si="41"/>
        <v>Cục thuế Tỉnh Sơn La</v>
      </c>
      <c r="H342" s="206" t="str">
        <f>IF(E343="01",A343,"")</f>
        <v>Sơn La</v>
      </c>
      <c r="I342" s="206" t="str">
        <f t="shared" si="42"/>
        <v>30300</v>
      </c>
      <c r="J342" t="str">
        <f t="shared" si="43"/>
        <v/>
      </c>
      <c r="K342" t="str">
        <f>IF(J342="","",ROWS($K$70:K342))</f>
        <v/>
      </c>
      <c r="L342" t="str">
        <f>IFERROR(SMALL($K$70:$K$846,ROWS($L$70:L342)),"")</f>
        <v/>
      </c>
      <c r="M342" t="str" cm="1">
        <f t="array" ref="M342">IFERROR(INDEX($F$70:$F$846,L342,1),"")</f>
        <v/>
      </c>
    </row>
    <row r="343" spans="1:13" x14ac:dyDescent="0.45">
      <c r="A343" t="s">
        <v>2704</v>
      </c>
      <c r="B343" s="206">
        <v>303</v>
      </c>
      <c r="C343" t="s">
        <v>3300</v>
      </c>
      <c r="D343" s="206" t="s">
        <v>3301</v>
      </c>
      <c r="E343" s="206" t="str">
        <f t="shared" si="40"/>
        <v>01</v>
      </c>
      <c r="F343" t="str">
        <f t="shared" si="41"/>
        <v>Chi cục thuế Thành phố Sơn La</v>
      </c>
      <c r="H343" s="206"/>
      <c r="I343" s="206" t="str">
        <f t="shared" si="42"/>
        <v>30301</v>
      </c>
      <c r="J343" t="str">
        <f t="shared" si="43"/>
        <v/>
      </c>
      <c r="K343" t="str">
        <f>IF(J343="","",ROWS($K$70:K343))</f>
        <v/>
      </c>
      <c r="L343" t="str">
        <f>IFERROR(SMALL($K$70:$K$846,ROWS($L$70:L343)),"")</f>
        <v/>
      </c>
      <c r="M343" t="str" cm="1">
        <f t="array" ref="M343">IFERROR(INDEX($F$70:$F$846,L343,1),"")</f>
        <v/>
      </c>
    </row>
    <row r="344" spans="1:13" x14ac:dyDescent="0.45">
      <c r="A344" t="s">
        <v>2704</v>
      </c>
      <c r="B344" s="206">
        <v>303</v>
      </c>
      <c r="C344" t="s">
        <v>3302</v>
      </c>
      <c r="D344" s="206" t="s">
        <v>3303</v>
      </c>
      <c r="E344" s="206" t="str">
        <f t="shared" si="40"/>
        <v>03</v>
      </c>
      <c r="F344" t="str">
        <f t="shared" si="41"/>
        <v>Chi cục thuế Huyện Quỳnh Nhai</v>
      </c>
      <c r="G344" t="str">
        <f t="shared" ref="G344:G354" si="45">RIGHT(C344,LEN(C344)-6)</f>
        <v>Quỳnh Nhai</v>
      </c>
      <c r="H344" s="206"/>
      <c r="I344" s="206" t="str">
        <f t="shared" si="42"/>
        <v>30303</v>
      </c>
      <c r="J344" t="str">
        <f t="shared" si="43"/>
        <v/>
      </c>
      <c r="K344" t="str">
        <f>IF(J344="","",ROWS($K$70:K344))</f>
        <v/>
      </c>
      <c r="L344" t="str">
        <f>IFERROR(SMALL($K$70:$K$846,ROWS($L$70:L344)),"")</f>
        <v/>
      </c>
      <c r="M344" t="str" cm="1">
        <f t="array" ref="M344">IFERROR(INDEX($F$70:$F$846,L344,1),"")</f>
        <v/>
      </c>
    </row>
    <row r="345" spans="1:13" x14ac:dyDescent="0.45">
      <c r="A345" t="s">
        <v>2704</v>
      </c>
      <c r="B345" s="206">
        <v>303</v>
      </c>
      <c r="C345" t="s">
        <v>3304</v>
      </c>
      <c r="D345" s="206" t="s">
        <v>3305</v>
      </c>
      <c r="E345" s="206" t="str">
        <f t="shared" si="40"/>
        <v>05</v>
      </c>
      <c r="F345" t="str">
        <f t="shared" si="41"/>
        <v>Chi cục thuế Huyện Mường La</v>
      </c>
      <c r="G345" t="str">
        <f t="shared" si="45"/>
        <v>Mường La</v>
      </c>
      <c r="H345" s="206"/>
      <c r="I345" s="206" t="str">
        <f t="shared" si="42"/>
        <v>30305</v>
      </c>
      <c r="J345" t="str">
        <f t="shared" si="43"/>
        <v/>
      </c>
      <c r="K345" t="str">
        <f>IF(J345="","",ROWS($K$70:K345))</f>
        <v/>
      </c>
      <c r="L345" t="str">
        <f>IFERROR(SMALL($K$70:$K$846,ROWS($L$70:L345)),"")</f>
        <v/>
      </c>
      <c r="M345" t="str" cm="1">
        <f t="array" ref="M345">IFERROR(INDEX($F$70:$F$846,L345,1),"")</f>
        <v/>
      </c>
    </row>
    <row r="346" spans="1:13" x14ac:dyDescent="0.45">
      <c r="A346" t="s">
        <v>2704</v>
      </c>
      <c r="B346" s="206">
        <v>303</v>
      </c>
      <c r="C346" t="s">
        <v>3306</v>
      </c>
      <c r="D346" s="206" t="s">
        <v>3307</v>
      </c>
      <c r="E346" s="206" t="str">
        <f t="shared" si="40"/>
        <v>07</v>
      </c>
      <c r="F346" t="str">
        <f t="shared" si="41"/>
        <v>Chi cục thuế Huyện Thuận Châu</v>
      </c>
      <c r="G346" t="str">
        <f t="shared" si="45"/>
        <v>Thuận Châu</v>
      </c>
      <c r="H346" s="206"/>
      <c r="I346" s="206" t="str">
        <f t="shared" si="42"/>
        <v>30307</v>
      </c>
      <c r="J346" t="str">
        <f t="shared" si="43"/>
        <v/>
      </c>
      <c r="K346" t="str">
        <f>IF(J346="","",ROWS($K$70:K346))</f>
        <v/>
      </c>
      <c r="L346" t="str">
        <f>IFERROR(SMALL($K$70:$K$846,ROWS($L$70:L346)),"")</f>
        <v/>
      </c>
      <c r="M346" t="str" cm="1">
        <f t="array" ref="M346">IFERROR(INDEX($F$70:$F$846,L346,1),"")</f>
        <v/>
      </c>
    </row>
    <row r="347" spans="1:13" x14ac:dyDescent="0.45">
      <c r="A347" t="s">
        <v>2704</v>
      </c>
      <c r="B347" s="206">
        <v>303</v>
      </c>
      <c r="C347" t="s">
        <v>3308</v>
      </c>
      <c r="D347" s="206" t="s">
        <v>3309</v>
      </c>
      <c r="E347" s="206" t="str">
        <f t="shared" si="40"/>
        <v>09</v>
      </c>
      <c r="F347" t="str">
        <f t="shared" si="41"/>
        <v>Chi cục thuế Huyện Bắc Yên</v>
      </c>
      <c r="G347" t="str">
        <f t="shared" si="45"/>
        <v>Bắc Yên</v>
      </c>
      <c r="H347" s="206"/>
      <c r="I347" s="206" t="str">
        <f t="shared" si="42"/>
        <v>30309</v>
      </c>
      <c r="J347" t="str">
        <f t="shared" si="43"/>
        <v/>
      </c>
      <c r="K347" t="str">
        <f>IF(J347="","",ROWS($K$70:K347))</f>
        <v/>
      </c>
      <c r="L347" t="str">
        <f>IFERROR(SMALL($K$70:$K$846,ROWS($L$70:L347)),"")</f>
        <v/>
      </c>
      <c r="M347" t="str" cm="1">
        <f t="array" ref="M347">IFERROR(INDEX($F$70:$F$846,L347,1),"")</f>
        <v/>
      </c>
    </row>
    <row r="348" spans="1:13" x14ac:dyDescent="0.45">
      <c r="A348" t="s">
        <v>2704</v>
      </c>
      <c r="B348" s="206">
        <v>303</v>
      </c>
      <c r="C348" t="s">
        <v>3310</v>
      </c>
      <c r="D348" s="206" t="s">
        <v>3311</v>
      </c>
      <c r="E348" s="206" t="str">
        <f t="shared" si="40"/>
        <v>11</v>
      </c>
      <c r="F348" t="str">
        <f t="shared" si="41"/>
        <v>Chi cục thuế Huyện Phù Yên</v>
      </c>
      <c r="G348" t="str">
        <f t="shared" si="45"/>
        <v>Phù Yên</v>
      </c>
      <c r="H348" s="206"/>
      <c r="I348" s="206" t="str">
        <f t="shared" si="42"/>
        <v>30311</v>
      </c>
      <c r="J348" t="str">
        <f t="shared" si="43"/>
        <v/>
      </c>
      <c r="K348" t="str">
        <f>IF(J348="","",ROWS($K$70:K348))</f>
        <v/>
      </c>
      <c r="L348" t="str">
        <f>IFERROR(SMALL($K$70:$K$846,ROWS($L$70:L348)),"")</f>
        <v/>
      </c>
      <c r="M348" t="str" cm="1">
        <f t="array" ref="M348">IFERROR(INDEX($F$70:$F$846,L348,1),"")</f>
        <v/>
      </c>
    </row>
    <row r="349" spans="1:13" x14ac:dyDescent="0.45">
      <c r="A349" t="s">
        <v>2704</v>
      </c>
      <c r="B349" s="206">
        <v>303</v>
      </c>
      <c r="C349" t="s">
        <v>3312</v>
      </c>
      <c r="D349" s="206" t="s">
        <v>3313</v>
      </c>
      <c r="E349" s="206" t="str">
        <f t="shared" si="40"/>
        <v>13</v>
      </c>
      <c r="F349" t="str">
        <f t="shared" si="41"/>
        <v>Chi cục thuế Huyện Mai Sơn</v>
      </c>
      <c r="G349" t="str">
        <f t="shared" si="45"/>
        <v>Mai Sơn</v>
      </c>
      <c r="H349" s="206"/>
      <c r="I349" s="206" t="str">
        <f t="shared" si="42"/>
        <v>30313</v>
      </c>
      <c r="J349" t="str">
        <f t="shared" si="43"/>
        <v/>
      </c>
      <c r="K349" t="str">
        <f>IF(J349="","",ROWS($K$70:K349))</f>
        <v/>
      </c>
      <c r="L349" t="str">
        <f>IFERROR(SMALL($K$70:$K$846,ROWS($L$70:L349)),"")</f>
        <v/>
      </c>
      <c r="M349" t="str" cm="1">
        <f t="array" ref="M349">IFERROR(INDEX($F$70:$F$846,L349,1),"")</f>
        <v/>
      </c>
    </row>
    <row r="350" spans="1:13" x14ac:dyDescent="0.45">
      <c r="A350" t="s">
        <v>2704</v>
      </c>
      <c r="B350" s="206">
        <v>303</v>
      </c>
      <c r="C350" t="s">
        <v>3314</v>
      </c>
      <c r="D350" s="206" t="s">
        <v>3315</v>
      </c>
      <c r="E350" s="206" t="str">
        <f t="shared" si="40"/>
        <v>15</v>
      </c>
      <c r="F350" t="str">
        <f t="shared" si="41"/>
        <v>Chi cục thuế Huyện Sông Mã</v>
      </c>
      <c r="G350" t="str">
        <f t="shared" si="45"/>
        <v>Sông Mã</v>
      </c>
      <c r="H350" s="206"/>
      <c r="I350" s="206" t="str">
        <f t="shared" si="42"/>
        <v>30315</v>
      </c>
      <c r="J350" t="str">
        <f t="shared" si="43"/>
        <v/>
      </c>
      <c r="K350" t="str">
        <f>IF(J350="","",ROWS($K$70:K350))</f>
        <v/>
      </c>
      <c r="L350" t="str">
        <f>IFERROR(SMALL($K$70:$K$846,ROWS($L$70:L350)),"")</f>
        <v/>
      </c>
      <c r="M350" t="str" cm="1">
        <f t="array" ref="M350">IFERROR(INDEX($F$70:$F$846,L350,1),"")</f>
        <v/>
      </c>
    </row>
    <row r="351" spans="1:13" x14ac:dyDescent="0.45">
      <c r="A351" t="s">
        <v>2704</v>
      </c>
      <c r="B351" s="206">
        <v>303</v>
      </c>
      <c r="C351" t="s">
        <v>3316</v>
      </c>
      <c r="D351" s="206" t="s">
        <v>3317</v>
      </c>
      <c r="E351" s="206" t="str">
        <f t="shared" si="40"/>
        <v>17</v>
      </c>
      <c r="F351" t="str">
        <f t="shared" si="41"/>
        <v>Chi cục thuế Huyện Yên Châu</v>
      </c>
      <c r="G351" t="str">
        <f t="shared" si="45"/>
        <v>Yên Châu</v>
      </c>
      <c r="H351" s="206"/>
      <c r="I351" s="206" t="str">
        <f t="shared" si="42"/>
        <v>30317</v>
      </c>
      <c r="J351" t="str">
        <f t="shared" si="43"/>
        <v/>
      </c>
      <c r="K351" t="str">
        <f>IF(J351="","",ROWS($K$70:K351))</f>
        <v/>
      </c>
      <c r="L351" t="str">
        <f>IFERROR(SMALL($K$70:$K$846,ROWS($L$70:L351)),"")</f>
        <v/>
      </c>
      <c r="M351" t="str" cm="1">
        <f t="array" ref="M351">IFERROR(INDEX($F$70:$F$846,L351,1),"")</f>
        <v/>
      </c>
    </row>
    <row r="352" spans="1:13" x14ac:dyDescent="0.45">
      <c r="A352" t="s">
        <v>2704</v>
      </c>
      <c r="B352" s="206">
        <v>303</v>
      </c>
      <c r="C352" t="s">
        <v>3318</v>
      </c>
      <c r="D352" s="206" t="s">
        <v>3319</v>
      </c>
      <c r="E352" s="206" t="str">
        <f t="shared" si="40"/>
        <v>19</v>
      </c>
      <c r="F352" t="str">
        <f t="shared" si="41"/>
        <v>Chi cục thuế Huyện Mộc Châu</v>
      </c>
      <c r="G352" t="str">
        <f t="shared" si="45"/>
        <v>Mộc Châu</v>
      </c>
      <c r="H352" s="206"/>
      <c r="I352" s="206" t="str">
        <f t="shared" si="42"/>
        <v>30319</v>
      </c>
      <c r="J352" t="str">
        <f t="shared" si="43"/>
        <v/>
      </c>
      <c r="K352" t="str">
        <f>IF(J352="","",ROWS($K$70:K352))</f>
        <v/>
      </c>
      <c r="L352" t="str">
        <f>IFERROR(SMALL($K$70:$K$846,ROWS($L$70:L352)),"")</f>
        <v/>
      </c>
      <c r="M352" t="str" cm="1">
        <f t="array" ref="M352">IFERROR(INDEX($F$70:$F$846,L352,1),"")</f>
        <v/>
      </c>
    </row>
    <row r="353" spans="1:13" x14ac:dyDescent="0.45">
      <c r="A353" t="s">
        <v>2704</v>
      </c>
      <c r="B353" s="206">
        <v>303</v>
      </c>
      <c r="C353" t="s">
        <v>3320</v>
      </c>
      <c r="D353" s="206" t="s">
        <v>3321</v>
      </c>
      <c r="E353" s="206" t="str">
        <f t="shared" si="40"/>
        <v>21</v>
      </c>
      <c r="F353" t="str">
        <f t="shared" si="41"/>
        <v>Chi cục thuế Huyện Sốp Cộp</v>
      </c>
      <c r="G353" t="str">
        <f t="shared" si="45"/>
        <v>Sốp Cộp</v>
      </c>
      <c r="H353" s="206"/>
      <c r="I353" s="206" t="str">
        <f t="shared" si="42"/>
        <v>30321</v>
      </c>
      <c r="J353" t="str">
        <f t="shared" si="43"/>
        <v/>
      </c>
      <c r="K353" t="str">
        <f>IF(J353="","",ROWS($K$70:K353))</f>
        <v/>
      </c>
      <c r="L353" t="str">
        <f>IFERROR(SMALL($K$70:$K$846,ROWS($L$70:L353)),"")</f>
        <v/>
      </c>
      <c r="M353" t="str" cm="1">
        <f t="array" ref="M353">IFERROR(INDEX($F$70:$F$846,L353,1),"")</f>
        <v/>
      </c>
    </row>
    <row r="354" spans="1:13" x14ac:dyDescent="0.45">
      <c r="A354" t="s">
        <v>2704</v>
      </c>
      <c r="B354" s="206">
        <v>303</v>
      </c>
      <c r="C354" t="s">
        <v>3322</v>
      </c>
      <c r="D354" s="206" t="s">
        <v>3323</v>
      </c>
      <c r="E354" s="206" t="str">
        <f t="shared" si="40"/>
        <v>23</v>
      </c>
      <c r="F354" t="str">
        <f t="shared" si="41"/>
        <v>Chi cục thuế Huyện Vân Hồ</v>
      </c>
      <c r="G354" t="str">
        <f t="shared" si="45"/>
        <v>Vân Hồ</v>
      </c>
      <c r="H354" s="206"/>
      <c r="I354" s="206" t="str">
        <f t="shared" si="42"/>
        <v>30323</v>
      </c>
      <c r="J354" t="str">
        <f t="shared" si="43"/>
        <v/>
      </c>
      <c r="K354" t="str">
        <f>IF(J354="","",ROWS($K$70:K354))</f>
        <v/>
      </c>
      <c r="L354" t="str">
        <f>IFERROR(SMALL($K$70:$K$846,ROWS($L$70:L354)),"")</f>
        <v/>
      </c>
      <c r="M354" t="str" cm="1">
        <f t="array" ref="M354">IFERROR(INDEX($F$70:$F$846,L354,1),"")</f>
        <v/>
      </c>
    </row>
    <row r="355" spans="1:13" x14ac:dyDescent="0.45">
      <c r="A355" t="s">
        <v>2661</v>
      </c>
      <c r="B355" s="206" t="s">
        <v>3324</v>
      </c>
      <c r="C355" t="s">
        <v>3325</v>
      </c>
      <c r="D355" s="206" t="s">
        <v>3326</v>
      </c>
      <c r="E355" s="206" t="str">
        <f t="shared" si="40"/>
        <v>00</v>
      </c>
      <c r="F355" t="str">
        <f t="shared" si="41"/>
        <v>Cục thuế Tỉnh Hòa Bình</v>
      </c>
      <c r="H355" s="206" t="str">
        <f>IF(E356="01",A356,"")</f>
        <v>Hòa Bình</v>
      </c>
      <c r="I355" s="206" t="str">
        <f t="shared" si="42"/>
        <v>30500</v>
      </c>
      <c r="J355" t="str">
        <f t="shared" si="43"/>
        <v/>
      </c>
      <c r="K355" t="str">
        <f>IF(J355="","",ROWS($K$70:K355))</f>
        <v/>
      </c>
      <c r="L355" t="str">
        <f>IFERROR(SMALL($K$70:$K$846,ROWS($L$70:L355)),"")</f>
        <v/>
      </c>
      <c r="M355" t="str" cm="1">
        <f t="array" ref="M355">IFERROR(INDEX($F$70:$F$846,L355,1),"")</f>
        <v/>
      </c>
    </row>
    <row r="356" spans="1:13" x14ac:dyDescent="0.45">
      <c r="A356" t="s">
        <v>2661</v>
      </c>
      <c r="B356" s="206">
        <v>305</v>
      </c>
      <c r="C356" t="s">
        <v>3327</v>
      </c>
      <c r="D356" s="206" t="s">
        <v>3328</v>
      </c>
      <c r="E356" s="206" t="str">
        <f t="shared" si="40"/>
        <v>01</v>
      </c>
      <c r="F356" t="str">
        <f t="shared" si="41"/>
        <v>Chi cục thuế Thành phố Hòa Bình</v>
      </c>
      <c r="H356" s="206"/>
      <c r="I356" s="206" t="str">
        <f t="shared" si="42"/>
        <v>30501</v>
      </c>
      <c r="J356" t="str">
        <f t="shared" si="43"/>
        <v/>
      </c>
      <c r="K356" t="str">
        <f>IF(J356="","",ROWS($K$70:K356))</f>
        <v/>
      </c>
      <c r="L356" t="str">
        <f>IFERROR(SMALL($K$70:$K$846,ROWS($L$70:L356)),"")</f>
        <v/>
      </c>
      <c r="M356" t="str" cm="1">
        <f t="array" ref="M356">IFERROR(INDEX($F$70:$F$846,L356,1),"")</f>
        <v/>
      </c>
    </row>
    <row r="357" spans="1:13" x14ac:dyDescent="0.45">
      <c r="A357" t="s">
        <v>2661</v>
      </c>
      <c r="B357" s="206">
        <v>305</v>
      </c>
      <c r="C357" t="s">
        <v>3329</v>
      </c>
      <c r="D357" s="206" t="s">
        <v>3330</v>
      </c>
      <c r="E357" s="206" t="str">
        <f t="shared" si="40"/>
        <v>03</v>
      </c>
      <c r="F357" t="str">
        <f t="shared" si="41"/>
        <v>Chi cục thuế Huyện Đà Bắc</v>
      </c>
      <c r="G357" t="str">
        <f t="shared" ref="G357:G366" si="46">RIGHT(C357,LEN(C357)-6)</f>
        <v>Đà Bắc</v>
      </c>
      <c r="H357" s="206"/>
      <c r="I357" s="206" t="str">
        <f t="shared" si="42"/>
        <v>30503</v>
      </c>
      <c r="J357" t="str">
        <f t="shared" si="43"/>
        <v/>
      </c>
      <c r="K357" t="str">
        <f>IF(J357="","",ROWS($K$70:K357))</f>
        <v/>
      </c>
      <c r="L357" t="str">
        <f>IFERROR(SMALL($K$70:$K$846,ROWS($L$70:L357)),"")</f>
        <v/>
      </c>
      <c r="M357" t="str" cm="1">
        <f t="array" ref="M357">IFERROR(INDEX($F$70:$F$846,L357,1),"")</f>
        <v/>
      </c>
    </row>
    <row r="358" spans="1:13" x14ac:dyDescent="0.45">
      <c r="A358" t="s">
        <v>2661</v>
      </c>
      <c r="B358" s="206">
        <v>305</v>
      </c>
      <c r="C358" t="s">
        <v>3331</v>
      </c>
      <c r="D358" s="206" t="s">
        <v>3332</v>
      </c>
      <c r="E358" s="206" t="str">
        <f t="shared" si="40"/>
        <v>05</v>
      </c>
      <c r="F358" t="str">
        <f t="shared" si="41"/>
        <v>Chi cục thuế Huyện Mai Châu</v>
      </c>
      <c r="G358" t="str">
        <f t="shared" si="46"/>
        <v>Mai Châu</v>
      </c>
      <c r="H358" s="206"/>
      <c r="I358" s="206" t="str">
        <f t="shared" si="42"/>
        <v>30505</v>
      </c>
      <c r="J358" t="str">
        <f t="shared" si="43"/>
        <v/>
      </c>
      <c r="K358" t="str">
        <f>IF(J358="","",ROWS($K$70:K358))</f>
        <v/>
      </c>
      <c r="L358" t="str">
        <f>IFERROR(SMALL($K$70:$K$846,ROWS($L$70:L358)),"")</f>
        <v/>
      </c>
      <c r="M358" t="str" cm="1">
        <f t="array" ref="M358">IFERROR(INDEX($F$70:$F$846,L358,1),"")</f>
        <v/>
      </c>
    </row>
    <row r="359" spans="1:13" x14ac:dyDescent="0.45">
      <c r="A359" t="s">
        <v>2661</v>
      </c>
      <c r="B359" s="206">
        <v>305</v>
      </c>
      <c r="C359" t="s">
        <v>3333</v>
      </c>
      <c r="D359" s="206" t="s">
        <v>3334</v>
      </c>
      <c r="E359" s="206" t="str">
        <f t="shared" si="40"/>
        <v>07</v>
      </c>
      <c r="F359" t="str">
        <f t="shared" si="41"/>
        <v>Chi cục thuế Huyện Kỳ Sơn</v>
      </c>
      <c r="G359" t="str">
        <f t="shared" si="46"/>
        <v>Kỳ Sơn</v>
      </c>
      <c r="H359" s="206"/>
      <c r="I359" s="206" t="str">
        <f t="shared" si="42"/>
        <v>30507</v>
      </c>
      <c r="J359" t="str">
        <f t="shared" si="43"/>
        <v/>
      </c>
      <c r="K359" t="str">
        <f>IF(J359="","",ROWS($K$70:K359))</f>
        <v/>
      </c>
      <c r="L359" t="str">
        <f>IFERROR(SMALL($K$70:$K$846,ROWS($L$70:L359)),"")</f>
        <v/>
      </c>
      <c r="M359" t="str" cm="1">
        <f t="array" ref="M359">IFERROR(INDEX($F$70:$F$846,L359,1),"")</f>
        <v/>
      </c>
    </row>
    <row r="360" spans="1:13" x14ac:dyDescent="0.45">
      <c r="A360" t="s">
        <v>2661</v>
      </c>
      <c r="B360" s="206">
        <v>305</v>
      </c>
      <c r="C360" t="s">
        <v>3335</v>
      </c>
      <c r="D360" s="206" t="s">
        <v>3336</v>
      </c>
      <c r="E360" s="206" t="str">
        <f t="shared" si="40"/>
        <v>09</v>
      </c>
      <c r="F360" t="str">
        <f t="shared" si="41"/>
        <v>Chi cục thuế Huyện Lương Sơn</v>
      </c>
      <c r="G360" t="str">
        <f t="shared" si="46"/>
        <v>Lương Sơn</v>
      </c>
      <c r="H360" s="206"/>
      <c r="I360" s="206" t="str">
        <f t="shared" si="42"/>
        <v>30509</v>
      </c>
      <c r="J360" t="str">
        <f t="shared" si="43"/>
        <v/>
      </c>
      <c r="K360" t="str">
        <f>IF(J360="","",ROWS($K$70:K360))</f>
        <v/>
      </c>
      <c r="L360" t="str">
        <f>IFERROR(SMALL($K$70:$K$846,ROWS($L$70:L360)),"")</f>
        <v/>
      </c>
      <c r="M360" t="str" cm="1">
        <f t="array" ref="M360">IFERROR(INDEX($F$70:$F$846,L360,1),"")</f>
        <v/>
      </c>
    </row>
    <row r="361" spans="1:13" x14ac:dyDescent="0.45">
      <c r="A361" t="s">
        <v>2661</v>
      </c>
      <c r="B361" s="206">
        <v>305</v>
      </c>
      <c r="C361" t="s">
        <v>3337</v>
      </c>
      <c r="D361" s="206" t="s">
        <v>3338</v>
      </c>
      <c r="E361" s="206" t="str">
        <f t="shared" si="40"/>
        <v>10</v>
      </c>
      <c r="F361" t="str">
        <f t="shared" si="41"/>
        <v>Chi cục thuế Huyện Cao Phong</v>
      </c>
      <c r="G361" t="str">
        <f t="shared" si="46"/>
        <v>Cao Phong</v>
      </c>
      <c r="H361" s="206"/>
      <c r="I361" s="206" t="str">
        <f t="shared" si="42"/>
        <v>30510</v>
      </c>
      <c r="J361" t="str">
        <f t="shared" si="43"/>
        <v/>
      </c>
      <c r="K361" t="str">
        <f>IF(J361="","",ROWS($K$70:K361))</f>
        <v/>
      </c>
      <c r="L361" t="str">
        <f>IFERROR(SMALL($K$70:$K$846,ROWS($L$70:L361)),"")</f>
        <v/>
      </c>
      <c r="M361" t="str" cm="1">
        <f t="array" ref="M361">IFERROR(INDEX($F$70:$F$846,L361,1),"")</f>
        <v/>
      </c>
    </row>
    <row r="362" spans="1:13" x14ac:dyDescent="0.45">
      <c r="A362" t="s">
        <v>2661</v>
      </c>
      <c r="B362" s="206">
        <v>305</v>
      </c>
      <c r="C362" t="s">
        <v>3339</v>
      </c>
      <c r="D362" s="206" t="s">
        <v>3340</v>
      </c>
      <c r="E362" s="206" t="str">
        <f t="shared" si="40"/>
        <v>11</v>
      </c>
      <c r="F362" t="str">
        <f t="shared" si="41"/>
        <v>Chi cục thuế Huyện Kim Bôi</v>
      </c>
      <c r="G362" t="str">
        <f t="shared" si="46"/>
        <v>Kim Bôi</v>
      </c>
      <c r="H362" s="206"/>
      <c r="I362" s="206" t="str">
        <f t="shared" si="42"/>
        <v>30511</v>
      </c>
      <c r="J362" t="str">
        <f t="shared" si="43"/>
        <v/>
      </c>
      <c r="K362" t="str">
        <f>IF(J362="","",ROWS($K$70:K362))</f>
        <v/>
      </c>
      <c r="L362" t="str">
        <f>IFERROR(SMALL($K$70:$K$846,ROWS($L$70:L362)),"")</f>
        <v/>
      </c>
      <c r="M362" t="str" cm="1">
        <f t="array" ref="M362">IFERROR(INDEX($F$70:$F$846,L362,1),"")</f>
        <v/>
      </c>
    </row>
    <row r="363" spans="1:13" x14ac:dyDescent="0.45">
      <c r="A363" t="s">
        <v>2661</v>
      </c>
      <c r="B363" s="206">
        <v>305</v>
      </c>
      <c r="C363" t="s">
        <v>3341</v>
      </c>
      <c r="D363" s="206" t="s">
        <v>3342</v>
      </c>
      <c r="E363" s="206" t="str">
        <f t="shared" si="40"/>
        <v>13</v>
      </c>
      <c r="F363" t="str">
        <f t="shared" si="41"/>
        <v>Chi cục thuế Huyện Tân Lạc</v>
      </c>
      <c r="G363" t="str">
        <f t="shared" si="46"/>
        <v>Tân Lạc</v>
      </c>
      <c r="H363" s="206"/>
      <c r="I363" s="206" t="str">
        <f t="shared" si="42"/>
        <v>30513</v>
      </c>
      <c r="J363" t="str">
        <f t="shared" si="43"/>
        <v/>
      </c>
      <c r="K363" t="str">
        <f>IF(J363="","",ROWS($K$70:K363))</f>
        <v/>
      </c>
      <c r="L363" t="str">
        <f>IFERROR(SMALL($K$70:$K$846,ROWS($L$70:L363)),"")</f>
        <v/>
      </c>
      <c r="M363" t="str" cm="1">
        <f t="array" ref="M363">IFERROR(INDEX($F$70:$F$846,L363,1),"")</f>
        <v/>
      </c>
    </row>
    <row r="364" spans="1:13" x14ac:dyDescent="0.45">
      <c r="A364" t="s">
        <v>2661</v>
      </c>
      <c r="B364" s="206">
        <v>305</v>
      </c>
      <c r="C364" t="s">
        <v>3343</v>
      </c>
      <c r="D364" s="206" t="s">
        <v>3344</v>
      </c>
      <c r="E364" s="206" t="str">
        <f t="shared" si="40"/>
        <v>15</v>
      </c>
      <c r="F364" t="str">
        <f t="shared" si="41"/>
        <v>Chi cục thuế Huyện Lạc Sơn</v>
      </c>
      <c r="G364" t="str">
        <f t="shared" si="46"/>
        <v>Lạc Sơn</v>
      </c>
      <c r="H364" s="206"/>
      <c r="I364" s="206" t="str">
        <f t="shared" si="42"/>
        <v>30515</v>
      </c>
      <c r="J364" t="str">
        <f t="shared" si="43"/>
        <v/>
      </c>
      <c r="K364" t="str">
        <f>IF(J364="","",ROWS($K$70:K364))</f>
        <v/>
      </c>
      <c r="L364" t="str">
        <f>IFERROR(SMALL($K$70:$K$846,ROWS($L$70:L364)),"")</f>
        <v/>
      </c>
      <c r="M364" t="str" cm="1">
        <f t="array" ref="M364">IFERROR(INDEX($F$70:$F$846,L364,1),"")</f>
        <v/>
      </c>
    </row>
    <row r="365" spans="1:13" x14ac:dyDescent="0.45">
      <c r="A365" t="s">
        <v>2661</v>
      </c>
      <c r="B365" s="206">
        <v>305</v>
      </c>
      <c r="C365" t="s">
        <v>3345</v>
      </c>
      <c r="D365" s="206" t="s">
        <v>3346</v>
      </c>
      <c r="E365" s="206" t="str">
        <f t="shared" si="40"/>
        <v>17</v>
      </c>
      <c r="F365" t="str">
        <f t="shared" si="41"/>
        <v>Chi cục thuế Huyện Lạc Thuỷ</v>
      </c>
      <c r="G365" t="str">
        <f t="shared" si="46"/>
        <v>Lạc Thuỷ</v>
      </c>
      <c r="H365" s="206"/>
      <c r="I365" s="206" t="str">
        <f t="shared" si="42"/>
        <v>30517</v>
      </c>
      <c r="J365" t="str">
        <f t="shared" si="43"/>
        <v/>
      </c>
      <c r="K365" t="str">
        <f>IF(J365="","",ROWS($K$70:K365))</f>
        <v/>
      </c>
      <c r="L365" t="str">
        <f>IFERROR(SMALL($K$70:$K$846,ROWS($L$70:L365)),"")</f>
        <v/>
      </c>
      <c r="M365" t="str" cm="1">
        <f t="array" ref="M365">IFERROR(INDEX($F$70:$F$846,L365,1),"")</f>
        <v/>
      </c>
    </row>
    <row r="366" spans="1:13" x14ac:dyDescent="0.45">
      <c r="A366" t="s">
        <v>2661</v>
      </c>
      <c r="B366" s="206">
        <v>305</v>
      </c>
      <c r="C366" t="s">
        <v>3347</v>
      </c>
      <c r="D366" s="206" t="s">
        <v>3348</v>
      </c>
      <c r="E366" s="206" t="str">
        <f t="shared" si="40"/>
        <v>19</v>
      </c>
      <c r="F366" t="str">
        <f t="shared" si="41"/>
        <v>Chi cục thuế Huyện Yên Thuỷ</v>
      </c>
      <c r="G366" t="str">
        <f t="shared" si="46"/>
        <v>Yên Thuỷ</v>
      </c>
      <c r="H366" s="206"/>
      <c r="I366" s="206" t="str">
        <f t="shared" si="42"/>
        <v>30519</v>
      </c>
      <c r="J366" t="str">
        <f t="shared" si="43"/>
        <v/>
      </c>
      <c r="K366" t="str">
        <f>IF(J366="","",ROWS($K$70:K366))</f>
        <v/>
      </c>
      <c r="L366" t="str">
        <f>IFERROR(SMALL($K$70:$K$846,ROWS($L$70:L366)),"")</f>
        <v/>
      </c>
      <c r="M366" t="str" cm="1">
        <f t="array" ref="M366">IFERROR(INDEX($F$70:$F$846,L366,1),"")</f>
        <v/>
      </c>
    </row>
    <row r="367" spans="1:13" x14ac:dyDescent="0.45">
      <c r="A367" t="s">
        <v>2712</v>
      </c>
      <c r="B367" s="206">
        <v>401</v>
      </c>
      <c r="C367" t="s">
        <v>3349</v>
      </c>
      <c r="D367" s="206" t="s">
        <v>3350</v>
      </c>
      <c r="E367" s="206" t="str">
        <f t="shared" si="40"/>
        <v>00</v>
      </c>
      <c r="F367" t="str">
        <f t="shared" si="41"/>
        <v>Cục thuế Tỉnh Thanh Hoá</v>
      </c>
      <c r="H367" s="206" t="str">
        <f>IF(E368="01",A368,"")</f>
        <v>Thanh Hoá</v>
      </c>
      <c r="I367" s="206" t="str">
        <f t="shared" si="42"/>
        <v>40100</v>
      </c>
      <c r="J367" t="str">
        <f t="shared" si="43"/>
        <v/>
      </c>
      <c r="K367" t="str">
        <f>IF(J367="","",ROWS($K$70:K367))</f>
        <v/>
      </c>
      <c r="L367" t="str">
        <f>IFERROR(SMALL($K$70:$K$846,ROWS($L$70:L367)),"")</f>
        <v/>
      </c>
      <c r="M367" t="str" cm="1">
        <f t="array" ref="M367">IFERROR(INDEX($F$70:$F$846,L367,1),"")</f>
        <v/>
      </c>
    </row>
    <row r="368" spans="1:13" x14ac:dyDescent="0.45">
      <c r="A368" t="s">
        <v>2712</v>
      </c>
      <c r="B368" s="206">
        <v>401</v>
      </c>
      <c r="C368" t="s">
        <v>3351</v>
      </c>
      <c r="D368" s="206" t="s">
        <v>3352</v>
      </c>
      <c r="E368" s="206" t="str">
        <f t="shared" si="40"/>
        <v>01</v>
      </c>
      <c r="F368" t="str">
        <f t="shared" si="41"/>
        <v>Chi cục thuế Thành phố Thanh Hoá</v>
      </c>
      <c r="H368" s="206"/>
      <c r="I368" s="206" t="str">
        <f t="shared" si="42"/>
        <v>40101</v>
      </c>
      <c r="J368" t="str">
        <f t="shared" si="43"/>
        <v/>
      </c>
      <c r="K368" t="str">
        <f>IF(J368="","",ROWS($K$70:K368))</f>
        <v/>
      </c>
      <c r="L368" t="str">
        <f>IFERROR(SMALL($K$70:$K$846,ROWS($L$70:L368)),"")</f>
        <v/>
      </c>
      <c r="M368" t="str" cm="1">
        <f t="array" ref="M368">IFERROR(INDEX($F$70:$F$846,L368,1),"")</f>
        <v/>
      </c>
    </row>
    <row r="369" spans="1:13" x14ac:dyDescent="0.45">
      <c r="A369" t="s">
        <v>2712</v>
      </c>
      <c r="B369" s="206">
        <v>401</v>
      </c>
      <c r="C369" t="s">
        <v>3353</v>
      </c>
      <c r="D369" s="206" t="s">
        <v>3354</v>
      </c>
      <c r="E369" s="206" t="str">
        <f t="shared" si="40"/>
        <v>03</v>
      </c>
      <c r="F369" t="str">
        <f t="shared" si="41"/>
        <v>Chi cục thuế Thị xã Bỉm Sơn</v>
      </c>
      <c r="H369" s="206"/>
      <c r="I369" s="206" t="str">
        <f t="shared" si="42"/>
        <v>40103</v>
      </c>
      <c r="J369" t="str">
        <f t="shared" si="43"/>
        <v/>
      </c>
      <c r="K369" t="str">
        <f>IF(J369="","",ROWS($K$70:K369))</f>
        <v/>
      </c>
      <c r="L369" t="str">
        <f>IFERROR(SMALL($K$70:$K$846,ROWS($L$70:L369)),"")</f>
        <v/>
      </c>
      <c r="M369" t="str" cm="1">
        <f t="array" ref="M369">IFERROR(INDEX($F$70:$F$846,L369,1),"")</f>
        <v/>
      </c>
    </row>
    <row r="370" spans="1:13" x14ac:dyDescent="0.45">
      <c r="A370" t="s">
        <v>2712</v>
      </c>
      <c r="B370" s="206">
        <v>401</v>
      </c>
      <c r="C370" t="s">
        <v>3355</v>
      </c>
      <c r="D370" s="206" t="s">
        <v>3356</v>
      </c>
      <c r="E370" s="206" t="str">
        <f t="shared" si="40"/>
        <v>05</v>
      </c>
      <c r="F370" t="str">
        <f t="shared" si="41"/>
        <v>Chi cục thuế Thị xã Sầm Sơn</v>
      </c>
      <c r="H370" s="206"/>
      <c r="I370" s="206" t="str">
        <f t="shared" si="42"/>
        <v>40105</v>
      </c>
      <c r="J370" t="str">
        <f t="shared" si="43"/>
        <v/>
      </c>
      <c r="K370" t="str">
        <f>IF(J370="","",ROWS($K$70:K370))</f>
        <v/>
      </c>
      <c r="L370" t="str">
        <f>IFERROR(SMALL($K$70:$K$846,ROWS($L$70:L370)),"")</f>
        <v/>
      </c>
      <c r="M370" t="str" cm="1">
        <f t="array" ref="M370">IFERROR(INDEX($F$70:$F$846,L370,1),"")</f>
        <v/>
      </c>
    </row>
    <row r="371" spans="1:13" x14ac:dyDescent="0.45">
      <c r="A371" t="s">
        <v>2712</v>
      </c>
      <c r="B371" s="206">
        <v>401</v>
      </c>
      <c r="C371" t="s">
        <v>3357</v>
      </c>
      <c r="D371" s="206" t="s">
        <v>3358</v>
      </c>
      <c r="E371" s="206" t="str">
        <f t="shared" si="40"/>
        <v>07</v>
      </c>
      <c r="F371" t="str">
        <f t="shared" si="41"/>
        <v>Chi cục thuế Huyện Mường Lát</v>
      </c>
      <c r="G371" t="str">
        <f t="shared" ref="G371:G394" si="47">RIGHT(C371,LEN(C371)-6)</f>
        <v>Mường Lát</v>
      </c>
      <c r="H371" s="206"/>
      <c r="I371" s="206" t="str">
        <f t="shared" si="42"/>
        <v>40107</v>
      </c>
      <c r="J371" t="str">
        <f t="shared" si="43"/>
        <v/>
      </c>
      <c r="K371" t="str">
        <f>IF(J371="","",ROWS($K$70:K371))</f>
        <v/>
      </c>
      <c r="L371" t="str">
        <f>IFERROR(SMALL($K$70:$K$846,ROWS($L$70:L371)),"")</f>
        <v/>
      </c>
      <c r="M371" t="str" cm="1">
        <f t="array" ref="M371">IFERROR(INDEX($F$70:$F$846,L371,1),"")</f>
        <v/>
      </c>
    </row>
    <row r="372" spans="1:13" x14ac:dyDescent="0.45">
      <c r="A372" t="s">
        <v>2712</v>
      </c>
      <c r="B372" s="206">
        <v>401</v>
      </c>
      <c r="C372" t="s">
        <v>3359</v>
      </c>
      <c r="D372" s="206" t="s">
        <v>3360</v>
      </c>
      <c r="E372" s="206" t="str">
        <f t="shared" si="40"/>
        <v>09</v>
      </c>
      <c r="F372" t="str">
        <f t="shared" si="41"/>
        <v>Chi cục thuế Huyện Quan Hoá</v>
      </c>
      <c r="G372" t="str">
        <f t="shared" si="47"/>
        <v>Quan Hoá</v>
      </c>
      <c r="H372" s="206"/>
      <c r="I372" s="206" t="str">
        <f t="shared" si="42"/>
        <v>40109</v>
      </c>
      <c r="J372" t="str">
        <f t="shared" si="43"/>
        <v/>
      </c>
      <c r="K372" t="str">
        <f>IF(J372="","",ROWS($K$70:K372))</f>
        <v/>
      </c>
      <c r="L372" t="str">
        <f>IFERROR(SMALL($K$70:$K$846,ROWS($L$70:L372)),"")</f>
        <v/>
      </c>
      <c r="M372" t="str" cm="1">
        <f t="array" ref="M372">IFERROR(INDEX($F$70:$F$846,L372,1),"")</f>
        <v/>
      </c>
    </row>
    <row r="373" spans="1:13" x14ac:dyDescent="0.45">
      <c r="A373" t="s">
        <v>2712</v>
      </c>
      <c r="B373" s="206">
        <v>401</v>
      </c>
      <c r="C373" t="s">
        <v>3361</v>
      </c>
      <c r="D373" s="206" t="s">
        <v>3362</v>
      </c>
      <c r="E373" s="206" t="str">
        <f t="shared" si="40"/>
        <v>11</v>
      </c>
      <c r="F373" t="str">
        <f t="shared" si="41"/>
        <v>Chi cục thuế Huyện Quan Sơn</v>
      </c>
      <c r="G373" t="str">
        <f t="shared" si="47"/>
        <v>Quan Sơn</v>
      </c>
      <c r="H373" s="206"/>
      <c r="I373" s="206" t="str">
        <f t="shared" si="42"/>
        <v>40111</v>
      </c>
      <c r="J373" t="str">
        <f t="shared" si="43"/>
        <v/>
      </c>
      <c r="K373" t="str">
        <f>IF(J373="","",ROWS($K$70:K373))</f>
        <v/>
      </c>
      <c r="L373" t="str">
        <f>IFERROR(SMALL($K$70:$K$846,ROWS($L$70:L373)),"")</f>
        <v/>
      </c>
      <c r="M373" t="str" cm="1">
        <f t="array" ref="M373">IFERROR(INDEX($F$70:$F$846,L373,1),"")</f>
        <v/>
      </c>
    </row>
    <row r="374" spans="1:13" x14ac:dyDescent="0.45">
      <c r="A374" t="s">
        <v>2712</v>
      </c>
      <c r="B374" s="206">
        <v>401</v>
      </c>
      <c r="C374" t="s">
        <v>3363</v>
      </c>
      <c r="D374" s="206" t="s">
        <v>3364</v>
      </c>
      <c r="E374" s="206" t="str">
        <f t="shared" si="40"/>
        <v>13</v>
      </c>
      <c r="F374" t="str">
        <f t="shared" si="41"/>
        <v>Chi cục thuế Huyện Bá Thước</v>
      </c>
      <c r="G374" t="str">
        <f t="shared" si="47"/>
        <v>Bá Thước</v>
      </c>
      <c r="H374" s="206"/>
      <c r="I374" s="206" t="str">
        <f t="shared" si="42"/>
        <v>40113</v>
      </c>
      <c r="J374" t="str">
        <f t="shared" si="43"/>
        <v/>
      </c>
      <c r="K374" t="str">
        <f>IF(J374="","",ROWS($K$70:K374))</f>
        <v/>
      </c>
      <c r="L374" t="str">
        <f>IFERROR(SMALL($K$70:$K$846,ROWS($L$70:L374)),"")</f>
        <v/>
      </c>
      <c r="M374" t="str" cm="1">
        <f t="array" ref="M374">IFERROR(INDEX($F$70:$F$846,L374,1),"")</f>
        <v/>
      </c>
    </row>
    <row r="375" spans="1:13" x14ac:dyDescent="0.45">
      <c r="A375" t="s">
        <v>2712</v>
      </c>
      <c r="B375" s="206">
        <v>401</v>
      </c>
      <c r="C375" t="s">
        <v>3365</v>
      </c>
      <c r="D375" s="206" t="s">
        <v>3366</v>
      </c>
      <c r="E375" s="206" t="str">
        <f t="shared" si="40"/>
        <v>15</v>
      </c>
      <c r="F375" t="str">
        <f t="shared" si="41"/>
        <v>Chi cục thuế Huyện Cẩm Thuỷ</v>
      </c>
      <c r="G375" t="str">
        <f t="shared" si="47"/>
        <v>Cẩm Thuỷ</v>
      </c>
      <c r="H375" s="206"/>
      <c r="I375" s="206" t="str">
        <f t="shared" si="42"/>
        <v>40115</v>
      </c>
      <c r="J375" t="str">
        <f t="shared" si="43"/>
        <v/>
      </c>
      <c r="K375" t="str">
        <f>IF(J375="","",ROWS($K$70:K375))</f>
        <v/>
      </c>
      <c r="L375" t="str">
        <f>IFERROR(SMALL($K$70:$K$846,ROWS($L$70:L375)),"")</f>
        <v/>
      </c>
      <c r="M375" t="str" cm="1">
        <f t="array" ref="M375">IFERROR(INDEX($F$70:$F$846,L375,1),"")</f>
        <v/>
      </c>
    </row>
    <row r="376" spans="1:13" x14ac:dyDescent="0.45">
      <c r="A376" t="s">
        <v>2712</v>
      </c>
      <c r="B376" s="206">
        <v>401</v>
      </c>
      <c r="C376" t="s">
        <v>3367</v>
      </c>
      <c r="D376" s="206" t="s">
        <v>3368</v>
      </c>
      <c r="E376" s="206" t="str">
        <f t="shared" si="40"/>
        <v>17</v>
      </c>
      <c r="F376" t="str">
        <f t="shared" si="41"/>
        <v>Chi cục thuế Huyện Lang Chánh</v>
      </c>
      <c r="G376" t="str">
        <f t="shared" si="47"/>
        <v>Lang Chánh</v>
      </c>
      <c r="H376" s="206"/>
      <c r="I376" s="206" t="str">
        <f t="shared" si="42"/>
        <v>40117</v>
      </c>
      <c r="J376" t="str">
        <f t="shared" si="43"/>
        <v/>
      </c>
      <c r="K376" t="str">
        <f>IF(J376="","",ROWS($K$70:K376))</f>
        <v/>
      </c>
      <c r="L376" t="str">
        <f>IFERROR(SMALL($K$70:$K$846,ROWS($L$70:L376)),"")</f>
        <v/>
      </c>
      <c r="M376" t="str" cm="1">
        <f t="array" ref="M376">IFERROR(INDEX($F$70:$F$846,L376,1),"")</f>
        <v/>
      </c>
    </row>
    <row r="377" spans="1:13" x14ac:dyDescent="0.45">
      <c r="A377" t="s">
        <v>2712</v>
      </c>
      <c r="B377" s="206">
        <v>401</v>
      </c>
      <c r="C377" t="s">
        <v>3369</v>
      </c>
      <c r="D377" s="206" t="s">
        <v>3370</v>
      </c>
      <c r="E377" s="206" t="str">
        <f t="shared" si="40"/>
        <v>19</v>
      </c>
      <c r="F377" t="str">
        <f t="shared" si="41"/>
        <v>Chi cục thuế Huyện Thạch Thành</v>
      </c>
      <c r="G377" t="str">
        <f t="shared" si="47"/>
        <v>Thạch Thành</v>
      </c>
      <c r="H377" s="206"/>
      <c r="I377" s="206" t="str">
        <f t="shared" si="42"/>
        <v>40119</v>
      </c>
      <c r="J377" t="str">
        <f t="shared" si="43"/>
        <v/>
      </c>
      <c r="K377" t="str">
        <f>IF(J377="","",ROWS($K$70:K377))</f>
        <v/>
      </c>
      <c r="L377" t="str">
        <f>IFERROR(SMALL($K$70:$K$846,ROWS($L$70:L377)),"")</f>
        <v/>
      </c>
      <c r="M377" t="str" cm="1">
        <f t="array" ref="M377">IFERROR(INDEX($F$70:$F$846,L377,1),"")</f>
        <v/>
      </c>
    </row>
    <row r="378" spans="1:13" x14ac:dyDescent="0.45">
      <c r="A378" t="s">
        <v>2712</v>
      </c>
      <c r="B378" s="206">
        <v>401</v>
      </c>
      <c r="C378" t="s">
        <v>3371</v>
      </c>
      <c r="D378" s="206" t="s">
        <v>3372</v>
      </c>
      <c r="E378" s="206" t="str">
        <f t="shared" si="40"/>
        <v>21</v>
      </c>
      <c r="F378" t="str">
        <f t="shared" si="41"/>
        <v>Chi cục thuế Huyện Ngọc Lặc</v>
      </c>
      <c r="G378" t="str">
        <f t="shared" si="47"/>
        <v>Ngọc Lặc</v>
      </c>
      <c r="H378" s="206"/>
      <c r="I378" s="206" t="str">
        <f t="shared" si="42"/>
        <v>40121</v>
      </c>
      <c r="J378" t="str">
        <f t="shared" si="43"/>
        <v/>
      </c>
      <c r="K378" t="str">
        <f>IF(J378="","",ROWS($K$70:K378))</f>
        <v/>
      </c>
      <c r="L378" t="str">
        <f>IFERROR(SMALL($K$70:$K$846,ROWS($L$70:L378)),"")</f>
        <v/>
      </c>
      <c r="M378" t="str" cm="1">
        <f t="array" ref="M378">IFERROR(INDEX($F$70:$F$846,L378,1),"")</f>
        <v/>
      </c>
    </row>
    <row r="379" spans="1:13" x14ac:dyDescent="0.45">
      <c r="A379" t="s">
        <v>2712</v>
      </c>
      <c r="B379" s="206">
        <v>401</v>
      </c>
      <c r="C379" t="s">
        <v>3373</v>
      </c>
      <c r="D379" s="206" t="s">
        <v>3374</v>
      </c>
      <c r="E379" s="206" t="str">
        <f t="shared" si="40"/>
        <v>23</v>
      </c>
      <c r="F379" t="str">
        <f t="shared" si="41"/>
        <v>Chi cục thuế Huyện Thường Xuân</v>
      </c>
      <c r="G379" t="str">
        <f t="shared" si="47"/>
        <v>Thường Xuân</v>
      </c>
      <c r="H379" s="206"/>
      <c r="I379" s="206" t="str">
        <f t="shared" si="42"/>
        <v>40123</v>
      </c>
      <c r="J379" t="str">
        <f t="shared" si="43"/>
        <v/>
      </c>
      <c r="K379" t="str">
        <f>IF(J379="","",ROWS($K$70:K379))</f>
        <v/>
      </c>
      <c r="L379" t="str">
        <f>IFERROR(SMALL($K$70:$K$846,ROWS($L$70:L379)),"")</f>
        <v/>
      </c>
      <c r="M379" t="str" cm="1">
        <f t="array" ref="M379">IFERROR(INDEX($F$70:$F$846,L379,1),"")</f>
        <v/>
      </c>
    </row>
    <row r="380" spans="1:13" x14ac:dyDescent="0.45">
      <c r="A380" t="s">
        <v>2712</v>
      </c>
      <c r="B380" s="206">
        <v>401</v>
      </c>
      <c r="C380" t="s">
        <v>3375</v>
      </c>
      <c r="D380" s="206" t="s">
        <v>3376</v>
      </c>
      <c r="E380" s="206" t="str">
        <f t="shared" si="40"/>
        <v>25</v>
      </c>
      <c r="F380" t="str">
        <f t="shared" si="41"/>
        <v>Chi cục thuế Huyện Như Xuân</v>
      </c>
      <c r="G380" t="str">
        <f t="shared" si="47"/>
        <v>Như Xuân</v>
      </c>
      <c r="H380" s="206"/>
      <c r="I380" s="206" t="str">
        <f t="shared" si="42"/>
        <v>40125</v>
      </c>
      <c r="J380" t="str">
        <f t="shared" si="43"/>
        <v/>
      </c>
      <c r="K380" t="str">
        <f>IF(J380="","",ROWS($K$70:K380))</f>
        <v/>
      </c>
      <c r="L380" t="str">
        <f>IFERROR(SMALL($K$70:$K$846,ROWS($L$70:L380)),"")</f>
        <v/>
      </c>
      <c r="M380" t="str" cm="1">
        <f t="array" ref="M380">IFERROR(INDEX($F$70:$F$846,L380,1),"")</f>
        <v/>
      </c>
    </row>
    <row r="381" spans="1:13" x14ac:dyDescent="0.45">
      <c r="A381" t="s">
        <v>2712</v>
      </c>
      <c r="B381" s="206">
        <v>401</v>
      </c>
      <c r="C381" t="s">
        <v>3377</v>
      </c>
      <c r="D381" s="206" t="s">
        <v>3378</v>
      </c>
      <c r="E381" s="206" t="str">
        <f t="shared" si="40"/>
        <v>27</v>
      </c>
      <c r="F381" t="str">
        <f t="shared" si="41"/>
        <v>Chi cục thuế Huyện Như Thanh</v>
      </c>
      <c r="G381" t="str">
        <f t="shared" si="47"/>
        <v>Như Thanh</v>
      </c>
      <c r="H381" s="206"/>
      <c r="I381" s="206" t="str">
        <f t="shared" si="42"/>
        <v>40127</v>
      </c>
      <c r="J381" t="str">
        <f t="shared" si="43"/>
        <v/>
      </c>
      <c r="K381" t="str">
        <f>IF(J381="","",ROWS($K$70:K381))</f>
        <v/>
      </c>
      <c r="L381" t="str">
        <f>IFERROR(SMALL($K$70:$K$846,ROWS($L$70:L381)),"")</f>
        <v/>
      </c>
      <c r="M381" t="str" cm="1">
        <f t="array" ref="M381">IFERROR(INDEX($F$70:$F$846,L381,1),"")</f>
        <v/>
      </c>
    </row>
    <row r="382" spans="1:13" x14ac:dyDescent="0.45">
      <c r="A382" t="s">
        <v>2712</v>
      </c>
      <c r="B382" s="206">
        <v>401</v>
      </c>
      <c r="C382" t="s">
        <v>3379</v>
      </c>
      <c r="D382" s="206" t="s">
        <v>3380</v>
      </c>
      <c r="E382" s="206" t="str">
        <f t="shared" si="40"/>
        <v>29</v>
      </c>
      <c r="F382" t="str">
        <f t="shared" si="41"/>
        <v>Chi cục thuế Huyện Vĩnh Lộc</v>
      </c>
      <c r="G382" t="str">
        <f t="shared" si="47"/>
        <v>Vĩnh Lộc</v>
      </c>
      <c r="H382" s="206"/>
      <c r="I382" s="206" t="str">
        <f t="shared" si="42"/>
        <v>40129</v>
      </c>
      <c r="J382" t="str">
        <f t="shared" si="43"/>
        <v/>
      </c>
      <c r="K382" t="str">
        <f>IF(J382="","",ROWS($K$70:K382))</f>
        <v/>
      </c>
      <c r="L382" t="str">
        <f>IFERROR(SMALL($K$70:$K$846,ROWS($L$70:L382)),"")</f>
        <v/>
      </c>
      <c r="M382" t="str" cm="1">
        <f t="array" ref="M382">IFERROR(INDEX($F$70:$F$846,L382,1),"")</f>
        <v/>
      </c>
    </row>
    <row r="383" spans="1:13" x14ac:dyDescent="0.45">
      <c r="A383" t="s">
        <v>2712</v>
      </c>
      <c r="B383" s="206">
        <v>401</v>
      </c>
      <c r="C383" t="s">
        <v>3381</v>
      </c>
      <c r="D383" s="206" t="s">
        <v>3382</v>
      </c>
      <c r="E383" s="206" t="str">
        <f t="shared" si="40"/>
        <v>31</v>
      </c>
      <c r="F383" t="str">
        <f t="shared" si="41"/>
        <v>Chi cục thuế Huyện Hà Trung</v>
      </c>
      <c r="G383" t="str">
        <f t="shared" si="47"/>
        <v>Hà Trung</v>
      </c>
      <c r="H383" s="206"/>
      <c r="I383" s="206" t="str">
        <f t="shared" si="42"/>
        <v>40131</v>
      </c>
      <c r="J383" t="str">
        <f t="shared" si="43"/>
        <v/>
      </c>
      <c r="K383" t="str">
        <f>IF(J383="","",ROWS($K$70:K383))</f>
        <v/>
      </c>
      <c r="L383" t="str">
        <f>IFERROR(SMALL($K$70:$K$846,ROWS($L$70:L383)),"")</f>
        <v/>
      </c>
      <c r="M383" t="str" cm="1">
        <f t="array" ref="M383">IFERROR(INDEX($F$70:$F$846,L383,1),"")</f>
        <v/>
      </c>
    </row>
    <row r="384" spans="1:13" x14ac:dyDescent="0.45">
      <c r="A384" t="s">
        <v>2712</v>
      </c>
      <c r="B384" s="206">
        <v>401</v>
      </c>
      <c r="C384" t="s">
        <v>3383</v>
      </c>
      <c r="D384" s="206" t="s">
        <v>3384</v>
      </c>
      <c r="E384" s="206" t="str">
        <f t="shared" si="40"/>
        <v>33</v>
      </c>
      <c r="F384" t="str">
        <f t="shared" si="41"/>
        <v>Chi cục thuế Huyện Nga Sơn</v>
      </c>
      <c r="G384" t="str">
        <f t="shared" si="47"/>
        <v>Nga Sơn</v>
      </c>
      <c r="H384" s="206"/>
      <c r="I384" s="206" t="str">
        <f t="shared" si="42"/>
        <v>40133</v>
      </c>
      <c r="J384" t="str">
        <f t="shared" si="43"/>
        <v/>
      </c>
      <c r="K384" t="str">
        <f>IF(J384="","",ROWS($K$70:K384))</f>
        <v/>
      </c>
      <c r="L384" t="str">
        <f>IFERROR(SMALL($K$70:$K$846,ROWS($L$70:L384)),"")</f>
        <v/>
      </c>
      <c r="M384" t="str" cm="1">
        <f t="array" ref="M384">IFERROR(INDEX($F$70:$F$846,L384,1),"")</f>
        <v/>
      </c>
    </row>
    <row r="385" spans="1:13" x14ac:dyDescent="0.45">
      <c r="A385" t="s">
        <v>2712</v>
      </c>
      <c r="B385" s="206">
        <v>401</v>
      </c>
      <c r="C385" t="s">
        <v>3385</v>
      </c>
      <c r="D385" s="206" t="s">
        <v>3386</v>
      </c>
      <c r="E385" s="206" t="str">
        <f t="shared" si="40"/>
        <v>35</v>
      </c>
      <c r="F385" t="str">
        <f t="shared" si="41"/>
        <v>Chi cục thuế Huyện Yên Định</v>
      </c>
      <c r="G385" t="str">
        <f t="shared" si="47"/>
        <v>Yên Định</v>
      </c>
      <c r="H385" s="206"/>
      <c r="I385" s="206" t="str">
        <f t="shared" si="42"/>
        <v>40135</v>
      </c>
      <c r="J385" t="str">
        <f t="shared" si="43"/>
        <v/>
      </c>
      <c r="K385" t="str">
        <f>IF(J385="","",ROWS($K$70:K385))</f>
        <v/>
      </c>
      <c r="L385" t="str">
        <f>IFERROR(SMALL($K$70:$K$846,ROWS($L$70:L385)),"")</f>
        <v/>
      </c>
      <c r="M385" t="str" cm="1">
        <f t="array" ref="M385">IFERROR(INDEX($F$70:$F$846,L385,1),"")</f>
        <v/>
      </c>
    </row>
    <row r="386" spans="1:13" x14ac:dyDescent="0.45">
      <c r="A386" t="s">
        <v>2712</v>
      </c>
      <c r="B386" s="206">
        <v>401</v>
      </c>
      <c r="C386" t="s">
        <v>3387</v>
      </c>
      <c r="D386" s="206" t="s">
        <v>3388</v>
      </c>
      <c r="E386" s="206" t="str">
        <f t="shared" si="40"/>
        <v>37</v>
      </c>
      <c r="F386" t="str">
        <f t="shared" si="41"/>
        <v>Chi cục thuế Huyện Thọ Xuân</v>
      </c>
      <c r="G386" t="str">
        <f t="shared" si="47"/>
        <v>Thọ Xuân</v>
      </c>
      <c r="H386" s="206"/>
      <c r="I386" s="206" t="str">
        <f t="shared" si="42"/>
        <v>40137</v>
      </c>
      <c r="J386" t="str">
        <f t="shared" si="43"/>
        <v/>
      </c>
      <c r="K386" t="str">
        <f>IF(J386="","",ROWS($K$70:K386))</f>
        <v/>
      </c>
      <c r="L386" t="str">
        <f>IFERROR(SMALL($K$70:$K$846,ROWS($L$70:L386)),"")</f>
        <v/>
      </c>
      <c r="M386" t="str" cm="1">
        <f t="array" ref="M386">IFERROR(INDEX($F$70:$F$846,L386,1),"")</f>
        <v/>
      </c>
    </row>
    <row r="387" spans="1:13" x14ac:dyDescent="0.45">
      <c r="A387" t="s">
        <v>2712</v>
      </c>
      <c r="B387" s="206">
        <v>401</v>
      </c>
      <c r="C387" t="s">
        <v>3389</v>
      </c>
      <c r="D387" s="206" t="s">
        <v>3390</v>
      </c>
      <c r="E387" s="206" t="str">
        <f t="shared" si="40"/>
        <v>39</v>
      </c>
      <c r="F387" t="str">
        <f t="shared" si="41"/>
        <v>Chi cục thuế Huyện Hậu Lộc</v>
      </c>
      <c r="G387" t="str">
        <f t="shared" si="47"/>
        <v>Hậu Lộc</v>
      </c>
      <c r="H387" s="206"/>
      <c r="I387" s="206" t="str">
        <f t="shared" si="42"/>
        <v>40139</v>
      </c>
      <c r="J387" t="str">
        <f t="shared" si="43"/>
        <v/>
      </c>
      <c r="K387" t="str">
        <f>IF(J387="","",ROWS($K$70:K387))</f>
        <v/>
      </c>
      <c r="L387" t="str">
        <f>IFERROR(SMALL($K$70:$K$846,ROWS($L$70:L387)),"")</f>
        <v/>
      </c>
      <c r="M387" t="str" cm="1">
        <f t="array" ref="M387">IFERROR(INDEX($F$70:$F$846,L387,1),"")</f>
        <v/>
      </c>
    </row>
    <row r="388" spans="1:13" x14ac:dyDescent="0.45">
      <c r="A388" t="s">
        <v>2712</v>
      </c>
      <c r="B388" s="206">
        <v>401</v>
      </c>
      <c r="C388" t="s">
        <v>3391</v>
      </c>
      <c r="D388" s="206" t="s">
        <v>3392</v>
      </c>
      <c r="E388" s="206" t="str">
        <f t="shared" si="40"/>
        <v>41</v>
      </c>
      <c r="F388" t="str">
        <f t="shared" si="41"/>
        <v>Chi cục thuế Huyện Thiệu Hoá</v>
      </c>
      <c r="G388" t="str">
        <f t="shared" si="47"/>
        <v>Thiệu Hoá</v>
      </c>
      <c r="H388" s="206"/>
      <c r="I388" s="206" t="str">
        <f t="shared" si="42"/>
        <v>40141</v>
      </c>
      <c r="J388" t="str">
        <f t="shared" si="43"/>
        <v/>
      </c>
      <c r="K388" t="str">
        <f>IF(J388="","",ROWS($K$70:K388))</f>
        <v/>
      </c>
      <c r="L388" t="str">
        <f>IFERROR(SMALL($K$70:$K$846,ROWS($L$70:L388)),"")</f>
        <v/>
      </c>
      <c r="M388" t="str" cm="1">
        <f t="array" ref="M388">IFERROR(INDEX($F$70:$F$846,L388,1),"")</f>
        <v/>
      </c>
    </row>
    <row r="389" spans="1:13" x14ac:dyDescent="0.45">
      <c r="A389" t="s">
        <v>2712</v>
      </c>
      <c r="B389" s="206">
        <v>401</v>
      </c>
      <c r="C389" t="s">
        <v>3393</v>
      </c>
      <c r="D389" s="206" t="s">
        <v>3394</v>
      </c>
      <c r="E389" s="206" t="str">
        <f t="shared" si="40"/>
        <v>43</v>
      </c>
      <c r="F389" t="str">
        <f t="shared" si="41"/>
        <v>Chi cục thuế Huyện Hoằng Hoá</v>
      </c>
      <c r="G389" t="str">
        <f t="shared" si="47"/>
        <v>Hoằng Hoá</v>
      </c>
      <c r="H389" s="206"/>
      <c r="I389" s="206" t="str">
        <f t="shared" si="42"/>
        <v>40143</v>
      </c>
      <c r="J389" t="str">
        <f t="shared" si="43"/>
        <v/>
      </c>
      <c r="K389" t="str">
        <f>IF(J389="","",ROWS($K$70:K389))</f>
        <v/>
      </c>
      <c r="L389" t="str">
        <f>IFERROR(SMALL($K$70:$K$846,ROWS($L$70:L389)),"")</f>
        <v/>
      </c>
      <c r="M389" t="str" cm="1">
        <f t="array" ref="M389">IFERROR(INDEX($F$70:$F$846,L389,1),"")</f>
        <v/>
      </c>
    </row>
    <row r="390" spans="1:13" x14ac:dyDescent="0.45">
      <c r="A390" t="s">
        <v>2712</v>
      </c>
      <c r="B390" s="206">
        <v>401</v>
      </c>
      <c r="C390" t="s">
        <v>3395</v>
      </c>
      <c r="D390" s="206" t="s">
        <v>3396</v>
      </c>
      <c r="E390" s="206" t="str">
        <f t="shared" si="40"/>
        <v>45</v>
      </c>
      <c r="F390" t="str">
        <f t="shared" si="41"/>
        <v>Chi cục thuế Huyện Đông Sơn</v>
      </c>
      <c r="G390" t="str">
        <f t="shared" si="47"/>
        <v>Đông Sơn</v>
      </c>
      <c r="H390" s="206"/>
      <c r="I390" s="206" t="str">
        <f t="shared" si="42"/>
        <v>40145</v>
      </c>
      <c r="J390" t="str">
        <f t="shared" si="43"/>
        <v/>
      </c>
      <c r="K390" t="str">
        <f>IF(J390="","",ROWS($K$70:K390))</f>
        <v/>
      </c>
      <c r="L390" t="str">
        <f>IFERROR(SMALL($K$70:$K$846,ROWS($L$70:L390)),"")</f>
        <v/>
      </c>
      <c r="M390" t="str" cm="1">
        <f t="array" ref="M390">IFERROR(INDEX($F$70:$F$846,L390,1),"")</f>
        <v/>
      </c>
    </row>
    <row r="391" spans="1:13" x14ac:dyDescent="0.45">
      <c r="A391" t="s">
        <v>2712</v>
      </c>
      <c r="B391" s="206">
        <v>401</v>
      </c>
      <c r="C391" t="s">
        <v>3397</v>
      </c>
      <c r="D391" s="206" t="s">
        <v>3398</v>
      </c>
      <c r="E391" s="206" t="str">
        <f t="shared" ref="E391:E454" si="48">RIGHT(D391,2)</f>
        <v>47</v>
      </c>
      <c r="F391" t="str">
        <f t="shared" ref="F391:F454" si="49">IF(E391="00","Cục thuế "&amp;C391,"Chi cục thuế "&amp;C391)</f>
        <v>Chi cục thuế Huyện Triệu Sơn</v>
      </c>
      <c r="G391" t="str">
        <f t="shared" si="47"/>
        <v>Triệu Sơn</v>
      </c>
      <c r="H391" s="206"/>
      <c r="I391" s="206" t="str">
        <f t="shared" ref="I391:I454" si="50">D391</f>
        <v>40147</v>
      </c>
      <c r="J391" t="str">
        <f t="shared" si="43"/>
        <v/>
      </c>
      <c r="K391" t="str">
        <f>IF(J391="","",ROWS($K$70:K391))</f>
        <v/>
      </c>
      <c r="L391" t="str">
        <f>IFERROR(SMALL($K$70:$K$846,ROWS($L$70:L391)),"")</f>
        <v/>
      </c>
      <c r="M391" t="str" cm="1">
        <f t="array" ref="M391">IFERROR(INDEX($F$70:$F$846,L391,1),"")</f>
        <v/>
      </c>
    </row>
    <row r="392" spans="1:13" x14ac:dyDescent="0.45">
      <c r="A392" t="s">
        <v>2712</v>
      </c>
      <c r="B392" s="206">
        <v>401</v>
      </c>
      <c r="C392" t="s">
        <v>3399</v>
      </c>
      <c r="D392" s="206" t="s">
        <v>3400</v>
      </c>
      <c r="E392" s="206" t="str">
        <f t="shared" si="48"/>
        <v>49</v>
      </c>
      <c r="F392" t="str">
        <f t="shared" si="49"/>
        <v>Chi cục thuế Huyện Quảng Xương</v>
      </c>
      <c r="G392" t="str">
        <f t="shared" si="47"/>
        <v>Quảng Xương</v>
      </c>
      <c r="H392" s="206"/>
      <c r="I392" s="206" t="str">
        <f t="shared" si="50"/>
        <v>40149</v>
      </c>
      <c r="J392" t="str">
        <f t="shared" ref="J392:J455" si="51">IF(A392=$J$69,F392,"")</f>
        <v/>
      </c>
      <c r="K392" t="str">
        <f>IF(J392="","",ROWS($K$70:K392))</f>
        <v/>
      </c>
      <c r="L392" t="str">
        <f>IFERROR(SMALL($K$70:$K$846,ROWS($L$70:L392)),"")</f>
        <v/>
      </c>
      <c r="M392" t="str" cm="1">
        <f t="array" ref="M392">IFERROR(INDEX($F$70:$F$846,L392,1),"")</f>
        <v/>
      </c>
    </row>
    <row r="393" spans="1:13" x14ac:dyDescent="0.45">
      <c r="A393" t="s">
        <v>2712</v>
      </c>
      <c r="B393" s="206">
        <v>401</v>
      </c>
      <c r="C393" t="s">
        <v>3401</v>
      </c>
      <c r="D393" s="206" t="s">
        <v>3402</v>
      </c>
      <c r="E393" s="206" t="str">
        <f t="shared" si="48"/>
        <v>51</v>
      </c>
      <c r="F393" t="str">
        <f t="shared" si="49"/>
        <v>Chi cục thuế Huyện Nông Cống</v>
      </c>
      <c r="G393" t="str">
        <f t="shared" si="47"/>
        <v>Nông Cống</v>
      </c>
      <c r="H393" s="206"/>
      <c r="I393" s="206" t="str">
        <f t="shared" si="50"/>
        <v>40151</v>
      </c>
      <c r="J393" t="str">
        <f t="shared" si="51"/>
        <v/>
      </c>
      <c r="K393" t="str">
        <f>IF(J393="","",ROWS($K$70:K393))</f>
        <v/>
      </c>
      <c r="L393" t="str">
        <f>IFERROR(SMALL($K$70:$K$846,ROWS($L$70:L393)),"")</f>
        <v/>
      </c>
      <c r="M393" t="str" cm="1">
        <f t="array" ref="M393">IFERROR(INDEX($F$70:$F$846,L393,1),"")</f>
        <v/>
      </c>
    </row>
    <row r="394" spans="1:13" x14ac:dyDescent="0.45">
      <c r="A394" t="s">
        <v>2712</v>
      </c>
      <c r="B394" s="206">
        <v>401</v>
      </c>
      <c r="C394" t="s">
        <v>3403</v>
      </c>
      <c r="D394" s="206" t="s">
        <v>3404</v>
      </c>
      <c r="E394" s="206" t="str">
        <f t="shared" si="48"/>
        <v>53</v>
      </c>
      <c r="F394" t="str">
        <f t="shared" si="49"/>
        <v>Chi cục thuế Huyện Tĩnh Gia</v>
      </c>
      <c r="G394" t="str">
        <f t="shared" si="47"/>
        <v>Tĩnh Gia</v>
      </c>
      <c r="H394" s="206"/>
      <c r="I394" s="206" t="str">
        <f t="shared" si="50"/>
        <v>40153</v>
      </c>
      <c r="J394" t="str">
        <f t="shared" si="51"/>
        <v/>
      </c>
      <c r="K394" t="str">
        <f>IF(J394="","",ROWS($K$70:K394))</f>
        <v/>
      </c>
      <c r="L394" t="str">
        <f>IFERROR(SMALL($K$70:$K$846,ROWS($L$70:L394)),"")</f>
        <v/>
      </c>
      <c r="M394" t="str" cm="1">
        <f t="array" ref="M394">IFERROR(INDEX($F$70:$F$846,L394,1),"")</f>
        <v/>
      </c>
    </row>
    <row r="395" spans="1:13" x14ac:dyDescent="0.45">
      <c r="A395" t="s">
        <v>2682</v>
      </c>
      <c r="B395" s="206" t="s">
        <v>3405</v>
      </c>
      <c r="C395" t="s">
        <v>3406</v>
      </c>
      <c r="D395" s="206" t="s">
        <v>3407</v>
      </c>
      <c r="E395" s="206" t="str">
        <f t="shared" si="48"/>
        <v>00</v>
      </c>
      <c r="F395" t="str">
        <f t="shared" si="49"/>
        <v>Cục thuế Tỉnh Nghệ An</v>
      </c>
      <c r="H395" s="206" t="str">
        <f>IF(E396="01",A396,"")</f>
        <v>Nghệ An</v>
      </c>
      <c r="I395" s="206" t="str">
        <f t="shared" si="50"/>
        <v>40300</v>
      </c>
      <c r="J395" t="str">
        <f t="shared" si="51"/>
        <v/>
      </c>
      <c r="K395" t="str">
        <f>IF(J395="","",ROWS($K$70:K395))</f>
        <v/>
      </c>
      <c r="L395" t="str">
        <f>IFERROR(SMALL($K$70:$K$846,ROWS($L$70:L395)),"")</f>
        <v/>
      </c>
      <c r="M395" t="str" cm="1">
        <f t="array" ref="M395">IFERROR(INDEX($F$70:$F$846,L395,1),"")</f>
        <v/>
      </c>
    </row>
    <row r="396" spans="1:13" x14ac:dyDescent="0.45">
      <c r="A396" t="s">
        <v>2682</v>
      </c>
      <c r="B396" s="206">
        <v>403</v>
      </c>
      <c r="C396" t="s">
        <v>3408</v>
      </c>
      <c r="D396" s="206" t="s">
        <v>3409</v>
      </c>
      <c r="E396" s="206" t="str">
        <f t="shared" si="48"/>
        <v>01</v>
      </c>
      <c r="F396" t="str">
        <f t="shared" si="49"/>
        <v>Chi cục thuế Thành phố Vinh</v>
      </c>
      <c r="H396" s="206"/>
      <c r="I396" s="206" t="str">
        <f t="shared" si="50"/>
        <v>40301</v>
      </c>
      <c r="J396" t="str">
        <f t="shared" si="51"/>
        <v/>
      </c>
      <c r="K396" t="str">
        <f>IF(J396="","",ROWS($K$70:K396))</f>
        <v/>
      </c>
      <c r="L396" t="str">
        <f>IFERROR(SMALL($K$70:$K$846,ROWS($L$70:L396)),"")</f>
        <v/>
      </c>
      <c r="M396" t="str" cm="1">
        <f t="array" ref="M396">IFERROR(INDEX($F$70:$F$846,L396,1),"")</f>
        <v/>
      </c>
    </row>
    <row r="397" spans="1:13" x14ac:dyDescent="0.45">
      <c r="A397" t="s">
        <v>2682</v>
      </c>
      <c r="B397" s="206">
        <v>403</v>
      </c>
      <c r="C397" t="s">
        <v>3410</v>
      </c>
      <c r="D397" s="206" t="s">
        <v>3411</v>
      </c>
      <c r="E397" s="206" t="str">
        <f t="shared" si="48"/>
        <v>03</v>
      </c>
      <c r="F397" t="str">
        <f t="shared" si="49"/>
        <v>Chi cục thuế Thị xã Cửa Lò</v>
      </c>
      <c r="H397" s="206"/>
      <c r="I397" s="206" t="str">
        <f t="shared" si="50"/>
        <v>40303</v>
      </c>
      <c r="J397" t="str">
        <f t="shared" si="51"/>
        <v/>
      </c>
      <c r="K397" t="str">
        <f>IF(J397="","",ROWS($K$70:K397))</f>
        <v/>
      </c>
      <c r="L397" t="str">
        <f>IFERROR(SMALL($K$70:$K$846,ROWS($L$70:L397)),"")</f>
        <v/>
      </c>
      <c r="M397" t="str" cm="1">
        <f t="array" ref="M397">IFERROR(INDEX($F$70:$F$846,L397,1),"")</f>
        <v/>
      </c>
    </row>
    <row r="398" spans="1:13" x14ac:dyDescent="0.45">
      <c r="A398" t="s">
        <v>2682</v>
      </c>
      <c r="B398" s="206">
        <v>403</v>
      </c>
      <c r="C398" t="s">
        <v>3412</v>
      </c>
      <c r="D398" s="206" t="s">
        <v>3413</v>
      </c>
      <c r="E398" s="206" t="str">
        <f t="shared" si="48"/>
        <v>05</v>
      </c>
      <c r="F398" t="str">
        <f t="shared" si="49"/>
        <v>Chi cục thuế Huyện Quế Phong</v>
      </c>
      <c r="G398" t="str">
        <f>RIGHT(C398,LEN(C398)-6)</f>
        <v>Quế Phong</v>
      </c>
      <c r="H398" s="206"/>
      <c r="I398" s="206" t="str">
        <f t="shared" si="50"/>
        <v>40305</v>
      </c>
      <c r="J398" t="str">
        <f t="shared" si="51"/>
        <v/>
      </c>
      <c r="K398" t="str">
        <f>IF(J398="","",ROWS($K$70:K398))</f>
        <v/>
      </c>
      <c r="L398" t="str">
        <f>IFERROR(SMALL($K$70:$K$846,ROWS($L$70:L398)),"")</f>
        <v/>
      </c>
      <c r="M398" t="str" cm="1">
        <f t="array" ref="M398">IFERROR(INDEX($F$70:$F$846,L398,1),"")</f>
        <v/>
      </c>
    </row>
    <row r="399" spans="1:13" x14ac:dyDescent="0.45">
      <c r="A399" t="s">
        <v>2682</v>
      </c>
      <c r="B399" s="206">
        <v>403</v>
      </c>
      <c r="C399" t="s">
        <v>3414</v>
      </c>
      <c r="D399" s="206" t="s">
        <v>3415</v>
      </c>
      <c r="E399" s="206" t="str">
        <f t="shared" si="48"/>
        <v>07</v>
      </c>
      <c r="F399" t="str">
        <f t="shared" si="49"/>
        <v>Chi cục thuế Huyện Quỳ Châu</v>
      </c>
      <c r="G399" t="str">
        <f>RIGHT(C399,LEN(C399)-6)</f>
        <v>Quỳ Châu</v>
      </c>
      <c r="H399" s="206"/>
      <c r="I399" s="206" t="str">
        <f t="shared" si="50"/>
        <v>40307</v>
      </c>
      <c r="J399" t="str">
        <f t="shared" si="51"/>
        <v/>
      </c>
      <c r="K399" t="str">
        <f>IF(J399="","",ROWS($K$70:K399))</f>
        <v/>
      </c>
      <c r="L399" t="str">
        <f>IFERROR(SMALL($K$70:$K$846,ROWS($L$70:L399)),"")</f>
        <v/>
      </c>
      <c r="M399" t="str" cm="1">
        <f t="array" ref="M399">IFERROR(INDEX($F$70:$F$846,L399,1),"")</f>
        <v/>
      </c>
    </row>
    <row r="400" spans="1:13" x14ac:dyDescent="0.45">
      <c r="A400" t="s">
        <v>2682</v>
      </c>
      <c r="B400" s="206">
        <v>403</v>
      </c>
      <c r="C400" t="s">
        <v>3416</v>
      </c>
      <c r="D400" s="206" t="s">
        <v>3417</v>
      </c>
      <c r="E400" s="206" t="str">
        <f t="shared" si="48"/>
        <v>09</v>
      </c>
      <c r="F400" t="str">
        <f t="shared" si="49"/>
        <v xml:space="preserve">Chi cục thuế Huyện Kỳ Sơn </v>
      </c>
      <c r="G400" t="str">
        <f>RIGHT(C400,LEN(C400)-6)</f>
        <v xml:space="preserve">Kỳ Sơn </v>
      </c>
      <c r="H400" s="206"/>
      <c r="I400" s="206" t="str">
        <f t="shared" si="50"/>
        <v>40309</v>
      </c>
      <c r="J400" t="str">
        <f t="shared" si="51"/>
        <v/>
      </c>
      <c r="K400" t="str">
        <f>IF(J400="","",ROWS($K$70:K400))</f>
        <v/>
      </c>
      <c r="L400" t="str">
        <f>IFERROR(SMALL($K$70:$K$846,ROWS($L$70:L400)),"")</f>
        <v/>
      </c>
      <c r="M400" t="str" cm="1">
        <f t="array" ref="M400">IFERROR(INDEX($F$70:$F$846,L400,1),"")</f>
        <v/>
      </c>
    </row>
    <row r="401" spans="1:13" x14ac:dyDescent="0.45">
      <c r="A401" t="s">
        <v>2682</v>
      </c>
      <c r="B401" s="206">
        <v>403</v>
      </c>
      <c r="C401" t="s">
        <v>3418</v>
      </c>
      <c r="D401" s="206" t="s">
        <v>3419</v>
      </c>
      <c r="E401" s="206" t="str">
        <f t="shared" si="48"/>
        <v>11</v>
      </c>
      <c r="F401" t="str">
        <f t="shared" si="49"/>
        <v>Chi cục thuế Huyện Quỳ Hợp</v>
      </c>
      <c r="G401" t="str">
        <f>RIGHT(C401,LEN(C401)-6)</f>
        <v>Quỳ Hợp</v>
      </c>
      <c r="H401" s="206"/>
      <c r="I401" s="206" t="str">
        <f t="shared" si="50"/>
        <v>40311</v>
      </c>
      <c r="J401" t="str">
        <f t="shared" si="51"/>
        <v/>
      </c>
      <c r="K401" t="str">
        <f>IF(J401="","",ROWS($K$70:K401))</f>
        <v/>
      </c>
      <c r="L401" t="str">
        <f>IFERROR(SMALL($K$70:$K$846,ROWS($L$70:L401)),"")</f>
        <v/>
      </c>
      <c r="M401" t="str" cm="1">
        <f t="array" ref="M401">IFERROR(INDEX($F$70:$F$846,L401,1),"")</f>
        <v/>
      </c>
    </row>
    <row r="402" spans="1:13" x14ac:dyDescent="0.45">
      <c r="A402" t="s">
        <v>2682</v>
      </c>
      <c r="B402" s="206">
        <v>403</v>
      </c>
      <c r="C402" t="s">
        <v>3420</v>
      </c>
      <c r="D402" s="206" t="s">
        <v>3421</v>
      </c>
      <c r="E402" s="206" t="str">
        <f t="shared" si="48"/>
        <v>13</v>
      </c>
      <c r="F402" t="str">
        <f t="shared" si="49"/>
        <v>Chi cục thuế Huyện Nghĩa Đàn</v>
      </c>
      <c r="G402" t="str">
        <f>RIGHT(C402,LEN(C402)-6)</f>
        <v>Nghĩa Đàn</v>
      </c>
      <c r="H402" s="206"/>
      <c r="I402" s="206" t="str">
        <f t="shared" si="50"/>
        <v>40313</v>
      </c>
      <c r="J402" t="str">
        <f t="shared" si="51"/>
        <v/>
      </c>
      <c r="K402" t="str">
        <f>IF(J402="","",ROWS($K$70:K402))</f>
        <v/>
      </c>
      <c r="L402" t="str">
        <f>IFERROR(SMALL($K$70:$K$846,ROWS($L$70:L402)),"")</f>
        <v/>
      </c>
      <c r="M402" t="str" cm="1">
        <f t="array" ref="M402">IFERROR(INDEX($F$70:$F$846,L402,1),"")</f>
        <v/>
      </c>
    </row>
    <row r="403" spans="1:13" x14ac:dyDescent="0.45">
      <c r="A403" t="s">
        <v>2682</v>
      </c>
      <c r="B403" s="206">
        <v>403</v>
      </c>
      <c r="C403" t="s">
        <v>3422</v>
      </c>
      <c r="D403" s="206" t="s">
        <v>3423</v>
      </c>
      <c r="E403" s="206" t="str">
        <f t="shared" si="48"/>
        <v>14</v>
      </c>
      <c r="F403" t="str">
        <f t="shared" si="49"/>
        <v>Chi cục thuế Thị xã Thái Hòa</v>
      </c>
      <c r="H403" s="206"/>
      <c r="I403" s="206" t="str">
        <f t="shared" si="50"/>
        <v>40314</v>
      </c>
      <c r="J403" t="str">
        <f t="shared" si="51"/>
        <v/>
      </c>
      <c r="K403" t="str">
        <f>IF(J403="","",ROWS($K$70:K403))</f>
        <v/>
      </c>
      <c r="L403" t="str">
        <f>IFERROR(SMALL($K$70:$K$846,ROWS($L$70:L403)),"")</f>
        <v/>
      </c>
      <c r="M403" t="str" cm="1">
        <f t="array" ref="M403">IFERROR(INDEX($F$70:$F$846,L403,1),"")</f>
        <v/>
      </c>
    </row>
    <row r="404" spans="1:13" x14ac:dyDescent="0.45">
      <c r="A404" t="s">
        <v>2682</v>
      </c>
      <c r="B404" s="206">
        <v>403</v>
      </c>
      <c r="C404" t="s">
        <v>3424</v>
      </c>
      <c r="D404" s="206" t="s">
        <v>3425</v>
      </c>
      <c r="E404" s="206" t="str">
        <f t="shared" si="48"/>
        <v>15</v>
      </c>
      <c r="F404" t="str">
        <f t="shared" si="49"/>
        <v>Chi cục thuế Huyện Tương Dương</v>
      </c>
      <c r="G404" t="str">
        <f t="shared" ref="G404:G415" si="52">RIGHT(C404,LEN(C404)-6)</f>
        <v>Tương Dương</v>
      </c>
      <c r="H404" s="206"/>
      <c r="I404" s="206" t="str">
        <f t="shared" si="50"/>
        <v>40315</v>
      </c>
      <c r="J404" t="str">
        <f t="shared" si="51"/>
        <v/>
      </c>
      <c r="K404" t="str">
        <f>IF(J404="","",ROWS($K$70:K404))</f>
        <v/>
      </c>
      <c r="L404" t="str">
        <f>IFERROR(SMALL($K$70:$K$846,ROWS($L$70:L404)),"")</f>
        <v/>
      </c>
      <c r="M404" t="str" cm="1">
        <f t="array" ref="M404">IFERROR(INDEX($F$70:$F$846,L404,1),"")</f>
        <v/>
      </c>
    </row>
    <row r="405" spans="1:13" x14ac:dyDescent="0.45">
      <c r="A405" t="s">
        <v>2682</v>
      </c>
      <c r="B405" s="206">
        <v>403</v>
      </c>
      <c r="C405" t="s">
        <v>3426</v>
      </c>
      <c r="D405" s="206" t="s">
        <v>3427</v>
      </c>
      <c r="E405" s="206" t="str">
        <f t="shared" si="48"/>
        <v>17</v>
      </c>
      <c r="F405" t="str">
        <f t="shared" si="49"/>
        <v>Chi cục thuế Huyện Quỳnh Lưu</v>
      </c>
      <c r="G405" t="str">
        <f t="shared" si="52"/>
        <v>Quỳnh Lưu</v>
      </c>
      <c r="H405" s="206"/>
      <c r="I405" s="206" t="str">
        <f t="shared" si="50"/>
        <v>40317</v>
      </c>
      <c r="J405" t="str">
        <f t="shared" si="51"/>
        <v/>
      </c>
      <c r="K405" t="str">
        <f>IF(J405="","",ROWS($K$70:K405))</f>
        <v/>
      </c>
      <c r="L405" t="str">
        <f>IFERROR(SMALL($K$70:$K$846,ROWS($L$70:L405)),"")</f>
        <v/>
      </c>
      <c r="M405" t="str" cm="1">
        <f t="array" ref="M405">IFERROR(INDEX($F$70:$F$846,L405,1),"")</f>
        <v/>
      </c>
    </row>
    <row r="406" spans="1:13" x14ac:dyDescent="0.45">
      <c r="A406" t="s">
        <v>2682</v>
      </c>
      <c r="B406" s="206">
        <v>403</v>
      </c>
      <c r="C406" t="s">
        <v>3428</v>
      </c>
      <c r="D406" s="206" t="s">
        <v>3429</v>
      </c>
      <c r="E406" s="206" t="str">
        <f t="shared" si="48"/>
        <v>19</v>
      </c>
      <c r="F406" t="str">
        <f t="shared" si="49"/>
        <v>Chi cục thuế Huyện Tân Kỳ</v>
      </c>
      <c r="G406" t="str">
        <f t="shared" si="52"/>
        <v>Tân Kỳ</v>
      </c>
      <c r="H406" s="206"/>
      <c r="I406" s="206" t="str">
        <f t="shared" si="50"/>
        <v>40319</v>
      </c>
      <c r="J406" t="str">
        <f t="shared" si="51"/>
        <v/>
      </c>
      <c r="K406" t="str">
        <f>IF(J406="","",ROWS($K$70:K406))</f>
        <v/>
      </c>
      <c r="L406" t="str">
        <f>IFERROR(SMALL($K$70:$K$846,ROWS($L$70:L406)),"")</f>
        <v/>
      </c>
      <c r="M406" t="str" cm="1">
        <f t="array" ref="M406">IFERROR(INDEX($F$70:$F$846,L406,1),"")</f>
        <v/>
      </c>
    </row>
    <row r="407" spans="1:13" x14ac:dyDescent="0.45">
      <c r="A407" t="s">
        <v>2682</v>
      </c>
      <c r="B407" s="206">
        <v>403</v>
      </c>
      <c r="C407" t="s">
        <v>3430</v>
      </c>
      <c r="D407" s="206" t="s">
        <v>3431</v>
      </c>
      <c r="E407" s="206" t="str">
        <f t="shared" si="48"/>
        <v>21</v>
      </c>
      <c r="F407" t="str">
        <f t="shared" si="49"/>
        <v>Chi cục thuế Huyện Con Cuông</v>
      </c>
      <c r="G407" t="str">
        <f t="shared" si="52"/>
        <v>Con Cuông</v>
      </c>
      <c r="H407" s="206"/>
      <c r="I407" s="206" t="str">
        <f t="shared" si="50"/>
        <v>40321</v>
      </c>
      <c r="J407" t="str">
        <f t="shared" si="51"/>
        <v/>
      </c>
      <c r="K407" t="str">
        <f>IF(J407="","",ROWS($K$70:K407))</f>
        <v/>
      </c>
      <c r="L407" t="str">
        <f>IFERROR(SMALL($K$70:$K$846,ROWS($L$70:L407)),"")</f>
        <v/>
      </c>
      <c r="M407" t="str" cm="1">
        <f t="array" ref="M407">IFERROR(INDEX($F$70:$F$846,L407,1),"")</f>
        <v/>
      </c>
    </row>
    <row r="408" spans="1:13" x14ac:dyDescent="0.45">
      <c r="A408" t="s">
        <v>2682</v>
      </c>
      <c r="B408" s="206">
        <v>403</v>
      </c>
      <c r="C408" t="s">
        <v>3432</v>
      </c>
      <c r="D408" s="206" t="s">
        <v>3433</v>
      </c>
      <c r="E408" s="206" t="str">
        <f t="shared" si="48"/>
        <v>23</v>
      </c>
      <c r="F408" t="str">
        <f t="shared" si="49"/>
        <v>Chi cục thuế Huyện Yên Thành</v>
      </c>
      <c r="G408" t="str">
        <f t="shared" si="52"/>
        <v>Yên Thành</v>
      </c>
      <c r="H408" s="206"/>
      <c r="I408" s="206" t="str">
        <f t="shared" si="50"/>
        <v>40323</v>
      </c>
      <c r="J408" t="str">
        <f t="shared" si="51"/>
        <v/>
      </c>
      <c r="K408" t="str">
        <f>IF(J408="","",ROWS($K$70:K408))</f>
        <v/>
      </c>
      <c r="L408" t="str">
        <f>IFERROR(SMALL($K$70:$K$846,ROWS($L$70:L408)),"")</f>
        <v/>
      </c>
      <c r="M408" t="str" cm="1">
        <f t="array" ref="M408">IFERROR(INDEX($F$70:$F$846,L408,1),"")</f>
        <v/>
      </c>
    </row>
    <row r="409" spans="1:13" x14ac:dyDescent="0.45">
      <c r="A409" t="s">
        <v>2682</v>
      </c>
      <c r="B409" s="206">
        <v>403</v>
      </c>
      <c r="C409" t="s">
        <v>3434</v>
      </c>
      <c r="D409" s="206" t="s">
        <v>3435</v>
      </c>
      <c r="E409" s="206" t="str">
        <f t="shared" si="48"/>
        <v>25</v>
      </c>
      <c r="F409" t="str">
        <f t="shared" si="49"/>
        <v>Chi cục thuế Huyện Diễn Châu</v>
      </c>
      <c r="G409" t="str">
        <f t="shared" si="52"/>
        <v>Diễn Châu</v>
      </c>
      <c r="H409" s="206"/>
      <c r="I409" s="206" t="str">
        <f t="shared" si="50"/>
        <v>40325</v>
      </c>
      <c r="J409" t="str">
        <f t="shared" si="51"/>
        <v/>
      </c>
      <c r="K409" t="str">
        <f>IF(J409="","",ROWS($K$70:K409))</f>
        <v/>
      </c>
      <c r="L409" t="str">
        <f>IFERROR(SMALL($K$70:$K$846,ROWS($L$70:L409)),"")</f>
        <v/>
      </c>
      <c r="M409" t="str" cm="1">
        <f t="array" ref="M409">IFERROR(INDEX($F$70:$F$846,L409,1),"")</f>
        <v/>
      </c>
    </row>
    <row r="410" spans="1:13" x14ac:dyDescent="0.45">
      <c r="A410" t="s">
        <v>2682</v>
      </c>
      <c r="B410" s="206">
        <v>403</v>
      </c>
      <c r="C410" t="s">
        <v>3436</v>
      </c>
      <c r="D410" s="206" t="s">
        <v>3437</v>
      </c>
      <c r="E410" s="206" t="str">
        <f t="shared" si="48"/>
        <v>27</v>
      </c>
      <c r="F410" t="str">
        <f t="shared" si="49"/>
        <v>Chi cục thuế Huyện Anh Sơn</v>
      </c>
      <c r="G410" t="str">
        <f t="shared" si="52"/>
        <v>Anh Sơn</v>
      </c>
      <c r="H410" s="206"/>
      <c r="I410" s="206" t="str">
        <f t="shared" si="50"/>
        <v>40327</v>
      </c>
      <c r="J410" t="str">
        <f t="shared" si="51"/>
        <v/>
      </c>
      <c r="K410" t="str">
        <f>IF(J410="","",ROWS($K$70:K410))</f>
        <v/>
      </c>
      <c r="L410" t="str">
        <f>IFERROR(SMALL($K$70:$K$846,ROWS($L$70:L410)),"")</f>
        <v/>
      </c>
      <c r="M410" t="str" cm="1">
        <f t="array" ref="M410">IFERROR(INDEX($F$70:$F$846,L410,1),"")</f>
        <v/>
      </c>
    </row>
    <row r="411" spans="1:13" x14ac:dyDescent="0.45">
      <c r="A411" t="s">
        <v>2682</v>
      </c>
      <c r="B411" s="206">
        <v>403</v>
      </c>
      <c r="C411" t="s">
        <v>3438</v>
      </c>
      <c r="D411" s="206" t="s">
        <v>3439</v>
      </c>
      <c r="E411" s="206" t="str">
        <f t="shared" si="48"/>
        <v>29</v>
      </c>
      <c r="F411" t="str">
        <f t="shared" si="49"/>
        <v>Chi cục thuế Huyện Đô Lương</v>
      </c>
      <c r="G411" t="str">
        <f t="shared" si="52"/>
        <v>Đô Lương</v>
      </c>
      <c r="H411" s="206"/>
      <c r="I411" s="206" t="str">
        <f t="shared" si="50"/>
        <v>40329</v>
      </c>
      <c r="J411" t="str">
        <f t="shared" si="51"/>
        <v/>
      </c>
      <c r="K411" t="str">
        <f>IF(J411="","",ROWS($K$70:K411))</f>
        <v/>
      </c>
      <c r="L411" t="str">
        <f>IFERROR(SMALL($K$70:$K$846,ROWS($L$70:L411)),"")</f>
        <v/>
      </c>
      <c r="M411" t="str" cm="1">
        <f t="array" ref="M411">IFERROR(INDEX($F$70:$F$846,L411,1),"")</f>
        <v/>
      </c>
    </row>
    <row r="412" spans="1:13" x14ac:dyDescent="0.45">
      <c r="A412" t="s">
        <v>2682</v>
      </c>
      <c r="B412" s="206">
        <v>403</v>
      </c>
      <c r="C412" t="s">
        <v>3440</v>
      </c>
      <c r="D412" s="206" t="s">
        <v>3441</v>
      </c>
      <c r="E412" s="206" t="str">
        <f t="shared" si="48"/>
        <v>31</v>
      </c>
      <c r="F412" t="str">
        <f t="shared" si="49"/>
        <v>Chi cục thuế Huyện Thanh Chương</v>
      </c>
      <c r="G412" t="str">
        <f t="shared" si="52"/>
        <v>Thanh Chương</v>
      </c>
      <c r="H412" s="206"/>
      <c r="I412" s="206" t="str">
        <f t="shared" si="50"/>
        <v>40331</v>
      </c>
      <c r="J412" t="str">
        <f t="shared" si="51"/>
        <v/>
      </c>
      <c r="K412" t="str">
        <f>IF(J412="","",ROWS($K$70:K412))</f>
        <v/>
      </c>
      <c r="L412" t="str">
        <f>IFERROR(SMALL($K$70:$K$846,ROWS($L$70:L412)),"")</f>
        <v/>
      </c>
      <c r="M412" t="str" cm="1">
        <f t="array" ref="M412">IFERROR(INDEX($F$70:$F$846,L412,1),"")</f>
        <v/>
      </c>
    </row>
    <row r="413" spans="1:13" x14ac:dyDescent="0.45">
      <c r="A413" t="s">
        <v>2682</v>
      </c>
      <c r="B413" s="206">
        <v>403</v>
      </c>
      <c r="C413" t="s">
        <v>3442</v>
      </c>
      <c r="D413" s="206" t="s">
        <v>3443</v>
      </c>
      <c r="E413" s="206" t="str">
        <f t="shared" si="48"/>
        <v>33</v>
      </c>
      <c r="F413" t="str">
        <f t="shared" si="49"/>
        <v>Chi cục thuế Huyện Nghi Lộc</v>
      </c>
      <c r="G413" t="str">
        <f t="shared" si="52"/>
        <v>Nghi Lộc</v>
      </c>
      <c r="H413" s="206"/>
      <c r="I413" s="206" t="str">
        <f t="shared" si="50"/>
        <v>40333</v>
      </c>
      <c r="J413" t="str">
        <f t="shared" si="51"/>
        <v/>
      </c>
      <c r="K413" t="str">
        <f>IF(J413="","",ROWS($K$70:K413))</f>
        <v/>
      </c>
      <c r="L413" t="str">
        <f>IFERROR(SMALL($K$70:$K$846,ROWS($L$70:L413)),"")</f>
        <v/>
      </c>
      <c r="M413" t="str" cm="1">
        <f t="array" ref="M413">IFERROR(INDEX($F$70:$F$846,L413,1),"")</f>
        <v/>
      </c>
    </row>
    <row r="414" spans="1:13" x14ac:dyDescent="0.45">
      <c r="A414" t="s">
        <v>2682</v>
      </c>
      <c r="B414" s="206">
        <v>403</v>
      </c>
      <c r="C414" t="s">
        <v>3444</v>
      </c>
      <c r="D414" s="206" t="s">
        <v>3445</v>
      </c>
      <c r="E414" s="206" t="str">
        <f t="shared" si="48"/>
        <v>35</v>
      </c>
      <c r="F414" t="str">
        <f t="shared" si="49"/>
        <v>Chi cục thuế Huyện Nam Đàn</v>
      </c>
      <c r="G414" t="str">
        <f t="shared" si="52"/>
        <v>Nam Đàn</v>
      </c>
      <c r="H414" s="206"/>
      <c r="I414" s="206" t="str">
        <f t="shared" si="50"/>
        <v>40335</v>
      </c>
      <c r="J414" t="str">
        <f t="shared" si="51"/>
        <v/>
      </c>
      <c r="K414" t="str">
        <f>IF(J414="","",ROWS($K$70:K414))</f>
        <v/>
      </c>
      <c r="L414" t="str">
        <f>IFERROR(SMALL($K$70:$K$846,ROWS($L$70:L414)),"")</f>
        <v/>
      </c>
      <c r="M414" t="str" cm="1">
        <f t="array" ref="M414">IFERROR(INDEX($F$70:$F$846,L414,1),"")</f>
        <v/>
      </c>
    </row>
    <row r="415" spans="1:13" x14ac:dyDescent="0.45">
      <c r="A415" t="s">
        <v>2682</v>
      </c>
      <c r="B415" s="206">
        <v>403</v>
      </c>
      <c r="C415" t="s">
        <v>3446</v>
      </c>
      <c r="D415" s="206" t="s">
        <v>3447</v>
      </c>
      <c r="E415" s="206" t="str">
        <f t="shared" si="48"/>
        <v>37</v>
      </c>
      <c r="F415" t="str">
        <f t="shared" si="49"/>
        <v>Chi cục thuế Huyện Hưng Nguyên</v>
      </c>
      <c r="G415" t="str">
        <f t="shared" si="52"/>
        <v>Hưng Nguyên</v>
      </c>
      <c r="H415" s="206"/>
      <c r="I415" s="206" t="str">
        <f t="shared" si="50"/>
        <v>40337</v>
      </c>
      <c r="J415" t="str">
        <f t="shared" si="51"/>
        <v/>
      </c>
      <c r="K415" t="str">
        <f>IF(J415="","",ROWS($K$70:K415))</f>
        <v/>
      </c>
      <c r="L415" t="str">
        <f>IFERROR(SMALL($K$70:$K$846,ROWS($L$70:L415)),"")</f>
        <v/>
      </c>
      <c r="M415" t="str" cm="1">
        <f t="array" ref="M415">IFERROR(INDEX($F$70:$F$846,L415,1),"")</f>
        <v/>
      </c>
    </row>
    <row r="416" spans="1:13" x14ac:dyDescent="0.45">
      <c r="A416" t="s">
        <v>2682</v>
      </c>
      <c r="B416" s="206">
        <v>403</v>
      </c>
      <c r="C416" t="s">
        <v>3448</v>
      </c>
      <c r="D416" s="206" t="s">
        <v>3449</v>
      </c>
      <c r="E416" s="206" t="str">
        <f t="shared" si="48"/>
        <v>39</v>
      </c>
      <c r="F416" t="str">
        <f t="shared" si="49"/>
        <v>Chi cục thuế Thị xã Hoàng Mai</v>
      </c>
      <c r="H416" s="206"/>
      <c r="I416" s="206" t="str">
        <f t="shared" si="50"/>
        <v>40339</v>
      </c>
      <c r="J416" t="str">
        <f t="shared" si="51"/>
        <v/>
      </c>
      <c r="K416" t="str">
        <f>IF(J416="","",ROWS($K$70:K416))</f>
        <v/>
      </c>
      <c r="L416" t="str">
        <f>IFERROR(SMALL($K$70:$K$846,ROWS($L$70:L416)),"")</f>
        <v/>
      </c>
      <c r="M416" t="str" cm="1">
        <f t="array" ref="M416">IFERROR(INDEX($F$70:$F$846,L416,1),"")</f>
        <v/>
      </c>
    </row>
    <row r="417" spans="1:13" x14ac:dyDescent="0.45">
      <c r="A417" t="s">
        <v>2653</v>
      </c>
      <c r="B417" s="206" t="s">
        <v>3450</v>
      </c>
      <c r="C417" t="s">
        <v>3451</v>
      </c>
      <c r="D417" s="206" t="s">
        <v>3452</v>
      </c>
      <c r="E417" s="206" t="str">
        <f t="shared" si="48"/>
        <v>00</v>
      </c>
      <c r="F417" t="str">
        <f t="shared" si="49"/>
        <v>Cục thuế Tỉnh Hà Tĩnh</v>
      </c>
      <c r="H417" s="206" t="str">
        <f>IF(E418="01",A418,"")</f>
        <v>Hà Tĩnh</v>
      </c>
      <c r="I417" s="206" t="str">
        <f t="shared" si="50"/>
        <v>40500</v>
      </c>
      <c r="J417" t="str">
        <f t="shared" si="51"/>
        <v/>
      </c>
      <c r="K417" t="str">
        <f>IF(J417="","",ROWS($K$70:K417))</f>
        <v/>
      </c>
      <c r="L417" t="str">
        <f>IFERROR(SMALL($K$70:$K$846,ROWS($L$70:L417)),"")</f>
        <v/>
      </c>
      <c r="M417" t="str" cm="1">
        <f t="array" ref="M417">IFERROR(INDEX($F$70:$F$846,L417,1),"")</f>
        <v/>
      </c>
    </row>
    <row r="418" spans="1:13" x14ac:dyDescent="0.45">
      <c r="A418" t="s">
        <v>2653</v>
      </c>
      <c r="B418" s="206">
        <v>405</v>
      </c>
      <c r="C418" t="s">
        <v>3453</v>
      </c>
      <c r="D418" s="206" t="s">
        <v>3454</v>
      </c>
      <c r="E418" s="206" t="str">
        <f t="shared" si="48"/>
        <v>01</v>
      </c>
      <c r="F418" t="str">
        <f t="shared" si="49"/>
        <v>Chi cục thuế Thành phố Hà Tĩnh</v>
      </c>
      <c r="H418" s="206"/>
      <c r="I418" s="206" t="str">
        <f t="shared" si="50"/>
        <v>40501</v>
      </c>
      <c r="J418" t="str">
        <f t="shared" si="51"/>
        <v/>
      </c>
      <c r="K418" t="str">
        <f>IF(J418="","",ROWS($K$70:K418))</f>
        <v/>
      </c>
      <c r="L418" t="str">
        <f>IFERROR(SMALL($K$70:$K$846,ROWS($L$70:L418)),"")</f>
        <v/>
      </c>
      <c r="M418" t="str" cm="1">
        <f t="array" ref="M418">IFERROR(INDEX($F$70:$F$846,L418,1),"")</f>
        <v/>
      </c>
    </row>
    <row r="419" spans="1:13" x14ac:dyDescent="0.45">
      <c r="A419" t="s">
        <v>2653</v>
      </c>
      <c r="B419" s="206">
        <v>405</v>
      </c>
      <c r="C419" t="s">
        <v>3455</v>
      </c>
      <c r="D419" s="206" t="s">
        <v>3456</v>
      </c>
      <c r="E419" s="206" t="str">
        <f t="shared" si="48"/>
        <v>03</v>
      </c>
      <c r="F419" t="str">
        <f t="shared" si="49"/>
        <v>Chi cục thuế Thị xã Hồng Lĩnh</v>
      </c>
      <c r="H419" s="206"/>
      <c r="I419" s="206" t="str">
        <f t="shared" si="50"/>
        <v>40503</v>
      </c>
      <c r="J419" t="str">
        <f t="shared" si="51"/>
        <v/>
      </c>
      <c r="K419" t="str">
        <f>IF(J419="","",ROWS($K$70:K419))</f>
        <v/>
      </c>
      <c r="L419" t="str">
        <f>IFERROR(SMALL($K$70:$K$846,ROWS($L$70:L419)),"")</f>
        <v/>
      </c>
      <c r="M419" t="str" cm="1">
        <f t="array" ref="M419">IFERROR(INDEX($F$70:$F$846,L419,1),"")</f>
        <v/>
      </c>
    </row>
    <row r="420" spans="1:13" x14ac:dyDescent="0.45">
      <c r="A420" t="s">
        <v>2653</v>
      </c>
      <c r="B420" s="206">
        <v>405</v>
      </c>
      <c r="C420" t="s">
        <v>3457</v>
      </c>
      <c r="D420" s="206" t="s">
        <v>3458</v>
      </c>
      <c r="E420" s="206" t="str">
        <f t="shared" si="48"/>
        <v>05</v>
      </c>
      <c r="F420" t="str">
        <f t="shared" si="49"/>
        <v>Chi cục thuế Huyện Nghi Xuân</v>
      </c>
      <c r="G420" t="str">
        <f t="shared" ref="G420:G427" si="53">RIGHT(C420,LEN(C420)-6)</f>
        <v>Nghi Xuân</v>
      </c>
      <c r="H420" s="206"/>
      <c r="I420" s="206" t="str">
        <f t="shared" si="50"/>
        <v>40505</v>
      </c>
      <c r="J420" t="str">
        <f t="shared" si="51"/>
        <v/>
      </c>
      <c r="K420" t="str">
        <f>IF(J420="","",ROWS($K$70:K420))</f>
        <v/>
      </c>
      <c r="L420" t="str">
        <f>IFERROR(SMALL($K$70:$K$846,ROWS($L$70:L420)),"")</f>
        <v/>
      </c>
      <c r="M420" t="str" cm="1">
        <f t="array" ref="M420">IFERROR(INDEX($F$70:$F$846,L420,1),"")</f>
        <v/>
      </c>
    </row>
    <row r="421" spans="1:13" x14ac:dyDescent="0.45">
      <c r="A421" t="s">
        <v>2653</v>
      </c>
      <c r="B421" s="206">
        <v>405</v>
      </c>
      <c r="C421" t="s">
        <v>3459</v>
      </c>
      <c r="D421" s="206" t="s">
        <v>3460</v>
      </c>
      <c r="E421" s="206" t="str">
        <f t="shared" si="48"/>
        <v>07</v>
      </c>
      <c r="F421" t="str">
        <f t="shared" si="49"/>
        <v>Chi cục thuế Huyện Đức Thọ</v>
      </c>
      <c r="G421" t="str">
        <f t="shared" si="53"/>
        <v>Đức Thọ</v>
      </c>
      <c r="H421" s="206"/>
      <c r="I421" s="206" t="str">
        <f t="shared" si="50"/>
        <v>40507</v>
      </c>
      <c r="J421" t="str">
        <f t="shared" si="51"/>
        <v/>
      </c>
      <c r="K421" t="str">
        <f>IF(J421="","",ROWS($K$70:K421))</f>
        <v/>
      </c>
      <c r="L421" t="str">
        <f>IFERROR(SMALL($K$70:$K$846,ROWS($L$70:L421)),"")</f>
        <v/>
      </c>
      <c r="M421" t="str" cm="1">
        <f t="array" ref="M421">IFERROR(INDEX($F$70:$F$846,L421,1),"")</f>
        <v/>
      </c>
    </row>
    <row r="422" spans="1:13" x14ac:dyDescent="0.45">
      <c r="A422" t="s">
        <v>2653</v>
      </c>
      <c r="B422" s="206">
        <v>405</v>
      </c>
      <c r="C422" t="s">
        <v>3461</v>
      </c>
      <c r="D422" s="206" t="s">
        <v>3462</v>
      </c>
      <c r="E422" s="206" t="str">
        <f t="shared" si="48"/>
        <v>09</v>
      </c>
      <c r="F422" t="str">
        <f t="shared" si="49"/>
        <v>Chi cục thuế Huyện Hương Sơn</v>
      </c>
      <c r="G422" t="str">
        <f t="shared" si="53"/>
        <v>Hương Sơn</v>
      </c>
      <c r="H422" s="206"/>
      <c r="I422" s="206" t="str">
        <f t="shared" si="50"/>
        <v>40509</v>
      </c>
      <c r="J422" t="str">
        <f t="shared" si="51"/>
        <v/>
      </c>
      <c r="K422" t="str">
        <f>IF(J422="","",ROWS($K$70:K422))</f>
        <v/>
      </c>
      <c r="L422" t="str">
        <f>IFERROR(SMALL($K$70:$K$846,ROWS($L$70:L422)),"")</f>
        <v/>
      </c>
      <c r="M422" t="str" cm="1">
        <f t="array" ref="M422">IFERROR(INDEX($F$70:$F$846,L422,1),"")</f>
        <v/>
      </c>
    </row>
    <row r="423" spans="1:13" x14ac:dyDescent="0.45">
      <c r="A423" t="s">
        <v>2653</v>
      </c>
      <c r="B423" s="206">
        <v>405</v>
      </c>
      <c r="C423" t="s">
        <v>3463</v>
      </c>
      <c r="D423" s="206" t="s">
        <v>3464</v>
      </c>
      <c r="E423" s="206" t="str">
        <f t="shared" si="48"/>
        <v>11</v>
      </c>
      <c r="F423" t="str">
        <f t="shared" si="49"/>
        <v>Chi cục thuế Huyện Can Lộc</v>
      </c>
      <c r="G423" t="str">
        <f t="shared" si="53"/>
        <v>Can Lộc</v>
      </c>
      <c r="H423" s="206"/>
      <c r="I423" s="206" t="str">
        <f t="shared" si="50"/>
        <v>40511</v>
      </c>
      <c r="J423" t="str">
        <f t="shared" si="51"/>
        <v/>
      </c>
      <c r="K423" t="str">
        <f>IF(J423="","",ROWS($K$70:K423))</f>
        <v/>
      </c>
      <c r="L423" t="str">
        <f>IFERROR(SMALL($K$70:$K$846,ROWS($L$70:L423)),"")</f>
        <v/>
      </c>
      <c r="M423" t="str" cm="1">
        <f t="array" ref="M423">IFERROR(INDEX($F$70:$F$846,L423,1),"")</f>
        <v/>
      </c>
    </row>
    <row r="424" spans="1:13" x14ac:dyDescent="0.45">
      <c r="A424" t="s">
        <v>2653</v>
      </c>
      <c r="B424" s="206">
        <v>405</v>
      </c>
      <c r="C424" t="s">
        <v>3465</v>
      </c>
      <c r="D424" s="206" t="s">
        <v>3466</v>
      </c>
      <c r="E424" s="206" t="str">
        <f t="shared" si="48"/>
        <v>13</v>
      </c>
      <c r="F424" t="str">
        <f t="shared" si="49"/>
        <v>Chi cục thuế Huyện Thạch Hà</v>
      </c>
      <c r="G424" t="str">
        <f t="shared" si="53"/>
        <v>Thạch Hà</v>
      </c>
      <c r="H424" s="206"/>
      <c r="I424" s="206" t="str">
        <f t="shared" si="50"/>
        <v>40513</v>
      </c>
      <c r="J424" t="str">
        <f t="shared" si="51"/>
        <v/>
      </c>
      <c r="K424" t="str">
        <f>IF(J424="","",ROWS($K$70:K424))</f>
        <v/>
      </c>
      <c r="L424" t="str">
        <f>IFERROR(SMALL($K$70:$K$846,ROWS($L$70:L424)),"")</f>
        <v/>
      </c>
      <c r="M424" t="str" cm="1">
        <f t="array" ref="M424">IFERROR(INDEX($F$70:$F$846,L424,1),"")</f>
        <v/>
      </c>
    </row>
    <row r="425" spans="1:13" x14ac:dyDescent="0.45">
      <c r="A425" t="s">
        <v>2653</v>
      </c>
      <c r="B425" s="206">
        <v>405</v>
      </c>
      <c r="C425" t="s">
        <v>3467</v>
      </c>
      <c r="D425" s="206" t="s">
        <v>3468</v>
      </c>
      <c r="E425" s="206" t="str">
        <f t="shared" si="48"/>
        <v>15</v>
      </c>
      <c r="F425" t="str">
        <f t="shared" si="49"/>
        <v>Chi cục thuế Huyện Cẩm Xuyên</v>
      </c>
      <c r="G425" t="str">
        <f t="shared" si="53"/>
        <v>Cẩm Xuyên</v>
      </c>
      <c r="H425" s="206"/>
      <c r="I425" s="206" t="str">
        <f t="shared" si="50"/>
        <v>40515</v>
      </c>
      <c r="J425" t="str">
        <f t="shared" si="51"/>
        <v/>
      </c>
      <c r="K425" t="str">
        <f>IF(J425="","",ROWS($K$70:K425))</f>
        <v/>
      </c>
      <c r="L425" t="str">
        <f>IFERROR(SMALL($K$70:$K$846,ROWS($L$70:L425)),"")</f>
        <v/>
      </c>
      <c r="M425" t="str" cm="1">
        <f t="array" ref="M425">IFERROR(INDEX($F$70:$F$846,L425,1),"")</f>
        <v/>
      </c>
    </row>
    <row r="426" spans="1:13" x14ac:dyDescent="0.45">
      <c r="A426" t="s">
        <v>2653</v>
      </c>
      <c r="B426" s="206">
        <v>405</v>
      </c>
      <c r="C426" t="s">
        <v>3469</v>
      </c>
      <c r="D426" s="206" t="s">
        <v>3470</v>
      </c>
      <c r="E426" s="206" t="str">
        <f t="shared" si="48"/>
        <v>17</v>
      </c>
      <c r="F426" t="str">
        <f t="shared" si="49"/>
        <v>Chi cục thuế Huyện Hương Khê</v>
      </c>
      <c r="G426" t="str">
        <f t="shared" si="53"/>
        <v>Hương Khê</v>
      </c>
      <c r="H426" s="206"/>
      <c r="I426" s="206" t="str">
        <f t="shared" si="50"/>
        <v>40517</v>
      </c>
      <c r="J426" t="str">
        <f t="shared" si="51"/>
        <v/>
      </c>
      <c r="K426" t="str">
        <f>IF(J426="","",ROWS($K$70:K426))</f>
        <v/>
      </c>
      <c r="L426" t="str">
        <f>IFERROR(SMALL($K$70:$K$846,ROWS($L$70:L426)),"")</f>
        <v/>
      </c>
      <c r="M426" t="str" cm="1">
        <f t="array" ref="M426">IFERROR(INDEX($F$70:$F$846,L426,1),"")</f>
        <v/>
      </c>
    </row>
    <row r="427" spans="1:13" x14ac:dyDescent="0.45">
      <c r="A427" t="s">
        <v>2653</v>
      </c>
      <c r="B427" s="206">
        <v>405</v>
      </c>
      <c r="C427" t="s">
        <v>3471</v>
      </c>
      <c r="D427" s="206" t="s">
        <v>3472</v>
      </c>
      <c r="E427" s="206" t="str">
        <f t="shared" si="48"/>
        <v>19</v>
      </c>
      <c r="F427" t="str">
        <f t="shared" si="49"/>
        <v>Chi cục thuế Huyện Kỳ Anh</v>
      </c>
      <c r="G427" t="str">
        <f t="shared" si="53"/>
        <v>Kỳ Anh</v>
      </c>
      <c r="H427" s="206"/>
      <c r="I427" s="206" t="str">
        <f t="shared" si="50"/>
        <v>40519</v>
      </c>
      <c r="J427" t="str">
        <f t="shared" si="51"/>
        <v/>
      </c>
      <c r="K427" t="str">
        <f>IF(J427="","",ROWS($K$70:K427))</f>
        <v/>
      </c>
      <c r="L427" t="str">
        <f>IFERROR(SMALL($K$70:$K$846,ROWS($L$70:L427)),"")</f>
        <v/>
      </c>
      <c r="M427" t="str" cm="1">
        <f t="array" ref="M427">IFERROR(INDEX($F$70:$F$846,L427,1),"")</f>
        <v/>
      </c>
    </row>
    <row r="428" spans="1:13" x14ac:dyDescent="0.45">
      <c r="A428" t="s">
        <v>2653</v>
      </c>
      <c r="B428" s="206">
        <v>405</v>
      </c>
      <c r="C428" t="s">
        <v>3473</v>
      </c>
      <c r="D428" s="206" t="s">
        <v>3474</v>
      </c>
      <c r="E428" s="206" t="str">
        <f t="shared" si="48"/>
        <v>20</v>
      </c>
      <c r="F428" t="str">
        <f t="shared" si="49"/>
        <v>Chi cục thuế Thị xã Kỳ Anh</v>
      </c>
      <c r="H428" s="206"/>
      <c r="I428" s="206" t="str">
        <f t="shared" si="50"/>
        <v>40520</v>
      </c>
      <c r="J428" t="str">
        <f t="shared" si="51"/>
        <v/>
      </c>
      <c r="K428" t="str">
        <f>IF(J428="","",ROWS($K$70:K428))</f>
        <v/>
      </c>
      <c r="L428" t="str">
        <f>IFERROR(SMALL($K$70:$K$846,ROWS($L$70:L428)),"")</f>
        <v/>
      </c>
      <c r="M428" t="str" cm="1">
        <f t="array" ref="M428">IFERROR(INDEX($F$70:$F$846,L428,1),"")</f>
        <v/>
      </c>
    </row>
    <row r="429" spans="1:13" x14ac:dyDescent="0.45">
      <c r="A429" t="s">
        <v>2653</v>
      </c>
      <c r="B429" s="206">
        <v>405</v>
      </c>
      <c r="C429" t="s">
        <v>3475</v>
      </c>
      <c r="D429" s="206" t="s">
        <v>3476</v>
      </c>
      <c r="E429" s="206" t="str">
        <f t="shared" si="48"/>
        <v>21</v>
      </c>
      <c r="F429" t="str">
        <f t="shared" si="49"/>
        <v>Chi cục thuế Huyện Vũ Quang</v>
      </c>
      <c r="G429" t="str">
        <f>RIGHT(C429,LEN(C429)-6)</f>
        <v>Vũ Quang</v>
      </c>
      <c r="H429" s="206"/>
      <c r="I429" s="206" t="str">
        <f t="shared" si="50"/>
        <v>40521</v>
      </c>
      <c r="J429" t="str">
        <f t="shared" si="51"/>
        <v/>
      </c>
      <c r="K429" t="str">
        <f>IF(J429="","",ROWS($K$70:K429))</f>
        <v/>
      </c>
      <c r="L429" t="str">
        <f>IFERROR(SMALL($K$70:$K$846,ROWS($L$70:L429)),"")</f>
        <v/>
      </c>
      <c r="M429" t="str" cm="1">
        <f t="array" ref="M429">IFERROR(INDEX($F$70:$F$846,L429,1),"")</f>
        <v/>
      </c>
    </row>
    <row r="430" spans="1:13" x14ac:dyDescent="0.45">
      <c r="A430" t="s">
        <v>2653</v>
      </c>
      <c r="B430" s="206">
        <v>405</v>
      </c>
      <c r="C430" t="s">
        <v>3477</v>
      </c>
      <c r="D430" s="206" t="s">
        <v>3478</v>
      </c>
      <c r="E430" s="206" t="str">
        <f t="shared" si="48"/>
        <v>23</v>
      </c>
      <c r="F430" t="str">
        <f t="shared" si="49"/>
        <v>Chi cục thuế Huyện Lộc Hà</v>
      </c>
      <c r="G430" t="str">
        <f>RIGHT(C430,LEN(C430)-6)</f>
        <v>Lộc Hà</v>
      </c>
      <c r="H430" s="206"/>
      <c r="I430" s="206" t="str">
        <f t="shared" si="50"/>
        <v>40523</v>
      </c>
      <c r="J430" t="str">
        <f t="shared" si="51"/>
        <v/>
      </c>
      <c r="K430" t="str">
        <f>IF(J430="","",ROWS($K$70:K430))</f>
        <v/>
      </c>
      <c r="L430" t="str">
        <f>IFERROR(SMALL($K$70:$K$846,ROWS($L$70:L430)),"")</f>
        <v/>
      </c>
      <c r="M430" t="str" cm="1">
        <f t="array" ref="M430">IFERROR(INDEX($F$70:$F$846,L430,1),"")</f>
        <v/>
      </c>
    </row>
    <row r="431" spans="1:13" x14ac:dyDescent="0.45">
      <c r="A431" t="s">
        <v>2692</v>
      </c>
      <c r="B431" s="206" t="s">
        <v>3479</v>
      </c>
      <c r="C431" t="s">
        <v>3480</v>
      </c>
      <c r="D431" s="206" t="s">
        <v>3481</v>
      </c>
      <c r="E431" s="206" t="str">
        <f t="shared" si="48"/>
        <v>00</v>
      </c>
      <c r="F431" t="str">
        <f t="shared" si="49"/>
        <v>Cục thuế Tỉnh Quảng Bình</v>
      </c>
      <c r="H431" s="206" t="str">
        <f>IF(E432="01",A432,"")</f>
        <v>Quảng Bình</v>
      </c>
      <c r="I431" s="206" t="str">
        <f t="shared" si="50"/>
        <v>40700</v>
      </c>
      <c r="J431" t="str">
        <f t="shared" si="51"/>
        <v/>
      </c>
      <c r="K431" t="str">
        <f>IF(J431="","",ROWS($K$70:K431))</f>
        <v/>
      </c>
      <c r="L431" t="str">
        <f>IFERROR(SMALL($K$70:$K$846,ROWS($L$70:L431)),"")</f>
        <v/>
      </c>
      <c r="M431" t="str" cm="1">
        <f t="array" ref="M431">IFERROR(INDEX($F$70:$F$846,L431,1),"")</f>
        <v/>
      </c>
    </row>
    <row r="432" spans="1:13" x14ac:dyDescent="0.45">
      <c r="A432" t="s">
        <v>2692</v>
      </c>
      <c r="B432" s="206">
        <v>407</v>
      </c>
      <c r="C432" t="s">
        <v>3482</v>
      </c>
      <c r="D432" s="206" t="s">
        <v>3483</v>
      </c>
      <c r="E432" s="206" t="str">
        <f t="shared" si="48"/>
        <v>01</v>
      </c>
      <c r="F432" t="str">
        <f t="shared" si="49"/>
        <v>Chi cục thuế Thành phố Đồng Hới</v>
      </c>
      <c r="H432" s="206"/>
      <c r="I432" s="206" t="str">
        <f t="shared" si="50"/>
        <v>40701</v>
      </c>
      <c r="J432" t="str">
        <f t="shared" si="51"/>
        <v/>
      </c>
      <c r="K432" t="str">
        <f>IF(J432="","",ROWS($K$70:K432))</f>
        <v/>
      </c>
      <c r="L432" t="str">
        <f>IFERROR(SMALL($K$70:$K$846,ROWS($L$70:L432)),"")</f>
        <v/>
      </c>
      <c r="M432" t="str" cm="1">
        <f t="array" ref="M432">IFERROR(INDEX($F$70:$F$846,L432,1),"")</f>
        <v/>
      </c>
    </row>
    <row r="433" spans="1:13" x14ac:dyDescent="0.45">
      <c r="A433" t="s">
        <v>2692</v>
      </c>
      <c r="B433" s="206">
        <v>407</v>
      </c>
      <c r="C433" t="s">
        <v>3484</v>
      </c>
      <c r="D433" s="206" t="s">
        <v>3485</v>
      </c>
      <c r="E433" s="206" t="str">
        <f t="shared" si="48"/>
        <v>03</v>
      </c>
      <c r="F433" t="str">
        <f t="shared" si="49"/>
        <v>Chi cục thuế Huyện Tuyên Hoá</v>
      </c>
      <c r="G433" t="str">
        <f t="shared" ref="G433:G438" si="54">RIGHT(C433,LEN(C433)-6)</f>
        <v>Tuyên Hoá</v>
      </c>
      <c r="H433" s="206"/>
      <c r="I433" s="206" t="str">
        <f t="shared" si="50"/>
        <v>40703</v>
      </c>
      <c r="J433" t="str">
        <f t="shared" si="51"/>
        <v/>
      </c>
      <c r="K433" t="str">
        <f>IF(J433="","",ROWS($K$70:K433))</f>
        <v/>
      </c>
      <c r="L433" t="str">
        <f>IFERROR(SMALL($K$70:$K$846,ROWS($L$70:L433)),"")</f>
        <v/>
      </c>
      <c r="M433" t="str" cm="1">
        <f t="array" ref="M433">IFERROR(INDEX($F$70:$F$846,L433,1),"")</f>
        <v/>
      </c>
    </row>
    <row r="434" spans="1:13" x14ac:dyDescent="0.45">
      <c r="A434" t="s">
        <v>2692</v>
      </c>
      <c r="B434" s="206">
        <v>407</v>
      </c>
      <c r="C434" t="s">
        <v>3486</v>
      </c>
      <c r="D434" s="206" t="s">
        <v>3487</v>
      </c>
      <c r="E434" s="206" t="str">
        <f t="shared" si="48"/>
        <v>05</v>
      </c>
      <c r="F434" t="str">
        <f t="shared" si="49"/>
        <v>Chi cục thuế Huyện Minh Hoá</v>
      </c>
      <c r="G434" t="str">
        <f t="shared" si="54"/>
        <v>Minh Hoá</v>
      </c>
      <c r="H434" s="206"/>
      <c r="I434" s="206" t="str">
        <f t="shared" si="50"/>
        <v>40705</v>
      </c>
      <c r="J434" t="str">
        <f t="shared" si="51"/>
        <v/>
      </c>
      <c r="K434" t="str">
        <f>IF(J434="","",ROWS($K$70:K434))</f>
        <v/>
      </c>
      <c r="L434" t="str">
        <f>IFERROR(SMALL($K$70:$K$846,ROWS($L$70:L434)),"")</f>
        <v/>
      </c>
      <c r="M434" t="str" cm="1">
        <f t="array" ref="M434">IFERROR(INDEX($F$70:$F$846,L434,1),"")</f>
        <v/>
      </c>
    </row>
    <row r="435" spans="1:13" x14ac:dyDescent="0.45">
      <c r="A435" t="s">
        <v>2692</v>
      </c>
      <c r="B435" s="206">
        <v>407</v>
      </c>
      <c r="C435" t="s">
        <v>3488</v>
      </c>
      <c r="D435" s="206" t="s">
        <v>3489</v>
      </c>
      <c r="E435" s="206" t="str">
        <f t="shared" si="48"/>
        <v>07</v>
      </c>
      <c r="F435" t="str">
        <f t="shared" si="49"/>
        <v>Chi cục thuế Huyện Quảng Trạch</v>
      </c>
      <c r="G435" t="str">
        <f t="shared" si="54"/>
        <v>Quảng Trạch</v>
      </c>
      <c r="H435" s="206"/>
      <c r="I435" s="206" t="str">
        <f t="shared" si="50"/>
        <v>40707</v>
      </c>
      <c r="J435" t="str">
        <f t="shared" si="51"/>
        <v/>
      </c>
      <c r="K435" t="str">
        <f>IF(J435="","",ROWS($K$70:K435))</f>
        <v/>
      </c>
      <c r="L435" t="str">
        <f>IFERROR(SMALL($K$70:$K$846,ROWS($L$70:L435)),"")</f>
        <v/>
      </c>
      <c r="M435" t="str" cm="1">
        <f t="array" ref="M435">IFERROR(INDEX($F$70:$F$846,L435,1),"")</f>
        <v/>
      </c>
    </row>
    <row r="436" spans="1:13" x14ac:dyDescent="0.45">
      <c r="A436" t="s">
        <v>2692</v>
      </c>
      <c r="B436" s="206">
        <v>407</v>
      </c>
      <c r="C436" t="s">
        <v>3490</v>
      </c>
      <c r="D436" s="206" t="s">
        <v>3491</v>
      </c>
      <c r="E436" s="206" t="str">
        <f t="shared" si="48"/>
        <v>09</v>
      </c>
      <c r="F436" t="str">
        <f t="shared" si="49"/>
        <v>Chi cục thuế Huyện Bố Trạch</v>
      </c>
      <c r="G436" t="str">
        <f t="shared" si="54"/>
        <v>Bố Trạch</v>
      </c>
      <c r="H436" s="206"/>
      <c r="I436" s="206" t="str">
        <f t="shared" si="50"/>
        <v>40709</v>
      </c>
      <c r="J436" t="str">
        <f t="shared" si="51"/>
        <v/>
      </c>
      <c r="K436" t="str">
        <f>IF(J436="","",ROWS($K$70:K436))</f>
        <v/>
      </c>
      <c r="L436" t="str">
        <f>IFERROR(SMALL($K$70:$K$846,ROWS($L$70:L436)),"")</f>
        <v/>
      </c>
      <c r="M436" t="str" cm="1">
        <f t="array" ref="M436">IFERROR(INDEX($F$70:$F$846,L436,1),"")</f>
        <v/>
      </c>
    </row>
    <row r="437" spans="1:13" x14ac:dyDescent="0.45">
      <c r="A437" t="s">
        <v>2692</v>
      </c>
      <c r="B437" s="206">
        <v>407</v>
      </c>
      <c r="C437" t="s">
        <v>3492</v>
      </c>
      <c r="D437" s="206" t="s">
        <v>3493</v>
      </c>
      <c r="E437" s="206" t="str">
        <f t="shared" si="48"/>
        <v>11</v>
      </c>
      <c r="F437" t="str">
        <f t="shared" si="49"/>
        <v>Chi cục thuế Huyện Quảng Ninh</v>
      </c>
      <c r="G437" t="str">
        <f t="shared" si="54"/>
        <v>Quảng Ninh</v>
      </c>
      <c r="H437" s="206"/>
      <c r="I437" s="206" t="str">
        <f t="shared" si="50"/>
        <v>40711</v>
      </c>
      <c r="J437" t="str">
        <f t="shared" si="51"/>
        <v/>
      </c>
      <c r="K437" t="str">
        <f>IF(J437="","",ROWS($K$70:K437))</f>
        <v/>
      </c>
      <c r="L437" t="str">
        <f>IFERROR(SMALL($K$70:$K$846,ROWS($L$70:L437)),"")</f>
        <v/>
      </c>
      <c r="M437" t="str" cm="1">
        <f t="array" ref="M437">IFERROR(INDEX($F$70:$F$846,L437,1),"")</f>
        <v/>
      </c>
    </row>
    <row r="438" spans="1:13" x14ac:dyDescent="0.45">
      <c r="A438" t="s">
        <v>2692</v>
      </c>
      <c r="B438" s="206">
        <v>407</v>
      </c>
      <c r="C438" t="s">
        <v>3494</v>
      </c>
      <c r="D438" s="206" t="s">
        <v>3495</v>
      </c>
      <c r="E438" s="206" t="str">
        <f t="shared" si="48"/>
        <v>13</v>
      </c>
      <c r="F438" t="str">
        <f t="shared" si="49"/>
        <v>Chi cục thuế Huyện Lệ Thuỷ</v>
      </c>
      <c r="G438" t="str">
        <f t="shared" si="54"/>
        <v>Lệ Thuỷ</v>
      </c>
      <c r="H438" s="206"/>
      <c r="I438" s="206" t="str">
        <f t="shared" si="50"/>
        <v>40713</v>
      </c>
      <c r="J438" t="str">
        <f t="shared" si="51"/>
        <v/>
      </c>
      <c r="K438" t="str">
        <f>IF(J438="","",ROWS($K$70:K438))</f>
        <v/>
      </c>
      <c r="L438" t="str">
        <f>IFERROR(SMALL($K$70:$K$846,ROWS($L$70:L438)),"")</f>
        <v/>
      </c>
      <c r="M438" t="str" cm="1">
        <f t="array" ref="M438">IFERROR(INDEX($F$70:$F$846,L438,1),"")</f>
        <v/>
      </c>
    </row>
    <row r="439" spans="1:13" x14ac:dyDescent="0.45">
      <c r="A439" t="s">
        <v>2692</v>
      </c>
      <c r="B439" s="206">
        <v>407</v>
      </c>
      <c r="C439" t="s">
        <v>3496</v>
      </c>
      <c r="D439" s="206" t="s">
        <v>3497</v>
      </c>
      <c r="E439" s="206" t="str">
        <f t="shared" si="48"/>
        <v>15</v>
      </c>
      <c r="F439" t="str">
        <f t="shared" si="49"/>
        <v>Chi cục thuế Thị Xã Ba Đồn</v>
      </c>
      <c r="H439" s="206"/>
      <c r="I439" s="206" t="str">
        <f t="shared" si="50"/>
        <v>40715</v>
      </c>
      <c r="J439" t="str">
        <f t="shared" si="51"/>
        <v/>
      </c>
      <c r="K439" t="str">
        <f>IF(J439="","",ROWS($K$70:K439))</f>
        <v/>
      </c>
      <c r="L439" t="str">
        <f>IFERROR(SMALL($K$70:$K$846,ROWS($L$70:L439)),"")</f>
        <v/>
      </c>
      <c r="M439" t="str" cm="1">
        <f t="array" ref="M439">IFERROR(INDEX($F$70:$F$846,L439,1),"")</f>
        <v/>
      </c>
    </row>
    <row r="440" spans="1:13" x14ac:dyDescent="0.45">
      <c r="A440" t="s">
        <v>2700</v>
      </c>
      <c r="B440" s="206" t="s">
        <v>3498</v>
      </c>
      <c r="C440" t="s">
        <v>3499</v>
      </c>
      <c r="D440" s="206" t="s">
        <v>3500</v>
      </c>
      <c r="E440" s="206" t="str">
        <f t="shared" si="48"/>
        <v>00</v>
      </c>
      <c r="F440" t="str">
        <f t="shared" si="49"/>
        <v>Cục thuế Tỉnh Quảng Trị</v>
      </c>
      <c r="H440" s="206" t="str">
        <f>IF(E441="01",A441,"")</f>
        <v>Quảng Trị</v>
      </c>
      <c r="I440" s="206" t="str">
        <f t="shared" si="50"/>
        <v>40900</v>
      </c>
      <c r="J440" t="str">
        <f t="shared" si="51"/>
        <v/>
      </c>
      <c r="K440" t="str">
        <f>IF(J440="","",ROWS($K$70:K440))</f>
        <v/>
      </c>
      <c r="L440" t="str">
        <f>IFERROR(SMALL($K$70:$K$846,ROWS($L$70:L440)),"")</f>
        <v/>
      </c>
      <c r="M440" t="str" cm="1">
        <f t="array" ref="M440">IFERROR(INDEX($F$70:$F$846,L440,1),"")</f>
        <v/>
      </c>
    </row>
    <row r="441" spans="1:13" x14ac:dyDescent="0.45">
      <c r="A441" t="s">
        <v>2700</v>
      </c>
      <c r="B441" s="206">
        <v>409</v>
      </c>
      <c r="C441" t="s">
        <v>3501</v>
      </c>
      <c r="D441" s="206" t="s">
        <v>3502</v>
      </c>
      <c r="E441" s="206" t="str">
        <f t="shared" si="48"/>
        <v>01</v>
      </c>
      <c r="F441" t="str">
        <f t="shared" si="49"/>
        <v>Chi cục thuế Thành phố Đông Hà</v>
      </c>
      <c r="H441" s="206"/>
      <c r="I441" s="206" t="str">
        <f t="shared" si="50"/>
        <v>40901</v>
      </c>
      <c r="J441" t="str">
        <f t="shared" si="51"/>
        <v/>
      </c>
      <c r="K441" t="str">
        <f>IF(J441="","",ROWS($K$70:K441))</f>
        <v/>
      </c>
      <c r="L441" t="str">
        <f>IFERROR(SMALL($K$70:$K$846,ROWS($L$70:L441)),"")</f>
        <v/>
      </c>
      <c r="M441" t="str" cm="1">
        <f t="array" ref="M441">IFERROR(INDEX($F$70:$F$846,L441,1),"")</f>
        <v/>
      </c>
    </row>
    <row r="442" spans="1:13" x14ac:dyDescent="0.45">
      <c r="A442" t="s">
        <v>2700</v>
      </c>
      <c r="B442" s="206">
        <v>409</v>
      </c>
      <c r="C442" t="s">
        <v>3503</v>
      </c>
      <c r="D442" s="206" t="s">
        <v>3504</v>
      </c>
      <c r="E442" s="206" t="str">
        <f t="shared" si="48"/>
        <v>03</v>
      </c>
      <c r="F442" t="str">
        <f t="shared" si="49"/>
        <v>Chi cục thuế Thị xã Quảng Trị</v>
      </c>
      <c r="H442" s="206"/>
      <c r="I442" s="206" t="str">
        <f t="shared" si="50"/>
        <v>40903</v>
      </c>
      <c r="J442" t="str">
        <f t="shared" si="51"/>
        <v/>
      </c>
      <c r="K442" t="str">
        <f>IF(J442="","",ROWS($K$70:K442))</f>
        <v/>
      </c>
      <c r="L442" t="str">
        <f>IFERROR(SMALL($K$70:$K$846,ROWS($L$70:L442)),"")</f>
        <v/>
      </c>
      <c r="M442" t="str" cm="1">
        <f t="array" ref="M442">IFERROR(INDEX($F$70:$F$846,L442,1),"")</f>
        <v/>
      </c>
    </row>
    <row r="443" spans="1:13" x14ac:dyDescent="0.45">
      <c r="A443" t="s">
        <v>2700</v>
      </c>
      <c r="B443" s="206">
        <v>409</v>
      </c>
      <c r="C443" t="s">
        <v>3505</v>
      </c>
      <c r="D443" s="206" t="s">
        <v>3506</v>
      </c>
      <c r="E443" s="206" t="str">
        <f t="shared" si="48"/>
        <v>05</v>
      </c>
      <c r="F443" t="str">
        <f t="shared" si="49"/>
        <v>Chi cục thuế Huyện Vĩnh Linh</v>
      </c>
      <c r="G443" t="str">
        <f t="shared" ref="G443:G450" si="55">RIGHT(C443,LEN(C443)-6)</f>
        <v>Vĩnh Linh</v>
      </c>
      <c r="H443" s="206"/>
      <c r="I443" s="206" t="str">
        <f t="shared" si="50"/>
        <v>40905</v>
      </c>
      <c r="J443" t="str">
        <f t="shared" si="51"/>
        <v/>
      </c>
      <c r="K443" t="str">
        <f>IF(J443="","",ROWS($K$70:K443))</f>
        <v/>
      </c>
      <c r="L443" t="str">
        <f>IFERROR(SMALL($K$70:$K$846,ROWS($L$70:L443)),"")</f>
        <v/>
      </c>
      <c r="M443" t="str" cm="1">
        <f t="array" ref="M443">IFERROR(INDEX($F$70:$F$846,L443,1),"")</f>
        <v/>
      </c>
    </row>
    <row r="444" spans="1:13" x14ac:dyDescent="0.45">
      <c r="A444" t="s">
        <v>2700</v>
      </c>
      <c r="B444" s="206">
        <v>409</v>
      </c>
      <c r="C444" t="s">
        <v>3507</v>
      </c>
      <c r="D444" s="206" t="s">
        <v>3508</v>
      </c>
      <c r="E444" s="206" t="str">
        <f t="shared" si="48"/>
        <v>07</v>
      </c>
      <c r="F444" t="str">
        <f t="shared" si="49"/>
        <v>Chi cục thuế Huyện Gio Linh</v>
      </c>
      <c r="G444" t="str">
        <f t="shared" si="55"/>
        <v>Gio Linh</v>
      </c>
      <c r="H444" s="206"/>
      <c r="I444" s="206" t="str">
        <f t="shared" si="50"/>
        <v>40907</v>
      </c>
      <c r="J444" t="str">
        <f t="shared" si="51"/>
        <v/>
      </c>
      <c r="K444" t="str">
        <f>IF(J444="","",ROWS($K$70:K444))</f>
        <v/>
      </c>
      <c r="L444" t="str">
        <f>IFERROR(SMALL($K$70:$K$846,ROWS($L$70:L444)),"")</f>
        <v/>
      </c>
      <c r="M444" t="str" cm="1">
        <f t="array" ref="M444">IFERROR(INDEX($F$70:$F$846,L444,1),"")</f>
        <v/>
      </c>
    </row>
    <row r="445" spans="1:13" x14ac:dyDescent="0.45">
      <c r="A445" t="s">
        <v>2700</v>
      </c>
      <c r="B445" s="206">
        <v>409</v>
      </c>
      <c r="C445" t="s">
        <v>3509</v>
      </c>
      <c r="D445" s="206" t="s">
        <v>3510</v>
      </c>
      <c r="E445" s="206" t="str">
        <f t="shared" si="48"/>
        <v>09</v>
      </c>
      <c r="F445" t="str">
        <f t="shared" si="49"/>
        <v>Chi cục thuế Huyện Cam Lộ</v>
      </c>
      <c r="G445" t="str">
        <f t="shared" si="55"/>
        <v>Cam Lộ</v>
      </c>
      <c r="H445" s="206"/>
      <c r="I445" s="206" t="str">
        <f t="shared" si="50"/>
        <v>40909</v>
      </c>
      <c r="J445" t="str">
        <f t="shared" si="51"/>
        <v/>
      </c>
      <c r="K445" t="str">
        <f>IF(J445="","",ROWS($K$70:K445))</f>
        <v/>
      </c>
      <c r="L445" t="str">
        <f>IFERROR(SMALL($K$70:$K$846,ROWS($L$70:L445)),"")</f>
        <v/>
      </c>
      <c r="M445" t="str" cm="1">
        <f t="array" ref="M445">IFERROR(INDEX($F$70:$F$846,L445,1),"")</f>
        <v/>
      </c>
    </row>
    <row r="446" spans="1:13" x14ac:dyDescent="0.45">
      <c r="A446" t="s">
        <v>2700</v>
      </c>
      <c r="B446" s="206">
        <v>409</v>
      </c>
      <c r="C446" t="s">
        <v>3511</v>
      </c>
      <c r="D446" s="206" t="s">
        <v>3512</v>
      </c>
      <c r="E446" s="206" t="str">
        <f t="shared" si="48"/>
        <v>11</v>
      </c>
      <c r="F446" t="str">
        <f t="shared" si="49"/>
        <v>Chi cục thuế Huyện Triệu Phong</v>
      </c>
      <c r="G446" t="str">
        <f t="shared" si="55"/>
        <v>Triệu Phong</v>
      </c>
      <c r="H446" s="206"/>
      <c r="I446" s="206" t="str">
        <f t="shared" si="50"/>
        <v>40911</v>
      </c>
      <c r="J446" t="str">
        <f t="shared" si="51"/>
        <v/>
      </c>
      <c r="K446" t="str">
        <f>IF(J446="","",ROWS($K$70:K446))</f>
        <v/>
      </c>
      <c r="L446" t="str">
        <f>IFERROR(SMALL($K$70:$K$846,ROWS($L$70:L446)),"")</f>
        <v/>
      </c>
      <c r="M446" t="str" cm="1">
        <f t="array" ref="M446">IFERROR(INDEX($F$70:$F$846,L446,1),"")</f>
        <v/>
      </c>
    </row>
    <row r="447" spans="1:13" x14ac:dyDescent="0.45">
      <c r="A447" t="s">
        <v>2700</v>
      </c>
      <c r="B447" s="206">
        <v>409</v>
      </c>
      <c r="C447" t="s">
        <v>3513</v>
      </c>
      <c r="D447" s="206" t="s">
        <v>3514</v>
      </c>
      <c r="E447" s="206" t="str">
        <f t="shared" si="48"/>
        <v>13</v>
      </c>
      <c r="F447" t="str">
        <f t="shared" si="49"/>
        <v>Chi cục thuế Huyện Hải Lăng</v>
      </c>
      <c r="G447" t="str">
        <f t="shared" si="55"/>
        <v>Hải Lăng</v>
      </c>
      <c r="H447" s="206"/>
      <c r="I447" s="206" t="str">
        <f t="shared" si="50"/>
        <v>40913</v>
      </c>
      <c r="J447" t="str">
        <f t="shared" si="51"/>
        <v/>
      </c>
      <c r="K447" t="str">
        <f>IF(J447="","",ROWS($K$70:K447))</f>
        <v/>
      </c>
      <c r="L447" t="str">
        <f>IFERROR(SMALL($K$70:$K$846,ROWS($L$70:L447)),"")</f>
        <v/>
      </c>
      <c r="M447" t="str" cm="1">
        <f t="array" ref="M447">IFERROR(INDEX($F$70:$F$846,L447,1),"")</f>
        <v/>
      </c>
    </row>
    <row r="448" spans="1:13" x14ac:dyDescent="0.45">
      <c r="A448" t="s">
        <v>2700</v>
      </c>
      <c r="B448" s="206">
        <v>409</v>
      </c>
      <c r="C448" t="s">
        <v>3515</v>
      </c>
      <c r="D448" s="206" t="s">
        <v>3516</v>
      </c>
      <c r="E448" s="206" t="str">
        <f t="shared" si="48"/>
        <v>15</v>
      </c>
      <c r="F448" t="str">
        <f t="shared" si="49"/>
        <v>Chi cục thuế Huyện Hướng Hoá</v>
      </c>
      <c r="G448" t="str">
        <f t="shared" si="55"/>
        <v>Hướng Hoá</v>
      </c>
      <c r="H448" s="206"/>
      <c r="I448" s="206" t="str">
        <f t="shared" si="50"/>
        <v>40915</v>
      </c>
      <c r="J448" t="str">
        <f t="shared" si="51"/>
        <v/>
      </c>
      <c r="K448" t="str">
        <f>IF(J448="","",ROWS($K$70:K448))</f>
        <v/>
      </c>
      <c r="L448" t="str">
        <f>IFERROR(SMALL($K$70:$K$846,ROWS($L$70:L448)),"")</f>
        <v/>
      </c>
      <c r="M448" t="str" cm="1">
        <f t="array" ref="M448">IFERROR(INDEX($F$70:$F$846,L448,1),"")</f>
        <v/>
      </c>
    </row>
    <row r="449" spans="1:13" x14ac:dyDescent="0.45">
      <c r="A449" t="s">
        <v>2700</v>
      </c>
      <c r="B449" s="206">
        <v>409</v>
      </c>
      <c r="C449" t="s">
        <v>3517</v>
      </c>
      <c r="D449" s="206" t="s">
        <v>3518</v>
      </c>
      <c r="E449" s="206" t="str">
        <f t="shared" si="48"/>
        <v>17</v>
      </c>
      <c r="F449" t="str">
        <f t="shared" si="49"/>
        <v>Chi cục thuế Huyện Đa Krông</v>
      </c>
      <c r="G449" t="str">
        <f t="shared" si="55"/>
        <v>Đa Krông</v>
      </c>
      <c r="H449" s="206"/>
      <c r="I449" s="206" t="str">
        <f t="shared" si="50"/>
        <v>40917</v>
      </c>
      <c r="J449" t="str">
        <f t="shared" si="51"/>
        <v/>
      </c>
      <c r="K449" t="str">
        <f>IF(J449="","",ROWS($K$70:K449))</f>
        <v/>
      </c>
      <c r="L449" t="str">
        <f>IFERROR(SMALL($K$70:$K$846,ROWS($L$70:L449)),"")</f>
        <v/>
      </c>
      <c r="M449" t="str" cm="1">
        <f t="array" ref="M449">IFERROR(INDEX($F$70:$F$846,L449,1),"")</f>
        <v/>
      </c>
    </row>
    <row r="450" spans="1:13" x14ac:dyDescent="0.45">
      <c r="A450" t="s">
        <v>2700</v>
      </c>
      <c r="B450" s="206">
        <v>409</v>
      </c>
      <c r="C450" t="s">
        <v>3519</v>
      </c>
      <c r="D450" s="206" t="s">
        <v>3520</v>
      </c>
      <c r="E450" s="206" t="str">
        <f t="shared" si="48"/>
        <v>19</v>
      </c>
      <c r="F450" t="str">
        <f t="shared" si="49"/>
        <v>Chi cục thuế Huyện Đảo Cồn Cỏ</v>
      </c>
      <c r="G450" t="str">
        <f t="shared" si="55"/>
        <v>Đảo Cồn Cỏ</v>
      </c>
      <c r="H450" s="206"/>
      <c r="I450" s="206" t="str">
        <f t="shared" si="50"/>
        <v>40919</v>
      </c>
      <c r="J450" t="str">
        <f t="shared" si="51"/>
        <v/>
      </c>
      <c r="K450" t="str">
        <f>IF(J450="","",ROWS($K$70:K450))</f>
        <v/>
      </c>
      <c r="L450" t="str">
        <f>IFERROR(SMALL($K$70:$K$846,ROWS($L$70:L450)),"")</f>
        <v/>
      </c>
      <c r="M450" t="str" cm="1">
        <f t="array" ref="M450">IFERROR(INDEX($F$70:$F$846,L450,1),"")</f>
        <v/>
      </c>
    </row>
    <row r="451" spans="1:13" x14ac:dyDescent="0.45">
      <c r="A451" t="s">
        <v>2714</v>
      </c>
      <c r="B451" s="206" t="s">
        <v>115</v>
      </c>
      <c r="C451" t="s">
        <v>3521</v>
      </c>
      <c r="D451" s="206" t="s">
        <v>3522</v>
      </c>
      <c r="E451" s="206" t="str">
        <f t="shared" si="48"/>
        <v>00</v>
      </c>
      <c r="F451" t="str">
        <f t="shared" si="49"/>
        <v>Cục thuế Tỉnh Thừa Thiên - Huế</v>
      </c>
      <c r="H451" s="206" t="str">
        <f>IF(E452="01",A452,"")</f>
        <v>Thừa Thiên - Huế</v>
      </c>
      <c r="I451" s="206" t="str">
        <f t="shared" si="50"/>
        <v>41100</v>
      </c>
      <c r="J451" t="str">
        <f t="shared" si="51"/>
        <v/>
      </c>
      <c r="K451" t="str">
        <f>IF(J451="","",ROWS($K$70:K451))</f>
        <v/>
      </c>
      <c r="L451" t="str">
        <f>IFERROR(SMALL($K$70:$K$846,ROWS($L$70:L451)),"")</f>
        <v/>
      </c>
      <c r="M451" t="str" cm="1">
        <f t="array" ref="M451">IFERROR(INDEX($F$70:$F$846,L451,1),"")</f>
        <v/>
      </c>
    </row>
    <row r="452" spans="1:13" x14ac:dyDescent="0.45">
      <c r="A452" t="s">
        <v>2714</v>
      </c>
      <c r="B452" s="206">
        <v>411</v>
      </c>
      <c r="C452" t="s">
        <v>3523</v>
      </c>
      <c r="D452" s="206" t="s">
        <v>3524</v>
      </c>
      <c r="E452" s="206" t="str">
        <f t="shared" si="48"/>
        <v>01</v>
      </c>
      <c r="F452" t="str">
        <f t="shared" si="49"/>
        <v>Chi cục thuế Thành phố Huế</v>
      </c>
      <c r="H452" s="206"/>
      <c r="I452" s="206" t="str">
        <f t="shared" si="50"/>
        <v>41101</v>
      </c>
      <c r="J452" t="str">
        <f t="shared" si="51"/>
        <v/>
      </c>
      <c r="K452" t="str">
        <f>IF(J452="","",ROWS($K$70:K452))</f>
        <v/>
      </c>
      <c r="L452" t="str">
        <f>IFERROR(SMALL($K$70:$K$846,ROWS($L$70:L452)),"")</f>
        <v/>
      </c>
      <c r="M452" t="str" cm="1">
        <f t="array" ref="M452">IFERROR(INDEX($F$70:$F$846,L452,1),"")</f>
        <v/>
      </c>
    </row>
    <row r="453" spans="1:13" x14ac:dyDescent="0.45">
      <c r="A453" t="s">
        <v>2714</v>
      </c>
      <c r="B453" s="206">
        <v>411</v>
      </c>
      <c r="C453" t="s">
        <v>3525</v>
      </c>
      <c r="D453" s="206" t="s">
        <v>3526</v>
      </c>
      <c r="E453" s="206" t="str">
        <f t="shared" si="48"/>
        <v>03</v>
      </c>
      <c r="F453" t="str">
        <f t="shared" si="49"/>
        <v>Chi cục thuế Huyện Phong Điền</v>
      </c>
      <c r="G453" t="str">
        <f>RIGHT(C453,LEN(C453)-6)</f>
        <v>Phong Điền</v>
      </c>
      <c r="H453" s="206"/>
      <c r="I453" s="206" t="str">
        <f t="shared" si="50"/>
        <v>41103</v>
      </c>
      <c r="J453" t="str">
        <f t="shared" si="51"/>
        <v/>
      </c>
      <c r="K453" t="str">
        <f>IF(J453="","",ROWS($K$70:K453))</f>
        <v/>
      </c>
      <c r="L453" t="str">
        <f>IFERROR(SMALL($K$70:$K$846,ROWS($L$70:L453)),"")</f>
        <v/>
      </c>
      <c r="M453" t="str" cm="1">
        <f t="array" ref="M453">IFERROR(INDEX($F$70:$F$846,L453,1),"")</f>
        <v/>
      </c>
    </row>
    <row r="454" spans="1:13" x14ac:dyDescent="0.45">
      <c r="A454" t="s">
        <v>2714</v>
      </c>
      <c r="B454" s="206">
        <v>411</v>
      </c>
      <c r="C454" t="s">
        <v>3527</v>
      </c>
      <c r="D454" s="206" t="s">
        <v>3528</v>
      </c>
      <c r="E454" s="206" t="str">
        <f t="shared" si="48"/>
        <v>05</v>
      </c>
      <c r="F454" t="str">
        <f t="shared" si="49"/>
        <v>Chi cục thuế Huyện Quảng Điền</v>
      </c>
      <c r="G454" t="str">
        <f>RIGHT(C454,LEN(C454)-6)</f>
        <v>Quảng Điền</v>
      </c>
      <c r="H454" s="206"/>
      <c r="I454" s="206" t="str">
        <f t="shared" si="50"/>
        <v>41105</v>
      </c>
      <c r="J454" t="str">
        <f t="shared" si="51"/>
        <v/>
      </c>
      <c r="K454" t="str">
        <f>IF(J454="","",ROWS($K$70:K454))</f>
        <v/>
      </c>
      <c r="L454" t="str">
        <f>IFERROR(SMALL($K$70:$K$846,ROWS($L$70:L454)),"")</f>
        <v/>
      </c>
      <c r="M454" t="str" cm="1">
        <f t="array" ref="M454">IFERROR(INDEX($F$70:$F$846,L454,1),"")</f>
        <v/>
      </c>
    </row>
    <row r="455" spans="1:13" x14ac:dyDescent="0.45">
      <c r="A455" t="s">
        <v>2714</v>
      </c>
      <c r="B455" s="206">
        <v>411</v>
      </c>
      <c r="C455" t="s">
        <v>3529</v>
      </c>
      <c r="D455" s="206" t="s">
        <v>3530</v>
      </c>
      <c r="E455" s="206" t="str">
        <f t="shared" ref="E455:E518" si="56">RIGHT(D455,2)</f>
        <v>07</v>
      </c>
      <c r="F455" t="str">
        <f t="shared" ref="F455:F518" si="57">IF(E455="00","Cục thuế "&amp;C455,"Chi cục thuế "&amp;C455)</f>
        <v>Chi cục thuế Thị Xã Hương Trà</v>
      </c>
      <c r="H455" s="206"/>
      <c r="I455" s="206" t="str">
        <f t="shared" ref="I455:I518" si="58">D455</f>
        <v>41107</v>
      </c>
      <c r="J455" t="str">
        <f t="shared" si="51"/>
        <v/>
      </c>
      <c r="K455" t="str">
        <f>IF(J455="","",ROWS($K$70:K455))</f>
        <v/>
      </c>
      <c r="L455" t="str">
        <f>IFERROR(SMALL($K$70:$K$846,ROWS($L$70:L455)),"")</f>
        <v/>
      </c>
      <c r="M455" t="str" cm="1">
        <f t="array" ref="M455">IFERROR(INDEX($F$70:$F$846,L455,1),"")</f>
        <v/>
      </c>
    </row>
    <row r="456" spans="1:13" x14ac:dyDescent="0.45">
      <c r="A456" t="s">
        <v>2714</v>
      </c>
      <c r="B456" s="206">
        <v>411</v>
      </c>
      <c r="C456" t="s">
        <v>3531</v>
      </c>
      <c r="D456" s="206" t="s">
        <v>3532</v>
      </c>
      <c r="E456" s="206" t="str">
        <f t="shared" si="56"/>
        <v>09</v>
      </c>
      <c r="F456" t="str">
        <f t="shared" si="57"/>
        <v>Chi cục thuế Huyện Phú Vang</v>
      </c>
      <c r="G456" t="str">
        <f>RIGHT(C456,LEN(C456)-6)</f>
        <v>Phú Vang</v>
      </c>
      <c r="H456" s="206"/>
      <c r="I456" s="206" t="str">
        <f t="shared" si="58"/>
        <v>41109</v>
      </c>
      <c r="J456" t="str">
        <f t="shared" ref="J456" si="59">IF(A456=$J$69,F456,"")</f>
        <v/>
      </c>
      <c r="K456" t="str">
        <f>IF(J456="","",ROWS($K$70:K456))</f>
        <v/>
      </c>
      <c r="L456" t="str">
        <f>IFERROR(SMALL($K$70:$K$846,ROWS($L$70:L456)),"")</f>
        <v/>
      </c>
      <c r="M456" t="str" cm="1">
        <f t="array" ref="M456">IFERROR(INDEX($F$70:$F$846,L456,1),"")</f>
        <v/>
      </c>
    </row>
    <row r="457" spans="1:13" x14ac:dyDescent="0.45">
      <c r="A457" t="s">
        <v>2714</v>
      </c>
      <c r="B457" s="206">
        <v>411</v>
      </c>
      <c r="C457" t="s">
        <v>3533</v>
      </c>
      <c r="D457" s="206" t="s">
        <v>3534</v>
      </c>
      <c r="E457" s="206" t="str">
        <f t="shared" si="56"/>
        <v>11</v>
      </c>
      <c r="F457" t="str">
        <f t="shared" si="57"/>
        <v>Chi cục thuế Thị xã Hương Thuỷ</v>
      </c>
      <c r="H457" s="206"/>
      <c r="I457" s="206" t="str">
        <f t="shared" si="58"/>
        <v>41111</v>
      </c>
      <c r="J457" t="str">
        <f>IF(A457=$J$69,F457,"")</f>
        <v/>
      </c>
      <c r="K457" t="str">
        <f>IF(J457="","",ROWS($K$70:K457))</f>
        <v/>
      </c>
      <c r="L457" t="str">
        <f>IFERROR(SMALL($K$70:$K$846,ROWS($L$70:L457)),"")</f>
        <v/>
      </c>
      <c r="M457" t="str" cm="1">
        <f t="array" ref="M457">IFERROR(INDEX($F$70:$F$846,L457,1),"")</f>
        <v/>
      </c>
    </row>
    <row r="458" spans="1:13" x14ac:dyDescent="0.45">
      <c r="A458" t="s">
        <v>2714</v>
      </c>
      <c r="B458" s="206">
        <v>411</v>
      </c>
      <c r="C458" t="s">
        <v>3535</v>
      </c>
      <c r="D458" s="206" t="s">
        <v>3536</v>
      </c>
      <c r="E458" s="206" t="str">
        <f t="shared" si="56"/>
        <v>13</v>
      </c>
      <c r="F458" t="str">
        <f t="shared" si="57"/>
        <v>Chi cục thuế Huyện Phú Lộc</v>
      </c>
      <c r="G458" t="str">
        <f>RIGHT(C458,LEN(C458)-6)</f>
        <v>Phú Lộc</v>
      </c>
      <c r="H458" s="206"/>
      <c r="I458" s="206" t="str">
        <f t="shared" si="58"/>
        <v>41113</v>
      </c>
      <c r="J458" t="str">
        <f t="shared" ref="J458:J521" si="60">IF(A458=$J$69,F458,"")</f>
        <v/>
      </c>
      <c r="K458" t="str">
        <f>IF(J458="","",ROWS($K$70:K458))</f>
        <v/>
      </c>
      <c r="L458" t="str">
        <f>IFERROR(SMALL($K$70:$K$846,ROWS($L$70:L458)),"")</f>
        <v/>
      </c>
      <c r="M458" t="str" cm="1">
        <f t="array" ref="M458">IFERROR(INDEX($F$70:$F$846,L458,1),"")</f>
        <v/>
      </c>
    </row>
    <row r="459" spans="1:13" x14ac:dyDescent="0.45">
      <c r="A459" t="s">
        <v>2714</v>
      </c>
      <c r="B459" s="206">
        <v>411</v>
      </c>
      <c r="C459" t="s">
        <v>3537</v>
      </c>
      <c r="D459" s="206" t="s">
        <v>3538</v>
      </c>
      <c r="E459" s="206" t="str">
        <f t="shared" si="56"/>
        <v>15</v>
      </c>
      <c r="F459" t="str">
        <f t="shared" si="57"/>
        <v>Chi cục thuế Huyện A Lưới</v>
      </c>
      <c r="G459" t="str">
        <f>RIGHT(C459,LEN(C459)-6)</f>
        <v>A Lưới</v>
      </c>
      <c r="H459" s="206"/>
      <c r="I459" s="206" t="str">
        <f t="shared" si="58"/>
        <v>41115</v>
      </c>
      <c r="J459" t="str">
        <f t="shared" si="60"/>
        <v/>
      </c>
      <c r="K459" t="str">
        <f>IF(J459="","",ROWS($K$70:K459))</f>
        <v/>
      </c>
      <c r="L459" t="str">
        <f>IFERROR(SMALL($K$70:$K$846,ROWS($L$70:L459)),"")</f>
        <v/>
      </c>
      <c r="M459" t="str" cm="1">
        <f t="array" ref="M459">IFERROR(INDEX($F$70:$F$846,L459,1),"")</f>
        <v/>
      </c>
    </row>
    <row r="460" spans="1:13" x14ac:dyDescent="0.45">
      <c r="A460" t="s">
        <v>2714</v>
      </c>
      <c r="B460" s="206">
        <v>411</v>
      </c>
      <c r="C460" t="s">
        <v>3539</v>
      </c>
      <c r="D460" s="206" t="s">
        <v>3540</v>
      </c>
      <c r="E460" s="206" t="str">
        <f t="shared" si="56"/>
        <v>17</v>
      </c>
      <c r="F460" t="str">
        <f t="shared" si="57"/>
        <v>Chi cục thuế Huyện Nam Đông</v>
      </c>
      <c r="G460" t="str">
        <f>RIGHT(C460,LEN(C460)-6)</f>
        <v>Nam Đông</v>
      </c>
      <c r="H460" s="206"/>
      <c r="I460" s="206" t="str">
        <f t="shared" si="58"/>
        <v>41117</v>
      </c>
      <c r="J460" t="str">
        <f t="shared" si="60"/>
        <v/>
      </c>
      <c r="K460" t="str">
        <f>IF(J460="","",ROWS($K$70:K460))</f>
        <v/>
      </c>
      <c r="L460" t="str">
        <f>IFERROR(SMALL($K$70:$K$846,ROWS($L$70:L460)),"")</f>
        <v/>
      </c>
      <c r="M460" t="str" cm="1">
        <f t="array" ref="M460">IFERROR(INDEX($F$70:$F$846,L460,1),"")</f>
        <v/>
      </c>
    </row>
    <row r="461" spans="1:13" x14ac:dyDescent="0.45">
      <c r="A461" t="s">
        <v>2635</v>
      </c>
      <c r="B461" s="206" t="s">
        <v>3541</v>
      </c>
      <c r="C461" t="s">
        <v>3542</v>
      </c>
      <c r="D461" s="206" t="s">
        <v>3543</v>
      </c>
      <c r="E461" s="206" t="str">
        <f t="shared" si="56"/>
        <v>00</v>
      </c>
      <c r="F461" t="str">
        <f t="shared" si="57"/>
        <v>Cục thuế TP Đà Nẵng</v>
      </c>
      <c r="H461" s="206" t="str">
        <f>IF(E462="01",A462,"")</f>
        <v>Đà Nẵng</v>
      </c>
      <c r="I461" s="206" t="str">
        <f t="shared" si="58"/>
        <v>50100</v>
      </c>
      <c r="J461" t="str">
        <f t="shared" si="60"/>
        <v/>
      </c>
      <c r="K461" t="str">
        <f>IF(J461="","",ROWS($K$70:K461))</f>
        <v/>
      </c>
      <c r="L461" t="str">
        <f>IFERROR(SMALL($K$70:$K$846,ROWS($L$70:L461)),"")</f>
        <v/>
      </c>
      <c r="M461" t="str" cm="1">
        <f t="array" ref="M461">IFERROR(INDEX($F$70:$F$846,L461,1),"")</f>
        <v/>
      </c>
    </row>
    <row r="462" spans="1:13" x14ac:dyDescent="0.45">
      <c r="A462" t="s">
        <v>2635</v>
      </c>
      <c r="B462" s="206">
        <v>501</v>
      </c>
      <c r="C462" t="s">
        <v>3544</v>
      </c>
      <c r="D462" s="206" t="s">
        <v>3545</v>
      </c>
      <c r="E462" s="206" t="str">
        <f t="shared" si="56"/>
        <v>01</v>
      </c>
      <c r="F462" t="str">
        <f t="shared" si="57"/>
        <v>Chi cục thuế Quận Hải Châu</v>
      </c>
      <c r="G462" t="str">
        <f>RIGHT(C462,LEN(C462)-5)</f>
        <v>Hải Châu</v>
      </c>
      <c r="H462" s="206"/>
      <c r="I462" s="206" t="str">
        <f t="shared" si="58"/>
        <v>50101</v>
      </c>
      <c r="J462" t="str">
        <f t="shared" si="60"/>
        <v/>
      </c>
      <c r="K462" t="str">
        <f>IF(J462="","",ROWS($K$70:K462))</f>
        <v/>
      </c>
      <c r="L462" t="str">
        <f>IFERROR(SMALL($K$70:$K$846,ROWS($L$70:L462)),"")</f>
        <v/>
      </c>
      <c r="M462" t="str" cm="1">
        <f t="array" ref="M462">IFERROR(INDEX($F$70:$F$846,L462,1),"")</f>
        <v/>
      </c>
    </row>
    <row r="463" spans="1:13" x14ac:dyDescent="0.45">
      <c r="A463" t="s">
        <v>2635</v>
      </c>
      <c r="B463" s="206">
        <v>501</v>
      </c>
      <c r="C463" t="s">
        <v>3546</v>
      </c>
      <c r="D463" s="206" t="s">
        <v>3547</v>
      </c>
      <c r="E463" s="206" t="str">
        <f t="shared" si="56"/>
        <v>03</v>
      </c>
      <c r="F463" t="str">
        <f t="shared" si="57"/>
        <v>Chi cục thuế Quận Thanh Khê</v>
      </c>
      <c r="G463" t="str">
        <f>RIGHT(C463,LEN(C463)-5)</f>
        <v>Thanh Khê</v>
      </c>
      <c r="H463" s="206"/>
      <c r="I463" s="206" t="str">
        <f t="shared" si="58"/>
        <v>50103</v>
      </c>
      <c r="J463" t="str">
        <f t="shared" si="60"/>
        <v/>
      </c>
      <c r="K463" t="str">
        <f>IF(J463="","",ROWS($K$70:K463))</f>
        <v/>
      </c>
      <c r="L463" t="str">
        <f>IFERROR(SMALL($K$70:$K$846,ROWS($L$70:L463)),"")</f>
        <v/>
      </c>
      <c r="M463" t="str" cm="1">
        <f t="array" ref="M463">IFERROR(INDEX($F$70:$F$846,L463,1),"")</f>
        <v/>
      </c>
    </row>
    <row r="464" spans="1:13" x14ac:dyDescent="0.45">
      <c r="A464" t="s">
        <v>2635</v>
      </c>
      <c r="B464" s="206">
        <v>501</v>
      </c>
      <c r="C464" t="s">
        <v>3548</v>
      </c>
      <c r="D464" s="206" t="s">
        <v>3549</v>
      </c>
      <c r="E464" s="206" t="str">
        <f t="shared" si="56"/>
        <v>05</v>
      </c>
      <c r="F464" t="str">
        <f t="shared" si="57"/>
        <v>Chi cục thuế Quận Sơn Trà</v>
      </c>
      <c r="G464" t="str">
        <f>RIGHT(C464,LEN(C464)-5)</f>
        <v>Sơn Trà</v>
      </c>
      <c r="H464" s="206"/>
      <c r="I464" s="206" t="str">
        <f t="shared" si="58"/>
        <v>50105</v>
      </c>
      <c r="J464" t="str">
        <f t="shared" si="60"/>
        <v/>
      </c>
      <c r="K464" t="str">
        <f>IF(J464="","",ROWS($K$70:K464))</f>
        <v/>
      </c>
      <c r="L464" t="str">
        <f>IFERROR(SMALL($K$70:$K$846,ROWS($L$70:L464)),"")</f>
        <v/>
      </c>
      <c r="M464" t="str" cm="1">
        <f t="array" ref="M464">IFERROR(INDEX($F$70:$F$846,L464,1),"")</f>
        <v/>
      </c>
    </row>
    <row r="465" spans="1:13" x14ac:dyDescent="0.45">
      <c r="A465" t="s">
        <v>2635</v>
      </c>
      <c r="B465" s="206">
        <v>501</v>
      </c>
      <c r="C465" t="s">
        <v>3550</v>
      </c>
      <c r="D465" s="206" t="s">
        <v>3551</v>
      </c>
      <c r="E465" s="206" t="str">
        <f t="shared" si="56"/>
        <v>07</v>
      </c>
      <c r="F465" t="str">
        <f t="shared" si="57"/>
        <v>Chi cục thuế Quận Ngũ Hành Sơn</v>
      </c>
      <c r="G465" t="str">
        <f>RIGHT(C465,LEN(C465)-5)</f>
        <v>Ngũ Hành Sơn</v>
      </c>
      <c r="H465" s="206"/>
      <c r="I465" s="206" t="str">
        <f t="shared" si="58"/>
        <v>50107</v>
      </c>
      <c r="J465" t="str">
        <f t="shared" si="60"/>
        <v/>
      </c>
      <c r="K465" t="str">
        <f>IF(J465="","",ROWS($K$70:K465))</f>
        <v/>
      </c>
      <c r="L465" t="str">
        <f>IFERROR(SMALL($K$70:$K$846,ROWS($L$70:L465)),"")</f>
        <v/>
      </c>
      <c r="M465" t="str" cm="1">
        <f t="array" ref="M465">IFERROR(INDEX($F$70:$F$846,L465,1),"")</f>
        <v/>
      </c>
    </row>
    <row r="466" spans="1:13" x14ac:dyDescent="0.45">
      <c r="A466" t="s">
        <v>2635</v>
      </c>
      <c r="B466" s="206">
        <v>501</v>
      </c>
      <c r="C466" t="s">
        <v>3552</v>
      </c>
      <c r="D466" s="206" t="s">
        <v>3553</v>
      </c>
      <c r="E466" s="206" t="str">
        <f t="shared" si="56"/>
        <v>09</v>
      </c>
      <c r="F466" t="str">
        <f t="shared" si="57"/>
        <v>Chi cục thuế Quận Liên Chiểu</v>
      </c>
      <c r="G466" t="str">
        <f>RIGHT(C466,LEN(C466)-5)</f>
        <v>Liên Chiểu</v>
      </c>
      <c r="H466" s="206"/>
      <c r="I466" s="206" t="str">
        <f t="shared" si="58"/>
        <v>50109</v>
      </c>
      <c r="J466" t="str">
        <f t="shared" si="60"/>
        <v/>
      </c>
      <c r="K466" t="str">
        <f>IF(J466="","",ROWS($K$70:K466))</f>
        <v/>
      </c>
      <c r="L466" t="str">
        <f>IFERROR(SMALL($K$70:$K$846,ROWS($L$70:L466)),"")</f>
        <v/>
      </c>
      <c r="M466" t="str" cm="1">
        <f t="array" ref="M466">IFERROR(INDEX($F$70:$F$846,L466,1),"")</f>
        <v/>
      </c>
    </row>
    <row r="467" spans="1:13" x14ac:dyDescent="0.45">
      <c r="A467" t="s">
        <v>2635</v>
      </c>
      <c r="B467" s="206">
        <v>501</v>
      </c>
      <c r="C467" t="s">
        <v>3554</v>
      </c>
      <c r="D467" s="206" t="s">
        <v>3555</v>
      </c>
      <c r="E467" s="206" t="str">
        <f t="shared" si="56"/>
        <v>11</v>
      </c>
      <c r="F467" t="str">
        <f t="shared" si="57"/>
        <v>Chi cục thuế Huyện Hòa Vang</v>
      </c>
      <c r="G467" t="str">
        <f>RIGHT(C467,LEN(C467)-6)</f>
        <v>Hòa Vang</v>
      </c>
      <c r="H467" s="206"/>
      <c r="I467" s="206" t="str">
        <f t="shared" si="58"/>
        <v>50111</v>
      </c>
      <c r="J467" t="str">
        <f t="shared" si="60"/>
        <v/>
      </c>
      <c r="K467" t="str">
        <f>IF(J467="","",ROWS($K$70:K467))</f>
        <v/>
      </c>
      <c r="L467" t="str">
        <f>IFERROR(SMALL($K$70:$K$846,ROWS($L$70:L467)),"")</f>
        <v/>
      </c>
      <c r="M467" t="str" cm="1">
        <f t="array" ref="M467">IFERROR(INDEX($F$70:$F$846,L467,1),"")</f>
        <v/>
      </c>
    </row>
    <row r="468" spans="1:13" x14ac:dyDescent="0.45">
      <c r="A468" t="s">
        <v>2635</v>
      </c>
      <c r="B468" s="206">
        <v>501</v>
      </c>
      <c r="C468" t="s">
        <v>3556</v>
      </c>
      <c r="D468" s="206" t="s">
        <v>3557</v>
      </c>
      <c r="E468" s="206" t="str">
        <f t="shared" si="56"/>
        <v>13</v>
      </c>
      <c r="F468" t="str">
        <f t="shared" si="57"/>
        <v>Chi cục thuế Huyện Đảo Hoàng Sa</v>
      </c>
      <c r="G468" t="str">
        <f>RIGHT(C468,LEN(C468)-6)</f>
        <v>Đảo Hoàng Sa</v>
      </c>
      <c r="H468" s="206"/>
      <c r="I468" s="206" t="str">
        <f t="shared" si="58"/>
        <v>50113</v>
      </c>
      <c r="J468" t="str">
        <f t="shared" si="60"/>
        <v/>
      </c>
      <c r="K468" t="str">
        <f>IF(J468="","",ROWS($K$70:K468))</f>
        <v/>
      </c>
      <c r="L468" t="str">
        <f>IFERROR(SMALL($K$70:$K$846,ROWS($L$70:L468)),"")</f>
        <v/>
      </c>
      <c r="M468" t="str" cm="1">
        <f t="array" ref="M468">IFERROR(INDEX($F$70:$F$846,L468,1),"")</f>
        <v/>
      </c>
    </row>
    <row r="469" spans="1:13" x14ac:dyDescent="0.45">
      <c r="A469" t="s">
        <v>2635</v>
      </c>
      <c r="B469" s="206">
        <v>501</v>
      </c>
      <c r="C469" t="s">
        <v>3558</v>
      </c>
      <c r="D469" s="206" t="s">
        <v>3559</v>
      </c>
      <c r="E469" s="206" t="str">
        <f t="shared" si="56"/>
        <v>15</v>
      </c>
      <c r="F469" t="str">
        <f t="shared" si="57"/>
        <v>Chi cục thuế Quận Cẩm Lệ</v>
      </c>
      <c r="G469" t="str">
        <f>RIGHT(C469,LEN(C469)-5)</f>
        <v>Cẩm Lệ</v>
      </c>
      <c r="H469" s="206"/>
      <c r="I469" s="206" t="str">
        <f t="shared" si="58"/>
        <v>50115</v>
      </c>
      <c r="J469" t="str">
        <f t="shared" si="60"/>
        <v/>
      </c>
      <c r="K469" t="str">
        <f>IF(J469="","",ROWS($K$70:K469))</f>
        <v/>
      </c>
      <c r="L469" t="str">
        <f>IFERROR(SMALL($K$70:$K$846,ROWS($L$70:L469)),"")</f>
        <v/>
      </c>
      <c r="M469" t="str" cm="1">
        <f t="array" ref="M469">IFERROR(INDEX($F$70:$F$846,L469,1),"")</f>
        <v/>
      </c>
    </row>
    <row r="470" spans="1:13" x14ac:dyDescent="0.45">
      <c r="A470" t="s">
        <v>2694</v>
      </c>
      <c r="B470" s="206" t="s">
        <v>3560</v>
      </c>
      <c r="C470" t="s">
        <v>3561</v>
      </c>
      <c r="D470" s="206" t="s">
        <v>3562</v>
      </c>
      <c r="E470" s="206" t="str">
        <f t="shared" si="56"/>
        <v>00</v>
      </c>
      <c r="F470" t="str">
        <f t="shared" si="57"/>
        <v>Cục thuế Tỉnh Quảng Nam</v>
      </c>
      <c r="H470" s="206" t="str">
        <f>IF(E471="01",A471,"")</f>
        <v>Quảng Nam</v>
      </c>
      <c r="I470" s="206" t="str">
        <f t="shared" si="58"/>
        <v>50300</v>
      </c>
      <c r="J470" t="str">
        <f t="shared" si="60"/>
        <v/>
      </c>
      <c r="K470" t="str">
        <f>IF(J470="","",ROWS($K$70:K470))</f>
        <v/>
      </c>
      <c r="L470" t="str">
        <f>IFERROR(SMALL($K$70:$K$846,ROWS($L$70:L470)),"")</f>
        <v/>
      </c>
      <c r="M470" t="str" cm="1">
        <f t="array" ref="M470">IFERROR(INDEX($F$70:$F$846,L470,1),"")</f>
        <v/>
      </c>
    </row>
    <row r="471" spans="1:13" x14ac:dyDescent="0.45">
      <c r="A471" t="s">
        <v>2694</v>
      </c>
      <c r="B471" s="206">
        <v>503</v>
      </c>
      <c r="C471" t="s">
        <v>3563</v>
      </c>
      <c r="D471" s="206" t="s">
        <v>3564</v>
      </c>
      <c r="E471" s="206" t="str">
        <f t="shared" si="56"/>
        <v>01</v>
      </c>
      <c r="F471" t="str">
        <f t="shared" si="57"/>
        <v>Chi cục thuế Thành phố Tam Kỳ</v>
      </c>
      <c r="H471" s="206"/>
      <c r="I471" s="206" t="str">
        <f t="shared" si="58"/>
        <v>50301</v>
      </c>
      <c r="J471" t="str">
        <f t="shared" si="60"/>
        <v/>
      </c>
      <c r="K471" t="str">
        <f>IF(J471="","",ROWS($K$70:K471))</f>
        <v/>
      </c>
      <c r="L471" t="str">
        <f>IFERROR(SMALL($K$70:$K$846,ROWS($L$70:L471)),"")</f>
        <v/>
      </c>
      <c r="M471" t="str" cm="1">
        <f t="array" ref="M471">IFERROR(INDEX($F$70:$F$846,L471,1),"")</f>
        <v/>
      </c>
    </row>
    <row r="472" spans="1:13" x14ac:dyDescent="0.45">
      <c r="A472" t="s">
        <v>2694</v>
      </c>
      <c r="B472" s="206">
        <v>503</v>
      </c>
      <c r="C472" t="s">
        <v>3565</v>
      </c>
      <c r="D472" s="206" t="s">
        <v>3566</v>
      </c>
      <c r="E472" s="206" t="str">
        <f t="shared" si="56"/>
        <v>02</v>
      </c>
      <c r="F472" t="str">
        <f t="shared" si="57"/>
        <v>Chi cục thuế Huyện Phú Ninh</v>
      </c>
      <c r="G472" t="str">
        <f>RIGHT(C472,LEN(C472)-6)</f>
        <v>Phú Ninh</v>
      </c>
      <c r="H472" s="206"/>
      <c r="I472" s="206" t="str">
        <f t="shared" si="58"/>
        <v>50302</v>
      </c>
      <c r="J472" t="str">
        <f t="shared" si="60"/>
        <v/>
      </c>
      <c r="K472" t="str">
        <f>IF(J472="","",ROWS($K$70:K472))</f>
        <v/>
      </c>
      <c r="L472" t="str">
        <f>IFERROR(SMALL($K$70:$K$846,ROWS($L$70:L472)),"")</f>
        <v/>
      </c>
      <c r="M472" t="str" cm="1">
        <f t="array" ref="M472">IFERROR(INDEX($F$70:$F$846,L472,1),"")</f>
        <v/>
      </c>
    </row>
    <row r="473" spans="1:13" x14ac:dyDescent="0.45">
      <c r="A473" t="s">
        <v>2694</v>
      </c>
      <c r="B473" s="206">
        <v>503</v>
      </c>
      <c r="C473" t="s">
        <v>3567</v>
      </c>
      <c r="D473" s="206" t="s">
        <v>3568</v>
      </c>
      <c r="E473" s="206" t="str">
        <f t="shared" si="56"/>
        <v>03</v>
      </c>
      <c r="F473" t="str">
        <f t="shared" si="57"/>
        <v>Chi cục thuế Thành phố Hội An</v>
      </c>
      <c r="H473" s="206"/>
      <c r="I473" s="206" t="str">
        <f t="shared" si="58"/>
        <v>50303</v>
      </c>
      <c r="J473" t="str">
        <f t="shared" si="60"/>
        <v/>
      </c>
      <c r="K473" t="str">
        <f>IF(J473="","",ROWS($K$70:K473))</f>
        <v/>
      </c>
      <c r="L473" t="str">
        <f>IFERROR(SMALL($K$70:$K$846,ROWS($L$70:L473)),"")</f>
        <v/>
      </c>
      <c r="M473" t="str" cm="1">
        <f t="array" ref="M473">IFERROR(INDEX($F$70:$F$846,L473,1),"")</f>
        <v/>
      </c>
    </row>
    <row r="474" spans="1:13" x14ac:dyDescent="0.45">
      <c r="A474" t="s">
        <v>2694</v>
      </c>
      <c r="B474" s="206">
        <v>503</v>
      </c>
      <c r="C474" t="s">
        <v>3569</v>
      </c>
      <c r="D474" s="206" t="s">
        <v>3570</v>
      </c>
      <c r="E474" s="206" t="str">
        <f t="shared" si="56"/>
        <v>04</v>
      </c>
      <c r="F474" t="str">
        <f t="shared" si="57"/>
        <v>Chi cục thuế Huyện Tây Giang</v>
      </c>
      <c r="G474" t="str">
        <f t="shared" ref="G474:G488" si="61">RIGHT(C474,LEN(C474)-6)</f>
        <v>Tây Giang</v>
      </c>
      <c r="H474" s="206"/>
      <c r="I474" s="206" t="str">
        <f t="shared" si="58"/>
        <v>50304</v>
      </c>
      <c r="J474" t="str">
        <f t="shared" si="60"/>
        <v/>
      </c>
      <c r="K474" t="str">
        <f>IF(J474="","",ROWS($K$70:K474))</f>
        <v/>
      </c>
      <c r="L474" t="str">
        <f>IFERROR(SMALL($K$70:$K$846,ROWS($L$70:L474)),"")</f>
        <v/>
      </c>
      <c r="M474" t="str" cm="1">
        <f t="array" ref="M474">IFERROR(INDEX($F$70:$F$846,L474,1),"")</f>
        <v/>
      </c>
    </row>
    <row r="475" spans="1:13" x14ac:dyDescent="0.45">
      <c r="A475" t="s">
        <v>2694</v>
      </c>
      <c r="B475" s="206">
        <v>503</v>
      </c>
      <c r="C475" t="s">
        <v>3571</v>
      </c>
      <c r="D475" s="206" t="s">
        <v>3572</v>
      </c>
      <c r="E475" s="206" t="str">
        <f t="shared" si="56"/>
        <v>05</v>
      </c>
      <c r="F475" t="str">
        <f t="shared" si="57"/>
        <v>Chi cục thuế Huyện Đông Giang</v>
      </c>
      <c r="G475" t="str">
        <f t="shared" si="61"/>
        <v>Đông Giang</v>
      </c>
      <c r="H475" s="206"/>
      <c r="I475" s="206" t="str">
        <f t="shared" si="58"/>
        <v>50305</v>
      </c>
      <c r="J475" t="str">
        <f t="shared" si="60"/>
        <v/>
      </c>
      <c r="K475" t="str">
        <f>IF(J475="","",ROWS($K$70:K475))</f>
        <v/>
      </c>
      <c r="L475" t="str">
        <f>IFERROR(SMALL($K$70:$K$846,ROWS($L$70:L475)),"")</f>
        <v/>
      </c>
      <c r="M475" t="str" cm="1">
        <f t="array" ref="M475">IFERROR(INDEX($F$70:$F$846,L475,1),"")</f>
        <v/>
      </c>
    </row>
    <row r="476" spans="1:13" x14ac:dyDescent="0.45">
      <c r="A476" t="s">
        <v>2694</v>
      </c>
      <c r="B476" s="206">
        <v>503</v>
      </c>
      <c r="C476" t="s">
        <v>3573</v>
      </c>
      <c r="D476" s="206" t="s">
        <v>3574</v>
      </c>
      <c r="E476" s="206" t="str">
        <f t="shared" si="56"/>
        <v>07</v>
      </c>
      <c r="F476" t="str">
        <f t="shared" si="57"/>
        <v>Chi cục thuế Huyện Đại Lộc</v>
      </c>
      <c r="G476" t="str">
        <f t="shared" si="61"/>
        <v>Đại Lộc</v>
      </c>
      <c r="H476" s="206"/>
      <c r="I476" s="206" t="str">
        <f t="shared" si="58"/>
        <v>50307</v>
      </c>
      <c r="J476" t="str">
        <f t="shared" si="60"/>
        <v/>
      </c>
      <c r="K476" t="str">
        <f>IF(J476="","",ROWS($K$70:K476))</f>
        <v/>
      </c>
      <c r="L476" t="str">
        <f>IFERROR(SMALL($K$70:$K$846,ROWS($L$70:L476)),"")</f>
        <v/>
      </c>
      <c r="M476" t="str" cm="1">
        <f t="array" ref="M476">IFERROR(INDEX($F$70:$F$846,L476,1),"")</f>
        <v/>
      </c>
    </row>
    <row r="477" spans="1:13" x14ac:dyDescent="0.45">
      <c r="A477" t="s">
        <v>2694</v>
      </c>
      <c r="B477" s="206">
        <v>503</v>
      </c>
      <c r="C477" t="s">
        <v>3575</v>
      </c>
      <c r="D477" s="206" t="s">
        <v>3576</v>
      </c>
      <c r="E477" s="206" t="str">
        <f t="shared" si="56"/>
        <v>09</v>
      </c>
      <c r="F477" t="str">
        <f t="shared" si="57"/>
        <v>Chi cục thuế Huyện Điện Bàn</v>
      </c>
      <c r="G477" t="str">
        <f t="shared" si="61"/>
        <v>Điện Bàn</v>
      </c>
      <c r="H477" s="206"/>
      <c r="I477" s="206" t="str">
        <f t="shared" si="58"/>
        <v>50309</v>
      </c>
      <c r="J477" t="str">
        <f t="shared" si="60"/>
        <v/>
      </c>
      <c r="K477" t="str">
        <f>IF(J477="","",ROWS($K$70:K477))</f>
        <v/>
      </c>
      <c r="L477" t="str">
        <f>IFERROR(SMALL($K$70:$K$846,ROWS($L$70:L477)),"")</f>
        <v/>
      </c>
      <c r="M477" t="str" cm="1">
        <f t="array" ref="M477">IFERROR(INDEX($F$70:$F$846,L477,1),"")</f>
        <v/>
      </c>
    </row>
    <row r="478" spans="1:13" x14ac:dyDescent="0.45">
      <c r="A478" t="s">
        <v>2694</v>
      </c>
      <c r="B478" s="206">
        <v>503</v>
      </c>
      <c r="C478" t="s">
        <v>3577</v>
      </c>
      <c r="D478" s="206" t="s">
        <v>3578</v>
      </c>
      <c r="E478" s="206" t="str">
        <f t="shared" si="56"/>
        <v>11</v>
      </c>
      <c r="F478" t="str">
        <f t="shared" si="57"/>
        <v>Chi cục thuế Huyện Duy Xuyên</v>
      </c>
      <c r="G478" t="str">
        <f t="shared" si="61"/>
        <v>Duy Xuyên</v>
      </c>
      <c r="H478" s="206"/>
      <c r="I478" s="206" t="str">
        <f t="shared" si="58"/>
        <v>50311</v>
      </c>
      <c r="J478" t="str">
        <f t="shared" si="60"/>
        <v/>
      </c>
      <c r="K478" t="str">
        <f>IF(J478="","",ROWS($K$70:K478))</f>
        <v/>
      </c>
      <c r="L478" t="str">
        <f>IFERROR(SMALL($K$70:$K$846,ROWS($L$70:L478)),"")</f>
        <v/>
      </c>
      <c r="M478" t="str" cm="1">
        <f t="array" ref="M478">IFERROR(INDEX($F$70:$F$846,L478,1),"")</f>
        <v/>
      </c>
    </row>
    <row r="479" spans="1:13" x14ac:dyDescent="0.45">
      <c r="A479" t="s">
        <v>2694</v>
      </c>
      <c r="B479" s="206">
        <v>503</v>
      </c>
      <c r="C479" t="s">
        <v>3579</v>
      </c>
      <c r="D479" s="206" t="s">
        <v>3580</v>
      </c>
      <c r="E479" s="206" t="str">
        <f t="shared" si="56"/>
        <v>13</v>
      </c>
      <c r="F479" t="str">
        <f t="shared" si="57"/>
        <v>Chi cục thuế Huyện Nam Giang</v>
      </c>
      <c r="G479" t="str">
        <f t="shared" si="61"/>
        <v>Nam Giang</v>
      </c>
      <c r="H479" s="206"/>
      <c r="I479" s="206" t="str">
        <f t="shared" si="58"/>
        <v>50313</v>
      </c>
      <c r="J479" t="str">
        <f t="shared" si="60"/>
        <v/>
      </c>
      <c r="K479" t="str">
        <f>IF(J479="","",ROWS($K$70:K479))</f>
        <v/>
      </c>
      <c r="L479" t="str">
        <f>IFERROR(SMALL($K$70:$K$846,ROWS($L$70:L479)),"")</f>
        <v/>
      </c>
      <c r="M479" t="str" cm="1">
        <f t="array" ref="M479">IFERROR(INDEX($F$70:$F$846,L479,1),"")</f>
        <v/>
      </c>
    </row>
    <row r="480" spans="1:13" x14ac:dyDescent="0.45">
      <c r="A480" t="s">
        <v>2694</v>
      </c>
      <c r="B480" s="206">
        <v>503</v>
      </c>
      <c r="C480" t="s">
        <v>3581</v>
      </c>
      <c r="D480" s="206" t="s">
        <v>3582</v>
      </c>
      <c r="E480" s="206" t="str">
        <f t="shared" si="56"/>
        <v>15</v>
      </c>
      <c r="F480" t="str">
        <f t="shared" si="57"/>
        <v>Chi cục thuế Huyện Thăng Bình</v>
      </c>
      <c r="G480" t="str">
        <f t="shared" si="61"/>
        <v>Thăng Bình</v>
      </c>
      <c r="H480" s="206"/>
      <c r="I480" s="206" t="str">
        <f t="shared" si="58"/>
        <v>50315</v>
      </c>
      <c r="J480" t="str">
        <f t="shared" si="60"/>
        <v/>
      </c>
      <c r="K480" t="str">
        <f>IF(J480="","",ROWS($K$70:K480))</f>
        <v/>
      </c>
      <c r="L480" t="str">
        <f>IFERROR(SMALL($K$70:$K$846,ROWS($L$70:L480)),"")</f>
        <v/>
      </c>
      <c r="M480" t="str" cm="1">
        <f t="array" ref="M480">IFERROR(INDEX($F$70:$F$846,L480,1),"")</f>
        <v/>
      </c>
    </row>
    <row r="481" spans="1:13" x14ac:dyDescent="0.45">
      <c r="A481" t="s">
        <v>2694</v>
      </c>
      <c r="B481" s="206">
        <v>503</v>
      </c>
      <c r="C481" t="s">
        <v>3583</v>
      </c>
      <c r="D481" s="206" t="s">
        <v>3584</v>
      </c>
      <c r="E481" s="206" t="str">
        <f t="shared" si="56"/>
        <v>17</v>
      </c>
      <c r="F481" t="str">
        <f t="shared" si="57"/>
        <v>Chi cục thuế Huyện Quế Sơn</v>
      </c>
      <c r="G481" t="str">
        <f t="shared" si="61"/>
        <v>Quế Sơn</v>
      </c>
      <c r="H481" s="206"/>
      <c r="I481" s="206" t="str">
        <f t="shared" si="58"/>
        <v>50317</v>
      </c>
      <c r="J481" t="str">
        <f t="shared" si="60"/>
        <v/>
      </c>
      <c r="K481" t="str">
        <f>IF(J481="","",ROWS($K$70:K481))</f>
        <v/>
      </c>
      <c r="L481" t="str">
        <f>IFERROR(SMALL($K$70:$K$846,ROWS($L$70:L481)),"")</f>
        <v/>
      </c>
      <c r="M481" t="str" cm="1">
        <f t="array" ref="M481">IFERROR(INDEX($F$70:$F$846,L481,1),"")</f>
        <v/>
      </c>
    </row>
    <row r="482" spans="1:13" x14ac:dyDescent="0.45">
      <c r="A482" t="s">
        <v>2694</v>
      </c>
      <c r="B482" s="206">
        <v>503</v>
      </c>
      <c r="C482" t="s">
        <v>3585</v>
      </c>
      <c r="D482" s="206" t="s">
        <v>3586</v>
      </c>
      <c r="E482" s="206" t="str">
        <f t="shared" si="56"/>
        <v>18</v>
      </c>
      <c r="F482" t="str">
        <f t="shared" si="57"/>
        <v>Chi cục thuế Huyện Nông Sơn</v>
      </c>
      <c r="G482" t="str">
        <f t="shared" si="61"/>
        <v>Nông Sơn</v>
      </c>
      <c r="H482" s="206"/>
      <c r="I482" s="206" t="str">
        <f t="shared" si="58"/>
        <v>50318</v>
      </c>
      <c r="J482" t="str">
        <f t="shared" si="60"/>
        <v/>
      </c>
      <c r="K482" t="str">
        <f>IF(J482="","",ROWS($K$70:K482))</f>
        <v/>
      </c>
      <c r="L482" t="str">
        <f>IFERROR(SMALL($K$70:$K$846,ROWS($L$70:L482)),"")</f>
        <v/>
      </c>
      <c r="M482" t="str" cm="1">
        <f t="array" ref="M482">IFERROR(INDEX($F$70:$F$846,L482,1),"")</f>
        <v/>
      </c>
    </row>
    <row r="483" spans="1:13" x14ac:dyDescent="0.45">
      <c r="A483" t="s">
        <v>2694</v>
      </c>
      <c r="B483" s="206">
        <v>503</v>
      </c>
      <c r="C483" t="s">
        <v>3587</v>
      </c>
      <c r="D483" s="206" t="s">
        <v>3588</v>
      </c>
      <c r="E483" s="206" t="str">
        <f t="shared" si="56"/>
        <v>19</v>
      </c>
      <c r="F483" t="str">
        <f t="shared" si="57"/>
        <v>Chi cục thuế Huyện Hiệp Đức</v>
      </c>
      <c r="G483" t="str">
        <f t="shared" si="61"/>
        <v>Hiệp Đức</v>
      </c>
      <c r="H483" s="206"/>
      <c r="I483" s="206" t="str">
        <f t="shared" si="58"/>
        <v>50319</v>
      </c>
      <c r="J483" t="str">
        <f t="shared" si="60"/>
        <v/>
      </c>
      <c r="K483" t="str">
        <f>IF(J483="","",ROWS($K$70:K483))</f>
        <v/>
      </c>
      <c r="L483" t="str">
        <f>IFERROR(SMALL($K$70:$K$846,ROWS($L$70:L483)),"")</f>
        <v/>
      </c>
      <c r="M483" t="str" cm="1">
        <f t="array" ref="M483">IFERROR(INDEX($F$70:$F$846,L483,1),"")</f>
        <v/>
      </c>
    </row>
    <row r="484" spans="1:13" x14ac:dyDescent="0.45">
      <c r="A484" t="s">
        <v>2694</v>
      </c>
      <c r="B484" s="206">
        <v>503</v>
      </c>
      <c r="C484" t="s">
        <v>3589</v>
      </c>
      <c r="D484" s="206" t="s">
        <v>3590</v>
      </c>
      <c r="E484" s="206" t="str">
        <f t="shared" si="56"/>
        <v>21</v>
      </c>
      <c r="F484" t="str">
        <f t="shared" si="57"/>
        <v>Chi cục thuế Huyện Tiên Phước</v>
      </c>
      <c r="G484" t="str">
        <f t="shared" si="61"/>
        <v>Tiên Phước</v>
      </c>
      <c r="H484" s="206"/>
      <c r="I484" s="206" t="str">
        <f t="shared" si="58"/>
        <v>50321</v>
      </c>
      <c r="J484" t="str">
        <f t="shared" si="60"/>
        <v/>
      </c>
      <c r="K484" t="str">
        <f>IF(J484="","",ROWS($K$70:K484))</f>
        <v/>
      </c>
      <c r="L484" t="str">
        <f>IFERROR(SMALL($K$70:$K$846,ROWS($L$70:L484)),"")</f>
        <v/>
      </c>
      <c r="M484" t="str" cm="1">
        <f t="array" ref="M484">IFERROR(INDEX($F$70:$F$846,L484,1),"")</f>
        <v/>
      </c>
    </row>
    <row r="485" spans="1:13" x14ac:dyDescent="0.45">
      <c r="A485" t="s">
        <v>2694</v>
      </c>
      <c r="B485" s="206">
        <v>503</v>
      </c>
      <c r="C485" t="s">
        <v>3591</v>
      </c>
      <c r="D485" s="206" t="s">
        <v>3592</v>
      </c>
      <c r="E485" s="206" t="str">
        <f t="shared" si="56"/>
        <v>23</v>
      </c>
      <c r="F485" t="str">
        <f t="shared" si="57"/>
        <v>Chi cục thuế Huyện Phước Sơn</v>
      </c>
      <c r="G485" t="str">
        <f t="shared" si="61"/>
        <v>Phước Sơn</v>
      </c>
      <c r="H485" s="206"/>
      <c r="I485" s="206" t="str">
        <f t="shared" si="58"/>
        <v>50323</v>
      </c>
      <c r="J485" t="str">
        <f t="shared" si="60"/>
        <v/>
      </c>
      <c r="K485" t="str">
        <f>IF(J485="","",ROWS($K$70:K485))</f>
        <v/>
      </c>
      <c r="L485" t="str">
        <f>IFERROR(SMALL($K$70:$K$846,ROWS($L$70:L485)),"")</f>
        <v/>
      </c>
      <c r="M485" t="str" cm="1">
        <f t="array" ref="M485">IFERROR(INDEX($F$70:$F$846,L485,1),"")</f>
        <v/>
      </c>
    </row>
    <row r="486" spans="1:13" x14ac:dyDescent="0.45">
      <c r="A486" t="s">
        <v>2694</v>
      </c>
      <c r="B486" s="206">
        <v>503</v>
      </c>
      <c r="C486" t="s">
        <v>3593</v>
      </c>
      <c r="D486" s="206" t="s">
        <v>3594</v>
      </c>
      <c r="E486" s="206" t="str">
        <f t="shared" si="56"/>
        <v>25</v>
      </c>
      <c r="F486" t="str">
        <f t="shared" si="57"/>
        <v>Chi cục thuế Huyện Núi Thành</v>
      </c>
      <c r="G486" t="str">
        <f t="shared" si="61"/>
        <v>Núi Thành</v>
      </c>
      <c r="H486" s="206"/>
      <c r="I486" s="206" t="str">
        <f t="shared" si="58"/>
        <v>50325</v>
      </c>
      <c r="J486" t="str">
        <f t="shared" si="60"/>
        <v/>
      </c>
      <c r="K486" t="str">
        <f>IF(J486="","",ROWS($K$70:K486))</f>
        <v/>
      </c>
      <c r="L486" t="str">
        <f>IFERROR(SMALL($K$70:$K$846,ROWS($L$70:L486)),"")</f>
        <v/>
      </c>
      <c r="M486" t="str" cm="1">
        <f t="array" ref="M486">IFERROR(INDEX($F$70:$F$846,L486,1),"")</f>
        <v/>
      </c>
    </row>
    <row r="487" spans="1:13" x14ac:dyDescent="0.45">
      <c r="A487" t="s">
        <v>2694</v>
      </c>
      <c r="B487" s="206">
        <v>503</v>
      </c>
      <c r="C487" t="s">
        <v>3595</v>
      </c>
      <c r="D487" s="206" t="s">
        <v>3596</v>
      </c>
      <c r="E487" s="206" t="str">
        <f t="shared" si="56"/>
        <v>27</v>
      </c>
      <c r="F487" t="str">
        <f t="shared" si="57"/>
        <v>Chi cục thuế Huyện Bắc Trà My</v>
      </c>
      <c r="G487" t="str">
        <f t="shared" si="61"/>
        <v>Bắc Trà My</v>
      </c>
      <c r="H487" s="206"/>
      <c r="I487" s="206" t="str">
        <f t="shared" si="58"/>
        <v>50327</v>
      </c>
      <c r="J487" t="str">
        <f t="shared" si="60"/>
        <v/>
      </c>
      <c r="K487" t="str">
        <f>IF(J487="","",ROWS($K$70:K487))</f>
        <v/>
      </c>
      <c r="L487" t="str">
        <f>IFERROR(SMALL($K$70:$K$846,ROWS($L$70:L487)),"")</f>
        <v/>
      </c>
      <c r="M487" t="str" cm="1">
        <f t="array" ref="M487">IFERROR(INDEX($F$70:$F$846,L487,1),"")</f>
        <v/>
      </c>
    </row>
    <row r="488" spans="1:13" x14ac:dyDescent="0.45">
      <c r="A488" t="s">
        <v>2694</v>
      </c>
      <c r="B488" s="206">
        <v>503</v>
      </c>
      <c r="C488" t="s">
        <v>3597</v>
      </c>
      <c r="D488" s="206" t="s">
        <v>3598</v>
      </c>
      <c r="E488" s="206" t="str">
        <f t="shared" si="56"/>
        <v>29</v>
      </c>
      <c r="F488" t="str">
        <f t="shared" si="57"/>
        <v>Chi cục thuế Huyện Nam Trà My</v>
      </c>
      <c r="G488" t="str">
        <f t="shared" si="61"/>
        <v>Nam Trà My</v>
      </c>
      <c r="H488" s="206"/>
      <c r="I488" s="206" t="str">
        <f t="shared" si="58"/>
        <v>50329</v>
      </c>
      <c r="J488" t="str">
        <f t="shared" si="60"/>
        <v/>
      </c>
      <c r="K488" t="str">
        <f>IF(J488="","",ROWS($K$70:K488))</f>
        <v/>
      </c>
      <c r="L488" t="str">
        <f>IFERROR(SMALL($K$70:$K$846,ROWS($L$70:L488)),"")</f>
        <v/>
      </c>
      <c r="M488" t="str" cm="1">
        <f t="array" ref="M488">IFERROR(INDEX($F$70:$F$846,L488,1),"")</f>
        <v/>
      </c>
    </row>
    <row r="489" spans="1:13" x14ac:dyDescent="0.45">
      <c r="A489" t="s">
        <v>2696</v>
      </c>
      <c r="B489" s="206" t="s">
        <v>3599</v>
      </c>
      <c r="C489" t="s">
        <v>3600</v>
      </c>
      <c r="D489" s="206" t="s">
        <v>3601</v>
      </c>
      <c r="E489" s="206" t="str">
        <f t="shared" si="56"/>
        <v>00</v>
      </c>
      <c r="F489" t="str">
        <f t="shared" si="57"/>
        <v>Cục thuế Tỉnh Quảng Ngãi</v>
      </c>
      <c r="H489" s="206" t="str">
        <f>IF(E490="01",A490,"")</f>
        <v>Quảng Ngãi</v>
      </c>
      <c r="I489" s="206" t="str">
        <f t="shared" si="58"/>
        <v>50500</v>
      </c>
      <c r="J489" t="str">
        <f t="shared" si="60"/>
        <v/>
      </c>
      <c r="K489" t="str">
        <f>IF(J489="","",ROWS($K$70:K489))</f>
        <v/>
      </c>
      <c r="L489" t="str">
        <f>IFERROR(SMALL($K$70:$K$846,ROWS($L$70:L489)),"")</f>
        <v/>
      </c>
      <c r="M489" t="str" cm="1">
        <f t="array" ref="M489">IFERROR(INDEX($F$70:$F$846,L489,1),"")</f>
        <v/>
      </c>
    </row>
    <row r="490" spans="1:13" x14ac:dyDescent="0.45">
      <c r="A490" t="s">
        <v>2696</v>
      </c>
      <c r="B490" s="206">
        <v>505</v>
      </c>
      <c r="C490" t="s">
        <v>3602</v>
      </c>
      <c r="D490" s="206" t="s">
        <v>3603</v>
      </c>
      <c r="E490" s="206" t="str">
        <f t="shared" si="56"/>
        <v>01</v>
      </c>
      <c r="F490" t="str">
        <f t="shared" si="57"/>
        <v>Chi cục thuế Thành phố Quảng Ngãi</v>
      </c>
      <c r="H490" s="206"/>
      <c r="I490" s="206" t="str">
        <f t="shared" si="58"/>
        <v>50501</v>
      </c>
      <c r="J490" t="str">
        <f t="shared" si="60"/>
        <v/>
      </c>
      <c r="K490" t="str">
        <f>IF(J490="","",ROWS($K$70:K490))</f>
        <v/>
      </c>
      <c r="L490" t="str">
        <f>IFERROR(SMALL($K$70:$K$846,ROWS($L$70:L490)),"")</f>
        <v/>
      </c>
      <c r="M490" t="str" cm="1">
        <f t="array" ref="M490">IFERROR(INDEX($F$70:$F$846,L490,1),"")</f>
        <v/>
      </c>
    </row>
    <row r="491" spans="1:13" x14ac:dyDescent="0.45">
      <c r="A491" t="s">
        <v>2696</v>
      </c>
      <c r="B491" s="206">
        <v>505</v>
      </c>
      <c r="C491" t="s">
        <v>3604</v>
      </c>
      <c r="D491" s="206" t="s">
        <v>3605</v>
      </c>
      <c r="E491" s="206" t="str">
        <f t="shared" si="56"/>
        <v>03</v>
      </c>
      <c r="F491" t="str">
        <f t="shared" si="57"/>
        <v>Chi cục thuế Huyện Lý Sơn</v>
      </c>
      <c r="G491" t="str">
        <f t="shared" ref="G491:G503" si="62">RIGHT(C491,LEN(C491)-6)</f>
        <v>Lý Sơn</v>
      </c>
      <c r="H491" s="206"/>
      <c r="I491" s="206" t="str">
        <f t="shared" si="58"/>
        <v>50503</v>
      </c>
      <c r="J491" t="str">
        <f t="shared" si="60"/>
        <v/>
      </c>
      <c r="K491" t="str">
        <f>IF(J491="","",ROWS($K$70:K491))</f>
        <v/>
      </c>
      <c r="L491" t="str">
        <f>IFERROR(SMALL($K$70:$K$846,ROWS($L$70:L491)),"")</f>
        <v/>
      </c>
      <c r="M491" t="str" cm="1">
        <f t="array" ref="M491">IFERROR(INDEX($F$70:$F$846,L491,1),"")</f>
        <v/>
      </c>
    </row>
    <row r="492" spans="1:13" x14ac:dyDescent="0.45">
      <c r="A492" t="s">
        <v>2696</v>
      </c>
      <c r="B492" s="206">
        <v>505</v>
      </c>
      <c r="C492" t="s">
        <v>3606</v>
      </c>
      <c r="D492" s="206" t="s">
        <v>3607</v>
      </c>
      <c r="E492" s="206" t="str">
        <f t="shared" si="56"/>
        <v>05</v>
      </c>
      <c r="F492" t="str">
        <f t="shared" si="57"/>
        <v>Chi cục thuế Huyện Bình Sơn</v>
      </c>
      <c r="G492" t="str">
        <f t="shared" si="62"/>
        <v>Bình Sơn</v>
      </c>
      <c r="H492" s="206"/>
      <c r="I492" s="206" t="str">
        <f t="shared" si="58"/>
        <v>50505</v>
      </c>
      <c r="J492" t="str">
        <f t="shared" si="60"/>
        <v/>
      </c>
      <c r="K492" t="str">
        <f>IF(J492="","",ROWS($K$70:K492))</f>
        <v/>
      </c>
      <c r="L492" t="str">
        <f>IFERROR(SMALL($K$70:$K$846,ROWS($L$70:L492)),"")</f>
        <v/>
      </c>
      <c r="M492" t="str" cm="1">
        <f t="array" ref="M492">IFERROR(INDEX($F$70:$F$846,L492,1),"")</f>
        <v/>
      </c>
    </row>
    <row r="493" spans="1:13" x14ac:dyDescent="0.45">
      <c r="A493" t="s">
        <v>2696</v>
      </c>
      <c r="B493" s="206">
        <v>505</v>
      </c>
      <c r="C493" t="s">
        <v>3608</v>
      </c>
      <c r="D493" s="206" t="s">
        <v>3609</v>
      </c>
      <c r="E493" s="206" t="str">
        <f t="shared" si="56"/>
        <v>07</v>
      </c>
      <c r="F493" t="str">
        <f t="shared" si="57"/>
        <v>Chi cục thuế Huyện Trà Bồng</v>
      </c>
      <c r="G493" t="str">
        <f t="shared" si="62"/>
        <v>Trà Bồng</v>
      </c>
      <c r="H493" s="206"/>
      <c r="I493" s="206" t="str">
        <f t="shared" si="58"/>
        <v>50507</v>
      </c>
      <c r="J493" t="str">
        <f t="shared" si="60"/>
        <v/>
      </c>
      <c r="K493" t="str">
        <f>IF(J493="","",ROWS($K$70:K493))</f>
        <v/>
      </c>
      <c r="L493" t="str">
        <f>IFERROR(SMALL($K$70:$K$846,ROWS($L$70:L493)),"")</f>
        <v/>
      </c>
      <c r="M493" t="str" cm="1">
        <f t="array" ref="M493">IFERROR(INDEX($F$70:$F$846,L493,1),"")</f>
        <v/>
      </c>
    </row>
    <row r="494" spans="1:13" x14ac:dyDescent="0.45">
      <c r="A494" t="s">
        <v>2696</v>
      </c>
      <c r="B494" s="206">
        <v>505</v>
      </c>
      <c r="C494" t="s">
        <v>3610</v>
      </c>
      <c r="D494" s="206" t="s">
        <v>3611</v>
      </c>
      <c r="E494" s="206" t="str">
        <f t="shared" si="56"/>
        <v>08</v>
      </c>
      <c r="F494" t="str">
        <f t="shared" si="57"/>
        <v>Chi cục thuế Huyện Tây Trà</v>
      </c>
      <c r="G494" t="str">
        <f t="shared" si="62"/>
        <v>Tây Trà</v>
      </c>
      <c r="H494" s="206"/>
      <c r="I494" s="206" t="str">
        <f t="shared" si="58"/>
        <v>50508</v>
      </c>
      <c r="J494" t="str">
        <f t="shared" si="60"/>
        <v/>
      </c>
      <c r="K494" t="str">
        <f>IF(J494="","",ROWS($K$70:K494))</f>
        <v/>
      </c>
      <c r="L494" t="str">
        <f>IFERROR(SMALL($K$70:$K$846,ROWS($L$70:L494)),"")</f>
        <v/>
      </c>
      <c r="M494" t="str" cm="1">
        <f t="array" ref="M494">IFERROR(INDEX($F$70:$F$846,L494,1),"")</f>
        <v/>
      </c>
    </row>
    <row r="495" spans="1:13" x14ac:dyDescent="0.45">
      <c r="A495" t="s">
        <v>2696</v>
      </c>
      <c r="B495" s="206">
        <v>505</v>
      </c>
      <c r="C495" t="s">
        <v>3612</v>
      </c>
      <c r="D495" s="206" t="s">
        <v>3613</v>
      </c>
      <c r="E495" s="206" t="str">
        <f t="shared" si="56"/>
        <v>09</v>
      </c>
      <c r="F495" t="str">
        <f t="shared" si="57"/>
        <v>Chi cục thuế Huyện Sơn Tịnh</v>
      </c>
      <c r="G495" t="str">
        <f t="shared" si="62"/>
        <v>Sơn Tịnh</v>
      </c>
      <c r="H495" s="206"/>
      <c r="I495" s="206" t="str">
        <f t="shared" si="58"/>
        <v>50509</v>
      </c>
      <c r="J495" t="str">
        <f t="shared" si="60"/>
        <v/>
      </c>
      <c r="K495" t="str">
        <f>IF(J495="","",ROWS($K$70:K495))</f>
        <v/>
      </c>
      <c r="L495" t="str">
        <f>IFERROR(SMALL($K$70:$K$846,ROWS($L$70:L495)),"")</f>
        <v/>
      </c>
      <c r="M495" t="str" cm="1">
        <f t="array" ref="M495">IFERROR(INDEX($F$70:$F$846,L495,1),"")</f>
        <v/>
      </c>
    </row>
    <row r="496" spans="1:13" x14ac:dyDescent="0.45">
      <c r="A496" t="s">
        <v>2696</v>
      </c>
      <c r="B496" s="206">
        <v>505</v>
      </c>
      <c r="C496" t="s">
        <v>3614</v>
      </c>
      <c r="D496" s="206" t="s">
        <v>3615</v>
      </c>
      <c r="E496" s="206" t="str">
        <f t="shared" si="56"/>
        <v>11</v>
      </c>
      <c r="F496" t="str">
        <f t="shared" si="57"/>
        <v>Chi cục thuế Huyện Sơn Tây</v>
      </c>
      <c r="G496" t="str">
        <f t="shared" si="62"/>
        <v>Sơn Tây</v>
      </c>
      <c r="H496" s="206"/>
      <c r="I496" s="206" t="str">
        <f t="shared" si="58"/>
        <v>50511</v>
      </c>
      <c r="J496" t="str">
        <f t="shared" si="60"/>
        <v/>
      </c>
      <c r="K496" t="str">
        <f>IF(J496="","",ROWS($K$70:K496))</f>
        <v/>
      </c>
      <c r="L496" t="str">
        <f>IFERROR(SMALL($K$70:$K$846,ROWS($L$70:L496)),"")</f>
        <v/>
      </c>
      <c r="M496" t="str" cm="1">
        <f t="array" ref="M496">IFERROR(INDEX($F$70:$F$846,L496,1),"")</f>
        <v/>
      </c>
    </row>
    <row r="497" spans="1:13" x14ac:dyDescent="0.45">
      <c r="A497" t="s">
        <v>2696</v>
      </c>
      <c r="B497" s="206">
        <v>505</v>
      </c>
      <c r="C497" t="s">
        <v>3616</v>
      </c>
      <c r="D497" s="206" t="s">
        <v>3617</v>
      </c>
      <c r="E497" s="206" t="str">
        <f t="shared" si="56"/>
        <v>13</v>
      </c>
      <c r="F497" t="str">
        <f t="shared" si="57"/>
        <v>Chi cục thuế Huyện Sơn Hà</v>
      </c>
      <c r="G497" t="str">
        <f t="shared" si="62"/>
        <v>Sơn Hà</v>
      </c>
      <c r="H497" s="206"/>
      <c r="I497" s="206" t="str">
        <f t="shared" si="58"/>
        <v>50513</v>
      </c>
      <c r="J497" t="str">
        <f t="shared" si="60"/>
        <v/>
      </c>
      <c r="K497" t="str">
        <f>IF(J497="","",ROWS($K$70:K497))</f>
        <v/>
      </c>
      <c r="L497" t="str">
        <f>IFERROR(SMALL($K$70:$K$846,ROWS($L$70:L497)),"")</f>
        <v/>
      </c>
      <c r="M497" t="str" cm="1">
        <f t="array" ref="M497">IFERROR(INDEX($F$70:$F$846,L497,1),"")</f>
        <v/>
      </c>
    </row>
    <row r="498" spans="1:13" x14ac:dyDescent="0.45">
      <c r="A498" t="s">
        <v>2696</v>
      </c>
      <c r="B498" s="206">
        <v>505</v>
      </c>
      <c r="C498" t="s">
        <v>3618</v>
      </c>
      <c r="D498" s="206" t="s">
        <v>3619</v>
      </c>
      <c r="E498" s="206" t="str">
        <f t="shared" si="56"/>
        <v>15</v>
      </c>
      <c r="F498" t="str">
        <f t="shared" si="57"/>
        <v>Chi cục thuế Huyện Tư Nghĩa</v>
      </c>
      <c r="G498" t="str">
        <f t="shared" si="62"/>
        <v>Tư Nghĩa</v>
      </c>
      <c r="H498" s="206"/>
      <c r="I498" s="206" t="str">
        <f t="shared" si="58"/>
        <v>50515</v>
      </c>
      <c r="J498" t="str">
        <f t="shared" si="60"/>
        <v/>
      </c>
      <c r="K498" t="str">
        <f>IF(J498="","",ROWS($K$70:K498))</f>
        <v/>
      </c>
      <c r="L498" t="str">
        <f>IFERROR(SMALL($K$70:$K$846,ROWS($L$70:L498)),"")</f>
        <v/>
      </c>
      <c r="M498" t="str" cm="1">
        <f t="array" ref="M498">IFERROR(INDEX($F$70:$F$846,L498,1),"")</f>
        <v/>
      </c>
    </row>
    <row r="499" spans="1:13" x14ac:dyDescent="0.45">
      <c r="A499" t="s">
        <v>2696</v>
      </c>
      <c r="B499" s="206">
        <v>505</v>
      </c>
      <c r="C499" t="s">
        <v>3620</v>
      </c>
      <c r="D499" s="206" t="s">
        <v>3621</v>
      </c>
      <c r="E499" s="206" t="str">
        <f t="shared" si="56"/>
        <v>17</v>
      </c>
      <c r="F499" t="str">
        <f t="shared" si="57"/>
        <v>Chi cục thuế Huyện Nghĩa Hành</v>
      </c>
      <c r="G499" t="str">
        <f t="shared" si="62"/>
        <v>Nghĩa Hành</v>
      </c>
      <c r="H499" s="206"/>
      <c r="I499" s="206" t="str">
        <f t="shared" si="58"/>
        <v>50517</v>
      </c>
      <c r="J499" t="str">
        <f t="shared" si="60"/>
        <v/>
      </c>
      <c r="K499" t="str">
        <f>IF(J499="","",ROWS($K$70:K499))</f>
        <v/>
      </c>
      <c r="L499" t="str">
        <f>IFERROR(SMALL($K$70:$K$846,ROWS($L$70:L499)),"")</f>
        <v/>
      </c>
      <c r="M499" t="str" cm="1">
        <f t="array" ref="M499">IFERROR(INDEX($F$70:$F$846,L499,1),"")</f>
        <v/>
      </c>
    </row>
    <row r="500" spans="1:13" x14ac:dyDescent="0.45">
      <c r="A500" t="s">
        <v>2696</v>
      </c>
      <c r="B500" s="206">
        <v>505</v>
      </c>
      <c r="C500" t="s">
        <v>3622</v>
      </c>
      <c r="D500" s="206" t="s">
        <v>3623</v>
      </c>
      <c r="E500" s="206" t="str">
        <f t="shared" si="56"/>
        <v>19</v>
      </c>
      <c r="F500" t="str">
        <f t="shared" si="57"/>
        <v>Chi cục thuế Huyện Minh Long</v>
      </c>
      <c r="G500" t="str">
        <f t="shared" si="62"/>
        <v>Minh Long</v>
      </c>
      <c r="H500" s="206"/>
      <c r="I500" s="206" t="str">
        <f t="shared" si="58"/>
        <v>50519</v>
      </c>
      <c r="J500" t="str">
        <f t="shared" si="60"/>
        <v/>
      </c>
      <c r="K500" t="str">
        <f>IF(J500="","",ROWS($K$70:K500))</f>
        <v/>
      </c>
      <c r="L500" t="str">
        <f>IFERROR(SMALL($K$70:$K$846,ROWS($L$70:L500)),"")</f>
        <v/>
      </c>
      <c r="M500" t="str" cm="1">
        <f t="array" ref="M500">IFERROR(INDEX($F$70:$F$846,L500,1),"")</f>
        <v/>
      </c>
    </row>
    <row r="501" spans="1:13" x14ac:dyDescent="0.45">
      <c r="A501" t="s">
        <v>2696</v>
      </c>
      <c r="B501" s="206">
        <v>505</v>
      </c>
      <c r="C501" t="s">
        <v>3624</v>
      </c>
      <c r="D501" s="206" t="s">
        <v>3625</v>
      </c>
      <c r="E501" s="206" t="str">
        <f t="shared" si="56"/>
        <v>21</v>
      </c>
      <c r="F501" t="str">
        <f t="shared" si="57"/>
        <v>Chi cục thuế Huyện Mộ Đức</v>
      </c>
      <c r="G501" t="str">
        <f t="shared" si="62"/>
        <v>Mộ Đức</v>
      </c>
      <c r="H501" s="206"/>
      <c r="I501" s="206" t="str">
        <f t="shared" si="58"/>
        <v>50521</v>
      </c>
      <c r="J501" t="str">
        <f t="shared" si="60"/>
        <v/>
      </c>
      <c r="K501" t="str">
        <f>IF(J501="","",ROWS($K$70:K501))</f>
        <v/>
      </c>
      <c r="L501" t="str">
        <f>IFERROR(SMALL($K$70:$K$846,ROWS($L$70:L501)),"")</f>
        <v/>
      </c>
      <c r="M501" t="str" cm="1">
        <f t="array" ref="M501">IFERROR(INDEX($F$70:$F$846,L501,1),"")</f>
        <v/>
      </c>
    </row>
    <row r="502" spans="1:13" x14ac:dyDescent="0.45">
      <c r="A502" t="s">
        <v>2696</v>
      </c>
      <c r="B502" s="206">
        <v>505</v>
      </c>
      <c r="C502" t="s">
        <v>3626</v>
      </c>
      <c r="D502" s="206" t="s">
        <v>3627</v>
      </c>
      <c r="E502" s="206" t="str">
        <f t="shared" si="56"/>
        <v>23</v>
      </c>
      <c r="F502" t="str">
        <f t="shared" si="57"/>
        <v>Chi cục thuế Huyện Đức Phổ</v>
      </c>
      <c r="G502" t="str">
        <f t="shared" si="62"/>
        <v>Đức Phổ</v>
      </c>
      <c r="H502" s="206"/>
      <c r="I502" s="206" t="str">
        <f t="shared" si="58"/>
        <v>50523</v>
      </c>
      <c r="J502" t="str">
        <f t="shared" si="60"/>
        <v/>
      </c>
      <c r="K502" t="str">
        <f>IF(J502="","",ROWS($K$70:K502))</f>
        <v/>
      </c>
      <c r="L502" t="str">
        <f>IFERROR(SMALL($K$70:$K$846,ROWS($L$70:L502)),"")</f>
        <v/>
      </c>
      <c r="M502" t="str" cm="1">
        <f t="array" ref="M502">IFERROR(INDEX($F$70:$F$846,L502,1),"")</f>
        <v/>
      </c>
    </row>
    <row r="503" spans="1:13" x14ac:dyDescent="0.45">
      <c r="A503" t="s">
        <v>2696</v>
      </c>
      <c r="B503" s="206">
        <v>505</v>
      </c>
      <c r="C503" t="s">
        <v>3628</v>
      </c>
      <c r="D503" s="206" t="s">
        <v>3629</v>
      </c>
      <c r="E503" s="206" t="str">
        <f t="shared" si="56"/>
        <v>25</v>
      </c>
      <c r="F503" t="str">
        <f t="shared" si="57"/>
        <v>Chi cục thuế Huyện Ba Tơ</v>
      </c>
      <c r="G503" t="str">
        <f t="shared" si="62"/>
        <v>Ba Tơ</v>
      </c>
      <c r="H503" s="206"/>
      <c r="I503" s="206" t="str">
        <f t="shared" si="58"/>
        <v>50525</v>
      </c>
      <c r="J503" t="str">
        <f t="shared" si="60"/>
        <v/>
      </c>
      <c r="K503" t="str">
        <f>IF(J503="","",ROWS($K$70:K503))</f>
        <v/>
      </c>
      <c r="L503" t="str">
        <f>IFERROR(SMALL($K$70:$K$846,ROWS($L$70:L503)),"")</f>
        <v/>
      </c>
      <c r="M503" t="str" cm="1">
        <f t="array" ref="M503">IFERROR(INDEX($F$70:$F$846,L503,1),"")</f>
        <v/>
      </c>
    </row>
    <row r="504" spans="1:13" x14ac:dyDescent="0.45">
      <c r="A504" t="s">
        <v>2621</v>
      </c>
      <c r="B504" s="206" t="s">
        <v>3630</v>
      </c>
      <c r="C504" t="s">
        <v>3631</v>
      </c>
      <c r="D504" s="206" t="s">
        <v>3632</v>
      </c>
      <c r="E504" s="206" t="str">
        <f t="shared" si="56"/>
        <v>00</v>
      </c>
      <c r="F504" t="str">
        <f t="shared" si="57"/>
        <v>Cục thuế Tỉnh Bình Định</v>
      </c>
      <c r="H504" s="206" t="str">
        <f>IF(E505="01",A505,"")</f>
        <v>Bình Định</v>
      </c>
      <c r="I504" s="206" t="str">
        <f t="shared" si="58"/>
        <v>50700</v>
      </c>
      <c r="J504" t="str">
        <f t="shared" si="60"/>
        <v/>
      </c>
      <c r="K504" t="str">
        <f>IF(J504="","",ROWS($K$70:K504))</f>
        <v/>
      </c>
      <c r="L504" t="str">
        <f>IFERROR(SMALL($K$70:$K$846,ROWS($L$70:L504)),"")</f>
        <v/>
      </c>
      <c r="M504" t="str" cm="1">
        <f t="array" ref="M504">IFERROR(INDEX($F$70:$F$846,L504,1),"")</f>
        <v/>
      </c>
    </row>
    <row r="505" spans="1:13" x14ac:dyDescent="0.45">
      <c r="A505" t="s">
        <v>2621</v>
      </c>
      <c r="B505" s="206">
        <v>507</v>
      </c>
      <c r="C505" t="s">
        <v>3633</v>
      </c>
      <c r="D505" s="206" t="s">
        <v>3634</v>
      </c>
      <c r="E505" s="206" t="str">
        <f t="shared" si="56"/>
        <v>01</v>
      </c>
      <c r="F505" t="str">
        <f t="shared" si="57"/>
        <v>Chi cục thuế Thành phố Quy Nhơn</v>
      </c>
      <c r="H505" s="206"/>
      <c r="I505" s="206" t="str">
        <f t="shared" si="58"/>
        <v>50701</v>
      </c>
      <c r="J505" t="str">
        <f t="shared" si="60"/>
        <v/>
      </c>
      <c r="K505" t="str">
        <f>IF(J505="","",ROWS($K$70:K505))</f>
        <v/>
      </c>
      <c r="L505" t="str">
        <f>IFERROR(SMALL($K$70:$K$846,ROWS($L$70:L505)),"")</f>
        <v/>
      </c>
      <c r="M505" t="str" cm="1">
        <f t="array" ref="M505">IFERROR(INDEX($F$70:$F$846,L505,1),"")</f>
        <v/>
      </c>
    </row>
    <row r="506" spans="1:13" x14ac:dyDescent="0.45">
      <c r="A506" t="s">
        <v>2621</v>
      </c>
      <c r="B506" s="206">
        <v>507</v>
      </c>
      <c r="C506" t="s">
        <v>3635</v>
      </c>
      <c r="D506" s="206" t="s">
        <v>3636</v>
      </c>
      <c r="E506" s="206" t="str">
        <f t="shared" si="56"/>
        <v>03</v>
      </c>
      <c r="F506" t="str">
        <f t="shared" si="57"/>
        <v xml:space="preserve">Chi cục thuế Huyện An Lão </v>
      </c>
      <c r="G506" t="str">
        <f t="shared" ref="G506:G512" si="63">RIGHT(C506,LEN(C506)-6)</f>
        <v xml:space="preserve">An Lão </v>
      </c>
      <c r="H506" s="206"/>
      <c r="I506" s="206" t="str">
        <f t="shared" si="58"/>
        <v>50703</v>
      </c>
      <c r="J506" t="str">
        <f t="shared" si="60"/>
        <v/>
      </c>
      <c r="K506" t="str">
        <f>IF(J506="","",ROWS($K$70:K506))</f>
        <v/>
      </c>
      <c r="L506" t="str">
        <f>IFERROR(SMALL($K$70:$K$846,ROWS($L$70:L506)),"")</f>
        <v/>
      </c>
      <c r="M506" t="str" cm="1">
        <f t="array" ref="M506">IFERROR(INDEX($F$70:$F$846,L506,1),"")</f>
        <v/>
      </c>
    </row>
    <row r="507" spans="1:13" x14ac:dyDescent="0.45">
      <c r="A507" t="s">
        <v>2621</v>
      </c>
      <c r="B507" s="206">
        <v>507</v>
      </c>
      <c r="C507" t="s">
        <v>3637</v>
      </c>
      <c r="D507" s="206" t="s">
        <v>3638</v>
      </c>
      <c r="E507" s="206" t="str">
        <f t="shared" si="56"/>
        <v>05</v>
      </c>
      <c r="F507" t="str">
        <f t="shared" si="57"/>
        <v>Chi cục thuế Huyện Hòai Nhơn</v>
      </c>
      <c r="G507" t="str">
        <f t="shared" si="63"/>
        <v>Hòai Nhơn</v>
      </c>
      <c r="H507" s="206"/>
      <c r="I507" s="206" t="str">
        <f t="shared" si="58"/>
        <v>50705</v>
      </c>
      <c r="J507" t="str">
        <f t="shared" si="60"/>
        <v/>
      </c>
      <c r="K507" t="str">
        <f>IF(J507="","",ROWS($K$70:K507))</f>
        <v/>
      </c>
      <c r="L507" t="str">
        <f>IFERROR(SMALL($K$70:$K$846,ROWS($L$70:L507)),"")</f>
        <v/>
      </c>
      <c r="M507" t="str" cm="1">
        <f t="array" ref="M507">IFERROR(INDEX($F$70:$F$846,L507,1),"")</f>
        <v/>
      </c>
    </row>
    <row r="508" spans="1:13" x14ac:dyDescent="0.45">
      <c r="A508" t="s">
        <v>2621</v>
      </c>
      <c r="B508" s="206">
        <v>507</v>
      </c>
      <c r="C508" t="s">
        <v>3639</v>
      </c>
      <c r="D508" s="206" t="s">
        <v>3640</v>
      </c>
      <c r="E508" s="206" t="str">
        <f t="shared" si="56"/>
        <v>07</v>
      </c>
      <c r="F508" t="str">
        <f t="shared" si="57"/>
        <v>Chi cục thuế Huyện Hòai Ân</v>
      </c>
      <c r="G508" t="str">
        <f t="shared" si="63"/>
        <v>Hòai Ân</v>
      </c>
      <c r="H508" s="206"/>
      <c r="I508" s="206" t="str">
        <f t="shared" si="58"/>
        <v>50707</v>
      </c>
      <c r="J508" t="str">
        <f t="shared" si="60"/>
        <v/>
      </c>
      <c r="K508" t="str">
        <f>IF(J508="","",ROWS($K$70:K508))</f>
        <v/>
      </c>
      <c r="L508" t="str">
        <f>IFERROR(SMALL($K$70:$K$846,ROWS($L$70:L508)),"")</f>
        <v/>
      </c>
      <c r="M508" t="str" cm="1">
        <f t="array" ref="M508">IFERROR(INDEX($F$70:$F$846,L508,1),"")</f>
        <v/>
      </c>
    </row>
    <row r="509" spans="1:13" x14ac:dyDescent="0.45">
      <c r="A509" t="s">
        <v>2621</v>
      </c>
      <c r="B509" s="206">
        <v>507</v>
      </c>
      <c r="C509" t="s">
        <v>3641</v>
      </c>
      <c r="D509" s="206" t="s">
        <v>3642</v>
      </c>
      <c r="E509" s="206" t="str">
        <f t="shared" si="56"/>
        <v>09</v>
      </c>
      <c r="F509" t="str">
        <f t="shared" si="57"/>
        <v>Chi cục thuế Huyện Phù Mỹ</v>
      </c>
      <c r="G509" t="str">
        <f t="shared" si="63"/>
        <v>Phù Mỹ</v>
      </c>
      <c r="H509" s="206"/>
      <c r="I509" s="206" t="str">
        <f t="shared" si="58"/>
        <v>50709</v>
      </c>
      <c r="J509" t="str">
        <f t="shared" si="60"/>
        <v/>
      </c>
      <c r="K509" t="str">
        <f>IF(J509="","",ROWS($K$70:K509))</f>
        <v/>
      </c>
      <c r="L509" t="str">
        <f>IFERROR(SMALL($K$70:$K$846,ROWS($L$70:L509)),"")</f>
        <v/>
      </c>
      <c r="M509" t="str" cm="1">
        <f t="array" ref="M509">IFERROR(INDEX($F$70:$F$846,L509,1),"")</f>
        <v/>
      </c>
    </row>
    <row r="510" spans="1:13" x14ac:dyDescent="0.45">
      <c r="A510" t="s">
        <v>2621</v>
      </c>
      <c r="B510" s="206">
        <v>507</v>
      </c>
      <c r="C510" t="s">
        <v>3643</v>
      </c>
      <c r="D510" s="206" t="s">
        <v>3644</v>
      </c>
      <c r="E510" s="206" t="str">
        <f t="shared" si="56"/>
        <v>11</v>
      </c>
      <c r="F510" t="str">
        <f t="shared" si="57"/>
        <v>Chi cục thuế Huyện Vĩnh Thạnh</v>
      </c>
      <c r="G510" t="str">
        <f t="shared" si="63"/>
        <v>Vĩnh Thạnh</v>
      </c>
      <c r="H510" s="206"/>
      <c r="I510" s="206" t="str">
        <f t="shared" si="58"/>
        <v>50711</v>
      </c>
      <c r="J510" t="str">
        <f t="shared" si="60"/>
        <v/>
      </c>
      <c r="K510" t="str">
        <f>IF(J510="","",ROWS($K$70:K510))</f>
        <v/>
      </c>
      <c r="L510" t="str">
        <f>IFERROR(SMALL($K$70:$K$846,ROWS($L$70:L510)),"")</f>
        <v/>
      </c>
      <c r="M510" t="str" cm="1">
        <f t="array" ref="M510">IFERROR(INDEX($F$70:$F$846,L510,1),"")</f>
        <v/>
      </c>
    </row>
    <row r="511" spans="1:13" x14ac:dyDescent="0.45">
      <c r="A511" t="s">
        <v>2621</v>
      </c>
      <c r="B511" s="206">
        <v>507</v>
      </c>
      <c r="C511" t="s">
        <v>3645</v>
      </c>
      <c r="D511" s="206" t="s">
        <v>3646</v>
      </c>
      <c r="E511" s="206" t="str">
        <f t="shared" si="56"/>
        <v>13</v>
      </c>
      <c r="F511" t="str">
        <f t="shared" si="57"/>
        <v>Chi cục thuế Huyện Phù Cát</v>
      </c>
      <c r="G511" t="str">
        <f t="shared" si="63"/>
        <v>Phù Cát</v>
      </c>
      <c r="H511" s="206"/>
      <c r="I511" s="206" t="str">
        <f t="shared" si="58"/>
        <v>50713</v>
      </c>
      <c r="J511" t="str">
        <f t="shared" si="60"/>
        <v/>
      </c>
      <c r="K511" t="str">
        <f>IF(J511="","",ROWS($K$70:K511))</f>
        <v/>
      </c>
      <c r="L511" t="str">
        <f>IFERROR(SMALL($K$70:$K$846,ROWS($L$70:L511)),"")</f>
        <v/>
      </c>
      <c r="M511" t="str" cm="1">
        <f t="array" ref="M511">IFERROR(INDEX($F$70:$F$846,L511,1),"")</f>
        <v/>
      </c>
    </row>
    <row r="512" spans="1:13" x14ac:dyDescent="0.45">
      <c r="A512" t="s">
        <v>2621</v>
      </c>
      <c r="B512" s="206">
        <v>507</v>
      </c>
      <c r="C512" t="s">
        <v>3647</v>
      </c>
      <c r="D512" s="206" t="s">
        <v>3648</v>
      </c>
      <c r="E512" s="206" t="str">
        <f t="shared" si="56"/>
        <v>15</v>
      </c>
      <c r="F512" t="str">
        <f t="shared" si="57"/>
        <v>Chi cục thuế Huyện Tây Sơn</v>
      </c>
      <c r="G512" t="str">
        <f t="shared" si="63"/>
        <v>Tây Sơn</v>
      </c>
      <c r="H512" s="206"/>
      <c r="I512" s="206" t="str">
        <f t="shared" si="58"/>
        <v>50715</v>
      </c>
      <c r="J512" t="str">
        <f t="shared" si="60"/>
        <v/>
      </c>
      <c r="K512" t="str">
        <f>IF(J512="","",ROWS($K$70:K512))</f>
        <v/>
      </c>
      <c r="L512" t="str">
        <f>IFERROR(SMALL($K$70:$K$846,ROWS($L$70:L512)),"")</f>
        <v/>
      </c>
      <c r="M512" t="str" cm="1">
        <f t="array" ref="M512">IFERROR(INDEX($F$70:$F$846,L512,1),"")</f>
        <v/>
      </c>
    </row>
    <row r="513" spans="1:13" x14ac:dyDescent="0.45">
      <c r="A513" t="s">
        <v>2621</v>
      </c>
      <c r="B513" s="206">
        <v>507</v>
      </c>
      <c r="C513" t="s">
        <v>3649</v>
      </c>
      <c r="D513" s="206" t="s">
        <v>3650</v>
      </c>
      <c r="E513" s="206" t="str">
        <f t="shared" si="56"/>
        <v>17</v>
      </c>
      <c r="F513" t="str">
        <f t="shared" si="57"/>
        <v>Chi cục thuế Thị Xã An Nhơn</v>
      </c>
      <c r="H513" s="206"/>
      <c r="I513" s="206" t="str">
        <f t="shared" si="58"/>
        <v>50717</v>
      </c>
      <c r="J513" t="str">
        <f t="shared" si="60"/>
        <v/>
      </c>
      <c r="K513" t="str">
        <f>IF(J513="","",ROWS($K$70:K513))</f>
        <v/>
      </c>
      <c r="L513" t="str">
        <f>IFERROR(SMALL($K$70:$K$846,ROWS($L$70:L513)),"")</f>
        <v/>
      </c>
      <c r="M513" t="str" cm="1">
        <f t="array" ref="M513">IFERROR(INDEX($F$70:$F$846,L513,1),"")</f>
        <v/>
      </c>
    </row>
    <row r="514" spans="1:13" x14ac:dyDescent="0.45">
      <c r="A514" t="s">
        <v>2621</v>
      </c>
      <c r="B514" s="206">
        <v>507</v>
      </c>
      <c r="C514" t="s">
        <v>3651</v>
      </c>
      <c r="D514" s="206" t="s">
        <v>3652</v>
      </c>
      <c r="E514" s="206" t="str">
        <f t="shared" si="56"/>
        <v>19</v>
      </c>
      <c r="F514" t="str">
        <f t="shared" si="57"/>
        <v>Chi cục thuế Huyện Tuy Phước</v>
      </c>
      <c r="G514" t="str">
        <f>RIGHT(C514,LEN(C514)-6)</f>
        <v>Tuy Phước</v>
      </c>
      <c r="H514" s="206"/>
      <c r="I514" s="206" t="str">
        <f t="shared" si="58"/>
        <v>50719</v>
      </c>
      <c r="J514" t="str">
        <f t="shared" si="60"/>
        <v/>
      </c>
      <c r="K514" t="str">
        <f>IF(J514="","",ROWS($K$70:K514))</f>
        <v/>
      </c>
      <c r="L514" t="str">
        <f>IFERROR(SMALL($K$70:$K$846,ROWS($L$70:L514)),"")</f>
        <v/>
      </c>
      <c r="M514" t="str" cm="1">
        <f t="array" ref="M514">IFERROR(INDEX($F$70:$F$846,L514,1),"")</f>
        <v/>
      </c>
    </row>
    <row r="515" spans="1:13" x14ac:dyDescent="0.45">
      <c r="A515" t="s">
        <v>2621</v>
      </c>
      <c r="B515" s="206">
        <v>507</v>
      </c>
      <c r="C515" t="s">
        <v>3653</v>
      </c>
      <c r="D515" s="206" t="s">
        <v>3654</v>
      </c>
      <c r="E515" s="206" t="str">
        <f t="shared" si="56"/>
        <v>21</v>
      </c>
      <c r="F515" t="str">
        <f t="shared" si="57"/>
        <v>Chi cục thuế Huyện Vân Canh</v>
      </c>
      <c r="G515" t="str">
        <f>RIGHT(C515,LEN(C515)-6)</f>
        <v>Vân Canh</v>
      </c>
      <c r="H515" s="206"/>
      <c r="I515" s="206" t="str">
        <f t="shared" si="58"/>
        <v>50721</v>
      </c>
      <c r="J515" t="str">
        <f t="shared" si="60"/>
        <v/>
      </c>
      <c r="K515" t="str">
        <f>IF(J515="","",ROWS($K$70:K515))</f>
        <v/>
      </c>
      <c r="L515" t="str">
        <f>IFERROR(SMALL($K$70:$K$846,ROWS($L$70:L515)),"")</f>
        <v/>
      </c>
      <c r="M515" t="str" cm="1">
        <f t="array" ref="M515">IFERROR(INDEX($F$70:$F$846,L515,1),"")</f>
        <v/>
      </c>
    </row>
    <row r="516" spans="1:13" x14ac:dyDescent="0.45">
      <c r="A516" t="s">
        <v>2690</v>
      </c>
      <c r="B516" s="206" t="s">
        <v>3655</v>
      </c>
      <c r="C516" t="s">
        <v>3656</v>
      </c>
      <c r="D516" s="206" t="s">
        <v>3657</v>
      </c>
      <c r="E516" s="206" t="str">
        <f t="shared" si="56"/>
        <v>00</v>
      </c>
      <c r="F516" t="str">
        <f t="shared" si="57"/>
        <v>Cục thuế Tỉnh Phú Yên</v>
      </c>
      <c r="H516" s="206" t="str">
        <f>IF(E517="01",A517,"")</f>
        <v>Phú Yên</v>
      </c>
      <c r="I516" s="206" t="str">
        <f t="shared" si="58"/>
        <v>50900</v>
      </c>
      <c r="J516" t="str">
        <f t="shared" si="60"/>
        <v/>
      </c>
      <c r="K516" t="str">
        <f>IF(J516="","",ROWS($K$70:K516))</f>
        <v/>
      </c>
      <c r="L516" t="str">
        <f>IFERROR(SMALL($K$70:$K$846,ROWS($L$70:L516)),"")</f>
        <v/>
      </c>
      <c r="M516" t="str" cm="1">
        <f t="array" ref="M516">IFERROR(INDEX($F$70:$F$846,L516,1),"")</f>
        <v/>
      </c>
    </row>
    <row r="517" spans="1:13" x14ac:dyDescent="0.45">
      <c r="A517" t="s">
        <v>2690</v>
      </c>
      <c r="B517" s="206">
        <v>509</v>
      </c>
      <c r="C517" t="s">
        <v>3658</v>
      </c>
      <c r="D517" s="206" t="s">
        <v>3659</v>
      </c>
      <c r="E517" s="206" t="str">
        <f t="shared" si="56"/>
        <v>01</v>
      </c>
      <c r="F517" t="str">
        <f t="shared" si="57"/>
        <v>Chi cục thuế TP Tuy Hòa</v>
      </c>
      <c r="H517" s="206"/>
      <c r="I517" s="206" t="str">
        <f t="shared" si="58"/>
        <v>50901</v>
      </c>
      <c r="J517" t="str">
        <f t="shared" si="60"/>
        <v/>
      </c>
      <c r="K517" t="str">
        <f>IF(J517="","",ROWS($K$70:K517))</f>
        <v/>
      </c>
      <c r="L517" t="str">
        <f>IFERROR(SMALL($K$70:$K$846,ROWS($L$70:L517)),"")</f>
        <v/>
      </c>
      <c r="M517" t="str" cm="1">
        <f t="array" ref="M517">IFERROR(INDEX($F$70:$F$846,L517,1),"")</f>
        <v/>
      </c>
    </row>
    <row r="518" spans="1:13" x14ac:dyDescent="0.45">
      <c r="A518" t="s">
        <v>2690</v>
      </c>
      <c r="B518" s="206">
        <v>509</v>
      </c>
      <c r="C518" t="s">
        <v>3660</v>
      </c>
      <c r="D518" s="206" t="s">
        <v>3661</v>
      </c>
      <c r="E518" s="206" t="str">
        <f t="shared" si="56"/>
        <v>03</v>
      </c>
      <c r="F518" t="str">
        <f t="shared" si="57"/>
        <v>Chi cục thuế Huyện Đồng Xuân</v>
      </c>
      <c r="G518" t="str">
        <f>RIGHT(C518,LEN(C518)-6)</f>
        <v>Đồng Xuân</v>
      </c>
      <c r="H518" s="206"/>
      <c r="I518" s="206" t="str">
        <f t="shared" si="58"/>
        <v>50903</v>
      </c>
      <c r="J518" t="str">
        <f t="shared" si="60"/>
        <v/>
      </c>
      <c r="K518" t="str">
        <f>IF(J518="","",ROWS($K$70:K518))</f>
        <v/>
      </c>
      <c r="L518" t="str">
        <f>IFERROR(SMALL($K$70:$K$846,ROWS($L$70:L518)),"")</f>
        <v/>
      </c>
      <c r="M518" t="str" cm="1">
        <f t="array" ref="M518">IFERROR(INDEX($F$70:$F$846,L518,1),"")</f>
        <v/>
      </c>
    </row>
    <row r="519" spans="1:13" x14ac:dyDescent="0.45">
      <c r="A519" t="s">
        <v>2690</v>
      </c>
      <c r="B519" s="206">
        <v>509</v>
      </c>
      <c r="C519" t="s">
        <v>3662</v>
      </c>
      <c r="D519" s="206" t="s">
        <v>3663</v>
      </c>
      <c r="E519" s="206" t="str">
        <f t="shared" ref="E519:E582" si="64">RIGHT(D519,2)</f>
        <v>05</v>
      </c>
      <c r="F519" t="str">
        <f t="shared" ref="F519:F582" si="65">IF(E519="00","Cục thuế "&amp;C519,"Chi cục thuế "&amp;C519)</f>
        <v>Chi cục thuế Thị xã Sông Cầu</v>
      </c>
      <c r="H519" s="206"/>
      <c r="I519" s="206" t="str">
        <f t="shared" ref="I519:I582" si="66">D519</f>
        <v>50905</v>
      </c>
      <c r="J519" t="str">
        <f t="shared" si="60"/>
        <v/>
      </c>
      <c r="K519" t="str">
        <f>IF(J519="","",ROWS($K$70:K519))</f>
        <v/>
      </c>
      <c r="L519" t="str">
        <f>IFERROR(SMALL($K$70:$K$846,ROWS($L$70:L519)),"")</f>
        <v/>
      </c>
      <c r="M519" t="str" cm="1">
        <f t="array" ref="M519">IFERROR(INDEX($F$70:$F$846,L519,1),"")</f>
        <v/>
      </c>
    </row>
    <row r="520" spans="1:13" x14ac:dyDescent="0.45">
      <c r="A520" t="s">
        <v>2690</v>
      </c>
      <c r="B520" s="206">
        <v>509</v>
      </c>
      <c r="C520" t="s">
        <v>3664</v>
      </c>
      <c r="D520" s="206" t="s">
        <v>3665</v>
      </c>
      <c r="E520" s="206" t="str">
        <f t="shared" si="64"/>
        <v>07</v>
      </c>
      <c r="F520" t="str">
        <f t="shared" si="65"/>
        <v>Chi cục thuế Huyện Tuy An</v>
      </c>
      <c r="G520" t="str">
        <f t="shared" ref="G520:G525" si="67">RIGHT(C520,LEN(C520)-6)</f>
        <v>Tuy An</v>
      </c>
      <c r="H520" s="206"/>
      <c r="I520" s="206" t="str">
        <f t="shared" si="66"/>
        <v>50907</v>
      </c>
      <c r="J520" t="str">
        <f t="shared" si="60"/>
        <v/>
      </c>
      <c r="K520" t="str">
        <f>IF(J520="","",ROWS($K$70:K520))</f>
        <v/>
      </c>
      <c r="L520" t="str">
        <f>IFERROR(SMALL($K$70:$K$846,ROWS($L$70:L520)),"")</f>
        <v/>
      </c>
      <c r="M520" t="str" cm="1">
        <f t="array" ref="M520">IFERROR(INDEX($F$70:$F$846,L520,1),"")</f>
        <v/>
      </c>
    </row>
    <row r="521" spans="1:13" x14ac:dyDescent="0.45">
      <c r="A521" t="s">
        <v>2690</v>
      </c>
      <c r="B521" s="206">
        <v>509</v>
      </c>
      <c r="C521" t="s">
        <v>3666</v>
      </c>
      <c r="D521" s="206" t="s">
        <v>3667</v>
      </c>
      <c r="E521" s="206" t="str">
        <f t="shared" si="64"/>
        <v>09</v>
      </c>
      <c r="F521" t="str">
        <f t="shared" si="65"/>
        <v>Chi cục thuế Huyện Sơn Hòa</v>
      </c>
      <c r="G521" t="str">
        <f t="shared" si="67"/>
        <v>Sơn Hòa</v>
      </c>
      <c r="H521" s="206"/>
      <c r="I521" s="206" t="str">
        <f t="shared" si="66"/>
        <v>50909</v>
      </c>
      <c r="J521" t="str">
        <f t="shared" si="60"/>
        <v/>
      </c>
      <c r="K521" t="str">
        <f>IF(J521="","",ROWS($K$70:K521))</f>
        <v/>
      </c>
      <c r="L521" t="str">
        <f>IFERROR(SMALL($K$70:$K$846,ROWS($L$70:L521)),"")</f>
        <v/>
      </c>
      <c r="M521" t="str" cm="1">
        <f t="array" ref="M521">IFERROR(INDEX($F$70:$F$846,L521,1),"")</f>
        <v/>
      </c>
    </row>
    <row r="522" spans="1:13" x14ac:dyDescent="0.45">
      <c r="A522" t="s">
        <v>2690</v>
      </c>
      <c r="B522" s="206">
        <v>509</v>
      </c>
      <c r="C522" t="s">
        <v>3668</v>
      </c>
      <c r="D522" s="206" t="s">
        <v>3669</v>
      </c>
      <c r="E522" s="206" t="str">
        <f t="shared" si="64"/>
        <v>11</v>
      </c>
      <c r="F522" t="str">
        <f t="shared" si="65"/>
        <v>Chi cục thuế Huyện Đông Hòa</v>
      </c>
      <c r="G522" t="str">
        <f t="shared" si="67"/>
        <v>Đông Hòa</v>
      </c>
      <c r="H522" s="206"/>
      <c r="I522" s="206" t="str">
        <f t="shared" si="66"/>
        <v>50911</v>
      </c>
      <c r="J522" t="str">
        <f t="shared" ref="J522:J585" si="68">IF(A522=$J$69,F522,"")</f>
        <v/>
      </c>
      <c r="K522" t="str">
        <f>IF(J522="","",ROWS($K$70:K522))</f>
        <v/>
      </c>
      <c r="L522" t="str">
        <f>IFERROR(SMALL($K$70:$K$846,ROWS($L$70:L522)),"")</f>
        <v/>
      </c>
      <c r="M522" t="str" cm="1">
        <f t="array" ref="M522">IFERROR(INDEX($F$70:$F$846,L522,1),"")</f>
        <v/>
      </c>
    </row>
    <row r="523" spans="1:13" x14ac:dyDescent="0.45">
      <c r="A523" t="s">
        <v>2690</v>
      </c>
      <c r="B523" s="206">
        <v>509</v>
      </c>
      <c r="C523" t="s">
        <v>3670</v>
      </c>
      <c r="D523" s="206" t="s">
        <v>3671</v>
      </c>
      <c r="E523" s="206" t="str">
        <f t="shared" si="64"/>
        <v>12</v>
      </c>
      <c r="F523" t="str">
        <f t="shared" si="65"/>
        <v>Chi cục thuế Huyện Tây Hòa</v>
      </c>
      <c r="G523" t="str">
        <f t="shared" si="67"/>
        <v>Tây Hòa</v>
      </c>
      <c r="H523" s="206"/>
      <c r="I523" s="206" t="str">
        <f t="shared" si="66"/>
        <v>50912</v>
      </c>
      <c r="J523" t="str">
        <f t="shared" si="68"/>
        <v/>
      </c>
      <c r="K523" t="str">
        <f>IF(J523="","",ROWS($K$70:K523))</f>
        <v/>
      </c>
      <c r="L523" t="str">
        <f>IFERROR(SMALL($K$70:$K$846,ROWS($L$70:L523)),"")</f>
        <v/>
      </c>
      <c r="M523" t="str" cm="1">
        <f t="array" ref="M523">IFERROR(INDEX($F$70:$F$846,L523,1),"")</f>
        <v/>
      </c>
    </row>
    <row r="524" spans="1:13" x14ac:dyDescent="0.45">
      <c r="A524" t="s">
        <v>2690</v>
      </c>
      <c r="B524" s="206">
        <v>509</v>
      </c>
      <c r="C524" t="s">
        <v>3672</v>
      </c>
      <c r="D524" s="206" t="s">
        <v>3673</v>
      </c>
      <c r="E524" s="206" t="str">
        <f t="shared" si="64"/>
        <v>13</v>
      </c>
      <c r="F524" t="str">
        <f t="shared" si="65"/>
        <v>Chi cục thuế Huyện Sông Hinh</v>
      </c>
      <c r="G524" t="str">
        <f t="shared" si="67"/>
        <v>Sông Hinh</v>
      </c>
      <c r="H524" s="206"/>
      <c r="I524" s="206" t="str">
        <f t="shared" si="66"/>
        <v>50913</v>
      </c>
      <c r="J524" t="str">
        <f t="shared" si="68"/>
        <v/>
      </c>
      <c r="K524" t="str">
        <f>IF(J524="","",ROWS($K$70:K524))</f>
        <v/>
      </c>
      <c r="L524" t="str">
        <f>IFERROR(SMALL($K$70:$K$846,ROWS($L$70:L524)),"")</f>
        <v/>
      </c>
      <c r="M524" t="str" cm="1">
        <f t="array" ref="M524">IFERROR(INDEX($F$70:$F$846,L524,1),"")</f>
        <v/>
      </c>
    </row>
    <row r="525" spans="1:13" x14ac:dyDescent="0.45">
      <c r="A525" t="s">
        <v>2690</v>
      </c>
      <c r="B525" s="206">
        <v>509</v>
      </c>
      <c r="C525" t="s">
        <v>3674</v>
      </c>
      <c r="D525" s="206" t="s">
        <v>3675</v>
      </c>
      <c r="E525" s="206" t="str">
        <f t="shared" si="64"/>
        <v>15</v>
      </c>
      <c r="F525" t="str">
        <f t="shared" si="65"/>
        <v>Chi cục thuế Huyện Phú Hòa</v>
      </c>
      <c r="G525" t="str">
        <f t="shared" si="67"/>
        <v>Phú Hòa</v>
      </c>
      <c r="H525" s="206"/>
      <c r="I525" s="206" t="str">
        <f t="shared" si="66"/>
        <v>50915</v>
      </c>
      <c r="J525" t="str">
        <f t="shared" si="68"/>
        <v/>
      </c>
      <c r="K525" t="str">
        <f>IF(J525="","",ROWS($K$70:K525))</f>
        <v/>
      </c>
      <c r="L525" t="str">
        <f>IFERROR(SMALL($K$70:$K$846,ROWS($L$70:L525)),"")</f>
        <v/>
      </c>
      <c r="M525" t="str" cm="1">
        <f t="array" ref="M525">IFERROR(INDEX($F$70:$F$846,L525,1),"")</f>
        <v/>
      </c>
    </row>
    <row r="526" spans="1:13" x14ac:dyDescent="0.45">
      <c r="A526" t="s">
        <v>2664</v>
      </c>
      <c r="B526" s="206" t="s">
        <v>3676</v>
      </c>
      <c r="C526" t="s">
        <v>3677</v>
      </c>
      <c r="D526" s="206" t="s">
        <v>3678</v>
      </c>
      <c r="E526" s="206" t="str">
        <f t="shared" si="64"/>
        <v>00</v>
      </c>
      <c r="F526" t="str">
        <f t="shared" si="65"/>
        <v>Cục thuế Tỉnh Khánh Hòa</v>
      </c>
      <c r="H526" s="206" t="str">
        <f>IF(E527="01",A527,"")</f>
        <v>Khánh Hòa</v>
      </c>
      <c r="I526" s="206" t="str">
        <f t="shared" si="66"/>
        <v>51100</v>
      </c>
      <c r="J526" t="str">
        <f t="shared" si="68"/>
        <v/>
      </c>
      <c r="K526" t="str">
        <f>IF(J526="","",ROWS($K$70:K526))</f>
        <v/>
      </c>
      <c r="L526" t="str">
        <f>IFERROR(SMALL($K$70:$K$846,ROWS($L$70:L526)),"")</f>
        <v/>
      </c>
      <c r="M526" t="str" cm="1">
        <f t="array" ref="M526">IFERROR(INDEX($F$70:$F$846,L526,1),"")</f>
        <v/>
      </c>
    </row>
    <row r="527" spans="1:13" x14ac:dyDescent="0.45">
      <c r="A527" t="s">
        <v>2664</v>
      </c>
      <c r="B527" s="206">
        <v>511</v>
      </c>
      <c r="C527" t="s">
        <v>3679</v>
      </c>
      <c r="D527" s="206" t="s">
        <v>3680</v>
      </c>
      <c r="E527" s="206" t="str">
        <f t="shared" si="64"/>
        <v>01</v>
      </c>
      <c r="F527" t="str">
        <f t="shared" si="65"/>
        <v>Chi cục thuế Thành phố Nha Trang</v>
      </c>
      <c r="H527" s="206"/>
      <c r="I527" s="206" t="str">
        <f t="shared" si="66"/>
        <v>51101</v>
      </c>
      <c r="J527" t="str">
        <f t="shared" si="68"/>
        <v/>
      </c>
      <c r="K527" t="str">
        <f>IF(J527="","",ROWS($K$70:K527))</f>
        <v/>
      </c>
      <c r="L527" t="str">
        <f>IFERROR(SMALL($K$70:$K$846,ROWS($L$70:L527)),"")</f>
        <v/>
      </c>
      <c r="M527" t="str" cm="1">
        <f t="array" ref="M527">IFERROR(INDEX($F$70:$F$846,L527,1),"")</f>
        <v/>
      </c>
    </row>
    <row r="528" spans="1:13" x14ac:dyDescent="0.45">
      <c r="A528" t="s">
        <v>2664</v>
      </c>
      <c r="B528" s="206">
        <v>511</v>
      </c>
      <c r="C528" t="s">
        <v>3681</v>
      </c>
      <c r="D528" s="206" t="s">
        <v>3682</v>
      </c>
      <c r="E528" s="206" t="str">
        <f t="shared" si="64"/>
        <v>03</v>
      </c>
      <c r="F528" t="str">
        <f t="shared" si="65"/>
        <v>Chi cục thuế Huyện Vạn Ninh</v>
      </c>
      <c r="G528" t="str">
        <f>RIGHT(C528,LEN(C528)-6)</f>
        <v>Vạn Ninh</v>
      </c>
      <c r="H528" s="206"/>
      <c r="I528" s="206" t="str">
        <f t="shared" si="66"/>
        <v>51103</v>
      </c>
      <c r="J528" t="str">
        <f t="shared" si="68"/>
        <v/>
      </c>
      <c r="K528" t="str">
        <f>IF(J528="","",ROWS($K$70:K528))</f>
        <v/>
      </c>
      <c r="L528" t="str">
        <f>IFERROR(SMALL($K$70:$K$846,ROWS($L$70:L528)),"")</f>
        <v/>
      </c>
      <c r="M528" t="str" cm="1">
        <f t="array" ref="M528">IFERROR(INDEX($F$70:$F$846,L528,1),"")</f>
        <v/>
      </c>
    </row>
    <row r="529" spans="1:13" x14ac:dyDescent="0.45">
      <c r="A529" t="s">
        <v>2664</v>
      </c>
      <c r="B529" s="206">
        <v>511</v>
      </c>
      <c r="C529" t="s">
        <v>3683</v>
      </c>
      <c r="D529" s="206" t="s">
        <v>3684</v>
      </c>
      <c r="E529" s="206" t="str">
        <f t="shared" si="64"/>
        <v>05</v>
      </c>
      <c r="F529" t="str">
        <f t="shared" si="65"/>
        <v>Chi cục thuế Thị xã Ninh Hòa</v>
      </c>
      <c r="H529" s="206"/>
      <c r="I529" s="206" t="str">
        <f t="shared" si="66"/>
        <v>51105</v>
      </c>
      <c r="J529" t="str">
        <f t="shared" si="68"/>
        <v/>
      </c>
      <c r="K529" t="str">
        <f>IF(J529="","",ROWS($K$70:K529))</f>
        <v/>
      </c>
      <c r="L529" t="str">
        <f>IFERROR(SMALL($K$70:$K$846,ROWS($L$70:L529)),"")</f>
        <v/>
      </c>
      <c r="M529" t="str" cm="1">
        <f t="array" ref="M529">IFERROR(INDEX($F$70:$F$846,L529,1),"")</f>
        <v/>
      </c>
    </row>
    <row r="530" spans="1:13" x14ac:dyDescent="0.45">
      <c r="A530" t="s">
        <v>2664</v>
      </c>
      <c r="B530" s="206">
        <v>511</v>
      </c>
      <c r="C530" t="s">
        <v>3685</v>
      </c>
      <c r="D530" s="206" t="s">
        <v>3686</v>
      </c>
      <c r="E530" s="206" t="str">
        <f t="shared" si="64"/>
        <v>07</v>
      </c>
      <c r="F530" t="str">
        <f t="shared" si="65"/>
        <v>Chi cục thuế Huyện Diên Khánh</v>
      </c>
      <c r="G530" t="str">
        <f>RIGHT(C530,LEN(C530)-6)</f>
        <v>Diên Khánh</v>
      </c>
      <c r="H530" s="206"/>
      <c r="I530" s="206" t="str">
        <f t="shared" si="66"/>
        <v>51107</v>
      </c>
      <c r="J530" t="str">
        <f t="shared" si="68"/>
        <v/>
      </c>
      <c r="K530" t="str">
        <f>IF(J530="","",ROWS($K$70:K530))</f>
        <v/>
      </c>
      <c r="L530" t="str">
        <f>IFERROR(SMALL($K$70:$K$846,ROWS($L$70:L530)),"")</f>
        <v/>
      </c>
      <c r="M530" t="str" cm="1">
        <f t="array" ref="M530">IFERROR(INDEX($F$70:$F$846,L530,1),"")</f>
        <v/>
      </c>
    </row>
    <row r="531" spans="1:13" x14ac:dyDescent="0.45">
      <c r="A531" t="s">
        <v>2664</v>
      </c>
      <c r="B531" s="206">
        <v>511</v>
      </c>
      <c r="C531" t="s">
        <v>3687</v>
      </c>
      <c r="D531" s="206" t="s">
        <v>3688</v>
      </c>
      <c r="E531" s="206" t="str">
        <f t="shared" si="64"/>
        <v>09</v>
      </c>
      <c r="F531" t="str">
        <f t="shared" si="65"/>
        <v>Chi cục thuế Thành phố Cam Ranh</v>
      </c>
      <c r="H531" s="206"/>
      <c r="I531" s="206" t="str">
        <f t="shared" si="66"/>
        <v>51109</v>
      </c>
      <c r="J531" t="str">
        <f t="shared" si="68"/>
        <v/>
      </c>
      <c r="K531" t="str">
        <f>IF(J531="","",ROWS($K$70:K531))</f>
        <v/>
      </c>
      <c r="L531" t="str">
        <f>IFERROR(SMALL($K$70:$K$846,ROWS($L$70:L531)),"")</f>
        <v/>
      </c>
      <c r="M531" t="str" cm="1">
        <f t="array" ref="M531">IFERROR(INDEX($F$70:$F$846,L531,1),"")</f>
        <v/>
      </c>
    </row>
    <row r="532" spans="1:13" x14ac:dyDescent="0.45">
      <c r="A532" t="s">
        <v>2664</v>
      </c>
      <c r="B532" s="206">
        <v>511</v>
      </c>
      <c r="C532" t="s">
        <v>3689</v>
      </c>
      <c r="D532" s="206" t="s">
        <v>3690</v>
      </c>
      <c r="E532" s="206" t="str">
        <f t="shared" si="64"/>
        <v>11</v>
      </c>
      <c r="F532" t="str">
        <f t="shared" si="65"/>
        <v>Chi cục thuế Huyện Khánh Vĩnh</v>
      </c>
      <c r="G532" t="str">
        <f>RIGHT(C532,LEN(C532)-6)</f>
        <v>Khánh Vĩnh</v>
      </c>
      <c r="H532" s="206"/>
      <c r="I532" s="206" t="str">
        <f t="shared" si="66"/>
        <v>51111</v>
      </c>
      <c r="J532" t="str">
        <f t="shared" si="68"/>
        <v/>
      </c>
      <c r="K532" t="str">
        <f>IF(J532="","",ROWS($K$70:K532))</f>
        <v/>
      </c>
      <c r="L532" t="str">
        <f>IFERROR(SMALL($K$70:$K$846,ROWS($L$70:L532)),"")</f>
        <v/>
      </c>
      <c r="M532" t="str" cm="1">
        <f t="array" ref="M532">IFERROR(INDEX($F$70:$F$846,L532,1),"")</f>
        <v/>
      </c>
    </row>
    <row r="533" spans="1:13" x14ac:dyDescent="0.45">
      <c r="A533" t="s">
        <v>2664</v>
      </c>
      <c r="B533" s="206">
        <v>511</v>
      </c>
      <c r="C533" t="s">
        <v>3691</v>
      </c>
      <c r="D533" s="206" t="s">
        <v>3692</v>
      </c>
      <c r="E533" s="206" t="str">
        <f t="shared" si="64"/>
        <v>13</v>
      </c>
      <c r="F533" t="str">
        <f t="shared" si="65"/>
        <v>Chi cục thuế Huyện Khánh Sơn</v>
      </c>
      <c r="G533" t="str">
        <f>RIGHT(C533,LEN(C533)-6)</f>
        <v>Khánh Sơn</v>
      </c>
      <c r="H533" s="206"/>
      <c r="I533" s="206" t="str">
        <f t="shared" si="66"/>
        <v>51113</v>
      </c>
      <c r="J533" t="str">
        <f t="shared" si="68"/>
        <v/>
      </c>
      <c r="K533" t="str">
        <f>IF(J533="","",ROWS($K$70:K533))</f>
        <v/>
      </c>
      <c r="L533" t="str">
        <f>IFERROR(SMALL($K$70:$K$846,ROWS($L$70:L533)),"")</f>
        <v/>
      </c>
      <c r="M533" t="str" cm="1">
        <f t="array" ref="M533">IFERROR(INDEX($F$70:$F$846,L533,1),"")</f>
        <v/>
      </c>
    </row>
    <row r="534" spans="1:13" x14ac:dyDescent="0.45">
      <c r="A534" t="s">
        <v>2664</v>
      </c>
      <c r="B534" s="206">
        <v>511</v>
      </c>
      <c r="C534" t="s">
        <v>3693</v>
      </c>
      <c r="D534" s="206" t="s">
        <v>3694</v>
      </c>
      <c r="E534" s="206" t="str">
        <f t="shared" si="64"/>
        <v>15</v>
      </c>
      <c r="F534" t="str">
        <f t="shared" si="65"/>
        <v>Chi cục thuế Huyện Trường Sa</v>
      </c>
      <c r="G534" t="str">
        <f>RIGHT(C534,LEN(C534)-6)</f>
        <v>Trường Sa</v>
      </c>
      <c r="H534" s="206"/>
      <c r="I534" s="206" t="str">
        <f t="shared" si="66"/>
        <v>51115</v>
      </c>
      <c r="J534" t="str">
        <f t="shared" si="68"/>
        <v/>
      </c>
      <c r="K534" t="str">
        <f>IF(J534="","",ROWS($K$70:K534))</f>
        <v/>
      </c>
      <c r="L534" t="str">
        <f>IFERROR(SMALL($K$70:$K$846,ROWS($L$70:L534)),"")</f>
        <v/>
      </c>
      <c r="M534" t="str" cm="1">
        <f t="array" ref="M534">IFERROR(INDEX($F$70:$F$846,L534,1),"")</f>
        <v/>
      </c>
    </row>
    <row r="535" spans="1:13" x14ac:dyDescent="0.45">
      <c r="A535" t="s">
        <v>2664</v>
      </c>
      <c r="B535" s="206">
        <v>511</v>
      </c>
      <c r="C535" t="s">
        <v>3695</v>
      </c>
      <c r="D535" s="206" t="s">
        <v>3696</v>
      </c>
      <c r="E535" s="206" t="str">
        <f t="shared" si="64"/>
        <v>17</v>
      </c>
      <c r="F535" t="str">
        <f t="shared" si="65"/>
        <v>Chi cục thuế Huyện Cam Lâm</v>
      </c>
      <c r="G535" t="str">
        <f>RIGHT(C535,LEN(C535)-6)</f>
        <v>Cam Lâm</v>
      </c>
      <c r="H535" s="206"/>
      <c r="I535" s="206" t="str">
        <f t="shared" si="66"/>
        <v>51117</v>
      </c>
      <c r="J535" t="str">
        <f t="shared" si="68"/>
        <v/>
      </c>
      <c r="K535" t="str">
        <f>IF(J535="","",ROWS($K$70:K535))</f>
        <v/>
      </c>
      <c r="L535" t="str">
        <f>IFERROR(SMALL($K$70:$K$846,ROWS($L$70:L535)),"")</f>
        <v/>
      </c>
      <c r="M535" t="str" cm="1">
        <f t="array" ref="M535">IFERROR(INDEX($F$70:$F$846,L535,1),"")</f>
        <v/>
      </c>
    </row>
    <row r="536" spans="1:13" x14ac:dyDescent="0.45">
      <c r="A536" t="s">
        <v>2668</v>
      </c>
      <c r="B536" s="206" t="s">
        <v>3697</v>
      </c>
      <c r="C536" t="s">
        <v>3698</v>
      </c>
      <c r="D536" s="206" t="s">
        <v>3699</v>
      </c>
      <c r="E536" s="206" t="str">
        <f t="shared" si="64"/>
        <v>00</v>
      </c>
      <c r="F536" t="str">
        <f t="shared" si="65"/>
        <v>Cục thuế Tỉnh Kon Tum</v>
      </c>
      <c r="H536" s="206" t="str">
        <f>IF(E537="01",A537,"")</f>
        <v>Kon Tum</v>
      </c>
      <c r="I536" s="206" t="str">
        <f t="shared" si="66"/>
        <v>60100</v>
      </c>
      <c r="J536" t="str">
        <f t="shared" si="68"/>
        <v/>
      </c>
      <c r="K536" t="str">
        <f>IF(J536="","",ROWS($K$70:K536))</f>
        <v/>
      </c>
      <c r="L536" t="str">
        <f>IFERROR(SMALL($K$70:$K$846,ROWS($L$70:L536)),"")</f>
        <v/>
      </c>
      <c r="M536" t="str" cm="1">
        <f t="array" ref="M536">IFERROR(INDEX($F$70:$F$846,L536,1),"")</f>
        <v/>
      </c>
    </row>
    <row r="537" spans="1:13" x14ac:dyDescent="0.45">
      <c r="A537" t="s">
        <v>2668</v>
      </c>
      <c r="B537" s="206">
        <v>601</v>
      </c>
      <c r="C537" t="s">
        <v>3700</v>
      </c>
      <c r="D537" s="206" t="s">
        <v>3701</v>
      </c>
      <c r="E537" s="206" t="str">
        <f t="shared" si="64"/>
        <v>01</v>
      </c>
      <c r="F537" t="str">
        <f t="shared" si="65"/>
        <v>Chi cục thuế Thành phố Kon Tum</v>
      </c>
      <c r="H537" s="206"/>
      <c r="I537" s="206" t="str">
        <f t="shared" si="66"/>
        <v>60101</v>
      </c>
      <c r="J537" t="str">
        <f t="shared" si="68"/>
        <v/>
      </c>
      <c r="K537" t="str">
        <f>IF(J537="","",ROWS($K$70:K537))</f>
        <v/>
      </c>
      <c r="L537" t="str">
        <f>IFERROR(SMALL($K$70:$K$846,ROWS($L$70:L537)),"")</f>
        <v/>
      </c>
      <c r="M537" t="str" cm="1">
        <f t="array" ref="M537">IFERROR(INDEX($F$70:$F$846,L537,1),"")</f>
        <v/>
      </c>
    </row>
    <row r="538" spans="1:13" x14ac:dyDescent="0.45">
      <c r="A538" t="s">
        <v>2668</v>
      </c>
      <c r="B538" s="206">
        <v>601</v>
      </c>
      <c r="C538" t="s">
        <v>3702</v>
      </c>
      <c r="D538" s="206" t="s">
        <v>3703</v>
      </c>
      <c r="E538" s="206" t="str">
        <f t="shared" si="64"/>
        <v>03</v>
      </c>
      <c r="F538" t="str">
        <f t="shared" si="65"/>
        <v>Chi cục thuế Huyện Đắk Glei</v>
      </c>
      <c r="G538" t="str">
        <f t="shared" ref="G538:G546" si="69">RIGHT(C538,LEN(C538)-6)</f>
        <v>Đắk Glei</v>
      </c>
      <c r="H538" s="206"/>
      <c r="I538" s="206" t="str">
        <f t="shared" si="66"/>
        <v>60103</v>
      </c>
      <c r="J538" t="str">
        <f t="shared" si="68"/>
        <v/>
      </c>
      <c r="K538" t="str">
        <f>IF(J538="","",ROWS($K$70:K538))</f>
        <v/>
      </c>
      <c r="L538" t="str">
        <f>IFERROR(SMALL($K$70:$K$846,ROWS($L$70:L538)),"")</f>
        <v/>
      </c>
      <c r="M538" t="str" cm="1">
        <f t="array" ref="M538">IFERROR(INDEX($F$70:$F$846,L538,1),"")</f>
        <v/>
      </c>
    </row>
    <row r="539" spans="1:13" x14ac:dyDescent="0.45">
      <c r="A539" t="s">
        <v>2668</v>
      </c>
      <c r="B539" s="206">
        <v>601</v>
      </c>
      <c r="C539" t="s">
        <v>3704</v>
      </c>
      <c r="D539" s="206" t="s">
        <v>3705</v>
      </c>
      <c r="E539" s="206" t="str">
        <f t="shared" si="64"/>
        <v>05</v>
      </c>
      <c r="F539" t="str">
        <f t="shared" si="65"/>
        <v>Chi cục thuế Huyện Ngọc Hồi</v>
      </c>
      <c r="G539" t="str">
        <f t="shared" si="69"/>
        <v>Ngọc Hồi</v>
      </c>
      <c r="H539" s="206"/>
      <c r="I539" s="206" t="str">
        <f t="shared" si="66"/>
        <v>60105</v>
      </c>
      <c r="J539" t="str">
        <f t="shared" si="68"/>
        <v/>
      </c>
      <c r="K539" t="str">
        <f>IF(J539="","",ROWS($K$70:K539))</f>
        <v/>
      </c>
      <c r="L539" t="str">
        <f>IFERROR(SMALL($K$70:$K$846,ROWS($L$70:L539)),"")</f>
        <v/>
      </c>
      <c r="M539" t="str" cm="1">
        <f t="array" ref="M539">IFERROR(INDEX($F$70:$F$846,L539,1),"")</f>
        <v/>
      </c>
    </row>
    <row r="540" spans="1:13" x14ac:dyDescent="0.45">
      <c r="A540" t="s">
        <v>2668</v>
      </c>
      <c r="B540" s="206">
        <v>601</v>
      </c>
      <c r="C540" t="s">
        <v>3706</v>
      </c>
      <c r="D540" s="206" t="s">
        <v>3707</v>
      </c>
      <c r="E540" s="206" t="str">
        <f t="shared" si="64"/>
        <v>07</v>
      </c>
      <c r="F540" t="str">
        <f t="shared" si="65"/>
        <v>Chi cục thuế Huyện Đắk Tô</v>
      </c>
      <c r="G540" t="str">
        <f t="shared" si="69"/>
        <v>Đắk Tô</v>
      </c>
      <c r="H540" s="206"/>
      <c r="I540" s="206" t="str">
        <f t="shared" si="66"/>
        <v>60107</v>
      </c>
      <c r="J540" t="str">
        <f t="shared" si="68"/>
        <v/>
      </c>
      <c r="K540" t="str">
        <f>IF(J540="","",ROWS($K$70:K540))</f>
        <v/>
      </c>
      <c r="L540" t="str">
        <f>IFERROR(SMALL($K$70:$K$846,ROWS($L$70:L540)),"")</f>
        <v/>
      </c>
      <c r="M540" t="str" cm="1">
        <f t="array" ref="M540">IFERROR(INDEX($F$70:$F$846,L540,1),"")</f>
        <v/>
      </c>
    </row>
    <row r="541" spans="1:13" x14ac:dyDescent="0.45">
      <c r="A541" t="s">
        <v>2668</v>
      </c>
      <c r="B541" s="206">
        <v>601</v>
      </c>
      <c r="C541" t="s">
        <v>3708</v>
      </c>
      <c r="D541" s="206" t="s">
        <v>3709</v>
      </c>
      <c r="E541" s="206" t="str">
        <f t="shared" si="64"/>
        <v>08</v>
      </c>
      <c r="F541" t="str">
        <f t="shared" si="65"/>
        <v>Chi cục thuế Huyện Kon Rẫy</v>
      </c>
      <c r="G541" t="str">
        <f t="shared" si="69"/>
        <v>Kon Rẫy</v>
      </c>
      <c r="H541" s="206"/>
      <c r="I541" s="206" t="str">
        <f t="shared" si="66"/>
        <v>60108</v>
      </c>
      <c r="J541" t="str">
        <f t="shared" si="68"/>
        <v/>
      </c>
      <c r="K541" t="str">
        <f>IF(J541="","",ROWS($K$70:K541))</f>
        <v/>
      </c>
      <c r="L541" t="str">
        <f>IFERROR(SMALL($K$70:$K$846,ROWS($L$70:L541)),"")</f>
        <v/>
      </c>
      <c r="M541" t="str" cm="1">
        <f t="array" ref="M541">IFERROR(INDEX($F$70:$F$846,L541,1),"")</f>
        <v/>
      </c>
    </row>
    <row r="542" spans="1:13" x14ac:dyDescent="0.45">
      <c r="A542" t="s">
        <v>2668</v>
      </c>
      <c r="B542" s="206">
        <v>601</v>
      </c>
      <c r="C542" t="s">
        <v>3710</v>
      </c>
      <c r="D542" s="206" t="s">
        <v>3711</v>
      </c>
      <c r="E542" s="206" t="str">
        <f t="shared" si="64"/>
        <v>09</v>
      </c>
      <c r="F542" t="str">
        <f t="shared" si="65"/>
        <v>Chi cục thuế Huyện Kon Plông</v>
      </c>
      <c r="G542" t="str">
        <f t="shared" si="69"/>
        <v>Kon Plông</v>
      </c>
      <c r="H542" s="206"/>
      <c r="I542" s="206" t="str">
        <f t="shared" si="66"/>
        <v>60109</v>
      </c>
      <c r="J542" t="str">
        <f t="shared" si="68"/>
        <v/>
      </c>
      <c r="K542" t="str">
        <f>IF(J542="","",ROWS($K$70:K542))</f>
        <v/>
      </c>
      <c r="L542" t="str">
        <f>IFERROR(SMALL($K$70:$K$846,ROWS($L$70:L542)),"")</f>
        <v/>
      </c>
      <c r="M542" t="str" cm="1">
        <f t="array" ref="M542">IFERROR(INDEX($F$70:$F$846,L542,1),"")</f>
        <v/>
      </c>
    </row>
    <row r="543" spans="1:13" x14ac:dyDescent="0.45">
      <c r="A543" t="s">
        <v>2668</v>
      </c>
      <c r="B543" s="206">
        <v>601</v>
      </c>
      <c r="C543" t="s">
        <v>3712</v>
      </c>
      <c r="D543" s="206" t="s">
        <v>3713</v>
      </c>
      <c r="E543" s="206" t="str">
        <f t="shared" si="64"/>
        <v>11</v>
      </c>
      <c r="F543" t="str">
        <f t="shared" si="65"/>
        <v>Chi cục thuế Huyện Đắk Hà</v>
      </c>
      <c r="G543" t="str">
        <f t="shared" si="69"/>
        <v>Đắk Hà</v>
      </c>
      <c r="H543" s="206"/>
      <c r="I543" s="206" t="str">
        <f t="shared" si="66"/>
        <v>60111</v>
      </c>
      <c r="J543" t="str">
        <f t="shared" si="68"/>
        <v/>
      </c>
      <c r="K543" t="str">
        <f>IF(J543="","",ROWS($K$70:K543))</f>
        <v/>
      </c>
      <c r="L543" t="str">
        <f>IFERROR(SMALL($K$70:$K$846,ROWS($L$70:L543)),"")</f>
        <v/>
      </c>
      <c r="M543" t="str" cm="1">
        <f t="array" ref="M543">IFERROR(INDEX($F$70:$F$846,L543,1),"")</f>
        <v/>
      </c>
    </row>
    <row r="544" spans="1:13" x14ac:dyDescent="0.45">
      <c r="A544" t="s">
        <v>2668</v>
      </c>
      <c r="B544" s="206">
        <v>601</v>
      </c>
      <c r="C544" t="s">
        <v>3714</v>
      </c>
      <c r="D544" s="206" t="s">
        <v>3715</v>
      </c>
      <c r="E544" s="206" t="str">
        <f t="shared" si="64"/>
        <v>13</v>
      </c>
      <c r="F544" t="str">
        <f t="shared" si="65"/>
        <v>Chi cục thuế Huyện Sa Thầy</v>
      </c>
      <c r="G544" t="str">
        <f t="shared" si="69"/>
        <v>Sa Thầy</v>
      </c>
      <c r="H544" s="206"/>
      <c r="I544" s="206" t="str">
        <f t="shared" si="66"/>
        <v>60113</v>
      </c>
      <c r="J544" t="str">
        <f t="shared" si="68"/>
        <v/>
      </c>
      <c r="K544" t="str">
        <f>IF(J544="","",ROWS($K$70:K544))</f>
        <v/>
      </c>
      <c r="L544" t="str">
        <f>IFERROR(SMALL($K$70:$K$846,ROWS($L$70:L544)),"")</f>
        <v/>
      </c>
      <c r="M544" t="str" cm="1">
        <f t="array" ref="M544">IFERROR(INDEX($F$70:$F$846,L544,1),"")</f>
        <v/>
      </c>
    </row>
    <row r="545" spans="1:13" x14ac:dyDescent="0.45">
      <c r="A545" t="s">
        <v>2668</v>
      </c>
      <c r="B545" s="206">
        <v>601</v>
      </c>
      <c r="C545" t="s">
        <v>3716</v>
      </c>
      <c r="D545" s="206" t="s">
        <v>3717</v>
      </c>
      <c r="E545" s="206" t="str">
        <f t="shared" si="64"/>
        <v>14</v>
      </c>
      <c r="F545" t="str">
        <f t="shared" si="65"/>
        <v>Chi cục thuế Huyện Ia H'Drai</v>
      </c>
      <c r="G545" t="str">
        <f t="shared" si="69"/>
        <v>Ia H'Drai</v>
      </c>
      <c r="H545" s="206"/>
      <c r="I545" s="206" t="str">
        <f t="shared" si="66"/>
        <v>60114</v>
      </c>
      <c r="J545" t="str">
        <f t="shared" si="68"/>
        <v/>
      </c>
      <c r="K545" t="str">
        <f>IF(J545="","",ROWS($K$70:K545))</f>
        <v/>
      </c>
      <c r="L545" t="str">
        <f>IFERROR(SMALL($K$70:$K$846,ROWS($L$70:L545)),"")</f>
        <v/>
      </c>
      <c r="M545" t="str" cm="1">
        <f t="array" ref="M545">IFERROR(INDEX($F$70:$F$846,L545,1),"")</f>
        <v/>
      </c>
    </row>
    <row r="546" spans="1:13" x14ac:dyDescent="0.45">
      <c r="A546" t="s">
        <v>2668</v>
      </c>
      <c r="B546" s="206">
        <v>601</v>
      </c>
      <c r="C546" t="s">
        <v>3718</v>
      </c>
      <c r="D546" s="206" t="s">
        <v>3719</v>
      </c>
      <c r="E546" s="206" t="str">
        <f t="shared" si="64"/>
        <v>15</v>
      </c>
      <c r="F546" t="str">
        <f t="shared" si="65"/>
        <v>Chi cục thuế Huyện Tu Mơ Rông</v>
      </c>
      <c r="G546" t="str">
        <f t="shared" si="69"/>
        <v>Tu Mơ Rông</v>
      </c>
      <c r="H546" s="206"/>
      <c r="I546" s="206" t="str">
        <f t="shared" si="66"/>
        <v>60115</v>
      </c>
      <c r="J546" t="str">
        <f t="shared" si="68"/>
        <v/>
      </c>
      <c r="K546" t="str">
        <f>IF(J546="","",ROWS($K$70:K546))</f>
        <v/>
      </c>
      <c r="L546" t="str">
        <f>IFERROR(SMALL($K$70:$K$846,ROWS($L$70:L546)),"")</f>
        <v/>
      </c>
      <c r="M546" t="str" cm="1">
        <f t="array" ref="M546">IFERROR(INDEX($F$70:$F$846,L546,1),"")</f>
        <v/>
      </c>
    </row>
    <row r="547" spans="1:13" x14ac:dyDescent="0.45">
      <c r="A547" t="s">
        <v>2646</v>
      </c>
      <c r="B547" s="206" t="s">
        <v>3720</v>
      </c>
      <c r="C547" t="s">
        <v>3721</v>
      </c>
      <c r="D547" s="206" t="s">
        <v>3722</v>
      </c>
      <c r="E547" s="206" t="str">
        <f t="shared" si="64"/>
        <v>00</v>
      </c>
      <c r="F547" t="str">
        <f t="shared" si="65"/>
        <v>Cục thuế Tỉnh Gia Lai</v>
      </c>
      <c r="H547" s="206" t="str">
        <f>IF(E548="01",A548,"")</f>
        <v>Gia Lai</v>
      </c>
      <c r="I547" s="206" t="str">
        <f t="shared" si="66"/>
        <v>60300</v>
      </c>
      <c r="J547" t="str">
        <f t="shared" si="68"/>
        <v/>
      </c>
      <c r="K547" t="str">
        <f>IF(J547="","",ROWS($K$70:K547))</f>
        <v/>
      </c>
      <c r="L547" t="str">
        <f>IFERROR(SMALL($K$70:$K$846,ROWS($L$70:L547)),"")</f>
        <v/>
      </c>
      <c r="M547" t="str" cm="1">
        <f t="array" ref="M547">IFERROR(INDEX($F$70:$F$846,L547,1),"")</f>
        <v/>
      </c>
    </row>
    <row r="548" spans="1:13" x14ac:dyDescent="0.45">
      <c r="A548" t="s">
        <v>2646</v>
      </c>
      <c r="B548" s="206">
        <v>603</v>
      </c>
      <c r="C548" t="s">
        <v>3723</v>
      </c>
      <c r="D548" s="206" t="s">
        <v>3724</v>
      </c>
      <c r="E548" s="206" t="str">
        <f t="shared" si="64"/>
        <v>01</v>
      </c>
      <c r="F548" t="str">
        <f t="shared" si="65"/>
        <v>Chi cục thuế Thành phố Pleiku</v>
      </c>
      <c r="H548" s="206"/>
      <c r="I548" s="206" t="str">
        <f t="shared" si="66"/>
        <v>60301</v>
      </c>
      <c r="J548" t="str">
        <f t="shared" si="68"/>
        <v/>
      </c>
      <c r="K548" t="str">
        <f>IF(J548="","",ROWS($K$70:K548))</f>
        <v/>
      </c>
      <c r="L548" t="str">
        <f>IFERROR(SMALL($K$70:$K$846,ROWS($L$70:L548)),"")</f>
        <v/>
      </c>
      <c r="M548" t="str" cm="1">
        <f t="array" ref="M548">IFERROR(INDEX($F$70:$F$846,L548,1),"")</f>
        <v/>
      </c>
    </row>
    <row r="549" spans="1:13" x14ac:dyDescent="0.45">
      <c r="A549" t="s">
        <v>2646</v>
      </c>
      <c r="B549" s="206">
        <v>603</v>
      </c>
      <c r="C549" t="s">
        <v>3725</v>
      </c>
      <c r="D549" s="206" t="s">
        <v>3726</v>
      </c>
      <c r="E549" s="206" t="str">
        <f t="shared" si="64"/>
        <v>03</v>
      </c>
      <c r="F549" t="str">
        <f t="shared" si="65"/>
        <v>Chi cục thuế Huyện Kbang</v>
      </c>
      <c r="G549" t="str">
        <f>RIGHT(C549,LEN(C549)-6)</f>
        <v>Kbang</v>
      </c>
      <c r="H549" s="206"/>
      <c r="I549" s="206" t="str">
        <f t="shared" si="66"/>
        <v>60303</v>
      </c>
      <c r="J549" t="str">
        <f t="shared" si="68"/>
        <v/>
      </c>
      <c r="K549" t="str">
        <f>IF(J549="","",ROWS($K$70:K549))</f>
        <v/>
      </c>
      <c r="L549" t="str">
        <f>IFERROR(SMALL($K$70:$K$846,ROWS($L$70:L549)),"")</f>
        <v/>
      </c>
      <c r="M549" t="str" cm="1">
        <f t="array" ref="M549">IFERROR(INDEX($F$70:$F$846,L549,1),"")</f>
        <v/>
      </c>
    </row>
    <row r="550" spans="1:13" x14ac:dyDescent="0.45">
      <c r="A550" t="s">
        <v>2646</v>
      </c>
      <c r="B550" s="206">
        <v>603</v>
      </c>
      <c r="C550" t="s">
        <v>3727</v>
      </c>
      <c r="D550" s="206" t="s">
        <v>3728</v>
      </c>
      <c r="E550" s="206" t="str">
        <f t="shared" si="64"/>
        <v>05</v>
      </c>
      <c r="F550" t="str">
        <f t="shared" si="65"/>
        <v>Chi cục thuế Huyện Mang Yang</v>
      </c>
      <c r="G550" t="str">
        <f>RIGHT(C550,LEN(C550)-6)</f>
        <v>Mang Yang</v>
      </c>
      <c r="H550" s="206"/>
      <c r="I550" s="206" t="str">
        <f t="shared" si="66"/>
        <v>60305</v>
      </c>
      <c r="J550" t="str">
        <f t="shared" si="68"/>
        <v/>
      </c>
      <c r="K550" t="str">
        <f>IF(J550="","",ROWS($K$70:K550))</f>
        <v/>
      </c>
      <c r="L550" t="str">
        <f>IFERROR(SMALL($K$70:$K$846,ROWS($L$70:L550)),"")</f>
        <v/>
      </c>
      <c r="M550" t="str" cm="1">
        <f t="array" ref="M550">IFERROR(INDEX($F$70:$F$846,L550,1),"")</f>
        <v/>
      </c>
    </row>
    <row r="551" spans="1:13" x14ac:dyDescent="0.45">
      <c r="A551" t="s">
        <v>2646</v>
      </c>
      <c r="B551" s="206">
        <v>603</v>
      </c>
      <c r="C551" t="s">
        <v>3729</v>
      </c>
      <c r="D551" s="206" t="s">
        <v>3730</v>
      </c>
      <c r="E551" s="206" t="str">
        <f t="shared" si="64"/>
        <v>07</v>
      </c>
      <c r="F551" t="str">
        <f t="shared" si="65"/>
        <v>Chi cục thuế Huyện Chư Păh</v>
      </c>
      <c r="G551" t="str">
        <f>RIGHT(C551,LEN(C551)-6)</f>
        <v>Chư Păh</v>
      </c>
      <c r="H551" s="206"/>
      <c r="I551" s="206" t="str">
        <f t="shared" si="66"/>
        <v>60307</v>
      </c>
      <c r="J551" t="str">
        <f t="shared" si="68"/>
        <v/>
      </c>
      <c r="K551" t="str">
        <f>IF(J551="","",ROWS($K$70:K551))</f>
        <v/>
      </c>
      <c r="L551" t="str">
        <f>IFERROR(SMALL($K$70:$K$846,ROWS($L$70:L551)),"")</f>
        <v/>
      </c>
      <c r="M551" t="str" cm="1">
        <f t="array" ref="M551">IFERROR(INDEX($F$70:$F$846,L551,1),"")</f>
        <v/>
      </c>
    </row>
    <row r="552" spans="1:13" x14ac:dyDescent="0.45">
      <c r="A552" t="s">
        <v>2646</v>
      </c>
      <c r="B552" s="206">
        <v>603</v>
      </c>
      <c r="C552" t="s">
        <v>3731</v>
      </c>
      <c r="D552" s="206" t="s">
        <v>3732</v>
      </c>
      <c r="E552" s="206" t="str">
        <f t="shared" si="64"/>
        <v>09</v>
      </c>
      <c r="F552" t="str">
        <f t="shared" si="65"/>
        <v>Chi cục thuế Huyện Ia Grai</v>
      </c>
      <c r="G552" t="str">
        <f>RIGHT(C552,LEN(C552)-6)</f>
        <v>Ia Grai</v>
      </c>
      <c r="H552" s="206"/>
      <c r="I552" s="206" t="str">
        <f t="shared" si="66"/>
        <v>60309</v>
      </c>
      <c r="J552" t="str">
        <f t="shared" si="68"/>
        <v/>
      </c>
      <c r="K552" t="str">
        <f>IF(J552="","",ROWS($K$70:K552))</f>
        <v/>
      </c>
      <c r="L552" t="str">
        <f>IFERROR(SMALL($K$70:$K$846,ROWS($L$70:L552)),"")</f>
        <v/>
      </c>
      <c r="M552" t="str" cm="1">
        <f t="array" ref="M552">IFERROR(INDEX($F$70:$F$846,L552,1),"")</f>
        <v/>
      </c>
    </row>
    <row r="553" spans="1:13" x14ac:dyDescent="0.45">
      <c r="A553" t="s">
        <v>2646</v>
      </c>
      <c r="B553" s="206">
        <v>603</v>
      </c>
      <c r="C553" t="s">
        <v>3733</v>
      </c>
      <c r="D553" s="206" t="s">
        <v>3734</v>
      </c>
      <c r="E553" s="206" t="str">
        <f t="shared" si="64"/>
        <v>11</v>
      </c>
      <c r="F553" t="str">
        <f t="shared" si="65"/>
        <v>Chi cục thuế Thị xã An Khê</v>
      </c>
      <c r="H553" s="206"/>
      <c r="I553" s="206" t="str">
        <f t="shared" si="66"/>
        <v>60311</v>
      </c>
      <c r="J553" t="str">
        <f t="shared" si="68"/>
        <v/>
      </c>
      <c r="K553" t="str">
        <f>IF(J553="","",ROWS($K$70:K553))</f>
        <v/>
      </c>
      <c r="L553" t="str">
        <f>IFERROR(SMALL($K$70:$K$846,ROWS($L$70:L553)),"")</f>
        <v/>
      </c>
      <c r="M553" t="str" cm="1">
        <f t="array" ref="M553">IFERROR(INDEX($F$70:$F$846,L553,1),"")</f>
        <v/>
      </c>
    </row>
    <row r="554" spans="1:13" x14ac:dyDescent="0.45">
      <c r="A554" t="s">
        <v>2646</v>
      </c>
      <c r="B554" s="206">
        <v>603</v>
      </c>
      <c r="C554" t="s">
        <v>3735</v>
      </c>
      <c r="D554" s="206" t="s">
        <v>3736</v>
      </c>
      <c r="E554" s="206" t="str">
        <f t="shared" si="64"/>
        <v>13</v>
      </c>
      <c r="F554" t="str">
        <f t="shared" si="65"/>
        <v>Chi cục thuế Huyện Kông Chro</v>
      </c>
      <c r="G554" t="str">
        <f>RIGHT(C554,LEN(C554)-6)</f>
        <v>Kông Chro</v>
      </c>
      <c r="H554" s="206"/>
      <c r="I554" s="206" t="str">
        <f t="shared" si="66"/>
        <v>60313</v>
      </c>
      <c r="J554" t="str">
        <f t="shared" si="68"/>
        <v/>
      </c>
      <c r="K554" t="str">
        <f>IF(J554="","",ROWS($K$70:K554))</f>
        <v/>
      </c>
      <c r="L554" t="str">
        <f>IFERROR(SMALL($K$70:$K$846,ROWS($L$70:L554)),"")</f>
        <v/>
      </c>
      <c r="M554" t="str" cm="1">
        <f t="array" ref="M554">IFERROR(INDEX($F$70:$F$846,L554,1),"")</f>
        <v/>
      </c>
    </row>
    <row r="555" spans="1:13" x14ac:dyDescent="0.45">
      <c r="A555" t="s">
        <v>2646</v>
      </c>
      <c r="B555" s="206">
        <v>603</v>
      </c>
      <c r="C555" t="s">
        <v>3737</v>
      </c>
      <c r="D555" s="206" t="s">
        <v>3738</v>
      </c>
      <c r="E555" s="206" t="str">
        <f t="shared" si="64"/>
        <v>15</v>
      </c>
      <c r="F555" t="str">
        <f t="shared" si="65"/>
        <v>Chi cục thuế Huyện Đức Cơ</v>
      </c>
      <c r="G555" t="str">
        <f>RIGHT(C555,LEN(C555)-6)</f>
        <v>Đức Cơ</v>
      </c>
      <c r="H555" s="206"/>
      <c r="I555" s="206" t="str">
        <f t="shared" si="66"/>
        <v>60315</v>
      </c>
      <c r="J555" t="str">
        <f t="shared" si="68"/>
        <v/>
      </c>
      <c r="K555" t="str">
        <f>IF(J555="","",ROWS($K$70:K555))</f>
        <v/>
      </c>
      <c r="L555" t="str">
        <f>IFERROR(SMALL($K$70:$K$846,ROWS($L$70:L555)),"")</f>
        <v/>
      </c>
      <c r="M555" t="str" cm="1">
        <f t="array" ref="M555">IFERROR(INDEX($F$70:$F$846,L555,1),"")</f>
        <v/>
      </c>
    </row>
    <row r="556" spans="1:13" x14ac:dyDescent="0.45">
      <c r="A556" t="s">
        <v>2646</v>
      </c>
      <c r="B556" s="206">
        <v>603</v>
      </c>
      <c r="C556" t="s">
        <v>3739</v>
      </c>
      <c r="D556" s="206" t="s">
        <v>3740</v>
      </c>
      <c r="E556" s="206" t="str">
        <f t="shared" si="64"/>
        <v>17</v>
      </c>
      <c r="F556" t="str">
        <f t="shared" si="65"/>
        <v>Chi cục thuế Huyện Chư Prông</v>
      </c>
      <c r="G556" t="str">
        <f>RIGHT(C556,LEN(C556)-6)</f>
        <v>Chư Prông</v>
      </c>
      <c r="H556" s="206"/>
      <c r="I556" s="206" t="str">
        <f t="shared" si="66"/>
        <v>60317</v>
      </c>
      <c r="J556" t="str">
        <f t="shared" si="68"/>
        <v/>
      </c>
      <c r="K556" t="str">
        <f>IF(J556="","",ROWS($K$70:K556))</f>
        <v/>
      </c>
      <c r="L556" t="str">
        <f>IFERROR(SMALL($K$70:$K$846,ROWS($L$70:L556)),"")</f>
        <v/>
      </c>
      <c r="M556" t="str" cm="1">
        <f t="array" ref="M556">IFERROR(INDEX($F$70:$F$846,L556,1),"")</f>
        <v/>
      </c>
    </row>
    <row r="557" spans="1:13" x14ac:dyDescent="0.45">
      <c r="A557" t="s">
        <v>2646</v>
      </c>
      <c r="B557" s="206">
        <v>603</v>
      </c>
      <c r="C557" t="s">
        <v>3741</v>
      </c>
      <c r="D557" s="206" t="s">
        <v>3742</v>
      </c>
      <c r="E557" s="206" t="str">
        <f t="shared" si="64"/>
        <v>19</v>
      </c>
      <c r="F557" t="str">
        <f t="shared" si="65"/>
        <v>Chi cục thuế Huyện Chư Sê</v>
      </c>
      <c r="G557" t="str">
        <f>RIGHT(C557,LEN(C557)-6)</f>
        <v>Chư Sê</v>
      </c>
      <c r="H557" s="206"/>
      <c r="I557" s="206" t="str">
        <f t="shared" si="66"/>
        <v>60319</v>
      </c>
      <c r="J557" t="str">
        <f t="shared" si="68"/>
        <v/>
      </c>
      <c r="K557" t="str">
        <f>IF(J557="","",ROWS($K$70:K557))</f>
        <v/>
      </c>
      <c r="L557" t="str">
        <f>IFERROR(SMALL($K$70:$K$846,ROWS($L$70:L557)),"")</f>
        <v/>
      </c>
      <c r="M557" t="str" cm="1">
        <f t="array" ref="M557">IFERROR(INDEX($F$70:$F$846,L557,1),"")</f>
        <v/>
      </c>
    </row>
    <row r="558" spans="1:13" x14ac:dyDescent="0.45">
      <c r="A558" t="s">
        <v>2646</v>
      </c>
      <c r="B558" s="206">
        <v>603</v>
      </c>
      <c r="C558" t="s">
        <v>3743</v>
      </c>
      <c r="D558" s="206" t="s">
        <v>3744</v>
      </c>
      <c r="E558" s="206" t="str">
        <f t="shared" si="64"/>
        <v>20</v>
      </c>
      <c r="F558" t="str">
        <f t="shared" si="65"/>
        <v>Chi cục thuế Huyện IaPa</v>
      </c>
      <c r="G558" t="str">
        <f>RIGHT(C558,LEN(C558)-6)</f>
        <v>IaPa</v>
      </c>
      <c r="H558" s="206"/>
      <c r="I558" s="206" t="str">
        <f t="shared" si="66"/>
        <v>60320</v>
      </c>
      <c r="J558" t="str">
        <f t="shared" si="68"/>
        <v/>
      </c>
      <c r="K558" t="str">
        <f>IF(J558="","",ROWS($K$70:K558))</f>
        <v/>
      </c>
      <c r="L558" t="str">
        <f>IFERROR(SMALL($K$70:$K$846,ROWS($L$70:L558)),"")</f>
        <v/>
      </c>
      <c r="M558" t="str" cm="1">
        <f t="array" ref="M558">IFERROR(INDEX($F$70:$F$846,L558,1),"")</f>
        <v/>
      </c>
    </row>
    <row r="559" spans="1:13" x14ac:dyDescent="0.45">
      <c r="A559" t="s">
        <v>2646</v>
      </c>
      <c r="B559" s="206">
        <v>603</v>
      </c>
      <c r="C559" t="s">
        <v>3745</v>
      </c>
      <c r="D559" s="206" t="s">
        <v>3746</v>
      </c>
      <c r="E559" s="206" t="str">
        <f t="shared" si="64"/>
        <v>21</v>
      </c>
      <c r="F559" t="str">
        <f t="shared" si="65"/>
        <v>Chi cục thuế Thị xã Ayun Pa</v>
      </c>
      <c r="H559" s="206"/>
      <c r="I559" s="206" t="str">
        <f t="shared" si="66"/>
        <v>60321</v>
      </c>
      <c r="J559" t="str">
        <f t="shared" si="68"/>
        <v/>
      </c>
      <c r="K559" t="str">
        <f>IF(J559="","",ROWS($K$70:K559))</f>
        <v/>
      </c>
      <c r="L559" t="str">
        <f>IFERROR(SMALL($K$70:$K$846,ROWS($L$70:L559)),"")</f>
        <v/>
      </c>
      <c r="M559" t="str" cm="1">
        <f t="array" ref="M559">IFERROR(INDEX($F$70:$F$846,L559,1),"")</f>
        <v/>
      </c>
    </row>
    <row r="560" spans="1:13" x14ac:dyDescent="0.45">
      <c r="A560" t="s">
        <v>2646</v>
      </c>
      <c r="B560" s="206">
        <v>603</v>
      </c>
      <c r="C560" t="s">
        <v>3747</v>
      </c>
      <c r="D560" s="206" t="s">
        <v>3748</v>
      </c>
      <c r="E560" s="206" t="str">
        <f t="shared" si="64"/>
        <v>23</v>
      </c>
      <c r="F560" t="str">
        <f t="shared" si="65"/>
        <v>Chi cục thuế Huyện Krông Pa</v>
      </c>
      <c r="G560" t="str">
        <f>RIGHT(C560,LEN(C560)-6)</f>
        <v>Krông Pa</v>
      </c>
      <c r="H560" s="206"/>
      <c r="I560" s="206" t="str">
        <f t="shared" si="66"/>
        <v>60323</v>
      </c>
      <c r="J560" t="str">
        <f t="shared" si="68"/>
        <v/>
      </c>
      <c r="K560" t="str">
        <f>IF(J560="","",ROWS($K$70:K560))</f>
        <v/>
      </c>
      <c r="L560" t="str">
        <f>IFERROR(SMALL($K$70:$K$846,ROWS($L$70:L560)),"")</f>
        <v/>
      </c>
      <c r="M560" t="str" cm="1">
        <f t="array" ref="M560">IFERROR(INDEX($F$70:$F$846,L560,1),"")</f>
        <v/>
      </c>
    </row>
    <row r="561" spans="1:13" x14ac:dyDescent="0.45">
      <c r="A561" t="s">
        <v>2646</v>
      </c>
      <c r="B561" s="206">
        <v>603</v>
      </c>
      <c r="C561" t="s">
        <v>3749</v>
      </c>
      <c r="D561" s="206" t="s">
        <v>3750</v>
      </c>
      <c r="E561" s="206" t="str">
        <f t="shared" si="64"/>
        <v>25</v>
      </c>
      <c r="F561" t="str">
        <f t="shared" si="65"/>
        <v>Chi cục thuế Huyện Đak Đoa</v>
      </c>
      <c r="G561" t="str">
        <f>RIGHT(C561,LEN(C561)-6)</f>
        <v>Đak Đoa</v>
      </c>
      <c r="H561" s="206"/>
      <c r="I561" s="206" t="str">
        <f t="shared" si="66"/>
        <v>60325</v>
      </c>
      <c r="J561" t="str">
        <f t="shared" si="68"/>
        <v/>
      </c>
      <c r="K561" t="str">
        <f>IF(J561="","",ROWS($K$70:K561))</f>
        <v/>
      </c>
      <c r="L561" t="str">
        <f>IFERROR(SMALL($K$70:$K$846,ROWS($L$70:L561)),"")</f>
        <v/>
      </c>
      <c r="M561" t="str" cm="1">
        <f t="array" ref="M561">IFERROR(INDEX($F$70:$F$846,L561,1),"")</f>
        <v/>
      </c>
    </row>
    <row r="562" spans="1:13" x14ac:dyDescent="0.45">
      <c r="A562" t="s">
        <v>2646</v>
      </c>
      <c r="B562" s="206">
        <v>603</v>
      </c>
      <c r="C562" t="s">
        <v>3751</v>
      </c>
      <c r="D562" s="206" t="s">
        <v>3752</v>
      </c>
      <c r="E562" s="206" t="str">
        <f t="shared" si="64"/>
        <v>27</v>
      </c>
      <c r="F562" t="str">
        <f t="shared" si="65"/>
        <v>Chi cục thuế Huyện Đắk Pơ</v>
      </c>
      <c r="G562" t="str">
        <f>RIGHT(C562,LEN(C562)-6)</f>
        <v>Đắk Pơ</v>
      </c>
      <c r="H562" s="206"/>
      <c r="I562" s="206" t="str">
        <f t="shared" si="66"/>
        <v>60327</v>
      </c>
      <c r="J562" t="str">
        <f t="shared" si="68"/>
        <v/>
      </c>
      <c r="K562" t="str">
        <f>IF(J562="","",ROWS($K$70:K562))</f>
        <v/>
      </c>
      <c r="L562" t="str">
        <f>IFERROR(SMALL($K$70:$K$846,ROWS($L$70:L562)),"")</f>
        <v/>
      </c>
      <c r="M562" t="str" cm="1">
        <f t="array" ref="M562">IFERROR(INDEX($F$70:$F$846,L562,1),"")</f>
        <v/>
      </c>
    </row>
    <row r="563" spans="1:13" x14ac:dyDescent="0.45">
      <c r="A563" t="s">
        <v>2646</v>
      </c>
      <c r="B563" s="206">
        <v>603</v>
      </c>
      <c r="C563" t="s">
        <v>3753</v>
      </c>
      <c r="D563" s="206" t="s">
        <v>3754</v>
      </c>
      <c r="E563" s="206" t="str">
        <f t="shared" si="64"/>
        <v>29</v>
      </c>
      <c r="F563" t="str">
        <f t="shared" si="65"/>
        <v>Chi cục thuế Huyện Phú Thiện</v>
      </c>
      <c r="G563" t="str">
        <f>RIGHT(C563,LEN(C563)-6)</f>
        <v>Phú Thiện</v>
      </c>
      <c r="H563" s="206"/>
      <c r="I563" s="206" t="str">
        <f t="shared" si="66"/>
        <v>60329</v>
      </c>
      <c r="J563" t="str">
        <f t="shared" si="68"/>
        <v/>
      </c>
      <c r="K563" t="str">
        <f>IF(J563="","",ROWS($K$70:K563))</f>
        <v/>
      </c>
      <c r="L563" t="str">
        <f>IFERROR(SMALL($K$70:$K$846,ROWS($L$70:L563)),"")</f>
        <v/>
      </c>
      <c r="M563" t="str" cm="1">
        <f t="array" ref="M563">IFERROR(INDEX($F$70:$F$846,L563,1),"")</f>
        <v/>
      </c>
    </row>
    <row r="564" spans="1:13" x14ac:dyDescent="0.45">
      <c r="A564" t="s">
        <v>2646</v>
      </c>
      <c r="B564" s="206">
        <v>603</v>
      </c>
      <c r="C564" t="s">
        <v>3755</v>
      </c>
      <c r="D564" s="206" t="s">
        <v>3756</v>
      </c>
      <c r="E564" s="206" t="str">
        <f t="shared" si="64"/>
        <v>31</v>
      </c>
      <c r="F564" t="str">
        <f t="shared" si="65"/>
        <v>Chi cục thuế Huyện Chư Pưh</v>
      </c>
      <c r="G564" t="str">
        <f>RIGHT(C564,LEN(C564)-6)</f>
        <v>Chư Pưh</v>
      </c>
      <c r="H564" s="206"/>
      <c r="I564" s="206" t="str">
        <f t="shared" si="66"/>
        <v>60331</v>
      </c>
      <c r="J564" t="str">
        <f t="shared" si="68"/>
        <v/>
      </c>
      <c r="K564" t="str">
        <f>IF(J564="","",ROWS($K$70:K564))</f>
        <v/>
      </c>
      <c r="L564" t="str">
        <f>IFERROR(SMALL($K$70:$K$846,ROWS($L$70:L564)),"")</f>
        <v/>
      </c>
      <c r="M564" t="str" cm="1">
        <f t="array" ref="M564">IFERROR(INDEX($F$70:$F$846,L564,1),"")</f>
        <v/>
      </c>
    </row>
    <row r="565" spans="1:13" x14ac:dyDescent="0.45">
      <c r="A565" t="s">
        <v>2637</v>
      </c>
      <c r="B565" s="206" t="s">
        <v>3757</v>
      </c>
      <c r="C565" t="s">
        <v>3758</v>
      </c>
      <c r="D565" s="206" t="s">
        <v>3759</v>
      </c>
      <c r="E565" s="206" t="str">
        <f t="shared" si="64"/>
        <v>00</v>
      </c>
      <c r="F565" t="str">
        <f t="shared" si="65"/>
        <v>Cục thuế Tỉnh Đắc Lắc</v>
      </c>
      <c r="H565" s="206" t="str">
        <f>IF(E566="01",A566,"")</f>
        <v>Đắc Lắc</v>
      </c>
      <c r="I565" s="206" t="str">
        <f t="shared" si="66"/>
        <v>60500</v>
      </c>
      <c r="J565" t="str">
        <f t="shared" si="68"/>
        <v/>
      </c>
      <c r="K565" t="str">
        <f>IF(J565="","",ROWS($K$70:K565))</f>
        <v/>
      </c>
      <c r="L565" t="str">
        <f>IFERROR(SMALL($K$70:$K$846,ROWS($L$70:L565)),"")</f>
        <v/>
      </c>
      <c r="M565" t="str" cm="1">
        <f t="array" ref="M565">IFERROR(INDEX($F$70:$F$846,L565,1),"")</f>
        <v/>
      </c>
    </row>
    <row r="566" spans="1:13" x14ac:dyDescent="0.45">
      <c r="A566" t="s">
        <v>2637</v>
      </c>
      <c r="B566" s="206">
        <v>605</v>
      </c>
      <c r="C566" t="s">
        <v>3760</v>
      </c>
      <c r="D566" s="206" t="s">
        <v>3761</v>
      </c>
      <c r="E566" s="206" t="str">
        <f t="shared" si="64"/>
        <v>01</v>
      </c>
      <c r="F566" t="str">
        <f t="shared" si="65"/>
        <v>Chi cục thuế TP.Buôn Ma Thuột</v>
      </c>
      <c r="H566" s="206"/>
      <c r="I566" s="206" t="str">
        <f t="shared" si="66"/>
        <v>60501</v>
      </c>
      <c r="J566" t="str">
        <f t="shared" si="68"/>
        <v/>
      </c>
      <c r="K566" t="str">
        <f>IF(J566="","",ROWS($K$70:K566))</f>
        <v/>
      </c>
      <c r="L566" t="str">
        <f>IFERROR(SMALL($K$70:$K$846,ROWS($L$70:L566)),"")</f>
        <v/>
      </c>
      <c r="M566" t="str" cm="1">
        <f t="array" ref="M566">IFERROR(INDEX($F$70:$F$846,L566,1),"")</f>
        <v/>
      </c>
    </row>
    <row r="567" spans="1:13" x14ac:dyDescent="0.45">
      <c r="A567" t="s">
        <v>2637</v>
      </c>
      <c r="B567" s="206">
        <v>605</v>
      </c>
      <c r="C567" t="s">
        <v>3762</v>
      </c>
      <c r="D567" s="206" t="s">
        <v>3763</v>
      </c>
      <c r="E567" s="206" t="str">
        <f t="shared" si="64"/>
        <v>03</v>
      </c>
      <c r="F567" t="str">
        <f t="shared" si="65"/>
        <v>Chi cục thuế Huyện Ea H'leo</v>
      </c>
      <c r="G567" t="str">
        <f>RIGHT(C567,LEN(C567)-6)</f>
        <v>Ea H'leo</v>
      </c>
      <c r="H567" s="206"/>
      <c r="I567" s="206" t="str">
        <f t="shared" si="66"/>
        <v>60503</v>
      </c>
      <c r="J567" t="str">
        <f t="shared" si="68"/>
        <v/>
      </c>
      <c r="K567" t="str">
        <f>IF(J567="","",ROWS($K$70:K567))</f>
        <v/>
      </c>
      <c r="L567" t="str">
        <f>IFERROR(SMALL($K$70:$K$846,ROWS($L$70:L567)),"")</f>
        <v/>
      </c>
      <c r="M567" t="str" cm="1">
        <f t="array" ref="M567">IFERROR(INDEX($F$70:$F$846,L567,1),"")</f>
        <v/>
      </c>
    </row>
    <row r="568" spans="1:13" x14ac:dyDescent="0.45">
      <c r="A568" t="s">
        <v>2637</v>
      </c>
      <c r="B568" s="206">
        <v>605</v>
      </c>
      <c r="C568" t="s">
        <v>3764</v>
      </c>
      <c r="D568" s="206" t="s">
        <v>3765</v>
      </c>
      <c r="E568" s="206" t="str">
        <f t="shared" si="64"/>
        <v>05</v>
      </c>
      <c r="F568" t="str">
        <f t="shared" si="65"/>
        <v>Chi cục thuế Huyện Ea Súp</v>
      </c>
      <c r="G568" t="str">
        <f>RIGHT(C568,LEN(C568)-6)</f>
        <v>Ea Súp</v>
      </c>
      <c r="H568" s="206"/>
      <c r="I568" s="206" t="str">
        <f t="shared" si="66"/>
        <v>60505</v>
      </c>
      <c r="J568" t="str">
        <f t="shared" si="68"/>
        <v/>
      </c>
      <c r="K568" t="str">
        <f>IF(J568="","",ROWS($K$70:K568))</f>
        <v/>
      </c>
      <c r="L568" t="str">
        <f>IFERROR(SMALL($K$70:$K$846,ROWS($L$70:L568)),"")</f>
        <v/>
      </c>
      <c r="M568" t="str" cm="1">
        <f t="array" ref="M568">IFERROR(INDEX($F$70:$F$846,L568,1),"")</f>
        <v/>
      </c>
    </row>
    <row r="569" spans="1:13" x14ac:dyDescent="0.45">
      <c r="A569" t="s">
        <v>2637</v>
      </c>
      <c r="B569" s="206">
        <v>605</v>
      </c>
      <c r="C569" t="s">
        <v>3766</v>
      </c>
      <c r="D569" s="206" t="s">
        <v>3767</v>
      </c>
      <c r="E569" s="206" t="str">
        <f t="shared" si="64"/>
        <v>07</v>
      </c>
      <c r="F569" t="str">
        <f t="shared" si="65"/>
        <v>Chi cục thuế Huyện Krông Năng</v>
      </c>
      <c r="G569" t="str">
        <f>RIGHT(C569,LEN(C569)-6)</f>
        <v>Krông Năng</v>
      </c>
      <c r="H569" s="206"/>
      <c r="I569" s="206" t="str">
        <f t="shared" si="66"/>
        <v>60507</v>
      </c>
      <c r="J569" t="str">
        <f t="shared" si="68"/>
        <v/>
      </c>
      <c r="K569" t="str">
        <f>IF(J569="","",ROWS($K$70:K569))</f>
        <v/>
      </c>
      <c r="L569" t="str">
        <f>IFERROR(SMALL($K$70:$K$846,ROWS($L$70:L569)),"")</f>
        <v/>
      </c>
      <c r="M569" t="str" cm="1">
        <f t="array" ref="M569">IFERROR(INDEX($F$70:$F$846,L569,1),"")</f>
        <v/>
      </c>
    </row>
    <row r="570" spans="1:13" x14ac:dyDescent="0.45">
      <c r="A570" t="s">
        <v>2637</v>
      </c>
      <c r="B570" s="206">
        <v>605</v>
      </c>
      <c r="C570" t="s">
        <v>3768</v>
      </c>
      <c r="D570" s="206" t="s">
        <v>3769</v>
      </c>
      <c r="E570" s="206" t="str">
        <f t="shared" si="64"/>
        <v>09</v>
      </c>
      <c r="F570" t="str">
        <f t="shared" si="65"/>
        <v>Chi cục thuế Thị xã Buôn Hồ</v>
      </c>
      <c r="H570" s="206"/>
      <c r="I570" s="206" t="str">
        <f t="shared" si="66"/>
        <v>60509</v>
      </c>
      <c r="J570" t="str">
        <f t="shared" si="68"/>
        <v/>
      </c>
      <c r="K570" t="str">
        <f>IF(J570="","",ROWS($K$70:K570))</f>
        <v/>
      </c>
      <c r="L570" t="str">
        <f>IFERROR(SMALL($K$70:$K$846,ROWS($L$70:L570)),"")</f>
        <v/>
      </c>
      <c r="M570" t="str" cm="1">
        <f t="array" ref="M570">IFERROR(INDEX($F$70:$F$846,L570,1),"")</f>
        <v/>
      </c>
    </row>
    <row r="571" spans="1:13" x14ac:dyDescent="0.45">
      <c r="A571" t="s">
        <v>2637</v>
      </c>
      <c r="B571" s="206">
        <v>605</v>
      </c>
      <c r="C571" t="s">
        <v>3770</v>
      </c>
      <c r="D571" s="206" t="s">
        <v>3771</v>
      </c>
      <c r="E571" s="206" t="str">
        <f t="shared" si="64"/>
        <v>11</v>
      </c>
      <c r="F571" t="str">
        <f t="shared" si="65"/>
        <v>Chi cục thuế Huyện Buôn Đôn</v>
      </c>
      <c r="G571" t="str">
        <f t="shared" ref="G571:G585" si="70">RIGHT(C571,LEN(C571)-6)</f>
        <v>Buôn Đôn</v>
      </c>
      <c r="H571" s="206"/>
      <c r="I571" s="206" t="str">
        <f t="shared" si="66"/>
        <v>60511</v>
      </c>
      <c r="J571" t="str">
        <f t="shared" si="68"/>
        <v/>
      </c>
      <c r="K571" t="str">
        <f>IF(J571="","",ROWS($K$70:K571))</f>
        <v/>
      </c>
      <c r="L571" t="str">
        <f>IFERROR(SMALL($K$70:$K$846,ROWS($L$70:L571)),"")</f>
        <v/>
      </c>
      <c r="M571" t="str" cm="1">
        <f t="array" ref="M571">IFERROR(INDEX($F$70:$F$846,L571,1),"")</f>
        <v/>
      </c>
    </row>
    <row r="572" spans="1:13" x14ac:dyDescent="0.45">
      <c r="A572" t="s">
        <v>2637</v>
      </c>
      <c r="B572" s="206">
        <v>605</v>
      </c>
      <c r="C572" t="s">
        <v>3772</v>
      </c>
      <c r="D572" s="206" t="s">
        <v>3773</v>
      </c>
      <c r="E572" s="206" t="str">
        <f t="shared" si="64"/>
        <v>13</v>
      </c>
      <c r="F572" t="str">
        <f t="shared" si="65"/>
        <v>Chi cục thuế Huyện Cư M'gar</v>
      </c>
      <c r="G572" t="str">
        <f t="shared" si="70"/>
        <v>Cư M'gar</v>
      </c>
      <c r="H572" s="206"/>
      <c r="I572" s="206" t="str">
        <f t="shared" si="66"/>
        <v>60513</v>
      </c>
      <c r="J572" t="str">
        <f t="shared" si="68"/>
        <v/>
      </c>
      <c r="K572" t="str">
        <f>IF(J572="","",ROWS($K$70:K572))</f>
        <v/>
      </c>
      <c r="L572" t="str">
        <f>IFERROR(SMALL($K$70:$K$846,ROWS($L$70:L572)),"")</f>
        <v/>
      </c>
      <c r="M572" t="str" cm="1">
        <f t="array" ref="M572">IFERROR(INDEX($F$70:$F$846,L572,1),"")</f>
        <v/>
      </c>
    </row>
    <row r="573" spans="1:13" x14ac:dyDescent="0.45">
      <c r="A573" t="s">
        <v>2637</v>
      </c>
      <c r="B573" s="206">
        <v>605</v>
      </c>
      <c r="C573" t="s">
        <v>3774</v>
      </c>
      <c r="D573" s="206" t="s">
        <v>3775</v>
      </c>
      <c r="E573" s="206" t="str">
        <f t="shared" si="64"/>
        <v>15</v>
      </c>
      <c r="F573" t="str">
        <f t="shared" si="65"/>
        <v>Chi cục thuế Huyện Ea Kar</v>
      </c>
      <c r="G573" t="str">
        <f t="shared" si="70"/>
        <v>Ea Kar</v>
      </c>
      <c r="H573" s="206"/>
      <c r="I573" s="206" t="str">
        <f t="shared" si="66"/>
        <v>60515</v>
      </c>
      <c r="J573" t="str">
        <f t="shared" si="68"/>
        <v/>
      </c>
      <c r="K573" t="str">
        <f>IF(J573="","",ROWS($K$70:K573))</f>
        <v/>
      </c>
      <c r="L573" t="str">
        <f>IFERROR(SMALL($K$70:$K$846,ROWS($L$70:L573)),"")</f>
        <v/>
      </c>
      <c r="M573" t="str" cm="1">
        <f t="array" ref="M573">IFERROR(INDEX($F$70:$F$846,L573,1),"")</f>
        <v/>
      </c>
    </row>
    <row r="574" spans="1:13" x14ac:dyDescent="0.45">
      <c r="A574" t="s">
        <v>2637</v>
      </c>
      <c r="B574" s="206">
        <v>605</v>
      </c>
      <c r="C574" t="s">
        <v>3776</v>
      </c>
      <c r="D574" s="206" t="s">
        <v>3777</v>
      </c>
      <c r="E574" s="206" t="str">
        <f t="shared" si="64"/>
        <v>17</v>
      </c>
      <c r="F574" t="str">
        <f t="shared" si="65"/>
        <v>Chi cục thuế Huyện M'ĐrắK</v>
      </c>
      <c r="G574" t="str">
        <f t="shared" si="70"/>
        <v>M'ĐrắK</v>
      </c>
      <c r="H574" s="206"/>
      <c r="I574" s="206" t="str">
        <f t="shared" si="66"/>
        <v>60517</v>
      </c>
      <c r="J574" t="str">
        <f t="shared" si="68"/>
        <v/>
      </c>
      <c r="K574" t="str">
        <f>IF(J574="","",ROWS($K$70:K574))</f>
        <v/>
      </c>
      <c r="L574" t="str">
        <f>IFERROR(SMALL($K$70:$K$846,ROWS($L$70:L574)),"")</f>
        <v/>
      </c>
      <c r="M574" t="str" cm="1">
        <f t="array" ref="M574">IFERROR(INDEX($F$70:$F$846,L574,1),"")</f>
        <v/>
      </c>
    </row>
    <row r="575" spans="1:13" x14ac:dyDescent="0.45">
      <c r="A575" t="s">
        <v>2637</v>
      </c>
      <c r="B575" s="206">
        <v>605</v>
      </c>
      <c r="C575" t="s">
        <v>3778</v>
      </c>
      <c r="D575" s="206" t="s">
        <v>3779</v>
      </c>
      <c r="E575" s="206" t="str">
        <f t="shared" si="64"/>
        <v>19</v>
      </c>
      <c r="F575" t="str">
        <f t="shared" si="65"/>
        <v>Chi cục thuế Huyện Krông Pắk</v>
      </c>
      <c r="G575" t="str">
        <f t="shared" si="70"/>
        <v>Krông Pắk</v>
      </c>
      <c r="H575" s="206"/>
      <c r="I575" s="206" t="str">
        <f t="shared" si="66"/>
        <v>60519</v>
      </c>
      <c r="J575" t="str">
        <f t="shared" si="68"/>
        <v/>
      </c>
      <c r="K575" t="str">
        <f>IF(J575="","",ROWS($K$70:K575))</f>
        <v/>
      </c>
      <c r="L575" t="str">
        <f>IFERROR(SMALL($K$70:$K$846,ROWS($L$70:L575)),"")</f>
        <v/>
      </c>
      <c r="M575" t="str" cm="1">
        <f t="array" ref="M575">IFERROR(INDEX($F$70:$F$846,L575,1),"")</f>
        <v/>
      </c>
    </row>
    <row r="576" spans="1:13" x14ac:dyDescent="0.45">
      <c r="A576" t="s">
        <v>2637</v>
      </c>
      <c r="B576" s="206">
        <v>605</v>
      </c>
      <c r="C576" t="s">
        <v>3780</v>
      </c>
      <c r="D576" s="206" t="s">
        <v>3781</v>
      </c>
      <c r="E576" s="206" t="str">
        <f t="shared" si="64"/>
        <v>23</v>
      </c>
      <c r="F576" t="str">
        <f t="shared" si="65"/>
        <v>Chi cục thuế Huyện Krông A Na</v>
      </c>
      <c r="G576" t="str">
        <f t="shared" si="70"/>
        <v>Krông A Na</v>
      </c>
      <c r="H576" s="206"/>
      <c r="I576" s="206" t="str">
        <f t="shared" si="66"/>
        <v>60523</v>
      </c>
      <c r="J576" t="str">
        <f t="shared" si="68"/>
        <v/>
      </c>
      <c r="K576" t="str">
        <f>IF(J576="","",ROWS($K$70:K576))</f>
        <v/>
      </c>
      <c r="L576" t="str">
        <f>IFERROR(SMALL($K$70:$K$846,ROWS($L$70:L576)),"")</f>
        <v/>
      </c>
      <c r="M576" t="str" cm="1">
        <f t="array" ref="M576">IFERROR(INDEX($F$70:$F$846,L576,1),"")</f>
        <v/>
      </c>
    </row>
    <row r="577" spans="1:13" x14ac:dyDescent="0.45">
      <c r="A577" t="s">
        <v>2637</v>
      </c>
      <c r="B577" s="206">
        <v>605</v>
      </c>
      <c r="C577" t="s">
        <v>3782</v>
      </c>
      <c r="D577" s="206" t="s">
        <v>3783</v>
      </c>
      <c r="E577" s="206" t="str">
        <f t="shared" si="64"/>
        <v>25</v>
      </c>
      <c r="F577" t="str">
        <f t="shared" si="65"/>
        <v>Chi cục thuế Huyện Krông Bông</v>
      </c>
      <c r="G577" t="str">
        <f t="shared" si="70"/>
        <v>Krông Bông</v>
      </c>
      <c r="H577" s="206"/>
      <c r="I577" s="206" t="str">
        <f t="shared" si="66"/>
        <v>60525</v>
      </c>
      <c r="J577" t="str">
        <f t="shared" si="68"/>
        <v/>
      </c>
      <c r="K577" t="str">
        <f>IF(J577="","",ROWS($K$70:K577))</f>
        <v/>
      </c>
      <c r="L577" t="str">
        <f>IFERROR(SMALL($K$70:$K$846,ROWS($L$70:L577)),"")</f>
        <v/>
      </c>
      <c r="M577" t="str" cm="1">
        <f t="array" ref="M577">IFERROR(INDEX($F$70:$F$846,L577,1),"")</f>
        <v/>
      </c>
    </row>
    <row r="578" spans="1:13" x14ac:dyDescent="0.45">
      <c r="A578" t="s">
        <v>2637</v>
      </c>
      <c r="B578" s="206">
        <v>605</v>
      </c>
      <c r="C578" t="s">
        <v>3784</v>
      </c>
      <c r="D578" s="206" t="s">
        <v>3785</v>
      </c>
      <c r="E578" s="206" t="str">
        <f t="shared" si="64"/>
        <v>31</v>
      </c>
      <c r="F578" t="str">
        <f t="shared" si="65"/>
        <v>Chi cục thuế Huyện Lắk</v>
      </c>
      <c r="G578" t="str">
        <f t="shared" si="70"/>
        <v>Lắk</v>
      </c>
      <c r="H578" s="206"/>
      <c r="I578" s="206" t="str">
        <f t="shared" si="66"/>
        <v>60531</v>
      </c>
      <c r="J578" t="str">
        <f t="shared" si="68"/>
        <v/>
      </c>
      <c r="K578" t="str">
        <f>IF(J578="","",ROWS($K$70:K578))</f>
        <v/>
      </c>
      <c r="L578" t="str">
        <f>IFERROR(SMALL($K$70:$K$846,ROWS($L$70:L578)),"")</f>
        <v/>
      </c>
      <c r="M578" t="str" cm="1">
        <f t="array" ref="M578">IFERROR(INDEX($F$70:$F$846,L578,1),"")</f>
        <v/>
      </c>
    </row>
    <row r="579" spans="1:13" x14ac:dyDescent="0.45">
      <c r="A579" t="s">
        <v>2637</v>
      </c>
      <c r="B579" s="206">
        <v>605</v>
      </c>
      <c r="C579" t="s">
        <v>3786</v>
      </c>
      <c r="D579" s="206" t="s">
        <v>3787</v>
      </c>
      <c r="E579" s="206" t="str">
        <f t="shared" si="64"/>
        <v>37</v>
      </c>
      <c r="F579" t="str">
        <f t="shared" si="65"/>
        <v>Chi cục thuế Huyện Cư Kuin</v>
      </c>
      <c r="G579" t="str">
        <f t="shared" si="70"/>
        <v>Cư Kuin</v>
      </c>
      <c r="H579" s="206"/>
      <c r="I579" s="206" t="str">
        <f t="shared" si="66"/>
        <v>60537</v>
      </c>
      <c r="J579" t="str">
        <f t="shared" si="68"/>
        <v/>
      </c>
      <c r="K579" t="str">
        <f>IF(J579="","",ROWS($K$70:K579))</f>
        <v/>
      </c>
      <c r="L579" t="str">
        <f>IFERROR(SMALL($K$70:$K$846,ROWS($L$70:L579)),"")</f>
        <v/>
      </c>
      <c r="M579" t="str" cm="1">
        <f t="array" ref="M579">IFERROR(INDEX($F$70:$F$846,L579,1),"")</f>
        <v/>
      </c>
    </row>
    <row r="580" spans="1:13" x14ac:dyDescent="0.45">
      <c r="A580" t="s">
        <v>2637</v>
      </c>
      <c r="B580" s="206">
        <v>605</v>
      </c>
      <c r="C580" t="s">
        <v>3788</v>
      </c>
      <c r="D580" s="206" t="s">
        <v>3789</v>
      </c>
      <c r="E580" s="206" t="str">
        <f t="shared" si="64"/>
        <v>39</v>
      </c>
      <c r="F580" t="str">
        <f t="shared" si="65"/>
        <v>Chi cục thuế Huyện Krông Búk</v>
      </c>
      <c r="G580" t="str">
        <f t="shared" si="70"/>
        <v>Krông Búk</v>
      </c>
      <c r="H580" s="206"/>
      <c r="I580" s="206" t="str">
        <f t="shared" si="66"/>
        <v>60539</v>
      </c>
      <c r="J580" t="str">
        <f t="shared" si="68"/>
        <v/>
      </c>
      <c r="K580" t="str">
        <f>IF(J580="","",ROWS($K$70:K580))</f>
        <v/>
      </c>
      <c r="L580" t="str">
        <f>IFERROR(SMALL($K$70:$K$846,ROWS($L$70:L580)),"")</f>
        <v/>
      </c>
      <c r="M580" t="str" cm="1">
        <f t="array" ref="M580">IFERROR(INDEX($F$70:$F$846,L580,1),"")</f>
        <v/>
      </c>
    </row>
    <row r="581" spans="1:13" x14ac:dyDescent="0.45">
      <c r="A581" t="s">
        <v>2639</v>
      </c>
      <c r="B581" s="206">
        <v>606</v>
      </c>
      <c r="C581" t="s">
        <v>3790</v>
      </c>
      <c r="D581" s="206" t="s">
        <v>3791</v>
      </c>
      <c r="E581" s="206" t="str">
        <f t="shared" si="64"/>
        <v>03</v>
      </c>
      <c r="F581" t="str">
        <f t="shared" si="65"/>
        <v>Chi cục thuế Huyện Cư Jút</v>
      </c>
      <c r="G581" t="str">
        <f t="shared" si="70"/>
        <v>Cư Jút</v>
      </c>
      <c r="H581" s="206"/>
      <c r="I581" s="206" t="str">
        <f t="shared" si="66"/>
        <v>60603</v>
      </c>
      <c r="J581" t="str">
        <f t="shared" si="68"/>
        <v/>
      </c>
      <c r="K581" t="str">
        <f>IF(J581="","",ROWS($K$70:K581))</f>
        <v/>
      </c>
      <c r="L581" t="str">
        <f>IFERROR(SMALL($K$70:$K$846,ROWS($L$70:L581)),"")</f>
        <v/>
      </c>
      <c r="M581" t="str" cm="1">
        <f t="array" ref="M581">IFERROR(INDEX($F$70:$F$846,L581,1),"")</f>
        <v/>
      </c>
    </row>
    <row r="582" spans="1:13" x14ac:dyDescent="0.45">
      <c r="A582" t="s">
        <v>2639</v>
      </c>
      <c r="B582" s="206">
        <v>606</v>
      </c>
      <c r="C582" t="s">
        <v>3792</v>
      </c>
      <c r="D582" s="206" t="s">
        <v>3793</v>
      </c>
      <c r="E582" s="206" t="str">
        <f t="shared" si="64"/>
        <v>05</v>
      </c>
      <c r="F582" t="str">
        <f t="shared" si="65"/>
        <v>Chi cục thuế Huyện Krông Nô</v>
      </c>
      <c r="G582" t="str">
        <f t="shared" si="70"/>
        <v>Krông Nô</v>
      </c>
      <c r="H582" s="206"/>
      <c r="I582" s="206" t="str">
        <f t="shared" si="66"/>
        <v>60605</v>
      </c>
      <c r="J582" t="str">
        <f t="shared" si="68"/>
        <v/>
      </c>
      <c r="K582" t="str">
        <f>IF(J582="","",ROWS($K$70:K582))</f>
        <v/>
      </c>
      <c r="L582" t="str">
        <f>IFERROR(SMALL($K$70:$K$846,ROWS($L$70:L582)),"")</f>
        <v/>
      </c>
      <c r="M582" t="str" cm="1">
        <f t="array" ref="M582">IFERROR(INDEX($F$70:$F$846,L582,1),"")</f>
        <v/>
      </c>
    </row>
    <row r="583" spans="1:13" x14ac:dyDescent="0.45">
      <c r="A583" t="s">
        <v>2639</v>
      </c>
      <c r="B583" s="206">
        <v>606</v>
      </c>
      <c r="C583" t="s">
        <v>3794</v>
      </c>
      <c r="D583" s="206" t="s">
        <v>3795</v>
      </c>
      <c r="E583" s="206" t="str">
        <f t="shared" ref="E583:E646" si="71">RIGHT(D583,2)</f>
        <v>07</v>
      </c>
      <c r="F583" t="str">
        <f t="shared" ref="F583:F646" si="72">IF(E583="00","Cục thuế "&amp;C583,"Chi cục thuế "&amp;C583)</f>
        <v>Chi cục thuế Huyện Đắk Mil</v>
      </c>
      <c r="G583" t="str">
        <f t="shared" si="70"/>
        <v>Đắk Mil</v>
      </c>
      <c r="H583" s="206"/>
      <c r="I583" s="206" t="str">
        <f t="shared" ref="I583:I646" si="73">D583</f>
        <v>60607</v>
      </c>
      <c r="J583" t="str">
        <f t="shared" si="68"/>
        <v/>
      </c>
      <c r="K583" t="str">
        <f>IF(J583="","",ROWS($K$70:K583))</f>
        <v/>
      </c>
      <c r="L583" t="str">
        <f>IFERROR(SMALL($K$70:$K$846,ROWS($L$70:L583)),"")</f>
        <v/>
      </c>
      <c r="M583" t="str" cm="1">
        <f t="array" ref="M583">IFERROR(INDEX($F$70:$F$846,L583,1),"")</f>
        <v/>
      </c>
    </row>
    <row r="584" spans="1:13" x14ac:dyDescent="0.45">
      <c r="A584" t="s">
        <v>2639</v>
      </c>
      <c r="B584" s="206">
        <v>606</v>
      </c>
      <c r="C584" t="s">
        <v>3796</v>
      </c>
      <c r="D584" s="206" t="s">
        <v>3797</v>
      </c>
      <c r="E584" s="206" t="str">
        <f t="shared" si="71"/>
        <v>09</v>
      </c>
      <c r="F584" t="str">
        <f t="shared" si="72"/>
        <v>Chi cục thuế Huyện Đắk Song</v>
      </c>
      <c r="G584" t="str">
        <f t="shared" si="70"/>
        <v>Đắk Song</v>
      </c>
      <c r="H584" s="206"/>
      <c r="I584" s="206" t="str">
        <f t="shared" si="73"/>
        <v>60609</v>
      </c>
      <c r="J584" t="str">
        <f t="shared" si="68"/>
        <v/>
      </c>
      <c r="K584" t="str">
        <f>IF(J584="","",ROWS($K$70:K584))</f>
        <v/>
      </c>
      <c r="L584" t="str">
        <f>IFERROR(SMALL($K$70:$K$846,ROWS($L$70:L584)),"")</f>
        <v/>
      </c>
      <c r="M584" t="str" cm="1">
        <f t="array" ref="M584">IFERROR(INDEX($F$70:$F$846,L584,1),"")</f>
        <v/>
      </c>
    </row>
    <row r="585" spans="1:13" x14ac:dyDescent="0.45">
      <c r="A585" t="s">
        <v>2639</v>
      </c>
      <c r="B585" s="206">
        <v>606</v>
      </c>
      <c r="C585" t="s">
        <v>3798</v>
      </c>
      <c r="D585" s="206" t="s">
        <v>3799</v>
      </c>
      <c r="E585" s="206" t="str">
        <f t="shared" si="71"/>
        <v>11</v>
      </c>
      <c r="F585" t="str">
        <f t="shared" si="72"/>
        <v>Chi cục thuế Huyện Đắk R'Lấp</v>
      </c>
      <c r="G585" t="str">
        <f t="shared" si="70"/>
        <v>Đắk R'Lấp</v>
      </c>
      <c r="H585" s="206"/>
      <c r="I585" s="206" t="str">
        <f t="shared" si="73"/>
        <v>60611</v>
      </c>
      <c r="J585" t="str">
        <f t="shared" si="68"/>
        <v/>
      </c>
      <c r="K585" t="str">
        <f>IF(J585="","",ROWS($K$70:K585))</f>
        <v/>
      </c>
      <c r="L585" t="str">
        <f>IFERROR(SMALL($K$70:$K$846,ROWS($L$70:L585)),"")</f>
        <v/>
      </c>
      <c r="M585" t="str" cm="1">
        <f t="array" ref="M585">IFERROR(INDEX($F$70:$F$846,L585,1),"")</f>
        <v/>
      </c>
    </row>
    <row r="586" spans="1:13" x14ac:dyDescent="0.45">
      <c r="A586" t="s">
        <v>2639</v>
      </c>
      <c r="B586" s="206">
        <v>606</v>
      </c>
      <c r="C586" t="s">
        <v>3800</v>
      </c>
      <c r="D586" s="206" t="s">
        <v>3801</v>
      </c>
      <c r="E586" s="206" t="str">
        <f t="shared" si="71"/>
        <v>13</v>
      </c>
      <c r="F586" t="str">
        <f t="shared" si="72"/>
        <v>Chi cục thuế Thị xã Gia Nghĩa</v>
      </c>
      <c r="H586" s="206"/>
      <c r="I586" s="206" t="str">
        <f t="shared" si="73"/>
        <v>60613</v>
      </c>
      <c r="J586" t="str">
        <f t="shared" ref="J586:J649" si="74">IF(A586=$J$69,F586,"")</f>
        <v/>
      </c>
      <c r="K586" t="str">
        <f>IF(J586="","",ROWS($K$70:K586))</f>
        <v/>
      </c>
      <c r="L586" t="str">
        <f>IFERROR(SMALL($K$70:$K$846,ROWS($L$70:L586)),"")</f>
        <v/>
      </c>
      <c r="M586" t="str" cm="1">
        <f t="array" ref="M586">IFERROR(INDEX($F$70:$F$846,L586,1),"")</f>
        <v/>
      </c>
    </row>
    <row r="587" spans="1:13" x14ac:dyDescent="0.45">
      <c r="A587" t="s">
        <v>2639</v>
      </c>
      <c r="B587" s="206">
        <v>606</v>
      </c>
      <c r="C587" t="s">
        <v>3802</v>
      </c>
      <c r="D587" s="206" t="s">
        <v>3803</v>
      </c>
      <c r="E587" s="206" t="str">
        <f t="shared" si="71"/>
        <v>15</v>
      </c>
      <c r="F587" t="str">
        <f t="shared" si="72"/>
        <v>Chi cục thuế Huyện Đắk Glong</v>
      </c>
      <c r="G587" t="str">
        <f>RIGHT(C587,LEN(C587)-6)</f>
        <v>Đắk Glong</v>
      </c>
      <c r="H587" s="206"/>
      <c r="I587" s="206" t="str">
        <f t="shared" si="73"/>
        <v>60615</v>
      </c>
      <c r="J587" t="str">
        <f t="shared" si="74"/>
        <v/>
      </c>
      <c r="K587" t="str">
        <f>IF(J587="","",ROWS($K$70:K587))</f>
        <v/>
      </c>
      <c r="L587" t="str">
        <f>IFERROR(SMALL($K$70:$K$846,ROWS($L$70:L587)),"")</f>
        <v/>
      </c>
      <c r="M587" t="str" cm="1">
        <f t="array" ref="M587">IFERROR(INDEX($F$70:$F$846,L587,1),"")</f>
        <v/>
      </c>
    </row>
    <row r="588" spans="1:13" x14ac:dyDescent="0.45">
      <c r="A588" t="s">
        <v>2639</v>
      </c>
      <c r="B588" s="206">
        <v>606</v>
      </c>
      <c r="C588" t="s">
        <v>3804</v>
      </c>
      <c r="D588" s="206" t="s">
        <v>3805</v>
      </c>
      <c r="E588" s="206" t="str">
        <f t="shared" si="71"/>
        <v>17</v>
      </c>
      <c r="F588" t="str">
        <f t="shared" si="72"/>
        <v>Chi cục thuế Huyện Tuy Đức</v>
      </c>
      <c r="G588" t="str">
        <f>RIGHT(C588,LEN(C588)-6)</f>
        <v>Tuy Đức</v>
      </c>
      <c r="H588" s="206"/>
      <c r="I588" s="206" t="str">
        <f t="shared" si="73"/>
        <v>60617</v>
      </c>
      <c r="J588" t="str">
        <f t="shared" si="74"/>
        <v/>
      </c>
      <c r="K588" t="str">
        <f>IF(J588="","",ROWS($K$70:K588))</f>
        <v/>
      </c>
      <c r="L588" t="str">
        <f>IFERROR(SMALL($K$70:$K$846,ROWS($L$70:L588)),"")</f>
        <v/>
      </c>
      <c r="M588" t="str" cm="1">
        <f t="array" ref="M588">IFERROR(INDEX($F$70:$F$846,L588,1),"")</f>
        <v/>
      </c>
    </row>
    <row r="589" spans="1:13" x14ac:dyDescent="0.45">
      <c r="A589" t="s">
        <v>2718</v>
      </c>
      <c r="B589" s="206" t="s">
        <v>3806</v>
      </c>
      <c r="C589" t="s">
        <v>2718</v>
      </c>
      <c r="D589" s="206" t="s">
        <v>3807</v>
      </c>
      <c r="E589" s="206" t="str">
        <f t="shared" si="71"/>
        <v>00</v>
      </c>
      <c r="F589" t="str">
        <f t="shared" si="72"/>
        <v>Cục thuế TP Hồ Chí Minh</v>
      </c>
      <c r="H589" s="206" t="str">
        <f>IF(E590="01",A590,"")</f>
        <v>TP Hồ Chí Minh</v>
      </c>
      <c r="I589" s="206" t="str">
        <f t="shared" si="73"/>
        <v>70100</v>
      </c>
      <c r="J589" t="str">
        <f t="shared" si="74"/>
        <v/>
      </c>
      <c r="K589" t="str">
        <f>IF(J589="","",ROWS($K$70:K589))</f>
        <v/>
      </c>
      <c r="L589" t="str">
        <f>IFERROR(SMALL($K$70:$K$846,ROWS($L$70:L589)),"")</f>
        <v/>
      </c>
      <c r="M589" t="str" cm="1">
        <f t="array" ref="M589">IFERROR(INDEX($F$70:$F$846,L589,1),"")</f>
        <v/>
      </c>
    </row>
    <row r="590" spans="1:13" x14ac:dyDescent="0.45">
      <c r="A590" t="s">
        <v>2718</v>
      </c>
      <c r="B590" s="206">
        <v>701</v>
      </c>
      <c r="C590" t="s">
        <v>3808</v>
      </c>
      <c r="D590" s="206" t="s">
        <v>3809</v>
      </c>
      <c r="E590" s="206" t="str">
        <f t="shared" si="71"/>
        <v>01</v>
      </c>
      <c r="F590" t="str">
        <f t="shared" si="72"/>
        <v>Chi cục thuế Quận 1</v>
      </c>
      <c r="G590" t="str">
        <f t="shared" ref="G590:G608" si="75">RIGHT(C590,LEN(C590)-5)</f>
        <v>1</v>
      </c>
      <c r="H590" s="206"/>
      <c r="I590" s="206" t="str">
        <f t="shared" si="73"/>
        <v>70101</v>
      </c>
      <c r="J590" t="str">
        <f t="shared" si="74"/>
        <v/>
      </c>
      <c r="K590" t="str">
        <f>IF(J590="","",ROWS($K$70:K590))</f>
        <v/>
      </c>
      <c r="L590" t="str">
        <f>IFERROR(SMALL($K$70:$K$846,ROWS($L$70:L590)),"")</f>
        <v/>
      </c>
      <c r="M590" t="str" cm="1">
        <f t="array" ref="M590">IFERROR(INDEX($F$70:$F$846,L590,1),"")</f>
        <v/>
      </c>
    </row>
    <row r="591" spans="1:13" x14ac:dyDescent="0.45">
      <c r="A591" t="s">
        <v>2718</v>
      </c>
      <c r="B591" s="206">
        <v>701</v>
      </c>
      <c r="C591" t="s">
        <v>3810</v>
      </c>
      <c r="D591" s="206" t="s">
        <v>3811</v>
      </c>
      <c r="E591" s="206" t="str">
        <f t="shared" si="71"/>
        <v>03</v>
      </c>
      <c r="F591" t="str">
        <f t="shared" si="72"/>
        <v>Chi cục thuế Quận 2</v>
      </c>
      <c r="G591" t="str">
        <f t="shared" si="75"/>
        <v>2</v>
      </c>
      <c r="H591" s="206"/>
      <c r="I591" s="206" t="str">
        <f t="shared" si="73"/>
        <v>70103</v>
      </c>
      <c r="J591" t="str">
        <f t="shared" si="74"/>
        <v/>
      </c>
      <c r="K591" t="str">
        <f>IF(J591="","",ROWS($K$70:K591))</f>
        <v/>
      </c>
      <c r="L591" t="str">
        <f>IFERROR(SMALL($K$70:$K$846,ROWS($L$70:L591)),"")</f>
        <v/>
      </c>
      <c r="M591" t="str" cm="1">
        <f t="array" ref="M591">IFERROR(INDEX($F$70:$F$846,L591,1),"")</f>
        <v/>
      </c>
    </row>
    <row r="592" spans="1:13" x14ac:dyDescent="0.45">
      <c r="A592" t="s">
        <v>2718</v>
      </c>
      <c r="B592" s="206">
        <v>701</v>
      </c>
      <c r="C592" t="s">
        <v>3812</v>
      </c>
      <c r="D592" s="206" t="s">
        <v>3813</v>
      </c>
      <c r="E592" s="206" t="str">
        <f t="shared" si="71"/>
        <v>05</v>
      </c>
      <c r="F592" t="str">
        <f t="shared" si="72"/>
        <v>Chi cục thuế Quận 3</v>
      </c>
      <c r="G592" t="str">
        <f t="shared" si="75"/>
        <v>3</v>
      </c>
      <c r="H592" s="206"/>
      <c r="I592" s="206" t="str">
        <f t="shared" si="73"/>
        <v>70105</v>
      </c>
      <c r="J592" t="str">
        <f t="shared" si="74"/>
        <v/>
      </c>
      <c r="K592" t="str">
        <f>IF(J592="","",ROWS($K$70:K592))</f>
        <v/>
      </c>
      <c r="L592" t="str">
        <f>IFERROR(SMALL($K$70:$K$846,ROWS($L$70:L592)),"")</f>
        <v/>
      </c>
      <c r="M592" t="str" cm="1">
        <f t="array" ref="M592">IFERROR(INDEX($F$70:$F$846,L592,1),"")</f>
        <v/>
      </c>
    </row>
    <row r="593" spans="1:13" x14ac:dyDescent="0.45">
      <c r="A593" t="s">
        <v>2718</v>
      </c>
      <c r="B593" s="206">
        <v>701</v>
      </c>
      <c r="C593" t="s">
        <v>3814</v>
      </c>
      <c r="D593" s="206" t="s">
        <v>3815</v>
      </c>
      <c r="E593" s="206" t="str">
        <f t="shared" si="71"/>
        <v>07</v>
      </c>
      <c r="F593" t="str">
        <f t="shared" si="72"/>
        <v>Chi cục thuế Quận 4</v>
      </c>
      <c r="G593" t="str">
        <f t="shared" si="75"/>
        <v>4</v>
      </c>
      <c r="H593" s="206"/>
      <c r="I593" s="206" t="str">
        <f t="shared" si="73"/>
        <v>70107</v>
      </c>
      <c r="J593" t="str">
        <f t="shared" si="74"/>
        <v/>
      </c>
      <c r="K593" t="str">
        <f>IF(J593="","",ROWS($K$70:K593))</f>
        <v/>
      </c>
      <c r="L593" t="str">
        <f>IFERROR(SMALL($K$70:$K$846,ROWS($L$70:L593)),"")</f>
        <v/>
      </c>
      <c r="M593" t="str" cm="1">
        <f t="array" ref="M593">IFERROR(INDEX($F$70:$F$846,L593,1),"")</f>
        <v/>
      </c>
    </row>
    <row r="594" spans="1:13" x14ac:dyDescent="0.45">
      <c r="A594" t="s">
        <v>2718</v>
      </c>
      <c r="B594" s="206">
        <v>701</v>
      </c>
      <c r="C594" t="s">
        <v>3816</v>
      </c>
      <c r="D594" s="206" t="s">
        <v>3817</v>
      </c>
      <c r="E594" s="206" t="str">
        <f t="shared" si="71"/>
        <v>09</v>
      </c>
      <c r="F594" t="str">
        <f t="shared" si="72"/>
        <v>Chi cục thuế Quận 5</v>
      </c>
      <c r="G594" t="str">
        <f t="shared" si="75"/>
        <v>5</v>
      </c>
      <c r="H594" s="206"/>
      <c r="I594" s="206" t="str">
        <f t="shared" si="73"/>
        <v>70109</v>
      </c>
      <c r="J594" t="str">
        <f t="shared" si="74"/>
        <v/>
      </c>
      <c r="K594" t="str">
        <f>IF(J594="","",ROWS($K$70:K594))</f>
        <v/>
      </c>
      <c r="L594" t="str">
        <f>IFERROR(SMALL($K$70:$K$846,ROWS($L$70:L594)),"")</f>
        <v/>
      </c>
      <c r="M594" t="str" cm="1">
        <f t="array" ref="M594">IFERROR(INDEX($F$70:$F$846,L594,1),"")</f>
        <v/>
      </c>
    </row>
    <row r="595" spans="1:13" x14ac:dyDescent="0.45">
      <c r="A595" t="s">
        <v>2718</v>
      </c>
      <c r="B595" s="206">
        <v>701</v>
      </c>
      <c r="C595" t="s">
        <v>3818</v>
      </c>
      <c r="D595" s="206" t="s">
        <v>3819</v>
      </c>
      <c r="E595" s="206" t="str">
        <f t="shared" si="71"/>
        <v>11</v>
      </c>
      <c r="F595" t="str">
        <f t="shared" si="72"/>
        <v>Chi cục thuế Quận 6</v>
      </c>
      <c r="G595" t="str">
        <f t="shared" si="75"/>
        <v>6</v>
      </c>
      <c r="H595" s="206"/>
      <c r="I595" s="206" t="str">
        <f t="shared" si="73"/>
        <v>70111</v>
      </c>
      <c r="J595" t="str">
        <f t="shared" si="74"/>
        <v/>
      </c>
      <c r="K595" t="str">
        <f>IF(J595="","",ROWS($K$70:K595))</f>
        <v/>
      </c>
      <c r="L595" t="str">
        <f>IFERROR(SMALL($K$70:$K$846,ROWS($L$70:L595)),"")</f>
        <v/>
      </c>
      <c r="M595" t="str" cm="1">
        <f t="array" ref="M595">IFERROR(INDEX($F$70:$F$846,L595,1),"")</f>
        <v/>
      </c>
    </row>
    <row r="596" spans="1:13" x14ac:dyDescent="0.45">
      <c r="A596" t="s">
        <v>2718</v>
      </c>
      <c r="B596" s="206">
        <v>701</v>
      </c>
      <c r="C596" t="s">
        <v>3820</v>
      </c>
      <c r="D596" s="206" t="s">
        <v>3821</v>
      </c>
      <c r="E596" s="206" t="str">
        <f t="shared" si="71"/>
        <v>13</v>
      </c>
      <c r="F596" t="str">
        <f t="shared" si="72"/>
        <v>Chi cục thuế Quận 7</v>
      </c>
      <c r="G596" t="str">
        <f t="shared" si="75"/>
        <v>7</v>
      </c>
      <c r="H596" s="206"/>
      <c r="I596" s="206" t="str">
        <f t="shared" si="73"/>
        <v>70113</v>
      </c>
      <c r="J596" t="str">
        <f t="shared" si="74"/>
        <v/>
      </c>
      <c r="K596" t="str">
        <f>IF(J596="","",ROWS($K$70:K596))</f>
        <v/>
      </c>
      <c r="L596" t="str">
        <f>IFERROR(SMALL($K$70:$K$846,ROWS($L$70:L596)),"")</f>
        <v/>
      </c>
      <c r="M596" t="str" cm="1">
        <f t="array" ref="M596">IFERROR(INDEX($F$70:$F$846,L596,1),"")</f>
        <v/>
      </c>
    </row>
    <row r="597" spans="1:13" x14ac:dyDescent="0.45">
      <c r="A597" t="s">
        <v>2718</v>
      </c>
      <c r="B597" s="206">
        <v>701</v>
      </c>
      <c r="C597" t="s">
        <v>3822</v>
      </c>
      <c r="D597" s="206" t="s">
        <v>3823</v>
      </c>
      <c r="E597" s="206" t="str">
        <f t="shared" si="71"/>
        <v>15</v>
      </c>
      <c r="F597" t="str">
        <f t="shared" si="72"/>
        <v>Chi cục thuế Quận 8</v>
      </c>
      <c r="G597" t="str">
        <f t="shared" si="75"/>
        <v>8</v>
      </c>
      <c r="H597" s="206"/>
      <c r="I597" s="206" t="str">
        <f t="shared" si="73"/>
        <v>70115</v>
      </c>
      <c r="J597" t="str">
        <f t="shared" si="74"/>
        <v/>
      </c>
      <c r="K597" t="str">
        <f>IF(J597="","",ROWS($K$70:K597))</f>
        <v/>
      </c>
      <c r="L597" t="str">
        <f>IFERROR(SMALL($K$70:$K$846,ROWS($L$70:L597)),"")</f>
        <v/>
      </c>
      <c r="M597" t="str" cm="1">
        <f t="array" ref="M597">IFERROR(INDEX($F$70:$F$846,L597,1),"")</f>
        <v/>
      </c>
    </row>
    <row r="598" spans="1:13" x14ac:dyDescent="0.45">
      <c r="A598" t="s">
        <v>2718</v>
      </c>
      <c r="B598" s="206">
        <v>701</v>
      </c>
      <c r="C598" t="s">
        <v>3824</v>
      </c>
      <c r="D598" s="206" t="s">
        <v>3825</v>
      </c>
      <c r="E598" s="206" t="str">
        <f t="shared" si="71"/>
        <v>17</v>
      </c>
      <c r="F598" t="str">
        <f t="shared" si="72"/>
        <v>Chi cục thuế Quận 9</v>
      </c>
      <c r="G598" t="str">
        <f t="shared" si="75"/>
        <v>9</v>
      </c>
      <c r="H598" s="206"/>
      <c r="I598" s="206" t="str">
        <f t="shared" si="73"/>
        <v>70117</v>
      </c>
      <c r="J598" t="str">
        <f t="shared" si="74"/>
        <v/>
      </c>
      <c r="K598" t="str">
        <f>IF(J598="","",ROWS($K$70:K598))</f>
        <v/>
      </c>
      <c r="L598" t="str">
        <f>IFERROR(SMALL($K$70:$K$846,ROWS($L$70:L598)),"")</f>
        <v/>
      </c>
      <c r="M598" t="str" cm="1">
        <f t="array" ref="M598">IFERROR(INDEX($F$70:$F$846,L598,1),"")</f>
        <v/>
      </c>
    </row>
    <row r="599" spans="1:13" x14ac:dyDescent="0.45">
      <c r="A599" t="s">
        <v>2718</v>
      </c>
      <c r="B599" s="206">
        <v>701</v>
      </c>
      <c r="C599" t="s">
        <v>3826</v>
      </c>
      <c r="D599" s="206" t="s">
        <v>3827</v>
      </c>
      <c r="E599" s="206" t="str">
        <f t="shared" si="71"/>
        <v>19</v>
      </c>
      <c r="F599" t="str">
        <f t="shared" si="72"/>
        <v>Chi cục thuế Quận 10</v>
      </c>
      <c r="G599" t="str">
        <f t="shared" si="75"/>
        <v>10</v>
      </c>
      <c r="H599" s="206"/>
      <c r="I599" s="206" t="str">
        <f t="shared" si="73"/>
        <v>70119</v>
      </c>
      <c r="J599" t="str">
        <f t="shared" si="74"/>
        <v/>
      </c>
      <c r="K599" t="str">
        <f>IF(J599="","",ROWS($K$70:K599))</f>
        <v/>
      </c>
      <c r="L599" t="str">
        <f>IFERROR(SMALL($K$70:$K$846,ROWS($L$70:L599)),"")</f>
        <v/>
      </c>
      <c r="M599" t="str" cm="1">
        <f t="array" ref="M599">IFERROR(INDEX($F$70:$F$846,L599,1),"")</f>
        <v/>
      </c>
    </row>
    <row r="600" spans="1:13" x14ac:dyDescent="0.45">
      <c r="A600" t="s">
        <v>2718</v>
      </c>
      <c r="B600" s="206">
        <v>701</v>
      </c>
      <c r="C600" t="s">
        <v>3828</v>
      </c>
      <c r="D600" s="206" t="s">
        <v>3829</v>
      </c>
      <c r="E600" s="206" t="str">
        <f t="shared" si="71"/>
        <v>21</v>
      </c>
      <c r="F600" t="str">
        <f t="shared" si="72"/>
        <v>Chi cục thuế Quận 11</v>
      </c>
      <c r="G600" t="str">
        <f t="shared" si="75"/>
        <v>11</v>
      </c>
      <c r="H600" s="206"/>
      <c r="I600" s="206" t="str">
        <f t="shared" si="73"/>
        <v>70121</v>
      </c>
      <c r="J600" t="str">
        <f t="shared" si="74"/>
        <v/>
      </c>
      <c r="K600" t="str">
        <f>IF(J600="","",ROWS($K$70:K600))</f>
        <v/>
      </c>
      <c r="L600" t="str">
        <f>IFERROR(SMALL($K$70:$K$846,ROWS($L$70:L600)),"")</f>
        <v/>
      </c>
      <c r="M600" t="str" cm="1">
        <f t="array" ref="M600">IFERROR(INDEX($F$70:$F$846,L600,1),"")</f>
        <v/>
      </c>
    </row>
    <row r="601" spans="1:13" x14ac:dyDescent="0.45">
      <c r="A601" t="s">
        <v>2718</v>
      </c>
      <c r="B601" s="206">
        <v>701</v>
      </c>
      <c r="C601" t="s">
        <v>3830</v>
      </c>
      <c r="D601" s="206" t="s">
        <v>3831</v>
      </c>
      <c r="E601" s="206" t="str">
        <f t="shared" si="71"/>
        <v>23</v>
      </c>
      <c r="F601" t="str">
        <f t="shared" si="72"/>
        <v>Chi cục thuế Quận 12</v>
      </c>
      <c r="G601" t="str">
        <f t="shared" si="75"/>
        <v>12</v>
      </c>
      <c r="H601" s="206"/>
      <c r="I601" s="206" t="str">
        <f t="shared" si="73"/>
        <v>70123</v>
      </c>
      <c r="J601" t="str">
        <f t="shared" si="74"/>
        <v/>
      </c>
      <c r="K601" t="str">
        <f>IF(J601="","",ROWS($K$70:K601))</f>
        <v/>
      </c>
      <c r="L601" t="str">
        <f>IFERROR(SMALL($K$70:$K$846,ROWS($L$70:L601)),"")</f>
        <v/>
      </c>
      <c r="M601" t="str" cm="1">
        <f t="array" ref="M601">IFERROR(INDEX($F$70:$F$846,L601,1),"")</f>
        <v/>
      </c>
    </row>
    <row r="602" spans="1:13" x14ac:dyDescent="0.45">
      <c r="A602" t="s">
        <v>2718</v>
      </c>
      <c r="B602" s="206">
        <v>701</v>
      </c>
      <c r="C602" t="s">
        <v>3832</v>
      </c>
      <c r="D602" s="206" t="s">
        <v>3833</v>
      </c>
      <c r="E602" s="206" t="str">
        <f t="shared" si="71"/>
        <v>25</v>
      </c>
      <c r="F602" t="str">
        <f t="shared" si="72"/>
        <v>Chi cục thuế Quận Gò Vấp</v>
      </c>
      <c r="G602" t="str">
        <f t="shared" si="75"/>
        <v>Gò Vấp</v>
      </c>
      <c r="H602" s="206"/>
      <c r="I602" s="206" t="str">
        <f t="shared" si="73"/>
        <v>70125</v>
      </c>
      <c r="J602" t="str">
        <f t="shared" si="74"/>
        <v/>
      </c>
      <c r="K602" t="str">
        <f>IF(J602="","",ROWS($K$70:K602))</f>
        <v/>
      </c>
      <c r="L602" t="str">
        <f>IFERROR(SMALL($K$70:$K$846,ROWS($L$70:L602)),"")</f>
        <v/>
      </c>
      <c r="M602" t="str" cm="1">
        <f t="array" ref="M602">IFERROR(INDEX($F$70:$F$846,L602,1),"")</f>
        <v/>
      </c>
    </row>
    <row r="603" spans="1:13" x14ac:dyDescent="0.45">
      <c r="A603" t="s">
        <v>2718</v>
      </c>
      <c r="B603" s="206">
        <v>701</v>
      </c>
      <c r="C603" t="s">
        <v>3834</v>
      </c>
      <c r="D603" s="206" t="s">
        <v>3835</v>
      </c>
      <c r="E603" s="206" t="str">
        <f t="shared" si="71"/>
        <v>27</v>
      </c>
      <c r="F603" t="str">
        <f t="shared" si="72"/>
        <v>Chi cục thuế Quận Tân Bình</v>
      </c>
      <c r="G603" t="str">
        <f t="shared" si="75"/>
        <v>Tân Bình</v>
      </c>
      <c r="H603" s="206"/>
      <c r="I603" s="206" t="str">
        <f t="shared" si="73"/>
        <v>70127</v>
      </c>
      <c r="J603" t="str">
        <f t="shared" si="74"/>
        <v/>
      </c>
      <c r="K603" t="str">
        <f>IF(J603="","",ROWS($K$70:K603))</f>
        <v/>
      </c>
      <c r="L603" t="str">
        <f>IFERROR(SMALL($K$70:$K$846,ROWS($L$70:L603)),"")</f>
        <v/>
      </c>
      <c r="M603" t="str" cm="1">
        <f t="array" ref="M603">IFERROR(INDEX($F$70:$F$846,L603,1),"")</f>
        <v/>
      </c>
    </row>
    <row r="604" spans="1:13" x14ac:dyDescent="0.45">
      <c r="A604" t="s">
        <v>2718</v>
      </c>
      <c r="B604" s="206">
        <v>701</v>
      </c>
      <c r="C604" t="s">
        <v>3836</v>
      </c>
      <c r="D604" s="206" t="s">
        <v>3837</v>
      </c>
      <c r="E604" s="206" t="str">
        <f t="shared" si="71"/>
        <v>28</v>
      </c>
      <c r="F604" t="str">
        <f t="shared" si="72"/>
        <v>Chi cục thuế Quận Tân phú</v>
      </c>
      <c r="G604" t="str">
        <f t="shared" si="75"/>
        <v>Tân phú</v>
      </c>
      <c r="H604" s="206"/>
      <c r="I604" s="206" t="str">
        <f t="shared" si="73"/>
        <v>70128</v>
      </c>
      <c r="J604" t="str">
        <f t="shared" si="74"/>
        <v/>
      </c>
      <c r="K604" t="str">
        <f>IF(J604="","",ROWS($K$70:K604))</f>
        <v/>
      </c>
      <c r="L604" t="str">
        <f>IFERROR(SMALL($K$70:$K$846,ROWS($L$70:L604)),"")</f>
        <v/>
      </c>
      <c r="M604" t="str" cm="1">
        <f t="array" ref="M604">IFERROR(INDEX($F$70:$F$846,L604,1),"")</f>
        <v/>
      </c>
    </row>
    <row r="605" spans="1:13" x14ac:dyDescent="0.45">
      <c r="A605" t="s">
        <v>2718</v>
      </c>
      <c r="B605" s="206">
        <v>701</v>
      </c>
      <c r="C605" t="s">
        <v>3838</v>
      </c>
      <c r="D605" s="206" t="s">
        <v>3839</v>
      </c>
      <c r="E605" s="206" t="str">
        <f t="shared" si="71"/>
        <v>29</v>
      </c>
      <c r="F605" t="str">
        <f t="shared" si="72"/>
        <v>Chi cục thuế Quận Bình Thạnh</v>
      </c>
      <c r="G605" t="str">
        <f t="shared" si="75"/>
        <v>Bình Thạnh</v>
      </c>
      <c r="H605" s="206"/>
      <c r="I605" s="206" t="str">
        <f t="shared" si="73"/>
        <v>70129</v>
      </c>
      <c r="J605" t="str">
        <f t="shared" si="74"/>
        <v/>
      </c>
      <c r="K605" t="str">
        <f>IF(J605="","",ROWS($K$70:K605))</f>
        <v/>
      </c>
      <c r="L605" t="str">
        <f>IFERROR(SMALL($K$70:$K$846,ROWS($L$70:L605)),"")</f>
        <v/>
      </c>
      <c r="M605" t="str" cm="1">
        <f t="array" ref="M605">IFERROR(INDEX($F$70:$F$846,L605,1),"")</f>
        <v/>
      </c>
    </row>
    <row r="606" spans="1:13" x14ac:dyDescent="0.45">
      <c r="A606" t="s">
        <v>2718</v>
      </c>
      <c r="B606" s="206">
        <v>701</v>
      </c>
      <c r="C606" t="s">
        <v>3840</v>
      </c>
      <c r="D606" s="206" t="s">
        <v>3841</v>
      </c>
      <c r="E606" s="206" t="str">
        <f t="shared" si="71"/>
        <v>31</v>
      </c>
      <c r="F606" t="str">
        <f t="shared" si="72"/>
        <v>Chi cục thuế Quận Phú Nhuận</v>
      </c>
      <c r="G606" t="str">
        <f t="shared" si="75"/>
        <v>Phú Nhuận</v>
      </c>
      <c r="H606" s="206"/>
      <c r="I606" s="206" t="str">
        <f t="shared" si="73"/>
        <v>70131</v>
      </c>
      <c r="J606" t="str">
        <f t="shared" si="74"/>
        <v/>
      </c>
      <c r="K606" t="str">
        <f>IF(J606="","",ROWS($K$70:K606))</f>
        <v/>
      </c>
      <c r="L606" t="str">
        <f>IFERROR(SMALL($K$70:$K$846,ROWS($L$70:L606)),"")</f>
        <v/>
      </c>
      <c r="M606" t="str" cm="1">
        <f t="array" ref="M606">IFERROR(INDEX($F$70:$F$846,L606,1),"")</f>
        <v/>
      </c>
    </row>
    <row r="607" spans="1:13" x14ac:dyDescent="0.45">
      <c r="A607" t="s">
        <v>2718</v>
      </c>
      <c r="B607" s="206">
        <v>701</v>
      </c>
      <c r="C607" t="s">
        <v>3842</v>
      </c>
      <c r="D607" s="206" t="s">
        <v>3843</v>
      </c>
      <c r="E607" s="206" t="str">
        <f t="shared" si="71"/>
        <v>33</v>
      </c>
      <c r="F607" t="str">
        <f t="shared" si="72"/>
        <v>Chi cục thuế Quận Thủ Đức</v>
      </c>
      <c r="G607" t="str">
        <f t="shared" si="75"/>
        <v>Thủ Đức</v>
      </c>
      <c r="H607" s="206"/>
      <c r="I607" s="206" t="str">
        <f t="shared" si="73"/>
        <v>70133</v>
      </c>
      <c r="J607" t="str">
        <f t="shared" si="74"/>
        <v/>
      </c>
      <c r="K607" t="str">
        <f>IF(J607="","",ROWS($K$70:K607))</f>
        <v/>
      </c>
      <c r="L607" t="str">
        <f>IFERROR(SMALL($K$70:$K$846,ROWS($L$70:L607)),"")</f>
        <v/>
      </c>
      <c r="M607" t="str" cm="1">
        <f t="array" ref="M607">IFERROR(INDEX($F$70:$F$846,L607,1),"")</f>
        <v/>
      </c>
    </row>
    <row r="608" spans="1:13" x14ac:dyDescent="0.45">
      <c r="A608" t="s">
        <v>2718</v>
      </c>
      <c r="B608" s="206">
        <v>701</v>
      </c>
      <c r="C608" t="s">
        <v>3844</v>
      </c>
      <c r="D608" s="206" t="s">
        <v>3845</v>
      </c>
      <c r="E608" s="206" t="str">
        <f t="shared" si="71"/>
        <v>34</v>
      </c>
      <c r="F608" t="str">
        <f t="shared" si="72"/>
        <v>Chi cục thuế Quận Bình Tân</v>
      </c>
      <c r="G608" t="str">
        <f t="shared" si="75"/>
        <v>Bình Tân</v>
      </c>
      <c r="H608" s="206"/>
      <c r="I608" s="206" t="str">
        <f t="shared" si="73"/>
        <v>70134</v>
      </c>
      <c r="J608" t="str">
        <f t="shared" si="74"/>
        <v/>
      </c>
      <c r="K608" t="str">
        <f>IF(J608="","",ROWS($K$70:K608))</f>
        <v/>
      </c>
      <c r="L608" t="str">
        <f>IFERROR(SMALL($K$70:$K$846,ROWS($L$70:L608)),"")</f>
        <v/>
      </c>
      <c r="M608" t="str" cm="1">
        <f t="array" ref="M608">IFERROR(INDEX($F$70:$F$846,L608,1),"")</f>
        <v/>
      </c>
    </row>
    <row r="609" spans="1:13" x14ac:dyDescent="0.45">
      <c r="A609" t="s">
        <v>2718</v>
      </c>
      <c r="B609" s="206">
        <v>701</v>
      </c>
      <c r="C609" t="s">
        <v>3846</v>
      </c>
      <c r="D609" s="206" t="s">
        <v>3847</v>
      </c>
      <c r="E609" s="206" t="str">
        <f t="shared" si="71"/>
        <v>35</v>
      </c>
      <c r="F609" t="str">
        <f t="shared" si="72"/>
        <v>Chi cục thuế Huyện Củ Chi</v>
      </c>
      <c r="G609" t="str">
        <f>RIGHT(C609,LEN(C609)-6)</f>
        <v>Củ Chi</v>
      </c>
      <c r="H609" s="206"/>
      <c r="I609" s="206" t="str">
        <f t="shared" si="73"/>
        <v>70135</v>
      </c>
      <c r="J609" t="str">
        <f t="shared" si="74"/>
        <v/>
      </c>
      <c r="K609" t="str">
        <f>IF(J609="","",ROWS($K$70:K609))</f>
        <v/>
      </c>
      <c r="L609" t="str">
        <f>IFERROR(SMALL($K$70:$K$846,ROWS($L$70:L609)),"")</f>
        <v/>
      </c>
      <c r="M609" t="str" cm="1">
        <f t="array" ref="M609">IFERROR(INDEX($F$70:$F$846,L609,1),"")</f>
        <v/>
      </c>
    </row>
    <row r="610" spans="1:13" x14ac:dyDescent="0.45">
      <c r="A610" t="s">
        <v>2718</v>
      </c>
      <c r="B610" s="206">
        <v>701</v>
      </c>
      <c r="C610" t="s">
        <v>3848</v>
      </c>
      <c r="D610" s="206" t="s">
        <v>3849</v>
      </c>
      <c r="E610" s="206" t="str">
        <f t="shared" si="71"/>
        <v>37</v>
      </c>
      <c r="F610" t="str">
        <f t="shared" si="72"/>
        <v>Chi cục thuế Huyện Hóc Môn</v>
      </c>
      <c r="G610" t="str">
        <f>RIGHT(C610,LEN(C610)-6)</f>
        <v>Hóc Môn</v>
      </c>
      <c r="H610" s="206"/>
      <c r="I610" s="206" t="str">
        <f t="shared" si="73"/>
        <v>70137</v>
      </c>
      <c r="J610" t="str">
        <f t="shared" si="74"/>
        <v/>
      </c>
      <c r="K610" t="str">
        <f>IF(J610="","",ROWS($K$70:K610))</f>
        <v/>
      </c>
      <c r="L610" t="str">
        <f>IFERROR(SMALL($K$70:$K$846,ROWS($L$70:L610)),"")</f>
        <v/>
      </c>
      <c r="M610" t="str" cm="1">
        <f t="array" ref="M610">IFERROR(INDEX($F$70:$F$846,L610,1),"")</f>
        <v/>
      </c>
    </row>
    <row r="611" spans="1:13" x14ac:dyDescent="0.45">
      <c r="A611" t="s">
        <v>2718</v>
      </c>
      <c r="B611" s="206">
        <v>701</v>
      </c>
      <c r="C611" t="s">
        <v>3850</v>
      </c>
      <c r="D611" s="206" t="s">
        <v>3851</v>
      </c>
      <c r="E611" s="206" t="str">
        <f t="shared" si="71"/>
        <v>39</v>
      </c>
      <c r="F611" t="str">
        <f t="shared" si="72"/>
        <v>Chi cục thuế Huyện Bình Chánh</v>
      </c>
      <c r="G611" t="str">
        <f>RIGHT(C611,LEN(C611)-6)</f>
        <v>Bình Chánh</v>
      </c>
      <c r="H611" s="206"/>
      <c r="I611" s="206" t="str">
        <f t="shared" si="73"/>
        <v>70139</v>
      </c>
      <c r="J611" t="str">
        <f t="shared" si="74"/>
        <v/>
      </c>
      <c r="K611" t="str">
        <f>IF(J611="","",ROWS($K$70:K611))</f>
        <v/>
      </c>
      <c r="L611" t="str">
        <f>IFERROR(SMALL($K$70:$K$846,ROWS($L$70:L611)),"")</f>
        <v/>
      </c>
      <c r="M611" t="str" cm="1">
        <f t="array" ref="M611">IFERROR(INDEX($F$70:$F$846,L611,1),"")</f>
        <v/>
      </c>
    </row>
    <row r="612" spans="1:13" x14ac:dyDescent="0.45">
      <c r="A612" t="s">
        <v>2718</v>
      </c>
      <c r="B612" s="206">
        <v>701</v>
      </c>
      <c r="C612" t="s">
        <v>3852</v>
      </c>
      <c r="D612" s="206" t="s">
        <v>3853</v>
      </c>
      <c r="E612" s="206" t="str">
        <f t="shared" si="71"/>
        <v>41</v>
      </c>
      <c r="F612" t="str">
        <f t="shared" si="72"/>
        <v>Chi cục thuế Huyện Nhà Bè</v>
      </c>
      <c r="G612" t="str">
        <f>RIGHT(C612,LEN(C612)-6)</f>
        <v>Nhà Bè</v>
      </c>
      <c r="H612" s="206"/>
      <c r="I612" s="206" t="str">
        <f t="shared" si="73"/>
        <v>70141</v>
      </c>
      <c r="J612" t="str">
        <f t="shared" si="74"/>
        <v/>
      </c>
      <c r="K612" t="str">
        <f>IF(J612="","",ROWS($K$70:K612))</f>
        <v/>
      </c>
      <c r="L612" t="str">
        <f>IFERROR(SMALL($K$70:$K$846,ROWS($L$70:L612)),"")</f>
        <v/>
      </c>
      <c r="M612" t="str" cm="1">
        <f t="array" ref="M612">IFERROR(INDEX($F$70:$F$846,L612,1),"")</f>
        <v/>
      </c>
    </row>
    <row r="613" spans="1:13" x14ac:dyDescent="0.45">
      <c r="A613" t="s">
        <v>2718</v>
      </c>
      <c r="B613" s="206">
        <v>701</v>
      </c>
      <c r="C613" t="s">
        <v>3854</v>
      </c>
      <c r="D613" s="206" t="s">
        <v>3855</v>
      </c>
      <c r="E613" s="206" t="str">
        <f t="shared" si="71"/>
        <v>43</v>
      </c>
      <c r="F613" t="str">
        <f t="shared" si="72"/>
        <v>Chi cục thuế Huyện Cần Giờ</v>
      </c>
      <c r="G613" t="str">
        <f>RIGHT(C613,LEN(C613)-6)</f>
        <v>Cần Giờ</v>
      </c>
      <c r="H613" s="206"/>
      <c r="I613" s="206" t="str">
        <f t="shared" si="73"/>
        <v>70143</v>
      </c>
      <c r="J613" t="str">
        <f t="shared" si="74"/>
        <v/>
      </c>
      <c r="K613" t="str">
        <f>IF(J613="","",ROWS($K$70:K613))</f>
        <v/>
      </c>
      <c r="L613" t="str">
        <f>IFERROR(SMALL($K$70:$K$846,ROWS($L$70:L613)),"")</f>
        <v/>
      </c>
      <c r="M613" t="str" cm="1">
        <f t="array" ref="M613">IFERROR(INDEX($F$70:$F$846,L613,1),"")</f>
        <v/>
      </c>
    </row>
    <row r="614" spans="1:13" x14ac:dyDescent="0.45">
      <c r="A614" t="s">
        <v>2672</v>
      </c>
      <c r="B614" s="206" t="s">
        <v>3856</v>
      </c>
      <c r="C614" t="s">
        <v>3857</v>
      </c>
      <c r="D614" s="206" t="s">
        <v>3858</v>
      </c>
      <c r="E614" s="206" t="str">
        <f t="shared" si="71"/>
        <v>00</v>
      </c>
      <c r="F614" t="str">
        <f t="shared" si="72"/>
        <v>Cục thuế Tỉnh Lâm Đồng</v>
      </c>
      <c r="H614" s="206" t="str">
        <f>IF(E615="01",A615,"")</f>
        <v>Lâm Đồng</v>
      </c>
      <c r="I614" s="206" t="str">
        <f t="shared" si="73"/>
        <v>70300</v>
      </c>
      <c r="J614" t="str">
        <f t="shared" si="74"/>
        <v/>
      </c>
      <c r="K614" t="str">
        <f>IF(J614="","",ROWS($K$70:K614))</f>
        <v/>
      </c>
      <c r="L614" t="str">
        <f>IFERROR(SMALL($K$70:$K$846,ROWS($L$70:L614)),"")</f>
        <v/>
      </c>
      <c r="M614" t="str" cm="1">
        <f t="array" ref="M614">IFERROR(INDEX($F$70:$F$846,L614,1),"")</f>
        <v/>
      </c>
    </row>
    <row r="615" spans="1:13" x14ac:dyDescent="0.45">
      <c r="A615" t="s">
        <v>2672</v>
      </c>
      <c r="B615" s="206">
        <v>703</v>
      </c>
      <c r="C615" t="s">
        <v>3859</v>
      </c>
      <c r="D615" s="206" t="s">
        <v>3860</v>
      </c>
      <c r="E615" s="206" t="str">
        <f t="shared" si="71"/>
        <v>01</v>
      </c>
      <c r="F615" t="str">
        <f t="shared" si="72"/>
        <v>Chi cục thuế Thành phố Đà Lạt</v>
      </c>
      <c r="H615" s="206"/>
      <c r="I615" s="206" t="str">
        <f t="shared" si="73"/>
        <v>70301</v>
      </c>
      <c r="J615" t="str">
        <f t="shared" si="74"/>
        <v/>
      </c>
      <c r="K615" t="str">
        <f>IF(J615="","",ROWS($K$70:K615))</f>
        <v/>
      </c>
      <c r="L615" t="str">
        <f>IFERROR(SMALL($K$70:$K$846,ROWS($L$70:L615)),"")</f>
        <v/>
      </c>
      <c r="M615" t="str" cm="1">
        <f t="array" ref="M615">IFERROR(INDEX($F$70:$F$846,L615,1),"")</f>
        <v/>
      </c>
    </row>
    <row r="616" spans="1:13" x14ac:dyDescent="0.45">
      <c r="A616" t="s">
        <v>2672</v>
      </c>
      <c r="B616" s="206">
        <v>703</v>
      </c>
      <c r="C616" t="s">
        <v>3861</v>
      </c>
      <c r="D616" s="206" t="s">
        <v>3862</v>
      </c>
      <c r="E616" s="206" t="str">
        <f t="shared" si="71"/>
        <v>03</v>
      </c>
      <c r="F616" t="str">
        <f t="shared" si="72"/>
        <v>Chi cục thuế Thành phố Bảo Lộc</v>
      </c>
      <c r="H616" s="206"/>
      <c r="I616" s="206" t="str">
        <f t="shared" si="73"/>
        <v>70303</v>
      </c>
      <c r="J616" t="str">
        <f t="shared" si="74"/>
        <v/>
      </c>
      <c r="K616" t="str">
        <f>IF(J616="","",ROWS($K$70:K616))</f>
        <v/>
      </c>
      <c r="L616" t="str">
        <f>IFERROR(SMALL($K$70:$K$846,ROWS($L$70:L616)),"")</f>
        <v/>
      </c>
      <c r="M616" t="str" cm="1">
        <f t="array" ref="M616">IFERROR(INDEX($F$70:$F$846,L616,1),"")</f>
        <v/>
      </c>
    </row>
    <row r="617" spans="1:13" x14ac:dyDescent="0.45">
      <c r="A617" t="s">
        <v>2672</v>
      </c>
      <c r="B617" s="206">
        <v>703</v>
      </c>
      <c r="C617" t="s">
        <v>3863</v>
      </c>
      <c r="D617" s="206" t="s">
        <v>3864</v>
      </c>
      <c r="E617" s="206" t="str">
        <f t="shared" si="71"/>
        <v>05</v>
      </c>
      <c r="F617" t="str">
        <f t="shared" si="72"/>
        <v>Chi cục thuế Huyện Lạc Dương</v>
      </c>
      <c r="G617" t="str">
        <f t="shared" ref="G617:G626" si="76">RIGHT(C617,LEN(C617)-6)</f>
        <v>Lạc Dương</v>
      </c>
      <c r="H617" s="206"/>
      <c r="I617" s="206" t="str">
        <f t="shared" si="73"/>
        <v>70305</v>
      </c>
      <c r="J617" t="str">
        <f t="shared" si="74"/>
        <v/>
      </c>
      <c r="K617" t="str">
        <f>IF(J617="","",ROWS($K$70:K617))</f>
        <v/>
      </c>
      <c r="L617" t="str">
        <f>IFERROR(SMALL($K$70:$K$846,ROWS($L$70:L617)),"")</f>
        <v/>
      </c>
      <c r="M617" t="str" cm="1">
        <f t="array" ref="M617">IFERROR(INDEX($F$70:$F$846,L617,1),"")</f>
        <v/>
      </c>
    </row>
    <row r="618" spans="1:13" x14ac:dyDescent="0.45">
      <c r="A618" t="s">
        <v>2672</v>
      </c>
      <c r="B618" s="206">
        <v>703</v>
      </c>
      <c r="C618" t="s">
        <v>3865</v>
      </c>
      <c r="D618" s="206" t="s">
        <v>3866</v>
      </c>
      <c r="E618" s="206" t="str">
        <f t="shared" si="71"/>
        <v>07</v>
      </c>
      <c r="F618" t="str">
        <f t="shared" si="72"/>
        <v>Chi cục thuế Huyện Đơn Dương</v>
      </c>
      <c r="G618" t="str">
        <f t="shared" si="76"/>
        <v>Đơn Dương</v>
      </c>
      <c r="H618" s="206"/>
      <c r="I618" s="206" t="str">
        <f t="shared" si="73"/>
        <v>70307</v>
      </c>
      <c r="J618" t="str">
        <f t="shared" si="74"/>
        <v/>
      </c>
      <c r="K618" t="str">
        <f>IF(J618="","",ROWS($K$70:K618))</f>
        <v/>
      </c>
      <c r="L618" t="str">
        <f>IFERROR(SMALL($K$70:$K$846,ROWS($L$70:L618)),"")</f>
        <v/>
      </c>
      <c r="M618" t="str" cm="1">
        <f t="array" ref="M618">IFERROR(INDEX($F$70:$F$846,L618,1),"")</f>
        <v/>
      </c>
    </row>
    <row r="619" spans="1:13" x14ac:dyDescent="0.45">
      <c r="A619" t="s">
        <v>2672</v>
      </c>
      <c r="B619" s="206">
        <v>703</v>
      </c>
      <c r="C619" t="s">
        <v>3867</v>
      </c>
      <c r="D619" s="206" t="s">
        <v>3868</v>
      </c>
      <c r="E619" s="206" t="str">
        <f t="shared" si="71"/>
        <v>09</v>
      </c>
      <c r="F619" t="str">
        <f t="shared" si="72"/>
        <v>Chi cục thuế Huyện Đức Trọng</v>
      </c>
      <c r="G619" t="str">
        <f t="shared" si="76"/>
        <v>Đức Trọng</v>
      </c>
      <c r="H619" s="206"/>
      <c r="I619" s="206" t="str">
        <f t="shared" si="73"/>
        <v>70309</v>
      </c>
      <c r="J619" t="str">
        <f t="shared" si="74"/>
        <v/>
      </c>
      <c r="K619" t="str">
        <f>IF(J619="","",ROWS($K$70:K619))</f>
        <v/>
      </c>
      <c r="L619" t="str">
        <f>IFERROR(SMALL($K$70:$K$846,ROWS($L$70:L619)),"")</f>
        <v/>
      </c>
      <c r="M619" t="str" cm="1">
        <f t="array" ref="M619">IFERROR(INDEX($F$70:$F$846,L619,1),"")</f>
        <v/>
      </c>
    </row>
    <row r="620" spans="1:13" x14ac:dyDescent="0.45">
      <c r="A620" t="s">
        <v>2672</v>
      </c>
      <c r="B620" s="206">
        <v>703</v>
      </c>
      <c r="C620" t="s">
        <v>3869</v>
      </c>
      <c r="D620" s="206" t="s">
        <v>3870</v>
      </c>
      <c r="E620" s="206" t="str">
        <f t="shared" si="71"/>
        <v>11</v>
      </c>
      <c r="F620" t="str">
        <f t="shared" si="72"/>
        <v>Chi cục thuế Huyện Lâm Hà</v>
      </c>
      <c r="G620" t="str">
        <f t="shared" si="76"/>
        <v>Lâm Hà</v>
      </c>
      <c r="H620" s="206"/>
      <c r="I620" s="206" t="str">
        <f t="shared" si="73"/>
        <v>70311</v>
      </c>
      <c r="J620" t="str">
        <f t="shared" si="74"/>
        <v/>
      </c>
      <c r="K620" t="str">
        <f>IF(J620="","",ROWS($K$70:K620))</f>
        <v/>
      </c>
      <c r="L620" t="str">
        <f>IFERROR(SMALL($K$70:$K$846,ROWS($L$70:L620)),"")</f>
        <v/>
      </c>
      <c r="M620" t="str" cm="1">
        <f t="array" ref="M620">IFERROR(INDEX($F$70:$F$846,L620,1),"")</f>
        <v/>
      </c>
    </row>
    <row r="621" spans="1:13" x14ac:dyDescent="0.45">
      <c r="A621" t="s">
        <v>2672</v>
      </c>
      <c r="B621" s="206">
        <v>703</v>
      </c>
      <c r="C621" t="s">
        <v>3871</v>
      </c>
      <c r="D621" s="206" t="s">
        <v>3872</v>
      </c>
      <c r="E621" s="206" t="str">
        <f t="shared" si="71"/>
        <v>13</v>
      </c>
      <c r="F621" t="str">
        <f t="shared" si="72"/>
        <v xml:space="preserve">Chi cục thuế Huyện Bảo Lâm </v>
      </c>
      <c r="G621" t="str">
        <f t="shared" si="76"/>
        <v xml:space="preserve">Bảo Lâm </v>
      </c>
      <c r="H621" s="206"/>
      <c r="I621" s="206" t="str">
        <f t="shared" si="73"/>
        <v>70313</v>
      </c>
      <c r="J621" t="str">
        <f t="shared" si="74"/>
        <v/>
      </c>
      <c r="K621" t="str">
        <f>IF(J621="","",ROWS($K$70:K621))</f>
        <v/>
      </c>
      <c r="L621" t="str">
        <f>IFERROR(SMALL($K$70:$K$846,ROWS($L$70:L621)),"")</f>
        <v/>
      </c>
      <c r="M621" t="str" cm="1">
        <f t="array" ref="M621">IFERROR(INDEX($F$70:$F$846,L621,1),"")</f>
        <v/>
      </c>
    </row>
    <row r="622" spans="1:13" x14ac:dyDescent="0.45">
      <c r="A622" t="s">
        <v>2672</v>
      </c>
      <c r="B622" s="206">
        <v>703</v>
      </c>
      <c r="C622" t="s">
        <v>3873</v>
      </c>
      <c r="D622" s="206" t="s">
        <v>3874</v>
      </c>
      <c r="E622" s="206" t="str">
        <f t="shared" si="71"/>
        <v>15</v>
      </c>
      <c r="F622" t="str">
        <f t="shared" si="72"/>
        <v>Chi cục thuế Huyện Di Linh</v>
      </c>
      <c r="G622" t="str">
        <f t="shared" si="76"/>
        <v>Di Linh</v>
      </c>
      <c r="H622" s="206"/>
      <c r="I622" s="206" t="str">
        <f t="shared" si="73"/>
        <v>70315</v>
      </c>
      <c r="J622" t="str">
        <f t="shared" si="74"/>
        <v/>
      </c>
      <c r="K622" t="str">
        <f>IF(J622="","",ROWS($K$70:K622))</f>
        <v/>
      </c>
      <c r="L622" t="str">
        <f>IFERROR(SMALL($K$70:$K$846,ROWS($L$70:L622)),"")</f>
        <v/>
      </c>
      <c r="M622" t="str" cm="1">
        <f t="array" ref="M622">IFERROR(INDEX($F$70:$F$846,L622,1),"")</f>
        <v/>
      </c>
    </row>
    <row r="623" spans="1:13" x14ac:dyDescent="0.45">
      <c r="A623" t="s">
        <v>2672</v>
      </c>
      <c r="B623" s="206">
        <v>703</v>
      </c>
      <c r="C623" t="s">
        <v>3875</v>
      </c>
      <c r="D623" s="206" t="s">
        <v>3876</v>
      </c>
      <c r="E623" s="206" t="str">
        <f t="shared" si="71"/>
        <v>17</v>
      </c>
      <c r="F623" t="str">
        <f t="shared" si="72"/>
        <v>Chi cục thuế Huyện Đạ Huoai</v>
      </c>
      <c r="G623" t="str">
        <f t="shared" si="76"/>
        <v>Đạ Huoai</v>
      </c>
      <c r="H623" s="206"/>
      <c r="I623" s="206" t="str">
        <f t="shared" si="73"/>
        <v>70317</v>
      </c>
      <c r="J623" t="str">
        <f t="shared" si="74"/>
        <v/>
      </c>
      <c r="K623" t="str">
        <f>IF(J623="","",ROWS($K$70:K623))</f>
        <v/>
      </c>
      <c r="L623" t="str">
        <f>IFERROR(SMALL($K$70:$K$846,ROWS($L$70:L623)),"")</f>
        <v/>
      </c>
      <c r="M623" t="str" cm="1">
        <f t="array" ref="M623">IFERROR(INDEX($F$70:$F$846,L623,1),"")</f>
        <v/>
      </c>
    </row>
    <row r="624" spans="1:13" x14ac:dyDescent="0.45">
      <c r="A624" t="s">
        <v>2672</v>
      </c>
      <c r="B624" s="206">
        <v>703</v>
      </c>
      <c r="C624" t="s">
        <v>3877</v>
      </c>
      <c r="D624" s="206" t="s">
        <v>3878</v>
      </c>
      <c r="E624" s="206" t="str">
        <f t="shared" si="71"/>
        <v>19</v>
      </c>
      <c r="F624" t="str">
        <f t="shared" si="72"/>
        <v>Chi cục thuế Huyện Đạ Tẻh</v>
      </c>
      <c r="G624" t="str">
        <f t="shared" si="76"/>
        <v>Đạ Tẻh</v>
      </c>
      <c r="H624" s="206"/>
      <c r="I624" s="206" t="str">
        <f t="shared" si="73"/>
        <v>70319</v>
      </c>
      <c r="J624" t="str">
        <f t="shared" si="74"/>
        <v/>
      </c>
      <c r="K624" t="str">
        <f>IF(J624="","",ROWS($K$70:K624))</f>
        <v/>
      </c>
      <c r="L624" t="str">
        <f>IFERROR(SMALL($K$70:$K$846,ROWS($L$70:L624)),"")</f>
        <v/>
      </c>
      <c r="M624" t="str" cm="1">
        <f t="array" ref="M624">IFERROR(INDEX($F$70:$F$846,L624,1),"")</f>
        <v/>
      </c>
    </row>
    <row r="625" spans="1:13" x14ac:dyDescent="0.45">
      <c r="A625" t="s">
        <v>2672</v>
      </c>
      <c r="B625" s="206">
        <v>703</v>
      </c>
      <c r="C625" t="s">
        <v>3879</v>
      </c>
      <c r="D625" s="206" t="s">
        <v>3880</v>
      </c>
      <c r="E625" s="206" t="str">
        <f t="shared" si="71"/>
        <v>21</v>
      </c>
      <c r="F625" t="str">
        <f t="shared" si="72"/>
        <v>Chi cục thuế Huyện Cát Tiên</v>
      </c>
      <c r="G625" t="str">
        <f t="shared" si="76"/>
        <v>Cát Tiên</v>
      </c>
      <c r="H625" s="206"/>
      <c r="I625" s="206" t="str">
        <f t="shared" si="73"/>
        <v>70321</v>
      </c>
      <c r="J625" t="str">
        <f t="shared" si="74"/>
        <v/>
      </c>
      <c r="K625" t="str">
        <f>IF(J625="","",ROWS($K$70:K625))</f>
        <v/>
      </c>
      <c r="L625" t="str">
        <f>IFERROR(SMALL($K$70:$K$846,ROWS($L$70:L625)),"")</f>
        <v/>
      </c>
      <c r="M625" t="str" cm="1">
        <f t="array" ref="M625">IFERROR(INDEX($F$70:$F$846,L625,1),"")</f>
        <v/>
      </c>
    </row>
    <row r="626" spans="1:13" x14ac:dyDescent="0.45">
      <c r="A626" t="s">
        <v>2672</v>
      </c>
      <c r="B626" s="206">
        <v>703</v>
      </c>
      <c r="C626" t="s">
        <v>3881</v>
      </c>
      <c r="D626" s="206" t="s">
        <v>3882</v>
      </c>
      <c r="E626" s="206" t="str">
        <f t="shared" si="71"/>
        <v>23</v>
      </c>
      <c r="F626" t="str">
        <f t="shared" si="72"/>
        <v>Chi cục thuế Huyện Đam Rông</v>
      </c>
      <c r="G626" t="str">
        <f t="shared" si="76"/>
        <v>Đam Rông</v>
      </c>
      <c r="H626" s="206"/>
      <c r="I626" s="206" t="str">
        <f t="shared" si="73"/>
        <v>70323</v>
      </c>
      <c r="J626" t="str">
        <f t="shared" si="74"/>
        <v/>
      </c>
      <c r="K626" t="str">
        <f>IF(J626="","",ROWS($K$70:K626))</f>
        <v/>
      </c>
      <c r="L626" t="str">
        <f>IFERROR(SMALL($K$70:$K$846,ROWS($L$70:L626)),"")</f>
        <v/>
      </c>
      <c r="M626" t="str" cm="1">
        <f t="array" ref="M626">IFERROR(INDEX($F$70:$F$846,L626,1),"")</f>
        <v/>
      </c>
    </row>
    <row r="627" spans="1:13" x14ac:dyDescent="0.45">
      <c r="A627" t="s">
        <v>2686</v>
      </c>
      <c r="B627" s="206" t="s">
        <v>3883</v>
      </c>
      <c r="C627" t="s">
        <v>3884</v>
      </c>
      <c r="D627" s="206" t="s">
        <v>3885</v>
      </c>
      <c r="E627" s="206" t="str">
        <f t="shared" si="71"/>
        <v>00</v>
      </c>
      <c r="F627" t="str">
        <f t="shared" si="72"/>
        <v>Cục thuế Tỉnh Ninh Thuận</v>
      </c>
      <c r="H627" s="206" t="str">
        <f>IF(E628="01",A628,"")</f>
        <v>Ninh Thuận</v>
      </c>
      <c r="I627" s="206" t="str">
        <f t="shared" si="73"/>
        <v>70500</v>
      </c>
      <c r="J627" t="str">
        <f t="shared" si="74"/>
        <v/>
      </c>
      <c r="K627" t="str">
        <f>IF(J627="","",ROWS($K$70:K627))</f>
        <v/>
      </c>
      <c r="L627" t="str">
        <f>IFERROR(SMALL($K$70:$K$846,ROWS($L$70:L627)),"")</f>
        <v/>
      </c>
      <c r="M627" t="str" cm="1">
        <f t="array" ref="M627">IFERROR(INDEX($F$70:$F$846,L627,1),"")</f>
        <v/>
      </c>
    </row>
    <row r="628" spans="1:13" x14ac:dyDescent="0.45">
      <c r="A628" t="s">
        <v>2686</v>
      </c>
      <c r="B628" s="206">
        <v>705</v>
      </c>
      <c r="C628" t="s">
        <v>3886</v>
      </c>
      <c r="D628" s="206" t="s">
        <v>3887</v>
      </c>
      <c r="E628" s="206" t="str">
        <f t="shared" si="71"/>
        <v>01</v>
      </c>
      <c r="F628" t="str">
        <f t="shared" si="72"/>
        <v>Chi cục thuế TP. Phan Rang-Tháp Chàm</v>
      </c>
      <c r="H628" s="206"/>
      <c r="I628" s="206" t="str">
        <f t="shared" si="73"/>
        <v>70501</v>
      </c>
      <c r="J628" t="str">
        <f t="shared" si="74"/>
        <v/>
      </c>
      <c r="K628" t="str">
        <f>IF(J628="","",ROWS($K$70:K628))</f>
        <v/>
      </c>
      <c r="L628" t="str">
        <f>IFERROR(SMALL($K$70:$K$846,ROWS($L$70:L628)),"")</f>
        <v/>
      </c>
      <c r="M628" t="str" cm="1">
        <f t="array" ref="M628">IFERROR(INDEX($F$70:$F$846,L628,1),"")</f>
        <v/>
      </c>
    </row>
    <row r="629" spans="1:13" x14ac:dyDescent="0.45">
      <c r="A629" t="s">
        <v>2686</v>
      </c>
      <c r="B629" s="206">
        <v>705</v>
      </c>
      <c r="C629" t="s">
        <v>3888</v>
      </c>
      <c r="D629" s="206" t="s">
        <v>3889</v>
      </c>
      <c r="E629" s="206" t="str">
        <f t="shared" si="71"/>
        <v>03</v>
      </c>
      <c r="F629" t="str">
        <f t="shared" si="72"/>
        <v>Chi cục thuế Huyện Ninh Sơn</v>
      </c>
      <c r="G629" t="str">
        <f t="shared" ref="G629:G634" si="77">RIGHT(C629,LEN(C629)-6)</f>
        <v>Ninh Sơn</v>
      </c>
      <c r="H629" s="206"/>
      <c r="I629" s="206" t="str">
        <f t="shared" si="73"/>
        <v>70503</v>
      </c>
      <c r="J629" t="str">
        <f t="shared" si="74"/>
        <v/>
      </c>
      <c r="K629" t="str">
        <f>IF(J629="","",ROWS($K$70:K629))</f>
        <v/>
      </c>
      <c r="L629" t="str">
        <f>IFERROR(SMALL($K$70:$K$846,ROWS($L$70:L629)),"")</f>
        <v/>
      </c>
      <c r="M629" t="str" cm="1">
        <f t="array" ref="M629">IFERROR(INDEX($F$70:$F$846,L629,1),"")</f>
        <v/>
      </c>
    </row>
    <row r="630" spans="1:13" x14ac:dyDescent="0.45">
      <c r="A630" t="s">
        <v>2686</v>
      </c>
      <c r="B630" s="206">
        <v>705</v>
      </c>
      <c r="C630" t="s">
        <v>3890</v>
      </c>
      <c r="D630" s="206" t="s">
        <v>3891</v>
      </c>
      <c r="E630" s="206" t="str">
        <f t="shared" si="71"/>
        <v>05</v>
      </c>
      <c r="F630" t="str">
        <f t="shared" si="72"/>
        <v>Chi cục thuế Huyện Ninh Hải</v>
      </c>
      <c r="G630" t="str">
        <f t="shared" si="77"/>
        <v>Ninh Hải</v>
      </c>
      <c r="H630" s="206"/>
      <c r="I630" s="206" t="str">
        <f t="shared" si="73"/>
        <v>70505</v>
      </c>
      <c r="J630" t="str">
        <f t="shared" si="74"/>
        <v/>
      </c>
      <c r="K630" t="str">
        <f>IF(J630="","",ROWS($K$70:K630))</f>
        <v/>
      </c>
      <c r="L630" t="str">
        <f>IFERROR(SMALL($K$70:$K$846,ROWS($L$70:L630)),"")</f>
        <v/>
      </c>
      <c r="M630" t="str" cm="1">
        <f t="array" ref="M630">IFERROR(INDEX($F$70:$F$846,L630,1),"")</f>
        <v/>
      </c>
    </row>
    <row r="631" spans="1:13" x14ac:dyDescent="0.45">
      <c r="A631" t="s">
        <v>2686</v>
      </c>
      <c r="B631" s="206">
        <v>705</v>
      </c>
      <c r="C631" t="s">
        <v>3892</v>
      </c>
      <c r="D631" s="206" t="s">
        <v>3893</v>
      </c>
      <c r="E631" s="206" t="str">
        <f t="shared" si="71"/>
        <v>07</v>
      </c>
      <c r="F631" t="str">
        <f t="shared" si="72"/>
        <v>Chi cục thuế Huyện Ninh Phước</v>
      </c>
      <c r="G631" t="str">
        <f t="shared" si="77"/>
        <v>Ninh Phước</v>
      </c>
      <c r="H631" s="206"/>
      <c r="I631" s="206" t="str">
        <f t="shared" si="73"/>
        <v>70507</v>
      </c>
      <c r="J631" t="str">
        <f t="shared" si="74"/>
        <v/>
      </c>
      <c r="K631" t="str">
        <f>IF(J631="","",ROWS($K$70:K631))</f>
        <v/>
      </c>
      <c r="L631" t="str">
        <f>IFERROR(SMALL($K$70:$K$846,ROWS($L$70:L631)),"")</f>
        <v/>
      </c>
      <c r="M631" t="str" cm="1">
        <f t="array" ref="M631">IFERROR(INDEX($F$70:$F$846,L631,1),"")</f>
        <v/>
      </c>
    </row>
    <row r="632" spans="1:13" x14ac:dyDescent="0.45">
      <c r="A632" t="s">
        <v>2686</v>
      </c>
      <c r="B632" s="206">
        <v>705</v>
      </c>
      <c r="C632" t="s">
        <v>3894</v>
      </c>
      <c r="D632" s="206" t="s">
        <v>3895</v>
      </c>
      <c r="E632" s="206" t="str">
        <f t="shared" si="71"/>
        <v>09</v>
      </c>
      <c r="F632" t="str">
        <f t="shared" si="72"/>
        <v>Chi cục thuế Huyện Bác ái</v>
      </c>
      <c r="G632" t="str">
        <f t="shared" si="77"/>
        <v>Bác ái</v>
      </c>
      <c r="H632" s="206"/>
      <c r="I632" s="206" t="str">
        <f t="shared" si="73"/>
        <v>70509</v>
      </c>
      <c r="J632" t="str">
        <f t="shared" si="74"/>
        <v/>
      </c>
      <c r="K632" t="str">
        <f>IF(J632="","",ROWS($K$70:K632))</f>
        <v/>
      </c>
      <c r="L632" t="str">
        <f>IFERROR(SMALL($K$70:$K$846,ROWS($L$70:L632)),"")</f>
        <v/>
      </c>
      <c r="M632" t="str" cm="1">
        <f t="array" ref="M632">IFERROR(INDEX($F$70:$F$846,L632,1),"")</f>
        <v/>
      </c>
    </row>
    <row r="633" spans="1:13" x14ac:dyDescent="0.45">
      <c r="A633" t="s">
        <v>2686</v>
      </c>
      <c r="B633" s="206">
        <v>705</v>
      </c>
      <c r="C633" t="s">
        <v>3896</v>
      </c>
      <c r="D633" s="206" t="s">
        <v>3897</v>
      </c>
      <c r="E633" s="206" t="str">
        <f t="shared" si="71"/>
        <v>11</v>
      </c>
      <c r="F633" t="str">
        <f t="shared" si="72"/>
        <v>Chi cục thuế Huyện Thuận Bắc</v>
      </c>
      <c r="G633" t="str">
        <f t="shared" si="77"/>
        <v>Thuận Bắc</v>
      </c>
      <c r="H633" s="206"/>
      <c r="I633" s="206" t="str">
        <f t="shared" si="73"/>
        <v>70511</v>
      </c>
      <c r="J633" t="str">
        <f t="shared" si="74"/>
        <v/>
      </c>
      <c r="K633" t="str">
        <f>IF(J633="","",ROWS($K$70:K633))</f>
        <v/>
      </c>
      <c r="L633" t="str">
        <f>IFERROR(SMALL($K$70:$K$846,ROWS($L$70:L633)),"")</f>
        <v/>
      </c>
      <c r="M633" t="str" cm="1">
        <f t="array" ref="M633">IFERROR(INDEX($F$70:$F$846,L633,1),"")</f>
        <v/>
      </c>
    </row>
    <row r="634" spans="1:13" x14ac:dyDescent="0.45">
      <c r="A634" t="s">
        <v>2686</v>
      </c>
      <c r="B634" s="206">
        <v>705</v>
      </c>
      <c r="C634" t="s">
        <v>3898</v>
      </c>
      <c r="D634" s="206" t="s">
        <v>3899</v>
      </c>
      <c r="E634" s="206" t="str">
        <f t="shared" si="71"/>
        <v>13</v>
      </c>
      <c r="F634" t="str">
        <f t="shared" si="72"/>
        <v>Chi cục thuế Huyện Thuận Nam</v>
      </c>
      <c r="G634" t="str">
        <f t="shared" si="77"/>
        <v>Thuận Nam</v>
      </c>
      <c r="H634" s="206"/>
      <c r="I634" s="206" t="str">
        <f t="shared" si="73"/>
        <v>70513</v>
      </c>
      <c r="J634" t="str">
        <f t="shared" si="74"/>
        <v/>
      </c>
      <c r="K634" t="str">
        <f>IF(J634="","",ROWS($K$70:K634))</f>
        <v/>
      </c>
      <c r="L634" t="str">
        <f>IFERROR(SMALL($K$70:$K$846,ROWS($L$70:L634)),"")</f>
        <v/>
      </c>
      <c r="M634" t="str" cm="1">
        <f t="array" ref="M634">IFERROR(INDEX($F$70:$F$846,L634,1),"")</f>
        <v/>
      </c>
    </row>
    <row r="635" spans="1:13" x14ac:dyDescent="0.45">
      <c r="A635" t="s">
        <v>2625</v>
      </c>
      <c r="B635" s="206" t="s">
        <v>3900</v>
      </c>
      <c r="C635" t="s">
        <v>3901</v>
      </c>
      <c r="D635" s="206" t="s">
        <v>3902</v>
      </c>
      <c r="E635" s="206" t="str">
        <f t="shared" si="71"/>
        <v>00</v>
      </c>
      <c r="F635" t="str">
        <f t="shared" si="72"/>
        <v>Cục thuế Tỉnh Bình Phước</v>
      </c>
      <c r="H635" s="206" t="str">
        <f>IF(E636="01",A636,"")</f>
        <v>Bình Phước</v>
      </c>
      <c r="I635" s="206" t="str">
        <f t="shared" si="73"/>
        <v>70700</v>
      </c>
      <c r="J635" t="str">
        <f t="shared" si="74"/>
        <v/>
      </c>
      <c r="K635" t="str">
        <f>IF(J635="","",ROWS($K$70:K635))</f>
        <v/>
      </c>
      <c r="L635" t="str">
        <f>IFERROR(SMALL($K$70:$K$846,ROWS($L$70:L635)),"")</f>
        <v/>
      </c>
      <c r="M635" t="str" cm="1">
        <f t="array" ref="M635">IFERROR(INDEX($F$70:$F$846,L635,1),"")</f>
        <v/>
      </c>
    </row>
    <row r="636" spans="1:13" x14ac:dyDescent="0.45">
      <c r="A636" t="s">
        <v>2625</v>
      </c>
      <c r="B636" s="206">
        <v>707</v>
      </c>
      <c r="C636" t="s">
        <v>3903</v>
      </c>
      <c r="D636" s="206" t="s">
        <v>3904</v>
      </c>
      <c r="E636" s="206" t="str">
        <f t="shared" si="71"/>
        <v>01</v>
      </c>
      <c r="F636" t="str">
        <f t="shared" si="72"/>
        <v>Chi cục thuế Huyện Đồng Phú</v>
      </c>
      <c r="G636" t="str">
        <f>RIGHT(C636,LEN(C636)-6)</f>
        <v>Đồng Phú</v>
      </c>
      <c r="H636" s="206"/>
      <c r="I636" s="206" t="str">
        <f t="shared" si="73"/>
        <v>70701</v>
      </c>
      <c r="J636" t="str">
        <f t="shared" si="74"/>
        <v/>
      </c>
      <c r="K636" t="str">
        <f>IF(J636="","",ROWS($K$70:K636))</f>
        <v/>
      </c>
      <c r="L636" t="str">
        <f>IFERROR(SMALL($K$70:$K$846,ROWS($L$70:L636)),"")</f>
        <v/>
      </c>
      <c r="M636" t="str" cm="1">
        <f t="array" ref="M636">IFERROR(INDEX($F$70:$F$846,L636,1),"")</f>
        <v/>
      </c>
    </row>
    <row r="637" spans="1:13" x14ac:dyDescent="0.45">
      <c r="A637" t="s">
        <v>2625</v>
      </c>
      <c r="B637" s="206">
        <v>707</v>
      </c>
      <c r="C637" t="s">
        <v>3905</v>
      </c>
      <c r="D637" s="206" t="s">
        <v>3906</v>
      </c>
      <c r="E637" s="206" t="str">
        <f t="shared" si="71"/>
        <v>03</v>
      </c>
      <c r="F637" t="str">
        <f t="shared" si="72"/>
        <v>Chi cục thuế Thị xã Phước Long</v>
      </c>
      <c r="H637" s="206"/>
      <c r="I637" s="206" t="str">
        <f t="shared" si="73"/>
        <v>70703</v>
      </c>
      <c r="J637" t="str">
        <f t="shared" si="74"/>
        <v/>
      </c>
      <c r="K637" t="str">
        <f>IF(J637="","",ROWS($K$70:K637))</f>
        <v/>
      </c>
      <c r="L637" t="str">
        <f>IFERROR(SMALL($K$70:$K$846,ROWS($L$70:L637)),"")</f>
        <v/>
      </c>
      <c r="M637" t="str" cm="1">
        <f t="array" ref="M637">IFERROR(INDEX($F$70:$F$846,L637,1),"")</f>
        <v/>
      </c>
    </row>
    <row r="638" spans="1:13" x14ac:dyDescent="0.45">
      <c r="A638" t="s">
        <v>2625</v>
      </c>
      <c r="B638" s="206">
        <v>707</v>
      </c>
      <c r="C638" t="s">
        <v>3907</v>
      </c>
      <c r="D638" s="206" t="s">
        <v>3908</v>
      </c>
      <c r="E638" s="206" t="str">
        <f t="shared" si="71"/>
        <v>05</v>
      </c>
      <c r="F638" t="str">
        <f t="shared" si="72"/>
        <v>Chi cục thuế Huyện Lộc Ninh</v>
      </c>
      <c r="G638" t="str">
        <f>RIGHT(C638,LEN(C638)-6)</f>
        <v>Lộc Ninh</v>
      </c>
      <c r="H638" s="206"/>
      <c r="I638" s="206" t="str">
        <f t="shared" si="73"/>
        <v>70705</v>
      </c>
      <c r="J638" t="str">
        <f t="shared" si="74"/>
        <v/>
      </c>
      <c r="K638" t="str">
        <f>IF(J638="","",ROWS($K$70:K638))</f>
        <v/>
      </c>
      <c r="L638" t="str">
        <f>IFERROR(SMALL($K$70:$K$846,ROWS($L$70:L638)),"")</f>
        <v/>
      </c>
      <c r="M638" t="str" cm="1">
        <f t="array" ref="M638">IFERROR(INDEX($F$70:$F$846,L638,1),"")</f>
        <v/>
      </c>
    </row>
    <row r="639" spans="1:13" x14ac:dyDescent="0.45">
      <c r="A639" t="s">
        <v>2625</v>
      </c>
      <c r="B639" s="206">
        <v>707</v>
      </c>
      <c r="C639" t="s">
        <v>3909</v>
      </c>
      <c r="D639" s="206" t="s">
        <v>3910</v>
      </c>
      <c r="E639" s="206" t="str">
        <f t="shared" si="71"/>
        <v>06</v>
      </c>
      <c r="F639" t="str">
        <f t="shared" si="72"/>
        <v>Chi cục thuế Huyện Bù Đốp</v>
      </c>
      <c r="G639" t="str">
        <f>RIGHT(C639,LEN(C639)-6)</f>
        <v>Bù Đốp</v>
      </c>
      <c r="H639" s="206"/>
      <c r="I639" s="206" t="str">
        <f t="shared" si="73"/>
        <v>70706</v>
      </c>
      <c r="J639" t="str">
        <f t="shared" si="74"/>
        <v/>
      </c>
      <c r="K639" t="str">
        <f>IF(J639="","",ROWS($K$70:K639))</f>
        <v/>
      </c>
      <c r="L639" t="str">
        <f>IFERROR(SMALL($K$70:$K$846,ROWS($L$70:L639)),"")</f>
        <v/>
      </c>
      <c r="M639" t="str" cm="1">
        <f t="array" ref="M639">IFERROR(INDEX($F$70:$F$846,L639,1),"")</f>
        <v/>
      </c>
    </row>
    <row r="640" spans="1:13" x14ac:dyDescent="0.45">
      <c r="A640" t="s">
        <v>2625</v>
      </c>
      <c r="B640" s="206">
        <v>707</v>
      </c>
      <c r="C640" t="s">
        <v>3911</v>
      </c>
      <c r="D640" s="206" t="s">
        <v>3912</v>
      </c>
      <c r="E640" s="206" t="str">
        <f t="shared" si="71"/>
        <v>07</v>
      </c>
      <c r="F640" t="str">
        <f t="shared" si="72"/>
        <v>Chi cục thuế Huyện Bù Đăng</v>
      </c>
      <c r="G640" t="str">
        <f>RIGHT(C640,LEN(C640)-6)</f>
        <v>Bù Đăng</v>
      </c>
      <c r="H640" s="206"/>
      <c r="I640" s="206" t="str">
        <f t="shared" si="73"/>
        <v>70707</v>
      </c>
      <c r="J640" t="str">
        <f t="shared" si="74"/>
        <v/>
      </c>
      <c r="K640" t="str">
        <f>IF(J640="","",ROWS($K$70:K640))</f>
        <v/>
      </c>
      <c r="L640" t="str">
        <f>IFERROR(SMALL($K$70:$K$846,ROWS($L$70:L640)),"")</f>
        <v/>
      </c>
      <c r="M640" t="str" cm="1">
        <f t="array" ref="M640">IFERROR(INDEX($F$70:$F$846,L640,1),"")</f>
        <v/>
      </c>
    </row>
    <row r="641" spans="1:13" x14ac:dyDescent="0.45">
      <c r="A641" t="s">
        <v>2625</v>
      </c>
      <c r="B641" s="206">
        <v>707</v>
      </c>
      <c r="C641" t="s">
        <v>3913</v>
      </c>
      <c r="D641" s="206" t="s">
        <v>3914</v>
      </c>
      <c r="E641" s="206" t="str">
        <f t="shared" si="71"/>
        <v>09</v>
      </c>
      <c r="F641" t="str">
        <f t="shared" si="72"/>
        <v>Chi cục thuế Thị xã Bình Long</v>
      </c>
      <c r="H641" s="206"/>
      <c r="I641" s="206" t="str">
        <f t="shared" si="73"/>
        <v>70709</v>
      </c>
      <c r="J641" t="str">
        <f t="shared" si="74"/>
        <v/>
      </c>
      <c r="K641" t="str">
        <f>IF(J641="","",ROWS($K$70:K641))</f>
        <v/>
      </c>
      <c r="L641" t="str">
        <f>IFERROR(SMALL($K$70:$K$846,ROWS($L$70:L641)),"")</f>
        <v/>
      </c>
      <c r="M641" t="str" cm="1">
        <f t="array" ref="M641">IFERROR(INDEX($F$70:$F$846,L641,1),"")</f>
        <v/>
      </c>
    </row>
    <row r="642" spans="1:13" x14ac:dyDescent="0.45">
      <c r="A642" t="s">
        <v>2625</v>
      </c>
      <c r="B642" s="206">
        <v>707</v>
      </c>
      <c r="C642" t="s">
        <v>3915</v>
      </c>
      <c r="D642" s="206" t="s">
        <v>3916</v>
      </c>
      <c r="E642" s="206" t="str">
        <f t="shared" si="71"/>
        <v>10</v>
      </c>
      <c r="F642" t="str">
        <f t="shared" si="72"/>
        <v>Chi cục thuế Huyện Chơn Thành</v>
      </c>
      <c r="G642" t="str">
        <f>RIGHT(C642,LEN(C642)-6)</f>
        <v>Chơn Thành</v>
      </c>
      <c r="H642" s="206"/>
      <c r="I642" s="206" t="str">
        <f t="shared" si="73"/>
        <v>70710</v>
      </c>
      <c r="J642" t="str">
        <f t="shared" si="74"/>
        <v/>
      </c>
      <c r="K642" t="str">
        <f>IF(J642="","",ROWS($K$70:K642))</f>
        <v/>
      </c>
      <c r="L642" t="str">
        <f>IFERROR(SMALL($K$70:$K$846,ROWS($L$70:L642)),"")</f>
        <v/>
      </c>
      <c r="M642" t="str" cm="1">
        <f t="array" ref="M642">IFERROR(INDEX($F$70:$F$846,L642,1),"")</f>
        <v/>
      </c>
    </row>
    <row r="643" spans="1:13" x14ac:dyDescent="0.45">
      <c r="A643" t="s">
        <v>2625</v>
      </c>
      <c r="B643" s="206">
        <v>707</v>
      </c>
      <c r="C643" t="s">
        <v>3917</v>
      </c>
      <c r="D643" s="206" t="s">
        <v>3918</v>
      </c>
      <c r="E643" s="206" t="str">
        <f t="shared" si="71"/>
        <v>11</v>
      </c>
      <c r="F643" t="str">
        <f t="shared" si="72"/>
        <v>Chi cục thuế Thị xã Đồng Xoài</v>
      </c>
      <c r="H643" s="206"/>
      <c r="I643" s="206" t="str">
        <f t="shared" si="73"/>
        <v>70711</v>
      </c>
      <c r="J643" t="str">
        <f t="shared" si="74"/>
        <v/>
      </c>
      <c r="K643" t="str">
        <f>IF(J643="","",ROWS($K$70:K643))</f>
        <v/>
      </c>
      <c r="L643" t="str">
        <f>IFERROR(SMALL($K$70:$K$846,ROWS($L$70:L643)),"")</f>
        <v/>
      </c>
      <c r="M643" t="str" cm="1">
        <f t="array" ref="M643">IFERROR(INDEX($F$70:$F$846,L643,1),"")</f>
        <v/>
      </c>
    </row>
    <row r="644" spans="1:13" x14ac:dyDescent="0.45">
      <c r="A644" t="s">
        <v>2625</v>
      </c>
      <c r="B644" s="206">
        <v>707</v>
      </c>
      <c r="C644" t="s">
        <v>3919</v>
      </c>
      <c r="D644" s="206" t="s">
        <v>3920</v>
      </c>
      <c r="E644" s="206" t="str">
        <f t="shared" si="71"/>
        <v>13</v>
      </c>
      <c r="F644" t="str">
        <f t="shared" si="72"/>
        <v>Chi cục thuế Huyện Hớn Quản</v>
      </c>
      <c r="G644" t="str">
        <f>RIGHT(C644,LEN(C644)-6)</f>
        <v>Hớn Quản</v>
      </c>
      <c r="H644" s="206"/>
      <c r="I644" s="206" t="str">
        <f t="shared" si="73"/>
        <v>70713</v>
      </c>
      <c r="J644" t="str">
        <f t="shared" si="74"/>
        <v/>
      </c>
      <c r="K644" t="str">
        <f>IF(J644="","",ROWS($K$70:K644))</f>
        <v/>
      </c>
      <c r="L644" t="str">
        <f>IFERROR(SMALL($K$70:$K$846,ROWS($L$70:L644)),"")</f>
        <v/>
      </c>
      <c r="M644" t="str" cm="1">
        <f t="array" ref="M644">IFERROR(INDEX($F$70:$F$846,L644,1),"")</f>
        <v/>
      </c>
    </row>
    <row r="645" spans="1:13" x14ac:dyDescent="0.45">
      <c r="A645" t="s">
        <v>2625</v>
      </c>
      <c r="B645" s="206">
        <v>707</v>
      </c>
      <c r="C645" t="s">
        <v>3921</v>
      </c>
      <c r="D645" s="206" t="s">
        <v>3922</v>
      </c>
      <c r="E645" s="206" t="str">
        <f t="shared" si="71"/>
        <v>15</v>
      </c>
      <c r="F645" t="str">
        <f t="shared" si="72"/>
        <v>Chi cục thuế Huyện Bù Gia Mập</v>
      </c>
      <c r="G645" t="str">
        <f>RIGHT(C645,LEN(C645)-6)</f>
        <v>Bù Gia Mập</v>
      </c>
      <c r="H645" s="206"/>
      <c r="I645" s="206" t="str">
        <f t="shared" si="73"/>
        <v>70715</v>
      </c>
      <c r="J645" t="str">
        <f t="shared" si="74"/>
        <v/>
      </c>
      <c r="K645" t="str">
        <f>IF(J645="","",ROWS($K$70:K645))</f>
        <v/>
      </c>
      <c r="L645" t="str">
        <f>IFERROR(SMALL($K$70:$K$846,ROWS($L$70:L645)),"")</f>
        <v/>
      </c>
      <c r="M645" t="str" cm="1">
        <f t="array" ref="M645">IFERROR(INDEX($F$70:$F$846,L645,1),"")</f>
        <v/>
      </c>
    </row>
    <row r="646" spans="1:13" x14ac:dyDescent="0.45">
      <c r="A646" t="s">
        <v>2625</v>
      </c>
      <c r="B646" s="206">
        <v>707</v>
      </c>
      <c r="C646" t="s">
        <v>3923</v>
      </c>
      <c r="D646" s="206" t="s">
        <v>3924</v>
      </c>
      <c r="E646" s="206" t="str">
        <f t="shared" si="71"/>
        <v>16</v>
      </c>
      <c r="F646" t="str">
        <f t="shared" si="72"/>
        <v>Chi cục thuế Huyện Phú Riềng</v>
      </c>
      <c r="G646" t="str">
        <f>RIGHT(C646,LEN(C646)-6)</f>
        <v>Phú Riềng</v>
      </c>
      <c r="H646" s="206"/>
      <c r="I646" s="206" t="str">
        <f t="shared" si="73"/>
        <v>70716</v>
      </c>
      <c r="J646" t="str">
        <f t="shared" si="74"/>
        <v/>
      </c>
      <c r="K646" t="str">
        <f>IF(J646="","",ROWS($K$70:K646))</f>
        <v/>
      </c>
      <c r="L646" t="str">
        <f>IFERROR(SMALL($K$70:$K$846,ROWS($L$70:L646)),"")</f>
        <v/>
      </c>
      <c r="M646" t="str" cm="1">
        <f t="array" ref="M646">IFERROR(INDEX($F$70:$F$846,L646,1),"")</f>
        <v/>
      </c>
    </row>
    <row r="647" spans="1:13" x14ac:dyDescent="0.45">
      <c r="A647" t="s">
        <v>2706</v>
      </c>
      <c r="B647" s="206" t="s">
        <v>3925</v>
      </c>
      <c r="C647" t="s">
        <v>3926</v>
      </c>
      <c r="D647" s="206" t="s">
        <v>3927</v>
      </c>
      <c r="E647" s="206" t="str">
        <f t="shared" ref="E647:E710" si="78">RIGHT(D647,2)</f>
        <v>00</v>
      </c>
      <c r="F647" t="str">
        <f t="shared" ref="F647:F710" si="79">IF(E647="00","Cục thuế "&amp;C647,"Chi cục thuế "&amp;C647)</f>
        <v>Cục thuế Tỉnh Tây Ninh</v>
      </c>
      <c r="H647" s="206" t="str">
        <f>IF(E648="01",A648,"")</f>
        <v>Tây Ninh</v>
      </c>
      <c r="I647" s="206" t="str">
        <f t="shared" ref="I647:I710" si="80">D647</f>
        <v>70900</v>
      </c>
      <c r="J647" t="str">
        <f t="shared" si="74"/>
        <v/>
      </c>
      <c r="K647" t="str">
        <f>IF(J647="","",ROWS($K$70:K647))</f>
        <v/>
      </c>
      <c r="L647" t="str">
        <f>IFERROR(SMALL($K$70:$K$846,ROWS($L$70:L647)),"")</f>
        <v/>
      </c>
      <c r="M647" t="str" cm="1">
        <f t="array" ref="M647">IFERROR(INDEX($F$70:$F$846,L647,1),"")</f>
        <v/>
      </c>
    </row>
    <row r="648" spans="1:13" x14ac:dyDescent="0.45">
      <c r="A648" t="s">
        <v>2706</v>
      </c>
      <c r="B648" s="206">
        <v>709</v>
      </c>
      <c r="C648" t="s">
        <v>3928</v>
      </c>
      <c r="D648" s="206" t="s">
        <v>3929</v>
      </c>
      <c r="E648" s="206" t="str">
        <f t="shared" si="78"/>
        <v>01</v>
      </c>
      <c r="F648" t="str">
        <f t="shared" si="79"/>
        <v>Chi cục thuế Thành phố Tây Ninh</v>
      </c>
      <c r="H648" s="206"/>
      <c r="I648" s="206" t="str">
        <f t="shared" si="80"/>
        <v>70901</v>
      </c>
      <c r="J648" t="str">
        <f t="shared" si="74"/>
        <v/>
      </c>
      <c r="K648" t="str">
        <f>IF(J648="","",ROWS($K$70:K648))</f>
        <v/>
      </c>
      <c r="L648" t="str">
        <f>IFERROR(SMALL($K$70:$K$846,ROWS($L$70:L648)),"")</f>
        <v/>
      </c>
      <c r="M648" t="str" cm="1">
        <f t="array" ref="M648">IFERROR(INDEX($F$70:$F$846,L648,1),"")</f>
        <v/>
      </c>
    </row>
    <row r="649" spans="1:13" x14ac:dyDescent="0.45">
      <c r="A649" t="s">
        <v>2706</v>
      </c>
      <c r="B649" s="206">
        <v>709</v>
      </c>
      <c r="C649" t="s">
        <v>3930</v>
      </c>
      <c r="D649" s="206" t="s">
        <v>3931</v>
      </c>
      <c r="E649" s="206" t="str">
        <f t="shared" si="78"/>
        <v>03</v>
      </c>
      <c r="F649" t="str">
        <f t="shared" si="79"/>
        <v>Chi cục thuế Huyện Tân Biên</v>
      </c>
      <c r="G649" t="str">
        <f t="shared" ref="G649:G656" si="81">RIGHT(C649,LEN(C649)-6)</f>
        <v>Tân Biên</v>
      </c>
      <c r="H649" s="206"/>
      <c r="I649" s="206" t="str">
        <f t="shared" si="80"/>
        <v>70903</v>
      </c>
      <c r="J649" t="str">
        <f t="shared" si="74"/>
        <v/>
      </c>
      <c r="K649" t="str">
        <f>IF(J649="","",ROWS($K$70:K649))</f>
        <v/>
      </c>
      <c r="L649" t="str">
        <f>IFERROR(SMALL($K$70:$K$846,ROWS($L$70:L649)),"")</f>
        <v/>
      </c>
      <c r="M649" t="str" cm="1">
        <f t="array" ref="M649">IFERROR(INDEX($F$70:$F$846,L649,1),"")</f>
        <v/>
      </c>
    </row>
    <row r="650" spans="1:13" x14ac:dyDescent="0.45">
      <c r="A650" t="s">
        <v>2706</v>
      </c>
      <c r="B650" s="206">
        <v>709</v>
      </c>
      <c r="C650" t="s">
        <v>3932</v>
      </c>
      <c r="D650" s="206" t="s">
        <v>3933</v>
      </c>
      <c r="E650" s="206" t="str">
        <f t="shared" si="78"/>
        <v>05</v>
      </c>
      <c r="F650" t="str">
        <f t="shared" si="79"/>
        <v>Chi cục thuế Huyện Tân Châu</v>
      </c>
      <c r="G650" t="str">
        <f t="shared" si="81"/>
        <v>Tân Châu</v>
      </c>
      <c r="H650" s="206"/>
      <c r="I650" s="206" t="str">
        <f t="shared" si="80"/>
        <v>70905</v>
      </c>
      <c r="J650" t="str">
        <f t="shared" ref="J650:J713" si="82">IF(A650=$J$69,F650,"")</f>
        <v/>
      </c>
      <c r="K650" t="str">
        <f>IF(J650="","",ROWS($K$70:K650))</f>
        <v/>
      </c>
      <c r="L650" t="str">
        <f>IFERROR(SMALL($K$70:$K$846,ROWS($L$70:L650)),"")</f>
        <v/>
      </c>
      <c r="M650" t="str" cm="1">
        <f t="array" ref="M650">IFERROR(INDEX($F$70:$F$846,L650,1),"")</f>
        <v/>
      </c>
    </row>
    <row r="651" spans="1:13" x14ac:dyDescent="0.45">
      <c r="A651" t="s">
        <v>2706</v>
      </c>
      <c r="B651" s="206">
        <v>709</v>
      </c>
      <c r="C651" t="s">
        <v>3934</v>
      </c>
      <c r="D651" s="206" t="s">
        <v>3935</v>
      </c>
      <c r="E651" s="206" t="str">
        <f t="shared" si="78"/>
        <v>07</v>
      </c>
      <c r="F651" t="str">
        <f t="shared" si="79"/>
        <v>Chi cục thuế Huyện Dương Minh Châu</v>
      </c>
      <c r="G651" t="str">
        <f t="shared" si="81"/>
        <v>Dương Minh Châu</v>
      </c>
      <c r="H651" s="206"/>
      <c r="I651" s="206" t="str">
        <f t="shared" si="80"/>
        <v>70907</v>
      </c>
      <c r="J651" t="str">
        <f t="shared" si="82"/>
        <v/>
      </c>
      <c r="K651" t="str">
        <f>IF(J651="","",ROWS($K$70:K651))</f>
        <v/>
      </c>
      <c r="L651" t="str">
        <f>IFERROR(SMALL($K$70:$K$846,ROWS($L$70:L651)),"")</f>
        <v/>
      </c>
      <c r="M651" t="str" cm="1">
        <f t="array" ref="M651">IFERROR(INDEX($F$70:$F$846,L651,1),"")</f>
        <v/>
      </c>
    </row>
    <row r="652" spans="1:13" x14ac:dyDescent="0.45">
      <c r="A652" t="s">
        <v>2706</v>
      </c>
      <c r="B652" s="206">
        <v>709</v>
      </c>
      <c r="C652" t="s">
        <v>3936</v>
      </c>
      <c r="D652" s="206" t="s">
        <v>3937</v>
      </c>
      <c r="E652" s="206" t="str">
        <f t="shared" si="78"/>
        <v>09</v>
      </c>
      <c r="F652" t="str">
        <f t="shared" si="79"/>
        <v>Chi cục thuế Huyện Châu Thành</v>
      </c>
      <c r="G652" t="str">
        <f t="shared" si="81"/>
        <v>Châu Thành</v>
      </c>
      <c r="H652" s="206"/>
      <c r="I652" s="206" t="str">
        <f t="shared" si="80"/>
        <v>70909</v>
      </c>
      <c r="J652" t="str">
        <f t="shared" si="82"/>
        <v/>
      </c>
      <c r="K652" t="str">
        <f>IF(J652="","",ROWS($K$70:K652))</f>
        <v/>
      </c>
      <c r="L652" t="str">
        <f>IFERROR(SMALL($K$70:$K$846,ROWS($L$70:L652)),"")</f>
        <v/>
      </c>
      <c r="M652" t="str" cm="1">
        <f t="array" ref="M652">IFERROR(INDEX($F$70:$F$846,L652,1),"")</f>
        <v/>
      </c>
    </row>
    <row r="653" spans="1:13" x14ac:dyDescent="0.45">
      <c r="A653" t="s">
        <v>2706</v>
      </c>
      <c r="B653" s="206">
        <v>709</v>
      </c>
      <c r="C653" t="s">
        <v>3938</v>
      </c>
      <c r="D653" s="206" t="s">
        <v>3939</v>
      </c>
      <c r="E653" s="206" t="str">
        <f t="shared" si="78"/>
        <v>11</v>
      </c>
      <c r="F653" t="str">
        <f t="shared" si="79"/>
        <v>Chi cục thuế Huyện Hòa Thành</v>
      </c>
      <c r="G653" t="str">
        <f t="shared" si="81"/>
        <v>Hòa Thành</v>
      </c>
      <c r="H653" s="206"/>
      <c r="I653" s="206" t="str">
        <f t="shared" si="80"/>
        <v>70911</v>
      </c>
      <c r="J653" t="str">
        <f t="shared" si="82"/>
        <v/>
      </c>
      <c r="K653" t="str">
        <f>IF(J653="","",ROWS($K$70:K653))</f>
        <v/>
      </c>
      <c r="L653" t="str">
        <f>IFERROR(SMALL($K$70:$K$846,ROWS($L$70:L653)),"")</f>
        <v/>
      </c>
      <c r="M653" t="str" cm="1">
        <f t="array" ref="M653">IFERROR(INDEX($F$70:$F$846,L653,1),"")</f>
        <v/>
      </c>
    </row>
    <row r="654" spans="1:13" x14ac:dyDescent="0.45">
      <c r="A654" t="s">
        <v>2706</v>
      </c>
      <c r="B654" s="206">
        <v>709</v>
      </c>
      <c r="C654" t="s">
        <v>3940</v>
      </c>
      <c r="D654" s="206" t="s">
        <v>3941</v>
      </c>
      <c r="E654" s="206" t="str">
        <f t="shared" si="78"/>
        <v>13</v>
      </c>
      <c r="F654" t="str">
        <f t="shared" si="79"/>
        <v>Chi cục thuế Huyện Bến Cầu</v>
      </c>
      <c r="G654" t="str">
        <f t="shared" si="81"/>
        <v>Bến Cầu</v>
      </c>
      <c r="H654" s="206"/>
      <c r="I654" s="206" t="str">
        <f t="shared" si="80"/>
        <v>70913</v>
      </c>
      <c r="J654" t="str">
        <f t="shared" si="82"/>
        <v/>
      </c>
      <c r="K654" t="str">
        <f>IF(J654="","",ROWS($K$70:K654))</f>
        <v/>
      </c>
      <c r="L654" t="str">
        <f>IFERROR(SMALL($K$70:$K$846,ROWS($L$70:L654)),"")</f>
        <v/>
      </c>
      <c r="M654" t="str" cm="1">
        <f t="array" ref="M654">IFERROR(INDEX($F$70:$F$846,L654,1),"")</f>
        <v/>
      </c>
    </row>
    <row r="655" spans="1:13" x14ac:dyDescent="0.45">
      <c r="A655" t="s">
        <v>2706</v>
      </c>
      <c r="B655" s="206">
        <v>709</v>
      </c>
      <c r="C655" t="s">
        <v>3942</v>
      </c>
      <c r="D655" s="206" t="s">
        <v>3943</v>
      </c>
      <c r="E655" s="206" t="str">
        <f t="shared" si="78"/>
        <v>15</v>
      </c>
      <c r="F655" t="str">
        <f t="shared" si="79"/>
        <v>Chi cục thuế Huyện Gò Dầu</v>
      </c>
      <c r="G655" t="str">
        <f t="shared" si="81"/>
        <v>Gò Dầu</v>
      </c>
      <c r="H655" s="206"/>
      <c r="I655" s="206" t="str">
        <f t="shared" si="80"/>
        <v>70915</v>
      </c>
      <c r="J655" t="str">
        <f t="shared" si="82"/>
        <v/>
      </c>
      <c r="K655" t="str">
        <f>IF(J655="","",ROWS($K$70:K655))</f>
        <v/>
      </c>
      <c r="L655" t="str">
        <f>IFERROR(SMALL($K$70:$K$846,ROWS($L$70:L655)),"")</f>
        <v/>
      </c>
      <c r="M655" t="str" cm="1">
        <f t="array" ref="M655">IFERROR(INDEX($F$70:$F$846,L655,1),"")</f>
        <v/>
      </c>
    </row>
    <row r="656" spans="1:13" x14ac:dyDescent="0.45">
      <c r="A656" t="s">
        <v>2706</v>
      </c>
      <c r="B656" s="206">
        <v>709</v>
      </c>
      <c r="C656" t="s">
        <v>3944</v>
      </c>
      <c r="D656" s="206" t="s">
        <v>3945</v>
      </c>
      <c r="E656" s="206" t="str">
        <f t="shared" si="78"/>
        <v>17</v>
      </c>
      <c r="F656" t="str">
        <f t="shared" si="79"/>
        <v>Chi cục thuế Huyện Trảng Bàng</v>
      </c>
      <c r="G656" t="str">
        <f t="shared" si="81"/>
        <v>Trảng Bàng</v>
      </c>
      <c r="H656" s="206"/>
      <c r="I656" s="206" t="str">
        <f t="shared" si="80"/>
        <v>70917</v>
      </c>
      <c r="J656" t="str">
        <f t="shared" si="82"/>
        <v/>
      </c>
      <c r="K656" t="str">
        <f>IF(J656="","",ROWS($K$70:K656))</f>
        <v/>
      </c>
      <c r="L656" t="str">
        <f>IFERROR(SMALL($K$70:$K$846,ROWS($L$70:L656)),"")</f>
        <v/>
      </c>
      <c r="M656" t="str" cm="1">
        <f t="array" ref="M656">IFERROR(INDEX($F$70:$F$846,L656,1),"")</f>
        <v/>
      </c>
    </row>
    <row r="657" spans="1:13" x14ac:dyDescent="0.45">
      <c r="A657" t="s">
        <v>2623</v>
      </c>
      <c r="B657" s="206" t="s">
        <v>3946</v>
      </c>
      <c r="C657" t="s">
        <v>3947</v>
      </c>
      <c r="D657" s="206" t="s">
        <v>3948</v>
      </c>
      <c r="E657" s="206" t="str">
        <f t="shared" si="78"/>
        <v>00</v>
      </c>
      <c r="F657" t="str">
        <f t="shared" si="79"/>
        <v>Cục thuế Tỉnh Bình Dương</v>
      </c>
      <c r="H657" s="206" t="str">
        <f>IF(E658="01",A658,"")</f>
        <v>Bình Dương</v>
      </c>
      <c r="I657" s="206" t="str">
        <f t="shared" si="80"/>
        <v>71100</v>
      </c>
      <c r="J657" t="str">
        <f t="shared" si="82"/>
        <v/>
      </c>
      <c r="K657" t="str">
        <f>IF(J657="","",ROWS($K$70:K657))</f>
        <v/>
      </c>
      <c r="L657" t="str">
        <f>IFERROR(SMALL($K$70:$K$846,ROWS($L$70:L657)),"")</f>
        <v/>
      </c>
      <c r="M657" t="str" cm="1">
        <f t="array" ref="M657">IFERROR(INDEX($F$70:$F$846,L657,1),"")</f>
        <v/>
      </c>
    </row>
    <row r="658" spans="1:13" x14ac:dyDescent="0.45">
      <c r="A658" t="s">
        <v>2623</v>
      </c>
      <c r="B658" s="206">
        <v>711</v>
      </c>
      <c r="C658" t="s">
        <v>3949</v>
      </c>
      <c r="D658" s="206" t="s">
        <v>3950</v>
      </c>
      <c r="E658" s="206" t="str">
        <f t="shared" si="78"/>
        <v>01</v>
      </c>
      <c r="F658" t="str">
        <f t="shared" si="79"/>
        <v>Chi cục thuế Thành phố Thủ Dầu Một</v>
      </c>
      <c r="H658" s="206"/>
      <c r="I658" s="206" t="str">
        <f t="shared" si="80"/>
        <v>71101</v>
      </c>
      <c r="J658" t="str">
        <f t="shared" si="82"/>
        <v/>
      </c>
      <c r="K658" t="str">
        <f>IF(J658="","",ROWS($K$70:K658))</f>
        <v/>
      </c>
      <c r="L658" t="str">
        <f>IFERROR(SMALL($K$70:$K$846,ROWS($L$70:L658)),"")</f>
        <v/>
      </c>
      <c r="M658" t="str" cm="1">
        <f t="array" ref="M658">IFERROR(INDEX($F$70:$F$846,L658,1),"")</f>
        <v/>
      </c>
    </row>
    <row r="659" spans="1:13" x14ac:dyDescent="0.45">
      <c r="A659" t="s">
        <v>2623</v>
      </c>
      <c r="B659" s="206">
        <v>711</v>
      </c>
      <c r="C659" t="s">
        <v>3951</v>
      </c>
      <c r="D659" s="206" t="s">
        <v>3952</v>
      </c>
      <c r="E659" s="206" t="str">
        <f t="shared" si="78"/>
        <v>03</v>
      </c>
      <c r="F659" t="str">
        <f t="shared" si="79"/>
        <v>Chi cục thuế Thị Xã Bến Cát</v>
      </c>
      <c r="H659" s="206"/>
      <c r="I659" s="206" t="str">
        <f t="shared" si="80"/>
        <v>71103</v>
      </c>
      <c r="J659" t="str">
        <f t="shared" si="82"/>
        <v/>
      </c>
      <c r="K659" t="str">
        <f>IF(J659="","",ROWS($K$70:K659))</f>
        <v/>
      </c>
      <c r="L659" t="str">
        <f>IFERROR(SMALL($K$70:$K$846,ROWS($L$70:L659)),"")</f>
        <v/>
      </c>
      <c r="M659" t="str" cm="1">
        <f t="array" ref="M659">IFERROR(INDEX($F$70:$F$846,L659,1),"")</f>
        <v/>
      </c>
    </row>
    <row r="660" spans="1:13" x14ac:dyDescent="0.45">
      <c r="A660" t="s">
        <v>2623</v>
      </c>
      <c r="B660" s="206">
        <v>711</v>
      </c>
      <c r="C660" t="s">
        <v>3953</v>
      </c>
      <c r="D660" s="206" t="s">
        <v>3954</v>
      </c>
      <c r="E660" s="206" t="str">
        <f t="shared" si="78"/>
        <v>05</v>
      </c>
      <c r="F660" t="str">
        <f t="shared" si="79"/>
        <v>Chi cục thuế Thị xã Tân Uyên</v>
      </c>
      <c r="H660" s="206"/>
      <c r="I660" s="206" t="str">
        <f t="shared" si="80"/>
        <v>71105</v>
      </c>
      <c r="J660" t="str">
        <f t="shared" si="82"/>
        <v/>
      </c>
      <c r="K660" t="str">
        <f>IF(J660="","",ROWS($K$70:K660))</f>
        <v/>
      </c>
      <c r="L660" t="str">
        <f>IFERROR(SMALL($K$70:$K$846,ROWS($L$70:L660)),"")</f>
        <v/>
      </c>
      <c r="M660" t="str" cm="1">
        <f t="array" ref="M660">IFERROR(INDEX($F$70:$F$846,L660,1),"")</f>
        <v/>
      </c>
    </row>
    <row r="661" spans="1:13" x14ac:dyDescent="0.45">
      <c r="A661" t="s">
        <v>2623</v>
      </c>
      <c r="B661" s="206">
        <v>711</v>
      </c>
      <c r="C661" t="s">
        <v>3955</v>
      </c>
      <c r="D661" s="206" t="s">
        <v>3956</v>
      </c>
      <c r="E661" s="206" t="str">
        <f t="shared" si="78"/>
        <v>07</v>
      </c>
      <c r="F661" t="str">
        <f t="shared" si="79"/>
        <v>Chi cục thuế Thị xã Thuận An</v>
      </c>
      <c r="H661" s="206"/>
      <c r="I661" s="206" t="str">
        <f t="shared" si="80"/>
        <v>71107</v>
      </c>
      <c r="J661" t="str">
        <f t="shared" si="82"/>
        <v/>
      </c>
      <c r="K661" t="str">
        <f>IF(J661="","",ROWS($K$70:K661))</f>
        <v/>
      </c>
      <c r="L661" t="str">
        <f>IFERROR(SMALL($K$70:$K$846,ROWS($L$70:L661)),"")</f>
        <v/>
      </c>
      <c r="M661" t="str" cm="1">
        <f t="array" ref="M661">IFERROR(INDEX($F$70:$F$846,L661,1),"")</f>
        <v/>
      </c>
    </row>
    <row r="662" spans="1:13" x14ac:dyDescent="0.45">
      <c r="A662" t="s">
        <v>2623</v>
      </c>
      <c r="B662" s="206">
        <v>711</v>
      </c>
      <c r="C662" t="s">
        <v>3957</v>
      </c>
      <c r="D662" s="206" t="s">
        <v>3958</v>
      </c>
      <c r="E662" s="206" t="str">
        <f t="shared" si="78"/>
        <v>09</v>
      </c>
      <c r="F662" t="str">
        <f t="shared" si="79"/>
        <v>Chi cục thuế Thị xã Dĩ An</v>
      </c>
      <c r="H662" s="206"/>
      <c r="I662" s="206" t="str">
        <f t="shared" si="80"/>
        <v>71109</v>
      </c>
      <c r="J662" t="str">
        <f t="shared" si="82"/>
        <v/>
      </c>
      <c r="K662" t="str">
        <f>IF(J662="","",ROWS($K$70:K662))</f>
        <v/>
      </c>
      <c r="L662" t="str">
        <f>IFERROR(SMALL($K$70:$K$846,ROWS($L$70:L662)),"")</f>
        <v/>
      </c>
      <c r="M662" t="str" cm="1">
        <f t="array" ref="M662">IFERROR(INDEX($F$70:$F$846,L662,1),"")</f>
        <v/>
      </c>
    </row>
    <row r="663" spans="1:13" x14ac:dyDescent="0.45">
      <c r="A663" t="s">
        <v>2623</v>
      </c>
      <c r="B663" s="206">
        <v>711</v>
      </c>
      <c r="C663" t="s">
        <v>3959</v>
      </c>
      <c r="D663" s="206" t="s">
        <v>3960</v>
      </c>
      <c r="E663" s="206" t="str">
        <f t="shared" si="78"/>
        <v>11</v>
      </c>
      <c r="F663" t="str">
        <f t="shared" si="79"/>
        <v>Chi cục thuế Huyện Phú Giáo</v>
      </c>
      <c r="G663" t="str">
        <f>RIGHT(C663,LEN(C663)-6)</f>
        <v>Phú Giáo</v>
      </c>
      <c r="H663" s="206"/>
      <c r="I663" s="206" t="str">
        <f t="shared" si="80"/>
        <v>71111</v>
      </c>
      <c r="J663" t="str">
        <f t="shared" si="82"/>
        <v/>
      </c>
      <c r="K663" t="str">
        <f>IF(J663="","",ROWS($K$70:K663))</f>
        <v/>
      </c>
      <c r="L663" t="str">
        <f>IFERROR(SMALL($K$70:$K$846,ROWS($L$70:L663)),"")</f>
        <v/>
      </c>
      <c r="M663" t="str" cm="1">
        <f t="array" ref="M663">IFERROR(INDEX($F$70:$F$846,L663,1),"")</f>
        <v/>
      </c>
    </row>
    <row r="664" spans="1:13" x14ac:dyDescent="0.45">
      <c r="A664" t="s">
        <v>2623</v>
      </c>
      <c r="B664" s="206">
        <v>711</v>
      </c>
      <c r="C664" t="s">
        <v>3961</v>
      </c>
      <c r="D664" s="206" t="s">
        <v>3962</v>
      </c>
      <c r="E664" s="206" t="str">
        <f t="shared" si="78"/>
        <v>13</v>
      </c>
      <c r="F664" t="str">
        <f t="shared" si="79"/>
        <v>Chi cục thuế Huyện Dầu Tiếng</v>
      </c>
      <c r="G664" t="str">
        <f>RIGHT(C664,LEN(C664)-6)</f>
        <v>Dầu Tiếng</v>
      </c>
      <c r="H664" s="206"/>
      <c r="I664" s="206" t="str">
        <f t="shared" si="80"/>
        <v>71113</v>
      </c>
      <c r="J664" t="str">
        <f t="shared" si="82"/>
        <v/>
      </c>
      <c r="K664" t="str">
        <f>IF(J664="","",ROWS($K$70:K664))</f>
        <v/>
      </c>
      <c r="L664" t="str">
        <f>IFERROR(SMALL($K$70:$K$846,ROWS($L$70:L664)),"")</f>
        <v/>
      </c>
      <c r="M664" t="str" cm="1">
        <f t="array" ref="M664">IFERROR(INDEX($F$70:$F$846,L664,1),"")</f>
        <v/>
      </c>
    </row>
    <row r="665" spans="1:13" x14ac:dyDescent="0.45">
      <c r="A665" t="s">
        <v>2623</v>
      </c>
      <c r="B665" s="206">
        <v>711</v>
      </c>
      <c r="C665" t="s">
        <v>3963</v>
      </c>
      <c r="D665" s="206" t="s">
        <v>3964</v>
      </c>
      <c r="E665" s="206" t="str">
        <f t="shared" si="78"/>
        <v>15</v>
      </c>
      <c r="F665" t="str">
        <f t="shared" si="79"/>
        <v>Chi cục thuế Huyện Bàu Bàng</v>
      </c>
      <c r="G665" t="str">
        <f>RIGHT(C665,LEN(C665)-6)</f>
        <v>Bàu Bàng</v>
      </c>
      <c r="H665" s="206"/>
      <c r="I665" s="206" t="str">
        <f t="shared" si="80"/>
        <v>71115</v>
      </c>
      <c r="J665" t="str">
        <f t="shared" si="82"/>
        <v/>
      </c>
      <c r="K665" t="str">
        <f>IF(J665="","",ROWS($K$70:K665))</f>
        <v/>
      </c>
      <c r="L665" t="str">
        <f>IFERROR(SMALL($K$70:$K$846,ROWS($L$70:L665)),"")</f>
        <v/>
      </c>
      <c r="M665" t="str" cm="1">
        <f t="array" ref="M665">IFERROR(INDEX($F$70:$F$846,L665,1),"")</f>
        <v/>
      </c>
    </row>
    <row r="666" spans="1:13" x14ac:dyDescent="0.45">
      <c r="A666" t="s">
        <v>2623</v>
      </c>
      <c r="B666" s="206">
        <v>711</v>
      </c>
      <c r="C666" t="s">
        <v>3965</v>
      </c>
      <c r="D666" s="206" t="s">
        <v>3966</v>
      </c>
      <c r="E666" s="206" t="str">
        <f t="shared" si="78"/>
        <v>17</v>
      </c>
      <c r="F666" t="str">
        <f t="shared" si="79"/>
        <v>Chi cục thuế Huyện Bắc Tân Uyên</v>
      </c>
      <c r="G666" t="str">
        <f>RIGHT(C666,LEN(C666)-6)</f>
        <v>Bắc Tân Uyên</v>
      </c>
      <c r="H666" s="206"/>
      <c r="I666" s="206" t="str">
        <f t="shared" si="80"/>
        <v>71117</v>
      </c>
      <c r="J666" t="str">
        <f t="shared" si="82"/>
        <v/>
      </c>
      <c r="K666" t="str">
        <f>IF(J666="","",ROWS($K$70:K666))</f>
        <v/>
      </c>
      <c r="L666" t="str">
        <f>IFERROR(SMALL($K$70:$K$846,ROWS($L$70:L666)),"")</f>
        <v/>
      </c>
      <c r="M666" t="str" cm="1">
        <f t="array" ref="M666">IFERROR(INDEX($F$70:$F$846,L666,1),"")</f>
        <v/>
      </c>
    </row>
    <row r="667" spans="1:13" x14ac:dyDescent="0.45">
      <c r="A667" t="s">
        <v>2642</v>
      </c>
      <c r="B667" s="206" t="s">
        <v>3967</v>
      </c>
      <c r="C667" t="s">
        <v>3968</v>
      </c>
      <c r="D667" s="206" t="s">
        <v>3969</v>
      </c>
      <c r="E667" s="206" t="str">
        <f t="shared" si="78"/>
        <v>00</v>
      </c>
      <c r="F667" t="str">
        <f t="shared" si="79"/>
        <v>Cục thuế Tỉnh Đồng Nai</v>
      </c>
      <c r="H667" s="206" t="str">
        <f>IF(E668="01",A668,"")</f>
        <v>Đồng Nai</v>
      </c>
      <c r="I667" s="206" t="str">
        <f t="shared" si="80"/>
        <v>71300</v>
      </c>
      <c r="J667" t="str">
        <f t="shared" si="82"/>
        <v/>
      </c>
      <c r="K667" t="str">
        <f>IF(J667="","",ROWS($K$70:K667))</f>
        <v/>
      </c>
      <c r="L667" t="str">
        <f>IFERROR(SMALL($K$70:$K$846,ROWS($L$70:L667)),"")</f>
        <v/>
      </c>
      <c r="M667" t="str" cm="1">
        <f t="array" ref="M667">IFERROR(INDEX($F$70:$F$846,L667,1),"")</f>
        <v/>
      </c>
    </row>
    <row r="668" spans="1:13" x14ac:dyDescent="0.45">
      <c r="A668" t="s">
        <v>2642</v>
      </c>
      <c r="B668" s="206">
        <v>713</v>
      </c>
      <c r="C668" t="s">
        <v>3970</v>
      </c>
      <c r="D668" s="206" t="s">
        <v>3971</v>
      </c>
      <c r="E668" s="206" t="str">
        <f t="shared" si="78"/>
        <v>01</v>
      </c>
      <c r="F668" t="str">
        <f t="shared" si="79"/>
        <v>Chi cục thuế Thành phố Biên Hòa</v>
      </c>
      <c r="H668" s="206"/>
      <c r="I668" s="206" t="str">
        <f t="shared" si="80"/>
        <v>71301</v>
      </c>
      <c r="J668" t="str">
        <f t="shared" si="82"/>
        <v/>
      </c>
      <c r="K668" t="str">
        <f>IF(J668="","",ROWS($K$70:K668))</f>
        <v/>
      </c>
      <c r="L668" t="str">
        <f>IFERROR(SMALL($K$70:$K$846,ROWS($L$70:L668)),"")</f>
        <v/>
      </c>
      <c r="M668" t="str" cm="1">
        <f t="array" ref="M668">IFERROR(INDEX($F$70:$F$846,L668,1),"")</f>
        <v/>
      </c>
    </row>
    <row r="669" spans="1:13" x14ac:dyDescent="0.45">
      <c r="A669" t="s">
        <v>2642</v>
      </c>
      <c r="B669" s="206">
        <v>713</v>
      </c>
      <c r="C669" t="s">
        <v>3972</v>
      </c>
      <c r="D669" s="206" t="s">
        <v>3973</v>
      </c>
      <c r="E669" s="206" t="str">
        <f t="shared" si="78"/>
        <v>02</v>
      </c>
      <c r="F669" t="str">
        <f t="shared" si="79"/>
        <v>Chi cục thuế Thị xã Long khánh</v>
      </c>
      <c r="H669" s="206"/>
      <c r="I669" s="206" t="str">
        <f t="shared" si="80"/>
        <v>71302</v>
      </c>
      <c r="J669" t="str">
        <f t="shared" si="82"/>
        <v/>
      </c>
      <c r="K669" t="str">
        <f>IF(J669="","",ROWS($K$70:K669))</f>
        <v/>
      </c>
      <c r="L669" t="str">
        <f>IFERROR(SMALL($K$70:$K$846,ROWS($L$70:L669)),"")</f>
        <v/>
      </c>
      <c r="M669" t="str" cm="1">
        <f t="array" ref="M669">IFERROR(INDEX($F$70:$F$846,L669,1),"")</f>
        <v/>
      </c>
    </row>
    <row r="670" spans="1:13" x14ac:dyDescent="0.45">
      <c r="A670" t="s">
        <v>2642</v>
      </c>
      <c r="B670" s="206">
        <v>713</v>
      </c>
      <c r="C670" t="s">
        <v>3974</v>
      </c>
      <c r="D670" s="206" t="s">
        <v>3975</v>
      </c>
      <c r="E670" s="206" t="str">
        <f t="shared" si="78"/>
        <v>03</v>
      </c>
      <c r="F670" t="str">
        <f t="shared" si="79"/>
        <v>Chi cục thuế Huyện Tân Phú</v>
      </c>
      <c r="G670" t="str">
        <f t="shared" ref="G670:G678" si="83">RIGHT(C670,LEN(C670)-6)</f>
        <v>Tân Phú</v>
      </c>
      <c r="H670" s="206"/>
      <c r="I670" s="206" t="str">
        <f t="shared" si="80"/>
        <v>71303</v>
      </c>
      <c r="J670" t="str">
        <f t="shared" si="82"/>
        <v/>
      </c>
      <c r="K670" t="str">
        <f>IF(J670="","",ROWS($K$70:K670))</f>
        <v/>
      </c>
      <c r="L670" t="str">
        <f>IFERROR(SMALL($K$70:$K$846,ROWS($L$70:L670)),"")</f>
        <v/>
      </c>
      <c r="M670" t="str" cm="1">
        <f t="array" ref="M670">IFERROR(INDEX($F$70:$F$846,L670,1),"")</f>
        <v/>
      </c>
    </row>
    <row r="671" spans="1:13" x14ac:dyDescent="0.45">
      <c r="A671" t="s">
        <v>2642</v>
      </c>
      <c r="B671" s="206">
        <v>713</v>
      </c>
      <c r="C671" t="s">
        <v>3976</v>
      </c>
      <c r="D671" s="206" t="s">
        <v>3977</v>
      </c>
      <c r="E671" s="206" t="str">
        <f t="shared" si="78"/>
        <v>05</v>
      </c>
      <c r="F671" t="str">
        <f t="shared" si="79"/>
        <v>Chi cục thuế Huyện Định Quán</v>
      </c>
      <c r="G671" t="str">
        <f t="shared" si="83"/>
        <v>Định Quán</v>
      </c>
      <c r="H671" s="206"/>
      <c r="I671" s="206" t="str">
        <f t="shared" si="80"/>
        <v>71305</v>
      </c>
      <c r="J671" t="str">
        <f t="shared" si="82"/>
        <v/>
      </c>
      <c r="K671" t="str">
        <f>IF(J671="","",ROWS($K$70:K671))</f>
        <v/>
      </c>
      <c r="L671" t="str">
        <f>IFERROR(SMALL($K$70:$K$846,ROWS($L$70:L671)),"")</f>
        <v/>
      </c>
      <c r="M671" t="str" cm="1">
        <f t="array" ref="M671">IFERROR(INDEX($F$70:$F$846,L671,1),"")</f>
        <v/>
      </c>
    </row>
    <row r="672" spans="1:13" x14ac:dyDescent="0.45">
      <c r="A672" t="s">
        <v>2642</v>
      </c>
      <c r="B672" s="206">
        <v>713</v>
      </c>
      <c r="C672" t="s">
        <v>3978</v>
      </c>
      <c r="D672" s="206" t="s">
        <v>3979</v>
      </c>
      <c r="E672" s="206" t="str">
        <f t="shared" si="78"/>
        <v>07</v>
      </c>
      <c r="F672" t="str">
        <f t="shared" si="79"/>
        <v>Chi cục thuế Huyện Vĩnh Cửu</v>
      </c>
      <c r="G672" t="str">
        <f t="shared" si="83"/>
        <v>Vĩnh Cửu</v>
      </c>
      <c r="H672" s="206"/>
      <c r="I672" s="206" t="str">
        <f t="shared" si="80"/>
        <v>71307</v>
      </c>
      <c r="J672" t="str">
        <f t="shared" si="82"/>
        <v/>
      </c>
      <c r="K672" t="str">
        <f>IF(J672="","",ROWS($K$70:K672))</f>
        <v/>
      </c>
      <c r="L672" t="str">
        <f>IFERROR(SMALL($K$70:$K$846,ROWS($L$70:L672)),"")</f>
        <v/>
      </c>
      <c r="M672" t="str" cm="1">
        <f t="array" ref="M672">IFERROR(INDEX($F$70:$F$846,L672,1),"")</f>
        <v/>
      </c>
    </row>
    <row r="673" spans="1:13" x14ac:dyDescent="0.45">
      <c r="A673" t="s">
        <v>2642</v>
      </c>
      <c r="B673" s="206">
        <v>713</v>
      </c>
      <c r="C673" t="s">
        <v>3980</v>
      </c>
      <c r="D673" s="206" t="s">
        <v>3981</v>
      </c>
      <c r="E673" s="206" t="str">
        <f t="shared" si="78"/>
        <v>08</v>
      </c>
      <c r="F673" t="str">
        <f t="shared" si="79"/>
        <v>Chi cục thuế Huyện Trảng Bom</v>
      </c>
      <c r="G673" t="str">
        <f t="shared" si="83"/>
        <v>Trảng Bom</v>
      </c>
      <c r="H673" s="206"/>
      <c r="I673" s="206" t="str">
        <f t="shared" si="80"/>
        <v>71308</v>
      </c>
      <c r="J673" t="str">
        <f t="shared" si="82"/>
        <v/>
      </c>
      <c r="K673" t="str">
        <f>IF(J673="","",ROWS($K$70:K673))</f>
        <v/>
      </c>
      <c r="L673" t="str">
        <f>IFERROR(SMALL($K$70:$K$846,ROWS($L$70:L673)),"")</f>
        <v/>
      </c>
      <c r="M673" t="str" cm="1">
        <f t="array" ref="M673">IFERROR(INDEX($F$70:$F$846,L673,1),"")</f>
        <v/>
      </c>
    </row>
    <row r="674" spans="1:13" x14ac:dyDescent="0.45">
      <c r="A674" t="s">
        <v>2642</v>
      </c>
      <c r="B674" s="206">
        <v>713</v>
      </c>
      <c r="C674" t="s">
        <v>3982</v>
      </c>
      <c r="D674" s="206" t="s">
        <v>3983</v>
      </c>
      <c r="E674" s="206" t="str">
        <f t="shared" si="78"/>
        <v>09</v>
      </c>
      <c r="F674" t="str">
        <f t="shared" si="79"/>
        <v>Chi cục thuế Huyện Thống Nhất</v>
      </c>
      <c r="G674" t="str">
        <f t="shared" si="83"/>
        <v>Thống Nhất</v>
      </c>
      <c r="H674" s="206"/>
      <c r="I674" s="206" t="str">
        <f t="shared" si="80"/>
        <v>71309</v>
      </c>
      <c r="J674" t="str">
        <f t="shared" si="82"/>
        <v/>
      </c>
      <c r="K674" t="str">
        <f>IF(J674="","",ROWS($K$70:K674))</f>
        <v/>
      </c>
      <c r="L674" t="str">
        <f>IFERROR(SMALL($K$70:$K$846,ROWS($L$70:L674)),"")</f>
        <v/>
      </c>
      <c r="M674" t="str" cm="1">
        <f t="array" ref="M674">IFERROR(INDEX($F$70:$F$846,L674,1),"")</f>
        <v/>
      </c>
    </row>
    <row r="675" spans="1:13" x14ac:dyDescent="0.45">
      <c r="A675" t="s">
        <v>2642</v>
      </c>
      <c r="B675" s="206">
        <v>713</v>
      </c>
      <c r="C675" t="s">
        <v>3984</v>
      </c>
      <c r="D675" s="206" t="s">
        <v>3985</v>
      </c>
      <c r="E675" s="206" t="str">
        <f t="shared" si="78"/>
        <v>11</v>
      </c>
      <c r="F675" t="str">
        <f t="shared" si="79"/>
        <v>Chi cục thuế Huyện Cẩm Mỹ</v>
      </c>
      <c r="G675" t="str">
        <f t="shared" si="83"/>
        <v>Cẩm Mỹ</v>
      </c>
      <c r="H675" s="206"/>
      <c r="I675" s="206" t="str">
        <f t="shared" si="80"/>
        <v>71311</v>
      </c>
      <c r="J675" t="str">
        <f t="shared" si="82"/>
        <v/>
      </c>
      <c r="K675" t="str">
        <f>IF(J675="","",ROWS($K$70:K675))</f>
        <v/>
      </c>
      <c r="L675" t="str">
        <f>IFERROR(SMALL($K$70:$K$846,ROWS($L$70:L675)),"")</f>
        <v/>
      </c>
      <c r="M675" t="str" cm="1">
        <f t="array" ref="M675">IFERROR(INDEX($F$70:$F$846,L675,1),"")</f>
        <v/>
      </c>
    </row>
    <row r="676" spans="1:13" x14ac:dyDescent="0.45">
      <c r="A676" t="s">
        <v>2642</v>
      </c>
      <c r="B676" s="206">
        <v>713</v>
      </c>
      <c r="C676" t="s">
        <v>3986</v>
      </c>
      <c r="D676" s="206" t="s">
        <v>3987</v>
      </c>
      <c r="E676" s="206" t="str">
        <f t="shared" si="78"/>
        <v>13</v>
      </c>
      <c r="F676" t="str">
        <f t="shared" si="79"/>
        <v>Chi cục thuế Huyện Xuân Lộc</v>
      </c>
      <c r="G676" t="str">
        <f t="shared" si="83"/>
        <v>Xuân Lộc</v>
      </c>
      <c r="H676" s="206"/>
      <c r="I676" s="206" t="str">
        <f t="shared" si="80"/>
        <v>71313</v>
      </c>
      <c r="J676" t="str">
        <f t="shared" si="82"/>
        <v/>
      </c>
      <c r="K676" t="str">
        <f>IF(J676="","",ROWS($K$70:K676))</f>
        <v/>
      </c>
      <c r="L676" t="str">
        <f>IFERROR(SMALL($K$70:$K$846,ROWS($L$70:L676)),"")</f>
        <v/>
      </c>
      <c r="M676" t="str" cm="1">
        <f t="array" ref="M676">IFERROR(INDEX($F$70:$F$846,L676,1),"")</f>
        <v/>
      </c>
    </row>
    <row r="677" spans="1:13" x14ac:dyDescent="0.45">
      <c r="A677" t="s">
        <v>2642</v>
      </c>
      <c r="B677" s="206">
        <v>713</v>
      </c>
      <c r="C677" t="s">
        <v>3988</v>
      </c>
      <c r="D677" s="206" t="s">
        <v>3989</v>
      </c>
      <c r="E677" s="206" t="str">
        <f t="shared" si="78"/>
        <v>15</v>
      </c>
      <c r="F677" t="str">
        <f t="shared" si="79"/>
        <v>Chi cục thuế Huyện Long Thành</v>
      </c>
      <c r="G677" t="str">
        <f t="shared" si="83"/>
        <v>Long Thành</v>
      </c>
      <c r="H677" s="206"/>
      <c r="I677" s="206" t="str">
        <f t="shared" si="80"/>
        <v>71315</v>
      </c>
      <c r="J677" t="str">
        <f t="shared" si="82"/>
        <v/>
      </c>
      <c r="K677" t="str">
        <f>IF(J677="","",ROWS($K$70:K677))</f>
        <v/>
      </c>
      <c r="L677" t="str">
        <f>IFERROR(SMALL($K$70:$K$846,ROWS($L$70:L677)),"")</f>
        <v/>
      </c>
      <c r="M677" t="str" cm="1">
        <f t="array" ref="M677">IFERROR(INDEX($F$70:$F$846,L677,1),"")</f>
        <v/>
      </c>
    </row>
    <row r="678" spans="1:13" x14ac:dyDescent="0.45">
      <c r="A678" t="s">
        <v>2642</v>
      </c>
      <c r="B678" s="206">
        <v>713</v>
      </c>
      <c r="C678" t="s">
        <v>3990</v>
      </c>
      <c r="D678" s="206" t="s">
        <v>3991</v>
      </c>
      <c r="E678" s="206" t="str">
        <f t="shared" si="78"/>
        <v>17</v>
      </c>
      <c r="F678" t="str">
        <f t="shared" si="79"/>
        <v>Chi cục thuế Huyện Nhơn Trạch</v>
      </c>
      <c r="G678" t="str">
        <f t="shared" si="83"/>
        <v>Nhơn Trạch</v>
      </c>
      <c r="H678" s="206"/>
      <c r="I678" s="206" t="str">
        <f t="shared" si="80"/>
        <v>71317</v>
      </c>
      <c r="J678" t="str">
        <f t="shared" si="82"/>
        <v/>
      </c>
      <c r="K678" t="str">
        <f>IF(J678="","",ROWS($K$70:K678))</f>
        <v/>
      </c>
      <c r="L678" t="str">
        <f>IFERROR(SMALL($K$70:$K$846,ROWS($L$70:L678)),"")</f>
        <v/>
      </c>
      <c r="M678" t="str" cm="1">
        <f t="array" ref="M678">IFERROR(INDEX($F$70:$F$846,L678,1),"")</f>
        <v/>
      </c>
    </row>
    <row r="679" spans="1:13" x14ac:dyDescent="0.45">
      <c r="A679" t="s">
        <v>2627</v>
      </c>
      <c r="B679" s="206" t="s">
        <v>3992</v>
      </c>
      <c r="C679" t="s">
        <v>3993</v>
      </c>
      <c r="D679" s="206" t="s">
        <v>3994</v>
      </c>
      <c r="E679" s="206" t="str">
        <f t="shared" si="78"/>
        <v>00</v>
      </c>
      <c r="F679" t="str">
        <f t="shared" si="79"/>
        <v>Cục thuế Tỉnh Bình Thuận</v>
      </c>
      <c r="H679" s="206" t="str">
        <f>IF(E680="01",A680,"")</f>
        <v>Bình Thuận</v>
      </c>
      <c r="I679" s="206" t="str">
        <f t="shared" si="80"/>
        <v>71500</v>
      </c>
      <c r="J679" t="str">
        <f t="shared" si="82"/>
        <v/>
      </c>
      <c r="K679" t="str">
        <f>IF(J679="","",ROWS($K$70:K679))</f>
        <v/>
      </c>
      <c r="L679" t="str">
        <f>IFERROR(SMALL($K$70:$K$846,ROWS($L$70:L679)),"")</f>
        <v/>
      </c>
      <c r="M679" t="str" cm="1">
        <f t="array" ref="M679">IFERROR(INDEX($F$70:$F$846,L679,1),"")</f>
        <v/>
      </c>
    </row>
    <row r="680" spans="1:13" x14ac:dyDescent="0.45">
      <c r="A680" t="s">
        <v>2627</v>
      </c>
      <c r="B680" s="206">
        <v>715</v>
      </c>
      <c r="C680" t="s">
        <v>3995</v>
      </c>
      <c r="D680" s="206" t="s">
        <v>3996</v>
      </c>
      <c r="E680" s="206" t="str">
        <f t="shared" si="78"/>
        <v>01</v>
      </c>
      <c r="F680" t="str">
        <f t="shared" si="79"/>
        <v>Chi cục thuế Thành phố Phan Thiết</v>
      </c>
      <c r="H680" s="206"/>
      <c r="I680" s="206" t="str">
        <f t="shared" si="80"/>
        <v>71501</v>
      </c>
      <c r="J680" t="str">
        <f t="shared" si="82"/>
        <v/>
      </c>
      <c r="K680" t="str">
        <f>IF(J680="","",ROWS($K$70:K680))</f>
        <v/>
      </c>
      <c r="L680" t="str">
        <f>IFERROR(SMALL($K$70:$K$846,ROWS($L$70:L680)),"")</f>
        <v/>
      </c>
      <c r="M680" t="str" cm="1">
        <f t="array" ref="M680">IFERROR(INDEX($F$70:$F$846,L680,1),"")</f>
        <v/>
      </c>
    </row>
    <row r="681" spans="1:13" x14ac:dyDescent="0.45">
      <c r="A681" t="s">
        <v>2627</v>
      </c>
      <c r="B681" s="206">
        <v>715</v>
      </c>
      <c r="C681" t="s">
        <v>3997</v>
      </c>
      <c r="D681" s="206" t="s">
        <v>3998</v>
      </c>
      <c r="E681" s="206" t="str">
        <f t="shared" si="78"/>
        <v>03</v>
      </c>
      <c r="F681" t="str">
        <f t="shared" si="79"/>
        <v>Chi cục thuế Huyện Tuy Phong</v>
      </c>
      <c r="G681" t="str">
        <f>RIGHT(C681,LEN(C681)-6)</f>
        <v>Tuy Phong</v>
      </c>
      <c r="H681" s="206"/>
      <c r="I681" s="206" t="str">
        <f t="shared" si="80"/>
        <v>71503</v>
      </c>
      <c r="J681" t="str">
        <f t="shared" si="82"/>
        <v/>
      </c>
      <c r="K681" t="str">
        <f>IF(J681="","",ROWS($K$70:K681))</f>
        <v/>
      </c>
      <c r="L681" t="str">
        <f>IFERROR(SMALL($K$70:$K$846,ROWS($L$70:L681)),"")</f>
        <v/>
      </c>
      <c r="M681" t="str" cm="1">
        <f t="array" ref="M681">IFERROR(INDEX($F$70:$F$846,L681,1),"")</f>
        <v/>
      </c>
    </row>
    <row r="682" spans="1:13" x14ac:dyDescent="0.45">
      <c r="A682" t="s">
        <v>2627</v>
      </c>
      <c r="B682" s="206">
        <v>715</v>
      </c>
      <c r="C682" t="s">
        <v>3999</v>
      </c>
      <c r="D682" s="206" t="s">
        <v>4000</v>
      </c>
      <c r="E682" s="206" t="str">
        <f t="shared" si="78"/>
        <v>05</v>
      </c>
      <c r="F682" t="str">
        <f t="shared" si="79"/>
        <v>Chi cục thuế Huyện Bắc Bình</v>
      </c>
      <c r="G682" t="str">
        <f>RIGHT(C682,LEN(C682)-6)</f>
        <v>Bắc Bình</v>
      </c>
      <c r="H682" s="206"/>
      <c r="I682" s="206" t="str">
        <f t="shared" si="80"/>
        <v>71505</v>
      </c>
      <c r="J682" t="str">
        <f t="shared" si="82"/>
        <v/>
      </c>
      <c r="K682" t="str">
        <f>IF(J682="","",ROWS($K$70:K682))</f>
        <v/>
      </c>
      <c r="L682" t="str">
        <f>IFERROR(SMALL($K$70:$K$846,ROWS($L$70:L682)),"")</f>
        <v/>
      </c>
      <c r="M682" t="str" cm="1">
        <f t="array" ref="M682">IFERROR(INDEX($F$70:$F$846,L682,1),"")</f>
        <v/>
      </c>
    </row>
    <row r="683" spans="1:13" x14ac:dyDescent="0.45">
      <c r="A683" t="s">
        <v>2627</v>
      </c>
      <c r="B683" s="206">
        <v>715</v>
      </c>
      <c r="C683" t="s">
        <v>4001</v>
      </c>
      <c r="D683" s="206" t="s">
        <v>4002</v>
      </c>
      <c r="E683" s="206" t="str">
        <f t="shared" si="78"/>
        <v>07</v>
      </c>
      <c r="F683" t="str">
        <f t="shared" si="79"/>
        <v>Chi cục thuế Huyện Hàm Thuận Bắc</v>
      </c>
      <c r="G683" t="str">
        <f>RIGHT(C683,LEN(C683)-6)</f>
        <v>Hàm Thuận Bắc</v>
      </c>
      <c r="H683" s="206"/>
      <c r="I683" s="206" t="str">
        <f t="shared" si="80"/>
        <v>71507</v>
      </c>
      <c r="J683" t="str">
        <f t="shared" si="82"/>
        <v/>
      </c>
      <c r="K683" t="str">
        <f>IF(J683="","",ROWS($K$70:K683))</f>
        <v/>
      </c>
      <c r="L683" t="str">
        <f>IFERROR(SMALL($K$70:$K$846,ROWS($L$70:L683)),"")</f>
        <v/>
      </c>
      <c r="M683" t="str" cm="1">
        <f t="array" ref="M683">IFERROR(INDEX($F$70:$F$846,L683,1),"")</f>
        <v/>
      </c>
    </row>
    <row r="684" spans="1:13" x14ac:dyDescent="0.45">
      <c r="A684" t="s">
        <v>2627</v>
      </c>
      <c r="B684" s="206">
        <v>715</v>
      </c>
      <c r="C684" t="s">
        <v>4003</v>
      </c>
      <c r="D684" s="206" t="s">
        <v>4004</v>
      </c>
      <c r="E684" s="206" t="str">
        <f t="shared" si="78"/>
        <v>09</v>
      </c>
      <c r="F684" t="str">
        <f t="shared" si="79"/>
        <v>Chi cục thuế Huyện Hàm Thuận Nam</v>
      </c>
      <c r="G684" t="str">
        <f>RIGHT(C684,LEN(C684)-6)</f>
        <v>Hàm Thuận Nam</v>
      </c>
      <c r="H684" s="206"/>
      <c r="I684" s="206" t="str">
        <f t="shared" si="80"/>
        <v>71509</v>
      </c>
      <c r="J684" t="str">
        <f t="shared" si="82"/>
        <v/>
      </c>
      <c r="K684" t="str">
        <f>IF(J684="","",ROWS($K$70:K684))</f>
        <v/>
      </c>
      <c r="L684" t="str">
        <f>IFERROR(SMALL($K$70:$K$846,ROWS($L$70:L684)),"")</f>
        <v/>
      </c>
      <c r="M684" t="str" cm="1">
        <f t="array" ref="M684">IFERROR(INDEX($F$70:$F$846,L684,1),"")</f>
        <v/>
      </c>
    </row>
    <row r="685" spans="1:13" x14ac:dyDescent="0.45">
      <c r="A685" t="s">
        <v>2627</v>
      </c>
      <c r="B685" s="206">
        <v>715</v>
      </c>
      <c r="C685" t="s">
        <v>4005</v>
      </c>
      <c r="D685" s="206" t="s">
        <v>4006</v>
      </c>
      <c r="E685" s="206" t="str">
        <f t="shared" si="78"/>
        <v>11</v>
      </c>
      <c r="F685" t="str">
        <f t="shared" si="79"/>
        <v>Chi cục thuế Huyện Tánh Linh</v>
      </c>
      <c r="G685" t="str">
        <f>RIGHT(C685,LEN(C685)-6)</f>
        <v>Tánh Linh</v>
      </c>
      <c r="H685" s="206"/>
      <c r="I685" s="206" t="str">
        <f t="shared" si="80"/>
        <v>71511</v>
      </c>
      <c r="J685" t="str">
        <f t="shared" si="82"/>
        <v/>
      </c>
      <c r="K685" t="str">
        <f>IF(J685="","",ROWS($K$70:K685))</f>
        <v/>
      </c>
      <c r="L685" t="str">
        <f>IFERROR(SMALL($K$70:$K$846,ROWS($L$70:L685)),"")</f>
        <v/>
      </c>
      <c r="M685" t="str" cm="1">
        <f t="array" ref="M685">IFERROR(INDEX($F$70:$F$846,L685,1),"")</f>
        <v/>
      </c>
    </row>
    <row r="686" spans="1:13" x14ac:dyDescent="0.45">
      <c r="A686" t="s">
        <v>2627</v>
      </c>
      <c r="B686" s="206">
        <v>715</v>
      </c>
      <c r="C686" t="s">
        <v>4007</v>
      </c>
      <c r="D686" s="206" t="s">
        <v>4008</v>
      </c>
      <c r="E686" s="206" t="str">
        <f t="shared" si="78"/>
        <v>13</v>
      </c>
      <c r="F686" t="str">
        <f t="shared" si="79"/>
        <v>Chi cục thuế Thị xã La Gi</v>
      </c>
      <c r="H686" s="206"/>
      <c r="I686" s="206" t="str">
        <f t="shared" si="80"/>
        <v>71513</v>
      </c>
      <c r="J686" t="str">
        <f t="shared" si="82"/>
        <v/>
      </c>
      <c r="K686" t="str">
        <f>IF(J686="","",ROWS($K$70:K686))</f>
        <v/>
      </c>
      <c r="L686" t="str">
        <f>IFERROR(SMALL($K$70:$K$846,ROWS($L$70:L686)),"")</f>
        <v/>
      </c>
      <c r="M686" t="str" cm="1">
        <f t="array" ref="M686">IFERROR(INDEX($F$70:$F$846,L686,1),"")</f>
        <v/>
      </c>
    </row>
    <row r="687" spans="1:13" x14ac:dyDescent="0.45">
      <c r="A687" t="s">
        <v>2627</v>
      </c>
      <c r="B687" s="206">
        <v>715</v>
      </c>
      <c r="C687" t="s">
        <v>4009</v>
      </c>
      <c r="D687" s="206" t="s">
        <v>4010</v>
      </c>
      <c r="E687" s="206" t="str">
        <f t="shared" si="78"/>
        <v>14</v>
      </c>
      <c r="F687" t="str">
        <f t="shared" si="79"/>
        <v>Chi cục thuế Huyện Hàm Tân</v>
      </c>
      <c r="G687" t="str">
        <f>RIGHT(C687,LEN(C687)-6)</f>
        <v>Hàm Tân</v>
      </c>
      <c r="H687" s="206"/>
      <c r="I687" s="206" t="str">
        <f t="shared" si="80"/>
        <v>71514</v>
      </c>
      <c r="J687" t="str">
        <f t="shared" si="82"/>
        <v/>
      </c>
      <c r="K687" t="str">
        <f>IF(J687="","",ROWS($K$70:K687))</f>
        <v/>
      </c>
      <c r="L687" t="str">
        <f>IFERROR(SMALL($K$70:$K$846,ROWS($L$70:L687)),"")</f>
        <v/>
      </c>
      <c r="M687" t="str" cm="1">
        <f t="array" ref="M687">IFERROR(INDEX($F$70:$F$846,L687,1),"")</f>
        <v/>
      </c>
    </row>
    <row r="688" spans="1:13" x14ac:dyDescent="0.45">
      <c r="A688" t="s">
        <v>2627</v>
      </c>
      <c r="B688" s="206">
        <v>715</v>
      </c>
      <c r="C688" t="s">
        <v>4011</v>
      </c>
      <c r="D688" s="206" t="s">
        <v>4012</v>
      </c>
      <c r="E688" s="206" t="str">
        <f t="shared" si="78"/>
        <v>15</v>
      </c>
      <c r="F688" t="str">
        <f t="shared" si="79"/>
        <v>Chi cục thuế Huyện Đức Linh</v>
      </c>
      <c r="G688" t="str">
        <f>RIGHT(C688,LEN(C688)-6)</f>
        <v>Đức Linh</v>
      </c>
      <c r="H688" s="206"/>
      <c r="I688" s="206" t="str">
        <f t="shared" si="80"/>
        <v>71515</v>
      </c>
      <c r="J688" t="str">
        <f t="shared" si="82"/>
        <v/>
      </c>
      <c r="K688" t="str">
        <f>IF(J688="","",ROWS($K$70:K688))</f>
        <v/>
      </c>
      <c r="L688" t="str">
        <f>IFERROR(SMALL($K$70:$K$846,ROWS($L$70:L688)),"")</f>
        <v/>
      </c>
      <c r="M688" t="str" cm="1">
        <f t="array" ref="M688">IFERROR(INDEX($F$70:$F$846,L688,1),"")</f>
        <v/>
      </c>
    </row>
    <row r="689" spans="1:13" x14ac:dyDescent="0.45">
      <c r="A689" t="s">
        <v>2627</v>
      </c>
      <c r="B689" s="206">
        <v>715</v>
      </c>
      <c r="C689" t="s">
        <v>4013</v>
      </c>
      <c r="D689" s="206" t="s">
        <v>4014</v>
      </c>
      <c r="E689" s="206" t="str">
        <f t="shared" si="78"/>
        <v>17</v>
      </c>
      <c r="F689" t="str">
        <f t="shared" si="79"/>
        <v>Chi cục thuế Huyện Phú Quý</v>
      </c>
      <c r="G689" t="str">
        <f>RIGHT(C689,LEN(C689)-6)</f>
        <v>Phú Quý</v>
      </c>
      <c r="H689" s="206"/>
      <c r="I689" s="206" t="str">
        <f t="shared" si="80"/>
        <v>71517</v>
      </c>
      <c r="J689" t="str">
        <f t="shared" si="82"/>
        <v/>
      </c>
      <c r="K689" t="str">
        <f>IF(J689="","",ROWS($K$70:K689))</f>
        <v/>
      </c>
      <c r="L689" t="str">
        <f>IFERROR(SMALL($K$70:$K$846,ROWS($L$70:L689)),"")</f>
        <v/>
      </c>
      <c r="M689" t="str" cm="1">
        <f t="array" ref="M689">IFERROR(INDEX($F$70:$F$846,L689,1),"")</f>
        <v/>
      </c>
    </row>
    <row r="690" spans="1:13" x14ac:dyDescent="0.45">
      <c r="A690" t="s">
        <v>2610</v>
      </c>
      <c r="B690" s="206" t="s">
        <v>4015</v>
      </c>
      <c r="C690" t="s">
        <v>4016</v>
      </c>
      <c r="D690" s="206" t="s">
        <v>4017</v>
      </c>
      <c r="E690" s="206" t="str">
        <f t="shared" si="78"/>
        <v>00</v>
      </c>
      <c r="F690" t="str">
        <f t="shared" si="79"/>
        <v>Cục thuế Tỉnh Bà Rịa - Vũng Tàu</v>
      </c>
      <c r="H690" s="206" t="str">
        <f>IF(E691="01",A691,"")</f>
        <v>Bà Rịa - Vũng Tàu</v>
      </c>
      <c r="I690" s="206" t="str">
        <f t="shared" si="80"/>
        <v>71700</v>
      </c>
      <c r="J690" t="str">
        <f t="shared" si="82"/>
        <v/>
      </c>
      <c r="K690" t="str">
        <f>IF(J690="","",ROWS($K$70:K690))</f>
        <v/>
      </c>
      <c r="L690" t="str">
        <f>IFERROR(SMALL($K$70:$K$846,ROWS($L$70:L690)),"")</f>
        <v/>
      </c>
      <c r="M690" t="str" cm="1">
        <f t="array" ref="M690">IFERROR(INDEX($F$70:$F$846,L690,1),"")</f>
        <v/>
      </c>
    </row>
    <row r="691" spans="1:13" x14ac:dyDescent="0.45">
      <c r="A691" t="s">
        <v>2610</v>
      </c>
      <c r="B691" s="206">
        <v>717</v>
      </c>
      <c r="C691" t="s">
        <v>4018</v>
      </c>
      <c r="D691" s="206" t="s">
        <v>4019</v>
      </c>
      <c r="E691" s="206" t="str">
        <f t="shared" si="78"/>
        <v>01</v>
      </c>
      <c r="F691" t="str">
        <f t="shared" si="79"/>
        <v>Chi cục thuế Thành Phố Vũng Tàu</v>
      </c>
      <c r="H691" s="206"/>
      <c r="I691" s="206" t="str">
        <f t="shared" si="80"/>
        <v>71701</v>
      </c>
      <c r="J691" t="str">
        <f t="shared" si="82"/>
        <v/>
      </c>
      <c r="K691" t="str">
        <f>IF(J691="","",ROWS($K$70:K691))</f>
        <v/>
      </c>
      <c r="L691" t="str">
        <f>IFERROR(SMALL($K$70:$K$846,ROWS($L$70:L691)),"")</f>
        <v/>
      </c>
      <c r="M691" t="str" cm="1">
        <f t="array" ref="M691">IFERROR(INDEX($F$70:$F$846,L691,1),"")</f>
        <v/>
      </c>
    </row>
    <row r="692" spans="1:13" x14ac:dyDescent="0.45">
      <c r="A692" t="s">
        <v>2610</v>
      </c>
      <c r="B692" s="206">
        <v>717</v>
      </c>
      <c r="C692" t="s">
        <v>4020</v>
      </c>
      <c r="D692" s="206" t="s">
        <v>4021</v>
      </c>
      <c r="E692" s="206" t="str">
        <f t="shared" si="78"/>
        <v>03</v>
      </c>
      <c r="F692" t="str">
        <f t="shared" si="79"/>
        <v>Chi cục thuế Thành phố Bà Rịa</v>
      </c>
      <c r="H692" s="206"/>
      <c r="I692" s="206" t="str">
        <f t="shared" si="80"/>
        <v>71703</v>
      </c>
      <c r="J692" t="str">
        <f t="shared" si="82"/>
        <v/>
      </c>
      <c r="K692" t="str">
        <f>IF(J692="","",ROWS($K$70:K692))</f>
        <v/>
      </c>
      <c r="L692" t="str">
        <f>IFERROR(SMALL($K$70:$K$846,ROWS($L$70:L692)),"")</f>
        <v/>
      </c>
      <c r="M692" t="str" cm="1">
        <f t="array" ref="M692">IFERROR(INDEX($F$70:$F$846,L692,1),"")</f>
        <v/>
      </c>
    </row>
    <row r="693" spans="1:13" x14ac:dyDescent="0.45">
      <c r="A693" t="s">
        <v>2610</v>
      </c>
      <c r="B693" s="206">
        <v>717</v>
      </c>
      <c r="C693" t="s">
        <v>4022</v>
      </c>
      <c r="D693" s="206" t="s">
        <v>4023</v>
      </c>
      <c r="E693" s="206" t="str">
        <f t="shared" si="78"/>
        <v>05</v>
      </c>
      <c r="F693" t="str">
        <f t="shared" si="79"/>
        <v>Chi cục thuế Huyện Châu Đức</v>
      </c>
      <c r="G693" t="str">
        <f t="shared" ref="G693:G698" si="84">RIGHT(C693,LEN(C693)-6)</f>
        <v>Châu Đức</v>
      </c>
      <c r="H693" s="206"/>
      <c r="I693" s="206" t="str">
        <f t="shared" si="80"/>
        <v>71705</v>
      </c>
      <c r="J693" t="str">
        <f t="shared" si="82"/>
        <v/>
      </c>
      <c r="K693" t="str">
        <f>IF(J693="","",ROWS($K$70:K693))</f>
        <v/>
      </c>
      <c r="L693" t="str">
        <f>IFERROR(SMALL($K$70:$K$846,ROWS($L$70:L693)),"")</f>
        <v/>
      </c>
      <c r="M693" t="str" cm="1">
        <f t="array" ref="M693">IFERROR(INDEX($F$70:$F$846,L693,1),"")</f>
        <v/>
      </c>
    </row>
    <row r="694" spans="1:13" x14ac:dyDescent="0.45">
      <c r="A694" t="s">
        <v>2610</v>
      </c>
      <c r="B694" s="206">
        <v>717</v>
      </c>
      <c r="C694" t="s">
        <v>4024</v>
      </c>
      <c r="D694" s="206" t="s">
        <v>4025</v>
      </c>
      <c r="E694" s="206" t="str">
        <f t="shared" si="78"/>
        <v>07</v>
      </c>
      <c r="F694" t="str">
        <f t="shared" si="79"/>
        <v>Chi cục thuế Huyện Xuyên Mộc</v>
      </c>
      <c r="G694" t="str">
        <f t="shared" si="84"/>
        <v>Xuyên Mộc</v>
      </c>
      <c r="H694" s="206"/>
      <c r="I694" s="206" t="str">
        <f t="shared" si="80"/>
        <v>71707</v>
      </c>
      <c r="J694" t="str">
        <f t="shared" si="82"/>
        <v/>
      </c>
      <c r="K694" t="str">
        <f>IF(J694="","",ROWS($K$70:K694))</f>
        <v/>
      </c>
      <c r="L694" t="str">
        <f>IFERROR(SMALL($K$70:$K$846,ROWS($L$70:L694)),"")</f>
        <v/>
      </c>
      <c r="M694" t="str" cm="1">
        <f t="array" ref="M694">IFERROR(INDEX($F$70:$F$846,L694,1),"")</f>
        <v/>
      </c>
    </row>
    <row r="695" spans="1:13" x14ac:dyDescent="0.45">
      <c r="A695" t="s">
        <v>2610</v>
      </c>
      <c r="B695" s="206">
        <v>717</v>
      </c>
      <c r="C695" t="s">
        <v>4026</v>
      </c>
      <c r="D695" s="206" t="s">
        <v>4027</v>
      </c>
      <c r="E695" s="206" t="str">
        <f t="shared" si="78"/>
        <v>09</v>
      </c>
      <c r="F695" t="str">
        <f t="shared" si="79"/>
        <v>Chi cục thuế Huyện Tân Thành</v>
      </c>
      <c r="G695" t="str">
        <f t="shared" si="84"/>
        <v>Tân Thành</v>
      </c>
      <c r="H695" s="206"/>
      <c r="I695" s="206" t="str">
        <f t="shared" si="80"/>
        <v>71709</v>
      </c>
      <c r="J695" t="str">
        <f t="shared" si="82"/>
        <v/>
      </c>
      <c r="K695" t="str">
        <f>IF(J695="","",ROWS($K$70:K695))</f>
        <v/>
      </c>
      <c r="L695" t="str">
        <f>IFERROR(SMALL($K$70:$K$846,ROWS($L$70:L695)),"")</f>
        <v/>
      </c>
      <c r="M695" t="str" cm="1">
        <f t="array" ref="M695">IFERROR(INDEX($F$70:$F$846,L695,1),"")</f>
        <v/>
      </c>
    </row>
    <row r="696" spans="1:13" x14ac:dyDescent="0.45">
      <c r="A696" t="s">
        <v>2610</v>
      </c>
      <c r="B696" s="206">
        <v>717</v>
      </c>
      <c r="C696" t="s">
        <v>4028</v>
      </c>
      <c r="D696" s="206" t="s">
        <v>4029</v>
      </c>
      <c r="E696" s="206" t="str">
        <f t="shared" si="78"/>
        <v>11</v>
      </c>
      <c r="F696" t="str">
        <f t="shared" si="79"/>
        <v>Chi cục thuế Huyện Long Điền</v>
      </c>
      <c r="G696" t="str">
        <f t="shared" si="84"/>
        <v>Long Điền</v>
      </c>
      <c r="H696" s="206"/>
      <c r="I696" s="206" t="str">
        <f t="shared" si="80"/>
        <v>71711</v>
      </c>
      <c r="J696" t="str">
        <f t="shared" si="82"/>
        <v/>
      </c>
      <c r="K696" t="str">
        <f>IF(J696="","",ROWS($K$70:K696))</f>
        <v/>
      </c>
      <c r="L696" t="str">
        <f>IFERROR(SMALL($K$70:$K$846,ROWS($L$70:L696)),"")</f>
        <v/>
      </c>
      <c r="M696" t="str" cm="1">
        <f t="array" ref="M696">IFERROR(INDEX($F$70:$F$846,L696,1),"")</f>
        <v/>
      </c>
    </row>
    <row r="697" spans="1:13" x14ac:dyDescent="0.45">
      <c r="A697" t="s">
        <v>2610</v>
      </c>
      <c r="B697" s="206">
        <v>717</v>
      </c>
      <c r="C697" t="s">
        <v>4030</v>
      </c>
      <c r="D697" s="206" t="s">
        <v>4031</v>
      </c>
      <c r="E697" s="206" t="str">
        <f t="shared" si="78"/>
        <v>12</v>
      </c>
      <c r="F697" t="str">
        <f t="shared" si="79"/>
        <v>Chi cục thuế Huyện Đất đỏ</v>
      </c>
      <c r="G697" t="str">
        <f t="shared" si="84"/>
        <v>Đất đỏ</v>
      </c>
      <c r="H697" s="206"/>
      <c r="I697" s="206" t="str">
        <f t="shared" si="80"/>
        <v>71712</v>
      </c>
      <c r="J697" t="str">
        <f t="shared" si="82"/>
        <v/>
      </c>
      <c r="K697" t="str">
        <f>IF(J697="","",ROWS($K$70:K697))</f>
        <v/>
      </c>
      <c r="L697" t="str">
        <f>IFERROR(SMALL($K$70:$K$846,ROWS($L$70:L697)),"")</f>
        <v/>
      </c>
      <c r="M697" t="str" cm="1">
        <f t="array" ref="M697">IFERROR(INDEX($F$70:$F$846,L697,1),"")</f>
        <v/>
      </c>
    </row>
    <row r="698" spans="1:13" x14ac:dyDescent="0.45">
      <c r="A698" t="s">
        <v>2610</v>
      </c>
      <c r="B698" s="206">
        <v>717</v>
      </c>
      <c r="C698" t="s">
        <v>4032</v>
      </c>
      <c r="D698" s="206" t="s">
        <v>4033</v>
      </c>
      <c r="E698" s="206" t="str">
        <f t="shared" si="78"/>
        <v>13</v>
      </c>
      <c r="F698" t="str">
        <f t="shared" si="79"/>
        <v>Chi cục thuế Huyện Côn Đảo</v>
      </c>
      <c r="G698" t="str">
        <f t="shared" si="84"/>
        <v>Côn Đảo</v>
      </c>
      <c r="H698" s="206"/>
      <c r="I698" s="206" t="str">
        <f t="shared" si="80"/>
        <v>71713</v>
      </c>
      <c r="J698" t="str">
        <f t="shared" si="82"/>
        <v/>
      </c>
      <c r="K698" t="str">
        <f>IF(J698="","",ROWS($K$70:K698))</f>
        <v/>
      </c>
      <c r="L698" t="str">
        <f>IFERROR(SMALL($K$70:$K$846,ROWS($L$70:L698)),"")</f>
        <v/>
      </c>
      <c r="M698" t="str" cm="1">
        <f t="array" ref="M698">IFERROR(INDEX($F$70:$F$846,L698,1),"")</f>
        <v/>
      </c>
    </row>
    <row r="699" spans="1:13" x14ac:dyDescent="0.45">
      <c r="A699" t="s">
        <v>2678</v>
      </c>
      <c r="B699" s="206" t="s">
        <v>4034</v>
      </c>
      <c r="C699" t="s">
        <v>4035</v>
      </c>
      <c r="D699" s="206" t="s">
        <v>4036</v>
      </c>
      <c r="E699" s="206" t="str">
        <f t="shared" si="78"/>
        <v>00</v>
      </c>
      <c r="F699" t="str">
        <f t="shared" si="79"/>
        <v>Cục thuế Tỉnh Long An</v>
      </c>
      <c r="H699" s="206" t="str">
        <f>IF(E700="01",A700,"")</f>
        <v>Long An</v>
      </c>
      <c r="I699" s="206" t="str">
        <f t="shared" si="80"/>
        <v>80100</v>
      </c>
      <c r="J699" t="str">
        <f t="shared" si="82"/>
        <v/>
      </c>
      <c r="K699" t="str">
        <f>IF(J699="","",ROWS($K$70:K699))</f>
        <v/>
      </c>
      <c r="L699" t="str">
        <f>IFERROR(SMALL($K$70:$K$846,ROWS($L$70:L699)),"")</f>
        <v/>
      </c>
      <c r="M699" t="str" cm="1">
        <f t="array" ref="M699">IFERROR(INDEX($F$70:$F$846,L699,1),"")</f>
        <v/>
      </c>
    </row>
    <row r="700" spans="1:13" x14ac:dyDescent="0.45">
      <c r="A700" t="s">
        <v>2678</v>
      </c>
      <c r="B700" s="206">
        <v>801</v>
      </c>
      <c r="C700" t="s">
        <v>4037</v>
      </c>
      <c r="D700" s="206" t="s">
        <v>4038</v>
      </c>
      <c r="E700" s="206" t="str">
        <f t="shared" si="78"/>
        <v>01</v>
      </c>
      <c r="F700" t="str">
        <f t="shared" si="79"/>
        <v>Chi cục thuế Thành phố Tân An</v>
      </c>
      <c r="H700" s="206"/>
      <c r="I700" s="206" t="str">
        <f t="shared" si="80"/>
        <v>80101</v>
      </c>
      <c r="J700" t="str">
        <f t="shared" si="82"/>
        <v/>
      </c>
      <c r="K700" t="str">
        <f>IF(J700="","",ROWS($K$70:K700))</f>
        <v/>
      </c>
      <c r="L700" t="str">
        <f>IFERROR(SMALL($K$70:$K$846,ROWS($L$70:L700)),"")</f>
        <v/>
      </c>
      <c r="M700" t="str" cm="1">
        <f t="array" ref="M700">IFERROR(INDEX($F$70:$F$846,L700,1),"")</f>
        <v/>
      </c>
    </row>
    <row r="701" spans="1:13" x14ac:dyDescent="0.45">
      <c r="A701" t="s">
        <v>2678</v>
      </c>
      <c r="B701" s="206">
        <v>801</v>
      </c>
      <c r="C701" t="s">
        <v>4039</v>
      </c>
      <c r="D701" s="206" t="s">
        <v>4040</v>
      </c>
      <c r="E701" s="206" t="str">
        <f t="shared" si="78"/>
        <v>03</v>
      </c>
      <c r="F701" t="str">
        <f t="shared" si="79"/>
        <v>Chi cục thuế Huyện Tân Hưng</v>
      </c>
      <c r="G701" t="str">
        <f t="shared" ref="G701:G713" si="85">RIGHT(C701,LEN(C701)-6)</f>
        <v>Tân Hưng</v>
      </c>
      <c r="H701" s="206"/>
      <c r="I701" s="206" t="str">
        <f t="shared" si="80"/>
        <v>80103</v>
      </c>
      <c r="J701" t="str">
        <f t="shared" si="82"/>
        <v/>
      </c>
      <c r="K701" t="str">
        <f>IF(J701="","",ROWS($K$70:K701))</f>
        <v/>
      </c>
      <c r="L701" t="str">
        <f>IFERROR(SMALL($K$70:$K$846,ROWS($L$70:L701)),"")</f>
        <v/>
      </c>
      <c r="M701" t="str" cm="1">
        <f t="array" ref="M701">IFERROR(INDEX($F$70:$F$846,L701,1),"")</f>
        <v/>
      </c>
    </row>
    <row r="702" spans="1:13" x14ac:dyDescent="0.45">
      <c r="A702" t="s">
        <v>2678</v>
      </c>
      <c r="B702" s="206">
        <v>801</v>
      </c>
      <c r="C702" t="s">
        <v>4041</v>
      </c>
      <c r="D702" s="206" t="s">
        <v>4042</v>
      </c>
      <c r="E702" s="206" t="str">
        <f t="shared" si="78"/>
        <v>05</v>
      </c>
      <c r="F702" t="str">
        <f t="shared" si="79"/>
        <v>Chi cục thuế Huyện Vĩnh Hưng</v>
      </c>
      <c r="G702" t="str">
        <f t="shared" si="85"/>
        <v>Vĩnh Hưng</v>
      </c>
      <c r="H702" s="206"/>
      <c r="I702" s="206" t="str">
        <f t="shared" si="80"/>
        <v>80105</v>
      </c>
      <c r="J702" t="str">
        <f t="shared" si="82"/>
        <v/>
      </c>
      <c r="K702" t="str">
        <f>IF(J702="","",ROWS($K$70:K702))</f>
        <v/>
      </c>
      <c r="L702" t="str">
        <f>IFERROR(SMALL($K$70:$K$846,ROWS($L$70:L702)),"")</f>
        <v/>
      </c>
      <c r="M702" t="str" cm="1">
        <f t="array" ref="M702">IFERROR(INDEX($F$70:$F$846,L702,1),"")</f>
        <v/>
      </c>
    </row>
    <row r="703" spans="1:13" x14ac:dyDescent="0.45">
      <c r="A703" t="s">
        <v>2678</v>
      </c>
      <c r="B703" s="206">
        <v>801</v>
      </c>
      <c r="C703" t="s">
        <v>4043</v>
      </c>
      <c r="D703" s="206" t="s">
        <v>4044</v>
      </c>
      <c r="E703" s="206" t="str">
        <f t="shared" si="78"/>
        <v>07</v>
      </c>
      <c r="F703" t="str">
        <f t="shared" si="79"/>
        <v>Chi cục thuế Huyện Mộc Hoá</v>
      </c>
      <c r="G703" t="str">
        <f t="shared" si="85"/>
        <v>Mộc Hoá</v>
      </c>
      <c r="H703" s="206"/>
      <c r="I703" s="206" t="str">
        <f t="shared" si="80"/>
        <v>80107</v>
      </c>
      <c r="J703" t="str">
        <f t="shared" si="82"/>
        <v/>
      </c>
      <c r="K703" t="str">
        <f>IF(J703="","",ROWS($K$70:K703))</f>
        <v/>
      </c>
      <c r="L703" t="str">
        <f>IFERROR(SMALL($K$70:$K$846,ROWS($L$70:L703)),"")</f>
        <v/>
      </c>
      <c r="M703" t="str" cm="1">
        <f t="array" ref="M703">IFERROR(INDEX($F$70:$F$846,L703,1),"")</f>
        <v/>
      </c>
    </row>
    <row r="704" spans="1:13" x14ac:dyDescent="0.45">
      <c r="A704" t="s">
        <v>2678</v>
      </c>
      <c r="B704" s="206">
        <v>801</v>
      </c>
      <c r="C704" t="s">
        <v>4045</v>
      </c>
      <c r="D704" s="206" t="s">
        <v>4046</v>
      </c>
      <c r="E704" s="206" t="str">
        <f t="shared" si="78"/>
        <v>09</v>
      </c>
      <c r="F704" t="str">
        <f t="shared" si="79"/>
        <v>Chi cục thuế Huyện Tân Thạnh</v>
      </c>
      <c r="G704" t="str">
        <f t="shared" si="85"/>
        <v>Tân Thạnh</v>
      </c>
      <c r="H704" s="206"/>
      <c r="I704" s="206" t="str">
        <f t="shared" si="80"/>
        <v>80109</v>
      </c>
      <c r="J704" t="str">
        <f t="shared" si="82"/>
        <v/>
      </c>
      <c r="K704" t="str">
        <f>IF(J704="","",ROWS($K$70:K704))</f>
        <v/>
      </c>
      <c r="L704" t="str">
        <f>IFERROR(SMALL($K$70:$K$846,ROWS($L$70:L704)),"")</f>
        <v/>
      </c>
      <c r="M704" t="str" cm="1">
        <f t="array" ref="M704">IFERROR(INDEX($F$70:$F$846,L704,1),"")</f>
        <v/>
      </c>
    </row>
    <row r="705" spans="1:13" x14ac:dyDescent="0.45">
      <c r="A705" t="s">
        <v>2678</v>
      </c>
      <c r="B705" s="206">
        <v>801</v>
      </c>
      <c r="C705" t="s">
        <v>4047</v>
      </c>
      <c r="D705" s="206" t="s">
        <v>4048</v>
      </c>
      <c r="E705" s="206" t="str">
        <f t="shared" si="78"/>
        <v>11</v>
      </c>
      <c r="F705" t="str">
        <f t="shared" si="79"/>
        <v>Chi cục thuế Huyện Thạnh Hoá</v>
      </c>
      <c r="G705" t="str">
        <f t="shared" si="85"/>
        <v>Thạnh Hoá</v>
      </c>
      <c r="H705" s="206"/>
      <c r="I705" s="206" t="str">
        <f t="shared" si="80"/>
        <v>80111</v>
      </c>
      <c r="J705" t="str">
        <f t="shared" si="82"/>
        <v/>
      </c>
      <c r="K705" t="str">
        <f>IF(J705="","",ROWS($K$70:K705))</f>
        <v/>
      </c>
      <c r="L705" t="str">
        <f>IFERROR(SMALL($K$70:$K$846,ROWS($L$70:L705)),"")</f>
        <v/>
      </c>
      <c r="M705" t="str" cm="1">
        <f t="array" ref="M705">IFERROR(INDEX($F$70:$F$846,L705,1),"")</f>
        <v/>
      </c>
    </row>
    <row r="706" spans="1:13" x14ac:dyDescent="0.45">
      <c r="A706" t="s">
        <v>2678</v>
      </c>
      <c r="B706" s="206">
        <v>801</v>
      </c>
      <c r="C706" t="s">
        <v>4049</v>
      </c>
      <c r="D706" s="206" t="s">
        <v>4050</v>
      </c>
      <c r="E706" s="206" t="str">
        <f t="shared" si="78"/>
        <v>13</v>
      </c>
      <c r="F706" t="str">
        <f t="shared" si="79"/>
        <v>Chi cục thuế Huyện Đức Huệ</v>
      </c>
      <c r="G706" t="str">
        <f t="shared" si="85"/>
        <v>Đức Huệ</v>
      </c>
      <c r="H706" s="206"/>
      <c r="I706" s="206" t="str">
        <f t="shared" si="80"/>
        <v>80113</v>
      </c>
      <c r="J706" t="str">
        <f t="shared" si="82"/>
        <v/>
      </c>
      <c r="K706" t="str">
        <f>IF(J706="","",ROWS($K$70:K706))</f>
        <v/>
      </c>
      <c r="L706" t="str">
        <f>IFERROR(SMALL($K$70:$K$846,ROWS($L$70:L706)),"")</f>
        <v/>
      </c>
      <c r="M706" t="str" cm="1">
        <f t="array" ref="M706">IFERROR(INDEX($F$70:$F$846,L706,1),"")</f>
        <v/>
      </c>
    </row>
    <row r="707" spans="1:13" x14ac:dyDescent="0.45">
      <c r="A707" t="s">
        <v>2678</v>
      </c>
      <c r="B707" s="206">
        <v>801</v>
      </c>
      <c r="C707" t="s">
        <v>4051</v>
      </c>
      <c r="D707" s="206" t="s">
        <v>4052</v>
      </c>
      <c r="E707" s="206" t="str">
        <f t="shared" si="78"/>
        <v>15</v>
      </c>
      <c r="F707" t="str">
        <f t="shared" si="79"/>
        <v>Chi cục thuế Huyện Đức Hòa</v>
      </c>
      <c r="G707" t="str">
        <f t="shared" si="85"/>
        <v>Đức Hòa</v>
      </c>
      <c r="H707" s="206"/>
      <c r="I707" s="206" t="str">
        <f t="shared" si="80"/>
        <v>80115</v>
      </c>
      <c r="J707" t="str">
        <f t="shared" si="82"/>
        <v/>
      </c>
      <c r="K707" t="str">
        <f>IF(J707="","",ROWS($K$70:K707))</f>
        <v/>
      </c>
      <c r="L707" t="str">
        <f>IFERROR(SMALL($K$70:$K$846,ROWS($L$70:L707)),"")</f>
        <v/>
      </c>
      <c r="M707" t="str" cm="1">
        <f t="array" ref="M707">IFERROR(INDEX($F$70:$F$846,L707,1),"")</f>
        <v/>
      </c>
    </row>
    <row r="708" spans="1:13" x14ac:dyDescent="0.45">
      <c r="A708" t="s">
        <v>2678</v>
      </c>
      <c r="B708" s="206">
        <v>801</v>
      </c>
      <c r="C708" t="s">
        <v>4053</v>
      </c>
      <c r="D708" s="206" t="s">
        <v>4054</v>
      </c>
      <c r="E708" s="206" t="str">
        <f t="shared" si="78"/>
        <v>17</v>
      </c>
      <c r="F708" t="str">
        <f t="shared" si="79"/>
        <v>Chi cục thuế Huyện Bến Lức</v>
      </c>
      <c r="G708" t="str">
        <f t="shared" si="85"/>
        <v>Bến Lức</v>
      </c>
      <c r="H708" s="206"/>
      <c r="I708" s="206" t="str">
        <f t="shared" si="80"/>
        <v>80117</v>
      </c>
      <c r="J708" t="str">
        <f t="shared" si="82"/>
        <v/>
      </c>
      <c r="K708" t="str">
        <f>IF(J708="","",ROWS($K$70:K708))</f>
        <v/>
      </c>
      <c r="L708" t="str">
        <f>IFERROR(SMALL($K$70:$K$846,ROWS($L$70:L708)),"")</f>
        <v/>
      </c>
      <c r="M708" t="str" cm="1">
        <f t="array" ref="M708">IFERROR(INDEX($F$70:$F$846,L708,1),"")</f>
        <v/>
      </c>
    </row>
    <row r="709" spans="1:13" x14ac:dyDescent="0.45">
      <c r="A709" t="s">
        <v>2678</v>
      </c>
      <c r="B709" s="206">
        <v>801</v>
      </c>
      <c r="C709" t="s">
        <v>4055</v>
      </c>
      <c r="D709" s="206" t="s">
        <v>4056</v>
      </c>
      <c r="E709" s="206" t="str">
        <f t="shared" si="78"/>
        <v>19</v>
      </c>
      <c r="F709" t="str">
        <f t="shared" si="79"/>
        <v>Chi cục thuế Huyện Thủ Thừa</v>
      </c>
      <c r="G709" t="str">
        <f t="shared" si="85"/>
        <v>Thủ Thừa</v>
      </c>
      <c r="H709" s="206"/>
      <c r="I709" s="206" t="str">
        <f t="shared" si="80"/>
        <v>80119</v>
      </c>
      <c r="J709" t="str">
        <f t="shared" si="82"/>
        <v/>
      </c>
      <c r="K709" t="str">
        <f>IF(J709="","",ROWS($K$70:K709))</f>
        <v/>
      </c>
      <c r="L709" t="str">
        <f>IFERROR(SMALL($K$70:$K$846,ROWS($L$70:L709)),"")</f>
        <v/>
      </c>
      <c r="M709" t="str" cm="1">
        <f t="array" ref="M709">IFERROR(INDEX($F$70:$F$846,L709,1),"")</f>
        <v/>
      </c>
    </row>
    <row r="710" spans="1:13" x14ac:dyDescent="0.45">
      <c r="A710" t="s">
        <v>2678</v>
      </c>
      <c r="B710" s="206">
        <v>801</v>
      </c>
      <c r="C710" t="s">
        <v>4057</v>
      </c>
      <c r="D710" s="206" t="s">
        <v>4058</v>
      </c>
      <c r="E710" s="206" t="str">
        <f t="shared" si="78"/>
        <v>21</v>
      </c>
      <c r="F710" t="str">
        <f t="shared" si="79"/>
        <v xml:space="preserve">Chi cục thuế Huyện Châu Thành </v>
      </c>
      <c r="G710" t="str">
        <f t="shared" si="85"/>
        <v xml:space="preserve">Châu Thành </v>
      </c>
      <c r="H710" s="206"/>
      <c r="I710" s="206" t="str">
        <f t="shared" si="80"/>
        <v>80121</v>
      </c>
      <c r="J710" t="str">
        <f t="shared" si="82"/>
        <v/>
      </c>
      <c r="K710" t="str">
        <f>IF(J710="","",ROWS($K$70:K710))</f>
        <v/>
      </c>
      <c r="L710" t="str">
        <f>IFERROR(SMALL($K$70:$K$846,ROWS($L$70:L710)),"")</f>
        <v/>
      </c>
      <c r="M710" t="str" cm="1">
        <f t="array" ref="M710">IFERROR(INDEX($F$70:$F$846,L710,1),"")</f>
        <v/>
      </c>
    </row>
    <row r="711" spans="1:13" x14ac:dyDescent="0.45">
      <c r="A711" t="s">
        <v>2678</v>
      </c>
      <c r="B711" s="206">
        <v>801</v>
      </c>
      <c r="C711" t="s">
        <v>4059</v>
      </c>
      <c r="D711" s="206" t="s">
        <v>4060</v>
      </c>
      <c r="E711" s="206" t="str">
        <f t="shared" ref="E711:E774" si="86">RIGHT(D711,2)</f>
        <v>23</v>
      </c>
      <c r="F711" t="str">
        <f t="shared" ref="F711:F774" si="87">IF(E711="00","Cục thuế "&amp;C711,"Chi cục thuế "&amp;C711)</f>
        <v>Chi cục thuế Huyện Tân Trụ</v>
      </c>
      <c r="G711" t="str">
        <f t="shared" si="85"/>
        <v>Tân Trụ</v>
      </c>
      <c r="H711" s="206"/>
      <c r="I711" s="206" t="str">
        <f t="shared" ref="I711:I774" si="88">D711</f>
        <v>80123</v>
      </c>
      <c r="J711" t="str">
        <f t="shared" si="82"/>
        <v/>
      </c>
      <c r="K711" t="str">
        <f>IF(J711="","",ROWS($K$70:K711))</f>
        <v/>
      </c>
      <c r="L711" t="str">
        <f>IFERROR(SMALL($K$70:$K$846,ROWS($L$70:L711)),"")</f>
        <v/>
      </c>
      <c r="M711" t="str" cm="1">
        <f t="array" ref="M711">IFERROR(INDEX($F$70:$F$846,L711,1),"")</f>
        <v/>
      </c>
    </row>
    <row r="712" spans="1:13" x14ac:dyDescent="0.45">
      <c r="A712" t="s">
        <v>2678</v>
      </c>
      <c r="B712" s="206">
        <v>801</v>
      </c>
      <c r="C712" t="s">
        <v>4061</v>
      </c>
      <c r="D712" s="206" t="s">
        <v>4062</v>
      </c>
      <c r="E712" s="206" t="str">
        <f t="shared" si="86"/>
        <v>25</v>
      </c>
      <c r="F712" t="str">
        <f t="shared" si="87"/>
        <v>Chi cục thuế Huyện Cần Đước</v>
      </c>
      <c r="G712" t="str">
        <f t="shared" si="85"/>
        <v>Cần Đước</v>
      </c>
      <c r="H712" s="206"/>
      <c r="I712" s="206" t="str">
        <f t="shared" si="88"/>
        <v>80125</v>
      </c>
      <c r="J712" t="str">
        <f t="shared" si="82"/>
        <v/>
      </c>
      <c r="K712" t="str">
        <f>IF(J712="","",ROWS($K$70:K712))</f>
        <v/>
      </c>
      <c r="L712" t="str">
        <f>IFERROR(SMALL($K$70:$K$846,ROWS($L$70:L712)),"")</f>
        <v/>
      </c>
      <c r="M712" t="str" cm="1">
        <f t="array" ref="M712">IFERROR(INDEX($F$70:$F$846,L712,1),"")</f>
        <v/>
      </c>
    </row>
    <row r="713" spans="1:13" x14ac:dyDescent="0.45">
      <c r="A713" t="s">
        <v>2678</v>
      </c>
      <c r="B713" s="206">
        <v>801</v>
      </c>
      <c r="C713" t="s">
        <v>4063</v>
      </c>
      <c r="D713" s="206" t="s">
        <v>4064</v>
      </c>
      <c r="E713" s="206" t="str">
        <f t="shared" si="86"/>
        <v>27</v>
      </c>
      <c r="F713" t="str">
        <f t="shared" si="87"/>
        <v>Chi cục thuế Huyện Cần Giuộc</v>
      </c>
      <c r="G713" t="str">
        <f t="shared" si="85"/>
        <v>Cần Giuộc</v>
      </c>
      <c r="H713" s="206"/>
      <c r="I713" s="206" t="str">
        <f t="shared" si="88"/>
        <v>80127</v>
      </c>
      <c r="J713" t="str">
        <f t="shared" si="82"/>
        <v/>
      </c>
      <c r="K713" t="str">
        <f>IF(J713="","",ROWS($K$70:K713))</f>
        <v/>
      </c>
      <c r="L713" t="str">
        <f>IFERROR(SMALL($K$70:$K$846,ROWS($L$70:L713)),"")</f>
        <v/>
      </c>
      <c r="M713" t="str" cm="1">
        <f t="array" ref="M713">IFERROR(INDEX($F$70:$F$846,L713,1),"")</f>
        <v/>
      </c>
    </row>
    <row r="714" spans="1:13" x14ac:dyDescent="0.45">
      <c r="A714" t="s">
        <v>2678</v>
      </c>
      <c r="B714" s="206">
        <v>801</v>
      </c>
      <c r="C714" t="s">
        <v>4065</v>
      </c>
      <c r="D714" s="206" t="s">
        <v>4066</v>
      </c>
      <c r="E714" s="206" t="str">
        <f t="shared" si="86"/>
        <v>29</v>
      </c>
      <c r="F714" t="str">
        <f t="shared" si="87"/>
        <v>Chi cục thuế Thị xã Kiến Tường</v>
      </c>
      <c r="H714" s="206"/>
      <c r="I714" s="206" t="str">
        <f t="shared" si="88"/>
        <v>80129</v>
      </c>
      <c r="J714" t="str">
        <f t="shared" ref="J714:J777" si="89">IF(A714=$J$69,F714,"")</f>
        <v/>
      </c>
      <c r="K714" t="str">
        <f>IF(J714="","",ROWS($K$70:K714))</f>
        <v/>
      </c>
      <c r="L714" t="str">
        <f>IFERROR(SMALL($K$70:$K$846,ROWS($L$70:L714)),"")</f>
        <v/>
      </c>
      <c r="M714" t="str" cm="1">
        <f t="array" ref="M714">IFERROR(INDEX($F$70:$F$846,L714,1),"")</f>
        <v/>
      </c>
    </row>
    <row r="715" spans="1:13" x14ac:dyDescent="0.45">
      <c r="A715" t="s">
        <v>2644</v>
      </c>
      <c r="B715" s="206" t="s">
        <v>4067</v>
      </c>
      <c r="C715" t="s">
        <v>4068</v>
      </c>
      <c r="D715" s="206" t="s">
        <v>4069</v>
      </c>
      <c r="E715" s="206" t="str">
        <f t="shared" si="86"/>
        <v>00</v>
      </c>
      <c r="F715" t="str">
        <f t="shared" si="87"/>
        <v>Cục thuế Tỉnh Đồng Tháp</v>
      </c>
      <c r="H715" s="206" t="str">
        <f>IF(E716="01",A716,"")</f>
        <v>Đồng Tháp</v>
      </c>
      <c r="I715" s="206" t="str">
        <f t="shared" si="88"/>
        <v>80300</v>
      </c>
      <c r="J715" t="str">
        <f t="shared" si="89"/>
        <v/>
      </c>
      <c r="K715" t="str">
        <f>IF(J715="","",ROWS($K$70:K715))</f>
        <v/>
      </c>
      <c r="L715" t="str">
        <f>IFERROR(SMALL($K$70:$K$846,ROWS($L$70:L715)),"")</f>
        <v/>
      </c>
      <c r="M715" t="str" cm="1">
        <f t="array" ref="M715">IFERROR(INDEX($F$70:$F$846,L715,1),"")</f>
        <v/>
      </c>
    </row>
    <row r="716" spans="1:13" x14ac:dyDescent="0.45">
      <c r="A716" t="s">
        <v>2644</v>
      </c>
      <c r="B716" s="206">
        <v>803</v>
      </c>
      <c r="C716" t="s">
        <v>4070</v>
      </c>
      <c r="D716" s="206" t="s">
        <v>4071</v>
      </c>
      <c r="E716" s="206" t="str">
        <f t="shared" si="86"/>
        <v>01</v>
      </c>
      <c r="F716" t="str">
        <f t="shared" si="87"/>
        <v>Chi cục thuế Thành phố Cao Lãnh</v>
      </c>
      <c r="H716" s="206"/>
      <c r="I716" s="206" t="str">
        <f t="shared" si="88"/>
        <v>80301</v>
      </c>
      <c r="J716" t="str">
        <f t="shared" si="89"/>
        <v/>
      </c>
      <c r="K716" t="str">
        <f>IF(J716="","",ROWS($K$70:K716))</f>
        <v/>
      </c>
      <c r="L716" t="str">
        <f>IFERROR(SMALL($K$70:$K$846,ROWS($L$70:L716)),"")</f>
        <v/>
      </c>
      <c r="M716" t="str" cm="1">
        <f t="array" ref="M716">IFERROR(INDEX($F$70:$F$846,L716,1),"")</f>
        <v/>
      </c>
    </row>
    <row r="717" spans="1:13" x14ac:dyDescent="0.45">
      <c r="A717" t="s">
        <v>2644</v>
      </c>
      <c r="B717" s="206">
        <v>803</v>
      </c>
      <c r="C717" t="s">
        <v>4072</v>
      </c>
      <c r="D717" s="206" t="s">
        <v>4073</v>
      </c>
      <c r="E717" s="206" t="str">
        <f t="shared" si="86"/>
        <v>03</v>
      </c>
      <c r="F717" t="str">
        <f t="shared" si="87"/>
        <v>Chi cục thuế Thành phố Sa Đéc</v>
      </c>
      <c r="H717" s="206"/>
      <c r="I717" s="206" t="str">
        <f t="shared" si="88"/>
        <v>80303</v>
      </c>
      <c r="J717" t="str">
        <f t="shared" si="89"/>
        <v/>
      </c>
      <c r="K717" t="str">
        <f>IF(J717="","",ROWS($K$70:K717))</f>
        <v/>
      </c>
      <c r="L717" t="str">
        <f>IFERROR(SMALL($K$70:$K$846,ROWS($L$70:L717)),"")</f>
        <v/>
      </c>
      <c r="M717" t="str" cm="1">
        <f t="array" ref="M717">IFERROR(INDEX($F$70:$F$846,L717,1),"")</f>
        <v/>
      </c>
    </row>
    <row r="718" spans="1:13" x14ac:dyDescent="0.45">
      <c r="A718" t="s">
        <v>2644</v>
      </c>
      <c r="B718" s="206">
        <v>803</v>
      </c>
      <c r="C718" t="s">
        <v>4074</v>
      </c>
      <c r="D718" s="206" t="s">
        <v>4075</v>
      </c>
      <c r="E718" s="206" t="str">
        <f t="shared" si="86"/>
        <v>05</v>
      </c>
      <c r="F718" t="str">
        <f t="shared" si="87"/>
        <v>Chi cục thuế Huyện Tân Hồng</v>
      </c>
      <c r="G718" t="str">
        <f t="shared" ref="G718:G726" si="90">RIGHT(C718,LEN(C718)-6)</f>
        <v>Tân Hồng</v>
      </c>
      <c r="H718" s="206"/>
      <c r="I718" s="206" t="str">
        <f t="shared" si="88"/>
        <v>80305</v>
      </c>
      <c r="J718" t="str">
        <f t="shared" si="89"/>
        <v/>
      </c>
      <c r="K718" t="str">
        <f>IF(J718="","",ROWS($K$70:K718))</f>
        <v/>
      </c>
      <c r="L718" t="str">
        <f>IFERROR(SMALL($K$70:$K$846,ROWS($L$70:L718)),"")</f>
        <v/>
      </c>
      <c r="M718" t="str" cm="1">
        <f t="array" ref="M718">IFERROR(INDEX($F$70:$F$846,L718,1),"")</f>
        <v/>
      </c>
    </row>
    <row r="719" spans="1:13" x14ac:dyDescent="0.45">
      <c r="A719" t="s">
        <v>2644</v>
      </c>
      <c r="B719" s="206">
        <v>803</v>
      </c>
      <c r="C719" t="s">
        <v>4076</v>
      </c>
      <c r="D719" s="206" t="s">
        <v>4077</v>
      </c>
      <c r="E719" s="206" t="str">
        <f t="shared" si="86"/>
        <v>07</v>
      </c>
      <c r="F719" t="str">
        <f t="shared" si="87"/>
        <v>Chi cục thuế Huyện Hồng Ngự</v>
      </c>
      <c r="G719" t="str">
        <f t="shared" si="90"/>
        <v>Hồng Ngự</v>
      </c>
      <c r="H719" s="206"/>
      <c r="I719" s="206" t="str">
        <f t="shared" si="88"/>
        <v>80307</v>
      </c>
      <c r="J719" t="str">
        <f t="shared" si="89"/>
        <v/>
      </c>
      <c r="K719" t="str">
        <f>IF(J719="","",ROWS($K$70:K719))</f>
        <v/>
      </c>
      <c r="L719" t="str">
        <f>IFERROR(SMALL($K$70:$K$846,ROWS($L$70:L719)),"")</f>
        <v/>
      </c>
      <c r="M719" t="str" cm="1">
        <f t="array" ref="M719">IFERROR(INDEX($F$70:$F$846,L719,1),"")</f>
        <v/>
      </c>
    </row>
    <row r="720" spans="1:13" x14ac:dyDescent="0.45">
      <c r="A720" t="s">
        <v>2644</v>
      </c>
      <c r="B720" s="206">
        <v>803</v>
      </c>
      <c r="C720" t="s">
        <v>4078</v>
      </c>
      <c r="D720" s="206" t="s">
        <v>4079</v>
      </c>
      <c r="E720" s="206" t="str">
        <f t="shared" si="86"/>
        <v>09</v>
      </c>
      <c r="F720" t="str">
        <f t="shared" si="87"/>
        <v xml:space="preserve">Chi cục thuế Huyện Tam Nông </v>
      </c>
      <c r="G720" t="str">
        <f t="shared" si="90"/>
        <v xml:space="preserve">Tam Nông </v>
      </c>
      <c r="H720" s="206"/>
      <c r="I720" s="206" t="str">
        <f t="shared" si="88"/>
        <v>80309</v>
      </c>
      <c r="J720" t="str">
        <f t="shared" si="89"/>
        <v/>
      </c>
      <c r="K720" t="str">
        <f>IF(J720="","",ROWS($K$70:K720))</f>
        <v/>
      </c>
      <c r="L720" t="str">
        <f>IFERROR(SMALL($K$70:$K$846,ROWS($L$70:L720)),"")</f>
        <v/>
      </c>
      <c r="M720" t="str" cm="1">
        <f t="array" ref="M720">IFERROR(INDEX($F$70:$F$846,L720,1),"")</f>
        <v/>
      </c>
    </row>
    <row r="721" spans="1:13" x14ac:dyDescent="0.45">
      <c r="A721" t="s">
        <v>2644</v>
      </c>
      <c r="B721" s="206">
        <v>803</v>
      </c>
      <c r="C721" t="s">
        <v>4080</v>
      </c>
      <c r="D721" s="206" t="s">
        <v>4081</v>
      </c>
      <c r="E721" s="206" t="str">
        <f t="shared" si="86"/>
        <v>11</v>
      </c>
      <c r="F721" t="str">
        <f t="shared" si="87"/>
        <v>Chi cục thuế Huyện Thanh Bình</v>
      </c>
      <c r="G721" t="str">
        <f t="shared" si="90"/>
        <v>Thanh Bình</v>
      </c>
      <c r="H721" s="206"/>
      <c r="I721" s="206" t="str">
        <f t="shared" si="88"/>
        <v>80311</v>
      </c>
      <c r="J721" t="str">
        <f t="shared" si="89"/>
        <v/>
      </c>
      <c r="K721" t="str">
        <f>IF(J721="","",ROWS($K$70:K721))</f>
        <v/>
      </c>
      <c r="L721" t="str">
        <f>IFERROR(SMALL($K$70:$K$846,ROWS($L$70:L721)),"")</f>
        <v/>
      </c>
      <c r="M721" t="str" cm="1">
        <f t="array" ref="M721">IFERROR(INDEX($F$70:$F$846,L721,1),"")</f>
        <v/>
      </c>
    </row>
    <row r="722" spans="1:13" x14ac:dyDescent="0.45">
      <c r="A722" t="s">
        <v>2644</v>
      </c>
      <c r="B722" s="206">
        <v>803</v>
      </c>
      <c r="C722" t="s">
        <v>4082</v>
      </c>
      <c r="D722" s="206" t="s">
        <v>4083</v>
      </c>
      <c r="E722" s="206" t="str">
        <f t="shared" si="86"/>
        <v>13</v>
      </c>
      <c r="F722" t="str">
        <f t="shared" si="87"/>
        <v>Chi cục thuế Huyện Tháp Mười</v>
      </c>
      <c r="G722" t="str">
        <f t="shared" si="90"/>
        <v>Tháp Mười</v>
      </c>
      <c r="H722" s="206"/>
      <c r="I722" s="206" t="str">
        <f t="shared" si="88"/>
        <v>80313</v>
      </c>
      <c r="J722" t="str">
        <f t="shared" si="89"/>
        <v/>
      </c>
      <c r="K722" t="str">
        <f>IF(J722="","",ROWS($K$70:K722))</f>
        <v/>
      </c>
      <c r="L722" t="str">
        <f>IFERROR(SMALL($K$70:$K$846,ROWS($L$70:L722)),"")</f>
        <v/>
      </c>
      <c r="M722" t="str" cm="1">
        <f t="array" ref="M722">IFERROR(INDEX($F$70:$F$846,L722,1),"")</f>
        <v/>
      </c>
    </row>
    <row r="723" spans="1:13" x14ac:dyDescent="0.45">
      <c r="A723" t="s">
        <v>2644</v>
      </c>
      <c r="B723" s="206">
        <v>803</v>
      </c>
      <c r="C723" t="s">
        <v>4084</v>
      </c>
      <c r="D723" s="206" t="s">
        <v>4085</v>
      </c>
      <c r="E723" s="206" t="str">
        <f t="shared" si="86"/>
        <v>15</v>
      </c>
      <c r="F723" t="str">
        <f t="shared" si="87"/>
        <v>Chi cục thuế Huyện Cao Lãnh</v>
      </c>
      <c r="G723" t="str">
        <f t="shared" si="90"/>
        <v>Cao Lãnh</v>
      </c>
      <c r="H723" s="206"/>
      <c r="I723" s="206" t="str">
        <f t="shared" si="88"/>
        <v>80315</v>
      </c>
      <c r="J723" t="str">
        <f t="shared" si="89"/>
        <v/>
      </c>
      <c r="K723" t="str">
        <f>IF(J723="","",ROWS($K$70:K723))</f>
        <v/>
      </c>
      <c r="L723" t="str">
        <f>IFERROR(SMALL($K$70:$K$846,ROWS($L$70:L723)),"")</f>
        <v/>
      </c>
      <c r="M723" t="str" cm="1">
        <f t="array" ref="M723">IFERROR(INDEX($F$70:$F$846,L723,1),"")</f>
        <v/>
      </c>
    </row>
    <row r="724" spans="1:13" x14ac:dyDescent="0.45">
      <c r="A724" t="s">
        <v>2644</v>
      </c>
      <c r="B724" s="206">
        <v>803</v>
      </c>
      <c r="C724" t="s">
        <v>4086</v>
      </c>
      <c r="D724" s="206" t="s">
        <v>4087</v>
      </c>
      <c r="E724" s="206" t="str">
        <f t="shared" si="86"/>
        <v>17</v>
      </c>
      <c r="F724" t="str">
        <f t="shared" si="87"/>
        <v>Chi cục thuế Huyện Lấp Vò</v>
      </c>
      <c r="G724" t="str">
        <f t="shared" si="90"/>
        <v>Lấp Vò</v>
      </c>
      <c r="H724" s="206"/>
      <c r="I724" s="206" t="str">
        <f t="shared" si="88"/>
        <v>80317</v>
      </c>
      <c r="J724" t="str">
        <f t="shared" si="89"/>
        <v/>
      </c>
      <c r="K724" t="str">
        <f>IF(J724="","",ROWS($K$70:K724))</f>
        <v/>
      </c>
      <c r="L724" t="str">
        <f>IFERROR(SMALL($K$70:$K$846,ROWS($L$70:L724)),"")</f>
        <v/>
      </c>
      <c r="M724" t="str" cm="1">
        <f t="array" ref="M724">IFERROR(INDEX($F$70:$F$846,L724,1),"")</f>
        <v/>
      </c>
    </row>
    <row r="725" spans="1:13" x14ac:dyDescent="0.45">
      <c r="A725" t="s">
        <v>2644</v>
      </c>
      <c r="B725" s="206">
        <v>803</v>
      </c>
      <c r="C725" t="s">
        <v>4088</v>
      </c>
      <c r="D725" s="206" t="s">
        <v>4089</v>
      </c>
      <c r="E725" s="206" t="str">
        <f t="shared" si="86"/>
        <v>19</v>
      </c>
      <c r="F725" t="str">
        <f t="shared" si="87"/>
        <v>Chi cục thuế Huyện Lai Vung</v>
      </c>
      <c r="G725" t="str">
        <f t="shared" si="90"/>
        <v>Lai Vung</v>
      </c>
      <c r="H725" s="206"/>
      <c r="I725" s="206" t="str">
        <f t="shared" si="88"/>
        <v>80319</v>
      </c>
      <c r="J725" t="str">
        <f t="shared" si="89"/>
        <v/>
      </c>
      <c r="K725" t="str">
        <f>IF(J725="","",ROWS($K$70:K725))</f>
        <v/>
      </c>
      <c r="L725" t="str">
        <f>IFERROR(SMALL($K$70:$K$846,ROWS($L$70:L725)),"")</f>
        <v/>
      </c>
      <c r="M725" t="str" cm="1">
        <f t="array" ref="M725">IFERROR(INDEX($F$70:$F$846,L725,1),"")</f>
        <v/>
      </c>
    </row>
    <row r="726" spans="1:13" x14ac:dyDescent="0.45">
      <c r="A726" t="s">
        <v>2644</v>
      </c>
      <c r="B726" s="206">
        <v>803</v>
      </c>
      <c r="C726" t="s">
        <v>4090</v>
      </c>
      <c r="D726" s="206" t="s">
        <v>4091</v>
      </c>
      <c r="E726" s="206" t="str">
        <f t="shared" si="86"/>
        <v>21</v>
      </c>
      <c r="F726" t="str">
        <f t="shared" si="87"/>
        <v xml:space="preserve">Chi cục thuế Huyện Châu Thành  </v>
      </c>
      <c r="G726" t="str">
        <f t="shared" si="90"/>
        <v xml:space="preserve">Châu Thành  </v>
      </c>
      <c r="H726" s="206"/>
      <c r="I726" s="206" t="str">
        <f t="shared" si="88"/>
        <v>80321</v>
      </c>
      <c r="J726" t="str">
        <f t="shared" si="89"/>
        <v/>
      </c>
      <c r="K726" t="str">
        <f>IF(J726="","",ROWS($K$70:K726))</f>
        <v/>
      </c>
      <c r="L726" t="str">
        <f>IFERROR(SMALL($K$70:$K$846,ROWS($L$70:L726)),"")</f>
        <v/>
      </c>
      <c r="M726" t="str" cm="1">
        <f t="array" ref="M726">IFERROR(INDEX($F$70:$F$846,L726,1),"")</f>
        <v/>
      </c>
    </row>
    <row r="727" spans="1:13" x14ac:dyDescent="0.45">
      <c r="A727" t="s">
        <v>2644</v>
      </c>
      <c r="B727" s="206">
        <v>803</v>
      </c>
      <c r="C727" t="s">
        <v>4092</v>
      </c>
      <c r="D727" s="206" t="s">
        <v>4093</v>
      </c>
      <c r="E727" s="206" t="str">
        <f t="shared" si="86"/>
        <v>23</v>
      </c>
      <c r="F727" t="str">
        <f t="shared" si="87"/>
        <v>Chi cục thuế Thị xã Hồng Ngự</v>
      </c>
      <c r="H727" s="206"/>
      <c r="I727" s="206" t="str">
        <f t="shared" si="88"/>
        <v>80323</v>
      </c>
      <c r="J727" t="str">
        <f t="shared" si="89"/>
        <v/>
      </c>
      <c r="K727" t="str">
        <f>IF(J727="","",ROWS($K$70:K727))</f>
        <v/>
      </c>
      <c r="L727" t="str">
        <f>IFERROR(SMALL($K$70:$K$846,ROWS($L$70:L727)),"")</f>
        <v/>
      </c>
      <c r="M727" t="str" cm="1">
        <f t="array" ref="M727">IFERROR(INDEX($F$70:$F$846,L727,1),"")</f>
        <v/>
      </c>
    </row>
    <row r="728" spans="1:13" x14ac:dyDescent="0.45">
      <c r="A728" t="s">
        <v>2606</v>
      </c>
      <c r="B728" s="206" t="s">
        <v>4094</v>
      </c>
      <c r="C728" t="s">
        <v>4095</v>
      </c>
      <c r="D728" s="206" t="s">
        <v>4096</v>
      </c>
      <c r="E728" s="206" t="str">
        <f t="shared" si="86"/>
        <v>00</v>
      </c>
      <c r="F728" t="str">
        <f t="shared" si="87"/>
        <v>Cục thuế Tỉnh An Giang</v>
      </c>
      <c r="H728" s="206" t="str">
        <f>IF(E729="01",A729,"")</f>
        <v>An Giang</v>
      </c>
      <c r="I728" s="206" t="str">
        <f t="shared" si="88"/>
        <v>80500</v>
      </c>
      <c r="J728" t="str">
        <f t="shared" si="89"/>
        <v/>
      </c>
      <c r="K728" t="str">
        <f>IF(J728="","",ROWS($K$70:K728))</f>
        <v/>
      </c>
      <c r="L728" t="str">
        <f>IFERROR(SMALL($K$70:$K$846,ROWS($L$70:L728)),"")</f>
        <v/>
      </c>
      <c r="M728" t="str" cm="1">
        <f t="array" ref="M728">IFERROR(INDEX($F$70:$F$846,L728,1),"")</f>
        <v/>
      </c>
    </row>
    <row r="729" spans="1:13" x14ac:dyDescent="0.45">
      <c r="A729" t="s">
        <v>2606</v>
      </c>
      <c r="B729" s="206">
        <v>805</v>
      </c>
      <c r="C729" t="s">
        <v>4097</v>
      </c>
      <c r="D729" s="206" t="s">
        <v>4098</v>
      </c>
      <c r="E729" s="206" t="str">
        <f t="shared" si="86"/>
        <v>01</v>
      </c>
      <c r="F729" t="str">
        <f t="shared" si="87"/>
        <v>Chi cục thuế Thành phố Long Xuyên</v>
      </c>
      <c r="H729" s="206"/>
      <c r="I729" s="206" t="str">
        <f t="shared" si="88"/>
        <v>80501</v>
      </c>
      <c r="J729" t="str">
        <f t="shared" si="89"/>
        <v/>
      </c>
      <c r="K729" t="str">
        <f>IF(J729="","",ROWS($K$70:K729))</f>
        <v/>
      </c>
      <c r="L729" t="str">
        <f>IFERROR(SMALL($K$70:$K$846,ROWS($L$70:L729)),"")</f>
        <v/>
      </c>
      <c r="M729" t="str" cm="1">
        <f t="array" ref="M729">IFERROR(INDEX($F$70:$F$846,L729,1),"")</f>
        <v/>
      </c>
    </row>
    <row r="730" spans="1:13" x14ac:dyDescent="0.45">
      <c r="A730" t="s">
        <v>2606</v>
      </c>
      <c r="B730" s="206">
        <v>805</v>
      </c>
      <c r="C730" t="s">
        <v>4099</v>
      </c>
      <c r="D730" s="206" t="s">
        <v>4100</v>
      </c>
      <c r="E730" s="206" t="str">
        <f t="shared" si="86"/>
        <v>03</v>
      </c>
      <c r="F730" t="str">
        <f t="shared" si="87"/>
        <v>Chi cục thuế Thành phố Châu Đốc</v>
      </c>
      <c r="H730" s="206"/>
      <c r="I730" s="206" t="str">
        <f t="shared" si="88"/>
        <v>80503</v>
      </c>
      <c r="J730" t="str">
        <f t="shared" si="89"/>
        <v/>
      </c>
      <c r="K730" t="str">
        <f>IF(J730="","",ROWS($K$70:K730))</f>
        <v/>
      </c>
      <c r="L730" t="str">
        <f>IFERROR(SMALL($K$70:$K$846,ROWS($L$70:L730)),"")</f>
        <v/>
      </c>
      <c r="M730" t="str" cm="1">
        <f t="array" ref="M730">IFERROR(INDEX($F$70:$F$846,L730,1),"")</f>
        <v/>
      </c>
    </row>
    <row r="731" spans="1:13" x14ac:dyDescent="0.45">
      <c r="A731" t="s">
        <v>2606</v>
      </c>
      <c r="B731" s="206">
        <v>805</v>
      </c>
      <c r="C731" t="s">
        <v>4101</v>
      </c>
      <c r="D731" s="206" t="s">
        <v>4102</v>
      </c>
      <c r="E731" s="206" t="str">
        <f t="shared" si="86"/>
        <v>05</v>
      </c>
      <c r="F731" t="str">
        <f t="shared" si="87"/>
        <v>Chi cục thuế Huyện An Phú</v>
      </c>
      <c r="G731" t="str">
        <f>RIGHT(C731,LEN(C731)-6)</f>
        <v>An Phú</v>
      </c>
      <c r="H731" s="206"/>
      <c r="I731" s="206" t="str">
        <f t="shared" si="88"/>
        <v>80505</v>
      </c>
      <c r="J731" t="str">
        <f t="shared" si="89"/>
        <v/>
      </c>
      <c r="K731" t="str">
        <f>IF(J731="","",ROWS($K$70:K731))</f>
        <v/>
      </c>
      <c r="L731" t="str">
        <f>IFERROR(SMALL($K$70:$K$846,ROWS($L$70:L731)),"")</f>
        <v/>
      </c>
      <c r="M731" t="str" cm="1">
        <f t="array" ref="M731">IFERROR(INDEX($F$70:$F$846,L731,1),"")</f>
        <v/>
      </c>
    </row>
    <row r="732" spans="1:13" x14ac:dyDescent="0.45">
      <c r="A732" t="s">
        <v>2606</v>
      </c>
      <c r="B732" s="206">
        <v>805</v>
      </c>
      <c r="C732" t="s">
        <v>4103</v>
      </c>
      <c r="D732" s="206" t="s">
        <v>4104</v>
      </c>
      <c r="E732" s="206" t="str">
        <f t="shared" si="86"/>
        <v>07</v>
      </c>
      <c r="F732" t="str">
        <f t="shared" si="87"/>
        <v>Chi cục thuế Thị xã Tân Châu</v>
      </c>
      <c r="H732" s="206"/>
      <c r="I732" s="206" t="str">
        <f t="shared" si="88"/>
        <v>80507</v>
      </c>
      <c r="J732" t="str">
        <f t="shared" si="89"/>
        <v/>
      </c>
      <c r="K732" t="str">
        <f>IF(J732="","",ROWS($K$70:K732))</f>
        <v/>
      </c>
      <c r="L732" t="str">
        <f>IFERROR(SMALL($K$70:$K$846,ROWS($L$70:L732)),"")</f>
        <v/>
      </c>
      <c r="M732" t="str" cm="1">
        <f t="array" ref="M732">IFERROR(INDEX($F$70:$F$846,L732,1),"")</f>
        <v/>
      </c>
    </row>
    <row r="733" spans="1:13" x14ac:dyDescent="0.45">
      <c r="A733" t="s">
        <v>2606</v>
      </c>
      <c r="B733" s="206">
        <v>805</v>
      </c>
      <c r="C733" t="s">
        <v>4105</v>
      </c>
      <c r="D733" s="206" t="s">
        <v>4106</v>
      </c>
      <c r="E733" s="206" t="str">
        <f t="shared" si="86"/>
        <v>09</v>
      </c>
      <c r="F733" t="str">
        <f t="shared" si="87"/>
        <v>Chi cục thuế Huyện Phú Tân</v>
      </c>
      <c r="G733" t="str">
        <f t="shared" ref="G733:G739" si="91">RIGHT(C733,LEN(C733)-6)</f>
        <v>Phú Tân</v>
      </c>
      <c r="H733" s="206"/>
      <c r="I733" s="206" t="str">
        <f t="shared" si="88"/>
        <v>80509</v>
      </c>
      <c r="J733" t="str">
        <f t="shared" si="89"/>
        <v/>
      </c>
      <c r="K733" t="str">
        <f>IF(J733="","",ROWS($K$70:K733))</f>
        <v/>
      </c>
      <c r="L733" t="str">
        <f>IFERROR(SMALL($K$70:$K$846,ROWS($L$70:L733)),"")</f>
        <v/>
      </c>
      <c r="M733" t="str" cm="1">
        <f t="array" ref="M733">IFERROR(INDEX($F$70:$F$846,L733,1),"")</f>
        <v/>
      </c>
    </row>
    <row r="734" spans="1:13" x14ac:dyDescent="0.45">
      <c r="A734" t="s">
        <v>2606</v>
      </c>
      <c r="B734" s="206">
        <v>805</v>
      </c>
      <c r="C734" t="s">
        <v>4107</v>
      </c>
      <c r="D734" s="206" t="s">
        <v>4108</v>
      </c>
      <c r="E734" s="206" t="str">
        <f t="shared" si="86"/>
        <v>11</v>
      </c>
      <c r="F734" t="str">
        <f t="shared" si="87"/>
        <v>Chi cục thuế Huyện Châu Phú</v>
      </c>
      <c r="G734" t="str">
        <f t="shared" si="91"/>
        <v>Châu Phú</v>
      </c>
      <c r="H734" s="206"/>
      <c r="I734" s="206" t="str">
        <f t="shared" si="88"/>
        <v>80511</v>
      </c>
      <c r="J734" t="str">
        <f t="shared" si="89"/>
        <v/>
      </c>
      <c r="K734" t="str">
        <f>IF(J734="","",ROWS($K$70:K734))</f>
        <v/>
      </c>
      <c r="L734" t="str">
        <f>IFERROR(SMALL($K$70:$K$846,ROWS($L$70:L734)),"")</f>
        <v/>
      </c>
      <c r="M734" t="str" cm="1">
        <f t="array" ref="M734">IFERROR(INDEX($F$70:$F$846,L734,1),"")</f>
        <v/>
      </c>
    </row>
    <row r="735" spans="1:13" x14ac:dyDescent="0.45">
      <c r="A735" t="s">
        <v>2606</v>
      </c>
      <c r="B735" s="206">
        <v>805</v>
      </c>
      <c r="C735" t="s">
        <v>4109</v>
      </c>
      <c r="D735" s="206" t="s">
        <v>4110</v>
      </c>
      <c r="E735" s="206" t="str">
        <f t="shared" si="86"/>
        <v>13</v>
      </c>
      <c r="F735" t="str">
        <f t="shared" si="87"/>
        <v>Chi cục thuế Huyện Tịnh Biên</v>
      </c>
      <c r="G735" t="str">
        <f t="shared" si="91"/>
        <v>Tịnh Biên</v>
      </c>
      <c r="H735" s="206"/>
      <c r="I735" s="206" t="str">
        <f t="shared" si="88"/>
        <v>80513</v>
      </c>
      <c r="J735" t="str">
        <f t="shared" si="89"/>
        <v/>
      </c>
      <c r="K735" t="str">
        <f>IF(J735="","",ROWS($K$70:K735))</f>
        <v/>
      </c>
      <c r="L735" t="str">
        <f>IFERROR(SMALL($K$70:$K$846,ROWS($L$70:L735)),"")</f>
        <v/>
      </c>
      <c r="M735" t="str" cm="1">
        <f t="array" ref="M735">IFERROR(INDEX($F$70:$F$846,L735,1),"")</f>
        <v/>
      </c>
    </row>
    <row r="736" spans="1:13" x14ac:dyDescent="0.45">
      <c r="A736" t="s">
        <v>2606</v>
      </c>
      <c r="B736" s="206">
        <v>805</v>
      </c>
      <c r="C736" t="s">
        <v>4111</v>
      </c>
      <c r="D736" s="206" t="s">
        <v>4112</v>
      </c>
      <c r="E736" s="206" t="str">
        <f t="shared" si="86"/>
        <v>15</v>
      </c>
      <c r="F736" t="str">
        <f t="shared" si="87"/>
        <v>Chi cục thuế Huyện Tri Tôn</v>
      </c>
      <c r="G736" t="str">
        <f t="shared" si="91"/>
        <v>Tri Tôn</v>
      </c>
      <c r="H736" s="206"/>
      <c r="I736" s="206" t="str">
        <f t="shared" si="88"/>
        <v>80515</v>
      </c>
      <c r="J736" t="str">
        <f t="shared" si="89"/>
        <v/>
      </c>
      <c r="K736" t="str">
        <f>IF(J736="","",ROWS($K$70:K736))</f>
        <v/>
      </c>
      <c r="L736" t="str">
        <f>IFERROR(SMALL($K$70:$K$846,ROWS($L$70:L736)),"")</f>
        <v/>
      </c>
      <c r="M736" t="str" cm="1">
        <f t="array" ref="M736">IFERROR(INDEX($F$70:$F$846,L736,1),"")</f>
        <v/>
      </c>
    </row>
    <row r="737" spans="1:13" x14ac:dyDescent="0.45">
      <c r="A737" t="s">
        <v>2606</v>
      </c>
      <c r="B737" s="206">
        <v>805</v>
      </c>
      <c r="C737" t="s">
        <v>4113</v>
      </c>
      <c r="D737" s="206" t="s">
        <v>4114</v>
      </c>
      <c r="E737" s="206" t="str">
        <f t="shared" si="86"/>
        <v>17</v>
      </c>
      <c r="F737" t="str">
        <f t="shared" si="87"/>
        <v xml:space="preserve">Chi cục thuế Huyện Chợ Mới </v>
      </c>
      <c r="G737" t="str">
        <f t="shared" si="91"/>
        <v xml:space="preserve">Chợ Mới </v>
      </c>
      <c r="H737" s="206"/>
      <c r="I737" s="206" t="str">
        <f t="shared" si="88"/>
        <v>80517</v>
      </c>
      <c r="J737" t="str">
        <f t="shared" si="89"/>
        <v/>
      </c>
      <c r="K737" t="str">
        <f>IF(J737="","",ROWS($K$70:K737))</f>
        <v/>
      </c>
      <c r="L737" t="str">
        <f>IFERROR(SMALL($K$70:$K$846,ROWS($L$70:L737)),"")</f>
        <v/>
      </c>
      <c r="M737" t="str" cm="1">
        <f t="array" ref="M737">IFERROR(INDEX($F$70:$F$846,L737,1),"")</f>
        <v/>
      </c>
    </row>
    <row r="738" spans="1:13" x14ac:dyDescent="0.45">
      <c r="A738" t="s">
        <v>2606</v>
      </c>
      <c r="B738" s="206">
        <v>805</v>
      </c>
      <c r="C738" t="s">
        <v>4115</v>
      </c>
      <c r="D738" s="206" t="s">
        <v>4116</v>
      </c>
      <c r="E738" s="206" t="str">
        <f t="shared" si="86"/>
        <v>19</v>
      </c>
      <c r="F738" t="str">
        <f t="shared" si="87"/>
        <v xml:space="preserve">Chi cục thuế Huyện Châu Thành   </v>
      </c>
      <c r="G738" t="str">
        <f t="shared" si="91"/>
        <v xml:space="preserve">Châu Thành   </v>
      </c>
      <c r="H738" s="206"/>
      <c r="I738" s="206" t="str">
        <f t="shared" si="88"/>
        <v>80519</v>
      </c>
      <c r="J738" t="str">
        <f t="shared" si="89"/>
        <v/>
      </c>
      <c r="K738" t="str">
        <f>IF(J738="","",ROWS($K$70:K738))</f>
        <v/>
      </c>
      <c r="L738" t="str">
        <f>IFERROR(SMALL($K$70:$K$846,ROWS($L$70:L738)),"")</f>
        <v/>
      </c>
      <c r="M738" t="str" cm="1">
        <f t="array" ref="M738">IFERROR(INDEX($F$70:$F$846,L738,1),"")</f>
        <v/>
      </c>
    </row>
    <row r="739" spans="1:13" x14ac:dyDescent="0.45">
      <c r="A739" t="s">
        <v>2606</v>
      </c>
      <c r="B739" s="206">
        <v>805</v>
      </c>
      <c r="C739" t="s">
        <v>4117</v>
      </c>
      <c r="D739" s="206" t="s">
        <v>4118</v>
      </c>
      <c r="E739" s="206" t="str">
        <f t="shared" si="86"/>
        <v>21</v>
      </c>
      <c r="F739" t="str">
        <f t="shared" si="87"/>
        <v>Chi cục thuế Huyện Thoại Sơn</v>
      </c>
      <c r="G739" t="str">
        <f t="shared" si="91"/>
        <v>Thoại Sơn</v>
      </c>
      <c r="H739" s="206"/>
      <c r="I739" s="206" t="str">
        <f t="shared" si="88"/>
        <v>80521</v>
      </c>
      <c r="J739" t="str">
        <f t="shared" si="89"/>
        <v/>
      </c>
      <c r="K739" t="str">
        <f>IF(J739="","",ROWS($K$70:K739))</f>
        <v/>
      </c>
      <c r="L739" t="str">
        <f>IFERROR(SMALL($K$70:$K$846,ROWS($L$70:L739)),"")</f>
        <v/>
      </c>
      <c r="M739" t="str" cm="1">
        <f t="array" ref="M739">IFERROR(INDEX($F$70:$F$846,L739,1),"")</f>
        <v/>
      </c>
    </row>
    <row r="740" spans="1:13" x14ac:dyDescent="0.45">
      <c r="A740" t="s">
        <v>2716</v>
      </c>
      <c r="B740" s="206" t="s">
        <v>4119</v>
      </c>
      <c r="C740" t="s">
        <v>4120</v>
      </c>
      <c r="D740" s="206" t="s">
        <v>4121</v>
      </c>
      <c r="E740" s="206" t="str">
        <f t="shared" si="86"/>
        <v>00</v>
      </c>
      <c r="F740" t="str">
        <f t="shared" si="87"/>
        <v>Cục thuế Tỉnh Tiền Giang</v>
      </c>
      <c r="H740" s="206" t="str">
        <f>IF(E741="01",A741,"")</f>
        <v>Tiền Giang</v>
      </c>
      <c r="I740" s="206" t="str">
        <f t="shared" si="88"/>
        <v>80700</v>
      </c>
      <c r="J740" t="str">
        <f t="shared" si="89"/>
        <v/>
      </c>
      <c r="K740" t="str">
        <f>IF(J740="","",ROWS($K$70:K740))</f>
        <v/>
      </c>
      <c r="L740" t="str">
        <f>IFERROR(SMALL($K$70:$K$846,ROWS($L$70:L740)),"")</f>
        <v/>
      </c>
      <c r="M740" t="str" cm="1">
        <f t="array" ref="M740">IFERROR(INDEX($F$70:$F$846,L740,1),"")</f>
        <v/>
      </c>
    </row>
    <row r="741" spans="1:13" x14ac:dyDescent="0.45">
      <c r="A741" t="s">
        <v>2716</v>
      </c>
      <c r="B741" s="206">
        <v>807</v>
      </c>
      <c r="C741" t="s">
        <v>4122</v>
      </c>
      <c r="D741" s="206" t="s">
        <v>4123</v>
      </c>
      <c r="E741" s="206" t="str">
        <f t="shared" si="86"/>
        <v>01</v>
      </c>
      <c r="F741" t="str">
        <f t="shared" si="87"/>
        <v>Chi cục thuế Thành phố Mỹ Tho</v>
      </c>
      <c r="H741" s="206"/>
      <c r="I741" s="206" t="str">
        <f t="shared" si="88"/>
        <v>80701</v>
      </c>
      <c r="J741" t="str">
        <f t="shared" si="89"/>
        <v/>
      </c>
      <c r="K741" t="str">
        <f>IF(J741="","",ROWS($K$70:K741))</f>
        <v/>
      </c>
      <c r="L741" t="str">
        <f>IFERROR(SMALL($K$70:$K$846,ROWS($L$70:L741)),"")</f>
        <v/>
      </c>
      <c r="M741" t="str" cm="1">
        <f t="array" ref="M741">IFERROR(INDEX($F$70:$F$846,L741,1),"")</f>
        <v/>
      </c>
    </row>
    <row r="742" spans="1:13" x14ac:dyDescent="0.45">
      <c r="A742" t="s">
        <v>2716</v>
      </c>
      <c r="B742" s="206">
        <v>807</v>
      </c>
      <c r="C742" t="s">
        <v>4124</v>
      </c>
      <c r="D742" s="206" t="s">
        <v>4125</v>
      </c>
      <c r="E742" s="206" t="str">
        <f t="shared" si="86"/>
        <v>03</v>
      </c>
      <c r="F742" t="str">
        <f t="shared" si="87"/>
        <v>Chi cục thuế Thị xã Gò Công</v>
      </c>
      <c r="H742" s="206"/>
      <c r="I742" s="206" t="str">
        <f t="shared" si="88"/>
        <v>80703</v>
      </c>
      <c r="J742" t="str">
        <f t="shared" si="89"/>
        <v/>
      </c>
      <c r="K742" t="str">
        <f>IF(J742="","",ROWS($K$70:K742))</f>
        <v/>
      </c>
      <c r="L742" t="str">
        <f>IFERROR(SMALL($K$70:$K$846,ROWS($L$70:L742)),"")</f>
        <v/>
      </c>
      <c r="M742" t="str" cm="1">
        <f t="array" ref="M742">IFERROR(INDEX($F$70:$F$846,L742,1),"")</f>
        <v/>
      </c>
    </row>
    <row r="743" spans="1:13" x14ac:dyDescent="0.45">
      <c r="A743" t="s">
        <v>2716</v>
      </c>
      <c r="B743" s="206">
        <v>807</v>
      </c>
      <c r="C743" t="s">
        <v>4126</v>
      </c>
      <c r="D743" s="206" t="s">
        <v>4127</v>
      </c>
      <c r="E743" s="206" t="str">
        <f t="shared" si="86"/>
        <v>05</v>
      </c>
      <c r="F743" t="str">
        <f t="shared" si="87"/>
        <v>Chi cục thuế Huyện Tân Phước</v>
      </c>
      <c r="G743" t="str">
        <f t="shared" ref="G743:G750" si="92">RIGHT(C743,LEN(C743)-6)</f>
        <v>Tân Phước</v>
      </c>
      <c r="H743" s="206"/>
      <c r="I743" s="206" t="str">
        <f t="shared" si="88"/>
        <v>80705</v>
      </c>
      <c r="J743" t="str">
        <f t="shared" si="89"/>
        <v/>
      </c>
      <c r="K743" t="str">
        <f>IF(J743="","",ROWS($K$70:K743))</f>
        <v/>
      </c>
      <c r="L743" t="str">
        <f>IFERROR(SMALL($K$70:$K$846,ROWS($L$70:L743)),"")</f>
        <v/>
      </c>
      <c r="M743" t="str" cm="1">
        <f t="array" ref="M743">IFERROR(INDEX($F$70:$F$846,L743,1),"")</f>
        <v/>
      </c>
    </row>
    <row r="744" spans="1:13" x14ac:dyDescent="0.45">
      <c r="A744" t="s">
        <v>2716</v>
      </c>
      <c r="B744" s="206">
        <v>807</v>
      </c>
      <c r="C744" t="s">
        <v>4128</v>
      </c>
      <c r="D744" s="206" t="s">
        <v>4129</v>
      </c>
      <c r="E744" s="206" t="str">
        <f t="shared" si="86"/>
        <v>07</v>
      </c>
      <c r="F744" t="str">
        <f t="shared" si="87"/>
        <v xml:space="preserve">Chi cục thuế Huyện Châu Thành    </v>
      </c>
      <c r="G744" t="str">
        <f t="shared" si="92"/>
        <v xml:space="preserve">Châu Thành    </v>
      </c>
      <c r="H744" s="206"/>
      <c r="I744" s="206" t="str">
        <f t="shared" si="88"/>
        <v>80707</v>
      </c>
      <c r="J744" t="str">
        <f t="shared" si="89"/>
        <v/>
      </c>
      <c r="K744" t="str">
        <f>IF(J744="","",ROWS($K$70:K744))</f>
        <v/>
      </c>
      <c r="L744" t="str">
        <f>IFERROR(SMALL($K$70:$K$846,ROWS($L$70:L744)),"")</f>
        <v/>
      </c>
      <c r="M744" t="str" cm="1">
        <f t="array" ref="M744">IFERROR(INDEX($F$70:$F$846,L744,1),"")</f>
        <v/>
      </c>
    </row>
    <row r="745" spans="1:13" x14ac:dyDescent="0.45">
      <c r="A745" t="s">
        <v>2716</v>
      </c>
      <c r="B745" s="206">
        <v>807</v>
      </c>
      <c r="C745" t="s">
        <v>4130</v>
      </c>
      <c r="D745" s="206" t="s">
        <v>4131</v>
      </c>
      <c r="E745" s="206" t="str">
        <f t="shared" si="86"/>
        <v>09</v>
      </c>
      <c r="F745" t="str">
        <f t="shared" si="87"/>
        <v>Chi cục thuế Huyện Cai Lậy</v>
      </c>
      <c r="G745" t="str">
        <f t="shared" si="92"/>
        <v>Cai Lậy</v>
      </c>
      <c r="H745" s="206"/>
      <c r="I745" s="206" t="str">
        <f t="shared" si="88"/>
        <v>80709</v>
      </c>
      <c r="J745" t="str">
        <f t="shared" si="89"/>
        <v/>
      </c>
      <c r="K745" t="str">
        <f>IF(J745="","",ROWS($K$70:K745))</f>
        <v/>
      </c>
      <c r="L745" t="str">
        <f>IFERROR(SMALL($K$70:$K$846,ROWS($L$70:L745)),"")</f>
        <v/>
      </c>
      <c r="M745" t="str" cm="1">
        <f t="array" ref="M745">IFERROR(INDEX($F$70:$F$846,L745,1),"")</f>
        <v/>
      </c>
    </row>
    <row r="746" spans="1:13" x14ac:dyDescent="0.45">
      <c r="A746" t="s">
        <v>2716</v>
      </c>
      <c r="B746" s="206">
        <v>807</v>
      </c>
      <c r="C746" t="s">
        <v>4132</v>
      </c>
      <c r="D746" s="206" t="s">
        <v>4133</v>
      </c>
      <c r="E746" s="206" t="str">
        <f t="shared" si="86"/>
        <v>11</v>
      </c>
      <c r="F746" t="str">
        <f t="shared" si="87"/>
        <v>Chi cục thuế Huyện Chợ Gạo</v>
      </c>
      <c r="G746" t="str">
        <f t="shared" si="92"/>
        <v>Chợ Gạo</v>
      </c>
      <c r="H746" s="206"/>
      <c r="I746" s="206" t="str">
        <f t="shared" si="88"/>
        <v>80711</v>
      </c>
      <c r="J746" t="str">
        <f t="shared" si="89"/>
        <v/>
      </c>
      <c r="K746" t="str">
        <f>IF(J746="","",ROWS($K$70:K746))</f>
        <v/>
      </c>
      <c r="L746" t="str">
        <f>IFERROR(SMALL($K$70:$K$846,ROWS($L$70:L746)),"")</f>
        <v/>
      </c>
      <c r="M746" t="str" cm="1">
        <f t="array" ref="M746">IFERROR(INDEX($F$70:$F$846,L746,1),"")</f>
        <v/>
      </c>
    </row>
    <row r="747" spans="1:13" x14ac:dyDescent="0.45">
      <c r="A747" t="s">
        <v>2716</v>
      </c>
      <c r="B747" s="206">
        <v>807</v>
      </c>
      <c r="C747" t="s">
        <v>4134</v>
      </c>
      <c r="D747" s="206" t="s">
        <v>4135</v>
      </c>
      <c r="E747" s="206" t="str">
        <f t="shared" si="86"/>
        <v>13</v>
      </c>
      <c r="F747" t="str">
        <f t="shared" si="87"/>
        <v>Chi cục thuế Huyện Cái Bè</v>
      </c>
      <c r="G747" t="str">
        <f t="shared" si="92"/>
        <v>Cái Bè</v>
      </c>
      <c r="H747" s="206"/>
      <c r="I747" s="206" t="str">
        <f t="shared" si="88"/>
        <v>80713</v>
      </c>
      <c r="J747" t="str">
        <f t="shared" si="89"/>
        <v/>
      </c>
      <c r="K747" t="str">
        <f>IF(J747="","",ROWS($K$70:K747))</f>
        <v/>
      </c>
      <c r="L747" t="str">
        <f>IFERROR(SMALL($K$70:$K$846,ROWS($L$70:L747)),"")</f>
        <v/>
      </c>
      <c r="M747" t="str" cm="1">
        <f t="array" ref="M747">IFERROR(INDEX($F$70:$F$846,L747,1),"")</f>
        <v/>
      </c>
    </row>
    <row r="748" spans="1:13" x14ac:dyDescent="0.45">
      <c r="A748" t="s">
        <v>2716</v>
      </c>
      <c r="B748" s="206">
        <v>807</v>
      </c>
      <c r="C748" t="s">
        <v>4136</v>
      </c>
      <c r="D748" s="206" t="s">
        <v>4137</v>
      </c>
      <c r="E748" s="206" t="str">
        <f t="shared" si="86"/>
        <v>15</v>
      </c>
      <c r="F748" t="str">
        <f t="shared" si="87"/>
        <v>Chi cục thuế Huyện Gò Công Tây</v>
      </c>
      <c r="G748" t="str">
        <f t="shared" si="92"/>
        <v>Gò Công Tây</v>
      </c>
      <c r="H748" s="206"/>
      <c r="I748" s="206" t="str">
        <f t="shared" si="88"/>
        <v>80715</v>
      </c>
      <c r="J748" t="str">
        <f t="shared" si="89"/>
        <v/>
      </c>
      <c r="K748" t="str">
        <f>IF(J748="","",ROWS($K$70:K748))</f>
        <v/>
      </c>
      <c r="L748" t="str">
        <f>IFERROR(SMALL($K$70:$K$846,ROWS($L$70:L748)),"")</f>
        <v/>
      </c>
      <c r="M748" t="str" cm="1">
        <f t="array" ref="M748">IFERROR(INDEX($F$70:$F$846,L748,1),"")</f>
        <v/>
      </c>
    </row>
    <row r="749" spans="1:13" x14ac:dyDescent="0.45">
      <c r="A749" t="s">
        <v>2716</v>
      </c>
      <c r="B749" s="206">
        <v>807</v>
      </c>
      <c r="C749" t="s">
        <v>4138</v>
      </c>
      <c r="D749" s="206" t="s">
        <v>4139</v>
      </c>
      <c r="E749" s="206" t="str">
        <f t="shared" si="86"/>
        <v>17</v>
      </c>
      <c r="F749" t="str">
        <f t="shared" si="87"/>
        <v>Chi cục thuế Huyện Gò Công Đông</v>
      </c>
      <c r="G749" t="str">
        <f t="shared" si="92"/>
        <v>Gò Công Đông</v>
      </c>
      <c r="H749" s="206"/>
      <c r="I749" s="206" t="str">
        <f t="shared" si="88"/>
        <v>80717</v>
      </c>
      <c r="J749" t="str">
        <f t="shared" si="89"/>
        <v/>
      </c>
      <c r="K749" t="str">
        <f>IF(J749="","",ROWS($K$70:K749))</f>
        <v/>
      </c>
      <c r="L749" t="str">
        <f>IFERROR(SMALL($K$70:$K$846,ROWS($L$70:L749)),"")</f>
        <v/>
      </c>
      <c r="M749" t="str" cm="1">
        <f t="array" ref="M749">IFERROR(INDEX($F$70:$F$846,L749,1),"")</f>
        <v/>
      </c>
    </row>
    <row r="750" spans="1:13" x14ac:dyDescent="0.45">
      <c r="A750" t="s">
        <v>2716</v>
      </c>
      <c r="B750" s="206">
        <v>807</v>
      </c>
      <c r="C750" t="s">
        <v>4140</v>
      </c>
      <c r="D750" s="206" t="s">
        <v>4141</v>
      </c>
      <c r="E750" s="206" t="str">
        <f t="shared" si="86"/>
        <v>19</v>
      </c>
      <c r="F750" t="str">
        <f t="shared" si="87"/>
        <v>Chi cục thuế Huyện Tân Phú Đông</v>
      </c>
      <c r="G750" t="str">
        <f t="shared" si="92"/>
        <v>Tân Phú Đông</v>
      </c>
      <c r="H750" s="206"/>
      <c r="I750" s="206" t="str">
        <f t="shared" si="88"/>
        <v>80719</v>
      </c>
      <c r="J750" t="str">
        <f t="shared" si="89"/>
        <v/>
      </c>
      <c r="K750" t="str">
        <f>IF(J750="","",ROWS($K$70:K750))</f>
        <v/>
      </c>
      <c r="L750" t="str">
        <f>IFERROR(SMALL($K$70:$K$846,ROWS($L$70:L750)),"")</f>
        <v/>
      </c>
      <c r="M750" t="str" cm="1">
        <f t="array" ref="M750">IFERROR(INDEX($F$70:$F$846,L750,1),"")</f>
        <v/>
      </c>
    </row>
    <row r="751" spans="1:13" x14ac:dyDescent="0.45">
      <c r="A751" t="s">
        <v>2716</v>
      </c>
      <c r="B751" s="206">
        <v>807</v>
      </c>
      <c r="C751" t="s">
        <v>4142</v>
      </c>
      <c r="D751" s="206" t="s">
        <v>4143</v>
      </c>
      <c r="E751" s="206" t="str">
        <f t="shared" si="86"/>
        <v>21</v>
      </c>
      <c r="F751" t="str">
        <f t="shared" si="87"/>
        <v>Chi cục thuế Thị Xã Cai Lậy</v>
      </c>
      <c r="H751" s="206"/>
      <c r="I751" s="206" t="str">
        <f t="shared" si="88"/>
        <v>80721</v>
      </c>
      <c r="J751" t="str">
        <f t="shared" si="89"/>
        <v/>
      </c>
      <c r="K751" t="str">
        <f>IF(J751="","",ROWS($K$70:K751))</f>
        <v/>
      </c>
      <c r="L751" t="str">
        <f>IFERROR(SMALL($K$70:$K$846,ROWS($L$70:L751)),"")</f>
        <v/>
      </c>
      <c r="M751" t="str" cm="1">
        <f t="array" ref="M751">IFERROR(INDEX($F$70:$F$846,L751,1),"")</f>
        <v/>
      </c>
    </row>
    <row r="752" spans="1:13" x14ac:dyDescent="0.45">
      <c r="A752" t="s">
        <v>2724</v>
      </c>
      <c r="B752" s="206" t="s">
        <v>4144</v>
      </c>
      <c r="C752" t="s">
        <v>4145</v>
      </c>
      <c r="D752" s="206" t="s">
        <v>4146</v>
      </c>
      <c r="E752" s="206" t="str">
        <f t="shared" si="86"/>
        <v>00</v>
      </c>
      <c r="F752" t="str">
        <f t="shared" si="87"/>
        <v>Cục thuế Tỉnh Vĩnh Long</v>
      </c>
      <c r="H752" s="206" t="str">
        <f>IF(E753="01",A753,"")</f>
        <v>Vĩnh Long</v>
      </c>
      <c r="I752" s="206" t="str">
        <f t="shared" si="88"/>
        <v>80900</v>
      </c>
      <c r="J752" t="str">
        <f t="shared" si="89"/>
        <v/>
      </c>
      <c r="K752" t="str">
        <f>IF(J752="","",ROWS($K$70:K752))</f>
        <v/>
      </c>
      <c r="L752" t="str">
        <f>IFERROR(SMALL($K$70:$K$846,ROWS($L$70:L752)),"")</f>
        <v/>
      </c>
      <c r="M752" t="str" cm="1">
        <f t="array" ref="M752">IFERROR(INDEX($F$70:$F$846,L752,1),"")</f>
        <v/>
      </c>
    </row>
    <row r="753" spans="1:13" x14ac:dyDescent="0.45">
      <c r="A753" t="s">
        <v>2724</v>
      </c>
      <c r="B753" s="206">
        <v>809</v>
      </c>
      <c r="C753" t="s">
        <v>4147</v>
      </c>
      <c r="D753" s="206" t="s">
        <v>4148</v>
      </c>
      <c r="E753" s="206" t="str">
        <f t="shared" si="86"/>
        <v>01</v>
      </c>
      <c r="F753" t="str">
        <f t="shared" si="87"/>
        <v>Chi cục thuế Thành phố Vĩnh Long</v>
      </c>
      <c r="H753" s="206"/>
      <c r="I753" s="206" t="str">
        <f t="shared" si="88"/>
        <v>80901</v>
      </c>
      <c r="J753" t="str">
        <f t="shared" si="89"/>
        <v/>
      </c>
      <c r="K753" t="str">
        <f>IF(J753="","",ROWS($K$70:K753))</f>
        <v/>
      </c>
      <c r="L753" t="str">
        <f>IFERROR(SMALL($K$70:$K$846,ROWS($L$70:L753)),"")</f>
        <v/>
      </c>
      <c r="M753" t="str" cm="1">
        <f t="array" ref="M753">IFERROR(INDEX($F$70:$F$846,L753,1),"")</f>
        <v/>
      </c>
    </row>
    <row r="754" spans="1:13" x14ac:dyDescent="0.45">
      <c r="A754" t="s">
        <v>2724</v>
      </c>
      <c r="B754" s="206">
        <v>809</v>
      </c>
      <c r="C754" t="s">
        <v>4149</v>
      </c>
      <c r="D754" s="206" t="s">
        <v>4150</v>
      </c>
      <c r="E754" s="206" t="str">
        <f t="shared" si="86"/>
        <v>03</v>
      </c>
      <c r="F754" t="str">
        <f t="shared" si="87"/>
        <v>Chi cục thuế Huyện Long Hồ</v>
      </c>
      <c r="G754" t="str">
        <f>RIGHT(C754,LEN(C754)-6)</f>
        <v>Long Hồ</v>
      </c>
      <c r="H754" s="206"/>
      <c r="I754" s="206" t="str">
        <f t="shared" si="88"/>
        <v>80903</v>
      </c>
      <c r="J754" t="str">
        <f t="shared" si="89"/>
        <v/>
      </c>
      <c r="K754" t="str">
        <f>IF(J754="","",ROWS($K$70:K754))</f>
        <v/>
      </c>
      <c r="L754" t="str">
        <f>IFERROR(SMALL($K$70:$K$846,ROWS($L$70:L754)),"")</f>
        <v/>
      </c>
      <c r="M754" t="str" cm="1">
        <f t="array" ref="M754">IFERROR(INDEX($F$70:$F$846,L754,1),"")</f>
        <v/>
      </c>
    </row>
    <row r="755" spans="1:13" x14ac:dyDescent="0.45">
      <c r="A755" t="s">
        <v>2724</v>
      </c>
      <c r="B755" s="206">
        <v>809</v>
      </c>
      <c r="C755" t="s">
        <v>4151</v>
      </c>
      <c r="D755" s="206" t="s">
        <v>4152</v>
      </c>
      <c r="E755" s="206" t="str">
        <f t="shared" si="86"/>
        <v>05</v>
      </c>
      <c r="F755" t="str">
        <f t="shared" si="87"/>
        <v>Chi cục thuế Huyện Mang Thít</v>
      </c>
      <c r="G755" t="str">
        <f>RIGHT(C755,LEN(C755)-6)</f>
        <v>Mang Thít</v>
      </c>
      <c r="H755" s="206"/>
      <c r="I755" s="206" t="str">
        <f t="shared" si="88"/>
        <v>80905</v>
      </c>
      <c r="J755" t="str">
        <f t="shared" si="89"/>
        <v/>
      </c>
      <c r="K755" t="str">
        <f>IF(J755="","",ROWS($K$70:K755))</f>
        <v/>
      </c>
      <c r="L755" t="str">
        <f>IFERROR(SMALL($K$70:$K$846,ROWS($L$70:L755)),"")</f>
        <v/>
      </c>
      <c r="M755" t="str" cm="1">
        <f t="array" ref="M755">IFERROR(INDEX($F$70:$F$846,L755,1),"")</f>
        <v/>
      </c>
    </row>
    <row r="756" spans="1:13" x14ac:dyDescent="0.45">
      <c r="A756" t="s">
        <v>2724</v>
      </c>
      <c r="B756" s="206">
        <v>809</v>
      </c>
      <c r="C756" t="s">
        <v>4153</v>
      </c>
      <c r="D756" s="206" t="s">
        <v>4154</v>
      </c>
      <c r="E756" s="206" t="str">
        <f t="shared" si="86"/>
        <v>07</v>
      </c>
      <c r="F756" t="str">
        <f t="shared" si="87"/>
        <v>Chi cục thuế Thị xã Bình Minh</v>
      </c>
      <c r="H756" s="206"/>
      <c r="I756" s="206" t="str">
        <f t="shared" si="88"/>
        <v>80907</v>
      </c>
      <c r="J756" t="str">
        <f t="shared" si="89"/>
        <v/>
      </c>
      <c r="K756" t="str">
        <f>IF(J756="","",ROWS($K$70:K756))</f>
        <v/>
      </c>
      <c r="L756" t="str">
        <f>IFERROR(SMALL($K$70:$K$846,ROWS($L$70:L756)),"")</f>
        <v/>
      </c>
      <c r="M756" t="str" cm="1">
        <f t="array" ref="M756">IFERROR(INDEX($F$70:$F$846,L756,1),"")</f>
        <v/>
      </c>
    </row>
    <row r="757" spans="1:13" x14ac:dyDescent="0.45">
      <c r="A757" t="s">
        <v>2724</v>
      </c>
      <c r="B757" s="206">
        <v>809</v>
      </c>
      <c r="C757" t="s">
        <v>4155</v>
      </c>
      <c r="D757" s="206" t="s">
        <v>4156</v>
      </c>
      <c r="E757" s="206" t="str">
        <f t="shared" si="86"/>
        <v>08</v>
      </c>
      <c r="F757" t="str">
        <f t="shared" si="87"/>
        <v>Chi cục thuế Huyện Bình Tân</v>
      </c>
      <c r="G757" t="str">
        <f>RIGHT(C757,LEN(C757)-6)</f>
        <v>Bình Tân</v>
      </c>
      <c r="H757" s="206"/>
      <c r="I757" s="206" t="str">
        <f t="shared" si="88"/>
        <v>80908</v>
      </c>
      <c r="J757" t="str">
        <f t="shared" si="89"/>
        <v/>
      </c>
      <c r="K757" t="str">
        <f>IF(J757="","",ROWS($K$70:K757))</f>
        <v/>
      </c>
      <c r="L757" t="str">
        <f>IFERROR(SMALL($K$70:$K$846,ROWS($L$70:L757)),"")</f>
        <v/>
      </c>
      <c r="M757" t="str" cm="1">
        <f t="array" ref="M757">IFERROR(INDEX($F$70:$F$846,L757,1),"")</f>
        <v/>
      </c>
    </row>
    <row r="758" spans="1:13" x14ac:dyDescent="0.45">
      <c r="A758" t="s">
        <v>2724</v>
      </c>
      <c r="B758" s="206">
        <v>809</v>
      </c>
      <c r="C758" t="s">
        <v>4157</v>
      </c>
      <c r="D758" s="206" t="s">
        <v>4158</v>
      </c>
      <c r="E758" s="206" t="str">
        <f t="shared" si="86"/>
        <v>09</v>
      </c>
      <c r="F758" t="str">
        <f t="shared" si="87"/>
        <v>Chi cục thuế Huyện Tam Bình</v>
      </c>
      <c r="G758" t="str">
        <f>RIGHT(C758,LEN(C758)-6)</f>
        <v>Tam Bình</v>
      </c>
      <c r="H758" s="206"/>
      <c r="I758" s="206" t="str">
        <f t="shared" si="88"/>
        <v>80909</v>
      </c>
      <c r="J758" t="str">
        <f t="shared" si="89"/>
        <v/>
      </c>
      <c r="K758" t="str">
        <f>IF(J758="","",ROWS($K$70:K758))</f>
        <v/>
      </c>
      <c r="L758" t="str">
        <f>IFERROR(SMALL($K$70:$K$846,ROWS($L$70:L758)),"")</f>
        <v/>
      </c>
      <c r="M758" t="str" cm="1">
        <f t="array" ref="M758">IFERROR(INDEX($F$70:$F$846,L758,1),"")</f>
        <v/>
      </c>
    </row>
    <row r="759" spans="1:13" x14ac:dyDescent="0.45">
      <c r="A759" t="s">
        <v>2724</v>
      </c>
      <c r="B759" s="206">
        <v>809</v>
      </c>
      <c r="C759" t="s">
        <v>4159</v>
      </c>
      <c r="D759" s="206" t="s">
        <v>4160</v>
      </c>
      <c r="E759" s="206" t="str">
        <f t="shared" si="86"/>
        <v>11</v>
      </c>
      <c r="F759" t="str">
        <f t="shared" si="87"/>
        <v>Chi cục thuế Huyện Trà Ôn</v>
      </c>
      <c r="G759" t="str">
        <f>RIGHT(C759,LEN(C759)-6)</f>
        <v>Trà Ôn</v>
      </c>
      <c r="H759" s="206"/>
      <c r="I759" s="206" t="str">
        <f t="shared" si="88"/>
        <v>80911</v>
      </c>
      <c r="J759" t="str">
        <f t="shared" si="89"/>
        <v/>
      </c>
      <c r="K759" t="str">
        <f>IF(J759="","",ROWS($K$70:K759))</f>
        <v/>
      </c>
      <c r="L759" t="str">
        <f>IFERROR(SMALL($K$70:$K$846,ROWS($L$70:L759)),"")</f>
        <v/>
      </c>
      <c r="M759" t="str" cm="1">
        <f t="array" ref="M759">IFERROR(INDEX($F$70:$F$846,L759,1),"")</f>
        <v/>
      </c>
    </row>
    <row r="760" spans="1:13" x14ac:dyDescent="0.45">
      <c r="A760" t="s">
        <v>2724</v>
      </c>
      <c r="B760" s="206">
        <v>809</v>
      </c>
      <c r="C760" t="s">
        <v>4161</v>
      </c>
      <c r="D760" s="206" t="s">
        <v>4162</v>
      </c>
      <c r="E760" s="206" t="str">
        <f t="shared" si="86"/>
        <v>13</v>
      </c>
      <c r="F760" t="str">
        <f t="shared" si="87"/>
        <v>Chi cục thuế Huyện Vũng Liêm</v>
      </c>
      <c r="G760" t="str">
        <f>RIGHT(C760,LEN(C760)-6)</f>
        <v>Vũng Liêm</v>
      </c>
      <c r="H760" s="206"/>
      <c r="I760" s="206" t="str">
        <f t="shared" si="88"/>
        <v>80913</v>
      </c>
      <c r="J760" t="str">
        <f t="shared" si="89"/>
        <v/>
      </c>
      <c r="K760" t="str">
        <f>IF(J760="","",ROWS($K$70:K760))</f>
        <v/>
      </c>
      <c r="L760" t="str">
        <f>IFERROR(SMALL($K$70:$K$846,ROWS($L$70:L760)),"")</f>
        <v/>
      </c>
      <c r="M760" t="str" cm="1">
        <f t="array" ref="M760">IFERROR(INDEX($F$70:$F$846,L760,1),"")</f>
        <v/>
      </c>
    </row>
    <row r="761" spans="1:13" x14ac:dyDescent="0.45">
      <c r="A761" t="s">
        <v>2619</v>
      </c>
      <c r="B761" s="206" t="s">
        <v>4163</v>
      </c>
      <c r="C761" t="s">
        <v>4164</v>
      </c>
      <c r="D761" s="206" t="s">
        <v>4165</v>
      </c>
      <c r="E761" s="206" t="str">
        <f t="shared" si="86"/>
        <v>00</v>
      </c>
      <c r="F761" t="str">
        <f t="shared" si="87"/>
        <v>Cục thuế Tỉnh Bến Tre</v>
      </c>
      <c r="H761" s="206" t="str">
        <f>IF(E762="01",A762,"")</f>
        <v>Bến Tre</v>
      </c>
      <c r="I761" s="206" t="str">
        <f t="shared" si="88"/>
        <v>81100</v>
      </c>
      <c r="J761" t="str">
        <f t="shared" si="89"/>
        <v/>
      </c>
      <c r="K761" t="str">
        <f>IF(J761="","",ROWS($K$70:K761))</f>
        <v/>
      </c>
      <c r="L761" t="str">
        <f>IFERROR(SMALL($K$70:$K$846,ROWS($L$70:L761)),"")</f>
        <v/>
      </c>
      <c r="M761" t="str" cm="1">
        <f t="array" ref="M761">IFERROR(INDEX($F$70:$F$846,L761,1),"")</f>
        <v/>
      </c>
    </row>
    <row r="762" spans="1:13" x14ac:dyDescent="0.45">
      <c r="A762" t="s">
        <v>2619</v>
      </c>
      <c r="B762" s="206">
        <v>811</v>
      </c>
      <c r="C762" t="s">
        <v>4166</v>
      </c>
      <c r="D762" s="206" t="s">
        <v>4167</v>
      </c>
      <c r="E762" s="206" t="str">
        <f t="shared" si="86"/>
        <v>01</v>
      </c>
      <c r="F762" t="str">
        <f t="shared" si="87"/>
        <v>Chi cục thuế Thành phố Bến Tre</v>
      </c>
      <c r="H762" s="206"/>
      <c r="I762" s="206" t="str">
        <f t="shared" si="88"/>
        <v>81101</v>
      </c>
      <c r="J762" t="str">
        <f t="shared" si="89"/>
        <v/>
      </c>
      <c r="K762" t="str">
        <f>IF(J762="","",ROWS($K$70:K762))</f>
        <v/>
      </c>
      <c r="L762" t="str">
        <f>IFERROR(SMALL($K$70:$K$846,ROWS($L$70:L762)),"")</f>
        <v/>
      </c>
      <c r="M762" t="str" cm="1">
        <f t="array" ref="M762">IFERROR(INDEX($F$70:$F$846,L762,1),"")</f>
        <v/>
      </c>
    </row>
    <row r="763" spans="1:13" x14ac:dyDescent="0.45">
      <c r="A763" t="s">
        <v>2619</v>
      </c>
      <c r="B763" s="206">
        <v>811</v>
      </c>
      <c r="C763" t="s">
        <v>4168</v>
      </c>
      <c r="D763" s="206" t="s">
        <v>4169</v>
      </c>
      <c r="E763" s="206" t="str">
        <f t="shared" si="86"/>
        <v>03</v>
      </c>
      <c r="F763" t="str">
        <f t="shared" si="87"/>
        <v xml:space="preserve">Chi cục thuế Huyện Châu Thành     </v>
      </c>
      <c r="G763" t="str">
        <f t="shared" ref="G763:G770" si="93">RIGHT(C763,LEN(C763)-6)</f>
        <v xml:space="preserve">Châu Thành     </v>
      </c>
      <c r="H763" s="206"/>
      <c r="I763" s="206" t="str">
        <f t="shared" si="88"/>
        <v>81103</v>
      </c>
      <c r="J763" t="str">
        <f t="shared" si="89"/>
        <v/>
      </c>
      <c r="K763" t="str">
        <f>IF(J763="","",ROWS($K$70:K763))</f>
        <v/>
      </c>
      <c r="L763" t="str">
        <f>IFERROR(SMALL($K$70:$K$846,ROWS($L$70:L763)),"")</f>
        <v/>
      </c>
      <c r="M763" t="str" cm="1">
        <f t="array" ref="M763">IFERROR(INDEX($F$70:$F$846,L763,1),"")</f>
        <v/>
      </c>
    </row>
    <row r="764" spans="1:13" x14ac:dyDescent="0.45">
      <c r="A764" t="s">
        <v>2619</v>
      </c>
      <c r="B764" s="206">
        <v>811</v>
      </c>
      <c r="C764" t="s">
        <v>4170</v>
      </c>
      <c r="D764" s="206" t="s">
        <v>4171</v>
      </c>
      <c r="E764" s="206" t="str">
        <f t="shared" si="86"/>
        <v>05</v>
      </c>
      <c r="F764" t="str">
        <f t="shared" si="87"/>
        <v>Chi cục thuế Huyện Chợ Lách</v>
      </c>
      <c r="G764" t="str">
        <f t="shared" si="93"/>
        <v>Chợ Lách</v>
      </c>
      <c r="H764" s="206"/>
      <c r="I764" s="206" t="str">
        <f t="shared" si="88"/>
        <v>81105</v>
      </c>
      <c r="J764" t="str">
        <f t="shared" si="89"/>
        <v/>
      </c>
      <c r="K764" t="str">
        <f>IF(J764="","",ROWS($K$70:K764))</f>
        <v/>
      </c>
      <c r="L764" t="str">
        <f>IFERROR(SMALL($K$70:$K$846,ROWS($L$70:L764)),"")</f>
        <v/>
      </c>
      <c r="M764" t="str" cm="1">
        <f t="array" ref="M764">IFERROR(INDEX($F$70:$F$846,L764,1),"")</f>
        <v/>
      </c>
    </row>
    <row r="765" spans="1:13" x14ac:dyDescent="0.45">
      <c r="A765" t="s">
        <v>2619</v>
      </c>
      <c r="B765" s="206">
        <v>811</v>
      </c>
      <c r="C765" t="s">
        <v>4172</v>
      </c>
      <c r="D765" s="206" t="s">
        <v>4173</v>
      </c>
      <c r="E765" s="206" t="str">
        <f t="shared" si="86"/>
        <v>07</v>
      </c>
      <c r="F765" t="str">
        <f t="shared" si="87"/>
        <v>Chi cục thuế Huyện Mỏ Cày Nam</v>
      </c>
      <c r="G765" t="str">
        <f t="shared" si="93"/>
        <v>Mỏ Cày Nam</v>
      </c>
      <c r="H765" s="206"/>
      <c r="I765" s="206" t="str">
        <f t="shared" si="88"/>
        <v>81107</v>
      </c>
      <c r="J765" t="str">
        <f t="shared" si="89"/>
        <v/>
      </c>
      <c r="K765" t="str">
        <f>IF(J765="","",ROWS($K$70:K765))</f>
        <v/>
      </c>
      <c r="L765" t="str">
        <f>IFERROR(SMALL($K$70:$K$846,ROWS($L$70:L765)),"")</f>
        <v/>
      </c>
      <c r="M765" t="str" cm="1">
        <f t="array" ref="M765">IFERROR(INDEX($F$70:$F$846,L765,1),"")</f>
        <v/>
      </c>
    </row>
    <row r="766" spans="1:13" x14ac:dyDescent="0.45">
      <c r="A766" t="s">
        <v>2619</v>
      </c>
      <c r="B766" s="206">
        <v>811</v>
      </c>
      <c r="C766" t="s">
        <v>4174</v>
      </c>
      <c r="D766" s="206" t="s">
        <v>4175</v>
      </c>
      <c r="E766" s="206" t="str">
        <f t="shared" si="86"/>
        <v>08</v>
      </c>
      <c r="F766" t="str">
        <f t="shared" si="87"/>
        <v>Chi cục thuế Huyện Mỏ Cày Bắc</v>
      </c>
      <c r="G766" t="str">
        <f t="shared" si="93"/>
        <v>Mỏ Cày Bắc</v>
      </c>
      <c r="H766" s="206"/>
      <c r="I766" s="206" t="str">
        <f t="shared" si="88"/>
        <v>81108</v>
      </c>
      <c r="J766" t="str">
        <f t="shared" si="89"/>
        <v/>
      </c>
      <c r="K766" t="str">
        <f>IF(J766="","",ROWS($K$70:K766))</f>
        <v/>
      </c>
      <c r="L766" t="str">
        <f>IFERROR(SMALL($K$70:$K$846,ROWS($L$70:L766)),"")</f>
        <v/>
      </c>
      <c r="M766" t="str" cm="1">
        <f t="array" ref="M766">IFERROR(INDEX($F$70:$F$846,L766,1),"")</f>
        <v/>
      </c>
    </row>
    <row r="767" spans="1:13" x14ac:dyDescent="0.45">
      <c r="A767" t="s">
        <v>2619</v>
      </c>
      <c r="B767" s="206">
        <v>811</v>
      </c>
      <c r="C767" t="s">
        <v>4176</v>
      </c>
      <c r="D767" s="206" t="s">
        <v>4177</v>
      </c>
      <c r="E767" s="206" t="str">
        <f t="shared" si="86"/>
        <v>09</v>
      </c>
      <c r="F767" t="str">
        <f t="shared" si="87"/>
        <v>Chi cục thuế Huyện Giồng Trôm</v>
      </c>
      <c r="G767" t="str">
        <f t="shared" si="93"/>
        <v>Giồng Trôm</v>
      </c>
      <c r="H767" s="206"/>
      <c r="I767" s="206" t="str">
        <f t="shared" si="88"/>
        <v>81109</v>
      </c>
      <c r="J767" t="str">
        <f t="shared" si="89"/>
        <v/>
      </c>
      <c r="K767" t="str">
        <f>IF(J767="","",ROWS($K$70:K767))</f>
        <v/>
      </c>
      <c r="L767" t="str">
        <f>IFERROR(SMALL($K$70:$K$846,ROWS($L$70:L767)),"")</f>
        <v/>
      </c>
      <c r="M767" t="str" cm="1">
        <f t="array" ref="M767">IFERROR(INDEX($F$70:$F$846,L767,1),"")</f>
        <v/>
      </c>
    </row>
    <row r="768" spans="1:13" x14ac:dyDescent="0.45">
      <c r="A768" t="s">
        <v>2619</v>
      </c>
      <c r="B768" s="206">
        <v>811</v>
      </c>
      <c r="C768" t="s">
        <v>4178</v>
      </c>
      <c r="D768" s="206" t="s">
        <v>4179</v>
      </c>
      <c r="E768" s="206" t="str">
        <f t="shared" si="86"/>
        <v>11</v>
      </c>
      <c r="F768" t="str">
        <f t="shared" si="87"/>
        <v>Chi cục thuế Huyện Bình Đại</v>
      </c>
      <c r="G768" t="str">
        <f t="shared" si="93"/>
        <v>Bình Đại</v>
      </c>
      <c r="H768" s="206"/>
      <c r="I768" s="206" t="str">
        <f t="shared" si="88"/>
        <v>81111</v>
      </c>
      <c r="J768" t="str">
        <f t="shared" si="89"/>
        <v/>
      </c>
      <c r="K768" t="str">
        <f>IF(J768="","",ROWS($K$70:K768))</f>
        <v/>
      </c>
      <c r="L768" t="str">
        <f>IFERROR(SMALL($K$70:$K$846,ROWS($L$70:L768)),"")</f>
        <v/>
      </c>
      <c r="M768" t="str" cm="1">
        <f t="array" ref="M768">IFERROR(INDEX($F$70:$F$846,L768,1),"")</f>
        <v/>
      </c>
    </row>
    <row r="769" spans="1:13" x14ac:dyDescent="0.45">
      <c r="A769" t="s">
        <v>2619</v>
      </c>
      <c r="B769" s="206">
        <v>811</v>
      </c>
      <c r="C769" t="s">
        <v>4180</v>
      </c>
      <c r="D769" s="206" t="s">
        <v>4181</v>
      </c>
      <c r="E769" s="206" t="str">
        <f t="shared" si="86"/>
        <v>13</v>
      </c>
      <c r="F769" t="str">
        <f t="shared" si="87"/>
        <v>Chi cục thuế Huyện Ba Tri</v>
      </c>
      <c r="G769" t="str">
        <f t="shared" si="93"/>
        <v>Ba Tri</v>
      </c>
      <c r="H769" s="206"/>
      <c r="I769" s="206" t="str">
        <f t="shared" si="88"/>
        <v>81113</v>
      </c>
      <c r="J769" t="str">
        <f t="shared" si="89"/>
        <v/>
      </c>
      <c r="K769" t="str">
        <f>IF(J769="","",ROWS($K$70:K769))</f>
        <v/>
      </c>
      <c r="L769" t="str">
        <f>IFERROR(SMALL($K$70:$K$846,ROWS($L$70:L769)),"")</f>
        <v/>
      </c>
      <c r="M769" t="str" cm="1">
        <f t="array" ref="M769">IFERROR(INDEX($F$70:$F$846,L769,1),"")</f>
        <v/>
      </c>
    </row>
    <row r="770" spans="1:13" x14ac:dyDescent="0.45">
      <c r="A770" t="s">
        <v>2619</v>
      </c>
      <c r="B770" s="206">
        <v>811</v>
      </c>
      <c r="C770" t="s">
        <v>4182</v>
      </c>
      <c r="D770" s="206" t="s">
        <v>4183</v>
      </c>
      <c r="E770" s="206" t="str">
        <f t="shared" si="86"/>
        <v>15</v>
      </c>
      <c r="F770" t="str">
        <f t="shared" si="87"/>
        <v>Chi cục thuế Huyện Thạnh Phú</v>
      </c>
      <c r="G770" t="str">
        <f t="shared" si="93"/>
        <v>Thạnh Phú</v>
      </c>
      <c r="H770" s="206"/>
      <c r="I770" s="206" t="str">
        <f t="shared" si="88"/>
        <v>81115</v>
      </c>
      <c r="J770" t="str">
        <f t="shared" si="89"/>
        <v/>
      </c>
      <c r="K770" t="str">
        <f>IF(J770="","",ROWS($K$70:K770))</f>
        <v/>
      </c>
      <c r="L770" t="str">
        <f>IFERROR(SMALL($K$70:$K$846,ROWS($L$70:L770)),"")</f>
        <v/>
      </c>
      <c r="M770" t="str" cm="1">
        <f t="array" ref="M770">IFERROR(INDEX($F$70:$F$846,L770,1),"")</f>
        <v/>
      </c>
    </row>
    <row r="771" spans="1:13" x14ac:dyDescent="0.45">
      <c r="A771" t="s">
        <v>2666</v>
      </c>
      <c r="B771" s="206" t="s">
        <v>4184</v>
      </c>
      <c r="C771" t="s">
        <v>4185</v>
      </c>
      <c r="D771" s="206" t="s">
        <v>4186</v>
      </c>
      <c r="E771" s="206" t="str">
        <f t="shared" si="86"/>
        <v>00</v>
      </c>
      <c r="F771" t="str">
        <f t="shared" si="87"/>
        <v>Cục thuế Tỉnh Kiên Giang</v>
      </c>
      <c r="H771" s="206" t="str">
        <f>IF(E772="01",A772,"")</f>
        <v>Kiên Giang</v>
      </c>
      <c r="I771" s="206" t="str">
        <f t="shared" si="88"/>
        <v>81300</v>
      </c>
      <c r="J771" t="str">
        <f t="shared" si="89"/>
        <v/>
      </c>
      <c r="K771" t="str">
        <f>IF(J771="","",ROWS($K$70:K771))</f>
        <v/>
      </c>
      <c r="L771" t="str">
        <f>IFERROR(SMALL($K$70:$K$846,ROWS($L$70:L771)),"")</f>
        <v/>
      </c>
      <c r="M771" t="str" cm="1">
        <f t="array" ref="M771">IFERROR(INDEX($F$70:$F$846,L771,1),"")</f>
        <v/>
      </c>
    </row>
    <row r="772" spans="1:13" x14ac:dyDescent="0.45">
      <c r="A772" t="s">
        <v>2666</v>
      </c>
      <c r="B772" s="206">
        <v>813</v>
      </c>
      <c r="C772" t="s">
        <v>4187</v>
      </c>
      <c r="D772" s="206" t="s">
        <v>4188</v>
      </c>
      <c r="E772" s="206" t="str">
        <f t="shared" si="86"/>
        <v>01</v>
      </c>
      <c r="F772" t="str">
        <f t="shared" si="87"/>
        <v>Chi cục thuế Thành phố Rạch Giá</v>
      </c>
      <c r="H772" s="206"/>
      <c r="I772" s="206" t="str">
        <f t="shared" si="88"/>
        <v>81301</v>
      </c>
      <c r="J772" t="str">
        <f t="shared" si="89"/>
        <v/>
      </c>
      <c r="K772" t="str">
        <f>IF(J772="","",ROWS($K$70:K772))</f>
        <v/>
      </c>
      <c r="L772" t="str">
        <f>IFERROR(SMALL($K$70:$K$846,ROWS($L$70:L772)),"")</f>
        <v/>
      </c>
      <c r="M772" t="str" cm="1">
        <f t="array" ref="M772">IFERROR(INDEX($F$70:$F$846,L772,1),"")</f>
        <v/>
      </c>
    </row>
    <row r="773" spans="1:13" x14ac:dyDescent="0.45">
      <c r="A773" t="s">
        <v>2666</v>
      </c>
      <c r="B773" s="206">
        <v>813</v>
      </c>
      <c r="C773" t="s">
        <v>4189</v>
      </c>
      <c r="D773" s="206" t="s">
        <v>4190</v>
      </c>
      <c r="E773" s="206" t="str">
        <f t="shared" si="86"/>
        <v>03</v>
      </c>
      <c r="F773" t="str">
        <f t="shared" si="87"/>
        <v>Chi cục thuế Huyện Kiên Lương</v>
      </c>
      <c r="G773" t="str">
        <f t="shared" ref="G773:G784" si="94">RIGHT(C773,LEN(C773)-6)</f>
        <v>Kiên Lương</v>
      </c>
      <c r="H773" s="206"/>
      <c r="I773" s="206" t="str">
        <f t="shared" si="88"/>
        <v>81303</v>
      </c>
      <c r="J773" t="str">
        <f t="shared" si="89"/>
        <v/>
      </c>
      <c r="K773" t="str">
        <f>IF(J773="","",ROWS($K$70:K773))</f>
        <v/>
      </c>
      <c r="L773" t="str">
        <f>IFERROR(SMALL($K$70:$K$846,ROWS($L$70:L773)),"")</f>
        <v/>
      </c>
      <c r="M773" t="str" cm="1">
        <f t="array" ref="M773">IFERROR(INDEX($F$70:$F$846,L773,1),"")</f>
        <v/>
      </c>
    </row>
    <row r="774" spans="1:13" x14ac:dyDescent="0.45">
      <c r="A774" t="s">
        <v>2666</v>
      </c>
      <c r="B774" s="206">
        <v>813</v>
      </c>
      <c r="C774" t="s">
        <v>4191</v>
      </c>
      <c r="D774" s="206" t="s">
        <v>4192</v>
      </c>
      <c r="E774" s="206" t="str">
        <f t="shared" si="86"/>
        <v>04</v>
      </c>
      <c r="F774" t="str">
        <f t="shared" si="87"/>
        <v>Chi cục thuế Huyện Giang Thành</v>
      </c>
      <c r="G774" t="str">
        <f t="shared" si="94"/>
        <v>Giang Thành</v>
      </c>
      <c r="H774" s="206"/>
      <c r="I774" s="206" t="str">
        <f t="shared" si="88"/>
        <v>81304</v>
      </c>
      <c r="J774" t="str">
        <f t="shared" si="89"/>
        <v/>
      </c>
      <c r="K774" t="str">
        <f>IF(J774="","",ROWS($K$70:K774))</f>
        <v/>
      </c>
      <c r="L774" t="str">
        <f>IFERROR(SMALL($K$70:$K$846,ROWS($L$70:L774)),"")</f>
        <v/>
      </c>
      <c r="M774" t="str" cm="1">
        <f t="array" ref="M774">IFERROR(INDEX($F$70:$F$846,L774,1),"")</f>
        <v/>
      </c>
    </row>
    <row r="775" spans="1:13" x14ac:dyDescent="0.45">
      <c r="A775" t="s">
        <v>2666</v>
      </c>
      <c r="B775" s="206">
        <v>813</v>
      </c>
      <c r="C775" t="s">
        <v>4193</v>
      </c>
      <c r="D775" s="206" t="s">
        <v>4194</v>
      </c>
      <c r="E775" s="206" t="str">
        <f t="shared" ref="E775:E838" si="95">RIGHT(D775,2)</f>
        <v>05</v>
      </c>
      <c r="F775" t="str">
        <f t="shared" ref="F775:F838" si="96">IF(E775="00","Cục thuế "&amp;C775,"Chi cục thuế "&amp;C775)</f>
        <v>Chi cục thuế Huyện Hòn Đất</v>
      </c>
      <c r="G775" t="str">
        <f t="shared" si="94"/>
        <v>Hòn Đất</v>
      </c>
      <c r="H775" s="206"/>
      <c r="I775" s="206" t="str">
        <f t="shared" ref="I775:I838" si="97">D775</f>
        <v>81305</v>
      </c>
      <c r="J775" t="str">
        <f t="shared" si="89"/>
        <v/>
      </c>
      <c r="K775" t="str">
        <f>IF(J775="","",ROWS($K$70:K775))</f>
        <v/>
      </c>
      <c r="L775" t="str">
        <f>IFERROR(SMALL($K$70:$K$846,ROWS($L$70:L775)),"")</f>
        <v/>
      </c>
      <c r="M775" t="str" cm="1">
        <f t="array" ref="M775">IFERROR(INDEX($F$70:$F$846,L775,1),"")</f>
        <v/>
      </c>
    </row>
    <row r="776" spans="1:13" x14ac:dyDescent="0.45">
      <c r="A776" t="s">
        <v>2666</v>
      </c>
      <c r="B776" s="206">
        <v>813</v>
      </c>
      <c r="C776" t="s">
        <v>4195</v>
      </c>
      <c r="D776" s="206" t="s">
        <v>4196</v>
      </c>
      <c r="E776" s="206" t="str">
        <f t="shared" si="95"/>
        <v>07</v>
      </c>
      <c r="F776" t="str">
        <f t="shared" si="96"/>
        <v>Chi cục thuế Huyện Tân Hiệp</v>
      </c>
      <c r="G776" t="str">
        <f t="shared" si="94"/>
        <v>Tân Hiệp</v>
      </c>
      <c r="H776" s="206"/>
      <c r="I776" s="206" t="str">
        <f t="shared" si="97"/>
        <v>81307</v>
      </c>
      <c r="J776" t="str">
        <f t="shared" si="89"/>
        <v/>
      </c>
      <c r="K776" t="str">
        <f>IF(J776="","",ROWS($K$70:K776))</f>
        <v/>
      </c>
      <c r="L776" t="str">
        <f>IFERROR(SMALL($K$70:$K$846,ROWS($L$70:L776)),"")</f>
        <v/>
      </c>
      <c r="M776" t="str" cm="1">
        <f t="array" ref="M776">IFERROR(INDEX($F$70:$F$846,L776,1),"")</f>
        <v/>
      </c>
    </row>
    <row r="777" spans="1:13" x14ac:dyDescent="0.45">
      <c r="A777" t="s">
        <v>2666</v>
      </c>
      <c r="B777" s="206">
        <v>813</v>
      </c>
      <c r="C777" t="s">
        <v>4197</v>
      </c>
      <c r="D777" s="206" t="s">
        <v>4198</v>
      </c>
      <c r="E777" s="206" t="str">
        <f t="shared" si="95"/>
        <v>09</v>
      </c>
      <c r="F777" t="str">
        <f t="shared" si="96"/>
        <v xml:space="preserve">Chi cục thuế Huyện Châu Thành      </v>
      </c>
      <c r="G777" t="str">
        <f t="shared" si="94"/>
        <v xml:space="preserve">Châu Thành      </v>
      </c>
      <c r="H777" s="206"/>
      <c r="I777" s="206" t="str">
        <f t="shared" si="97"/>
        <v>81309</v>
      </c>
      <c r="J777" t="str">
        <f t="shared" si="89"/>
        <v/>
      </c>
      <c r="K777" t="str">
        <f>IF(J777="","",ROWS($K$70:K777))</f>
        <v/>
      </c>
      <c r="L777" t="str">
        <f>IFERROR(SMALL($K$70:$K$846,ROWS($L$70:L777)),"")</f>
        <v/>
      </c>
      <c r="M777" t="str" cm="1">
        <f t="array" ref="M777">IFERROR(INDEX($F$70:$F$846,L777,1),"")</f>
        <v/>
      </c>
    </row>
    <row r="778" spans="1:13" x14ac:dyDescent="0.45">
      <c r="A778" t="s">
        <v>2666</v>
      </c>
      <c r="B778" s="206">
        <v>813</v>
      </c>
      <c r="C778" t="s">
        <v>4199</v>
      </c>
      <c r="D778" s="206" t="s">
        <v>4200</v>
      </c>
      <c r="E778" s="206" t="str">
        <f t="shared" si="95"/>
        <v>11</v>
      </c>
      <c r="F778" t="str">
        <f t="shared" si="96"/>
        <v>Chi cục thuế Huyện Giồng Riềng</v>
      </c>
      <c r="G778" t="str">
        <f t="shared" si="94"/>
        <v>Giồng Riềng</v>
      </c>
      <c r="H778" s="206"/>
      <c r="I778" s="206" t="str">
        <f t="shared" si="97"/>
        <v>81311</v>
      </c>
      <c r="J778" t="str">
        <f t="shared" ref="J778:J841" si="98">IF(A778=$J$69,F778,"")</f>
        <v/>
      </c>
      <c r="K778" t="str">
        <f>IF(J778="","",ROWS($K$70:K778))</f>
        <v/>
      </c>
      <c r="L778" t="str">
        <f>IFERROR(SMALL($K$70:$K$846,ROWS($L$70:L778)),"")</f>
        <v/>
      </c>
      <c r="M778" t="str" cm="1">
        <f t="array" ref="M778">IFERROR(INDEX($F$70:$F$846,L778,1),"")</f>
        <v/>
      </c>
    </row>
    <row r="779" spans="1:13" x14ac:dyDescent="0.45">
      <c r="A779" t="s">
        <v>2666</v>
      </c>
      <c r="B779" s="206">
        <v>813</v>
      </c>
      <c r="C779" t="s">
        <v>4201</v>
      </c>
      <c r="D779" s="206" t="s">
        <v>4202</v>
      </c>
      <c r="E779" s="206" t="str">
        <f t="shared" si="95"/>
        <v>13</v>
      </c>
      <c r="F779" t="str">
        <f t="shared" si="96"/>
        <v>Chi cục thuế Huyện Gò Quao</v>
      </c>
      <c r="G779" t="str">
        <f t="shared" si="94"/>
        <v>Gò Quao</v>
      </c>
      <c r="H779" s="206"/>
      <c r="I779" s="206" t="str">
        <f t="shared" si="97"/>
        <v>81313</v>
      </c>
      <c r="J779" t="str">
        <f t="shared" si="98"/>
        <v/>
      </c>
      <c r="K779" t="str">
        <f>IF(J779="","",ROWS($K$70:K779))</f>
        <v/>
      </c>
      <c r="L779" t="str">
        <f>IFERROR(SMALL($K$70:$K$846,ROWS($L$70:L779)),"")</f>
        <v/>
      </c>
      <c r="M779" t="str" cm="1">
        <f t="array" ref="M779">IFERROR(INDEX($F$70:$F$846,L779,1),"")</f>
        <v/>
      </c>
    </row>
    <row r="780" spans="1:13" x14ac:dyDescent="0.45">
      <c r="A780" t="s">
        <v>2666</v>
      </c>
      <c r="B780" s="206">
        <v>813</v>
      </c>
      <c r="C780" t="s">
        <v>4203</v>
      </c>
      <c r="D780" s="206" t="s">
        <v>4204</v>
      </c>
      <c r="E780" s="206" t="str">
        <f t="shared" si="95"/>
        <v>15</v>
      </c>
      <c r="F780" t="str">
        <f t="shared" si="96"/>
        <v>Chi cục thuế Huyện An Biên</v>
      </c>
      <c r="G780" t="str">
        <f t="shared" si="94"/>
        <v>An Biên</v>
      </c>
      <c r="H780" s="206"/>
      <c r="I780" s="206" t="str">
        <f t="shared" si="97"/>
        <v>81315</v>
      </c>
      <c r="J780" t="str">
        <f t="shared" si="98"/>
        <v/>
      </c>
      <c r="K780" t="str">
        <f>IF(J780="","",ROWS($K$70:K780))</f>
        <v/>
      </c>
      <c r="L780" t="str">
        <f>IFERROR(SMALL($K$70:$K$846,ROWS($L$70:L780)),"")</f>
        <v/>
      </c>
      <c r="M780" t="str" cm="1">
        <f t="array" ref="M780">IFERROR(INDEX($F$70:$F$846,L780,1),"")</f>
        <v/>
      </c>
    </row>
    <row r="781" spans="1:13" x14ac:dyDescent="0.45">
      <c r="A781" t="s">
        <v>2666</v>
      </c>
      <c r="B781" s="206">
        <v>813</v>
      </c>
      <c r="C781" t="s">
        <v>4205</v>
      </c>
      <c r="D781" s="206" t="s">
        <v>4206</v>
      </c>
      <c r="E781" s="206" t="str">
        <f t="shared" si="95"/>
        <v>17</v>
      </c>
      <c r="F781" t="str">
        <f t="shared" si="96"/>
        <v>Chi cục thuế Huyện An Minh</v>
      </c>
      <c r="G781" t="str">
        <f t="shared" si="94"/>
        <v>An Minh</v>
      </c>
      <c r="H781" s="206"/>
      <c r="I781" s="206" t="str">
        <f t="shared" si="97"/>
        <v>81317</v>
      </c>
      <c r="J781" t="str">
        <f t="shared" si="98"/>
        <v/>
      </c>
      <c r="K781" t="str">
        <f>IF(J781="","",ROWS($K$70:K781))</f>
        <v/>
      </c>
      <c r="L781" t="str">
        <f>IFERROR(SMALL($K$70:$K$846,ROWS($L$70:L781)),"")</f>
        <v/>
      </c>
      <c r="M781" t="str" cm="1">
        <f t="array" ref="M781">IFERROR(INDEX($F$70:$F$846,L781,1),"")</f>
        <v/>
      </c>
    </row>
    <row r="782" spans="1:13" x14ac:dyDescent="0.45">
      <c r="A782" t="s">
        <v>2666</v>
      </c>
      <c r="B782" s="206">
        <v>813</v>
      </c>
      <c r="C782" t="s">
        <v>4207</v>
      </c>
      <c r="D782" s="206" t="s">
        <v>4208</v>
      </c>
      <c r="E782" s="206" t="str">
        <f t="shared" si="95"/>
        <v>19</v>
      </c>
      <c r="F782" t="str">
        <f t="shared" si="96"/>
        <v>Chi cục thuế Huyện Vĩnh Thuận</v>
      </c>
      <c r="G782" t="str">
        <f t="shared" si="94"/>
        <v>Vĩnh Thuận</v>
      </c>
      <c r="H782" s="206"/>
      <c r="I782" s="206" t="str">
        <f t="shared" si="97"/>
        <v>81319</v>
      </c>
      <c r="J782" t="str">
        <f t="shared" si="98"/>
        <v/>
      </c>
      <c r="K782" t="str">
        <f>IF(J782="","",ROWS($K$70:K782))</f>
        <v/>
      </c>
      <c r="L782" t="str">
        <f>IFERROR(SMALL($K$70:$K$846,ROWS($L$70:L782)),"")</f>
        <v/>
      </c>
      <c r="M782" t="str" cm="1">
        <f t="array" ref="M782">IFERROR(INDEX($F$70:$F$846,L782,1),"")</f>
        <v/>
      </c>
    </row>
    <row r="783" spans="1:13" x14ac:dyDescent="0.45">
      <c r="A783" t="s">
        <v>2666</v>
      </c>
      <c r="B783" s="206">
        <v>813</v>
      </c>
      <c r="C783" t="s">
        <v>4209</v>
      </c>
      <c r="D783" s="206" t="s">
        <v>4210</v>
      </c>
      <c r="E783" s="206" t="str">
        <f t="shared" si="95"/>
        <v>21</v>
      </c>
      <c r="F783" t="str">
        <f t="shared" si="96"/>
        <v>Chi cục thuế Huyện Phú Quốc</v>
      </c>
      <c r="G783" t="str">
        <f t="shared" si="94"/>
        <v>Phú Quốc</v>
      </c>
      <c r="H783" s="206"/>
      <c r="I783" s="206" t="str">
        <f t="shared" si="97"/>
        <v>81321</v>
      </c>
      <c r="J783" t="str">
        <f t="shared" si="98"/>
        <v/>
      </c>
      <c r="K783" t="str">
        <f>IF(J783="","",ROWS($K$70:K783))</f>
        <v/>
      </c>
      <c r="L783" t="str">
        <f>IFERROR(SMALL($K$70:$K$846,ROWS($L$70:L783)),"")</f>
        <v/>
      </c>
      <c r="M783" t="str" cm="1">
        <f t="array" ref="M783">IFERROR(INDEX($F$70:$F$846,L783,1),"")</f>
        <v/>
      </c>
    </row>
    <row r="784" spans="1:13" x14ac:dyDescent="0.45">
      <c r="A784" t="s">
        <v>2666</v>
      </c>
      <c r="B784" s="206">
        <v>813</v>
      </c>
      <c r="C784" t="s">
        <v>4211</v>
      </c>
      <c r="D784" s="206" t="s">
        <v>4212</v>
      </c>
      <c r="E784" s="206" t="str">
        <f t="shared" si="95"/>
        <v>23</v>
      </c>
      <c r="F784" t="str">
        <f t="shared" si="96"/>
        <v>Chi cục thuế Huyện Kiên Hải</v>
      </c>
      <c r="G784" t="str">
        <f t="shared" si="94"/>
        <v>Kiên Hải</v>
      </c>
      <c r="H784" s="206"/>
      <c r="I784" s="206" t="str">
        <f t="shared" si="97"/>
        <v>81323</v>
      </c>
      <c r="J784" t="str">
        <f t="shared" si="98"/>
        <v/>
      </c>
      <c r="K784" t="str">
        <f>IF(J784="","",ROWS($K$70:K784))</f>
        <v/>
      </c>
      <c r="L784" t="str">
        <f>IFERROR(SMALL($K$70:$K$846,ROWS($L$70:L784)),"")</f>
        <v/>
      </c>
      <c r="M784" t="str" cm="1">
        <f t="array" ref="M784">IFERROR(INDEX($F$70:$F$846,L784,1),"")</f>
        <v/>
      </c>
    </row>
    <row r="785" spans="1:13" x14ac:dyDescent="0.45">
      <c r="A785" t="s">
        <v>2666</v>
      </c>
      <c r="B785" s="206">
        <v>813</v>
      </c>
      <c r="C785" t="s">
        <v>4213</v>
      </c>
      <c r="D785" s="206" t="s">
        <v>4214</v>
      </c>
      <c r="E785" s="206" t="str">
        <f t="shared" si="95"/>
        <v>25</v>
      </c>
      <c r="F785" t="str">
        <f t="shared" si="96"/>
        <v>Chi cục thuế Thị xã Hà Tiên</v>
      </c>
      <c r="H785" s="206"/>
      <c r="I785" s="206" t="str">
        <f t="shared" si="97"/>
        <v>81325</v>
      </c>
      <c r="J785" t="str">
        <f t="shared" si="98"/>
        <v/>
      </c>
      <c r="K785" t="str">
        <f>IF(J785="","",ROWS($K$70:K785))</f>
        <v/>
      </c>
      <c r="L785" t="str">
        <f>IFERROR(SMALL($K$70:$K$846,ROWS($L$70:L785)),"")</f>
        <v/>
      </c>
      <c r="M785" t="str" cm="1">
        <f t="array" ref="M785">IFERROR(INDEX($F$70:$F$846,L785,1),"")</f>
        <v/>
      </c>
    </row>
    <row r="786" spans="1:13" x14ac:dyDescent="0.45">
      <c r="A786" t="s">
        <v>2666</v>
      </c>
      <c r="B786" s="206">
        <v>813</v>
      </c>
      <c r="C786" t="s">
        <v>4215</v>
      </c>
      <c r="D786" s="206" t="s">
        <v>4216</v>
      </c>
      <c r="E786" s="206" t="str">
        <f t="shared" si="95"/>
        <v>27</v>
      </c>
      <c r="F786" t="str">
        <f t="shared" si="96"/>
        <v>Chi cục thuế Huyện U Minh Thượng</v>
      </c>
      <c r="G786" t="str">
        <f>RIGHT(C786,LEN(C786)-6)</f>
        <v>U Minh Thượng</v>
      </c>
      <c r="H786" s="206"/>
      <c r="I786" s="206" t="str">
        <f t="shared" si="97"/>
        <v>81327</v>
      </c>
      <c r="J786" t="str">
        <f t="shared" si="98"/>
        <v/>
      </c>
      <c r="K786" t="str">
        <f>IF(J786="","",ROWS($K$70:K786))</f>
        <v/>
      </c>
      <c r="L786" t="str">
        <f>IFERROR(SMALL($K$70:$K$846,ROWS($L$70:L786)),"")</f>
        <v/>
      </c>
      <c r="M786" t="str" cm="1">
        <f t="array" ref="M786">IFERROR(INDEX($F$70:$F$846,L786,1),"")</f>
        <v/>
      </c>
    </row>
    <row r="787" spans="1:13" x14ac:dyDescent="0.45">
      <c r="A787" t="s">
        <v>2631</v>
      </c>
      <c r="B787" s="206"/>
      <c r="C787" t="s">
        <v>4217</v>
      </c>
      <c r="D787" s="206">
        <v>81500</v>
      </c>
      <c r="E787" s="206" t="str">
        <f t="shared" si="95"/>
        <v>00</v>
      </c>
      <c r="F787" t="str">
        <f t="shared" si="96"/>
        <v>Cục thuế TP Cần Thơ</v>
      </c>
      <c r="H787" s="206"/>
      <c r="I787" s="206">
        <f t="shared" si="97"/>
        <v>81500</v>
      </c>
      <c r="J787" t="str">
        <f t="shared" si="98"/>
        <v/>
      </c>
      <c r="K787" t="str">
        <f>IF(J787="","",ROWS($K$70:K787))</f>
        <v/>
      </c>
      <c r="L787" t="str">
        <f>IFERROR(SMALL($K$70:$K$846,ROWS($L$70:L787)),"")</f>
        <v/>
      </c>
      <c r="M787" t="str" cm="1">
        <f t="array" ref="M787">IFERROR(INDEX($F$70:$F$846,L787,1),"")</f>
        <v/>
      </c>
    </row>
    <row r="788" spans="1:13" x14ac:dyDescent="0.45">
      <c r="A788" t="s">
        <v>2631</v>
      </c>
      <c r="B788" s="206">
        <v>815</v>
      </c>
      <c r="C788" t="s">
        <v>4218</v>
      </c>
      <c r="D788" s="206" t="s">
        <v>4219</v>
      </c>
      <c r="E788" s="206" t="str">
        <f t="shared" si="95"/>
        <v>03</v>
      </c>
      <c r="F788" t="str">
        <f t="shared" si="96"/>
        <v>Chi cục thuế Quận Thốt Nốt</v>
      </c>
      <c r="G788" t="str">
        <f>RIGHT(C788,LEN(C788)-5)</f>
        <v>Thốt Nốt</v>
      </c>
      <c r="H788" s="206"/>
      <c r="I788" s="206" t="str">
        <f t="shared" si="97"/>
        <v>81503</v>
      </c>
      <c r="J788" t="str">
        <f t="shared" si="98"/>
        <v/>
      </c>
      <c r="K788" t="str">
        <f>IF(J788="","",ROWS($K$70:K788))</f>
        <v/>
      </c>
      <c r="L788" t="str">
        <f>IFERROR(SMALL($K$70:$K$846,ROWS($L$70:L788)),"")</f>
        <v/>
      </c>
      <c r="M788" t="str" cm="1">
        <f t="array" ref="M788">IFERROR(INDEX($F$70:$F$846,L788,1),"")</f>
        <v/>
      </c>
    </row>
    <row r="789" spans="1:13" x14ac:dyDescent="0.45">
      <c r="A789" t="s">
        <v>2631</v>
      </c>
      <c r="B789" s="206">
        <v>815</v>
      </c>
      <c r="C789" t="s">
        <v>4220</v>
      </c>
      <c r="D789" s="206" t="s">
        <v>4221</v>
      </c>
      <c r="E789" s="206" t="str">
        <f t="shared" si="95"/>
        <v>05</v>
      </c>
      <c r="F789" t="str">
        <f t="shared" si="96"/>
        <v>Chi cục thuế Quận Ô Môn</v>
      </c>
      <c r="G789" t="str">
        <f>RIGHT(C789,LEN(C789)-5)</f>
        <v>Ô Môn</v>
      </c>
      <c r="H789" s="206"/>
      <c r="I789" s="206" t="str">
        <f t="shared" si="97"/>
        <v>81505</v>
      </c>
      <c r="J789" t="str">
        <f t="shared" si="98"/>
        <v/>
      </c>
      <c r="K789" t="str">
        <f>IF(J789="","",ROWS($K$70:K789))</f>
        <v/>
      </c>
      <c r="L789" t="str">
        <f>IFERROR(SMALL($K$70:$K$846,ROWS($L$70:L789)),"")</f>
        <v/>
      </c>
      <c r="M789" t="str" cm="1">
        <f t="array" ref="M789">IFERROR(INDEX($F$70:$F$846,L789,1),"")</f>
        <v/>
      </c>
    </row>
    <row r="790" spans="1:13" x14ac:dyDescent="0.45">
      <c r="A790" t="s">
        <v>2631</v>
      </c>
      <c r="B790" s="206">
        <v>815</v>
      </c>
      <c r="C790" t="s">
        <v>4222</v>
      </c>
      <c r="D790" s="206" t="s">
        <v>4223</v>
      </c>
      <c r="E790" s="206" t="str">
        <f t="shared" si="95"/>
        <v>19</v>
      </c>
      <c r="F790" t="str">
        <f t="shared" si="96"/>
        <v>Chi cục thuế Quận Ninh Kiều</v>
      </c>
      <c r="G790" t="str">
        <f>RIGHT(C790,LEN(C790)-5)</f>
        <v>Ninh Kiều</v>
      </c>
      <c r="H790" s="206"/>
      <c r="I790" s="206" t="str">
        <f t="shared" si="97"/>
        <v>81519</v>
      </c>
      <c r="J790" t="str">
        <f t="shared" si="98"/>
        <v/>
      </c>
      <c r="K790" t="str">
        <f>IF(J790="","",ROWS($K$70:K790))</f>
        <v/>
      </c>
      <c r="L790" t="str">
        <f>IFERROR(SMALL($K$70:$K$846,ROWS($L$70:L790)),"")</f>
        <v/>
      </c>
      <c r="M790" t="str" cm="1">
        <f t="array" ref="M790">IFERROR(INDEX($F$70:$F$846,L790,1),"")</f>
        <v/>
      </c>
    </row>
    <row r="791" spans="1:13" x14ac:dyDescent="0.45">
      <c r="A791" t="s">
        <v>2631</v>
      </c>
      <c r="B791" s="206">
        <v>815</v>
      </c>
      <c r="C791" t="s">
        <v>4224</v>
      </c>
      <c r="D791" s="206" t="s">
        <v>4225</v>
      </c>
      <c r="E791" s="206" t="str">
        <f t="shared" si="95"/>
        <v>21</v>
      </c>
      <c r="F791" t="str">
        <f t="shared" si="96"/>
        <v>Chi cục thuế Quận Bình Thuỷ</v>
      </c>
      <c r="G791" t="str">
        <f>RIGHT(C791,LEN(C791)-5)</f>
        <v>Bình Thuỷ</v>
      </c>
      <c r="H791" s="206"/>
      <c r="I791" s="206" t="str">
        <f t="shared" si="97"/>
        <v>81521</v>
      </c>
      <c r="J791" t="str">
        <f t="shared" si="98"/>
        <v/>
      </c>
      <c r="K791" t="str">
        <f>IF(J791="","",ROWS($K$70:K791))</f>
        <v/>
      </c>
      <c r="L791" t="str">
        <f>IFERROR(SMALL($K$70:$K$846,ROWS($L$70:L791)),"")</f>
        <v/>
      </c>
      <c r="M791" t="str" cm="1">
        <f t="array" ref="M791">IFERROR(INDEX($F$70:$F$846,L791,1),"")</f>
        <v/>
      </c>
    </row>
    <row r="792" spans="1:13" x14ac:dyDescent="0.45">
      <c r="A792" t="s">
        <v>2631</v>
      </c>
      <c r="B792" s="206">
        <v>815</v>
      </c>
      <c r="C792" t="s">
        <v>4226</v>
      </c>
      <c r="D792" s="206" t="s">
        <v>4227</v>
      </c>
      <c r="E792" s="206" t="str">
        <f t="shared" si="95"/>
        <v>23</v>
      </c>
      <c r="F792" t="str">
        <f t="shared" si="96"/>
        <v>Chi cục thuế Quận Cái Răng</v>
      </c>
      <c r="G792" t="str">
        <f>RIGHT(C792,LEN(C792)-5)</f>
        <v>Cái Răng</v>
      </c>
      <c r="I792" s="206" t="str">
        <f t="shared" si="97"/>
        <v>81523</v>
      </c>
      <c r="J792" t="str">
        <f t="shared" si="98"/>
        <v/>
      </c>
      <c r="K792" t="str">
        <f>IF(J792="","",ROWS($K$70:K792))</f>
        <v/>
      </c>
      <c r="L792" t="str">
        <f>IFERROR(SMALL($K$70:$K$846,ROWS($L$70:L792)),"")</f>
        <v/>
      </c>
      <c r="M792" t="str" cm="1">
        <f t="array" ref="M792">IFERROR(INDEX($F$70:$F$846,L792,1),"")</f>
        <v/>
      </c>
    </row>
    <row r="793" spans="1:13" x14ac:dyDescent="0.45">
      <c r="A793" t="s">
        <v>2631</v>
      </c>
      <c r="B793" s="206">
        <v>815</v>
      </c>
      <c r="C793" t="s">
        <v>4228</v>
      </c>
      <c r="D793" s="206" t="s">
        <v>4229</v>
      </c>
      <c r="E793" s="206" t="str">
        <f t="shared" si="95"/>
        <v>25</v>
      </c>
      <c r="F793" t="str">
        <f t="shared" si="96"/>
        <v xml:space="preserve">Chi cục thuế Huyện Vĩnh Thạnh </v>
      </c>
      <c r="G793" t="str">
        <f>RIGHT(C793,LEN(C793)-6)</f>
        <v xml:space="preserve">Vĩnh Thạnh </v>
      </c>
      <c r="I793" s="206" t="str">
        <f t="shared" si="97"/>
        <v>81525</v>
      </c>
      <c r="J793" t="str">
        <f t="shared" si="98"/>
        <v/>
      </c>
      <c r="K793" t="str">
        <f>IF(J793="","",ROWS($K$70:K793))</f>
        <v/>
      </c>
      <c r="L793" t="str">
        <f>IFERROR(SMALL($K$70:$K$846,ROWS($L$70:L793)),"")</f>
        <v/>
      </c>
      <c r="M793" t="str" cm="1">
        <f t="array" ref="M793">IFERROR(INDEX($F$70:$F$846,L793,1),"")</f>
        <v/>
      </c>
    </row>
    <row r="794" spans="1:13" x14ac:dyDescent="0.45">
      <c r="A794" t="s">
        <v>2631</v>
      </c>
      <c r="B794" s="206">
        <v>815</v>
      </c>
      <c r="C794" t="s">
        <v>4230</v>
      </c>
      <c r="D794" s="206" t="s">
        <v>4231</v>
      </c>
      <c r="E794" s="206" t="str">
        <f t="shared" si="95"/>
        <v>27</v>
      </c>
      <c r="F794" t="str">
        <f t="shared" si="96"/>
        <v>Chi cục thuế Huyện Cờ Đỏ</v>
      </c>
      <c r="G794" t="str">
        <f>RIGHT(C794,LEN(C794)-6)</f>
        <v>Cờ Đỏ</v>
      </c>
      <c r="I794" s="206" t="str">
        <f t="shared" si="97"/>
        <v>81527</v>
      </c>
      <c r="J794" t="str">
        <f t="shared" si="98"/>
        <v/>
      </c>
      <c r="K794" t="str">
        <f>IF(J794="","",ROWS($K$70:K794))</f>
        <v/>
      </c>
      <c r="L794" t="str">
        <f>IFERROR(SMALL($K$70:$K$846,ROWS($L$70:L794)),"")</f>
        <v/>
      </c>
      <c r="M794" t="str" cm="1">
        <f t="array" ref="M794">IFERROR(INDEX($F$70:$F$846,L794,1),"")</f>
        <v/>
      </c>
    </row>
    <row r="795" spans="1:13" x14ac:dyDescent="0.45">
      <c r="A795" t="s">
        <v>2631</v>
      </c>
      <c r="B795" s="206">
        <v>815</v>
      </c>
      <c r="C795" t="s">
        <v>4232</v>
      </c>
      <c r="D795" s="206" t="s">
        <v>4233</v>
      </c>
      <c r="E795" s="206" t="str">
        <f t="shared" si="95"/>
        <v>29</v>
      </c>
      <c r="F795" t="str">
        <f t="shared" si="96"/>
        <v xml:space="preserve">Chi cục thuế Huyện Phong Điền </v>
      </c>
      <c r="G795" t="str">
        <f>RIGHT(C795,LEN(C795)-6)</f>
        <v xml:space="preserve">Phong Điền </v>
      </c>
      <c r="I795" s="206" t="str">
        <f t="shared" si="97"/>
        <v>81529</v>
      </c>
      <c r="J795" t="str">
        <f t="shared" si="98"/>
        <v/>
      </c>
      <c r="K795" t="str">
        <f>IF(J795="","",ROWS($K$70:K795))</f>
        <v/>
      </c>
      <c r="L795" t="str">
        <f>IFERROR(SMALL($K$70:$K$846,ROWS($L$70:L795)),"")</f>
        <v/>
      </c>
      <c r="M795" t="str" cm="1">
        <f t="array" ref="M795">IFERROR(INDEX($F$70:$F$846,L795,1),"")</f>
        <v/>
      </c>
    </row>
    <row r="796" spans="1:13" x14ac:dyDescent="0.45">
      <c r="A796" t="s">
        <v>2631</v>
      </c>
      <c r="B796" s="206">
        <v>815</v>
      </c>
      <c r="C796" t="s">
        <v>4234</v>
      </c>
      <c r="D796" s="206" t="s">
        <v>4235</v>
      </c>
      <c r="E796" s="206" t="str">
        <f t="shared" si="95"/>
        <v>31</v>
      </c>
      <c r="F796" t="str">
        <f t="shared" si="96"/>
        <v>Chi cục thuế Huyện Thới Lai</v>
      </c>
      <c r="G796" t="str">
        <f>RIGHT(C796,LEN(C796)-6)</f>
        <v>Thới Lai</v>
      </c>
      <c r="I796" s="206" t="str">
        <f t="shared" si="97"/>
        <v>81531</v>
      </c>
      <c r="J796" t="str">
        <f t="shared" si="98"/>
        <v/>
      </c>
      <c r="K796" t="str">
        <f>IF(J796="","",ROWS($K$70:K796))</f>
        <v/>
      </c>
      <c r="L796" t="str">
        <f>IFERROR(SMALL($K$70:$K$846,ROWS($L$70:L796)),"")</f>
        <v/>
      </c>
      <c r="M796" t="str" cm="1">
        <f t="array" ref="M796">IFERROR(INDEX($F$70:$F$846,L796,1),"")</f>
        <v/>
      </c>
    </row>
    <row r="797" spans="1:13" x14ac:dyDescent="0.45">
      <c r="A797" t="s">
        <v>2659</v>
      </c>
      <c r="B797" s="206" t="s">
        <v>4236</v>
      </c>
      <c r="C797" t="s">
        <v>4237</v>
      </c>
      <c r="D797" s="206" t="s">
        <v>4238</v>
      </c>
      <c r="E797" s="206" t="str">
        <f t="shared" si="95"/>
        <v>00</v>
      </c>
      <c r="F797" t="str">
        <f t="shared" si="96"/>
        <v>Cục thuế Tỉnh Hậu Giang</v>
      </c>
      <c r="H797" s="206" t="str">
        <f>IF(E798="01",A798,"")</f>
        <v>Hậu Giang</v>
      </c>
      <c r="I797" s="206" t="str">
        <f t="shared" si="97"/>
        <v>81600</v>
      </c>
      <c r="J797" t="str">
        <f t="shared" si="98"/>
        <v/>
      </c>
      <c r="K797" t="str">
        <f>IF(J797="","",ROWS($K$70:K797))</f>
        <v/>
      </c>
      <c r="L797" t="str">
        <f>IFERROR(SMALL($K$70:$K$846,ROWS($L$70:L797)),"")</f>
        <v/>
      </c>
      <c r="M797" t="str" cm="1">
        <f t="array" ref="M797">IFERROR(INDEX($F$70:$F$846,L797,1),"")</f>
        <v/>
      </c>
    </row>
    <row r="798" spans="1:13" x14ac:dyDescent="0.45">
      <c r="A798" t="s">
        <v>2659</v>
      </c>
      <c r="B798" s="206">
        <v>816</v>
      </c>
      <c r="C798" t="s">
        <v>4239</v>
      </c>
      <c r="D798" s="206" t="s">
        <v>4240</v>
      </c>
      <c r="E798" s="206" t="str">
        <f t="shared" si="95"/>
        <v>01</v>
      </c>
      <c r="F798" t="str">
        <f t="shared" si="96"/>
        <v>Chi cục thuế Tp Vị Thanh</v>
      </c>
      <c r="I798" s="206" t="str">
        <f t="shared" si="97"/>
        <v>81601</v>
      </c>
      <c r="J798" t="str">
        <f t="shared" si="98"/>
        <v/>
      </c>
      <c r="K798" t="str">
        <f>IF(J798="","",ROWS($K$70:K798))</f>
        <v/>
      </c>
      <c r="L798" t="str">
        <f>IFERROR(SMALL($K$70:$K$846,ROWS($L$70:L798)),"")</f>
        <v/>
      </c>
      <c r="M798" t="str" cm="1">
        <f t="array" ref="M798">IFERROR(INDEX($F$70:$F$846,L798,1),"")</f>
        <v/>
      </c>
    </row>
    <row r="799" spans="1:13" x14ac:dyDescent="0.45">
      <c r="A799" t="s">
        <v>2659</v>
      </c>
      <c r="B799" s="206">
        <v>816</v>
      </c>
      <c r="C799" t="s">
        <v>4241</v>
      </c>
      <c r="D799" s="206" t="s">
        <v>4242</v>
      </c>
      <c r="E799" s="206" t="str">
        <f t="shared" si="95"/>
        <v>03</v>
      </c>
      <c r="F799" t="str">
        <f t="shared" si="96"/>
        <v>Chi cục thuế Huyện Châu Thành A</v>
      </c>
      <c r="G799" t="str">
        <f>RIGHT(C799,LEN(C799)-6)</f>
        <v>Châu Thành A</v>
      </c>
      <c r="I799" s="206" t="str">
        <f t="shared" si="97"/>
        <v>81603</v>
      </c>
      <c r="J799" t="str">
        <f t="shared" si="98"/>
        <v/>
      </c>
      <c r="K799" t="str">
        <f>IF(J799="","",ROWS($K$70:K799))</f>
        <v/>
      </c>
      <c r="L799" t="str">
        <f>IFERROR(SMALL($K$70:$K$846,ROWS($L$70:L799)),"")</f>
        <v/>
      </c>
      <c r="M799" t="str" cm="1">
        <f t="array" ref="M799">IFERROR(INDEX($F$70:$F$846,L799,1),"")</f>
        <v/>
      </c>
    </row>
    <row r="800" spans="1:13" x14ac:dyDescent="0.45">
      <c r="A800" t="s">
        <v>2659</v>
      </c>
      <c r="B800" s="206">
        <v>816</v>
      </c>
      <c r="C800" t="s">
        <v>4243</v>
      </c>
      <c r="D800" s="206" t="s">
        <v>4244</v>
      </c>
      <c r="E800" s="206" t="str">
        <f t="shared" si="95"/>
        <v>05</v>
      </c>
      <c r="F800" t="str">
        <f t="shared" si="96"/>
        <v xml:space="preserve">Chi cục thuế Huyện Châu Thành       </v>
      </c>
      <c r="G800" t="str">
        <f>RIGHT(C800,LEN(C800)-6)</f>
        <v xml:space="preserve">Châu Thành       </v>
      </c>
      <c r="I800" s="206" t="str">
        <f t="shared" si="97"/>
        <v>81605</v>
      </c>
      <c r="J800" t="str">
        <f t="shared" si="98"/>
        <v/>
      </c>
      <c r="K800" t="str">
        <f>IF(J800="","",ROWS($K$70:K800))</f>
        <v/>
      </c>
      <c r="L800" t="str">
        <f>IFERROR(SMALL($K$70:$K$846,ROWS($L$70:L800)),"")</f>
        <v/>
      </c>
      <c r="M800" t="str" cm="1">
        <f t="array" ref="M800">IFERROR(INDEX($F$70:$F$846,L800,1),"")</f>
        <v/>
      </c>
    </row>
    <row r="801" spans="1:13" x14ac:dyDescent="0.45">
      <c r="A801" t="s">
        <v>2659</v>
      </c>
      <c r="B801" s="206">
        <v>816</v>
      </c>
      <c r="C801" t="s">
        <v>4245</v>
      </c>
      <c r="D801" s="206" t="s">
        <v>4246</v>
      </c>
      <c r="E801" s="206" t="str">
        <f t="shared" si="95"/>
        <v>07</v>
      </c>
      <c r="F801" t="str">
        <f t="shared" si="96"/>
        <v>Chi cục thuế Thị Xã Ngã Bảy</v>
      </c>
      <c r="I801" s="206" t="str">
        <f t="shared" si="97"/>
        <v>81607</v>
      </c>
      <c r="J801" t="str">
        <f t="shared" si="98"/>
        <v/>
      </c>
      <c r="K801" t="str">
        <f>IF(J801="","",ROWS($K$70:K801))</f>
        <v/>
      </c>
      <c r="L801" t="str">
        <f>IFERROR(SMALL($K$70:$K$846,ROWS($L$70:L801)),"")</f>
        <v/>
      </c>
      <c r="M801" t="str" cm="1">
        <f t="array" ref="M801">IFERROR(INDEX($F$70:$F$846,L801,1),"")</f>
        <v/>
      </c>
    </row>
    <row r="802" spans="1:13" x14ac:dyDescent="0.45">
      <c r="A802" t="s">
        <v>2659</v>
      </c>
      <c r="B802" s="206">
        <v>816</v>
      </c>
      <c r="C802" t="s">
        <v>4247</v>
      </c>
      <c r="D802" s="206" t="s">
        <v>4248</v>
      </c>
      <c r="E802" s="206" t="str">
        <f t="shared" si="95"/>
        <v>08</v>
      </c>
      <c r="F802" t="str">
        <f t="shared" si="96"/>
        <v>Chi cục thuế Huyện Phụng Hiệp</v>
      </c>
      <c r="G802" t="str">
        <f>RIGHT(C802,LEN(C802)-6)</f>
        <v>Phụng Hiệp</v>
      </c>
      <c r="I802" s="206" t="str">
        <f t="shared" si="97"/>
        <v>81608</v>
      </c>
      <c r="J802" t="str">
        <f t="shared" si="98"/>
        <v/>
      </c>
      <c r="K802" t="str">
        <f>IF(J802="","",ROWS($K$70:K802))</f>
        <v/>
      </c>
      <c r="L802" t="str">
        <f>IFERROR(SMALL($K$70:$K$846,ROWS($L$70:L802)),"")</f>
        <v/>
      </c>
      <c r="M802" t="str" cm="1">
        <f t="array" ref="M802">IFERROR(INDEX($F$70:$F$846,L802,1),"")</f>
        <v/>
      </c>
    </row>
    <row r="803" spans="1:13" x14ac:dyDescent="0.45">
      <c r="A803" t="s">
        <v>2659</v>
      </c>
      <c r="B803" s="206">
        <v>816</v>
      </c>
      <c r="C803" t="s">
        <v>4249</v>
      </c>
      <c r="D803" s="206" t="s">
        <v>4250</v>
      </c>
      <c r="E803" s="206" t="str">
        <f t="shared" si="95"/>
        <v>09</v>
      </c>
      <c r="F803" t="str">
        <f t="shared" si="96"/>
        <v>Chi cục thuế Huyện Vị Thủy</v>
      </c>
      <c r="G803" t="str">
        <f>RIGHT(C803,LEN(C803)-6)</f>
        <v>Vị Thủy</v>
      </c>
      <c r="I803" s="206" t="str">
        <f t="shared" si="97"/>
        <v>81609</v>
      </c>
      <c r="J803" t="str">
        <f t="shared" si="98"/>
        <v/>
      </c>
      <c r="K803" t="str">
        <f>IF(J803="","",ROWS($K$70:K803))</f>
        <v/>
      </c>
      <c r="L803" t="str">
        <f>IFERROR(SMALL($K$70:$K$846,ROWS($L$70:L803)),"")</f>
        <v/>
      </c>
      <c r="M803" t="str" cm="1">
        <f t="array" ref="M803">IFERROR(INDEX($F$70:$F$846,L803,1),"")</f>
        <v/>
      </c>
    </row>
    <row r="804" spans="1:13" x14ac:dyDescent="0.45">
      <c r="A804" t="s">
        <v>2659</v>
      </c>
      <c r="B804" s="206">
        <v>816</v>
      </c>
      <c r="C804" t="s">
        <v>4251</v>
      </c>
      <c r="D804" s="206" t="s">
        <v>4252</v>
      </c>
      <c r="E804" s="206" t="str">
        <f t="shared" si="95"/>
        <v>11</v>
      </c>
      <c r="F804" t="str">
        <f t="shared" si="96"/>
        <v>Chi cục thuế Huyện Long Mỹ</v>
      </c>
      <c r="G804" t="str">
        <f>RIGHT(C804,LEN(C804)-6)</f>
        <v>Long Mỹ</v>
      </c>
      <c r="I804" s="206" t="str">
        <f t="shared" si="97"/>
        <v>81611</v>
      </c>
      <c r="J804" t="str">
        <f t="shared" si="98"/>
        <v/>
      </c>
      <c r="K804" t="str">
        <f>IF(J804="","",ROWS($K$70:K804))</f>
        <v/>
      </c>
      <c r="L804" t="str">
        <f>IFERROR(SMALL($K$70:$K$846,ROWS($L$70:L804)),"")</f>
        <v/>
      </c>
      <c r="M804" t="str" cm="1">
        <f t="array" ref="M804">IFERROR(INDEX($F$70:$F$846,L804,1),"")</f>
        <v/>
      </c>
    </row>
    <row r="805" spans="1:13" x14ac:dyDescent="0.45">
      <c r="A805" t="s">
        <v>2659</v>
      </c>
      <c r="B805" s="206">
        <v>816</v>
      </c>
      <c r="C805" t="s">
        <v>4253</v>
      </c>
      <c r="D805" s="206" t="s">
        <v>4254</v>
      </c>
      <c r="E805" s="206" t="str">
        <f t="shared" si="95"/>
        <v>12</v>
      </c>
      <c r="F805" t="str">
        <f t="shared" si="96"/>
        <v>Chi cục thuế Thị Xã Long Mỹ</v>
      </c>
      <c r="I805" s="206" t="str">
        <f t="shared" si="97"/>
        <v>81612</v>
      </c>
      <c r="J805" t="str">
        <f t="shared" si="98"/>
        <v/>
      </c>
      <c r="K805" t="str">
        <f>IF(J805="","",ROWS($K$70:K805))</f>
        <v/>
      </c>
      <c r="L805" t="str">
        <f>IFERROR(SMALL($K$70:$K$846,ROWS($L$70:L805)),"")</f>
        <v/>
      </c>
      <c r="M805" t="str" cm="1">
        <f t="array" ref="M805">IFERROR(INDEX($F$70:$F$846,L805,1),"")</f>
        <v/>
      </c>
    </row>
    <row r="806" spans="1:13" x14ac:dyDescent="0.45">
      <c r="A806" t="s">
        <v>2720</v>
      </c>
      <c r="B806" s="206" t="s">
        <v>4255</v>
      </c>
      <c r="C806" t="s">
        <v>4256</v>
      </c>
      <c r="D806" s="206" t="s">
        <v>4257</v>
      </c>
      <c r="E806" s="206" t="str">
        <f t="shared" si="95"/>
        <v>00</v>
      </c>
      <c r="F806" t="str">
        <f t="shared" si="96"/>
        <v>Cục thuế Tỉnh Trà Vinh</v>
      </c>
      <c r="H806" s="206" t="str">
        <f>IF(E807="01",A807,"")</f>
        <v>Trà Vinh</v>
      </c>
      <c r="I806" s="206" t="str">
        <f t="shared" si="97"/>
        <v>81700</v>
      </c>
      <c r="J806" t="str">
        <f t="shared" si="98"/>
        <v/>
      </c>
      <c r="K806" t="str">
        <f>IF(J806="","",ROWS($K$70:K806))</f>
        <v/>
      </c>
      <c r="L806" t="str">
        <f>IFERROR(SMALL($K$70:$K$846,ROWS($L$70:L806)),"")</f>
        <v/>
      </c>
      <c r="M806" t="str" cm="1">
        <f t="array" ref="M806">IFERROR(INDEX($F$70:$F$846,L806,1),"")</f>
        <v/>
      </c>
    </row>
    <row r="807" spans="1:13" x14ac:dyDescent="0.45">
      <c r="A807" t="s">
        <v>2720</v>
      </c>
      <c r="B807" s="206">
        <v>817</v>
      </c>
      <c r="C807" t="s">
        <v>4258</v>
      </c>
      <c r="D807" s="206" t="s">
        <v>4259</v>
      </c>
      <c r="E807" s="206" t="str">
        <f t="shared" si="95"/>
        <v>01</v>
      </c>
      <c r="F807" t="str">
        <f t="shared" si="96"/>
        <v>Chi cục thuế Thành phố Trà Vinh</v>
      </c>
      <c r="I807" s="206" t="str">
        <f t="shared" si="97"/>
        <v>81701</v>
      </c>
      <c r="J807" t="str">
        <f t="shared" si="98"/>
        <v/>
      </c>
      <c r="K807" t="str">
        <f>IF(J807="","",ROWS($K$70:K807))</f>
        <v/>
      </c>
      <c r="L807" t="str">
        <f>IFERROR(SMALL($K$70:$K$846,ROWS($L$70:L807)),"")</f>
        <v/>
      </c>
      <c r="M807" t="str" cm="1">
        <f t="array" ref="M807">IFERROR(INDEX($F$70:$F$846,L807,1),"")</f>
        <v/>
      </c>
    </row>
    <row r="808" spans="1:13" x14ac:dyDescent="0.45">
      <c r="A808" t="s">
        <v>2720</v>
      </c>
      <c r="B808" s="206">
        <v>817</v>
      </c>
      <c r="C808" t="s">
        <v>4260</v>
      </c>
      <c r="D808" s="206" t="s">
        <v>4261</v>
      </c>
      <c r="E808" s="206" t="str">
        <f t="shared" si="95"/>
        <v>03</v>
      </c>
      <c r="F808" t="str">
        <f t="shared" si="96"/>
        <v>Chi cục thuế Huyện Càng Long</v>
      </c>
      <c r="G808" t="str">
        <f t="shared" ref="G808:G814" si="99">RIGHT(C808,LEN(C808)-6)</f>
        <v>Càng Long</v>
      </c>
      <c r="I808" s="206" t="str">
        <f t="shared" si="97"/>
        <v>81703</v>
      </c>
      <c r="J808" t="str">
        <f t="shared" si="98"/>
        <v/>
      </c>
      <c r="K808" t="str">
        <f>IF(J808="","",ROWS($K$70:K808))</f>
        <v/>
      </c>
      <c r="L808" t="str">
        <f>IFERROR(SMALL($K$70:$K$846,ROWS($L$70:L808)),"")</f>
        <v/>
      </c>
      <c r="M808" t="str" cm="1">
        <f t="array" ref="M808">IFERROR(INDEX($F$70:$F$846,L808,1),"")</f>
        <v/>
      </c>
    </row>
    <row r="809" spans="1:13" x14ac:dyDescent="0.45">
      <c r="A809" t="s">
        <v>2720</v>
      </c>
      <c r="B809" s="206">
        <v>817</v>
      </c>
      <c r="C809" t="s">
        <v>4262</v>
      </c>
      <c r="D809" s="206" t="s">
        <v>4263</v>
      </c>
      <c r="E809" s="206" t="str">
        <f t="shared" si="95"/>
        <v>05</v>
      </c>
      <c r="F809" t="str">
        <f t="shared" si="96"/>
        <v xml:space="preserve">Chi cục thuế Huyện Châu Thành        </v>
      </c>
      <c r="G809" t="str">
        <f t="shared" si="99"/>
        <v xml:space="preserve">Châu Thành        </v>
      </c>
      <c r="I809" s="206" t="str">
        <f t="shared" si="97"/>
        <v>81705</v>
      </c>
      <c r="J809" t="str">
        <f t="shared" si="98"/>
        <v/>
      </c>
      <c r="K809" t="str">
        <f>IF(J809="","",ROWS($K$70:K809))</f>
        <v/>
      </c>
      <c r="L809" t="str">
        <f>IFERROR(SMALL($K$70:$K$846,ROWS($L$70:L809)),"")</f>
        <v/>
      </c>
      <c r="M809" t="str" cm="1">
        <f t="array" ref="M809">IFERROR(INDEX($F$70:$F$846,L809,1),"")</f>
        <v/>
      </c>
    </row>
    <row r="810" spans="1:13" x14ac:dyDescent="0.45">
      <c r="A810" t="s">
        <v>2720</v>
      </c>
      <c r="B810" s="206">
        <v>817</v>
      </c>
      <c r="C810" t="s">
        <v>4264</v>
      </c>
      <c r="D810" s="206" t="s">
        <v>4265</v>
      </c>
      <c r="E810" s="206" t="str">
        <f t="shared" si="95"/>
        <v>07</v>
      </c>
      <c r="F810" t="str">
        <f t="shared" si="96"/>
        <v>Chi cục thuế Huyện Cầu Kè</v>
      </c>
      <c r="G810" t="str">
        <f t="shared" si="99"/>
        <v>Cầu Kè</v>
      </c>
      <c r="I810" s="206" t="str">
        <f t="shared" si="97"/>
        <v>81707</v>
      </c>
      <c r="J810" t="str">
        <f t="shared" si="98"/>
        <v/>
      </c>
      <c r="K810" t="str">
        <f>IF(J810="","",ROWS($K$70:K810))</f>
        <v/>
      </c>
      <c r="L810" t="str">
        <f>IFERROR(SMALL($K$70:$K$846,ROWS($L$70:L810)),"")</f>
        <v/>
      </c>
      <c r="M810" t="str" cm="1">
        <f t="array" ref="M810">IFERROR(INDEX($F$70:$F$846,L810,1),"")</f>
        <v/>
      </c>
    </row>
    <row r="811" spans="1:13" x14ac:dyDescent="0.45">
      <c r="A811" t="s">
        <v>2720</v>
      </c>
      <c r="B811" s="206">
        <v>817</v>
      </c>
      <c r="C811" t="s">
        <v>4266</v>
      </c>
      <c r="D811" s="206" t="s">
        <v>4267</v>
      </c>
      <c r="E811" s="206" t="str">
        <f t="shared" si="95"/>
        <v>09</v>
      </c>
      <c r="F811" t="str">
        <f t="shared" si="96"/>
        <v>Chi cục thuế Huyện Tiểu Cần</v>
      </c>
      <c r="G811" t="str">
        <f t="shared" si="99"/>
        <v>Tiểu Cần</v>
      </c>
      <c r="I811" s="206" t="str">
        <f t="shared" si="97"/>
        <v>81709</v>
      </c>
      <c r="J811" t="str">
        <f t="shared" si="98"/>
        <v/>
      </c>
      <c r="K811" t="str">
        <f>IF(J811="","",ROWS($K$70:K811))</f>
        <v/>
      </c>
      <c r="L811" t="str">
        <f>IFERROR(SMALL($K$70:$K$846,ROWS($L$70:L811)),"")</f>
        <v/>
      </c>
      <c r="M811" t="str" cm="1">
        <f t="array" ref="M811">IFERROR(INDEX($F$70:$F$846,L811,1),"")</f>
        <v/>
      </c>
    </row>
    <row r="812" spans="1:13" x14ac:dyDescent="0.45">
      <c r="A812" t="s">
        <v>2720</v>
      </c>
      <c r="B812" s="206">
        <v>817</v>
      </c>
      <c r="C812" t="s">
        <v>4268</v>
      </c>
      <c r="D812" s="206" t="s">
        <v>4269</v>
      </c>
      <c r="E812" s="206" t="str">
        <f t="shared" si="95"/>
        <v>11</v>
      </c>
      <c r="F812" t="str">
        <f t="shared" si="96"/>
        <v>Chi cục thuế Huyện Cầu Ngang</v>
      </c>
      <c r="G812" t="str">
        <f t="shared" si="99"/>
        <v>Cầu Ngang</v>
      </c>
      <c r="I812" s="206" t="str">
        <f t="shared" si="97"/>
        <v>81711</v>
      </c>
      <c r="J812" t="str">
        <f t="shared" si="98"/>
        <v/>
      </c>
      <c r="K812" t="str">
        <f>IF(J812="","",ROWS($K$70:K812))</f>
        <v/>
      </c>
      <c r="L812" t="str">
        <f>IFERROR(SMALL($K$70:$K$846,ROWS($L$70:L812)),"")</f>
        <v/>
      </c>
      <c r="M812" t="str" cm="1">
        <f t="array" ref="M812">IFERROR(INDEX($F$70:$F$846,L812,1),"")</f>
        <v/>
      </c>
    </row>
    <row r="813" spans="1:13" x14ac:dyDescent="0.45">
      <c r="A813" t="s">
        <v>2720</v>
      </c>
      <c r="B813" s="206">
        <v>817</v>
      </c>
      <c r="C813" t="s">
        <v>4270</v>
      </c>
      <c r="D813" s="206" t="s">
        <v>4271</v>
      </c>
      <c r="E813" s="206" t="str">
        <f t="shared" si="95"/>
        <v>13</v>
      </c>
      <c r="F813" t="str">
        <f t="shared" si="96"/>
        <v>Chi cục thuế Huyện Trà Cú</v>
      </c>
      <c r="G813" t="str">
        <f t="shared" si="99"/>
        <v>Trà Cú</v>
      </c>
      <c r="I813" s="206" t="str">
        <f t="shared" si="97"/>
        <v>81713</v>
      </c>
      <c r="J813" t="str">
        <f t="shared" si="98"/>
        <v/>
      </c>
      <c r="K813" t="str">
        <f>IF(J813="","",ROWS($K$70:K813))</f>
        <v/>
      </c>
      <c r="L813" t="str">
        <f>IFERROR(SMALL($K$70:$K$846,ROWS($L$70:L813)),"")</f>
        <v/>
      </c>
      <c r="M813" t="str" cm="1">
        <f t="array" ref="M813">IFERROR(INDEX($F$70:$F$846,L813,1),"")</f>
        <v/>
      </c>
    </row>
    <row r="814" spans="1:13" x14ac:dyDescent="0.45">
      <c r="A814" t="s">
        <v>2720</v>
      </c>
      <c r="B814" s="206">
        <v>817</v>
      </c>
      <c r="C814" t="s">
        <v>4272</v>
      </c>
      <c r="D814" s="206" t="s">
        <v>4273</v>
      </c>
      <c r="E814" s="206" t="str">
        <f t="shared" si="95"/>
        <v>15</v>
      </c>
      <c r="F814" t="str">
        <f t="shared" si="96"/>
        <v>Chi cục thuế Huyện Duyên Hải</v>
      </c>
      <c r="G814" t="str">
        <f t="shared" si="99"/>
        <v>Duyên Hải</v>
      </c>
      <c r="I814" s="206" t="str">
        <f t="shared" si="97"/>
        <v>81715</v>
      </c>
      <c r="J814" t="str">
        <f t="shared" si="98"/>
        <v/>
      </c>
      <c r="K814" t="str">
        <f>IF(J814="","",ROWS($K$70:K814))</f>
        <v/>
      </c>
      <c r="L814" t="str">
        <f>IFERROR(SMALL($K$70:$K$846,ROWS($L$70:L814)),"")</f>
        <v/>
      </c>
      <c r="M814" t="str" cm="1">
        <f t="array" ref="M814">IFERROR(INDEX($F$70:$F$846,L814,1),"")</f>
        <v/>
      </c>
    </row>
    <row r="815" spans="1:13" x14ac:dyDescent="0.45">
      <c r="A815" t="s">
        <v>2720</v>
      </c>
      <c r="B815" s="206">
        <v>817</v>
      </c>
      <c r="C815" t="s">
        <v>4274</v>
      </c>
      <c r="D815" s="206" t="s">
        <v>4275</v>
      </c>
      <c r="E815" s="206" t="str">
        <f t="shared" si="95"/>
        <v>16</v>
      </c>
      <c r="F815" t="str">
        <f t="shared" si="96"/>
        <v>Chi cục thuế Thị Xã Duyên Hải</v>
      </c>
      <c r="I815" s="206" t="str">
        <f t="shared" si="97"/>
        <v>81716</v>
      </c>
      <c r="J815" t="str">
        <f t="shared" si="98"/>
        <v/>
      </c>
      <c r="K815" t="str">
        <f>IF(J815="","",ROWS($K$70:K815))</f>
        <v/>
      </c>
      <c r="L815" t="str">
        <f>IFERROR(SMALL($K$70:$K$846,ROWS($L$70:L815)),"")</f>
        <v/>
      </c>
      <c r="M815" t="str" cm="1">
        <f t="array" ref="M815">IFERROR(INDEX($F$70:$F$846,L815,1),"")</f>
        <v/>
      </c>
    </row>
    <row r="816" spans="1:13" x14ac:dyDescent="0.45">
      <c r="A816" t="s">
        <v>2702</v>
      </c>
      <c r="B816" s="206" t="s">
        <v>4276</v>
      </c>
      <c r="C816" t="s">
        <v>4277</v>
      </c>
      <c r="D816" s="206" t="s">
        <v>4278</v>
      </c>
      <c r="E816" s="206" t="str">
        <f t="shared" si="95"/>
        <v>00</v>
      </c>
      <c r="F816" t="str">
        <f t="shared" si="96"/>
        <v>Cục thuế Tỉnh Sóc Trăng</v>
      </c>
      <c r="H816" s="206" t="str">
        <f>IF(E817="01",A817,"")</f>
        <v>Sóc Trăng</v>
      </c>
      <c r="I816" s="206" t="str">
        <f t="shared" si="97"/>
        <v>81900</v>
      </c>
      <c r="J816" t="str">
        <f t="shared" si="98"/>
        <v/>
      </c>
      <c r="K816" t="str">
        <f>IF(J816="","",ROWS($K$70:K816))</f>
        <v/>
      </c>
      <c r="L816" t="str">
        <f>IFERROR(SMALL($K$70:$K$846,ROWS($L$70:L816)),"")</f>
        <v/>
      </c>
      <c r="M816" t="str" cm="1">
        <f t="array" ref="M816">IFERROR(INDEX($F$70:$F$846,L816,1),"")</f>
        <v/>
      </c>
    </row>
    <row r="817" spans="1:13" x14ac:dyDescent="0.45">
      <c r="A817" t="s">
        <v>2702</v>
      </c>
      <c r="B817" s="206">
        <v>819</v>
      </c>
      <c r="C817" t="s">
        <v>4279</v>
      </c>
      <c r="D817" s="206" t="s">
        <v>4280</v>
      </c>
      <c r="E817" s="206" t="str">
        <f t="shared" si="95"/>
        <v>01</v>
      </c>
      <c r="F817" t="str">
        <f t="shared" si="96"/>
        <v>Chi cục thuế Thành phố Sóc Trăng</v>
      </c>
      <c r="I817" s="206" t="str">
        <f t="shared" si="97"/>
        <v>81901</v>
      </c>
      <c r="J817" t="str">
        <f t="shared" si="98"/>
        <v/>
      </c>
      <c r="K817" t="str">
        <f>IF(J817="","",ROWS($K$70:K817))</f>
        <v/>
      </c>
      <c r="L817" t="str">
        <f>IFERROR(SMALL($K$70:$K$846,ROWS($L$70:L817)),"")</f>
        <v/>
      </c>
      <c r="M817" t="str" cm="1">
        <f t="array" ref="M817">IFERROR(INDEX($F$70:$F$846,L817,1),"")</f>
        <v/>
      </c>
    </row>
    <row r="818" spans="1:13" x14ac:dyDescent="0.45">
      <c r="A818" t="s">
        <v>2702</v>
      </c>
      <c r="B818" s="206">
        <v>819</v>
      </c>
      <c r="C818" t="s">
        <v>4281</v>
      </c>
      <c r="D818" s="206" t="s">
        <v>4282</v>
      </c>
      <c r="E818" s="206" t="str">
        <f t="shared" si="95"/>
        <v>03</v>
      </c>
      <c r="F818" t="str">
        <f t="shared" si="96"/>
        <v>Chi cục thuế Huyện Kế Sách</v>
      </c>
      <c r="G818" t="str">
        <f t="shared" ref="G818:G823" si="100">RIGHT(C818,LEN(C818)-6)</f>
        <v>Kế Sách</v>
      </c>
      <c r="I818" s="206" t="str">
        <f t="shared" si="97"/>
        <v>81903</v>
      </c>
      <c r="J818" t="str">
        <f t="shared" si="98"/>
        <v/>
      </c>
      <c r="K818" t="str">
        <f>IF(J818="","",ROWS($K$70:K818))</f>
        <v/>
      </c>
      <c r="L818" t="str">
        <f>IFERROR(SMALL($K$70:$K$846,ROWS($L$70:L818)),"")</f>
        <v/>
      </c>
      <c r="M818" t="str" cm="1">
        <f t="array" ref="M818">IFERROR(INDEX($F$70:$F$846,L818,1),"")</f>
        <v/>
      </c>
    </row>
    <row r="819" spans="1:13" x14ac:dyDescent="0.45">
      <c r="A819" t="s">
        <v>2702</v>
      </c>
      <c r="B819" s="206">
        <v>819</v>
      </c>
      <c r="C819" t="s">
        <v>4283</v>
      </c>
      <c r="D819" s="206" t="s">
        <v>4284</v>
      </c>
      <c r="E819" s="206" t="str">
        <f t="shared" si="95"/>
        <v>05</v>
      </c>
      <c r="F819" t="str">
        <f t="shared" si="96"/>
        <v>Chi cục thuế Huyện Long Phú</v>
      </c>
      <c r="G819" t="str">
        <f t="shared" si="100"/>
        <v>Long Phú</v>
      </c>
      <c r="I819" s="206" t="str">
        <f t="shared" si="97"/>
        <v>81905</v>
      </c>
      <c r="J819" t="str">
        <f t="shared" si="98"/>
        <v/>
      </c>
      <c r="K819" t="str">
        <f>IF(J819="","",ROWS($K$70:K819))</f>
        <v/>
      </c>
      <c r="L819" t="str">
        <f>IFERROR(SMALL($K$70:$K$846,ROWS($L$70:L819)),"")</f>
        <v/>
      </c>
      <c r="M819" t="str" cm="1">
        <f t="array" ref="M819">IFERROR(INDEX($F$70:$F$846,L819,1),"")</f>
        <v/>
      </c>
    </row>
    <row r="820" spans="1:13" x14ac:dyDescent="0.45">
      <c r="A820" t="s">
        <v>2702</v>
      </c>
      <c r="B820" s="206">
        <v>819</v>
      </c>
      <c r="C820" t="s">
        <v>4285</v>
      </c>
      <c r="D820" s="206" t="s">
        <v>4286</v>
      </c>
      <c r="E820" s="206" t="str">
        <f t="shared" si="95"/>
        <v>06</v>
      </c>
      <c r="F820" t="str">
        <f t="shared" si="96"/>
        <v>Chi cục thuế Huyện Cù Lao Dung</v>
      </c>
      <c r="G820" t="str">
        <f t="shared" si="100"/>
        <v>Cù Lao Dung</v>
      </c>
      <c r="I820" s="206" t="str">
        <f t="shared" si="97"/>
        <v>81906</v>
      </c>
      <c r="J820" t="str">
        <f t="shared" si="98"/>
        <v/>
      </c>
      <c r="K820" t="str">
        <f>IF(J820="","",ROWS($K$70:K820))</f>
        <v/>
      </c>
      <c r="L820" t="str">
        <f>IFERROR(SMALL($K$70:$K$846,ROWS($L$70:L820)),"")</f>
        <v/>
      </c>
      <c r="M820" t="str" cm="1">
        <f t="array" ref="M820">IFERROR(INDEX($F$70:$F$846,L820,1),"")</f>
        <v/>
      </c>
    </row>
    <row r="821" spans="1:13" x14ac:dyDescent="0.45">
      <c r="A821" t="s">
        <v>2702</v>
      </c>
      <c r="B821" s="206">
        <v>819</v>
      </c>
      <c r="C821" t="s">
        <v>4287</v>
      </c>
      <c r="D821" s="206" t="s">
        <v>4288</v>
      </c>
      <c r="E821" s="206" t="str">
        <f t="shared" si="95"/>
        <v>07</v>
      </c>
      <c r="F821" t="str">
        <f t="shared" si="96"/>
        <v>Chi cục thuế Huyện Mỹ Tú</v>
      </c>
      <c r="G821" t="str">
        <f t="shared" si="100"/>
        <v>Mỹ Tú</v>
      </c>
      <c r="I821" s="206" t="str">
        <f t="shared" si="97"/>
        <v>81907</v>
      </c>
      <c r="J821" t="str">
        <f t="shared" si="98"/>
        <v/>
      </c>
      <c r="K821" t="str">
        <f>IF(J821="","",ROWS($K$70:K821))</f>
        <v/>
      </c>
      <c r="L821" t="str">
        <f>IFERROR(SMALL($K$70:$K$846,ROWS($L$70:L821)),"")</f>
        <v/>
      </c>
      <c r="M821" t="str" cm="1">
        <f t="array" ref="M821">IFERROR(INDEX($F$70:$F$846,L821,1),"")</f>
        <v/>
      </c>
    </row>
    <row r="822" spans="1:13" x14ac:dyDescent="0.45">
      <c r="A822" t="s">
        <v>2702</v>
      </c>
      <c r="B822" s="206">
        <v>819</v>
      </c>
      <c r="C822" t="s">
        <v>4289</v>
      </c>
      <c r="D822" s="206" t="s">
        <v>4290</v>
      </c>
      <c r="E822" s="206" t="str">
        <f t="shared" si="95"/>
        <v>09</v>
      </c>
      <c r="F822" t="str">
        <f t="shared" si="96"/>
        <v>Chi cục thuế Huyện Mỹ Xuyên</v>
      </c>
      <c r="G822" t="str">
        <f t="shared" si="100"/>
        <v>Mỹ Xuyên</v>
      </c>
      <c r="I822" s="206" t="str">
        <f t="shared" si="97"/>
        <v>81909</v>
      </c>
      <c r="J822" t="str">
        <f t="shared" si="98"/>
        <v/>
      </c>
      <c r="K822" t="str">
        <f>IF(J822="","",ROWS($K$70:K822))</f>
        <v/>
      </c>
      <c r="L822" t="str">
        <f>IFERROR(SMALL($K$70:$K$846,ROWS($L$70:L822)),"")</f>
        <v/>
      </c>
      <c r="M822" t="str" cm="1">
        <f t="array" ref="M822">IFERROR(INDEX($F$70:$F$846,L822,1),"")</f>
        <v/>
      </c>
    </row>
    <row r="823" spans="1:13" x14ac:dyDescent="0.45">
      <c r="A823" t="s">
        <v>2702</v>
      </c>
      <c r="B823" s="206">
        <v>819</v>
      </c>
      <c r="C823" t="s">
        <v>4291</v>
      </c>
      <c r="D823" s="206" t="s">
        <v>4292</v>
      </c>
      <c r="E823" s="206" t="str">
        <f t="shared" si="95"/>
        <v>11</v>
      </c>
      <c r="F823" t="str">
        <f t="shared" si="96"/>
        <v>Chi cục thuế Huyện Thạnh Trị</v>
      </c>
      <c r="G823" t="str">
        <f t="shared" si="100"/>
        <v>Thạnh Trị</v>
      </c>
      <c r="I823" s="206" t="str">
        <f t="shared" si="97"/>
        <v>81911</v>
      </c>
      <c r="J823" t="str">
        <f t="shared" si="98"/>
        <v/>
      </c>
      <c r="K823" t="str">
        <f>IF(J823="","",ROWS($K$70:K823))</f>
        <v/>
      </c>
      <c r="L823" t="str">
        <f>IFERROR(SMALL($K$70:$K$846,ROWS($L$70:L823)),"")</f>
        <v/>
      </c>
      <c r="M823" t="str" cm="1">
        <f t="array" ref="M823">IFERROR(INDEX($F$70:$F$846,L823,1),"")</f>
        <v/>
      </c>
    </row>
    <row r="824" spans="1:13" x14ac:dyDescent="0.45">
      <c r="A824" t="s">
        <v>2702</v>
      </c>
      <c r="B824" s="206">
        <v>819</v>
      </c>
      <c r="C824" t="s">
        <v>4293</v>
      </c>
      <c r="D824" s="206" t="s">
        <v>4294</v>
      </c>
      <c r="E824" s="206" t="str">
        <f t="shared" si="95"/>
        <v>12</v>
      </c>
      <c r="F824" t="str">
        <f t="shared" si="96"/>
        <v>Chi cục thuế Thị Xã Ngã Năm</v>
      </c>
      <c r="I824" s="206" t="str">
        <f t="shared" si="97"/>
        <v>81912</v>
      </c>
      <c r="J824" t="str">
        <f t="shared" si="98"/>
        <v/>
      </c>
      <c r="K824" t="str">
        <f>IF(J824="","",ROWS($K$70:K824))</f>
        <v/>
      </c>
      <c r="L824" t="str">
        <f>IFERROR(SMALL($K$70:$K$846,ROWS($L$70:L824)),"")</f>
        <v/>
      </c>
      <c r="M824" t="str" cm="1">
        <f t="array" ref="M824">IFERROR(INDEX($F$70:$F$846,L824,1),"")</f>
        <v/>
      </c>
    </row>
    <row r="825" spans="1:13" x14ac:dyDescent="0.45">
      <c r="A825" t="s">
        <v>2702</v>
      </c>
      <c r="B825" s="206">
        <v>819</v>
      </c>
      <c r="C825" t="s">
        <v>4295</v>
      </c>
      <c r="D825" s="206" t="s">
        <v>4296</v>
      </c>
      <c r="E825" s="206" t="str">
        <f t="shared" si="95"/>
        <v>13</v>
      </c>
      <c r="F825" t="str">
        <f t="shared" si="96"/>
        <v>Chi cục thuế Thị Xã Vĩnh Châu</v>
      </c>
      <c r="I825" s="206" t="str">
        <f t="shared" si="97"/>
        <v>81913</v>
      </c>
      <c r="J825" t="str">
        <f t="shared" si="98"/>
        <v/>
      </c>
      <c r="K825" t="str">
        <f>IF(J825="","",ROWS($K$70:K825))</f>
        <v/>
      </c>
      <c r="L825" t="str">
        <f>IFERROR(SMALL($K$70:$K$846,ROWS($L$70:L825)),"")</f>
        <v/>
      </c>
      <c r="M825" t="str" cm="1">
        <f t="array" ref="M825">IFERROR(INDEX($F$70:$F$846,L825,1),"")</f>
        <v/>
      </c>
    </row>
    <row r="826" spans="1:13" x14ac:dyDescent="0.45">
      <c r="A826" t="s">
        <v>2702</v>
      </c>
      <c r="B826" s="206">
        <v>819</v>
      </c>
      <c r="C826" t="s">
        <v>4297</v>
      </c>
      <c r="D826" s="206" t="s">
        <v>4298</v>
      </c>
      <c r="E826" s="206" t="str">
        <f t="shared" si="95"/>
        <v>15</v>
      </c>
      <c r="F826" t="str">
        <f t="shared" si="96"/>
        <v xml:space="preserve">Chi cục thuế Huyện Châu Thành         </v>
      </c>
      <c r="G826" t="str">
        <f>RIGHT(C826,LEN(C826)-6)</f>
        <v xml:space="preserve">Châu Thành         </v>
      </c>
      <c r="I826" s="206" t="str">
        <f t="shared" si="97"/>
        <v>81915</v>
      </c>
      <c r="J826" t="str">
        <f t="shared" si="98"/>
        <v/>
      </c>
      <c r="K826" t="str">
        <f>IF(J826="","",ROWS($K$70:K826))</f>
        <v/>
      </c>
      <c r="L826" t="str">
        <f>IFERROR(SMALL($K$70:$K$846,ROWS($L$70:L826)),"")</f>
        <v/>
      </c>
      <c r="M826" t="str" cm="1">
        <f t="array" ref="M826">IFERROR(INDEX($F$70:$F$846,L826,1),"")</f>
        <v/>
      </c>
    </row>
    <row r="827" spans="1:13" x14ac:dyDescent="0.45">
      <c r="A827" t="s">
        <v>2702</v>
      </c>
      <c r="B827" s="206">
        <v>819</v>
      </c>
      <c r="C827" t="s">
        <v>4299</v>
      </c>
      <c r="D827" s="206" t="s">
        <v>4300</v>
      </c>
      <c r="E827" s="206" t="str">
        <f t="shared" si="95"/>
        <v>17</v>
      </c>
      <c r="F827" t="str">
        <f t="shared" si="96"/>
        <v>Chi cục thuế Huyện Trần Đề</v>
      </c>
      <c r="G827" t="str">
        <f>RIGHT(C827,LEN(C827)-6)</f>
        <v>Trần Đề</v>
      </c>
      <c r="I827" s="206" t="str">
        <f t="shared" si="97"/>
        <v>81917</v>
      </c>
      <c r="J827" t="str">
        <f t="shared" si="98"/>
        <v/>
      </c>
      <c r="K827" t="str">
        <f>IF(J827="","",ROWS($K$70:K827))</f>
        <v/>
      </c>
      <c r="L827" t="str">
        <f>IFERROR(SMALL($K$70:$K$846,ROWS($L$70:L827)),"")</f>
        <v/>
      </c>
      <c r="M827" t="str" cm="1">
        <f t="array" ref="M827">IFERROR(INDEX($F$70:$F$846,L827,1),"")</f>
        <v/>
      </c>
    </row>
    <row r="828" spans="1:13" x14ac:dyDescent="0.45">
      <c r="A828" t="s">
        <v>2616</v>
      </c>
      <c r="B828" s="206" t="s">
        <v>4301</v>
      </c>
      <c r="C828" t="s">
        <v>4302</v>
      </c>
      <c r="D828" s="206" t="s">
        <v>4303</v>
      </c>
      <c r="E828" s="206" t="str">
        <f t="shared" si="95"/>
        <v>00</v>
      </c>
      <c r="F828" t="str">
        <f t="shared" si="96"/>
        <v>Cục thuế Tỉnh Bạc Liêu</v>
      </c>
      <c r="H828" s="206" t="str">
        <f>IF(E829="01",A829,"")</f>
        <v>Bạc Liêu</v>
      </c>
      <c r="I828" s="206" t="str">
        <f t="shared" si="97"/>
        <v>82100</v>
      </c>
      <c r="J828" t="str">
        <f t="shared" si="98"/>
        <v/>
      </c>
      <c r="K828" t="str">
        <f>IF(J828="","",ROWS($K$70:K828))</f>
        <v/>
      </c>
      <c r="L828" t="str">
        <f>IFERROR(SMALL($K$70:$K$846,ROWS($L$70:L828)),"")</f>
        <v/>
      </c>
      <c r="M828" t="str" cm="1">
        <f t="array" ref="M828">IFERROR(INDEX($F$70:$F$846,L828,1),"")</f>
        <v/>
      </c>
    </row>
    <row r="829" spans="1:13" x14ac:dyDescent="0.45">
      <c r="A829" t="s">
        <v>2616</v>
      </c>
      <c r="B829" s="206">
        <v>821</v>
      </c>
      <c r="C829" t="s">
        <v>4304</v>
      </c>
      <c r="D829" s="206" t="s">
        <v>4305</v>
      </c>
      <c r="E829" s="206" t="str">
        <f t="shared" si="95"/>
        <v>01</v>
      </c>
      <c r="F829" t="str">
        <f t="shared" si="96"/>
        <v>Chi cục thuế Thành Phố Bạc Liêu</v>
      </c>
      <c r="I829" s="206" t="str">
        <f t="shared" si="97"/>
        <v>82101</v>
      </c>
      <c r="J829" t="str">
        <f t="shared" si="98"/>
        <v/>
      </c>
      <c r="K829" t="str">
        <f>IF(J829="","",ROWS($K$70:K829))</f>
        <v/>
      </c>
      <c r="L829" t="str">
        <f>IFERROR(SMALL($K$70:$K$846,ROWS($L$70:L829)),"")</f>
        <v/>
      </c>
      <c r="M829" t="str" cm="1">
        <f t="array" ref="M829">IFERROR(INDEX($F$70:$F$846,L829,1),"")</f>
        <v/>
      </c>
    </row>
    <row r="830" spans="1:13" x14ac:dyDescent="0.45">
      <c r="A830" t="s">
        <v>2616</v>
      </c>
      <c r="B830" s="206">
        <v>821</v>
      </c>
      <c r="C830" t="s">
        <v>4306</v>
      </c>
      <c r="D830" s="206" t="s">
        <v>4307</v>
      </c>
      <c r="E830" s="206" t="str">
        <f t="shared" si="95"/>
        <v>03</v>
      </c>
      <c r="F830" t="str">
        <f t="shared" si="96"/>
        <v>Chi cục thuế Huyện Hồng Dân</v>
      </c>
      <c r="G830" t="str">
        <f>RIGHT(C830,LEN(C830)-6)</f>
        <v>Hồng Dân</v>
      </c>
      <c r="I830" s="206" t="str">
        <f t="shared" si="97"/>
        <v>82103</v>
      </c>
      <c r="J830" t="str">
        <f t="shared" si="98"/>
        <v/>
      </c>
      <c r="K830" t="str">
        <f>IF(J830="","",ROWS($K$70:K830))</f>
        <v/>
      </c>
      <c r="L830" t="str">
        <f>IFERROR(SMALL($K$70:$K$846,ROWS($L$70:L830)),"")</f>
        <v/>
      </c>
      <c r="M830" t="str" cm="1">
        <f t="array" ref="M830">IFERROR(INDEX($F$70:$F$846,L830,1),"")</f>
        <v/>
      </c>
    </row>
    <row r="831" spans="1:13" x14ac:dyDescent="0.45">
      <c r="A831" t="s">
        <v>2616</v>
      </c>
      <c r="B831" s="206">
        <v>821</v>
      </c>
      <c r="C831" t="s">
        <v>4308</v>
      </c>
      <c r="D831" s="206" t="s">
        <v>4309</v>
      </c>
      <c r="E831" s="206" t="str">
        <f t="shared" si="95"/>
        <v>05</v>
      </c>
      <c r="F831" t="str">
        <f t="shared" si="96"/>
        <v>Chi cục thuế Huyện Vĩnh Lợi</v>
      </c>
      <c r="G831" t="str">
        <f>RIGHT(C831,LEN(C831)-6)</f>
        <v>Vĩnh Lợi</v>
      </c>
      <c r="I831" s="206" t="str">
        <f t="shared" si="97"/>
        <v>82105</v>
      </c>
      <c r="J831" t="str">
        <f t="shared" si="98"/>
        <v/>
      </c>
      <c r="K831" t="str">
        <f>IF(J831="","",ROWS($K$70:K831))</f>
        <v/>
      </c>
      <c r="L831" t="str">
        <f>IFERROR(SMALL($K$70:$K$846,ROWS($L$70:L831)),"")</f>
        <v/>
      </c>
      <c r="M831" t="str" cm="1">
        <f t="array" ref="M831">IFERROR(INDEX($F$70:$F$846,L831,1),"")</f>
        <v/>
      </c>
    </row>
    <row r="832" spans="1:13" x14ac:dyDescent="0.45">
      <c r="A832" t="s">
        <v>2616</v>
      </c>
      <c r="B832" s="206">
        <v>821</v>
      </c>
      <c r="C832" t="s">
        <v>4310</v>
      </c>
      <c r="D832" s="206" t="s">
        <v>4311</v>
      </c>
      <c r="E832" s="206" t="str">
        <f t="shared" si="95"/>
        <v>06</v>
      </c>
      <c r="F832" t="str">
        <f t="shared" si="96"/>
        <v>Chi cục thuế Huyện Hòa Bình</v>
      </c>
      <c r="G832" t="str">
        <f>RIGHT(C832,LEN(C832)-6)</f>
        <v>Hòa Bình</v>
      </c>
      <c r="I832" s="206" t="str">
        <f t="shared" si="97"/>
        <v>82106</v>
      </c>
      <c r="J832" t="str">
        <f t="shared" si="98"/>
        <v/>
      </c>
      <c r="K832" t="str">
        <f>IF(J832="","",ROWS($K$70:K832))</f>
        <v/>
      </c>
      <c r="L832" t="str">
        <f>IFERROR(SMALL($K$70:$K$846,ROWS($L$70:L832)),"")</f>
        <v/>
      </c>
      <c r="M832" t="str" cm="1">
        <f t="array" ref="M832">IFERROR(INDEX($F$70:$F$846,L832,1),"")</f>
        <v/>
      </c>
    </row>
    <row r="833" spans="1:13" x14ac:dyDescent="0.45">
      <c r="A833" t="s">
        <v>2616</v>
      </c>
      <c r="B833" s="206">
        <v>821</v>
      </c>
      <c r="C833" t="s">
        <v>4312</v>
      </c>
      <c r="D833" s="206" t="s">
        <v>4313</v>
      </c>
      <c r="E833" s="206" t="str">
        <f t="shared" si="95"/>
        <v>07</v>
      </c>
      <c r="F833" t="str">
        <f t="shared" si="96"/>
        <v>Chi cục thuế Thị Xã Giá Rai</v>
      </c>
      <c r="I833" s="206" t="str">
        <f t="shared" si="97"/>
        <v>82107</v>
      </c>
      <c r="J833" t="str">
        <f t="shared" si="98"/>
        <v/>
      </c>
      <c r="K833" t="str">
        <f>IF(J833="","",ROWS($K$70:K833))</f>
        <v/>
      </c>
      <c r="L833" t="str">
        <f>IFERROR(SMALL($K$70:$K$846,ROWS($L$70:L833)),"")</f>
        <v/>
      </c>
      <c r="M833" t="str" cm="1">
        <f t="array" ref="M833">IFERROR(INDEX($F$70:$F$846,L833,1),"")</f>
        <v/>
      </c>
    </row>
    <row r="834" spans="1:13" x14ac:dyDescent="0.45">
      <c r="A834" t="s">
        <v>2616</v>
      </c>
      <c r="B834" s="206">
        <v>821</v>
      </c>
      <c r="C834" t="s">
        <v>4314</v>
      </c>
      <c r="D834" s="206" t="s">
        <v>4315</v>
      </c>
      <c r="E834" s="206" t="str">
        <f t="shared" si="95"/>
        <v>09</v>
      </c>
      <c r="F834" t="str">
        <f t="shared" si="96"/>
        <v>Chi cục thuế Huyện Phước Long</v>
      </c>
      <c r="G834" t="str">
        <f>RIGHT(C834,LEN(C834)-6)</f>
        <v>Phước Long</v>
      </c>
      <c r="I834" s="206" t="str">
        <f t="shared" si="97"/>
        <v>82109</v>
      </c>
      <c r="J834" t="str">
        <f t="shared" si="98"/>
        <v/>
      </c>
      <c r="K834" t="str">
        <f>IF(J834="","",ROWS($K$70:K834))</f>
        <v/>
      </c>
      <c r="L834" t="str">
        <f>IFERROR(SMALL($K$70:$K$846,ROWS($L$70:L834)),"")</f>
        <v/>
      </c>
      <c r="M834" t="str" cm="1">
        <f t="array" ref="M834">IFERROR(INDEX($F$70:$F$846,L834,1),"")</f>
        <v/>
      </c>
    </row>
    <row r="835" spans="1:13" x14ac:dyDescent="0.45">
      <c r="A835" t="s">
        <v>2616</v>
      </c>
      <c r="B835" s="206">
        <v>821</v>
      </c>
      <c r="C835" t="s">
        <v>4316</v>
      </c>
      <c r="D835" s="206" t="s">
        <v>4317</v>
      </c>
      <c r="E835" s="206" t="str">
        <f t="shared" si="95"/>
        <v>11</v>
      </c>
      <c r="F835" t="str">
        <f t="shared" si="96"/>
        <v>Chi cục thuế Huyện Đông Hải</v>
      </c>
      <c r="G835" t="str">
        <f>RIGHT(C835,LEN(C835)-6)</f>
        <v>Đông Hải</v>
      </c>
      <c r="I835" s="206" t="str">
        <f t="shared" si="97"/>
        <v>82111</v>
      </c>
      <c r="J835" t="str">
        <f t="shared" si="98"/>
        <v/>
      </c>
      <c r="K835" t="str">
        <f>IF(J835="","",ROWS($K$70:K835))</f>
        <v/>
      </c>
      <c r="L835" t="str">
        <f>IFERROR(SMALL($K$70:$K$846,ROWS($L$70:L835)),"")</f>
        <v/>
      </c>
      <c r="M835" t="str" cm="1">
        <f t="array" ref="M835">IFERROR(INDEX($F$70:$F$846,L835,1),"")</f>
        <v/>
      </c>
    </row>
    <row r="836" spans="1:13" x14ac:dyDescent="0.45">
      <c r="A836" t="s">
        <v>2629</v>
      </c>
      <c r="B836" s="206" t="s">
        <v>4318</v>
      </c>
      <c r="C836" t="s">
        <v>4319</v>
      </c>
      <c r="D836" s="206" t="s">
        <v>4320</v>
      </c>
      <c r="E836" s="206" t="str">
        <f t="shared" si="95"/>
        <v>00</v>
      </c>
      <c r="F836" t="str">
        <f t="shared" si="96"/>
        <v>Cục thuế Tỉnh Cà Mau</v>
      </c>
      <c r="H836" s="206" t="str">
        <f>IF(E837="01",A837,"")</f>
        <v>Cà Mau</v>
      </c>
      <c r="I836" s="206" t="str">
        <f t="shared" si="97"/>
        <v>82300</v>
      </c>
      <c r="J836" t="str">
        <f t="shared" si="98"/>
        <v/>
      </c>
      <c r="K836" t="str">
        <f>IF(J836="","",ROWS($K$70:K836))</f>
        <v/>
      </c>
      <c r="L836" t="str">
        <f>IFERROR(SMALL($K$70:$K$846,ROWS($L$70:L836)),"")</f>
        <v/>
      </c>
      <c r="M836" t="str" cm="1">
        <f t="array" ref="M836">IFERROR(INDEX($F$70:$F$846,L836,1),"")</f>
        <v/>
      </c>
    </row>
    <row r="837" spans="1:13" x14ac:dyDescent="0.45">
      <c r="A837" t="s">
        <v>2629</v>
      </c>
      <c r="B837" s="206">
        <v>823</v>
      </c>
      <c r="C837" t="s">
        <v>4321</v>
      </c>
      <c r="D837" s="206" t="s">
        <v>4322</v>
      </c>
      <c r="E837" s="206" t="str">
        <f t="shared" si="95"/>
        <v>01</v>
      </c>
      <c r="F837" t="str">
        <f t="shared" si="96"/>
        <v>Chi cục thuế Thành phố Cà Mau</v>
      </c>
      <c r="I837" s="206" t="str">
        <f t="shared" si="97"/>
        <v>82301</v>
      </c>
      <c r="J837" t="str">
        <f t="shared" si="98"/>
        <v/>
      </c>
      <c r="K837" t="str">
        <f>IF(J837="","",ROWS($K$70:K837))</f>
        <v/>
      </c>
      <c r="L837" t="str">
        <f>IFERROR(SMALL($K$70:$K$846,ROWS($L$70:L837)),"")</f>
        <v/>
      </c>
      <c r="M837" t="str" cm="1">
        <f t="array" ref="M837">IFERROR(INDEX($F$70:$F$846,L837,1),"")</f>
        <v/>
      </c>
    </row>
    <row r="838" spans="1:13" x14ac:dyDescent="0.45">
      <c r="A838" t="s">
        <v>2629</v>
      </c>
      <c r="B838" s="206">
        <v>823</v>
      </c>
      <c r="C838" t="s">
        <v>4323</v>
      </c>
      <c r="D838" s="206" t="s">
        <v>4324</v>
      </c>
      <c r="E838" s="206" t="str">
        <f t="shared" si="95"/>
        <v>03</v>
      </c>
      <c r="F838" t="str">
        <f t="shared" si="96"/>
        <v>Chi cục thuế Huyện Thới Bình</v>
      </c>
      <c r="G838" t="str">
        <f t="shared" ref="G838:G845" si="101">RIGHT(C838,LEN(C838)-6)</f>
        <v>Thới Bình</v>
      </c>
      <c r="I838" s="206" t="str">
        <f t="shared" si="97"/>
        <v>82303</v>
      </c>
      <c r="J838" t="str">
        <f t="shared" si="98"/>
        <v/>
      </c>
      <c r="K838" t="str">
        <f>IF(J838="","",ROWS($K$70:K838))</f>
        <v/>
      </c>
      <c r="L838" t="str">
        <f>IFERROR(SMALL($K$70:$K$846,ROWS($L$70:L838)),"")</f>
        <v/>
      </c>
      <c r="M838" t="str" cm="1">
        <f t="array" ref="M838">IFERROR(INDEX($F$70:$F$846,L838,1),"")</f>
        <v/>
      </c>
    </row>
    <row r="839" spans="1:13" x14ac:dyDescent="0.45">
      <c r="A839" t="s">
        <v>2629</v>
      </c>
      <c r="B839" s="206">
        <v>823</v>
      </c>
      <c r="C839" t="s">
        <v>4325</v>
      </c>
      <c r="D839" s="206" t="s">
        <v>4326</v>
      </c>
      <c r="E839" s="206" t="str">
        <f t="shared" ref="E839:E845" si="102">RIGHT(D839,2)</f>
        <v>05</v>
      </c>
      <c r="F839" t="str">
        <f t="shared" ref="F839:F846" si="103">IF(E839="00","Cục thuế "&amp;C839,"Chi cục thuế "&amp;C839)</f>
        <v>Chi cục thuế Huyện U Minh</v>
      </c>
      <c r="G839" t="str">
        <f t="shared" si="101"/>
        <v>U Minh</v>
      </c>
      <c r="I839" s="206" t="str">
        <f t="shared" ref="I839:I846" si="104">D839</f>
        <v>82305</v>
      </c>
      <c r="J839" t="str">
        <f t="shared" si="98"/>
        <v/>
      </c>
      <c r="K839" t="str">
        <f>IF(J839="","",ROWS($K$70:K839))</f>
        <v/>
      </c>
      <c r="L839" t="str">
        <f>IFERROR(SMALL($K$70:$K$846,ROWS($L$70:L839)),"")</f>
        <v/>
      </c>
      <c r="M839" t="str" cm="1">
        <f t="array" ref="M839">IFERROR(INDEX($F$70:$F$846,L839,1),"")</f>
        <v/>
      </c>
    </row>
    <row r="840" spans="1:13" x14ac:dyDescent="0.45">
      <c r="A840" t="s">
        <v>2629</v>
      </c>
      <c r="B840" s="206">
        <v>823</v>
      </c>
      <c r="C840" t="s">
        <v>4327</v>
      </c>
      <c r="D840" s="206" t="s">
        <v>4328</v>
      </c>
      <c r="E840" s="206" t="str">
        <f t="shared" si="102"/>
        <v>07</v>
      </c>
      <c r="F840" t="str">
        <f t="shared" si="103"/>
        <v>Chi cục thuế Huyện Trần Văn Thời</v>
      </c>
      <c r="G840" t="str">
        <f t="shared" si="101"/>
        <v>Trần Văn Thời</v>
      </c>
      <c r="I840" s="206" t="str">
        <f t="shared" si="104"/>
        <v>82307</v>
      </c>
      <c r="J840" t="str">
        <f t="shared" si="98"/>
        <v/>
      </c>
      <c r="K840" t="str">
        <f>IF(J840="","",ROWS($K$70:K840))</f>
        <v/>
      </c>
      <c r="L840" t="str">
        <f>IFERROR(SMALL($K$70:$K$846,ROWS($L$70:L840)),"")</f>
        <v/>
      </c>
      <c r="M840" t="str" cm="1">
        <f t="array" ref="M840">IFERROR(INDEX($F$70:$F$846,L840,1),"")</f>
        <v/>
      </c>
    </row>
    <row r="841" spans="1:13" x14ac:dyDescent="0.45">
      <c r="A841" t="s">
        <v>2629</v>
      </c>
      <c r="B841" s="206">
        <v>823</v>
      </c>
      <c r="C841" t="s">
        <v>4329</v>
      </c>
      <c r="D841" s="206" t="s">
        <v>4330</v>
      </c>
      <c r="E841" s="206" t="str">
        <f t="shared" si="102"/>
        <v>08</v>
      </c>
      <c r="F841" t="str">
        <f t="shared" si="103"/>
        <v xml:space="preserve">Chi cục thuế Huyện Phú Tân </v>
      </c>
      <c r="G841" t="str">
        <f t="shared" si="101"/>
        <v xml:space="preserve">Phú Tân </v>
      </c>
      <c r="I841" s="206" t="str">
        <f t="shared" si="104"/>
        <v>82308</v>
      </c>
      <c r="J841" t="str">
        <f t="shared" si="98"/>
        <v/>
      </c>
      <c r="K841" t="str">
        <f>IF(J841="","",ROWS($K$70:K841))</f>
        <v/>
      </c>
      <c r="L841" t="str">
        <f>IFERROR(SMALL($K$70:$K$846,ROWS($L$70:L841)),"")</f>
        <v/>
      </c>
      <c r="M841" t="str" cm="1">
        <f t="array" ref="M841">IFERROR(INDEX($F$70:$F$846,L841,1),"")</f>
        <v/>
      </c>
    </row>
    <row r="842" spans="1:13" x14ac:dyDescent="0.45">
      <c r="A842" t="s">
        <v>2629</v>
      </c>
      <c r="B842" s="206">
        <v>823</v>
      </c>
      <c r="C842" t="s">
        <v>4331</v>
      </c>
      <c r="D842" s="206" t="s">
        <v>4332</v>
      </c>
      <c r="E842" s="206" t="str">
        <f t="shared" si="102"/>
        <v>09</v>
      </c>
      <c r="F842" t="str">
        <f t="shared" si="103"/>
        <v>Chi cục thuế Huyện Cái Nước</v>
      </c>
      <c r="G842" t="str">
        <f t="shared" si="101"/>
        <v>Cái Nước</v>
      </c>
      <c r="I842" s="206" t="str">
        <f t="shared" si="104"/>
        <v>82309</v>
      </c>
      <c r="J842" t="str">
        <f t="shared" ref="J842:J846" si="105">IF(A842=$J$69,F842,"")</f>
        <v/>
      </c>
      <c r="K842" t="str">
        <f>IF(J842="","",ROWS($K$70:K842))</f>
        <v/>
      </c>
      <c r="L842" t="str">
        <f>IFERROR(SMALL($K$70:$K$846,ROWS($L$70:L842)),"")</f>
        <v/>
      </c>
      <c r="M842" t="str" cm="1">
        <f t="array" ref="M842">IFERROR(INDEX($F$70:$F$846,L842,1),"")</f>
        <v/>
      </c>
    </row>
    <row r="843" spans="1:13" x14ac:dyDescent="0.45">
      <c r="A843" t="s">
        <v>2629</v>
      </c>
      <c r="B843" s="206">
        <v>823</v>
      </c>
      <c r="C843" t="s">
        <v>4333</v>
      </c>
      <c r="D843" s="206" t="s">
        <v>4334</v>
      </c>
      <c r="E843" s="206" t="str">
        <f t="shared" si="102"/>
        <v>11</v>
      </c>
      <c r="F843" t="str">
        <f t="shared" si="103"/>
        <v>Chi cục thuế Huyện Đầm Dơi</v>
      </c>
      <c r="G843" t="str">
        <f t="shared" si="101"/>
        <v>Đầm Dơi</v>
      </c>
      <c r="I843" s="206" t="str">
        <f t="shared" si="104"/>
        <v>82311</v>
      </c>
      <c r="J843" t="str">
        <f t="shared" si="105"/>
        <v/>
      </c>
      <c r="K843" t="str">
        <f>IF(J843="","",ROWS($K$70:K843))</f>
        <v/>
      </c>
      <c r="L843" t="str">
        <f>IFERROR(SMALL($K$70:$K$846,ROWS($L$70:L843)),"")</f>
        <v/>
      </c>
      <c r="M843" t="str" cm="1">
        <f t="array" ref="M843">IFERROR(INDEX($F$70:$F$846,L843,1),"")</f>
        <v/>
      </c>
    </row>
    <row r="844" spans="1:13" x14ac:dyDescent="0.45">
      <c r="A844" t="s">
        <v>2629</v>
      </c>
      <c r="B844" s="206">
        <v>823</v>
      </c>
      <c r="C844" t="s">
        <v>4335</v>
      </c>
      <c r="D844" s="206" t="s">
        <v>4336</v>
      </c>
      <c r="E844" s="206" t="str">
        <f t="shared" si="102"/>
        <v>12</v>
      </c>
      <c r="F844" t="str">
        <f t="shared" si="103"/>
        <v>Chi cục thuế Huyện Năm Căn</v>
      </c>
      <c r="G844" t="str">
        <f t="shared" si="101"/>
        <v>Năm Căn</v>
      </c>
      <c r="I844" s="206" t="str">
        <f t="shared" si="104"/>
        <v>82312</v>
      </c>
      <c r="J844" t="str">
        <f t="shared" si="105"/>
        <v/>
      </c>
      <c r="K844" t="str">
        <f>IF(J844="","",ROWS($K$70:K844))</f>
        <v/>
      </c>
      <c r="L844" t="str">
        <f>IFERROR(SMALL($K$70:$K$846,ROWS($L$70:L844)),"")</f>
        <v/>
      </c>
      <c r="M844" t="str" cm="1">
        <f t="array" ref="M844">IFERROR(INDEX($F$70:$F$846,L844,1),"")</f>
        <v/>
      </c>
    </row>
    <row r="845" spans="1:13" x14ac:dyDescent="0.45">
      <c r="A845" t="s">
        <v>2629</v>
      </c>
      <c r="B845" s="206">
        <v>823</v>
      </c>
      <c r="C845" t="s">
        <v>4337</v>
      </c>
      <c r="D845" s="206" t="s">
        <v>4338</v>
      </c>
      <c r="E845" s="206" t="str">
        <f t="shared" si="102"/>
        <v>13</v>
      </c>
      <c r="F845" t="str">
        <f t="shared" si="103"/>
        <v>Chi cục thuế Huyện Ngọc Hiển</v>
      </c>
      <c r="G845" t="str">
        <f t="shared" si="101"/>
        <v>Ngọc Hiển</v>
      </c>
      <c r="I845" s="206" t="str">
        <f t="shared" si="104"/>
        <v>82313</v>
      </c>
      <c r="J845" t="str">
        <f t="shared" si="105"/>
        <v/>
      </c>
      <c r="K845" t="str">
        <f>IF(J845="","",ROWS($K$70:K845))</f>
        <v/>
      </c>
      <c r="L845" t="str">
        <f>IFERROR(SMALL($K$70:$K$846,ROWS($L$70:L845)),"")</f>
        <v/>
      </c>
      <c r="M845" t="str" cm="1">
        <f t="array" ref="M845">IFERROR(INDEX($F$70:$F$846,L845,1),"")</f>
        <v/>
      </c>
    </row>
    <row r="846" spans="1:13" x14ac:dyDescent="0.45">
      <c r="A846" t="s">
        <v>2730</v>
      </c>
      <c r="B846" s="206">
        <v>999</v>
      </c>
      <c r="C846" t="s">
        <v>2730</v>
      </c>
      <c r="D846" s="206">
        <v>99999</v>
      </c>
      <c r="E846" s="206" t="str">
        <f>RIGHT(D846,2)</f>
        <v>99</v>
      </c>
      <c r="F846" t="str">
        <f t="shared" si="103"/>
        <v>Chi cục thuế Khác</v>
      </c>
      <c r="I846" s="206">
        <f t="shared" si="104"/>
        <v>99999</v>
      </c>
      <c r="J846" t="str">
        <f t="shared" si="105"/>
        <v/>
      </c>
      <c r="K846" t="str">
        <f>IF(J846="","",ROWS($K$70:K846))</f>
        <v/>
      </c>
      <c r="L846" t="str">
        <f>IFERROR(SMALL($K$70:$K$846,ROWS($L$70:L846)),"")</f>
        <v/>
      </c>
      <c r="M846" t="str" cm="1">
        <f t="array" ref="M846">IFERROR(INDEX($F$70:$F$846,L846,1),"")</f>
        <v/>
      </c>
    </row>
  </sheetData>
  <dataValidations count="2">
    <dataValidation type="list" allowBlank="1" showInputMessage="1" showErrorMessage="1" sqref="K1" xr:uid="{00000000-0002-0000-0D00-000000000000}">
      <formula1>$B$2:$B$65</formula1>
    </dataValidation>
    <dataValidation type="list" allowBlank="1" showInputMessage="1" showErrorMessage="1" sqref="K2" xr:uid="{00000000-0002-0000-0D00-000001000000}">
      <formula1>INDIRECT($O$1)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T">
    <tabColor rgb="FFC00000"/>
  </sheetPr>
  <dimension ref="A1:K10"/>
  <sheetViews>
    <sheetView workbookViewId="0">
      <selection activeCell="L28" sqref="L28"/>
    </sheetView>
  </sheetViews>
  <sheetFormatPr defaultRowHeight="14.25" x14ac:dyDescent="0.45"/>
  <cols>
    <col min="2" max="2" width="20.1328125" bestFit="1" customWidth="1"/>
    <col min="3" max="3" width="10.265625" bestFit="1" customWidth="1"/>
    <col min="10" max="10" width="23" bestFit="1" customWidth="1"/>
    <col min="11" max="11" width="15.1328125" customWidth="1"/>
  </cols>
  <sheetData>
    <row r="1" spans="1:11" x14ac:dyDescent="0.45">
      <c r="A1" t="s">
        <v>1836</v>
      </c>
      <c r="B1" t="s">
        <v>1844</v>
      </c>
      <c r="J1" t="s">
        <v>1839</v>
      </c>
      <c r="K1" s="327">
        <v>44286</v>
      </c>
    </row>
    <row r="2" spans="1:11" x14ac:dyDescent="0.45">
      <c r="A2" t="s">
        <v>1837</v>
      </c>
      <c r="B2" s="327">
        <f>IFERROR(VLOOKUP(B1,J1:K10,2,0),"")</f>
        <v>46111</v>
      </c>
      <c r="C2" s="328" t="s">
        <v>1838</v>
      </c>
      <c r="D2" s="329">
        <f ca="1">IFERROR(VLOOKUP(B1,J1:K10,2,0),"")-TODAY()</f>
        <v>169</v>
      </c>
      <c r="J2" t="s">
        <v>1840</v>
      </c>
      <c r="K2" s="327">
        <v>44651</v>
      </c>
    </row>
    <row r="3" spans="1:11" x14ac:dyDescent="0.45">
      <c r="J3" t="s">
        <v>1841</v>
      </c>
      <c r="K3" s="327">
        <v>45016</v>
      </c>
    </row>
    <row r="4" spans="1:11" x14ac:dyDescent="0.45">
      <c r="J4" t="s">
        <v>1842</v>
      </c>
      <c r="K4" s="327">
        <v>45381</v>
      </c>
    </row>
    <row r="5" spans="1:11" x14ac:dyDescent="0.45">
      <c r="J5" t="s">
        <v>1843</v>
      </c>
      <c r="K5" s="327">
        <v>45746</v>
      </c>
    </row>
    <row r="6" spans="1:11" x14ac:dyDescent="0.45">
      <c r="J6" t="s">
        <v>1844</v>
      </c>
      <c r="K6" s="327">
        <v>46111</v>
      </c>
    </row>
    <row r="7" spans="1:11" x14ac:dyDescent="0.45">
      <c r="J7" t="s">
        <v>1845</v>
      </c>
      <c r="K7" s="327">
        <v>46476</v>
      </c>
    </row>
    <row r="8" spans="1:11" x14ac:dyDescent="0.45">
      <c r="J8" t="s">
        <v>1846</v>
      </c>
      <c r="K8" s="327">
        <v>46841</v>
      </c>
    </row>
    <row r="9" spans="1:11" x14ac:dyDescent="0.45">
      <c r="J9" t="s">
        <v>1847</v>
      </c>
      <c r="K9" s="327">
        <v>47206</v>
      </c>
    </row>
    <row r="10" spans="1:11" x14ac:dyDescent="0.45">
      <c r="J10" t="s">
        <v>1848</v>
      </c>
      <c r="K10" s="327">
        <v>47571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/>
  <dimension ref="B6:B7"/>
  <sheetViews>
    <sheetView showGridLines="0" workbookViewId="0">
      <selection activeCell="B6" sqref="B6"/>
    </sheetView>
  </sheetViews>
  <sheetFormatPr defaultRowHeight="14.25" x14ac:dyDescent="0.45"/>
  <cols>
    <col min="2" max="2" width="126.265625" customWidth="1"/>
  </cols>
  <sheetData>
    <row r="6" spans="2:2" ht="30.6" customHeight="1" x14ac:dyDescent="0.45">
      <c r="B6" s="292" t="str">
        <f>MAIN!D7</f>
        <v>Công ty TNHH phát triển công nghệ thực phẩm YABEI</v>
      </c>
    </row>
    <row r="7" spans="2:2" ht="21.4" customHeight="1" x14ac:dyDescent="0.45">
      <c r="B7" t="s">
        <v>1805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xmlCode">
    <tabColor theme="1"/>
  </sheetPr>
  <dimension ref="A2:N1034"/>
  <sheetViews>
    <sheetView topLeftCell="A247" zoomScale="107" workbookViewId="0">
      <selection activeCell="H18" sqref="H18"/>
    </sheetView>
  </sheetViews>
  <sheetFormatPr defaultRowHeight="14.25" x14ac:dyDescent="0.45"/>
  <cols>
    <col min="1" max="1" width="108.265625" bestFit="1" customWidth="1"/>
    <col min="2" max="2" width="127.265625" style="241" hidden="1" customWidth="1"/>
    <col min="3" max="6" width="9.265625" style="244" hidden="1" customWidth="1"/>
    <col min="7" max="7" width="24.265625" style="244" customWidth="1"/>
    <col min="8" max="8" width="26.265625" style="250" customWidth="1"/>
    <col min="9" max="9" width="31.86328125" style="244" customWidth="1"/>
    <col min="10" max="12" width="9.265625" style="244" customWidth="1"/>
    <col min="13" max="13" width="9.265625" style="241" customWidth="1"/>
    <col min="15" max="15" width="64.59765625" customWidth="1"/>
  </cols>
  <sheetData>
    <row r="2" spans="1:13" x14ac:dyDescent="0.45">
      <c r="A2" s="9" t="s">
        <v>1797</v>
      </c>
      <c r="B2" s="241" t="s">
        <v>1795</v>
      </c>
      <c r="G2" s="244" t="s">
        <v>1796</v>
      </c>
    </row>
    <row r="3" spans="1:13" x14ac:dyDescent="0.45">
      <c r="A3" s="253" t="str">
        <f>CONCATENATE(G3,H3,I3)</f>
        <v>&lt;?xml version="1.0" encoding="UTF-8"?&gt;</v>
      </c>
      <c r="B3" s="242" t="s">
        <v>1353</v>
      </c>
      <c r="G3" s="249" t="str">
        <f>B3</f>
        <v>&lt;?xml version="1.0" encoding="UTF-8"?&gt;</v>
      </c>
      <c r="H3" s="251"/>
      <c r="I3" s="246"/>
      <c r="J3" s="245"/>
      <c r="K3" s="245"/>
      <c r="L3" s="245"/>
      <c r="M3" s="247"/>
    </row>
    <row r="4" spans="1:13" x14ac:dyDescent="0.45">
      <c r="A4" s="253" t="str">
        <f t="shared" ref="A4:A54" si="0">CONCATENATE(G4,H4,I4)</f>
        <v>&lt;HSoThueDTu xmlns:xsi="http://www.w3.org/2001/XMLSchema-instance" xmlns="http://kekhaithue.gdt.gov.vn/TKhaiThue"&gt;</v>
      </c>
      <c r="B4" s="242" t="s">
        <v>1354</v>
      </c>
      <c r="G4" s="249" t="str">
        <f>B4</f>
        <v>&lt;HSoThueDTu xmlns:xsi="http://www.w3.org/2001/XMLSchema-instance" xmlns="http://kekhaithue.gdt.gov.vn/TKhaiThue"&gt;</v>
      </c>
      <c r="H4" s="251"/>
      <c r="I4" s="246"/>
      <c r="J4" s="245"/>
      <c r="K4" s="245"/>
      <c r="L4" s="245"/>
      <c r="M4" s="247"/>
    </row>
    <row r="5" spans="1:13" x14ac:dyDescent="0.45">
      <c r="A5" s="253" t="str">
        <f t="shared" si="0"/>
        <v xml:space="preserve">  &lt;HSoKhaiThue&gt;</v>
      </c>
      <c r="B5" s="242" t="s">
        <v>1355</v>
      </c>
      <c r="G5" s="249" t="str">
        <f t="shared" ref="G5:G22" si="1">B5</f>
        <v xml:space="preserve">  &lt;HSoKhaiThue&gt;</v>
      </c>
      <c r="H5" s="251"/>
      <c r="I5" s="246"/>
      <c r="J5" s="245"/>
      <c r="K5" s="245"/>
      <c r="L5" s="245"/>
      <c r="M5" s="247"/>
    </row>
    <row r="6" spans="1:13" x14ac:dyDescent="0.45">
      <c r="A6" s="253" t="str">
        <f t="shared" si="0"/>
        <v xml:space="preserve">    &lt;TTinChung&gt;</v>
      </c>
      <c r="B6" s="242" t="s">
        <v>1356</v>
      </c>
      <c r="G6" s="249" t="str">
        <f t="shared" si="1"/>
        <v xml:space="preserve">    &lt;TTinChung&gt;</v>
      </c>
      <c r="H6" s="251"/>
      <c r="I6" s="246"/>
      <c r="J6" s="245"/>
      <c r="K6" s="245"/>
      <c r="L6" s="245"/>
      <c r="M6" s="247"/>
    </row>
    <row r="7" spans="1:13" x14ac:dyDescent="0.45">
      <c r="A7" s="253" t="str">
        <f t="shared" si="0"/>
        <v xml:space="preserve">      &lt;TTinDVu&gt;</v>
      </c>
      <c r="B7" s="242" t="s">
        <v>1357</v>
      </c>
      <c r="G7" s="249" t="str">
        <f t="shared" si="1"/>
        <v xml:space="preserve">      &lt;TTinDVu&gt;</v>
      </c>
      <c r="H7" s="251"/>
      <c r="I7" s="246"/>
      <c r="J7" s="245"/>
      <c r="K7" s="245"/>
      <c r="L7" s="245"/>
      <c r="M7" s="247"/>
    </row>
    <row r="8" spans="1:13" x14ac:dyDescent="0.45">
      <c r="A8" s="253" t="str">
        <f t="shared" si="0"/>
        <v xml:space="preserve">        &lt;maDVu&gt;HTKK&lt;/maDVu&gt;</v>
      </c>
      <c r="B8" s="242" t="s">
        <v>1358</v>
      </c>
      <c r="G8" s="249" t="str">
        <f t="shared" si="1"/>
        <v xml:space="preserve">        &lt;maDVu&gt;HTKK&lt;/maDVu&gt;</v>
      </c>
      <c r="H8" s="251"/>
      <c r="I8" s="246"/>
      <c r="J8" s="245"/>
      <c r="K8" s="245"/>
      <c r="L8" s="245"/>
      <c r="M8" s="247"/>
    </row>
    <row r="9" spans="1:13" x14ac:dyDescent="0.45">
      <c r="A9" s="253" t="str">
        <f t="shared" si="0"/>
        <v xml:space="preserve">        &lt;tenDVu&gt;HỖ TRỢ KÊ KHAI THUẾ&lt;/tenDVu&gt;</v>
      </c>
      <c r="B9" s="242" t="s">
        <v>1359</v>
      </c>
      <c r="G9" s="249" t="str">
        <f t="shared" si="1"/>
        <v xml:space="preserve">        &lt;tenDVu&gt;HỖ TRỢ KÊ KHAI THUẾ&lt;/tenDVu&gt;</v>
      </c>
      <c r="H9" s="251"/>
      <c r="I9" s="246"/>
      <c r="J9" s="245"/>
      <c r="K9" s="245"/>
      <c r="L9" s="245"/>
      <c r="M9" s="247"/>
    </row>
    <row r="10" spans="1:13" x14ac:dyDescent="0.45">
      <c r="A10" s="253" t="str">
        <f t="shared" si="0"/>
        <v xml:space="preserve">        &lt;pbanDVu&gt;4.3.9&lt;/pbanDVu&gt;</v>
      </c>
      <c r="B10" s="242" t="s">
        <v>1360</v>
      </c>
      <c r="G10" s="249" t="str">
        <f t="shared" si="1"/>
        <v xml:space="preserve">        &lt;pbanDVu&gt;4.3.9&lt;/pbanDVu&gt;</v>
      </c>
      <c r="H10" s="251"/>
      <c r="I10" s="246"/>
      <c r="J10" s="245"/>
      <c r="K10" s="245"/>
      <c r="L10" s="245"/>
      <c r="M10" s="247"/>
    </row>
    <row r="11" spans="1:13" x14ac:dyDescent="0.45">
      <c r="A11" s="253" t="str">
        <f t="shared" si="0"/>
        <v xml:space="preserve">        &lt;ttinNhaCCapDVu&gt;F87BFC5F7F6DA68BF648433B3A06C67F&lt;/ttinNhaCCapDVu&gt;</v>
      </c>
      <c r="B11" s="242" t="s">
        <v>1361</v>
      </c>
      <c r="G11" s="249" t="str">
        <f t="shared" si="1"/>
        <v xml:space="preserve">        &lt;ttinNhaCCapDVu&gt;F87BFC5F7F6DA68BF648433B3A06C67F&lt;/ttinNhaCCapDVu&gt;</v>
      </c>
      <c r="H11" s="251"/>
      <c r="I11" s="246"/>
      <c r="J11" s="245"/>
      <c r="K11" s="245"/>
      <c r="L11" s="245"/>
      <c r="M11" s="247"/>
    </row>
    <row r="12" spans="1:13" x14ac:dyDescent="0.45">
      <c r="A12" s="253" t="str">
        <f t="shared" si="0"/>
        <v xml:space="preserve">      &lt;/TTinDVu&gt;</v>
      </c>
      <c r="B12" s="242" t="s">
        <v>1362</v>
      </c>
      <c r="G12" s="249" t="str">
        <f t="shared" si="1"/>
        <v xml:space="preserve">      &lt;/TTinDVu&gt;</v>
      </c>
      <c r="H12" s="251"/>
      <c r="I12" s="246"/>
      <c r="J12" s="245"/>
      <c r="K12" s="245"/>
      <c r="L12" s="245"/>
      <c r="M12" s="247"/>
    </row>
    <row r="13" spans="1:13" x14ac:dyDescent="0.45">
      <c r="A13" s="253" t="str">
        <f t="shared" si="0"/>
        <v xml:space="preserve">      &lt;TTinTKhaiThue&gt;</v>
      </c>
      <c r="B13" s="242" t="s">
        <v>1363</v>
      </c>
      <c r="G13" s="249" t="str">
        <f t="shared" si="1"/>
        <v xml:space="preserve">      &lt;TTinTKhaiThue&gt;</v>
      </c>
      <c r="H13" s="251"/>
      <c r="I13" s="246"/>
      <c r="J13" s="245"/>
      <c r="K13" s="245"/>
      <c r="L13" s="245"/>
      <c r="M13" s="247"/>
    </row>
    <row r="14" spans="1:13" x14ac:dyDescent="0.45">
      <c r="A14" s="253" t="str">
        <f t="shared" si="0"/>
        <v xml:space="preserve">        &lt;TKhaiThue&gt;</v>
      </c>
      <c r="B14" s="242" t="s">
        <v>1364</v>
      </c>
      <c r="G14" s="249" t="str">
        <f t="shared" si="1"/>
        <v xml:space="preserve">        &lt;TKhaiThue&gt;</v>
      </c>
      <c r="H14" s="251"/>
      <c r="I14" s="246"/>
      <c r="J14" s="245"/>
      <c r="K14" s="245"/>
      <c r="L14" s="245"/>
      <c r="M14" s="247"/>
    </row>
    <row r="15" spans="1:13" x14ac:dyDescent="0.45">
      <c r="A15" s="253" t="str">
        <f t="shared" si="0"/>
        <v xml:space="preserve">          &lt;maTKhai&gt;683&lt;/maTKhai&gt;</v>
      </c>
      <c r="B15" s="242" t="s">
        <v>1365</v>
      </c>
      <c r="G15" s="249" t="str">
        <f t="shared" si="1"/>
        <v xml:space="preserve">          &lt;maTKhai&gt;683&lt;/maTKhai&gt;</v>
      </c>
      <c r="H15" s="251"/>
      <c r="I15" s="246"/>
      <c r="J15" s="245"/>
      <c r="K15" s="245"/>
      <c r="L15" s="245"/>
      <c r="M15" s="247"/>
    </row>
    <row r="16" spans="1:13" x14ac:dyDescent="0.45">
      <c r="A16" s="253" t="str">
        <f t="shared" si="0"/>
        <v xml:space="preserve">          &lt;tenTKhai&gt;Bộ báo cáo tài chính (B01a - DNN)(TT133/2016/TT-BTC)&lt;/tenTKhai&gt;</v>
      </c>
      <c r="B16" s="242" t="s">
        <v>1366</v>
      </c>
      <c r="G16" s="249" t="str">
        <f t="shared" si="1"/>
        <v xml:space="preserve">          &lt;tenTKhai&gt;Bộ báo cáo tài chính (B01a - DNN)(TT133/2016/TT-BTC)&lt;/tenTKhai&gt;</v>
      </c>
      <c r="H16" s="251"/>
      <c r="I16" s="246"/>
      <c r="J16" s="245"/>
      <c r="K16" s="245"/>
      <c r="L16" s="245"/>
      <c r="M16" s="247"/>
    </row>
    <row r="17" spans="1:13" x14ac:dyDescent="0.45">
      <c r="A17" s="253" t="str">
        <f t="shared" si="0"/>
        <v xml:space="preserve">          &lt;moTaBMau&gt;(Ban hành theo Thông tư số 133/2016/TT-BTC ngày 26/8/2016 của Bộ Tài chính)&lt;/moTaBMau&gt;</v>
      </c>
      <c r="B17" s="242" t="s">
        <v>1367</v>
      </c>
      <c r="G17" s="249" t="str">
        <f t="shared" si="1"/>
        <v xml:space="preserve">          &lt;moTaBMau&gt;(Ban hành theo Thông tư số 133/2016/TT-BTC ngày 26/8/2016 của Bộ Tài chính)&lt;/moTaBMau&gt;</v>
      </c>
      <c r="H17" s="251"/>
      <c r="I17" s="246"/>
      <c r="J17" s="245"/>
      <c r="K17" s="245"/>
      <c r="L17" s="245"/>
      <c r="M17" s="247"/>
    </row>
    <row r="18" spans="1:13" x14ac:dyDescent="0.45">
      <c r="A18" s="253" t="str">
        <f t="shared" si="0"/>
        <v xml:space="preserve">          &lt;pbanTKhaiXML&gt;2.3.2&lt;/pbanTKhaiXML&gt;</v>
      </c>
      <c r="B18" s="242" t="s">
        <v>1368</v>
      </c>
      <c r="G18" s="249" t="str">
        <f t="shared" si="1"/>
        <v xml:space="preserve">          &lt;pbanTKhaiXML&gt;2.3.2&lt;/pbanTKhaiXML&gt;</v>
      </c>
      <c r="H18" s="251"/>
      <c r="I18" s="246"/>
      <c r="J18" s="245"/>
      <c r="K18" s="245"/>
      <c r="L18" s="245"/>
      <c r="M18" s="247"/>
    </row>
    <row r="19" spans="1:13" x14ac:dyDescent="0.45">
      <c r="A19" s="253" t="str">
        <f t="shared" si="0"/>
        <v xml:space="preserve">          &lt;loaiTKhai&gt;C&lt;/loaiTKhai&gt;</v>
      </c>
      <c r="B19" s="242" t="s">
        <v>1369</v>
      </c>
      <c r="G19" s="249" t="str">
        <f t="shared" si="1"/>
        <v xml:space="preserve">          &lt;loaiTKhai&gt;C&lt;/loaiTKhai&gt;</v>
      </c>
      <c r="H19" s="251"/>
      <c r="I19" s="246"/>
      <c r="J19" s="245"/>
      <c r="K19" s="245"/>
      <c r="L19" s="245"/>
      <c r="M19" s="247"/>
    </row>
    <row r="20" spans="1:13" x14ac:dyDescent="0.45">
      <c r="A20" s="253" t="str">
        <f t="shared" si="0"/>
        <v xml:space="preserve">          &lt;soLan&gt;0&lt;/soLan&gt;</v>
      </c>
      <c r="B20" s="242" t="s">
        <v>1370</v>
      </c>
      <c r="G20" s="249" t="str">
        <f t="shared" si="1"/>
        <v xml:space="preserve">          &lt;soLan&gt;0&lt;/soLan&gt;</v>
      </c>
      <c r="H20" s="251"/>
      <c r="I20" s="246"/>
      <c r="J20" s="245"/>
      <c r="K20" s="245"/>
      <c r="L20" s="245"/>
      <c r="M20" s="247"/>
    </row>
    <row r="21" spans="1:13" x14ac:dyDescent="0.45">
      <c r="A21" s="253" t="str">
        <f t="shared" si="0"/>
        <v xml:space="preserve">          &lt;KyKKhaiThue&gt;</v>
      </c>
      <c r="B21" s="242" t="s">
        <v>1371</v>
      </c>
      <c r="G21" s="249" t="str">
        <f t="shared" si="1"/>
        <v xml:space="preserve">          &lt;KyKKhaiThue&gt;</v>
      </c>
      <c r="H21" s="251"/>
      <c r="I21" s="246"/>
      <c r="J21" s="245"/>
      <c r="K21" s="245"/>
      <c r="L21" s="245"/>
      <c r="M21" s="247"/>
    </row>
    <row r="22" spans="1:13" x14ac:dyDescent="0.45">
      <c r="A22" s="253" t="str">
        <f t="shared" si="0"/>
        <v xml:space="preserve">            &lt;kieuKy&gt;Y&lt;/kieuKy&gt;</v>
      </c>
      <c r="B22" s="242" t="s">
        <v>1372</v>
      </c>
      <c r="G22" s="249" t="str">
        <f t="shared" si="1"/>
        <v xml:space="preserve">            &lt;kieuKy&gt;Y&lt;/kieuKy&gt;</v>
      </c>
      <c r="H22" s="251"/>
      <c r="I22" s="246"/>
      <c r="J22" s="245"/>
      <c r="K22" s="245"/>
      <c r="L22" s="245"/>
      <c r="M22" s="247"/>
    </row>
    <row r="23" spans="1:13" x14ac:dyDescent="0.45">
      <c r="A23" s="253" t="str">
        <f t="shared" si="0"/>
        <v>&lt;kyKKhai&gt;2024&lt;/kyKKhai&gt;</v>
      </c>
      <c r="B23" s="243" t="s">
        <v>1446</v>
      </c>
      <c r="C23" s="244">
        <f>LEN(B23)-LEN(SUBSTITUTE(B23,"&lt;",""))</f>
        <v>2</v>
      </c>
      <c r="D23" s="244">
        <f>SEARCH("&gt;",B23)</f>
        <v>9</v>
      </c>
      <c r="E23" s="244">
        <f>IFERROR(SEARCH("&lt;/",B23),"")</f>
        <v>14</v>
      </c>
      <c r="G23" s="248" t="str">
        <f>LEFT(B23,D23)</f>
        <v>&lt;kyKKhai&gt;</v>
      </c>
      <c r="H23" s="251">
        <f>MAIN!D6</f>
        <v>2024</v>
      </c>
      <c r="I23" s="246" t="str">
        <f>IF(C23=2,RIGHT(B23,LEN(B23)-E23+1),"")</f>
        <v>&lt;/kyKKhai&gt;</v>
      </c>
      <c r="J23" s="245"/>
      <c r="K23" s="245"/>
      <c r="L23" s="245"/>
      <c r="M23" s="247"/>
    </row>
    <row r="24" spans="1:13" x14ac:dyDescent="0.45">
      <c r="A24" s="253" t="str">
        <f t="shared" si="0"/>
        <v>&lt;kyKKhaiTuNgay&gt;01/01/2024&lt;/kyKKhaiTuNgay&gt;</v>
      </c>
      <c r="B24" s="243" t="s">
        <v>1447</v>
      </c>
      <c r="C24" s="244">
        <f t="shared" ref="C24:C87" si="2">LEN(B24)-LEN(SUBSTITUTE(B24,"&lt;",""))</f>
        <v>2</v>
      </c>
      <c r="D24" s="244">
        <f t="shared" ref="D24:D87" si="3">SEARCH("&gt;",B24)</f>
        <v>15</v>
      </c>
      <c r="E24" s="244">
        <f t="shared" ref="E24:E87" si="4">IFERROR(SEARCH("&lt;/",B24),"")</f>
        <v>26</v>
      </c>
      <c r="G24" s="248" t="str">
        <f t="shared" ref="G24:G87" si="5">LEFT(B24,D24)</f>
        <v>&lt;kyKKhaiTuNgay&gt;</v>
      </c>
      <c r="H24" s="251" t="str">
        <f>TEXT(MAIN!D14,"dd/mm/yyyy")</f>
        <v>01/01/2024</v>
      </c>
      <c r="I24" s="246" t="str">
        <f t="shared" ref="I24:I87" si="6">IF(C24=2,RIGHT(B24,LEN(B24)-E24+1),"")</f>
        <v>&lt;/kyKKhaiTuNgay&gt;</v>
      </c>
      <c r="J24" s="245"/>
      <c r="K24" s="245"/>
      <c r="L24" s="245"/>
      <c r="M24" s="247"/>
    </row>
    <row r="25" spans="1:13" x14ac:dyDescent="0.45">
      <c r="A25" s="253" t="str">
        <f t="shared" si="0"/>
        <v>&lt;kyKKhaiDenNgay&gt;31/12/2024&lt;/kyKKhaiDenNgay&gt;</v>
      </c>
      <c r="B25" s="243" t="s">
        <v>1448</v>
      </c>
      <c r="C25" s="244">
        <f t="shared" si="2"/>
        <v>2</v>
      </c>
      <c r="D25" s="244">
        <f t="shared" si="3"/>
        <v>16</v>
      </c>
      <c r="E25" s="244">
        <f t="shared" si="4"/>
        <v>27</v>
      </c>
      <c r="G25" s="248" t="str">
        <f t="shared" si="5"/>
        <v>&lt;kyKKhaiDenNgay&gt;</v>
      </c>
      <c r="H25" s="251" t="str">
        <f>TEXT(MAIN!D15,"dd/mm/yyyy")</f>
        <v>31/12/2024</v>
      </c>
      <c r="I25" s="246" t="str">
        <f t="shared" si="6"/>
        <v>&lt;/kyKKhaiDenNgay&gt;</v>
      </c>
      <c r="J25" s="245"/>
      <c r="K25" s="245"/>
      <c r="L25" s="245"/>
      <c r="M25" s="247"/>
    </row>
    <row r="26" spans="1:13" x14ac:dyDescent="0.45">
      <c r="A26" s="253" t="str">
        <f t="shared" si="0"/>
        <v>&lt;kyKKhaiTuThang/&gt;</v>
      </c>
      <c r="B26" s="243" t="s">
        <v>1373</v>
      </c>
      <c r="C26" s="244">
        <f t="shared" si="2"/>
        <v>1</v>
      </c>
      <c r="D26" s="244">
        <f t="shared" si="3"/>
        <v>17</v>
      </c>
      <c r="E26" s="244" t="str">
        <f t="shared" si="4"/>
        <v/>
      </c>
      <c r="G26" s="248" t="str">
        <f t="shared" si="5"/>
        <v>&lt;kyKKhaiTuThang/&gt;</v>
      </c>
      <c r="H26" s="251"/>
      <c r="I26" s="246" t="str">
        <f t="shared" si="6"/>
        <v/>
      </c>
      <c r="J26" s="245"/>
      <c r="K26" s="245"/>
      <c r="L26" s="245"/>
      <c r="M26" s="247"/>
    </row>
    <row r="27" spans="1:13" x14ac:dyDescent="0.45">
      <c r="A27" s="253" t="str">
        <f t="shared" si="0"/>
        <v>&lt;kyKKhaiDenThang/&gt;</v>
      </c>
      <c r="B27" s="243" t="s">
        <v>1374</v>
      </c>
      <c r="C27" s="244">
        <f t="shared" si="2"/>
        <v>1</v>
      </c>
      <c r="D27" s="244">
        <f t="shared" si="3"/>
        <v>18</v>
      </c>
      <c r="E27" s="244" t="str">
        <f t="shared" si="4"/>
        <v/>
      </c>
      <c r="G27" s="248" t="str">
        <f t="shared" si="5"/>
        <v>&lt;kyKKhaiDenThang/&gt;</v>
      </c>
      <c r="H27" s="251"/>
      <c r="I27" s="246" t="str">
        <f t="shared" si="6"/>
        <v/>
      </c>
      <c r="J27" s="245"/>
      <c r="K27" s="245"/>
      <c r="L27" s="245"/>
      <c r="M27" s="247"/>
    </row>
    <row r="28" spans="1:13" x14ac:dyDescent="0.45">
      <c r="A28" s="253" t="str">
        <f t="shared" si="0"/>
        <v>&lt;/KyKKhaiThue&gt;</v>
      </c>
      <c r="B28" s="243" t="s">
        <v>1375</v>
      </c>
      <c r="C28" s="244">
        <f t="shared" si="2"/>
        <v>1</v>
      </c>
      <c r="D28" s="244">
        <f t="shared" si="3"/>
        <v>14</v>
      </c>
      <c r="E28" s="244">
        <f t="shared" si="4"/>
        <v>1</v>
      </c>
      <c r="G28" s="248" t="str">
        <f t="shared" si="5"/>
        <v>&lt;/KyKKhaiThue&gt;</v>
      </c>
      <c r="H28" s="251"/>
      <c r="I28" s="246" t="str">
        <f t="shared" si="6"/>
        <v/>
      </c>
      <c r="J28" s="245"/>
      <c r="K28" s="245"/>
      <c r="L28" s="245"/>
      <c r="M28" s="247"/>
    </row>
    <row r="29" spans="1:13" x14ac:dyDescent="0.45">
      <c r="A29" s="253" t="str">
        <f t="shared" si="0"/>
        <v>&lt;maCQTNoiNop&gt;10127&lt;/maCQTNoiNop&gt;</v>
      </c>
      <c r="B29" s="243" t="s">
        <v>1449</v>
      </c>
      <c r="C29" s="244">
        <f t="shared" si="2"/>
        <v>2</v>
      </c>
      <c r="D29" s="244">
        <f t="shared" si="3"/>
        <v>13</v>
      </c>
      <c r="E29" s="244">
        <f t="shared" si="4"/>
        <v>19</v>
      </c>
      <c r="G29" s="248" t="str">
        <f t="shared" si="5"/>
        <v>&lt;maCQTNoiNop&gt;</v>
      </c>
      <c r="H29" s="251" t="str">
        <f>MAIN!D13</f>
        <v>10127</v>
      </c>
      <c r="I29" s="246" t="str">
        <f t="shared" si="6"/>
        <v>&lt;/maCQTNoiNop&gt;</v>
      </c>
      <c r="J29" s="245"/>
      <c r="K29" s="245"/>
      <c r="L29" s="245"/>
      <c r="M29" s="247"/>
    </row>
    <row r="30" spans="1:13" x14ac:dyDescent="0.45">
      <c r="A30" s="253" t="str">
        <f t="shared" si="0"/>
        <v>&lt;tenCQTNoiNop&gt;Chi cục thuế Quận Hà Đông&lt;/tenCQTNoiNop&gt;</v>
      </c>
      <c r="B30" s="243" t="s">
        <v>1450</v>
      </c>
      <c r="C30" s="244">
        <f t="shared" si="2"/>
        <v>2</v>
      </c>
      <c r="D30" s="244">
        <f t="shared" si="3"/>
        <v>14</v>
      </c>
      <c r="E30" s="244">
        <f t="shared" si="4"/>
        <v>34</v>
      </c>
      <c r="G30" s="248" t="str">
        <f t="shared" si="5"/>
        <v>&lt;tenCQTNoiNop&gt;</v>
      </c>
      <c r="H30" s="251" t="str">
        <f>MAIN!D12</f>
        <v>Chi cục thuế Quận Hà Đông</v>
      </c>
      <c r="I30" s="246" t="str">
        <f t="shared" si="6"/>
        <v>&lt;/tenCQTNoiNop&gt;</v>
      </c>
      <c r="J30" s="245"/>
      <c r="K30" s="245"/>
      <c r="L30" s="245"/>
      <c r="M30" s="247"/>
    </row>
    <row r="31" spans="1:13" x14ac:dyDescent="0.45">
      <c r="A31" s="253" t="str">
        <f t="shared" ca="1" si="0"/>
        <v>&lt;ngayLapTKhai&gt;2025-10-12&lt;/ngayLapTKhai&gt;</v>
      </c>
      <c r="B31" s="243" t="s">
        <v>1451</v>
      </c>
      <c r="C31" s="244">
        <f t="shared" si="2"/>
        <v>2</v>
      </c>
      <c r="D31" s="244">
        <f t="shared" si="3"/>
        <v>14</v>
      </c>
      <c r="E31" s="244">
        <f t="shared" si="4"/>
        <v>25</v>
      </c>
      <c r="G31" s="248" t="str">
        <f t="shared" si="5"/>
        <v>&lt;ngayLapTKhai&gt;</v>
      </c>
      <c r="H31" s="251" t="str">
        <f ca="1">TEXT(MAIN!D16,"yyyy-mm-dd")</f>
        <v>2025-10-12</v>
      </c>
      <c r="I31" s="246" t="str">
        <f t="shared" si="6"/>
        <v>&lt;/ngayLapTKhai&gt;</v>
      </c>
      <c r="J31" s="245"/>
      <c r="K31" s="245"/>
      <c r="L31" s="245"/>
      <c r="M31" s="247"/>
    </row>
    <row r="32" spans="1:13" x14ac:dyDescent="0.45">
      <c r="A32" s="253" t="str">
        <f t="shared" si="0"/>
        <v>&lt;GiaHan&gt;</v>
      </c>
      <c r="B32" s="243" t="s">
        <v>1376</v>
      </c>
      <c r="C32" s="244">
        <f t="shared" si="2"/>
        <v>1</v>
      </c>
      <c r="D32" s="244">
        <f t="shared" si="3"/>
        <v>8</v>
      </c>
      <c r="E32" s="244" t="str">
        <f t="shared" si="4"/>
        <v/>
      </c>
      <c r="G32" s="248" t="str">
        <f t="shared" si="5"/>
        <v>&lt;GiaHan&gt;</v>
      </c>
      <c r="H32" s="251"/>
      <c r="I32" s="246" t="str">
        <f t="shared" si="6"/>
        <v/>
      </c>
      <c r="J32" s="245"/>
      <c r="K32" s="245"/>
      <c r="L32" s="245"/>
      <c r="M32" s="247"/>
    </row>
    <row r="33" spans="1:13" x14ac:dyDescent="0.45">
      <c r="A33" s="253" t="str">
        <f t="shared" si="0"/>
        <v>&lt;maLyDoGiaHan/&gt;</v>
      </c>
      <c r="B33" s="243" t="s">
        <v>1377</v>
      </c>
      <c r="C33" s="244">
        <f t="shared" si="2"/>
        <v>1</v>
      </c>
      <c r="D33" s="244">
        <f t="shared" si="3"/>
        <v>15</v>
      </c>
      <c r="E33" s="244" t="str">
        <f t="shared" si="4"/>
        <v/>
      </c>
      <c r="G33" s="248" t="str">
        <f t="shared" si="5"/>
        <v>&lt;maLyDoGiaHan/&gt;</v>
      </c>
      <c r="H33" s="251"/>
      <c r="I33" s="246" t="str">
        <f t="shared" si="6"/>
        <v/>
      </c>
      <c r="J33" s="245"/>
      <c r="K33" s="245"/>
      <c r="L33" s="245"/>
      <c r="M33" s="247"/>
    </row>
    <row r="34" spans="1:13" x14ac:dyDescent="0.45">
      <c r="A34" s="253" t="str">
        <f t="shared" si="0"/>
        <v>&lt;lyDoGiaHan/&gt;</v>
      </c>
      <c r="B34" s="243" t="s">
        <v>1378</v>
      </c>
      <c r="C34" s="244">
        <f t="shared" si="2"/>
        <v>1</v>
      </c>
      <c r="D34" s="244">
        <f t="shared" si="3"/>
        <v>13</v>
      </c>
      <c r="E34" s="244" t="str">
        <f t="shared" si="4"/>
        <v/>
      </c>
      <c r="G34" s="248" t="str">
        <f t="shared" si="5"/>
        <v>&lt;lyDoGiaHan/&gt;</v>
      </c>
      <c r="H34" s="251"/>
      <c r="I34" s="246" t="str">
        <f t="shared" si="6"/>
        <v/>
      </c>
      <c r="J34" s="245"/>
      <c r="K34" s="245"/>
      <c r="L34" s="245"/>
      <c r="M34" s="247"/>
    </row>
    <row r="35" spans="1:13" x14ac:dyDescent="0.45">
      <c r="A35" s="253" t="str">
        <f t="shared" si="0"/>
        <v>&lt;/GiaHan&gt;</v>
      </c>
      <c r="B35" s="243" t="s">
        <v>1379</v>
      </c>
      <c r="C35" s="244">
        <f t="shared" si="2"/>
        <v>1</v>
      </c>
      <c r="D35" s="244">
        <f t="shared" si="3"/>
        <v>9</v>
      </c>
      <c r="E35" s="244">
        <f t="shared" si="4"/>
        <v>1</v>
      </c>
      <c r="G35" s="248" t="str">
        <f t="shared" si="5"/>
        <v>&lt;/GiaHan&gt;</v>
      </c>
      <c r="H35" s="251"/>
      <c r="I35" s="246" t="str">
        <f t="shared" si="6"/>
        <v/>
      </c>
      <c r="J35" s="245"/>
      <c r="K35" s="245"/>
      <c r="L35" s="245"/>
      <c r="M35" s="247"/>
    </row>
    <row r="36" spans="1:13" x14ac:dyDescent="0.45">
      <c r="A36" s="253" t="str">
        <f t="shared" si="0"/>
        <v>&lt;nguoiKy/&gt;</v>
      </c>
      <c r="B36" s="243" t="s">
        <v>1380</v>
      </c>
      <c r="C36" s="244">
        <f t="shared" si="2"/>
        <v>1</v>
      </c>
      <c r="D36" s="244">
        <f t="shared" si="3"/>
        <v>10</v>
      </c>
      <c r="E36" s="244" t="str">
        <f t="shared" si="4"/>
        <v/>
      </c>
      <c r="G36" s="248" t="str">
        <f t="shared" si="5"/>
        <v>&lt;nguoiKy/&gt;</v>
      </c>
      <c r="H36" s="251"/>
      <c r="I36" s="246" t="str">
        <f t="shared" si="6"/>
        <v/>
      </c>
      <c r="J36" s="245"/>
      <c r="K36" s="245"/>
      <c r="L36" s="245"/>
      <c r="M36" s="247"/>
    </row>
    <row r="37" spans="1:13" x14ac:dyDescent="0.45">
      <c r="A37" s="253" t="str">
        <f t="shared" ca="1" si="0"/>
        <v>&lt;ngayKy&gt;2025-10-12&lt;/ngayKy&gt;</v>
      </c>
      <c r="B37" s="243" t="s">
        <v>1452</v>
      </c>
      <c r="C37" s="244">
        <f t="shared" si="2"/>
        <v>2</v>
      </c>
      <c r="D37" s="244">
        <f t="shared" si="3"/>
        <v>8</v>
      </c>
      <c r="E37" s="244">
        <f t="shared" si="4"/>
        <v>19</v>
      </c>
      <c r="G37" s="248" t="str">
        <f t="shared" si="5"/>
        <v>&lt;ngayKy&gt;</v>
      </c>
      <c r="H37" s="251" t="str">
        <f ca="1">H31</f>
        <v>2025-10-12</v>
      </c>
      <c r="I37" s="246" t="str">
        <f t="shared" si="6"/>
        <v>&lt;/ngayKy&gt;</v>
      </c>
      <c r="J37" s="245"/>
      <c r="K37" s="245"/>
      <c r="L37" s="245"/>
      <c r="M37" s="247"/>
    </row>
    <row r="38" spans="1:13" x14ac:dyDescent="0.45">
      <c r="A38" s="253" t="str">
        <f t="shared" si="0"/>
        <v>&lt;nganhNgheKD/&gt;</v>
      </c>
      <c r="B38" s="243" t="s">
        <v>1381</v>
      </c>
      <c r="C38" s="244">
        <f t="shared" si="2"/>
        <v>1</v>
      </c>
      <c r="D38" s="244">
        <f t="shared" si="3"/>
        <v>14</v>
      </c>
      <c r="E38" s="244" t="str">
        <f t="shared" si="4"/>
        <v/>
      </c>
      <c r="G38" s="248" t="str">
        <f t="shared" si="5"/>
        <v>&lt;nganhNgheKD/&gt;</v>
      </c>
      <c r="H38" s="251"/>
      <c r="I38" s="246" t="str">
        <f t="shared" si="6"/>
        <v/>
      </c>
      <c r="J38" s="245"/>
      <c r="K38" s="245"/>
      <c r="L38" s="245"/>
      <c r="M38" s="247"/>
    </row>
    <row r="39" spans="1:13" x14ac:dyDescent="0.45">
      <c r="A39" s="253" t="str">
        <f t="shared" si="0"/>
        <v>&lt;/TKhaiThue&gt;</v>
      </c>
      <c r="B39" s="243" t="s">
        <v>1382</v>
      </c>
      <c r="C39" s="244">
        <f t="shared" si="2"/>
        <v>1</v>
      </c>
      <c r="D39" s="244">
        <f t="shared" si="3"/>
        <v>12</v>
      </c>
      <c r="E39" s="244">
        <f t="shared" si="4"/>
        <v>1</v>
      </c>
      <c r="G39" s="248" t="str">
        <f t="shared" si="5"/>
        <v>&lt;/TKhaiThue&gt;</v>
      </c>
      <c r="H39" s="251"/>
      <c r="I39" s="246" t="str">
        <f t="shared" si="6"/>
        <v/>
      </c>
      <c r="J39" s="245"/>
      <c r="K39" s="245"/>
      <c r="L39" s="245"/>
      <c r="M39" s="247"/>
    </row>
    <row r="40" spans="1:13" x14ac:dyDescent="0.45">
      <c r="A40" s="253" t="str">
        <f t="shared" si="0"/>
        <v>&lt;NNT&gt;</v>
      </c>
      <c r="B40" s="243" t="s">
        <v>1383</v>
      </c>
      <c r="C40" s="244">
        <f t="shared" si="2"/>
        <v>1</v>
      </c>
      <c r="D40" s="244">
        <f t="shared" si="3"/>
        <v>5</v>
      </c>
      <c r="E40" s="244" t="str">
        <f t="shared" si="4"/>
        <v/>
      </c>
      <c r="G40" s="248" t="str">
        <f t="shared" si="5"/>
        <v>&lt;NNT&gt;</v>
      </c>
      <c r="H40" s="251"/>
      <c r="I40" s="246" t="str">
        <f t="shared" si="6"/>
        <v/>
      </c>
      <c r="J40" s="245"/>
      <c r="K40" s="245"/>
      <c r="L40" s="245"/>
      <c r="M40" s="247"/>
    </row>
    <row r="41" spans="1:13" x14ac:dyDescent="0.45">
      <c r="A41" s="253" t="str">
        <f t="shared" si="0"/>
        <v>&lt;mst&gt;0110350102&lt;/mst&gt;</v>
      </c>
      <c r="B41" s="243" t="s">
        <v>1453</v>
      </c>
      <c r="C41" s="244">
        <f t="shared" si="2"/>
        <v>2</v>
      </c>
      <c r="D41" s="244">
        <f t="shared" si="3"/>
        <v>5</v>
      </c>
      <c r="E41" s="244">
        <f t="shared" si="4"/>
        <v>16</v>
      </c>
      <c r="G41" s="248" t="str">
        <f t="shared" si="5"/>
        <v>&lt;mst&gt;</v>
      </c>
      <c r="H41" s="251" t="str">
        <f>MAIN!D8</f>
        <v>0110350102</v>
      </c>
      <c r="I41" s="246" t="str">
        <f t="shared" si="6"/>
        <v>&lt;/mst&gt;</v>
      </c>
      <c r="J41" s="245"/>
      <c r="K41" s="245"/>
      <c r="L41" s="245"/>
      <c r="M41" s="247"/>
    </row>
    <row r="42" spans="1:13" x14ac:dyDescent="0.45">
      <c r="A42" s="253" t="str">
        <f t="shared" si="0"/>
        <v>&lt;tenNNT&gt;Công ty TNHH phát triển công nghệ thực phẩm YABEI&lt;/tenNNT&gt;</v>
      </c>
      <c r="B42" s="243" t="s">
        <v>1454</v>
      </c>
      <c r="C42" s="244">
        <f t="shared" si="2"/>
        <v>2</v>
      </c>
      <c r="D42" s="244">
        <f t="shared" si="3"/>
        <v>8</v>
      </c>
      <c r="E42" s="244">
        <f t="shared" si="4"/>
        <v>30</v>
      </c>
      <c r="G42" s="248" t="str">
        <f t="shared" si="5"/>
        <v>&lt;tenNNT&gt;</v>
      </c>
      <c r="H42" s="251" t="str">
        <f>MAIN!D7</f>
        <v>Công ty TNHH phát triển công nghệ thực phẩm YABEI</v>
      </c>
      <c r="I42" s="246" t="str">
        <f t="shared" si="6"/>
        <v>&lt;/tenNNT&gt;</v>
      </c>
      <c r="J42" s="245"/>
      <c r="K42" s="245"/>
      <c r="L42" s="245"/>
      <c r="M42" s="247"/>
    </row>
    <row r="43" spans="1:13" x14ac:dyDescent="0.45">
      <c r="A43" s="253" t="str">
        <f t="shared" si="0"/>
        <v>&lt;dchiNNT&gt;Biệt thự J03.L14, Khu An Phú Shop Villa - KĐT Dương Nội&lt;/dchiNNT&gt;</v>
      </c>
      <c r="B43" s="243" t="s">
        <v>1455</v>
      </c>
      <c r="C43" s="244">
        <f t="shared" si="2"/>
        <v>2</v>
      </c>
      <c r="D43" s="244">
        <f t="shared" si="3"/>
        <v>9</v>
      </c>
      <c r="E43" s="244">
        <f t="shared" si="4"/>
        <v>81</v>
      </c>
      <c r="G43" s="248" t="str">
        <f t="shared" si="5"/>
        <v>&lt;dchiNNT&gt;</v>
      </c>
      <c r="H43" s="251" t="str">
        <f>MAIN!D9</f>
        <v>Biệt thự J03.L14, Khu An Phú Shop Villa - KĐT Dương Nội</v>
      </c>
      <c r="I43" s="246" t="str">
        <f t="shared" si="6"/>
        <v>&lt;/dchiNNT&gt;</v>
      </c>
      <c r="J43" s="245"/>
      <c r="K43" s="245"/>
      <c r="L43" s="245"/>
      <c r="M43" s="247"/>
    </row>
    <row r="44" spans="1:13" x14ac:dyDescent="0.45">
      <c r="A44" s="253" t="str">
        <f t="shared" si="0"/>
        <v>&lt;phuongXa/&gt;</v>
      </c>
      <c r="B44" s="243" t="s">
        <v>1384</v>
      </c>
      <c r="C44" s="244">
        <f t="shared" si="2"/>
        <v>1</v>
      </c>
      <c r="D44" s="244">
        <f t="shared" si="3"/>
        <v>11</v>
      </c>
      <c r="E44" s="244" t="str">
        <f t="shared" si="4"/>
        <v/>
      </c>
      <c r="G44" s="248" t="str">
        <f t="shared" si="5"/>
        <v>&lt;phuongXa/&gt;</v>
      </c>
      <c r="H44" s="251"/>
      <c r="I44" s="246" t="str">
        <f t="shared" si="6"/>
        <v/>
      </c>
      <c r="J44" s="245"/>
      <c r="K44" s="245"/>
      <c r="L44" s="245"/>
      <c r="M44" s="247"/>
    </row>
    <row r="45" spans="1:13" x14ac:dyDescent="0.45">
      <c r="A45" s="253" t="str">
        <f t="shared" si="0"/>
        <v>&lt;maHuyenNNT/&gt;</v>
      </c>
      <c r="B45" s="243" t="s">
        <v>1385</v>
      </c>
      <c r="C45" s="244">
        <f t="shared" si="2"/>
        <v>1</v>
      </c>
      <c r="D45" s="244">
        <f t="shared" si="3"/>
        <v>13</v>
      </c>
      <c r="E45" s="244" t="str">
        <f t="shared" si="4"/>
        <v/>
      </c>
      <c r="G45" s="248" t="str">
        <f t="shared" si="5"/>
        <v>&lt;maHuyenNNT/&gt;</v>
      </c>
      <c r="H45" s="251"/>
      <c r="I45" s="246" t="str">
        <f t="shared" si="6"/>
        <v/>
      </c>
      <c r="J45" s="245"/>
      <c r="K45" s="245"/>
      <c r="L45" s="245"/>
      <c r="M45" s="247"/>
    </row>
    <row r="46" spans="1:13" x14ac:dyDescent="0.45">
      <c r="A46" s="253" t="str">
        <f t="shared" si="0"/>
        <v>&lt;tenHuyenNNT&gt;Hà Đông&lt;/tenHuyenNNT&gt;</v>
      </c>
      <c r="B46" s="243" t="s">
        <v>1456</v>
      </c>
      <c r="C46" s="244">
        <f t="shared" si="2"/>
        <v>2</v>
      </c>
      <c r="D46" s="244">
        <f t="shared" si="3"/>
        <v>13</v>
      </c>
      <c r="E46" s="244">
        <f t="shared" si="4"/>
        <v>21</v>
      </c>
      <c r="G46" s="248" t="str">
        <f t="shared" si="5"/>
        <v>&lt;tenHuyenNNT&gt;</v>
      </c>
      <c r="H46" s="251" t="str">
        <f>MAIN!D10</f>
        <v>Hà Đông</v>
      </c>
      <c r="I46" s="246" t="str">
        <f t="shared" si="6"/>
        <v>&lt;/tenHuyenNNT&gt;</v>
      </c>
      <c r="J46" s="245"/>
      <c r="K46" s="245"/>
      <c r="L46" s="245"/>
      <c r="M46" s="247"/>
    </row>
    <row r="47" spans="1:13" x14ac:dyDescent="0.45">
      <c r="A47" s="253" t="str">
        <f t="shared" si="0"/>
        <v>&lt;maTinhNNT/&gt;</v>
      </c>
      <c r="B47" s="243" t="s">
        <v>1386</v>
      </c>
      <c r="C47" s="244">
        <f t="shared" si="2"/>
        <v>1</v>
      </c>
      <c r="D47" s="244">
        <f t="shared" si="3"/>
        <v>12</v>
      </c>
      <c r="E47" s="244" t="str">
        <f t="shared" si="4"/>
        <v/>
      </c>
      <c r="G47" s="248" t="str">
        <f t="shared" si="5"/>
        <v>&lt;maTinhNNT/&gt;</v>
      </c>
      <c r="H47" s="251"/>
      <c r="I47" s="246" t="str">
        <f t="shared" si="6"/>
        <v/>
      </c>
      <c r="J47" s="245"/>
      <c r="K47" s="245"/>
      <c r="L47" s="245"/>
      <c r="M47" s="247"/>
    </row>
    <row r="48" spans="1:13" x14ac:dyDescent="0.45">
      <c r="A48" s="253" t="str">
        <f t="shared" si="0"/>
        <v>&lt;tenTinhNNT&gt;Hà Nội&lt;/tenTinhNNT&gt;</v>
      </c>
      <c r="B48" s="243" t="s">
        <v>1457</v>
      </c>
      <c r="C48" s="244">
        <f t="shared" si="2"/>
        <v>2</v>
      </c>
      <c r="D48" s="244">
        <f t="shared" si="3"/>
        <v>12</v>
      </c>
      <c r="E48" s="244">
        <f t="shared" si="4"/>
        <v>20</v>
      </c>
      <c r="G48" s="248" t="str">
        <f t="shared" si="5"/>
        <v>&lt;tenTinhNNT&gt;</v>
      </c>
      <c r="H48" s="251" t="str">
        <f>MAIN!D11</f>
        <v>Hà Nội</v>
      </c>
      <c r="I48" s="246" t="str">
        <f t="shared" si="6"/>
        <v>&lt;/tenTinhNNT&gt;</v>
      </c>
      <c r="J48" s="245"/>
      <c r="K48" s="245"/>
      <c r="L48" s="245"/>
      <c r="M48" s="247"/>
    </row>
    <row r="49" spans="1:13" x14ac:dyDescent="0.45">
      <c r="A49" s="253" t="str">
        <f t="shared" si="0"/>
        <v>&lt;dthoaiNNT/&gt;</v>
      </c>
      <c r="B49" s="243" t="s">
        <v>1387</v>
      </c>
      <c r="C49" s="244">
        <f t="shared" si="2"/>
        <v>1</v>
      </c>
      <c r="D49" s="244">
        <f t="shared" si="3"/>
        <v>12</v>
      </c>
      <c r="E49" s="244" t="str">
        <f t="shared" si="4"/>
        <v/>
      </c>
      <c r="G49" s="248" t="str">
        <f t="shared" si="5"/>
        <v>&lt;dthoaiNNT/&gt;</v>
      </c>
      <c r="H49" s="251"/>
      <c r="I49" s="246" t="str">
        <f t="shared" si="6"/>
        <v/>
      </c>
      <c r="J49" s="245"/>
      <c r="K49" s="245"/>
      <c r="L49" s="245"/>
      <c r="M49" s="247"/>
    </row>
    <row r="50" spans="1:13" x14ac:dyDescent="0.45">
      <c r="A50" s="253" t="str">
        <f t="shared" si="0"/>
        <v>&lt;faxNNT/&gt;</v>
      </c>
      <c r="B50" s="243" t="s">
        <v>1388</v>
      </c>
      <c r="C50" s="244">
        <f t="shared" si="2"/>
        <v>1</v>
      </c>
      <c r="D50" s="244">
        <f t="shared" si="3"/>
        <v>9</v>
      </c>
      <c r="E50" s="244" t="str">
        <f t="shared" si="4"/>
        <v/>
      </c>
      <c r="G50" s="248" t="str">
        <f t="shared" si="5"/>
        <v>&lt;faxNNT/&gt;</v>
      </c>
      <c r="H50" s="251"/>
      <c r="I50" s="246" t="str">
        <f t="shared" si="6"/>
        <v/>
      </c>
      <c r="J50" s="245"/>
      <c r="K50" s="245"/>
      <c r="L50" s="245"/>
      <c r="M50" s="247"/>
    </row>
    <row r="51" spans="1:13" x14ac:dyDescent="0.45">
      <c r="A51" s="253" t="str">
        <f t="shared" si="0"/>
        <v>&lt;emailNNT/&gt;</v>
      </c>
      <c r="B51" s="243" t="s">
        <v>1389</v>
      </c>
      <c r="C51" s="244">
        <f t="shared" si="2"/>
        <v>1</v>
      </c>
      <c r="D51" s="244">
        <f t="shared" si="3"/>
        <v>11</v>
      </c>
      <c r="E51" s="244" t="str">
        <f t="shared" si="4"/>
        <v/>
      </c>
      <c r="G51" s="248" t="str">
        <f t="shared" si="5"/>
        <v>&lt;emailNNT/&gt;</v>
      </c>
      <c r="H51" s="251"/>
      <c r="I51" s="246" t="str">
        <f t="shared" si="6"/>
        <v/>
      </c>
      <c r="J51" s="245"/>
      <c r="K51" s="245"/>
      <c r="L51" s="245"/>
      <c r="M51" s="247"/>
    </row>
    <row r="52" spans="1:13" x14ac:dyDescent="0.45">
      <c r="A52" s="253" t="str">
        <f t="shared" si="0"/>
        <v>&lt;/NNT&gt;</v>
      </c>
      <c r="B52" s="243" t="s">
        <v>1390</v>
      </c>
      <c r="C52" s="244">
        <f t="shared" si="2"/>
        <v>1</v>
      </c>
      <c r="D52" s="244">
        <f t="shared" si="3"/>
        <v>6</v>
      </c>
      <c r="E52" s="244">
        <f t="shared" si="4"/>
        <v>1</v>
      </c>
      <c r="G52" s="248" t="str">
        <f t="shared" si="5"/>
        <v>&lt;/NNT&gt;</v>
      </c>
      <c r="H52" s="251"/>
      <c r="I52" s="246" t="str">
        <f t="shared" si="6"/>
        <v/>
      </c>
      <c r="J52" s="245"/>
      <c r="K52" s="245"/>
      <c r="L52" s="245"/>
      <c r="M52" s="247"/>
    </row>
    <row r="53" spans="1:13" x14ac:dyDescent="0.45">
      <c r="A53" s="253" t="str">
        <f t="shared" si="0"/>
        <v>&lt;/TTinTKhaiThue&gt;</v>
      </c>
      <c r="B53" s="243" t="s">
        <v>1391</v>
      </c>
      <c r="C53" s="244">
        <f t="shared" si="2"/>
        <v>1</v>
      </c>
      <c r="D53" s="244">
        <f t="shared" si="3"/>
        <v>16</v>
      </c>
      <c r="E53" s="244">
        <f t="shared" si="4"/>
        <v>1</v>
      </c>
      <c r="G53" s="248" t="str">
        <f t="shared" si="5"/>
        <v>&lt;/TTinTKhaiThue&gt;</v>
      </c>
      <c r="H53" s="251"/>
      <c r="I53" s="246" t="str">
        <f t="shared" si="6"/>
        <v/>
      </c>
      <c r="J53" s="245"/>
      <c r="K53" s="245"/>
      <c r="L53" s="245"/>
      <c r="M53" s="247"/>
    </row>
    <row r="54" spans="1:13" x14ac:dyDescent="0.45">
      <c r="A54" s="253" t="str">
        <f t="shared" si="0"/>
        <v>&lt;/TTinChung&gt;</v>
      </c>
      <c r="B54" s="243" t="s">
        <v>1392</v>
      </c>
      <c r="C54" s="244">
        <f t="shared" si="2"/>
        <v>1</v>
      </c>
      <c r="D54" s="244">
        <f t="shared" si="3"/>
        <v>12</v>
      </c>
      <c r="E54" s="244">
        <f t="shared" si="4"/>
        <v>1</v>
      </c>
      <c r="G54" s="248" t="str">
        <f t="shared" si="5"/>
        <v>&lt;/TTinChung&gt;</v>
      </c>
      <c r="H54" s="251"/>
      <c r="I54" s="246" t="str">
        <f t="shared" si="6"/>
        <v/>
      </c>
      <c r="J54" s="245"/>
      <c r="K54" s="245"/>
      <c r="L54" s="245"/>
      <c r="M54" s="247"/>
    </row>
    <row r="55" spans="1:13" x14ac:dyDescent="0.45">
      <c r="A55" s="243" t="s">
        <v>1393</v>
      </c>
      <c r="B55" s="243" t="s">
        <v>1393</v>
      </c>
      <c r="C55" s="244">
        <f t="shared" si="2"/>
        <v>1</v>
      </c>
      <c r="D55" s="244">
        <f t="shared" si="3"/>
        <v>17</v>
      </c>
      <c r="E55" s="244" t="str">
        <f t="shared" si="4"/>
        <v/>
      </c>
      <c r="G55" s="248" t="str">
        <f t="shared" si="5"/>
        <v>&lt;CTieuTKhaiChinh&gt;</v>
      </c>
      <c r="H55" s="251"/>
      <c r="I55" s="246" t="str">
        <f t="shared" si="6"/>
        <v/>
      </c>
      <c r="J55" s="245"/>
      <c r="K55" s="245"/>
      <c r="L55" s="245"/>
      <c r="M55" s="247"/>
    </row>
    <row r="56" spans="1:13" x14ac:dyDescent="0.45">
      <c r="A56" s="243" t="s">
        <v>1394</v>
      </c>
      <c r="B56" s="243" t="s">
        <v>1394</v>
      </c>
      <c r="C56" s="244">
        <f t="shared" si="2"/>
        <v>2</v>
      </c>
      <c r="D56" s="244">
        <f t="shared" si="3"/>
        <v>16</v>
      </c>
      <c r="E56" s="244">
        <f t="shared" si="4"/>
        <v>22</v>
      </c>
      <c r="G56" s="248" t="str">
        <f t="shared" si="5"/>
        <v>&lt;bctcDaKiemToan&gt;</v>
      </c>
      <c r="H56" s="251" t="b">
        <v>0</v>
      </c>
      <c r="I56" s="246" t="str">
        <f t="shared" si="6"/>
        <v>&lt;/bctcDaKiemToan&gt;</v>
      </c>
      <c r="J56" s="245"/>
      <c r="K56" s="245"/>
      <c r="L56" s="245"/>
      <c r="M56" s="247"/>
    </row>
    <row r="57" spans="1:13" x14ac:dyDescent="0.45">
      <c r="A57" s="243" t="s">
        <v>1395</v>
      </c>
      <c r="B57" s="243" t="s">
        <v>1395</v>
      </c>
      <c r="C57" s="244">
        <f t="shared" si="2"/>
        <v>1</v>
      </c>
      <c r="D57" s="244">
        <f t="shared" si="3"/>
        <v>15</v>
      </c>
      <c r="E57" s="244" t="str">
        <f t="shared" si="4"/>
        <v/>
      </c>
      <c r="G57" s="248" t="str">
        <f t="shared" si="5"/>
        <v>&lt;maYKienKToan/&gt;</v>
      </c>
      <c r="H57" s="251"/>
      <c r="I57" s="246" t="str">
        <f t="shared" si="6"/>
        <v/>
      </c>
      <c r="J57" s="245"/>
      <c r="K57" s="245"/>
      <c r="L57" s="245"/>
      <c r="M57" s="247"/>
    </row>
    <row r="58" spans="1:13" x14ac:dyDescent="0.45">
      <c r="A58" s="243" t="s">
        <v>1396</v>
      </c>
      <c r="B58" s="243" t="s">
        <v>1396</v>
      </c>
      <c r="C58" s="244">
        <f t="shared" si="2"/>
        <v>1</v>
      </c>
      <c r="D58" s="244">
        <f t="shared" si="3"/>
        <v>16</v>
      </c>
      <c r="E58" s="244" t="str">
        <f t="shared" si="4"/>
        <v/>
      </c>
      <c r="G58" s="248" t="str">
        <f t="shared" si="5"/>
        <v>&lt;tenYKienKToan/&gt;</v>
      </c>
      <c r="H58" s="251"/>
      <c r="I58" s="246" t="str">
        <f t="shared" si="6"/>
        <v/>
      </c>
      <c r="J58" s="245"/>
      <c r="K58" s="245"/>
      <c r="L58" s="245"/>
      <c r="M58" s="247"/>
    </row>
    <row r="59" spans="1:13" x14ac:dyDescent="0.45">
      <c r="A59" s="243" t="s">
        <v>1397</v>
      </c>
      <c r="B59" s="243" t="s">
        <v>1397</v>
      </c>
      <c r="C59" s="244">
        <f t="shared" si="2"/>
        <v>1</v>
      </c>
      <c r="D59" s="244">
        <f t="shared" si="3"/>
        <v>12</v>
      </c>
      <c r="E59" s="244" t="str">
        <f t="shared" si="4"/>
        <v/>
      </c>
      <c r="G59" s="248" t="str">
        <f t="shared" si="5"/>
        <v>&lt;ThuyetMinh&gt;</v>
      </c>
      <c r="H59" s="251"/>
      <c r="I59" s="246" t="str">
        <f t="shared" si="6"/>
        <v/>
      </c>
      <c r="J59" s="245"/>
      <c r="K59" s="245"/>
      <c r="L59" s="245"/>
      <c r="M59" s="247"/>
    </row>
    <row r="60" spans="1:13" x14ac:dyDescent="0.45">
      <c r="A60" s="243" t="s">
        <v>1398</v>
      </c>
      <c r="B60" s="243" t="s">
        <v>1398</v>
      </c>
      <c r="C60" s="244">
        <f t="shared" si="2"/>
        <v>1</v>
      </c>
      <c r="D60" s="244">
        <f t="shared" si="3"/>
        <v>8</v>
      </c>
      <c r="E60" s="244" t="str">
        <f t="shared" si="4"/>
        <v/>
      </c>
      <c r="G60" s="248" t="str">
        <f t="shared" si="5"/>
        <v>&lt;ct110/&gt;</v>
      </c>
      <c r="H60" s="251"/>
      <c r="I60" s="246" t="str">
        <f t="shared" si="6"/>
        <v/>
      </c>
      <c r="J60" s="245"/>
      <c r="K60" s="245"/>
      <c r="L60" s="245"/>
      <c r="M60" s="247"/>
    </row>
    <row r="61" spans="1:13" x14ac:dyDescent="0.45">
      <c r="A61" s="243" t="s">
        <v>1399</v>
      </c>
      <c r="B61" s="243" t="s">
        <v>1399</v>
      </c>
      <c r="C61" s="244">
        <f t="shared" si="2"/>
        <v>1</v>
      </c>
      <c r="D61" s="244">
        <f t="shared" si="3"/>
        <v>8</v>
      </c>
      <c r="E61" s="244" t="str">
        <f t="shared" si="4"/>
        <v/>
      </c>
      <c r="G61" s="248" t="str">
        <f t="shared" si="5"/>
        <v>&lt;ct120/&gt;</v>
      </c>
      <c r="H61" s="251"/>
      <c r="I61" s="246" t="str">
        <f t="shared" si="6"/>
        <v/>
      </c>
      <c r="J61" s="245"/>
      <c r="K61" s="245"/>
      <c r="L61" s="245"/>
      <c r="M61" s="247"/>
    </row>
    <row r="62" spans="1:13" x14ac:dyDescent="0.45">
      <c r="A62" s="243" t="s">
        <v>1400</v>
      </c>
      <c r="B62" s="243" t="s">
        <v>1400</v>
      </c>
      <c r="C62" s="244">
        <f t="shared" si="2"/>
        <v>1</v>
      </c>
      <c r="D62" s="244">
        <f t="shared" si="3"/>
        <v>8</v>
      </c>
      <c r="E62" s="244" t="str">
        <f t="shared" si="4"/>
        <v/>
      </c>
      <c r="G62" s="248" t="str">
        <f t="shared" si="5"/>
        <v>&lt;ct121/&gt;</v>
      </c>
      <c r="H62" s="251"/>
      <c r="I62" s="246" t="str">
        <f t="shared" si="6"/>
        <v/>
      </c>
      <c r="J62" s="245"/>
      <c r="K62" s="245"/>
      <c r="L62" s="245"/>
      <c r="M62" s="247"/>
    </row>
    <row r="63" spans="1:13" x14ac:dyDescent="0.45">
      <c r="A63" s="243" t="s">
        <v>1401</v>
      </c>
      <c r="B63" s="243" t="s">
        <v>1401</v>
      </c>
      <c r="C63" s="244">
        <f t="shared" si="2"/>
        <v>1</v>
      </c>
      <c r="D63" s="244">
        <f t="shared" si="3"/>
        <v>8</v>
      </c>
      <c r="E63" s="244" t="str">
        <f t="shared" si="4"/>
        <v/>
      </c>
      <c r="G63" s="248" t="str">
        <f t="shared" si="5"/>
        <v>&lt;ct122/&gt;</v>
      </c>
      <c r="H63" s="251"/>
      <c r="I63" s="246" t="str">
        <f t="shared" si="6"/>
        <v/>
      </c>
      <c r="J63" s="245"/>
      <c r="K63" s="245"/>
      <c r="L63" s="245"/>
      <c r="M63" s="247"/>
    </row>
    <row r="64" spans="1:13" x14ac:dyDescent="0.45">
      <c r="A64" s="243" t="s">
        <v>1402</v>
      </c>
      <c r="B64" s="243" t="s">
        <v>1402</v>
      </c>
      <c r="C64" s="244">
        <f t="shared" si="2"/>
        <v>1</v>
      </c>
      <c r="D64" s="244">
        <f t="shared" si="3"/>
        <v>8</v>
      </c>
      <c r="E64" s="244" t="str">
        <f t="shared" si="4"/>
        <v/>
      </c>
      <c r="G64" s="248" t="str">
        <f t="shared" si="5"/>
        <v>&lt;ct123/&gt;</v>
      </c>
      <c r="H64" s="251"/>
      <c r="I64" s="246" t="str">
        <f t="shared" si="6"/>
        <v/>
      </c>
      <c r="J64" s="245"/>
      <c r="K64" s="245"/>
      <c r="L64" s="245"/>
      <c r="M64" s="247"/>
    </row>
    <row r="65" spans="1:13" x14ac:dyDescent="0.45">
      <c r="A65" s="243" t="s">
        <v>1403</v>
      </c>
      <c r="B65" s="243" t="s">
        <v>1403</v>
      </c>
      <c r="C65" s="244">
        <f t="shared" si="2"/>
        <v>1</v>
      </c>
      <c r="D65" s="244">
        <f t="shared" si="3"/>
        <v>8</v>
      </c>
      <c r="E65" s="244" t="str">
        <f t="shared" si="4"/>
        <v/>
      </c>
      <c r="G65" s="248" t="str">
        <f t="shared" si="5"/>
        <v>&lt;ct124/&gt;</v>
      </c>
      <c r="H65" s="251"/>
      <c r="I65" s="246" t="str">
        <f t="shared" si="6"/>
        <v/>
      </c>
      <c r="J65" s="245"/>
      <c r="K65" s="245"/>
      <c r="L65" s="245"/>
      <c r="M65" s="247"/>
    </row>
    <row r="66" spans="1:13" x14ac:dyDescent="0.45">
      <c r="A66" s="243" t="s">
        <v>1404</v>
      </c>
      <c r="B66" s="243" t="s">
        <v>1404</v>
      </c>
      <c r="C66" s="244">
        <f t="shared" si="2"/>
        <v>1</v>
      </c>
      <c r="D66" s="244">
        <f t="shared" si="3"/>
        <v>8</v>
      </c>
      <c r="E66" s="244" t="str">
        <f t="shared" si="4"/>
        <v/>
      </c>
      <c r="G66" s="248" t="str">
        <f t="shared" si="5"/>
        <v>&lt;ct130/&gt;</v>
      </c>
      <c r="H66" s="251"/>
      <c r="I66" s="246" t="str">
        <f t="shared" si="6"/>
        <v/>
      </c>
      <c r="J66" s="245"/>
      <c r="K66" s="245"/>
      <c r="L66" s="245"/>
      <c r="M66" s="247"/>
    </row>
    <row r="67" spans="1:13" x14ac:dyDescent="0.45">
      <c r="A67" s="243" t="s">
        <v>1405</v>
      </c>
      <c r="B67" s="243" t="s">
        <v>1405</v>
      </c>
      <c r="C67" s="244">
        <f t="shared" si="2"/>
        <v>1</v>
      </c>
      <c r="D67" s="244">
        <f t="shared" si="3"/>
        <v>8</v>
      </c>
      <c r="E67" s="244" t="str">
        <f t="shared" si="4"/>
        <v/>
      </c>
      <c r="G67" s="248" t="str">
        <f t="shared" si="5"/>
        <v>&lt;ct131/&gt;</v>
      </c>
      <c r="H67" s="251"/>
      <c r="I67" s="246" t="str">
        <f t="shared" si="6"/>
        <v/>
      </c>
      <c r="J67" s="245"/>
      <c r="K67" s="245"/>
      <c r="L67" s="245"/>
      <c r="M67" s="247"/>
    </row>
    <row r="68" spans="1:13" x14ac:dyDescent="0.45">
      <c r="A68" s="243" t="s">
        <v>1406</v>
      </c>
      <c r="B68" s="243" t="s">
        <v>1406</v>
      </c>
      <c r="C68" s="244">
        <f t="shared" si="2"/>
        <v>1</v>
      </c>
      <c r="D68" s="244">
        <f t="shared" si="3"/>
        <v>8</v>
      </c>
      <c r="E68" s="244" t="str">
        <f t="shared" si="4"/>
        <v/>
      </c>
      <c r="G68" s="248" t="str">
        <f t="shared" si="5"/>
        <v>&lt;ct132/&gt;</v>
      </c>
      <c r="H68" s="251"/>
      <c r="I68" s="246" t="str">
        <f t="shared" si="6"/>
        <v/>
      </c>
      <c r="J68" s="245"/>
      <c r="K68" s="245"/>
      <c r="L68" s="245"/>
      <c r="M68" s="247"/>
    </row>
    <row r="69" spans="1:13" x14ac:dyDescent="0.45">
      <c r="A69" s="243" t="s">
        <v>1407</v>
      </c>
      <c r="B69" s="243" t="s">
        <v>1407</v>
      </c>
      <c r="C69" s="244">
        <f t="shared" si="2"/>
        <v>1</v>
      </c>
      <c r="D69" s="244">
        <f t="shared" si="3"/>
        <v>8</v>
      </c>
      <c r="E69" s="244" t="str">
        <f t="shared" si="4"/>
        <v/>
      </c>
      <c r="G69" s="248" t="str">
        <f t="shared" si="5"/>
        <v>&lt;ct133/&gt;</v>
      </c>
      <c r="H69" s="251"/>
      <c r="I69" s="246" t="str">
        <f t="shared" si="6"/>
        <v/>
      </c>
      <c r="J69" s="245"/>
      <c r="K69" s="245"/>
      <c r="L69" s="245"/>
      <c r="M69" s="247"/>
    </row>
    <row r="70" spans="1:13" x14ac:dyDescent="0.45">
      <c r="A70" s="243" t="s">
        <v>1408</v>
      </c>
      <c r="B70" s="243" t="s">
        <v>1408</v>
      </c>
      <c r="C70" s="244">
        <f t="shared" si="2"/>
        <v>1</v>
      </c>
      <c r="D70" s="244">
        <f t="shared" si="3"/>
        <v>8</v>
      </c>
      <c r="E70" s="244" t="str">
        <f t="shared" si="4"/>
        <v/>
      </c>
      <c r="G70" s="248" t="str">
        <f t="shared" si="5"/>
        <v>&lt;ct134/&gt;</v>
      </c>
      <c r="H70" s="251"/>
      <c r="I70" s="246" t="str">
        <f t="shared" si="6"/>
        <v/>
      </c>
      <c r="J70" s="245"/>
      <c r="K70" s="245"/>
      <c r="L70" s="245"/>
      <c r="M70" s="247"/>
    </row>
    <row r="71" spans="1:13" x14ac:dyDescent="0.45">
      <c r="A71" s="243" t="s">
        <v>1409</v>
      </c>
      <c r="B71" s="243" t="s">
        <v>1409</v>
      </c>
      <c r="C71" s="244">
        <f t="shared" si="2"/>
        <v>1</v>
      </c>
      <c r="D71" s="244">
        <f t="shared" si="3"/>
        <v>8</v>
      </c>
      <c r="E71" s="244" t="str">
        <f t="shared" si="4"/>
        <v/>
      </c>
      <c r="G71" s="248" t="str">
        <f t="shared" si="5"/>
        <v>&lt;ct135/&gt;</v>
      </c>
      <c r="H71" s="251"/>
      <c r="I71" s="246" t="str">
        <f t="shared" si="6"/>
        <v/>
      </c>
      <c r="J71" s="245"/>
      <c r="K71" s="245"/>
      <c r="L71" s="245"/>
      <c r="M71" s="247"/>
    </row>
    <row r="72" spans="1:13" x14ac:dyDescent="0.45">
      <c r="A72" s="243" t="s">
        <v>1410</v>
      </c>
      <c r="B72" s="243" t="s">
        <v>1410</v>
      </c>
      <c r="C72" s="244">
        <f t="shared" si="2"/>
        <v>1</v>
      </c>
      <c r="D72" s="244">
        <f t="shared" si="3"/>
        <v>8</v>
      </c>
      <c r="E72" s="244" t="str">
        <f t="shared" si="4"/>
        <v/>
      </c>
      <c r="G72" s="248" t="str">
        <f t="shared" si="5"/>
        <v>&lt;ct136/&gt;</v>
      </c>
      <c r="H72" s="251"/>
      <c r="I72" s="246" t="str">
        <f t="shared" si="6"/>
        <v/>
      </c>
      <c r="J72" s="245"/>
      <c r="K72" s="245"/>
      <c r="L72" s="245"/>
      <c r="M72" s="247"/>
    </row>
    <row r="73" spans="1:13" x14ac:dyDescent="0.45">
      <c r="A73" s="243" t="s">
        <v>1411</v>
      </c>
      <c r="B73" s="243" t="s">
        <v>1411</v>
      </c>
      <c r="C73" s="244">
        <f t="shared" si="2"/>
        <v>1</v>
      </c>
      <c r="D73" s="244">
        <f t="shared" si="3"/>
        <v>8</v>
      </c>
      <c r="E73" s="244" t="str">
        <f t="shared" si="4"/>
        <v/>
      </c>
      <c r="G73" s="248" t="str">
        <f t="shared" si="5"/>
        <v>&lt;ct140/&gt;</v>
      </c>
      <c r="H73" s="251"/>
      <c r="I73" s="246" t="str">
        <f t="shared" si="6"/>
        <v/>
      </c>
      <c r="J73" s="245"/>
      <c r="K73" s="245"/>
      <c r="L73" s="245"/>
      <c r="M73" s="247"/>
    </row>
    <row r="74" spans="1:13" x14ac:dyDescent="0.45">
      <c r="A74" s="243" t="s">
        <v>1412</v>
      </c>
      <c r="B74" s="243" t="s">
        <v>1412</v>
      </c>
      <c r="C74" s="244">
        <f t="shared" si="2"/>
        <v>1</v>
      </c>
      <c r="D74" s="244">
        <f t="shared" si="3"/>
        <v>8</v>
      </c>
      <c r="E74" s="244" t="str">
        <f t="shared" si="4"/>
        <v/>
      </c>
      <c r="G74" s="248" t="str">
        <f t="shared" si="5"/>
        <v>&lt;ct141/&gt;</v>
      </c>
      <c r="H74" s="251"/>
      <c r="I74" s="246" t="str">
        <f t="shared" si="6"/>
        <v/>
      </c>
      <c r="J74" s="245"/>
      <c r="K74" s="245"/>
      <c r="L74" s="245"/>
      <c r="M74" s="247"/>
    </row>
    <row r="75" spans="1:13" x14ac:dyDescent="0.45">
      <c r="A75" s="243" t="s">
        <v>1413</v>
      </c>
      <c r="B75" s="243" t="s">
        <v>1413</v>
      </c>
      <c r="C75" s="244">
        <f t="shared" si="2"/>
        <v>1</v>
      </c>
      <c r="D75" s="244">
        <f t="shared" si="3"/>
        <v>8</v>
      </c>
      <c r="E75" s="244" t="str">
        <f t="shared" si="4"/>
        <v/>
      </c>
      <c r="G75" s="248" t="str">
        <f t="shared" si="5"/>
        <v>&lt;ct142/&gt;</v>
      </c>
      <c r="H75" s="251"/>
      <c r="I75" s="246" t="str">
        <f t="shared" si="6"/>
        <v/>
      </c>
      <c r="J75" s="245"/>
      <c r="K75" s="245"/>
      <c r="L75" s="245"/>
      <c r="M75" s="247"/>
    </row>
    <row r="76" spans="1:13" x14ac:dyDescent="0.45">
      <c r="A76" s="243" t="s">
        <v>1414</v>
      </c>
      <c r="B76" s="243" t="s">
        <v>1414</v>
      </c>
      <c r="C76" s="244">
        <f t="shared" si="2"/>
        <v>1</v>
      </c>
      <c r="D76" s="244">
        <f t="shared" si="3"/>
        <v>8</v>
      </c>
      <c r="E76" s="244" t="str">
        <f t="shared" si="4"/>
        <v/>
      </c>
      <c r="G76" s="248" t="str">
        <f t="shared" si="5"/>
        <v>&lt;ct150/&gt;</v>
      </c>
      <c r="H76" s="251"/>
      <c r="I76" s="246" t="str">
        <f t="shared" si="6"/>
        <v/>
      </c>
      <c r="J76" s="245"/>
      <c r="K76" s="245"/>
      <c r="L76" s="245"/>
      <c r="M76" s="247"/>
    </row>
    <row r="77" spans="1:13" x14ac:dyDescent="0.45">
      <c r="A77" s="243" t="s">
        <v>1415</v>
      </c>
      <c r="B77" s="243" t="s">
        <v>1415</v>
      </c>
      <c r="C77" s="244">
        <f t="shared" si="2"/>
        <v>1</v>
      </c>
      <c r="D77" s="244">
        <f t="shared" si="3"/>
        <v>8</v>
      </c>
      <c r="E77" s="244" t="str">
        <f t="shared" si="4"/>
        <v/>
      </c>
      <c r="G77" s="248" t="str">
        <f t="shared" si="5"/>
        <v>&lt;ct151/&gt;</v>
      </c>
      <c r="H77" s="251"/>
      <c r="I77" s="246" t="str">
        <f t="shared" si="6"/>
        <v/>
      </c>
      <c r="J77" s="245"/>
      <c r="K77" s="245"/>
      <c r="L77" s="245"/>
      <c r="M77" s="247"/>
    </row>
    <row r="78" spans="1:13" x14ac:dyDescent="0.45">
      <c r="A78" s="243" t="s">
        <v>1416</v>
      </c>
      <c r="B78" s="243" t="s">
        <v>1416</v>
      </c>
      <c r="C78" s="244">
        <f t="shared" si="2"/>
        <v>1</v>
      </c>
      <c r="D78" s="244">
        <f t="shared" si="3"/>
        <v>8</v>
      </c>
      <c r="E78" s="244" t="str">
        <f t="shared" si="4"/>
        <v/>
      </c>
      <c r="G78" s="248" t="str">
        <f t="shared" si="5"/>
        <v>&lt;ct152/&gt;</v>
      </c>
      <c r="H78" s="251"/>
      <c r="I78" s="246" t="str">
        <f t="shared" si="6"/>
        <v/>
      </c>
      <c r="J78" s="245"/>
      <c r="K78" s="245"/>
      <c r="L78" s="245"/>
      <c r="M78" s="247"/>
    </row>
    <row r="79" spans="1:13" x14ac:dyDescent="0.45">
      <c r="A79" s="243" t="s">
        <v>1417</v>
      </c>
      <c r="B79" s="243" t="s">
        <v>1417</v>
      </c>
      <c r="C79" s="244">
        <f t="shared" si="2"/>
        <v>1</v>
      </c>
      <c r="D79" s="244">
        <f t="shared" si="3"/>
        <v>8</v>
      </c>
      <c r="E79" s="244" t="str">
        <f t="shared" si="4"/>
        <v/>
      </c>
      <c r="G79" s="248" t="str">
        <f t="shared" si="5"/>
        <v>&lt;ct160/&gt;</v>
      </c>
      <c r="H79" s="251"/>
      <c r="I79" s="246" t="str">
        <f t="shared" si="6"/>
        <v/>
      </c>
      <c r="J79" s="245"/>
      <c r="K79" s="245"/>
      <c r="L79" s="245"/>
      <c r="M79" s="247"/>
    </row>
    <row r="80" spans="1:13" x14ac:dyDescent="0.45">
      <c r="A80" s="243" t="s">
        <v>1418</v>
      </c>
      <c r="B80" s="243" t="s">
        <v>1418</v>
      </c>
      <c r="C80" s="244">
        <f t="shared" si="2"/>
        <v>1</v>
      </c>
      <c r="D80" s="244">
        <f t="shared" si="3"/>
        <v>8</v>
      </c>
      <c r="E80" s="244" t="str">
        <f t="shared" si="4"/>
        <v/>
      </c>
      <c r="G80" s="248" t="str">
        <f t="shared" si="5"/>
        <v>&lt;ct161/&gt;</v>
      </c>
      <c r="H80" s="251"/>
      <c r="I80" s="246" t="str">
        <f t="shared" si="6"/>
        <v/>
      </c>
      <c r="J80" s="245"/>
      <c r="K80" s="245"/>
      <c r="L80" s="245"/>
      <c r="M80" s="247"/>
    </row>
    <row r="81" spans="1:13" x14ac:dyDescent="0.45">
      <c r="A81" s="243" t="s">
        <v>1419</v>
      </c>
      <c r="B81" s="243" t="s">
        <v>1419</v>
      </c>
      <c r="C81" s="244">
        <f t="shared" si="2"/>
        <v>1</v>
      </c>
      <c r="D81" s="244">
        <f t="shared" si="3"/>
        <v>8</v>
      </c>
      <c r="E81" s="244" t="str">
        <f t="shared" si="4"/>
        <v/>
      </c>
      <c r="G81" s="248" t="str">
        <f t="shared" si="5"/>
        <v>&lt;ct162/&gt;</v>
      </c>
      <c r="H81" s="251"/>
      <c r="I81" s="246" t="str">
        <f t="shared" si="6"/>
        <v/>
      </c>
      <c r="J81" s="245"/>
      <c r="K81" s="245"/>
      <c r="L81" s="245"/>
      <c r="M81" s="247"/>
    </row>
    <row r="82" spans="1:13" x14ac:dyDescent="0.45">
      <c r="A82" s="243" t="s">
        <v>1420</v>
      </c>
      <c r="B82" s="243" t="s">
        <v>1420</v>
      </c>
      <c r="C82" s="244">
        <f t="shared" si="2"/>
        <v>1</v>
      </c>
      <c r="D82" s="244">
        <f t="shared" si="3"/>
        <v>8</v>
      </c>
      <c r="E82" s="244" t="str">
        <f t="shared" si="4"/>
        <v/>
      </c>
      <c r="G82" s="248" t="str">
        <f t="shared" si="5"/>
        <v>&lt;ct170/&gt;</v>
      </c>
      <c r="H82" s="251"/>
      <c r="I82" s="246" t="str">
        <f t="shared" si="6"/>
        <v/>
      </c>
      <c r="J82" s="245"/>
      <c r="K82" s="245"/>
      <c r="L82" s="245"/>
      <c r="M82" s="247"/>
    </row>
    <row r="83" spans="1:13" x14ac:dyDescent="0.45">
      <c r="A83" s="243" t="s">
        <v>1421</v>
      </c>
      <c r="B83" s="243" t="s">
        <v>1421</v>
      </c>
      <c r="C83" s="244">
        <f t="shared" si="2"/>
        <v>1</v>
      </c>
      <c r="D83" s="244">
        <f t="shared" si="3"/>
        <v>8</v>
      </c>
      <c r="E83" s="244" t="str">
        <f t="shared" si="4"/>
        <v/>
      </c>
      <c r="G83" s="248" t="str">
        <f t="shared" si="5"/>
        <v>&lt;ct180/&gt;</v>
      </c>
      <c r="H83" s="251"/>
      <c r="I83" s="246" t="str">
        <f t="shared" si="6"/>
        <v/>
      </c>
      <c r="J83" s="245"/>
      <c r="K83" s="245"/>
      <c r="L83" s="245"/>
      <c r="M83" s="247"/>
    </row>
    <row r="84" spans="1:13" x14ac:dyDescent="0.45">
      <c r="A84" s="243" t="s">
        <v>1422</v>
      </c>
      <c r="B84" s="243" t="s">
        <v>1422</v>
      </c>
      <c r="C84" s="244">
        <f t="shared" si="2"/>
        <v>1</v>
      </c>
      <c r="D84" s="244">
        <f t="shared" si="3"/>
        <v>8</v>
      </c>
      <c r="E84" s="244" t="str">
        <f t="shared" si="4"/>
        <v/>
      </c>
      <c r="G84" s="248" t="str">
        <f t="shared" si="5"/>
        <v>&lt;ct181/&gt;</v>
      </c>
      <c r="H84" s="251"/>
      <c r="I84" s="246" t="str">
        <f t="shared" si="6"/>
        <v/>
      </c>
      <c r="J84" s="245"/>
      <c r="K84" s="245"/>
      <c r="L84" s="245"/>
      <c r="M84" s="247"/>
    </row>
    <row r="85" spans="1:13" x14ac:dyDescent="0.45">
      <c r="A85" s="243" t="s">
        <v>1423</v>
      </c>
      <c r="B85" s="243" t="s">
        <v>1423</v>
      </c>
      <c r="C85" s="244">
        <f t="shared" si="2"/>
        <v>1</v>
      </c>
      <c r="D85" s="244">
        <f t="shared" si="3"/>
        <v>8</v>
      </c>
      <c r="E85" s="244" t="str">
        <f t="shared" si="4"/>
        <v/>
      </c>
      <c r="G85" s="248" t="str">
        <f t="shared" si="5"/>
        <v>&lt;ct182/&gt;</v>
      </c>
      <c r="H85" s="251"/>
      <c r="I85" s="246" t="str">
        <f t="shared" si="6"/>
        <v/>
      </c>
      <c r="J85" s="245"/>
      <c r="K85" s="245"/>
      <c r="L85" s="245"/>
      <c r="M85" s="247"/>
    </row>
    <row r="86" spans="1:13" x14ac:dyDescent="0.45">
      <c r="A86" s="243" t="s">
        <v>1424</v>
      </c>
      <c r="B86" s="243" t="s">
        <v>1424</v>
      </c>
      <c r="C86" s="244">
        <f t="shared" si="2"/>
        <v>1</v>
      </c>
      <c r="D86" s="244">
        <f t="shared" si="3"/>
        <v>8</v>
      </c>
      <c r="E86" s="244" t="str">
        <f t="shared" si="4"/>
        <v/>
      </c>
      <c r="G86" s="248" t="str">
        <f t="shared" si="5"/>
        <v>&lt;ct200/&gt;</v>
      </c>
      <c r="H86" s="251"/>
      <c r="I86" s="246" t="str">
        <f t="shared" si="6"/>
        <v/>
      </c>
      <c r="J86" s="245"/>
      <c r="K86" s="245"/>
      <c r="L86" s="245"/>
      <c r="M86" s="247"/>
    </row>
    <row r="87" spans="1:13" x14ac:dyDescent="0.45">
      <c r="A87" s="243" t="s">
        <v>1425</v>
      </c>
      <c r="B87" s="243" t="s">
        <v>1425</v>
      </c>
      <c r="C87" s="244">
        <f t="shared" si="2"/>
        <v>1</v>
      </c>
      <c r="D87" s="244">
        <f t="shared" si="3"/>
        <v>8</v>
      </c>
      <c r="E87" s="244" t="str">
        <f t="shared" si="4"/>
        <v/>
      </c>
      <c r="G87" s="248" t="str">
        <f t="shared" si="5"/>
        <v>&lt;ct300/&gt;</v>
      </c>
      <c r="H87" s="251"/>
      <c r="I87" s="246" t="str">
        <f t="shared" si="6"/>
        <v/>
      </c>
      <c r="J87" s="245"/>
      <c r="K87" s="245"/>
      <c r="L87" s="245"/>
      <c r="M87" s="247"/>
    </row>
    <row r="88" spans="1:13" x14ac:dyDescent="0.45">
      <c r="A88" s="243" t="s">
        <v>1426</v>
      </c>
      <c r="B88" s="243" t="s">
        <v>1426</v>
      </c>
      <c r="C88" s="244">
        <f t="shared" ref="C88:C151" si="7">LEN(B88)-LEN(SUBSTITUTE(B88,"&lt;",""))</f>
        <v>1</v>
      </c>
      <c r="D88" s="244">
        <f t="shared" ref="D88:D151" si="8">SEARCH("&gt;",B88)</f>
        <v>8</v>
      </c>
      <c r="E88" s="244" t="str">
        <f t="shared" ref="E88:E151" si="9">IFERROR(SEARCH("&lt;/",B88),"")</f>
        <v/>
      </c>
      <c r="G88" s="248" t="str">
        <f t="shared" ref="G88:G151" si="10">LEFT(B88,D88)</f>
        <v>&lt;ct311/&gt;</v>
      </c>
      <c r="H88" s="251"/>
      <c r="I88" s="246" t="str">
        <f t="shared" ref="I88:I151" si="11">IF(C88=2,RIGHT(B88,LEN(B88)-E88+1),"")</f>
        <v/>
      </c>
      <c r="J88" s="245"/>
      <c r="K88" s="245"/>
      <c r="L88" s="245"/>
      <c r="M88" s="247"/>
    </row>
    <row r="89" spans="1:13" x14ac:dyDescent="0.45">
      <c r="A89" s="243" t="s">
        <v>1427</v>
      </c>
      <c r="B89" s="243" t="s">
        <v>1427</v>
      </c>
      <c r="C89" s="244">
        <f t="shared" si="7"/>
        <v>1</v>
      </c>
      <c r="D89" s="244">
        <f t="shared" si="8"/>
        <v>8</v>
      </c>
      <c r="E89" s="244" t="str">
        <f t="shared" si="9"/>
        <v/>
      </c>
      <c r="G89" s="248" t="str">
        <f t="shared" si="10"/>
        <v>&lt;ct312/&gt;</v>
      </c>
      <c r="H89" s="251"/>
      <c r="I89" s="246" t="str">
        <f t="shared" si="11"/>
        <v/>
      </c>
      <c r="J89" s="245"/>
      <c r="K89" s="245"/>
      <c r="L89" s="245"/>
      <c r="M89" s="247"/>
    </row>
    <row r="90" spans="1:13" x14ac:dyDescent="0.45">
      <c r="A90" s="243" t="s">
        <v>1428</v>
      </c>
      <c r="B90" s="243" t="s">
        <v>1428</v>
      </c>
      <c r="C90" s="244">
        <f t="shared" si="7"/>
        <v>1</v>
      </c>
      <c r="D90" s="244">
        <f t="shared" si="8"/>
        <v>8</v>
      </c>
      <c r="E90" s="244" t="str">
        <f t="shared" si="9"/>
        <v/>
      </c>
      <c r="G90" s="248" t="str">
        <f t="shared" si="10"/>
        <v>&lt;ct313/&gt;</v>
      </c>
      <c r="H90" s="251"/>
      <c r="I90" s="246" t="str">
        <f t="shared" si="11"/>
        <v/>
      </c>
      <c r="J90" s="245"/>
      <c r="K90" s="245"/>
      <c r="L90" s="245"/>
      <c r="M90" s="247"/>
    </row>
    <row r="91" spans="1:13" x14ac:dyDescent="0.45">
      <c r="A91" s="243" t="s">
        <v>1429</v>
      </c>
      <c r="B91" s="243" t="s">
        <v>1429</v>
      </c>
      <c r="C91" s="244">
        <f t="shared" si="7"/>
        <v>1</v>
      </c>
      <c r="D91" s="244">
        <f t="shared" si="8"/>
        <v>8</v>
      </c>
      <c r="E91" s="244" t="str">
        <f t="shared" si="9"/>
        <v/>
      </c>
      <c r="G91" s="248" t="str">
        <f t="shared" si="10"/>
        <v>&lt;ct314/&gt;</v>
      </c>
      <c r="H91" s="251"/>
      <c r="I91" s="246" t="str">
        <f t="shared" si="11"/>
        <v/>
      </c>
      <c r="J91" s="245"/>
      <c r="K91" s="245"/>
      <c r="L91" s="245"/>
      <c r="M91" s="247"/>
    </row>
    <row r="92" spans="1:13" x14ac:dyDescent="0.45">
      <c r="A92" s="243" t="s">
        <v>1430</v>
      </c>
      <c r="B92" s="243" t="s">
        <v>1430</v>
      </c>
      <c r="C92" s="244">
        <f t="shared" si="7"/>
        <v>1</v>
      </c>
      <c r="D92" s="244">
        <f t="shared" si="8"/>
        <v>8</v>
      </c>
      <c r="E92" s="244" t="str">
        <f t="shared" si="9"/>
        <v/>
      </c>
      <c r="G92" s="248" t="str">
        <f t="shared" si="10"/>
        <v>&lt;ct315/&gt;</v>
      </c>
      <c r="H92" s="251"/>
      <c r="I92" s="246" t="str">
        <f t="shared" si="11"/>
        <v/>
      </c>
      <c r="J92" s="245"/>
      <c r="K92" s="245"/>
      <c r="L92" s="245"/>
      <c r="M92" s="247"/>
    </row>
    <row r="93" spans="1:13" x14ac:dyDescent="0.45">
      <c r="A93" s="243" t="s">
        <v>1431</v>
      </c>
      <c r="B93" s="243" t="s">
        <v>1431</v>
      </c>
      <c r="C93" s="244">
        <f t="shared" si="7"/>
        <v>1</v>
      </c>
      <c r="D93" s="244">
        <f t="shared" si="8"/>
        <v>8</v>
      </c>
      <c r="E93" s="244" t="str">
        <f t="shared" si="9"/>
        <v/>
      </c>
      <c r="G93" s="248" t="str">
        <f t="shared" si="10"/>
        <v>&lt;ct316/&gt;</v>
      </c>
      <c r="H93" s="251"/>
      <c r="I93" s="246" t="str">
        <f t="shared" si="11"/>
        <v/>
      </c>
      <c r="J93" s="245"/>
      <c r="K93" s="245"/>
      <c r="L93" s="245"/>
      <c r="M93" s="247"/>
    </row>
    <row r="94" spans="1:13" x14ac:dyDescent="0.45">
      <c r="A94" s="243" t="s">
        <v>1432</v>
      </c>
      <c r="B94" s="243" t="s">
        <v>1432</v>
      </c>
      <c r="C94" s="244">
        <f t="shared" si="7"/>
        <v>1</v>
      </c>
      <c r="D94" s="244">
        <f t="shared" si="8"/>
        <v>8</v>
      </c>
      <c r="E94" s="244" t="str">
        <f t="shared" si="9"/>
        <v/>
      </c>
      <c r="G94" s="248" t="str">
        <f t="shared" si="10"/>
        <v>&lt;ct317/&gt;</v>
      </c>
      <c r="H94" s="251"/>
      <c r="I94" s="246" t="str">
        <f t="shared" si="11"/>
        <v/>
      </c>
      <c r="J94" s="245"/>
      <c r="K94" s="245"/>
      <c r="L94" s="245"/>
      <c r="M94" s="247"/>
    </row>
    <row r="95" spans="1:13" x14ac:dyDescent="0.45">
      <c r="A95" s="243" t="s">
        <v>1433</v>
      </c>
      <c r="B95" s="243" t="s">
        <v>1433</v>
      </c>
      <c r="C95" s="244">
        <f t="shared" si="7"/>
        <v>1</v>
      </c>
      <c r="D95" s="244">
        <f t="shared" si="8"/>
        <v>8</v>
      </c>
      <c r="E95" s="244" t="str">
        <f t="shared" si="9"/>
        <v/>
      </c>
      <c r="G95" s="248" t="str">
        <f t="shared" si="10"/>
        <v>&lt;ct318/&gt;</v>
      </c>
      <c r="H95" s="251"/>
      <c r="I95" s="246" t="str">
        <f t="shared" si="11"/>
        <v/>
      </c>
      <c r="J95" s="245"/>
      <c r="K95" s="245"/>
      <c r="L95" s="245"/>
      <c r="M95" s="247"/>
    </row>
    <row r="96" spans="1:13" x14ac:dyDescent="0.45">
      <c r="A96" s="243" t="s">
        <v>1434</v>
      </c>
      <c r="B96" s="243" t="s">
        <v>1434</v>
      </c>
      <c r="C96" s="244">
        <f t="shared" si="7"/>
        <v>1</v>
      </c>
      <c r="D96" s="244">
        <f t="shared" si="8"/>
        <v>8</v>
      </c>
      <c r="E96" s="244" t="str">
        <f t="shared" si="9"/>
        <v/>
      </c>
      <c r="G96" s="248" t="str">
        <f t="shared" si="10"/>
        <v>&lt;ct319/&gt;</v>
      </c>
      <c r="H96" s="251"/>
      <c r="I96" s="246" t="str">
        <f t="shared" si="11"/>
        <v/>
      </c>
      <c r="J96" s="245"/>
      <c r="K96" s="245"/>
      <c r="L96" s="245"/>
      <c r="M96" s="247"/>
    </row>
    <row r="97" spans="1:14" x14ac:dyDescent="0.45">
      <c r="A97" s="243" t="s">
        <v>1435</v>
      </c>
      <c r="B97" s="243" t="s">
        <v>1435</v>
      </c>
      <c r="C97" s="244">
        <f t="shared" si="7"/>
        <v>1</v>
      </c>
      <c r="D97" s="244">
        <f t="shared" si="8"/>
        <v>8</v>
      </c>
      <c r="E97" s="244" t="str">
        <f t="shared" si="9"/>
        <v/>
      </c>
      <c r="G97" s="248" t="str">
        <f t="shared" si="10"/>
        <v>&lt;ct320/&gt;</v>
      </c>
      <c r="H97" s="251"/>
      <c r="I97" s="246" t="str">
        <f t="shared" si="11"/>
        <v/>
      </c>
      <c r="J97" s="245"/>
      <c r="K97" s="245"/>
      <c r="L97" s="245"/>
      <c r="M97" s="247"/>
    </row>
    <row r="98" spans="1:14" x14ac:dyDescent="0.45">
      <c r="A98" s="243" t="s">
        <v>1436</v>
      </c>
      <c r="B98" s="243" t="s">
        <v>1436</v>
      </c>
      <c r="C98" s="244">
        <f t="shared" si="7"/>
        <v>1</v>
      </c>
      <c r="D98" s="244">
        <f t="shared" si="8"/>
        <v>8</v>
      </c>
      <c r="E98" s="244" t="str">
        <f t="shared" si="9"/>
        <v/>
      </c>
      <c r="G98" s="248" t="str">
        <f t="shared" si="10"/>
        <v>&lt;ct400/&gt;</v>
      </c>
      <c r="H98" s="251"/>
      <c r="I98" s="246" t="str">
        <f t="shared" si="11"/>
        <v/>
      </c>
      <c r="J98" s="245"/>
      <c r="K98" s="245"/>
      <c r="L98" s="245"/>
      <c r="M98" s="247"/>
    </row>
    <row r="99" spans="1:14" x14ac:dyDescent="0.45">
      <c r="A99" s="243" t="s">
        <v>1437</v>
      </c>
      <c r="B99" s="243" t="s">
        <v>1437</v>
      </c>
      <c r="C99" s="244">
        <f t="shared" si="7"/>
        <v>1</v>
      </c>
      <c r="D99" s="244">
        <f t="shared" si="8"/>
        <v>8</v>
      </c>
      <c r="E99" s="244" t="str">
        <f t="shared" si="9"/>
        <v/>
      </c>
      <c r="G99" s="248" t="str">
        <f t="shared" si="10"/>
        <v>&lt;ct411/&gt;</v>
      </c>
      <c r="H99" s="251"/>
      <c r="I99" s="246" t="str">
        <f t="shared" si="11"/>
        <v/>
      </c>
      <c r="J99" s="245"/>
      <c r="K99" s="245"/>
      <c r="L99" s="245"/>
      <c r="M99" s="247"/>
    </row>
    <row r="100" spans="1:14" x14ac:dyDescent="0.45">
      <c r="A100" s="243" t="s">
        <v>1438</v>
      </c>
      <c r="B100" s="243" t="s">
        <v>1438</v>
      </c>
      <c r="C100" s="244">
        <f t="shared" si="7"/>
        <v>1</v>
      </c>
      <c r="D100" s="244">
        <f t="shared" si="8"/>
        <v>8</v>
      </c>
      <c r="E100" s="244" t="str">
        <f t="shared" si="9"/>
        <v/>
      </c>
      <c r="G100" s="248" t="str">
        <f t="shared" si="10"/>
        <v>&lt;ct412/&gt;</v>
      </c>
      <c r="H100" s="251"/>
      <c r="I100" s="246" t="str">
        <f t="shared" si="11"/>
        <v/>
      </c>
      <c r="J100" s="245"/>
      <c r="K100" s="245"/>
      <c r="L100" s="245"/>
      <c r="M100" s="247"/>
    </row>
    <row r="101" spans="1:14" x14ac:dyDescent="0.45">
      <c r="A101" s="243" t="s">
        <v>1439</v>
      </c>
      <c r="B101" s="243" t="s">
        <v>1439</v>
      </c>
      <c r="C101" s="244">
        <f t="shared" si="7"/>
        <v>1</v>
      </c>
      <c r="D101" s="244">
        <f t="shared" si="8"/>
        <v>8</v>
      </c>
      <c r="E101" s="244" t="str">
        <f t="shared" si="9"/>
        <v/>
      </c>
      <c r="G101" s="248" t="str">
        <f t="shared" si="10"/>
        <v>&lt;ct413/&gt;</v>
      </c>
      <c r="H101" s="251"/>
      <c r="I101" s="246" t="str">
        <f t="shared" si="11"/>
        <v/>
      </c>
      <c r="J101" s="245"/>
      <c r="K101" s="245"/>
      <c r="L101" s="245"/>
      <c r="M101" s="247"/>
    </row>
    <row r="102" spans="1:14" x14ac:dyDescent="0.45">
      <c r="A102" s="243" t="s">
        <v>1440</v>
      </c>
      <c r="B102" s="243" t="s">
        <v>1440</v>
      </c>
      <c r="C102" s="244">
        <f t="shared" si="7"/>
        <v>1</v>
      </c>
      <c r="D102" s="244">
        <f t="shared" si="8"/>
        <v>8</v>
      </c>
      <c r="E102" s="244" t="str">
        <f t="shared" si="9"/>
        <v/>
      </c>
      <c r="G102" s="248" t="str">
        <f t="shared" si="10"/>
        <v>&lt;ct414/&gt;</v>
      </c>
      <c r="H102" s="251"/>
      <c r="I102" s="246" t="str">
        <f t="shared" si="11"/>
        <v/>
      </c>
      <c r="J102" s="245"/>
      <c r="K102" s="245"/>
      <c r="L102" s="245"/>
      <c r="M102" s="247"/>
    </row>
    <row r="103" spans="1:14" x14ac:dyDescent="0.45">
      <c r="A103" s="243" t="s">
        <v>1441</v>
      </c>
      <c r="B103" s="243" t="s">
        <v>1441</v>
      </c>
      <c r="C103" s="244">
        <f t="shared" si="7"/>
        <v>1</v>
      </c>
      <c r="D103" s="244">
        <f t="shared" si="8"/>
        <v>8</v>
      </c>
      <c r="E103" s="244" t="str">
        <f t="shared" si="9"/>
        <v/>
      </c>
      <c r="G103" s="248" t="str">
        <f t="shared" si="10"/>
        <v>&lt;ct415/&gt;</v>
      </c>
      <c r="H103" s="251"/>
      <c r="I103" s="246" t="str">
        <f t="shared" si="11"/>
        <v/>
      </c>
      <c r="J103" s="245"/>
      <c r="K103" s="245"/>
      <c r="L103" s="245"/>
      <c r="M103" s="247"/>
    </row>
    <row r="104" spans="1:14" x14ac:dyDescent="0.45">
      <c r="A104" s="243" t="s">
        <v>1442</v>
      </c>
      <c r="B104" s="243" t="s">
        <v>1442</v>
      </c>
      <c r="C104" s="244">
        <f t="shared" si="7"/>
        <v>1</v>
      </c>
      <c r="D104" s="244">
        <f t="shared" si="8"/>
        <v>8</v>
      </c>
      <c r="E104" s="244" t="str">
        <f t="shared" si="9"/>
        <v/>
      </c>
      <c r="G104" s="248" t="str">
        <f t="shared" si="10"/>
        <v>&lt;ct416/&gt;</v>
      </c>
      <c r="H104" s="251"/>
      <c r="I104" s="246" t="str">
        <f t="shared" si="11"/>
        <v/>
      </c>
      <c r="J104" s="245"/>
      <c r="K104" s="245"/>
      <c r="L104" s="245"/>
      <c r="M104" s="247"/>
    </row>
    <row r="105" spans="1:14" x14ac:dyDescent="0.45">
      <c r="A105" s="243" t="s">
        <v>1443</v>
      </c>
      <c r="B105" s="243" t="s">
        <v>1443</v>
      </c>
      <c r="C105" s="244">
        <f t="shared" si="7"/>
        <v>1</v>
      </c>
      <c r="D105" s="244">
        <f t="shared" si="8"/>
        <v>8</v>
      </c>
      <c r="E105" s="244" t="str">
        <f t="shared" si="9"/>
        <v/>
      </c>
      <c r="G105" s="248" t="str">
        <f t="shared" si="10"/>
        <v>&lt;ct417/&gt;</v>
      </c>
      <c r="H105" s="251"/>
      <c r="I105" s="246" t="str">
        <f t="shared" si="11"/>
        <v/>
      </c>
      <c r="J105" s="245"/>
      <c r="K105" s="245"/>
      <c r="L105" s="245"/>
      <c r="M105" s="247"/>
    </row>
    <row r="106" spans="1:14" x14ac:dyDescent="0.45">
      <c r="A106" s="243" t="s">
        <v>1444</v>
      </c>
      <c r="B106" s="243" t="s">
        <v>1444</v>
      </c>
      <c r="C106" s="244">
        <f t="shared" si="7"/>
        <v>1</v>
      </c>
      <c r="D106" s="244">
        <f t="shared" si="8"/>
        <v>8</v>
      </c>
      <c r="E106" s="244" t="str">
        <f t="shared" si="9"/>
        <v/>
      </c>
      <c r="G106" s="248" t="str">
        <f t="shared" si="10"/>
        <v>&lt;ct500/&gt;</v>
      </c>
      <c r="H106" s="251"/>
      <c r="I106" s="246" t="str">
        <f t="shared" si="11"/>
        <v/>
      </c>
      <c r="J106" s="245"/>
      <c r="K106" s="245"/>
      <c r="L106" s="245"/>
      <c r="M106" s="247"/>
    </row>
    <row r="107" spans="1:14" x14ac:dyDescent="0.45">
      <c r="A107" s="243" t="s">
        <v>1445</v>
      </c>
      <c r="B107" s="243" t="s">
        <v>1445</v>
      </c>
      <c r="C107" s="244">
        <f t="shared" si="7"/>
        <v>1</v>
      </c>
      <c r="D107" s="244">
        <f t="shared" si="8"/>
        <v>13</v>
      </c>
      <c r="E107" s="244">
        <f t="shared" si="9"/>
        <v>1</v>
      </c>
      <c r="G107" s="248" t="str">
        <f t="shared" si="10"/>
        <v>&lt;/ThuyetMinh&gt;</v>
      </c>
      <c r="H107" s="251"/>
      <c r="I107" s="246" t="str">
        <f t="shared" si="11"/>
        <v/>
      </c>
      <c r="J107" s="245"/>
      <c r="K107" s="245"/>
      <c r="L107" s="245"/>
      <c r="M107" s="247"/>
    </row>
    <row r="108" spans="1:14" x14ac:dyDescent="0.45">
      <c r="A108" s="253" t="str">
        <f>CONCATENATE(G108,H108,I108)</f>
        <v>&lt;SoCuoiNam&gt;</v>
      </c>
      <c r="B108" s="243" t="s">
        <v>1458</v>
      </c>
      <c r="C108" s="244">
        <f t="shared" si="7"/>
        <v>1</v>
      </c>
      <c r="D108" s="244">
        <f t="shared" si="8"/>
        <v>11</v>
      </c>
      <c r="E108" s="244" t="str">
        <f t="shared" si="9"/>
        <v/>
      </c>
      <c r="G108" s="248" t="str">
        <f t="shared" si="10"/>
        <v>&lt;SoCuoiNam&gt;</v>
      </c>
      <c r="H108" s="251"/>
      <c r="I108" s="246" t="str">
        <f t="shared" si="11"/>
        <v/>
      </c>
      <c r="J108" s="245"/>
      <c r="K108" s="245"/>
      <c r="L108" s="245"/>
      <c r="M108" s="247"/>
    </row>
    <row r="109" spans="1:14" x14ac:dyDescent="0.45">
      <c r="A109" s="253" t="str">
        <f t="shared" ref="A109:A172" ca="1" si="12">CONCATENATE(G109,H109,I109)</f>
        <v>&lt;ct110&gt;297268550&lt;/ct110&gt;</v>
      </c>
      <c r="B109" s="243" t="s">
        <v>1459</v>
      </c>
      <c r="C109" s="244">
        <f t="shared" si="7"/>
        <v>2</v>
      </c>
      <c r="D109" s="244">
        <f t="shared" si="8"/>
        <v>7</v>
      </c>
      <c r="E109" s="244">
        <f t="shared" si="9"/>
        <v>17</v>
      </c>
      <c r="G109" s="248" t="str">
        <f t="shared" si="10"/>
        <v>&lt;ct110&gt;</v>
      </c>
      <c r="H109" s="251">
        <f ca="1">VLOOKUP(N109,BaoCaoTHTC!$C$7:$F$700,3,0)</f>
        <v>297268550</v>
      </c>
      <c r="I109" s="246" t="str">
        <f t="shared" si="11"/>
        <v>&lt;/ct110&gt;</v>
      </c>
      <c r="J109" s="245"/>
      <c r="K109" s="245"/>
      <c r="L109" s="245"/>
      <c r="M109" s="247"/>
      <c r="N109">
        <v>110</v>
      </c>
    </row>
    <row r="110" spans="1:14" x14ac:dyDescent="0.45">
      <c r="A110" s="253" t="str">
        <f t="shared" ca="1" si="12"/>
        <v>&lt;ct120&gt;0&lt;/ct120&gt;</v>
      </c>
      <c r="B110" s="243" t="s">
        <v>1460</v>
      </c>
      <c r="C110" s="244">
        <f t="shared" si="7"/>
        <v>2</v>
      </c>
      <c r="D110" s="244">
        <f t="shared" si="8"/>
        <v>7</v>
      </c>
      <c r="E110" s="244">
        <f t="shared" si="9"/>
        <v>9</v>
      </c>
      <c r="G110" s="248" t="str">
        <f t="shared" si="10"/>
        <v>&lt;ct120&gt;</v>
      </c>
      <c r="H110" s="251">
        <f ca="1">VLOOKUP(N110,BaoCaoTHTC!$C$7:$F$700,3,0)</f>
        <v>0</v>
      </c>
      <c r="I110" s="246" t="str">
        <f t="shared" si="11"/>
        <v>&lt;/ct120&gt;</v>
      </c>
      <c r="J110" s="245"/>
      <c r="K110" s="245"/>
      <c r="L110" s="245"/>
      <c r="M110" s="247"/>
      <c r="N110">
        <v>120</v>
      </c>
    </row>
    <row r="111" spans="1:14" x14ac:dyDescent="0.45">
      <c r="A111" s="253" t="str">
        <f t="shared" ca="1" si="12"/>
        <v>&lt;ct121&gt;0&lt;/ct121&gt;</v>
      </c>
      <c r="B111" s="243" t="s">
        <v>1461</v>
      </c>
      <c r="C111" s="244">
        <f t="shared" si="7"/>
        <v>2</v>
      </c>
      <c r="D111" s="244">
        <f t="shared" si="8"/>
        <v>7</v>
      </c>
      <c r="E111" s="244">
        <f t="shared" si="9"/>
        <v>9</v>
      </c>
      <c r="G111" s="248" t="str">
        <f t="shared" si="10"/>
        <v>&lt;ct121&gt;</v>
      </c>
      <c r="H111" s="251">
        <f ca="1">VLOOKUP(N111,BaoCaoTHTC!$C$7:$F$700,3,0)</f>
        <v>0</v>
      </c>
      <c r="I111" s="246" t="str">
        <f t="shared" si="11"/>
        <v>&lt;/ct121&gt;</v>
      </c>
      <c r="J111" s="245"/>
      <c r="K111" s="245"/>
      <c r="L111" s="245"/>
      <c r="M111" s="247"/>
      <c r="N111">
        <v>121</v>
      </c>
    </row>
    <row r="112" spans="1:14" x14ac:dyDescent="0.45">
      <c r="A112" s="253" t="str">
        <f t="shared" ca="1" si="12"/>
        <v>&lt;ct122&gt;0&lt;/ct122&gt;</v>
      </c>
      <c r="B112" s="243" t="s">
        <v>1462</v>
      </c>
      <c r="C112" s="244">
        <f t="shared" si="7"/>
        <v>2</v>
      </c>
      <c r="D112" s="244">
        <f t="shared" si="8"/>
        <v>7</v>
      </c>
      <c r="E112" s="244">
        <f t="shared" si="9"/>
        <v>9</v>
      </c>
      <c r="G112" s="248" t="str">
        <f t="shared" si="10"/>
        <v>&lt;ct122&gt;</v>
      </c>
      <c r="H112" s="251">
        <f ca="1">VLOOKUP(N112,BaoCaoTHTC!$C$7:$F$700,3,0)</f>
        <v>0</v>
      </c>
      <c r="I112" s="246" t="str">
        <f t="shared" si="11"/>
        <v>&lt;/ct122&gt;</v>
      </c>
      <c r="J112" s="245"/>
      <c r="K112" s="245"/>
      <c r="L112" s="245"/>
      <c r="M112" s="247"/>
      <c r="N112">
        <v>122</v>
      </c>
    </row>
    <row r="113" spans="1:14" x14ac:dyDescent="0.45">
      <c r="A113" s="253" t="str">
        <f t="shared" ca="1" si="12"/>
        <v>&lt;ct123&gt;0&lt;/ct123&gt;</v>
      </c>
      <c r="B113" s="243" t="s">
        <v>1463</v>
      </c>
      <c r="C113" s="244">
        <f t="shared" si="7"/>
        <v>2</v>
      </c>
      <c r="D113" s="244">
        <f t="shared" si="8"/>
        <v>7</v>
      </c>
      <c r="E113" s="244">
        <f t="shared" si="9"/>
        <v>9</v>
      </c>
      <c r="G113" s="248" t="str">
        <f t="shared" si="10"/>
        <v>&lt;ct123&gt;</v>
      </c>
      <c r="H113" s="251">
        <f ca="1">VLOOKUP(N113,BaoCaoTHTC!$C$7:$F$700,3,0)</f>
        <v>0</v>
      </c>
      <c r="I113" s="246" t="str">
        <f t="shared" si="11"/>
        <v>&lt;/ct123&gt;</v>
      </c>
      <c r="J113" s="245"/>
      <c r="K113" s="245"/>
      <c r="L113" s="245"/>
      <c r="M113" s="247"/>
      <c r="N113">
        <v>123</v>
      </c>
    </row>
    <row r="114" spans="1:14" x14ac:dyDescent="0.45">
      <c r="A114" s="253" t="str">
        <f t="shared" ca="1" si="12"/>
        <v>&lt;ct124&gt;0&lt;/ct124&gt;</v>
      </c>
      <c r="B114" s="243" t="s">
        <v>1464</v>
      </c>
      <c r="C114" s="244">
        <f t="shared" si="7"/>
        <v>2</v>
      </c>
      <c r="D114" s="244">
        <f t="shared" si="8"/>
        <v>7</v>
      </c>
      <c r="E114" s="244">
        <f t="shared" si="9"/>
        <v>9</v>
      </c>
      <c r="G114" s="248" t="str">
        <f t="shared" si="10"/>
        <v>&lt;ct124&gt;</v>
      </c>
      <c r="H114" s="251">
        <f ca="1">VLOOKUP(N114,BaoCaoTHTC!$C$7:$F$700,3,0)</f>
        <v>0</v>
      </c>
      <c r="I114" s="246" t="str">
        <f t="shared" si="11"/>
        <v>&lt;/ct124&gt;</v>
      </c>
      <c r="J114" s="245"/>
      <c r="K114" s="245"/>
      <c r="L114" s="245"/>
      <c r="M114" s="247"/>
      <c r="N114">
        <v>124</v>
      </c>
    </row>
    <row r="115" spans="1:14" x14ac:dyDescent="0.45">
      <c r="A115" s="253" t="str">
        <f t="shared" ca="1" si="12"/>
        <v>&lt;ct130&gt;23880000&lt;/ct130&gt;</v>
      </c>
      <c r="B115" s="243" t="s">
        <v>1465</v>
      </c>
      <c r="C115" s="244">
        <f t="shared" si="7"/>
        <v>2</v>
      </c>
      <c r="D115" s="244">
        <f t="shared" si="8"/>
        <v>7</v>
      </c>
      <c r="E115" s="244">
        <f t="shared" si="9"/>
        <v>17</v>
      </c>
      <c r="G115" s="248" t="str">
        <f t="shared" si="10"/>
        <v>&lt;ct130&gt;</v>
      </c>
      <c r="H115" s="251">
        <f ca="1">VLOOKUP(N115,BaoCaoTHTC!$C$7:$F$700,3,0)</f>
        <v>23880000</v>
      </c>
      <c r="I115" s="246" t="str">
        <f t="shared" si="11"/>
        <v>&lt;/ct130&gt;</v>
      </c>
      <c r="J115" s="245"/>
      <c r="K115" s="245"/>
      <c r="L115" s="245"/>
      <c r="M115" s="247"/>
      <c r="N115">
        <v>130</v>
      </c>
    </row>
    <row r="116" spans="1:14" x14ac:dyDescent="0.45">
      <c r="A116" s="253" t="str">
        <f t="shared" ca="1" si="12"/>
        <v>&lt;ct131&gt;23880000&lt;/ct131&gt;</v>
      </c>
      <c r="B116" s="243" t="s">
        <v>1466</v>
      </c>
      <c r="C116" s="244">
        <f t="shared" si="7"/>
        <v>2</v>
      </c>
      <c r="D116" s="244">
        <f t="shared" si="8"/>
        <v>7</v>
      </c>
      <c r="E116" s="244">
        <f t="shared" si="9"/>
        <v>17</v>
      </c>
      <c r="G116" s="248" t="str">
        <f t="shared" si="10"/>
        <v>&lt;ct131&gt;</v>
      </c>
      <c r="H116" s="251">
        <f ca="1">VLOOKUP(N116,BaoCaoTHTC!$C$7:$F$700,3,0)</f>
        <v>23880000</v>
      </c>
      <c r="I116" s="246" t="str">
        <f t="shared" si="11"/>
        <v>&lt;/ct131&gt;</v>
      </c>
      <c r="J116" s="245"/>
      <c r="K116" s="245"/>
      <c r="L116" s="245"/>
      <c r="M116" s="247"/>
      <c r="N116">
        <v>131</v>
      </c>
    </row>
    <row r="117" spans="1:14" x14ac:dyDescent="0.45">
      <c r="A117" s="253" t="str">
        <f t="shared" ca="1" si="12"/>
        <v>&lt;ct132&gt;0&lt;/ct132&gt;</v>
      </c>
      <c r="B117" s="243" t="s">
        <v>1467</v>
      </c>
      <c r="C117" s="244">
        <f t="shared" si="7"/>
        <v>2</v>
      </c>
      <c r="D117" s="244">
        <f t="shared" si="8"/>
        <v>7</v>
      </c>
      <c r="E117" s="244">
        <f t="shared" si="9"/>
        <v>9</v>
      </c>
      <c r="G117" s="248" t="str">
        <f t="shared" si="10"/>
        <v>&lt;ct132&gt;</v>
      </c>
      <c r="H117" s="251">
        <f ca="1">VLOOKUP(N117,BaoCaoTHTC!$C$7:$F$700,3,0)</f>
        <v>0</v>
      </c>
      <c r="I117" s="246" t="str">
        <f t="shared" si="11"/>
        <v>&lt;/ct132&gt;</v>
      </c>
      <c r="J117" s="245"/>
      <c r="K117" s="245"/>
      <c r="L117" s="245"/>
      <c r="M117" s="247"/>
      <c r="N117">
        <v>132</v>
      </c>
    </row>
    <row r="118" spans="1:14" x14ac:dyDescent="0.45">
      <c r="A118" s="253" t="str">
        <f t="shared" ca="1" si="12"/>
        <v>&lt;ct133&gt;0&lt;/ct133&gt;</v>
      </c>
      <c r="B118" s="243" t="s">
        <v>1468</v>
      </c>
      <c r="C118" s="244">
        <f t="shared" si="7"/>
        <v>2</v>
      </c>
      <c r="D118" s="244">
        <f t="shared" si="8"/>
        <v>7</v>
      </c>
      <c r="E118" s="244">
        <f t="shared" si="9"/>
        <v>9</v>
      </c>
      <c r="G118" s="248" t="str">
        <f t="shared" si="10"/>
        <v>&lt;ct133&gt;</v>
      </c>
      <c r="H118" s="251">
        <f ca="1">VLOOKUP(N118,BaoCaoTHTC!$C$7:$F$700,3,0)</f>
        <v>0</v>
      </c>
      <c r="I118" s="246" t="str">
        <f t="shared" si="11"/>
        <v>&lt;/ct133&gt;</v>
      </c>
      <c r="J118" s="245"/>
      <c r="K118" s="245"/>
      <c r="L118" s="245"/>
      <c r="M118" s="247"/>
      <c r="N118">
        <v>133</v>
      </c>
    </row>
    <row r="119" spans="1:14" x14ac:dyDescent="0.45">
      <c r="A119" s="253" t="str">
        <f t="shared" ca="1" si="12"/>
        <v>&lt;ct134&gt;0&lt;/ct134&gt;</v>
      </c>
      <c r="B119" s="243" t="s">
        <v>1469</v>
      </c>
      <c r="C119" s="244">
        <f t="shared" si="7"/>
        <v>2</v>
      </c>
      <c r="D119" s="244">
        <f t="shared" si="8"/>
        <v>7</v>
      </c>
      <c r="E119" s="244">
        <f t="shared" si="9"/>
        <v>16</v>
      </c>
      <c r="G119" s="248" t="str">
        <f t="shared" si="10"/>
        <v>&lt;ct134&gt;</v>
      </c>
      <c r="H119" s="251">
        <f ca="1">VLOOKUP(N119,BaoCaoTHTC!$C$7:$F$700,3,0)</f>
        <v>0</v>
      </c>
      <c r="I119" s="246" t="str">
        <f t="shared" si="11"/>
        <v>&lt;/ct134&gt;</v>
      </c>
      <c r="J119" s="245"/>
      <c r="K119" s="245"/>
      <c r="L119" s="245"/>
      <c r="M119" s="247"/>
      <c r="N119">
        <v>134</v>
      </c>
    </row>
    <row r="120" spans="1:14" x14ac:dyDescent="0.45">
      <c r="A120" s="253" t="str">
        <f t="shared" ca="1" si="12"/>
        <v>&lt;ct135&gt;0&lt;/ct135&gt;</v>
      </c>
      <c r="B120" s="243" t="s">
        <v>1470</v>
      </c>
      <c r="C120" s="244">
        <f t="shared" si="7"/>
        <v>2</v>
      </c>
      <c r="D120" s="244">
        <f t="shared" si="8"/>
        <v>7</v>
      </c>
      <c r="E120" s="244">
        <f t="shared" si="9"/>
        <v>9</v>
      </c>
      <c r="G120" s="248" t="str">
        <f t="shared" si="10"/>
        <v>&lt;ct135&gt;</v>
      </c>
      <c r="H120" s="251">
        <f ca="1">VLOOKUP(N120,BaoCaoTHTC!$C$7:$F$700,3,0)</f>
        <v>0</v>
      </c>
      <c r="I120" s="246" t="str">
        <f t="shared" si="11"/>
        <v>&lt;/ct135&gt;</v>
      </c>
      <c r="J120" s="245"/>
      <c r="K120" s="245"/>
      <c r="L120" s="245"/>
      <c r="M120" s="247"/>
      <c r="N120">
        <v>135</v>
      </c>
    </row>
    <row r="121" spans="1:14" x14ac:dyDescent="0.45">
      <c r="A121" s="253" t="str">
        <f t="shared" ca="1" si="12"/>
        <v>&lt;ct136&gt;0&lt;/ct136&gt;</v>
      </c>
      <c r="B121" s="243" t="s">
        <v>1471</v>
      </c>
      <c r="C121" s="244">
        <f t="shared" si="7"/>
        <v>2</v>
      </c>
      <c r="D121" s="244">
        <f t="shared" si="8"/>
        <v>7</v>
      </c>
      <c r="E121" s="244">
        <f t="shared" si="9"/>
        <v>9</v>
      </c>
      <c r="G121" s="248" t="str">
        <f t="shared" si="10"/>
        <v>&lt;ct136&gt;</v>
      </c>
      <c r="H121" s="251">
        <f ca="1">VLOOKUP(N121,BaoCaoTHTC!$C$7:$F$700,3,0)</f>
        <v>0</v>
      </c>
      <c r="I121" s="246" t="str">
        <f t="shared" si="11"/>
        <v>&lt;/ct136&gt;</v>
      </c>
      <c r="J121" s="245"/>
      <c r="K121" s="245"/>
      <c r="L121" s="245"/>
      <c r="M121" s="247"/>
      <c r="N121">
        <v>136</v>
      </c>
    </row>
    <row r="122" spans="1:14" x14ac:dyDescent="0.45">
      <c r="A122" s="253" t="str">
        <f t="shared" ca="1" si="12"/>
        <v>&lt;ct140&gt;0&lt;/ct140&gt;</v>
      </c>
      <c r="B122" s="243" t="s">
        <v>1472</v>
      </c>
      <c r="C122" s="244">
        <f t="shared" si="7"/>
        <v>2</v>
      </c>
      <c r="D122" s="244">
        <f t="shared" si="8"/>
        <v>7</v>
      </c>
      <c r="E122" s="244">
        <f t="shared" si="9"/>
        <v>17</v>
      </c>
      <c r="G122" s="248" t="str">
        <f t="shared" si="10"/>
        <v>&lt;ct140&gt;</v>
      </c>
      <c r="H122" s="251">
        <f ca="1">VLOOKUP(N122,BaoCaoTHTC!$C$7:$F$700,3,0)</f>
        <v>0</v>
      </c>
      <c r="I122" s="246" t="str">
        <f t="shared" si="11"/>
        <v>&lt;/ct140&gt;</v>
      </c>
      <c r="J122" s="245"/>
      <c r="K122" s="245"/>
      <c r="L122" s="245"/>
      <c r="M122" s="247"/>
      <c r="N122">
        <v>140</v>
      </c>
    </row>
    <row r="123" spans="1:14" x14ac:dyDescent="0.45">
      <c r="A123" s="253" t="str">
        <f t="shared" ca="1" si="12"/>
        <v>&lt;ct141&gt;0&lt;/ct141&gt;</v>
      </c>
      <c r="B123" s="243" t="s">
        <v>1473</v>
      </c>
      <c r="C123" s="244">
        <f t="shared" si="7"/>
        <v>2</v>
      </c>
      <c r="D123" s="244">
        <f t="shared" si="8"/>
        <v>7</v>
      </c>
      <c r="E123" s="244">
        <f t="shared" si="9"/>
        <v>17</v>
      </c>
      <c r="G123" s="248" t="str">
        <f t="shared" si="10"/>
        <v>&lt;ct141&gt;</v>
      </c>
      <c r="H123" s="251">
        <f ca="1">VLOOKUP(N123,BaoCaoTHTC!$C$7:$F$700,3,0)</f>
        <v>0</v>
      </c>
      <c r="I123" s="246" t="str">
        <f t="shared" si="11"/>
        <v>&lt;/ct141&gt;</v>
      </c>
      <c r="J123" s="245"/>
      <c r="K123" s="245"/>
      <c r="L123" s="245"/>
      <c r="M123" s="247"/>
      <c r="N123">
        <v>141</v>
      </c>
    </row>
    <row r="124" spans="1:14" x14ac:dyDescent="0.45">
      <c r="A124" s="253" t="str">
        <f t="shared" ca="1" si="12"/>
        <v>&lt;ct142&gt;0&lt;/ct142&gt;</v>
      </c>
      <c r="B124" s="243" t="s">
        <v>1474</v>
      </c>
      <c r="C124" s="244">
        <f t="shared" si="7"/>
        <v>2</v>
      </c>
      <c r="D124" s="244">
        <f t="shared" si="8"/>
        <v>7</v>
      </c>
      <c r="E124" s="244">
        <f t="shared" si="9"/>
        <v>9</v>
      </c>
      <c r="G124" s="248" t="str">
        <f t="shared" si="10"/>
        <v>&lt;ct142&gt;</v>
      </c>
      <c r="H124" s="251">
        <f ca="1">VLOOKUP(N124,BaoCaoTHTC!$C$7:$F$700,3,0)</f>
        <v>0</v>
      </c>
      <c r="I124" s="246" t="str">
        <f t="shared" si="11"/>
        <v>&lt;/ct142&gt;</v>
      </c>
      <c r="J124" s="245"/>
      <c r="K124" s="245"/>
      <c r="L124" s="245"/>
      <c r="M124" s="247"/>
      <c r="N124">
        <v>142</v>
      </c>
    </row>
    <row r="125" spans="1:14" x14ac:dyDescent="0.45">
      <c r="A125" s="253" t="str">
        <f t="shared" ca="1" si="12"/>
        <v>&lt;ct150&gt;413418442&lt;/ct150&gt;</v>
      </c>
      <c r="B125" s="243" t="s">
        <v>1475</v>
      </c>
      <c r="C125" s="244">
        <f t="shared" si="7"/>
        <v>2</v>
      </c>
      <c r="D125" s="244">
        <f t="shared" si="8"/>
        <v>7</v>
      </c>
      <c r="E125" s="244">
        <f t="shared" si="9"/>
        <v>9</v>
      </c>
      <c r="G125" s="248" t="str">
        <f t="shared" si="10"/>
        <v>&lt;ct150&gt;</v>
      </c>
      <c r="H125" s="251">
        <f ca="1">VLOOKUP(N125,BaoCaoTHTC!$C$7:$F$700,3,0)</f>
        <v>413418442</v>
      </c>
      <c r="I125" s="246" t="str">
        <f t="shared" si="11"/>
        <v>&lt;/ct150&gt;</v>
      </c>
      <c r="J125" s="245"/>
      <c r="K125" s="245"/>
      <c r="L125" s="245"/>
      <c r="M125" s="247"/>
      <c r="N125">
        <v>150</v>
      </c>
    </row>
    <row r="126" spans="1:14" x14ac:dyDescent="0.45">
      <c r="A126" s="253" t="str">
        <f t="shared" ca="1" si="12"/>
        <v>&lt;ct151&gt;423501818&lt;/ct151&gt;</v>
      </c>
      <c r="B126" s="243" t="s">
        <v>1476</v>
      </c>
      <c r="C126" s="244">
        <f t="shared" si="7"/>
        <v>2</v>
      </c>
      <c r="D126" s="244">
        <f t="shared" si="8"/>
        <v>7</v>
      </c>
      <c r="E126" s="244">
        <f t="shared" si="9"/>
        <v>9</v>
      </c>
      <c r="G126" s="248" t="str">
        <f t="shared" si="10"/>
        <v>&lt;ct151&gt;</v>
      </c>
      <c r="H126" s="251">
        <f ca="1">VLOOKUP(N126,BaoCaoTHTC!$C$7:$F$700,3,0)</f>
        <v>423501818</v>
      </c>
      <c r="I126" s="246" t="str">
        <f t="shared" si="11"/>
        <v>&lt;/ct151&gt;</v>
      </c>
      <c r="J126" s="245"/>
      <c r="K126" s="245"/>
      <c r="L126" s="245"/>
      <c r="M126" s="247"/>
      <c r="N126">
        <v>151</v>
      </c>
    </row>
    <row r="127" spans="1:14" x14ac:dyDescent="0.45">
      <c r="A127" s="253" t="str">
        <f t="shared" ca="1" si="12"/>
        <v>&lt;ct152&gt;-10083376&lt;/ct152&gt;</v>
      </c>
      <c r="B127" s="243" t="s">
        <v>1477</v>
      </c>
      <c r="C127" s="244">
        <f t="shared" si="7"/>
        <v>2</v>
      </c>
      <c r="D127" s="244">
        <f t="shared" si="8"/>
        <v>7</v>
      </c>
      <c r="E127" s="244">
        <f t="shared" si="9"/>
        <v>9</v>
      </c>
      <c r="G127" s="248" t="str">
        <f t="shared" si="10"/>
        <v>&lt;ct152&gt;</v>
      </c>
      <c r="H127" s="251">
        <f ca="1">VLOOKUP(N127,BaoCaoTHTC!$C$7:$F$700,3,0)</f>
        <v>-10083376</v>
      </c>
      <c r="I127" s="246" t="str">
        <f t="shared" si="11"/>
        <v>&lt;/ct152&gt;</v>
      </c>
      <c r="J127" s="245"/>
      <c r="K127" s="245"/>
      <c r="L127" s="245"/>
      <c r="M127" s="247"/>
      <c r="N127">
        <v>152</v>
      </c>
    </row>
    <row r="128" spans="1:14" x14ac:dyDescent="0.45">
      <c r="A128" s="253" t="str">
        <f t="shared" ca="1" si="12"/>
        <v>&lt;ct160&gt;0&lt;/ct160&gt;</v>
      </c>
      <c r="B128" s="243" t="s">
        <v>1478</v>
      </c>
      <c r="C128" s="244">
        <f t="shared" si="7"/>
        <v>2</v>
      </c>
      <c r="D128" s="244">
        <f t="shared" si="8"/>
        <v>7</v>
      </c>
      <c r="E128" s="244">
        <f t="shared" si="9"/>
        <v>9</v>
      </c>
      <c r="G128" s="248" t="str">
        <f t="shared" si="10"/>
        <v>&lt;ct160&gt;</v>
      </c>
      <c r="H128" s="251">
        <f ca="1">VLOOKUP(N128,BaoCaoTHTC!$C$7:$F$700,3,0)</f>
        <v>0</v>
      </c>
      <c r="I128" s="246" t="str">
        <f t="shared" si="11"/>
        <v>&lt;/ct160&gt;</v>
      </c>
      <c r="J128" s="245"/>
      <c r="K128" s="245"/>
      <c r="L128" s="245"/>
      <c r="M128" s="247"/>
      <c r="N128">
        <v>160</v>
      </c>
    </row>
    <row r="129" spans="1:14" x14ac:dyDescent="0.45">
      <c r="A129" s="253" t="str">
        <f t="shared" ca="1" si="12"/>
        <v>&lt;ct161&gt;0&lt;/ct161&gt;</v>
      </c>
      <c r="B129" s="243" t="s">
        <v>1479</v>
      </c>
      <c r="C129" s="244">
        <f t="shared" si="7"/>
        <v>2</v>
      </c>
      <c r="D129" s="244">
        <f t="shared" si="8"/>
        <v>7</v>
      </c>
      <c r="E129" s="244">
        <f t="shared" si="9"/>
        <v>9</v>
      </c>
      <c r="G129" s="248" t="str">
        <f t="shared" si="10"/>
        <v>&lt;ct161&gt;</v>
      </c>
      <c r="H129" s="251">
        <f ca="1">VLOOKUP(N129,BaoCaoTHTC!$C$7:$F$700,3,0)</f>
        <v>0</v>
      </c>
      <c r="I129" s="246" t="str">
        <f t="shared" si="11"/>
        <v>&lt;/ct161&gt;</v>
      </c>
      <c r="J129" s="245"/>
      <c r="K129" s="245"/>
      <c r="L129" s="245"/>
      <c r="M129" s="247"/>
      <c r="N129">
        <v>161</v>
      </c>
    </row>
    <row r="130" spans="1:14" x14ac:dyDescent="0.45">
      <c r="A130" s="253" t="str">
        <f t="shared" ca="1" si="12"/>
        <v>&lt;ct162&gt;0&lt;/ct162&gt;</v>
      </c>
      <c r="B130" s="243" t="s">
        <v>1480</v>
      </c>
      <c r="C130" s="244">
        <f t="shared" si="7"/>
        <v>2</v>
      </c>
      <c r="D130" s="244">
        <f t="shared" si="8"/>
        <v>7</v>
      </c>
      <c r="E130" s="244">
        <f t="shared" si="9"/>
        <v>9</v>
      </c>
      <c r="G130" s="248" t="str">
        <f t="shared" si="10"/>
        <v>&lt;ct162&gt;</v>
      </c>
      <c r="H130" s="251">
        <f ca="1">VLOOKUP(N130,BaoCaoTHTC!$C$7:$F$700,3,0)</f>
        <v>0</v>
      </c>
      <c r="I130" s="246" t="str">
        <f t="shared" si="11"/>
        <v>&lt;/ct162&gt;</v>
      </c>
      <c r="J130" s="245"/>
      <c r="K130" s="245"/>
      <c r="L130" s="245"/>
      <c r="M130" s="247"/>
      <c r="N130">
        <v>162</v>
      </c>
    </row>
    <row r="131" spans="1:14" x14ac:dyDescent="0.45">
      <c r="A131" s="253" t="str">
        <f t="shared" ca="1" si="12"/>
        <v>&lt;ct170&gt;0&lt;/ct170&gt;</v>
      </c>
      <c r="B131" s="243" t="s">
        <v>1481</v>
      </c>
      <c r="C131" s="244">
        <f t="shared" si="7"/>
        <v>2</v>
      </c>
      <c r="D131" s="244">
        <f t="shared" si="8"/>
        <v>7</v>
      </c>
      <c r="E131" s="244">
        <f t="shared" si="9"/>
        <v>17</v>
      </c>
      <c r="G131" s="248" t="str">
        <f t="shared" si="10"/>
        <v>&lt;ct170&gt;</v>
      </c>
      <c r="H131" s="251">
        <f ca="1">VLOOKUP(N131,BaoCaoTHTC!$C$7:$F$700,3,0)</f>
        <v>0</v>
      </c>
      <c r="I131" s="246" t="str">
        <f t="shared" si="11"/>
        <v>&lt;/ct170&gt;</v>
      </c>
      <c r="J131" s="245"/>
      <c r="K131" s="245"/>
      <c r="L131" s="245"/>
      <c r="M131" s="247"/>
      <c r="N131">
        <v>170</v>
      </c>
    </row>
    <row r="132" spans="1:14" x14ac:dyDescent="0.45">
      <c r="A132" s="253" t="str">
        <f t="shared" ca="1" si="12"/>
        <v>&lt;ct180&gt;61583732&lt;/ct180&gt;</v>
      </c>
      <c r="B132" s="243" t="s">
        <v>1482</v>
      </c>
      <c r="C132" s="244">
        <f t="shared" si="7"/>
        <v>2</v>
      </c>
      <c r="D132" s="244">
        <f t="shared" si="8"/>
        <v>7</v>
      </c>
      <c r="E132" s="244">
        <f t="shared" si="9"/>
        <v>18</v>
      </c>
      <c r="G132" s="248" t="str">
        <f t="shared" si="10"/>
        <v>&lt;ct180&gt;</v>
      </c>
      <c r="H132" s="251">
        <f ca="1">VLOOKUP(N132,BaoCaoTHTC!$C$7:$F$700,3,0)</f>
        <v>61583732</v>
      </c>
      <c r="I132" s="246" t="str">
        <f t="shared" si="11"/>
        <v>&lt;/ct180&gt;</v>
      </c>
      <c r="J132" s="245"/>
      <c r="K132" s="245"/>
      <c r="L132" s="245"/>
      <c r="M132" s="247"/>
      <c r="N132">
        <v>180</v>
      </c>
    </row>
    <row r="133" spans="1:14" x14ac:dyDescent="0.45">
      <c r="A133" s="253" t="str">
        <f t="shared" ca="1" si="12"/>
        <v>&lt;ct181&gt;39033631&lt;/ct181&gt;</v>
      </c>
      <c r="B133" s="243" t="s">
        <v>1483</v>
      </c>
      <c r="C133" s="244">
        <f t="shared" si="7"/>
        <v>2</v>
      </c>
      <c r="D133" s="244">
        <f t="shared" si="8"/>
        <v>7</v>
      </c>
      <c r="E133" s="244">
        <f t="shared" si="9"/>
        <v>9</v>
      </c>
      <c r="G133" s="248" t="str">
        <f t="shared" si="10"/>
        <v>&lt;ct181&gt;</v>
      </c>
      <c r="H133" s="251">
        <f ca="1">VLOOKUP(N133,BaoCaoTHTC!$C$7:$F$700,3,0)</f>
        <v>39033631</v>
      </c>
      <c r="I133" s="246" t="str">
        <f t="shared" si="11"/>
        <v>&lt;/ct181&gt;</v>
      </c>
      <c r="J133" s="245"/>
      <c r="K133" s="245"/>
      <c r="L133" s="245"/>
      <c r="M133" s="247"/>
      <c r="N133">
        <v>181</v>
      </c>
    </row>
    <row r="134" spans="1:14" x14ac:dyDescent="0.45">
      <c r="A134" s="253" t="str">
        <f t="shared" ca="1" si="12"/>
        <v>&lt;ct182&gt;22550101&lt;/ct182&gt;</v>
      </c>
      <c r="B134" s="243" t="s">
        <v>1484</v>
      </c>
      <c r="C134" s="244">
        <f t="shared" si="7"/>
        <v>2</v>
      </c>
      <c r="D134" s="244">
        <f t="shared" si="8"/>
        <v>7</v>
      </c>
      <c r="E134" s="244">
        <f t="shared" si="9"/>
        <v>18</v>
      </c>
      <c r="G134" s="248" t="str">
        <f t="shared" si="10"/>
        <v>&lt;ct182&gt;</v>
      </c>
      <c r="H134" s="251">
        <f ca="1">VLOOKUP(N134,BaoCaoTHTC!$C$7:$F$700,3,0)</f>
        <v>22550101</v>
      </c>
      <c r="I134" s="246" t="str">
        <f t="shared" si="11"/>
        <v>&lt;/ct182&gt;</v>
      </c>
      <c r="J134" s="245"/>
      <c r="K134" s="245"/>
      <c r="L134" s="245"/>
      <c r="M134" s="247"/>
      <c r="N134">
        <v>182</v>
      </c>
    </row>
    <row r="135" spans="1:14" x14ac:dyDescent="0.45">
      <c r="A135" s="253" t="str">
        <f t="shared" ca="1" si="12"/>
        <v>&lt;ct200&gt;796150724&lt;/ct200&gt;</v>
      </c>
      <c r="B135" s="243" t="s">
        <v>1485</v>
      </c>
      <c r="C135" s="244">
        <f t="shared" si="7"/>
        <v>2</v>
      </c>
      <c r="D135" s="244">
        <f t="shared" si="8"/>
        <v>7</v>
      </c>
      <c r="E135" s="244">
        <f t="shared" si="9"/>
        <v>18</v>
      </c>
      <c r="G135" s="248" t="str">
        <f t="shared" si="10"/>
        <v>&lt;ct200&gt;</v>
      </c>
      <c r="H135" s="251">
        <f ca="1">VLOOKUP(N135,BaoCaoTHTC!$C$7:$F$700,3,0)</f>
        <v>796150724</v>
      </c>
      <c r="I135" s="246" t="str">
        <f t="shared" si="11"/>
        <v>&lt;/ct200&gt;</v>
      </c>
      <c r="J135" s="245"/>
      <c r="K135" s="245"/>
      <c r="L135" s="245"/>
      <c r="M135" s="247"/>
      <c r="N135">
        <v>200</v>
      </c>
    </row>
    <row r="136" spans="1:14" x14ac:dyDescent="0.45">
      <c r="A136" s="253" t="str">
        <f t="shared" ca="1" si="12"/>
        <v>&lt;ct300&gt;288008545&lt;/ct300&gt;</v>
      </c>
      <c r="B136" s="243" t="s">
        <v>1486</v>
      </c>
      <c r="C136" s="244">
        <f t="shared" si="7"/>
        <v>2</v>
      </c>
      <c r="D136" s="244">
        <f t="shared" si="8"/>
        <v>7</v>
      </c>
      <c r="E136" s="244">
        <f t="shared" si="9"/>
        <v>18</v>
      </c>
      <c r="G136" s="248" t="str">
        <f t="shared" si="10"/>
        <v>&lt;ct300&gt;</v>
      </c>
      <c r="H136" s="251">
        <f ca="1">VLOOKUP(N136,BaoCaoTHTC!$C$7:$F$700,3,0)</f>
        <v>288008545</v>
      </c>
      <c r="I136" s="246" t="str">
        <f t="shared" si="11"/>
        <v>&lt;/ct300&gt;</v>
      </c>
      <c r="J136" s="245"/>
      <c r="K136" s="245"/>
      <c r="L136" s="245"/>
      <c r="M136" s="247"/>
      <c r="N136">
        <v>300</v>
      </c>
    </row>
    <row r="137" spans="1:14" x14ac:dyDescent="0.45">
      <c r="A137" s="253" t="str">
        <f t="shared" ca="1" si="12"/>
        <v>&lt;ct311&gt;0&lt;/ct311&gt;</v>
      </c>
      <c r="B137" s="243" t="s">
        <v>1487</v>
      </c>
      <c r="C137" s="244">
        <f t="shared" si="7"/>
        <v>2</v>
      </c>
      <c r="D137" s="244">
        <f t="shared" si="8"/>
        <v>7</v>
      </c>
      <c r="E137" s="244">
        <f t="shared" si="9"/>
        <v>16</v>
      </c>
      <c r="G137" s="248" t="str">
        <f t="shared" si="10"/>
        <v>&lt;ct311&gt;</v>
      </c>
      <c r="H137" s="251">
        <f ca="1">VLOOKUP(N137,BaoCaoTHTC!$C$7:$F$700,3,0)</f>
        <v>0</v>
      </c>
      <c r="I137" s="246" t="str">
        <f t="shared" si="11"/>
        <v>&lt;/ct311&gt;</v>
      </c>
      <c r="J137" s="245"/>
      <c r="K137" s="245"/>
      <c r="L137" s="245"/>
      <c r="M137" s="247"/>
      <c r="N137">
        <v>311</v>
      </c>
    </row>
    <row r="138" spans="1:14" x14ac:dyDescent="0.45">
      <c r="A138" s="253" t="str">
        <f t="shared" ca="1" si="12"/>
        <v>&lt;ct312&gt;0&lt;/ct312&gt;</v>
      </c>
      <c r="B138" s="243" t="s">
        <v>1488</v>
      </c>
      <c r="C138" s="244">
        <f t="shared" si="7"/>
        <v>2</v>
      </c>
      <c r="D138" s="244">
        <f t="shared" si="8"/>
        <v>7</v>
      </c>
      <c r="E138" s="244">
        <f t="shared" si="9"/>
        <v>9</v>
      </c>
      <c r="G138" s="248" t="str">
        <f t="shared" si="10"/>
        <v>&lt;ct312&gt;</v>
      </c>
      <c r="H138" s="251">
        <f ca="1">VLOOKUP(N138,BaoCaoTHTC!$C$7:$F$700,3,0)</f>
        <v>0</v>
      </c>
      <c r="I138" s="246" t="str">
        <f t="shared" si="11"/>
        <v>&lt;/ct312&gt;</v>
      </c>
      <c r="J138" s="245"/>
      <c r="K138" s="245"/>
      <c r="L138" s="245"/>
      <c r="M138" s="247"/>
      <c r="N138">
        <v>312</v>
      </c>
    </row>
    <row r="139" spans="1:14" x14ac:dyDescent="0.45">
      <c r="A139" s="253" t="str">
        <f t="shared" ca="1" si="12"/>
        <v>&lt;ct313&gt;2035545&lt;/ct313&gt;</v>
      </c>
      <c r="B139" s="243" t="s">
        <v>1489</v>
      </c>
      <c r="C139" s="244">
        <f t="shared" si="7"/>
        <v>2</v>
      </c>
      <c r="D139" s="244">
        <f t="shared" si="8"/>
        <v>7</v>
      </c>
      <c r="E139" s="244">
        <f t="shared" si="9"/>
        <v>16</v>
      </c>
      <c r="G139" s="248" t="str">
        <f t="shared" si="10"/>
        <v>&lt;ct313&gt;</v>
      </c>
      <c r="H139" s="251">
        <f ca="1">VLOOKUP(N139,BaoCaoTHTC!$C$7:$F$700,3,0)</f>
        <v>2035545</v>
      </c>
      <c r="I139" s="246" t="str">
        <f t="shared" si="11"/>
        <v>&lt;/ct313&gt;</v>
      </c>
      <c r="J139" s="245"/>
      <c r="K139" s="245"/>
      <c r="L139" s="245"/>
      <c r="M139" s="247"/>
      <c r="N139">
        <v>313</v>
      </c>
    </row>
    <row r="140" spans="1:14" x14ac:dyDescent="0.45">
      <c r="A140" s="253" t="str">
        <f t="shared" ca="1" si="12"/>
        <v>&lt;ct314&gt;0&lt;/ct314&gt;</v>
      </c>
      <c r="B140" s="243" t="s">
        <v>1490</v>
      </c>
      <c r="C140" s="244">
        <f t="shared" si="7"/>
        <v>2</v>
      </c>
      <c r="D140" s="244">
        <f t="shared" si="8"/>
        <v>7</v>
      </c>
      <c r="E140" s="244">
        <f t="shared" si="9"/>
        <v>16</v>
      </c>
      <c r="G140" s="248" t="str">
        <f t="shared" si="10"/>
        <v>&lt;ct314&gt;</v>
      </c>
      <c r="H140" s="251">
        <f ca="1">VLOOKUP(N140,BaoCaoTHTC!$C$7:$F$700,3,0)</f>
        <v>0</v>
      </c>
      <c r="I140" s="246" t="str">
        <f t="shared" si="11"/>
        <v>&lt;/ct314&gt;</v>
      </c>
      <c r="J140" s="245"/>
      <c r="K140" s="245"/>
      <c r="L140" s="245"/>
      <c r="M140" s="247"/>
      <c r="N140">
        <v>314</v>
      </c>
    </row>
    <row r="141" spans="1:14" x14ac:dyDescent="0.45">
      <c r="A141" s="253" t="str">
        <f t="shared" ca="1" si="12"/>
        <v>&lt;ct315&gt;0&lt;/ct315&gt;</v>
      </c>
      <c r="B141" s="243" t="s">
        <v>1491</v>
      </c>
      <c r="C141" s="244">
        <f t="shared" si="7"/>
        <v>2</v>
      </c>
      <c r="D141" s="244">
        <f t="shared" si="8"/>
        <v>7</v>
      </c>
      <c r="E141" s="244">
        <f t="shared" si="9"/>
        <v>18</v>
      </c>
      <c r="G141" s="248" t="str">
        <f t="shared" si="10"/>
        <v>&lt;ct315&gt;</v>
      </c>
      <c r="H141" s="251">
        <f ca="1">VLOOKUP(N141,BaoCaoTHTC!$C$7:$F$700,3,0)</f>
        <v>0</v>
      </c>
      <c r="I141" s="246" t="str">
        <f t="shared" si="11"/>
        <v>&lt;/ct315&gt;</v>
      </c>
      <c r="J141" s="245"/>
      <c r="K141" s="245"/>
      <c r="L141" s="245"/>
      <c r="M141" s="247"/>
      <c r="N141">
        <v>315</v>
      </c>
    </row>
    <row r="142" spans="1:14" x14ac:dyDescent="0.45">
      <c r="A142" s="253" t="str">
        <f t="shared" ca="1" si="12"/>
        <v>&lt;ct316&gt;285973000&lt;/ct316&gt;</v>
      </c>
      <c r="B142" s="243" t="s">
        <v>1492</v>
      </c>
      <c r="C142" s="244">
        <f t="shared" si="7"/>
        <v>2</v>
      </c>
      <c r="D142" s="244">
        <f t="shared" si="8"/>
        <v>7</v>
      </c>
      <c r="E142" s="244">
        <f t="shared" si="9"/>
        <v>17</v>
      </c>
      <c r="G142" s="248" t="str">
        <f t="shared" si="10"/>
        <v>&lt;ct316&gt;</v>
      </c>
      <c r="H142" s="251">
        <f ca="1">VLOOKUP(N142,BaoCaoTHTC!$C$7:$F$700,3,0)</f>
        <v>285973000</v>
      </c>
      <c r="I142" s="246" t="str">
        <f t="shared" si="11"/>
        <v>&lt;/ct316&gt;</v>
      </c>
      <c r="J142" s="245"/>
      <c r="K142" s="245"/>
      <c r="L142" s="245"/>
      <c r="M142" s="247"/>
      <c r="N142">
        <v>316</v>
      </c>
    </row>
    <row r="143" spans="1:14" x14ac:dyDescent="0.45">
      <c r="A143" s="253" t="str">
        <f t="shared" ca="1" si="12"/>
        <v>&lt;ct317&gt;0&lt;/ct317&gt;</v>
      </c>
      <c r="B143" s="243" t="s">
        <v>1493</v>
      </c>
      <c r="C143" s="244">
        <f t="shared" si="7"/>
        <v>2</v>
      </c>
      <c r="D143" s="244">
        <f t="shared" si="8"/>
        <v>7</v>
      </c>
      <c r="E143" s="244">
        <f t="shared" si="9"/>
        <v>9</v>
      </c>
      <c r="G143" s="248" t="str">
        <f t="shared" si="10"/>
        <v>&lt;ct317&gt;</v>
      </c>
      <c r="H143" s="251">
        <f ca="1">VLOOKUP(N143,BaoCaoTHTC!$C$7:$F$700,3,0)</f>
        <v>0</v>
      </c>
      <c r="I143" s="246" t="str">
        <f t="shared" si="11"/>
        <v>&lt;/ct317&gt;</v>
      </c>
      <c r="J143" s="245"/>
      <c r="K143" s="245"/>
      <c r="L143" s="245"/>
      <c r="M143" s="247"/>
      <c r="N143">
        <v>317</v>
      </c>
    </row>
    <row r="144" spans="1:14" x14ac:dyDescent="0.45">
      <c r="A144" s="253" t="str">
        <f t="shared" ca="1" si="12"/>
        <v>&lt;ct318&gt;0&lt;/ct318&gt;</v>
      </c>
      <c r="B144" s="243" t="s">
        <v>1494</v>
      </c>
      <c r="C144" s="244">
        <f t="shared" si="7"/>
        <v>2</v>
      </c>
      <c r="D144" s="244">
        <f t="shared" si="8"/>
        <v>7</v>
      </c>
      <c r="E144" s="244">
        <f t="shared" si="9"/>
        <v>9</v>
      </c>
      <c r="G144" s="248" t="str">
        <f t="shared" si="10"/>
        <v>&lt;ct318&gt;</v>
      </c>
      <c r="H144" s="251">
        <f ca="1">VLOOKUP(N144,BaoCaoTHTC!$C$7:$F$700,3,0)</f>
        <v>0</v>
      </c>
      <c r="I144" s="246" t="str">
        <f t="shared" si="11"/>
        <v>&lt;/ct318&gt;</v>
      </c>
      <c r="J144" s="245"/>
      <c r="K144" s="245"/>
      <c r="L144" s="245"/>
      <c r="M144" s="247"/>
      <c r="N144">
        <v>318</v>
      </c>
    </row>
    <row r="145" spans="1:14" x14ac:dyDescent="0.45">
      <c r="A145" s="253" t="str">
        <f t="shared" ca="1" si="12"/>
        <v>&lt;ct319&gt;0&lt;/ct319&gt;</v>
      </c>
      <c r="B145" s="243" t="s">
        <v>1495</v>
      </c>
      <c r="C145" s="244">
        <f t="shared" si="7"/>
        <v>2</v>
      </c>
      <c r="D145" s="244">
        <f t="shared" si="8"/>
        <v>7</v>
      </c>
      <c r="E145" s="244">
        <f t="shared" si="9"/>
        <v>9</v>
      </c>
      <c r="G145" s="248" t="str">
        <f t="shared" si="10"/>
        <v>&lt;ct319&gt;</v>
      </c>
      <c r="H145" s="251">
        <f ca="1">VLOOKUP(N145,BaoCaoTHTC!$C$7:$F$700,3,0)</f>
        <v>0</v>
      </c>
      <c r="I145" s="246" t="str">
        <f t="shared" si="11"/>
        <v>&lt;/ct319&gt;</v>
      </c>
      <c r="J145" s="245"/>
      <c r="K145" s="245"/>
      <c r="L145" s="245"/>
      <c r="M145" s="247"/>
      <c r="N145">
        <v>319</v>
      </c>
    </row>
    <row r="146" spans="1:14" x14ac:dyDescent="0.45">
      <c r="A146" s="253" t="str">
        <f t="shared" ca="1" si="12"/>
        <v>&lt;ct320&gt;0&lt;/ct320&gt;</v>
      </c>
      <c r="B146" s="243" t="s">
        <v>1496</v>
      </c>
      <c r="C146" s="244">
        <f t="shared" si="7"/>
        <v>2</v>
      </c>
      <c r="D146" s="244">
        <f t="shared" si="8"/>
        <v>7</v>
      </c>
      <c r="E146" s="244">
        <f t="shared" si="9"/>
        <v>9</v>
      </c>
      <c r="G146" s="248" t="str">
        <f t="shared" si="10"/>
        <v>&lt;ct320&gt;</v>
      </c>
      <c r="H146" s="251">
        <f ca="1">VLOOKUP(N146,BaoCaoTHTC!$C$7:$F$700,3,0)</f>
        <v>0</v>
      </c>
      <c r="I146" s="246" t="str">
        <f t="shared" si="11"/>
        <v>&lt;/ct320&gt;</v>
      </c>
      <c r="J146" s="245"/>
      <c r="K146" s="245"/>
      <c r="L146" s="245"/>
      <c r="M146" s="247"/>
      <c r="N146">
        <v>320</v>
      </c>
    </row>
    <row r="147" spans="1:14" x14ac:dyDescent="0.45">
      <c r="A147" s="253" t="str">
        <f t="shared" ca="1" si="12"/>
        <v>&lt;ct400&gt;508142179&lt;/ct400&gt;</v>
      </c>
      <c r="B147" s="243" t="s">
        <v>1497</v>
      </c>
      <c r="C147" s="244">
        <f t="shared" si="7"/>
        <v>2</v>
      </c>
      <c r="D147" s="244">
        <f t="shared" si="8"/>
        <v>7</v>
      </c>
      <c r="E147" s="244">
        <f t="shared" si="9"/>
        <v>17</v>
      </c>
      <c r="G147" s="248" t="str">
        <f t="shared" si="10"/>
        <v>&lt;ct400&gt;</v>
      </c>
      <c r="H147" s="251">
        <f ca="1">VLOOKUP(N147,BaoCaoTHTC!$C$7:$F$700,3,0)</f>
        <v>508142179</v>
      </c>
      <c r="I147" s="246" t="str">
        <f t="shared" si="11"/>
        <v>&lt;/ct400&gt;</v>
      </c>
      <c r="J147" s="245"/>
      <c r="K147" s="245"/>
      <c r="L147" s="245"/>
      <c r="M147" s="247"/>
      <c r="N147">
        <v>400</v>
      </c>
    </row>
    <row r="148" spans="1:14" x14ac:dyDescent="0.45">
      <c r="A148" s="253" t="str">
        <f t="shared" ca="1" si="12"/>
        <v>&lt;ct411&gt;500000000&lt;/ct411&gt;</v>
      </c>
      <c r="B148" s="243" t="s">
        <v>1498</v>
      </c>
      <c r="C148" s="244">
        <f t="shared" si="7"/>
        <v>2</v>
      </c>
      <c r="D148" s="244">
        <f t="shared" si="8"/>
        <v>7</v>
      </c>
      <c r="E148" s="244">
        <f t="shared" si="9"/>
        <v>18</v>
      </c>
      <c r="G148" s="248" t="str">
        <f t="shared" si="10"/>
        <v>&lt;ct411&gt;</v>
      </c>
      <c r="H148" s="251">
        <f ca="1">VLOOKUP(N148,BaoCaoTHTC!$C$7:$F$700,3,0)</f>
        <v>500000000</v>
      </c>
      <c r="I148" s="246" t="str">
        <f t="shared" si="11"/>
        <v>&lt;/ct411&gt;</v>
      </c>
      <c r="J148" s="245"/>
      <c r="K148" s="245"/>
      <c r="L148" s="245"/>
      <c r="M148" s="247"/>
      <c r="N148">
        <v>411</v>
      </c>
    </row>
    <row r="149" spans="1:14" x14ac:dyDescent="0.45">
      <c r="A149" s="253" t="str">
        <f t="shared" ca="1" si="12"/>
        <v>&lt;ct412&gt;0&lt;/ct412&gt;</v>
      </c>
      <c r="B149" s="243" t="s">
        <v>1499</v>
      </c>
      <c r="C149" s="244">
        <f t="shared" si="7"/>
        <v>2</v>
      </c>
      <c r="D149" s="244">
        <f t="shared" si="8"/>
        <v>7</v>
      </c>
      <c r="E149" s="244">
        <f t="shared" si="9"/>
        <v>9</v>
      </c>
      <c r="G149" s="248" t="str">
        <f t="shared" si="10"/>
        <v>&lt;ct412&gt;</v>
      </c>
      <c r="H149" s="251">
        <f ca="1">VLOOKUP(N149,BaoCaoTHTC!$C$7:$F$700,3,0)</f>
        <v>0</v>
      </c>
      <c r="I149" s="246" t="str">
        <f t="shared" si="11"/>
        <v>&lt;/ct412&gt;</v>
      </c>
      <c r="J149" s="245"/>
      <c r="K149" s="245"/>
      <c r="L149" s="245"/>
      <c r="M149" s="247"/>
      <c r="N149">
        <v>412</v>
      </c>
    </row>
    <row r="150" spans="1:14" x14ac:dyDescent="0.45">
      <c r="A150" s="253" t="str">
        <f t="shared" ca="1" si="12"/>
        <v>&lt;ct413&gt;0&lt;/ct413&gt;</v>
      </c>
      <c r="B150" s="243" t="s">
        <v>1500</v>
      </c>
      <c r="C150" s="244">
        <f t="shared" si="7"/>
        <v>2</v>
      </c>
      <c r="D150" s="244">
        <f t="shared" si="8"/>
        <v>7</v>
      </c>
      <c r="E150" s="244">
        <f t="shared" si="9"/>
        <v>9</v>
      </c>
      <c r="G150" s="248" t="str">
        <f t="shared" si="10"/>
        <v>&lt;ct413&gt;</v>
      </c>
      <c r="H150" s="251">
        <f ca="1">VLOOKUP(N150,BaoCaoTHTC!$C$7:$F$700,3,0)</f>
        <v>0</v>
      </c>
      <c r="I150" s="246" t="str">
        <f t="shared" si="11"/>
        <v>&lt;/ct413&gt;</v>
      </c>
      <c r="J150" s="245"/>
      <c r="K150" s="245"/>
      <c r="L150" s="245"/>
      <c r="M150" s="247"/>
      <c r="N150">
        <v>413</v>
      </c>
    </row>
    <row r="151" spans="1:14" x14ac:dyDescent="0.45">
      <c r="A151" s="253" t="str">
        <f t="shared" ca="1" si="12"/>
        <v>&lt;ct414&gt;0&lt;/ct414&gt;</v>
      </c>
      <c r="B151" s="243" t="s">
        <v>1501</v>
      </c>
      <c r="C151" s="244">
        <f t="shared" si="7"/>
        <v>2</v>
      </c>
      <c r="D151" s="244">
        <f t="shared" si="8"/>
        <v>7</v>
      </c>
      <c r="E151" s="244">
        <f t="shared" si="9"/>
        <v>9</v>
      </c>
      <c r="G151" s="248" t="str">
        <f t="shared" si="10"/>
        <v>&lt;ct414&gt;</v>
      </c>
      <c r="H151" s="251">
        <f ca="1">VLOOKUP(N151,BaoCaoTHTC!$C$7:$F$700,3,0)</f>
        <v>0</v>
      </c>
      <c r="I151" s="246" t="str">
        <f t="shared" si="11"/>
        <v>&lt;/ct414&gt;</v>
      </c>
      <c r="J151" s="245"/>
      <c r="K151" s="245"/>
      <c r="L151" s="245"/>
      <c r="M151" s="247"/>
      <c r="N151">
        <v>414</v>
      </c>
    </row>
    <row r="152" spans="1:14" x14ac:dyDescent="0.45">
      <c r="A152" s="253" t="str">
        <f t="shared" ca="1" si="12"/>
        <v>&lt;ct415&gt;0&lt;/ct415&gt;</v>
      </c>
      <c r="B152" s="243" t="s">
        <v>1502</v>
      </c>
      <c r="C152" s="244">
        <f t="shared" ref="C152:C215" si="13">LEN(B152)-LEN(SUBSTITUTE(B152,"&lt;",""))</f>
        <v>2</v>
      </c>
      <c r="D152" s="244">
        <f t="shared" ref="D152:D215" si="14">SEARCH("&gt;",B152)</f>
        <v>7</v>
      </c>
      <c r="E152" s="244">
        <f t="shared" ref="E152:E215" si="15">IFERROR(SEARCH("&lt;/",B152),"")</f>
        <v>9</v>
      </c>
      <c r="G152" s="248" t="str">
        <f t="shared" ref="G152:G215" si="16">LEFT(B152,D152)</f>
        <v>&lt;ct415&gt;</v>
      </c>
      <c r="H152" s="251">
        <f ca="1">VLOOKUP(N152,BaoCaoTHTC!$C$7:$F$700,3,0)</f>
        <v>0</v>
      </c>
      <c r="I152" s="246" t="str">
        <f t="shared" ref="I152:I215" si="17">IF(C152=2,RIGHT(B152,LEN(B152)-E152+1),"")</f>
        <v>&lt;/ct415&gt;</v>
      </c>
      <c r="J152" s="245"/>
      <c r="K152" s="245"/>
      <c r="L152" s="245"/>
      <c r="M152" s="247"/>
      <c r="N152">
        <v>415</v>
      </c>
    </row>
    <row r="153" spans="1:14" x14ac:dyDescent="0.45">
      <c r="A153" s="253" t="str">
        <f t="shared" ca="1" si="12"/>
        <v>&lt;ct416&gt;0&lt;/ct416&gt;</v>
      </c>
      <c r="B153" s="243" t="s">
        <v>1503</v>
      </c>
      <c r="C153" s="244">
        <f t="shared" si="13"/>
        <v>2</v>
      </c>
      <c r="D153" s="244">
        <f t="shared" si="14"/>
        <v>7</v>
      </c>
      <c r="E153" s="244">
        <f t="shared" si="15"/>
        <v>9</v>
      </c>
      <c r="G153" s="248" t="str">
        <f t="shared" si="16"/>
        <v>&lt;ct416&gt;</v>
      </c>
      <c r="H153" s="251">
        <f ca="1">VLOOKUP(N153,BaoCaoTHTC!$C$7:$F$700,3,0)</f>
        <v>0</v>
      </c>
      <c r="I153" s="246" t="str">
        <f t="shared" si="17"/>
        <v>&lt;/ct416&gt;</v>
      </c>
      <c r="J153" s="245"/>
      <c r="K153" s="245"/>
      <c r="L153" s="245"/>
      <c r="M153" s="247"/>
      <c r="N153">
        <v>416</v>
      </c>
    </row>
    <row r="154" spans="1:14" x14ac:dyDescent="0.45">
      <c r="A154" s="253" t="str">
        <f t="shared" ca="1" si="12"/>
        <v>&lt;ct417&gt;8142179&lt;/ct417&gt;</v>
      </c>
      <c r="B154" s="243" t="s">
        <v>1504</v>
      </c>
      <c r="C154" s="244">
        <f t="shared" si="13"/>
        <v>2</v>
      </c>
      <c r="D154" s="244">
        <f t="shared" si="14"/>
        <v>7</v>
      </c>
      <c r="E154" s="244">
        <f t="shared" si="15"/>
        <v>19</v>
      </c>
      <c r="G154" s="248" t="str">
        <f t="shared" si="16"/>
        <v>&lt;ct417&gt;</v>
      </c>
      <c r="H154" s="251">
        <f ca="1">VLOOKUP(N154,BaoCaoTHTC!$C$7:$F$700,3,0)</f>
        <v>8142179</v>
      </c>
      <c r="I154" s="246" t="str">
        <f t="shared" si="17"/>
        <v>&lt;/ct417&gt;</v>
      </c>
      <c r="J154" s="245"/>
      <c r="K154" s="245"/>
      <c r="L154" s="245"/>
      <c r="M154" s="247"/>
      <c r="N154">
        <v>417</v>
      </c>
    </row>
    <row r="155" spans="1:14" x14ac:dyDescent="0.45">
      <c r="A155" s="253" t="str">
        <f t="shared" ca="1" si="12"/>
        <v>&lt;ct500&gt;796150724&lt;/ct500&gt;</v>
      </c>
      <c r="B155" s="243" t="s">
        <v>1505</v>
      </c>
      <c r="C155" s="244">
        <f t="shared" si="13"/>
        <v>2</v>
      </c>
      <c r="D155" s="244">
        <f t="shared" si="14"/>
        <v>7</v>
      </c>
      <c r="E155" s="244">
        <f t="shared" si="15"/>
        <v>18</v>
      </c>
      <c r="G155" s="248" t="str">
        <f t="shared" si="16"/>
        <v>&lt;ct500&gt;</v>
      </c>
      <c r="H155" s="251">
        <f ca="1">VLOOKUP(N155,BaoCaoTHTC!$C$7:$F$700,3,0)</f>
        <v>796150724</v>
      </c>
      <c r="I155" s="246" t="str">
        <f t="shared" si="17"/>
        <v>&lt;/ct500&gt;</v>
      </c>
      <c r="J155" s="245"/>
      <c r="K155" s="245"/>
      <c r="L155" s="245"/>
      <c r="M155" s="247"/>
      <c r="N155">
        <v>500</v>
      </c>
    </row>
    <row r="156" spans="1:14" x14ac:dyDescent="0.45">
      <c r="A156" s="253" t="str">
        <f t="shared" si="12"/>
        <v>&lt;/SoCuoiNam&gt;</v>
      </c>
      <c r="B156" s="243" t="s">
        <v>1506</v>
      </c>
      <c r="C156" s="244">
        <f t="shared" si="13"/>
        <v>1</v>
      </c>
      <c r="D156" s="244">
        <f t="shared" si="14"/>
        <v>12</v>
      </c>
      <c r="E156" s="244">
        <f t="shared" si="15"/>
        <v>1</v>
      </c>
      <c r="G156" s="248" t="str">
        <f t="shared" si="16"/>
        <v>&lt;/SoCuoiNam&gt;</v>
      </c>
      <c r="H156" s="251"/>
      <c r="I156" s="246" t="str">
        <f t="shared" si="17"/>
        <v/>
      </c>
      <c r="J156" s="245"/>
      <c r="K156" s="245"/>
      <c r="L156" s="245"/>
      <c r="M156" s="247"/>
    </row>
    <row r="157" spans="1:14" x14ac:dyDescent="0.45">
      <c r="A157" s="253" t="str">
        <f t="shared" si="12"/>
        <v>&lt;SoDauNam&gt;</v>
      </c>
      <c r="B157" s="243" t="s">
        <v>1507</v>
      </c>
      <c r="C157" s="244">
        <f t="shared" si="13"/>
        <v>1</v>
      </c>
      <c r="D157" s="244">
        <f t="shared" si="14"/>
        <v>10</v>
      </c>
      <c r="E157" s="244" t="str">
        <f t="shared" si="15"/>
        <v/>
      </c>
      <c r="G157" s="248" t="str">
        <f t="shared" si="16"/>
        <v>&lt;SoDauNam&gt;</v>
      </c>
      <c r="H157" s="251"/>
      <c r="I157" s="246" t="str">
        <f t="shared" si="17"/>
        <v/>
      </c>
      <c r="J157" s="245"/>
      <c r="K157" s="245"/>
      <c r="L157" s="245"/>
      <c r="M157" s="247"/>
    </row>
    <row r="158" spans="1:14" x14ac:dyDescent="0.45">
      <c r="A158" s="253" t="str">
        <f t="shared" ca="1" si="12"/>
        <v>&lt;ct110&gt;440114931&lt;/ct110&gt;</v>
      </c>
      <c r="B158" s="243" t="s">
        <v>1508</v>
      </c>
      <c r="C158" s="244">
        <f t="shared" si="13"/>
        <v>2</v>
      </c>
      <c r="D158" s="244">
        <f t="shared" si="14"/>
        <v>7</v>
      </c>
      <c r="E158" s="244">
        <f t="shared" si="15"/>
        <v>9</v>
      </c>
      <c r="G158" s="248" t="str">
        <f t="shared" si="16"/>
        <v>&lt;ct110&gt;</v>
      </c>
      <c r="H158" s="251">
        <f ca="1">VLOOKUP(N158,BaoCaoTHTC!$C$7:$F$700,4,0)</f>
        <v>440114931</v>
      </c>
      <c r="I158" s="246" t="str">
        <f t="shared" si="17"/>
        <v>&lt;/ct110&gt;</v>
      </c>
      <c r="J158" s="245"/>
      <c r="K158" s="245"/>
      <c r="L158" s="245"/>
      <c r="M158" s="247"/>
      <c r="N158">
        <v>110</v>
      </c>
    </row>
    <row r="159" spans="1:14" x14ac:dyDescent="0.45">
      <c r="A159" s="253" t="str">
        <f t="shared" ca="1" si="12"/>
        <v>&lt;ct120&gt;0&lt;/ct120&gt;</v>
      </c>
      <c r="B159" s="243" t="s">
        <v>1460</v>
      </c>
      <c r="C159" s="244">
        <f t="shared" si="13"/>
        <v>2</v>
      </c>
      <c r="D159" s="244">
        <f t="shared" si="14"/>
        <v>7</v>
      </c>
      <c r="E159" s="244">
        <f t="shared" si="15"/>
        <v>9</v>
      </c>
      <c r="G159" s="248" t="str">
        <f t="shared" si="16"/>
        <v>&lt;ct120&gt;</v>
      </c>
      <c r="H159" s="251">
        <f ca="1">VLOOKUP(N159,BaoCaoTHTC!$C$7:$F$700,4,0)</f>
        <v>0</v>
      </c>
      <c r="I159" s="246" t="str">
        <f t="shared" si="17"/>
        <v>&lt;/ct120&gt;</v>
      </c>
      <c r="J159" s="245"/>
      <c r="K159" s="245"/>
      <c r="L159" s="245"/>
      <c r="M159" s="247"/>
      <c r="N159">
        <v>120</v>
      </c>
    </row>
    <row r="160" spans="1:14" x14ac:dyDescent="0.45">
      <c r="A160" s="253" t="str">
        <f t="shared" ca="1" si="12"/>
        <v>&lt;ct121&gt;0&lt;/ct121&gt;</v>
      </c>
      <c r="B160" s="243" t="s">
        <v>1461</v>
      </c>
      <c r="C160" s="244">
        <f t="shared" si="13"/>
        <v>2</v>
      </c>
      <c r="D160" s="244">
        <f t="shared" si="14"/>
        <v>7</v>
      </c>
      <c r="E160" s="244">
        <f t="shared" si="15"/>
        <v>9</v>
      </c>
      <c r="G160" s="248" t="str">
        <f t="shared" si="16"/>
        <v>&lt;ct121&gt;</v>
      </c>
      <c r="H160" s="251">
        <f ca="1">VLOOKUP(N160,BaoCaoTHTC!$C$7:$F$700,4,0)</f>
        <v>0</v>
      </c>
      <c r="I160" s="246" t="str">
        <f t="shared" si="17"/>
        <v>&lt;/ct121&gt;</v>
      </c>
      <c r="J160" s="245"/>
      <c r="K160" s="245"/>
      <c r="L160" s="245"/>
      <c r="M160" s="247"/>
      <c r="N160">
        <v>121</v>
      </c>
    </row>
    <row r="161" spans="1:14" x14ac:dyDescent="0.45">
      <c r="A161" s="253" t="str">
        <f t="shared" ca="1" si="12"/>
        <v>&lt;ct122&gt;0&lt;/ct122&gt;</v>
      </c>
      <c r="B161" s="243" t="s">
        <v>1462</v>
      </c>
      <c r="C161" s="244">
        <f t="shared" si="13"/>
        <v>2</v>
      </c>
      <c r="D161" s="244">
        <f t="shared" si="14"/>
        <v>7</v>
      </c>
      <c r="E161" s="244">
        <f t="shared" si="15"/>
        <v>9</v>
      </c>
      <c r="G161" s="248" t="str">
        <f t="shared" si="16"/>
        <v>&lt;ct122&gt;</v>
      </c>
      <c r="H161" s="251">
        <f ca="1">VLOOKUP(N161,BaoCaoTHTC!$C$7:$F$700,4,0)</f>
        <v>0</v>
      </c>
      <c r="I161" s="246" t="str">
        <f t="shared" si="17"/>
        <v>&lt;/ct122&gt;</v>
      </c>
      <c r="J161" s="245"/>
      <c r="K161" s="245"/>
      <c r="L161" s="245"/>
      <c r="M161" s="247"/>
      <c r="N161">
        <v>122</v>
      </c>
    </row>
    <row r="162" spans="1:14" x14ac:dyDescent="0.45">
      <c r="A162" s="253" t="str">
        <f t="shared" ca="1" si="12"/>
        <v>&lt;ct123&gt;0&lt;/ct123&gt;</v>
      </c>
      <c r="B162" s="243" t="s">
        <v>1463</v>
      </c>
      <c r="C162" s="244">
        <f t="shared" si="13"/>
        <v>2</v>
      </c>
      <c r="D162" s="244">
        <f t="shared" si="14"/>
        <v>7</v>
      </c>
      <c r="E162" s="244">
        <f t="shared" si="15"/>
        <v>9</v>
      </c>
      <c r="G162" s="248" t="str">
        <f t="shared" si="16"/>
        <v>&lt;ct123&gt;</v>
      </c>
      <c r="H162" s="251">
        <f ca="1">VLOOKUP(N162,BaoCaoTHTC!$C$7:$F$700,4,0)</f>
        <v>0</v>
      </c>
      <c r="I162" s="246" t="str">
        <f t="shared" si="17"/>
        <v>&lt;/ct123&gt;</v>
      </c>
      <c r="J162" s="245"/>
      <c r="K162" s="245"/>
      <c r="L162" s="245"/>
      <c r="M162" s="247"/>
      <c r="N162">
        <v>123</v>
      </c>
    </row>
    <row r="163" spans="1:14" x14ac:dyDescent="0.45">
      <c r="A163" s="253" t="str">
        <f t="shared" ca="1" si="12"/>
        <v>&lt;ct124&gt;0&lt;/ct124&gt;</v>
      </c>
      <c r="B163" s="243" t="s">
        <v>1464</v>
      </c>
      <c r="C163" s="244">
        <f t="shared" si="13"/>
        <v>2</v>
      </c>
      <c r="D163" s="244">
        <f t="shared" si="14"/>
        <v>7</v>
      </c>
      <c r="E163" s="244">
        <f t="shared" si="15"/>
        <v>9</v>
      </c>
      <c r="G163" s="248" t="str">
        <f t="shared" si="16"/>
        <v>&lt;ct124&gt;</v>
      </c>
      <c r="H163" s="251">
        <f ca="1">VLOOKUP(N163,BaoCaoTHTC!$C$7:$F$700,4,0)</f>
        <v>0</v>
      </c>
      <c r="I163" s="246" t="str">
        <f t="shared" si="17"/>
        <v>&lt;/ct124&gt;</v>
      </c>
      <c r="J163" s="245"/>
      <c r="K163" s="245"/>
      <c r="L163" s="245"/>
      <c r="M163" s="247"/>
      <c r="N163">
        <v>124</v>
      </c>
    </row>
    <row r="164" spans="1:14" x14ac:dyDescent="0.45">
      <c r="A164" s="253" t="str">
        <f t="shared" ca="1" si="12"/>
        <v>&lt;ct130&gt;22680000&lt;/ct130&gt;</v>
      </c>
      <c r="B164" s="243" t="s">
        <v>1509</v>
      </c>
      <c r="C164" s="244">
        <f t="shared" si="13"/>
        <v>2</v>
      </c>
      <c r="D164" s="244">
        <f t="shared" si="14"/>
        <v>7</v>
      </c>
      <c r="E164" s="244">
        <f t="shared" si="15"/>
        <v>9</v>
      </c>
      <c r="G164" s="248" t="str">
        <f t="shared" si="16"/>
        <v>&lt;ct130&gt;</v>
      </c>
      <c r="H164" s="251">
        <f ca="1">VLOOKUP(N164,BaoCaoTHTC!$C$7:$F$700,4,0)</f>
        <v>22680000</v>
      </c>
      <c r="I164" s="246" t="str">
        <f t="shared" si="17"/>
        <v>&lt;/ct130&gt;</v>
      </c>
      <c r="J164" s="245"/>
      <c r="K164" s="245"/>
      <c r="L164" s="245"/>
      <c r="M164" s="247"/>
      <c r="N164">
        <v>130</v>
      </c>
    </row>
    <row r="165" spans="1:14" x14ac:dyDescent="0.45">
      <c r="A165" s="253" t="str">
        <f t="shared" ca="1" si="12"/>
        <v>&lt;ct131&gt;22680000&lt;/ct131&gt;</v>
      </c>
      <c r="B165" s="243" t="s">
        <v>1510</v>
      </c>
      <c r="C165" s="244">
        <f t="shared" si="13"/>
        <v>2</v>
      </c>
      <c r="D165" s="244">
        <f t="shared" si="14"/>
        <v>7</v>
      </c>
      <c r="E165" s="244">
        <f t="shared" si="15"/>
        <v>9</v>
      </c>
      <c r="G165" s="248" t="str">
        <f t="shared" si="16"/>
        <v>&lt;ct131&gt;</v>
      </c>
      <c r="H165" s="251">
        <f ca="1">VLOOKUP(N165,BaoCaoTHTC!$C$7:$F$700,4,0)</f>
        <v>22680000</v>
      </c>
      <c r="I165" s="246" t="str">
        <f t="shared" si="17"/>
        <v>&lt;/ct131&gt;</v>
      </c>
      <c r="J165" s="245"/>
      <c r="K165" s="245"/>
      <c r="L165" s="245"/>
      <c r="M165" s="247"/>
      <c r="N165">
        <v>131</v>
      </c>
    </row>
    <row r="166" spans="1:14" x14ac:dyDescent="0.45">
      <c r="A166" s="253" t="str">
        <f t="shared" ca="1" si="12"/>
        <v>&lt;ct132&gt;0&lt;/ct132&gt;</v>
      </c>
      <c r="B166" s="243" t="s">
        <v>1467</v>
      </c>
      <c r="C166" s="244">
        <f t="shared" si="13"/>
        <v>2</v>
      </c>
      <c r="D166" s="244">
        <f t="shared" si="14"/>
        <v>7</v>
      </c>
      <c r="E166" s="244">
        <f t="shared" si="15"/>
        <v>9</v>
      </c>
      <c r="G166" s="248" t="str">
        <f t="shared" si="16"/>
        <v>&lt;ct132&gt;</v>
      </c>
      <c r="H166" s="251">
        <f ca="1">VLOOKUP(N166,BaoCaoTHTC!$C$7:$F$700,4,0)</f>
        <v>0</v>
      </c>
      <c r="I166" s="246" t="str">
        <f t="shared" si="17"/>
        <v>&lt;/ct132&gt;</v>
      </c>
      <c r="J166" s="245"/>
      <c r="K166" s="245"/>
      <c r="L166" s="245"/>
      <c r="M166" s="247"/>
      <c r="N166">
        <v>132</v>
      </c>
    </row>
    <row r="167" spans="1:14" x14ac:dyDescent="0.45">
      <c r="A167" s="253" t="str">
        <f t="shared" ca="1" si="12"/>
        <v>&lt;ct133&gt;0&lt;/ct133&gt;</v>
      </c>
      <c r="B167" s="243" t="s">
        <v>1468</v>
      </c>
      <c r="C167" s="244">
        <f t="shared" si="13"/>
        <v>2</v>
      </c>
      <c r="D167" s="244">
        <f t="shared" si="14"/>
        <v>7</v>
      </c>
      <c r="E167" s="244">
        <f t="shared" si="15"/>
        <v>9</v>
      </c>
      <c r="G167" s="248" t="str">
        <f t="shared" si="16"/>
        <v>&lt;ct133&gt;</v>
      </c>
      <c r="H167" s="251">
        <f ca="1">VLOOKUP(N167,BaoCaoTHTC!$C$7:$F$700,4,0)</f>
        <v>0</v>
      </c>
      <c r="I167" s="246" t="str">
        <f t="shared" si="17"/>
        <v>&lt;/ct133&gt;</v>
      </c>
      <c r="J167" s="245"/>
      <c r="K167" s="245"/>
      <c r="L167" s="245"/>
      <c r="M167" s="247"/>
      <c r="N167">
        <v>133</v>
      </c>
    </row>
    <row r="168" spans="1:14" x14ac:dyDescent="0.45">
      <c r="A168" s="253" t="str">
        <f t="shared" ca="1" si="12"/>
        <v>&lt;ct134&gt;0&lt;/ct134&gt;</v>
      </c>
      <c r="B168" s="243" t="s">
        <v>1511</v>
      </c>
      <c r="C168" s="244">
        <f t="shared" si="13"/>
        <v>2</v>
      </c>
      <c r="D168" s="244">
        <f t="shared" si="14"/>
        <v>7</v>
      </c>
      <c r="E168" s="244">
        <f t="shared" si="15"/>
        <v>9</v>
      </c>
      <c r="G168" s="248" t="str">
        <f t="shared" si="16"/>
        <v>&lt;ct134&gt;</v>
      </c>
      <c r="H168" s="251">
        <f ca="1">VLOOKUP(N168,BaoCaoTHTC!$C$7:$F$700,4,0)</f>
        <v>0</v>
      </c>
      <c r="I168" s="246" t="str">
        <f t="shared" si="17"/>
        <v>&lt;/ct134&gt;</v>
      </c>
      <c r="J168" s="245"/>
      <c r="K168" s="245"/>
      <c r="L168" s="245"/>
      <c r="M168" s="247"/>
      <c r="N168">
        <v>134</v>
      </c>
    </row>
    <row r="169" spans="1:14" x14ac:dyDescent="0.45">
      <c r="A169" s="253" t="str">
        <f t="shared" ca="1" si="12"/>
        <v>&lt;ct135&gt;0&lt;/ct135&gt;</v>
      </c>
      <c r="B169" s="243" t="s">
        <v>1470</v>
      </c>
      <c r="C169" s="244">
        <f t="shared" si="13"/>
        <v>2</v>
      </c>
      <c r="D169" s="244">
        <f t="shared" si="14"/>
        <v>7</v>
      </c>
      <c r="E169" s="244">
        <f t="shared" si="15"/>
        <v>9</v>
      </c>
      <c r="G169" s="248" t="str">
        <f t="shared" si="16"/>
        <v>&lt;ct135&gt;</v>
      </c>
      <c r="H169" s="251">
        <f ca="1">VLOOKUP(N169,BaoCaoTHTC!$C$7:$F$700,4,0)</f>
        <v>0</v>
      </c>
      <c r="I169" s="246" t="str">
        <f t="shared" si="17"/>
        <v>&lt;/ct135&gt;</v>
      </c>
      <c r="J169" s="245"/>
      <c r="K169" s="245"/>
      <c r="L169" s="245"/>
      <c r="M169" s="247"/>
      <c r="N169">
        <v>135</v>
      </c>
    </row>
    <row r="170" spans="1:14" x14ac:dyDescent="0.45">
      <c r="A170" s="253" t="str">
        <f t="shared" ca="1" si="12"/>
        <v>&lt;ct136&gt;0&lt;/ct136&gt;</v>
      </c>
      <c r="B170" s="243" t="s">
        <v>1471</v>
      </c>
      <c r="C170" s="244">
        <f t="shared" si="13"/>
        <v>2</v>
      </c>
      <c r="D170" s="244">
        <f t="shared" si="14"/>
        <v>7</v>
      </c>
      <c r="E170" s="244">
        <f t="shared" si="15"/>
        <v>9</v>
      </c>
      <c r="G170" s="248" t="str">
        <f t="shared" si="16"/>
        <v>&lt;ct136&gt;</v>
      </c>
      <c r="H170" s="251">
        <f ca="1">VLOOKUP(N170,BaoCaoTHTC!$C$7:$F$700,4,0)</f>
        <v>0</v>
      </c>
      <c r="I170" s="246" t="str">
        <f t="shared" si="17"/>
        <v>&lt;/ct136&gt;</v>
      </c>
      <c r="J170" s="245"/>
      <c r="K170" s="245"/>
      <c r="L170" s="245"/>
      <c r="M170" s="247"/>
      <c r="N170">
        <v>136</v>
      </c>
    </row>
    <row r="171" spans="1:14" x14ac:dyDescent="0.45">
      <c r="A171" s="253" t="str">
        <f t="shared" ca="1" si="12"/>
        <v>&lt;ct140&gt;0&lt;/ct140&gt;</v>
      </c>
      <c r="B171" s="243" t="s">
        <v>1512</v>
      </c>
      <c r="C171" s="244">
        <f t="shared" si="13"/>
        <v>2</v>
      </c>
      <c r="D171" s="244">
        <f t="shared" si="14"/>
        <v>7</v>
      </c>
      <c r="E171" s="244">
        <f t="shared" si="15"/>
        <v>9</v>
      </c>
      <c r="G171" s="248" t="str">
        <f t="shared" si="16"/>
        <v>&lt;ct140&gt;</v>
      </c>
      <c r="H171" s="251">
        <f ca="1">VLOOKUP(N171,BaoCaoTHTC!$C$7:$F$700,4,0)</f>
        <v>0</v>
      </c>
      <c r="I171" s="246" t="str">
        <f t="shared" si="17"/>
        <v>&lt;/ct140&gt;</v>
      </c>
      <c r="J171" s="245"/>
      <c r="K171" s="245"/>
      <c r="L171" s="245"/>
      <c r="M171" s="247"/>
      <c r="N171">
        <v>140</v>
      </c>
    </row>
    <row r="172" spans="1:14" x14ac:dyDescent="0.45">
      <c r="A172" s="253" t="str">
        <f t="shared" ca="1" si="12"/>
        <v>&lt;ct141&gt;0&lt;/ct141&gt;</v>
      </c>
      <c r="B172" s="243" t="s">
        <v>1513</v>
      </c>
      <c r="C172" s="244">
        <f t="shared" si="13"/>
        <v>2</v>
      </c>
      <c r="D172" s="244">
        <f t="shared" si="14"/>
        <v>7</v>
      </c>
      <c r="E172" s="244">
        <f t="shared" si="15"/>
        <v>9</v>
      </c>
      <c r="G172" s="248" t="str">
        <f t="shared" si="16"/>
        <v>&lt;ct141&gt;</v>
      </c>
      <c r="H172" s="251">
        <f ca="1">VLOOKUP(N172,BaoCaoTHTC!$C$7:$F$700,4,0)</f>
        <v>0</v>
      </c>
      <c r="I172" s="246" t="str">
        <f t="shared" si="17"/>
        <v>&lt;/ct141&gt;</v>
      </c>
      <c r="J172" s="245"/>
      <c r="K172" s="245"/>
      <c r="L172" s="245"/>
      <c r="M172" s="247"/>
      <c r="N172">
        <v>141</v>
      </c>
    </row>
    <row r="173" spans="1:14" x14ac:dyDescent="0.45">
      <c r="A173" s="253" t="str">
        <f t="shared" ref="A173:A236" ca="1" si="18">CONCATENATE(G173,H173,I173)</f>
        <v>&lt;ct142&gt;0&lt;/ct142&gt;</v>
      </c>
      <c r="B173" s="243" t="s">
        <v>1474</v>
      </c>
      <c r="C173" s="244">
        <f t="shared" si="13"/>
        <v>2</v>
      </c>
      <c r="D173" s="244">
        <f t="shared" si="14"/>
        <v>7</v>
      </c>
      <c r="E173" s="244">
        <f t="shared" si="15"/>
        <v>9</v>
      </c>
      <c r="G173" s="248" t="str">
        <f t="shared" si="16"/>
        <v>&lt;ct142&gt;</v>
      </c>
      <c r="H173" s="251">
        <f ca="1">VLOOKUP(N173,BaoCaoTHTC!$C$7:$F$700,4,0)</f>
        <v>0</v>
      </c>
      <c r="I173" s="246" t="str">
        <f t="shared" si="17"/>
        <v>&lt;/ct142&gt;</v>
      </c>
      <c r="J173" s="245"/>
      <c r="K173" s="245"/>
      <c r="L173" s="245"/>
      <c r="M173" s="247"/>
      <c r="N173">
        <v>142</v>
      </c>
    </row>
    <row r="174" spans="1:14" x14ac:dyDescent="0.45">
      <c r="A174" s="253" t="str">
        <f t="shared" ca="1" si="18"/>
        <v>&lt;ct150&gt;0&lt;/ct150&gt;</v>
      </c>
      <c r="B174" s="243" t="s">
        <v>1475</v>
      </c>
      <c r="C174" s="244">
        <f t="shared" si="13"/>
        <v>2</v>
      </c>
      <c r="D174" s="244">
        <f t="shared" si="14"/>
        <v>7</v>
      </c>
      <c r="E174" s="244">
        <f t="shared" si="15"/>
        <v>9</v>
      </c>
      <c r="G174" s="248" t="str">
        <f t="shared" si="16"/>
        <v>&lt;ct150&gt;</v>
      </c>
      <c r="H174" s="251">
        <f ca="1">VLOOKUP(N174,BaoCaoTHTC!$C$7:$F$700,4,0)</f>
        <v>0</v>
      </c>
      <c r="I174" s="246" t="str">
        <f t="shared" si="17"/>
        <v>&lt;/ct150&gt;</v>
      </c>
      <c r="J174" s="245"/>
      <c r="K174" s="245"/>
      <c r="L174" s="245"/>
      <c r="M174" s="247"/>
      <c r="N174">
        <v>150</v>
      </c>
    </row>
    <row r="175" spans="1:14" x14ac:dyDescent="0.45">
      <c r="A175" s="253" t="str">
        <f t="shared" ca="1" si="18"/>
        <v>&lt;ct151&gt;0&lt;/ct151&gt;</v>
      </c>
      <c r="B175" s="243" t="s">
        <v>1476</v>
      </c>
      <c r="C175" s="244">
        <f t="shared" si="13"/>
        <v>2</v>
      </c>
      <c r="D175" s="244">
        <f t="shared" si="14"/>
        <v>7</v>
      </c>
      <c r="E175" s="244">
        <f t="shared" si="15"/>
        <v>9</v>
      </c>
      <c r="G175" s="248" t="str">
        <f t="shared" si="16"/>
        <v>&lt;ct151&gt;</v>
      </c>
      <c r="H175" s="251">
        <f ca="1">VLOOKUP(N175,BaoCaoTHTC!$C$7:$F$700,4,0)</f>
        <v>0</v>
      </c>
      <c r="I175" s="246" t="str">
        <f t="shared" si="17"/>
        <v>&lt;/ct151&gt;</v>
      </c>
      <c r="J175" s="245"/>
      <c r="K175" s="245"/>
      <c r="L175" s="245"/>
      <c r="M175" s="247"/>
      <c r="N175">
        <v>151</v>
      </c>
    </row>
    <row r="176" spans="1:14" x14ac:dyDescent="0.45">
      <c r="A176" s="253" t="str">
        <f t="shared" ca="1" si="18"/>
        <v>&lt;ct152&gt;0&lt;/ct152&gt;</v>
      </c>
      <c r="B176" s="243" t="s">
        <v>1477</v>
      </c>
      <c r="C176" s="244">
        <f t="shared" si="13"/>
        <v>2</v>
      </c>
      <c r="D176" s="244">
        <f t="shared" si="14"/>
        <v>7</v>
      </c>
      <c r="E176" s="244">
        <f t="shared" si="15"/>
        <v>9</v>
      </c>
      <c r="G176" s="248" t="str">
        <f t="shared" si="16"/>
        <v>&lt;ct152&gt;</v>
      </c>
      <c r="H176" s="251">
        <f ca="1">VLOOKUP(N176,BaoCaoTHTC!$C$7:$F$700,4,0)</f>
        <v>0</v>
      </c>
      <c r="I176" s="246" t="str">
        <f t="shared" si="17"/>
        <v>&lt;/ct152&gt;</v>
      </c>
      <c r="J176" s="245"/>
      <c r="K176" s="245"/>
      <c r="L176" s="245"/>
      <c r="M176" s="247"/>
      <c r="N176">
        <v>152</v>
      </c>
    </row>
    <row r="177" spans="1:14" x14ac:dyDescent="0.45">
      <c r="A177" s="253" t="str">
        <f t="shared" ca="1" si="18"/>
        <v>&lt;ct160&gt;0&lt;/ct160&gt;</v>
      </c>
      <c r="B177" s="243" t="s">
        <v>1478</v>
      </c>
      <c r="C177" s="244">
        <f t="shared" si="13"/>
        <v>2</v>
      </c>
      <c r="D177" s="244">
        <f t="shared" si="14"/>
        <v>7</v>
      </c>
      <c r="E177" s="244">
        <f t="shared" si="15"/>
        <v>9</v>
      </c>
      <c r="G177" s="248" t="str">
        <f t="shared" si="16"/>
        <v>&lt;ct160&gt;</v>
      </c>
      <c r="H177" s="251">
        <f ca="1">VLOOKUP(N177,BaoCaoTHTC!$C$7:$F$700,4,0)</f>
        <v>0</v>
      </c>
      <c r="I177" s="246" t="str">
        <f t="shared" si="17"/>
        <v>&lt;/ct160&gt;</v>
      </c>
      <c r="J177" s="245"/>
      <c r="K177" s="245"/>
      <c r="L177" s="245"/>
      <c r="M177" s="247"/>
      <c r="N177">
        <v>160</v>
      </c>
    </row>
    <row r="178" spans="1:14" x14ac:dyDescent="0.45">
      <c r="A178" s="253" t="str">
        <f t="shared" ca="1" si="18"/>
        <v>&lt;ct161&gt;0&lt;/ct161&gt;</v>
      </c>
      <c r="B178" s="243" t="s">
        <v>1479</v>
      </c>
      <c r="C178" s="244">
        <f t="shared" si="13"/>
        <v>2</v>
      </c>
      <c r="D178" s="244">
        <f t="shared" si="14"/>
        <v>7</v>
      </c>
      <c r="E178" s="244">
        <f t="shared" si="15"/>
        <v>9</v>
      </c>
      <c r="G178" s="248" t="str">
        <f t="shared" si="16"/>
        <v>&lt;ct161&gt;</v>
      </c>
      <c r="H178" s="251">
        <f ca="1">VLOOKUP(N178,BaoCaoTHTC!$C$7:$F$700,4,0)</f>
        <v>0</v>
      </c>
      <c r="I178" s="246" t="str">
        <f t="shared" si="17"/>
        <v>&lt;/ct161&gt;</v>
      </c>
      <c r="J178" s="245"/>
      <c r="K178" s="245"/>
      <c r="L178" s="245"/>
      <c r="M178" s="247"/>
      <c r="N178">
        <v>161</v>
      </c>
    </row>
    <row r="179" spans="1:14" x14ac:dyDescent="0.45">
      <c r="A179" s="253" t="str">
        <f t="shared" ca="1" si="18"/>
        <v>&lt;ct162&gt;0&lt;/ct162&gt;</v>
      </c>
      <c r="B179" s="243" t="s">
        <v>1480</v>
      </c>
      <c r="C179" s="244">
        <f t="shared" si="13"/>
        <v>2</v>
      </c>
      <c r="D179" s="244">
        <f t="shared" si="14"/>
        <v>7</v>
      </c>
      <c r="E179" s="244">
        <f t="shared" si="15"/>
        <v>9</v>
      </c>
      <c r="G179" s="248" t="str">
        <f t="shared" si="16"/>
        <v>&lt;ct162&gt;</v>
      </c>
      <c r="H179" s="251">
        <f ca="1">VLOOKUP(N179,BaoCaoTHTC!$C$7:$F$700,4,0)</f>
        <v>0</v>
      </c>
      <c r="I179" s="246" t="str">
        <f t="shared" si="17"/>
        <v>&lt;/ct162&gt;</v>
      </c>
      <c r="J179" s="245"/>
      <c r="K179" s="245"/>
      <c r="L179" s="245"/>
      <c r="M179" s="247"/>
      <c r="N179">
        <v>162</v>
      </c>
    </row>
    <row r="180" spans="1:14" x14ac:dyDescent="0.45">
      <c r="A180" s="253" t="str">
        <f t="shared" ca="1" si="18"/>
        <v>&lt;ct170&gt;0&lt;/ct170&gt;</v>
      </c>
      <c r="B180" s="243" t="s">
        <v>1514</v>
      </c>
      <c r="C180" s="244">
        <f t="shared" si="13"/>
        <v>2</v>
      </c>
      <c r="D180" s="244">
        <f t="shared" si="14"/>
        <v>7</v>
      </c>
      <c r="E180" s="244">
        <f t="shared" si="15"/>
        <v>9</v>
      </c>
      <c r="G180" s="248" t="str">
        <f t="shared" si="16"/>
        <v>&lt;ct170&gt;</v>
      </c>
      <c r="H180" s="251">
        <f ca="1">VLOOKUP(N180,BaoCaoTHTC!$C$7:$F$700,4,0)</f>
        <v>0</v>
      </c>
      <c r="I180" s="246" t="str">
        <f t="shared" si="17"/>
        <v>&lt;/ct170&gt;</v>
      </c>
      <c r="J180" s="245"/>
      <c r="K180" s="245"/>
      <c r="L180" s="245"/>
      <c r="M180" s="247"/>
      <c r="N180">
        <v>170</v>
      </c>
    </row>
    <row r="181" spans="1:14" x14ac:dyDescent="0.45">
      <c r="A181" s="253" t="str">
        <f t="shared" ca="1" si="18"/>
        <v>&lt;ct180&gt;34900050&lt;/ct180&gt;</v>
      </c>
      <c r="B181" s="243" t="s">
        <v>1515</v>
      </c>
      <c r="C181" s="244">
        <f t="shared" si="13"/>
        <v>2</v>
      </c>
      <c r="D181" s="244">
        <f t="shared" si="14"/>
        <v>7</v>
      </c>
      <c r="E181" s="244">
        <f t="shared" si="15"/>
        <v>9</v>
      </c>
      <c r="G181" s="248" t="str">
        <f t="shared" si="16"/>
        <v>&lt;ct180&gt;</v>
      </c>
      <c r="H181" s="251">
        <f ca="1">VLOOKUP(N181,BaoCaoTHTC!$C$7:$F$700,4,0)</f>
        <v>34900050</v>
      </c>
      <c r="I181" s="246" t="str">
        <f t="shared" si="17"/>
        <v>&lt;/ct180&gt;</v>
      </c>
      <c r="J181" s="245"/>
      <c r="K181" s="245"/>
      <c r="L181" s="245"/>
      <c r="M181" s="247"/>
      <c r="N181">
        <v>180</v>
      </c>
    </row>
    <row r="182" spans="1:14" x14ac:dyDescent="0.45">
      <c r="A182" s="253" t="str">
        <f t="shared" ca="1" si="18"/>
        <v>&lt;ct181&gt;0&lt;/ct181&gt;</v>
      </c>
      <c r="B182" s="243" t="s">
        <v>1483</v>
      </c>
      <c r="C182" s="244">
        <f t="shared" si="13"/>
        <v>2</v>
      </c>
      <c r="D182" s="244">
        <f t="shared" si="14"/>
        <v>7</v>
      </c>
      <c r="E182" s="244">
        <f t="shared" si="15"/>
        <v>9</v>
      </c>
      <c r="G182" s="248" t="str">
        <f t="shared" si="16"/>
        <v>&lt;ct181&gt;</v>
      </c>
      <c r="H182" s="251">
        <f ca="1">VLOOKUP(N182,BaoCaoTHTC!$C$7:$F$700,4,0)</f>
        <v>0</v>
      </c>
      <c r="I182" s="246" t="str">
        <f t="shared" si="17"/>
        <v>&lt;/ct181&gt;</v>
      </c>
      <c r="J182" s="245"/>
      <c r="K182" s="245"/>
      <c r="L182" s="245"/>
      <c r="M182" s="247"/>
      <c r="N182">
        <v>181</v>
      </c>
    </row>
    <row r="183" spans="1:14" x14ac:dyDescent="0.45">
      <c r="A183" s="253" t="str">
        <f t="shared" ca="1" si="18"/>
        <v>&lt;ct182&gt;34900050&lt;/ct182&gt;</v>
      </c>
      <c r="B183" s="243" t="s">
        <v>1516</v>
      </c>
      <c r="C183" s="244">
        <f t="shared" si="13"/>
        <v>2</v>
      </c>
      <c r="D183" s="244">
        <f t="shared" si="14"/>
        <v>7</v>
      </c>
      <c r="E183" s="244">
        <f t="shared" si="15"/>
        <v>9</v>
      </c>
      <c r="G183" s="248" t="str">
        <f t="shared" si="16"/>
        <v>&lt;ct182&gt;</v>
      </c>
      <c r="H183" s="251">
        <f ca="1">VLOOKUP(N183,BaoCaoTHTC!$C$7:$F$700,4,0)</f>
        <v>34900050</v>
      </c>
      <c r="I183" s="246" t="str">
        <f t="shared" si="17"/>
        <v>&lt;/ct182&gt;</v>
      </c>
      <c r="J183" s="245"/>
      <c r="K183" s="245"/>
      <c r="L183" s="245"/>
      <c r="M183" s="247"/>
      <c r="N183">
        <v>182</v>
      </c>
    </row>
    <row r="184" spans="1:14" x14ac:dyDescent="0.45">
      <c r="A184" s="253" t="str">
        <f t="shared" ca="1" si="18"/>
        <v>&lt;ct200&gt;497694981&lt;/ct200&gt;</v>
      </c>
      <c r="B184" s="243" t="s">
        <v>1517</v>
      </c>
      <c r="C184" s="244">
        <f t="shared" si="13"/>
        <v>2</v>
      </c>
      <c r="D184" s="244">
        <f t="shared" si="14"/>
        <v>7</v>
      </c>
      <c r="E184" s="244">
        <f t="shared" si="15"/>
        <v>9</v>
      </c>
      <c r="G184" s="248" t="str">
        <f t="shared" si="16"/>
        <v>&lt;ct200&gt;</v>
      </c>
      <c r="H184" s="251">
        <f ca="1">VLOOKUP(N184,BaoCaoTHTC!$C$7:$F$700,4,0)</f>
        <v>497694981</v>
      </c>
      <c r="I184" s="246" t="str">
        <f t="shared" si="17"/>
        <v>&lt;/ct200&gt;</v>
      </c>
      <c r="J184" s="245"/>
      <c r="K184" s="245"/>
      <c r="L184" s="245"/>
      <c r="M184" s="247"/>
      <c r="N184">
        <v>200</v>
      </c>
    </row>
    <row r="185" spans="1:14" x14ac:dyDescent="0.45">
      <c r="A185" s="253" t="str">
        <f t="shared" ca="1" si="18"/>
        <v>&lt;ct300&gt;5015463&lt;/ct300&gt;</v>
      </c>
      <c r="B185" s="243" t="s">
        <v>1518</v>
      </c>
      <c r="C185" s="244">
        <f t="shared" si="13"/>
        <v>2</v>
      </c>
      <c r="D185" s="244">
        <f t="shared" si="14"/>
        <v>7</v>
      </c>
      <c r="E185" s="244">
        <f t="shared" si="15"/>
        <v>9</v>
      </c>
      <c r="G185" s="248" t="str">
        <f t="shared" si="16"/>
        <v>&lt;ct300&gt;</v>
      </c>
      <c r="H185" s="251">
        <f ca="1">VLOOKUP(N185,BaoCaoTHTC!$C$7:$F$700,4,0)</f>
        <v>5015463</v>
      </c>
      <c r="I185" s="246" t="str">
        <f t="shared" si="17"/>
        <v>&lt;/ct300&gt;</v>
      </c>
      <c r="J185" s="245"/>
      <c r="K185" s="245"/>
      <c r="L185" s="245"/>
      <c r="M185" s="247"/>
      <c r="N185">
        <v>300</v>
      </c>
    </row>
    <row r="186" spans="1:14" x14ac:dyDescent="0.45">
      <c r="A186" s="253" t="str">
        <f t="shared" ca="1" si="18"/>
        <v>&lt;ct311&gt;0&lt;/ct311&gt;</v>
      </c>
      <c r="B186" s="243" t="s">
        <v>1519</v>
      </c>
      <c r="C186" s="244">
        <f t="shared" si="13"/>
        <v>2</v>
      </c>
      <c r="D186" s="244">
        <f t="shared" si="14"/>
        <v>7</v>
      </c>
      <c r="E186" s="244">
        <f t="shared" si="15"/>
        <v>9</v>
      </c>
      <c r="G186" s="248" t="str">
        <f t="shared" si="16"/>
        <v>&lt;ct311&gt;</v>
      </c>
      <c r="H186" s="251">
        <f ca="1">VLOOKUP(N186,BaoCaoTHTC!$C$7:$F$700,4,0)</f>
        <v>0</v>
      </c>
      <c r="I186" s="246" t="str">
        <f t="shared" si="17"/>
        <v>&lt;/ct311&gt;</v>
      </c>
      <c r="J186" s="245"/>
      <c r="K186" s="245"/>
      <c r="L186" s="245"/>
      <c r="M186" s="247"/>
      <c r="N186">
        <v>311</v>
      </c>
    </row>
    <row r="187" spans="1:14" x14ac:dyDescent="0.45">
      <c r="A187" s="253" t="str">
        <f t="shared" ca="1" si="18"/>
        <v>&lt;ct312&gt;0&lt;/ct312&gt;</v>
      </c>
      <c r="B187" s="243" t="s">
        <v>1488</v>
      </c>
      <c r="C187" s="244">
        <f t="shared" si="13"/>
        <v>2</v>
      </c>
      <c r="D187" s="244">
        <f t="shared" si="14"/>
        <v>7</v>
      </c>
      <c r="E187" s="244">
        <f t="shared" si="15"/>
        <v>9</v>
      </c>
      <c r="G187" s="248" t="str">
        <f t="shared" si="16"/>
        <v>&lt;ct312&gt;</v>
      </c>
      <c r="H187" s="251">
        <f ca="1">VLOOKUP(N187,BaoCaoTHTC!$C$7:$F$700,4,0)</f>
        <v>0</v>
      </c>
      <c r="I187" s="246" t="str">
        <f t="shared" si="17"/>
        <v>&lt;/ct312&gt;</v>
      </c>
      <c r="J187" s="245"/>
      <c r="K187" s="245"/>
      <c r="L187" s="245"/>
      <c r="M187" s="247"/>
      <c r="N187">
        <v>312</v>
      </c>
    </row>
    <row r="188" spans="1:14" x14ac:dyDescent="0.45">
      <c r="A188" s="253" t="str">
        <f t="shared" ca="1" si="18"/>
        <v>&lt;ct313&gt;5015463&lt;/ct313&gt;</v>
      </c>
      <c r="B188" s="243" t="s">
        <v>1520</v>
      </c>
      <c r="C188" s="244">
        <f t="shared" si="13"/>
        <v>2</v>
      </c>
      <c r="D188" s="244">
        <f t="shared" si="14"/>
        <v>7</v>
      </c>
      <c r="E188" s="244">
        <f t="shared" si="15"/>
        <v>9</v>
      </c>
      <c r="G188" s="248" t="str">
        <f t="shared" si="16"/>
        <v>&lt;ct313&gt;</v>
      </c>
      <c r="H188" s="251">
        <f ca="1">VLOOKUP(N188,BaoCaoTHTC!$C$7:$F$700,4,0)</f>
        <v>5015463</v>
      </c>
      <c r="I188" s="246" t="str">
        <f t="shared" si="17"/>
        <v>&lt;/ct313&gt;</v>
      </c>
      <c r="J188" s="245"/>
      <c r="K188" s="245"/>
      <c r="L188" s="245"/>
      <c r="M188" s="247"/>
      <c r="N188">
        <v>313</v>
      </c>
    </row>
    <row r="189" spans="1:14" x14ac:dyDescent="0.45">
      <c r="A189" s="253" t="str">
        <f t="shared" ca="1" si="18"/>
        <v>&lt;ct314&gt;0&lt;/ct314&gt;</v>
      </c>
      <c r="B189" s="243" t="s">
        <v>1521</v>
      </c>
      <c r="C189" s="244">
        <f t="shared" si="13"/>
        <v>2</v>
      </c>
      <c r="D189" s="244">
        <f t="shared" si="14"/>
        <v>7</v>
      </c>
      <c r="E189" s="244">
        <f t="shared" si="15"/>
        <v>9</v>
      </c>
      <c r="G189" s="248" t="str">
        <f t="shared" si="16"/>
        <v>&lt;ct314&gt;</v>
      </c>
      <c r="H189" s="251">
        <f ca="1">VLOOKUP(N189,BaoCaoTHTC!$C$7:$F$700,4,0)</f>
        <v>0</v>
      </c>
      <c r="I189" s="246" t="str">
        <f t="shared" si="17"/>
        <v>&lt;/ct314&gt;</v>
      </c>
      <c r="J189" s="245"/>
      <c r="K189" s="245"/>
      <c r="L189" s="245"/>
      <c r="M189" s="247"/>
      <c r="N189">
        <v>314</v>
      </c>
    </row>
    <row r="190" spans="1:14" x14ac:dyDescent="0.45">
      <c r="A190" s="253" t="str">
        <f t="shared" ca="1" si="18"/>
        <v>&lt;ct315&gt;0&lt;/ct315&gt;</v>
      </c>
      <c r="B190" s="243" t="s">
        <v>1522</v>
      </c>
      <c r="C190" s="244">
        <f t="shared" si="13"/>
        <v>2</v>
      </c>
      <c r="D190" s="244">
        <f t="shared" si="14"/>
        <v>7</v>
      </c>
      <c r="E190" s="244">
        <f t="shared" si="15"/>
        <v>9</v>
      </c>
      <c r="G190" s="248" t="str">
        <f t="shared" si="16"/>
        <v>&lt;ct315&gt;</v>
      </c>
      <c r="H190" s="251">
        <f ca="1">VLOOKUP(N190,BaoCaoTHTC!$C$7:$F$700,4,0)</f>
        <v>0</v>
      </c>
      <c r="I190" s="246" t="str">
        <f t="shared" si="17"/>
        <v>&lt;/ct315&gt;</v>
      </c>
      <c r="J190" s="245"/>
      <c r="K190" s="245"/>
      <c r="L190" s="245"/>
      <c r="M190" s="247"/>
      <c r="N190">
        <v>315</v>
      </c>
    </row>
    <row r="191" spans="1:14" x14ac:dyDescent="0.45">
      <c r="A191" s="253" t="str">
        <f t="shared" ca="1" si="18"/>
        <v>&lt;ct316&gt;0&lt;/ct316&gt;</v>
      </c>
      <c r="B191" s="243" t="s">
        <v>1523</v>
      </c>
      <c r="C191" s="244">
        <f t="shared" si="13"/>
        <v>2</v>
      </c>
      <c r="D191" s="244">
        <f t="shared" si="14"/>
        <v>7</v>
      </c>
      <c r="E191" s="244">
        <f t="shared" si="15"/>
        <v>9</v>
      </c>
      <c r="G191" s="248" t="str">
        <f t="shared" si="16"/>
        <v>&lt;ct316&gt;</v>
      </c>
      <c r="H191" s="251">
        <f ca="1">VLOOKUP(N191,BaoCaoTHTC!$C$7:$F$700,4,0)</f>
        <v>0</v>
      </c>
      <c r="I191" s="246" t="str">
        <f t="shared" si="17"/>
        <v>&lt;/ct316&gt;</v>
      </c>
      <c r="J191" s="245"/>
      <c r="K191" s="245"/>
      <c r="L191" s="245"/>
      <c r="M191" s="247"/>
      <c r="N191">
        <v>316</v>
      </c>
    </row>
    <row r="192" spans="1:14" x14ac:dyDescent="0.45">
      <c r="A192" s="253" t="str">
        <f t="shared" ca="1" si="18"/>
        <v>&lt;ct317&gt;0&lt;/ct317&gt;</v>
      </c>
      <c r="B192" s="243" t="s">
        <v>1493</v>
      </c>
      <c r="C192" s="244">
        <f t="shared" si="13"/>
        <v>2</v>
      </c>
      <c r="D192" s="244">
        <f t="shared" si="14"/>
        <v>7</v>
      </c>
      <c r="E192" s="244">
        <f t="shared" si="15"/>
        <v>9</v>
      </c>
      <c r="G192" s="248" t="str">
        <f t="shared" si="16"/>
        <v>&lt;ct317&gt;</v>
      </c>
      <c r="H192" s="251">
        <f ca="1">VLOOKUP(N192,BaoCaoTHTC!$C$7:$F$700,4,0)</f>
        <v>0</v>
      </c>
      <c r="I192" s="246" t="str">
        <f t="shared" si="17"/>
        <v>&lt;/ct317&gt;</v>
      </c>
      <c r="J192" s="245"/>
      <c r="K192" s="245"/>
      <c r="L192" s="245"/>
      <c r="M192" s="247"/>
      <c r="N192">
        <v>317</v>
      </c>
    </row>
    <row r="193" spans="1:14" x14ac:dyDescent="0.45">
      <c r="A193" s="253" t="str">
        <f t="shared" ca="1" si="18"/>
        <v>&lt;ct318&gt;0&lt;/ct318&gt;</v>
      </c>
      <c r="B193" s="243" t="s">
        <v>1494</v>
      </c>
      <c r="C193" s="244">
        <f t="shared" si="13"/>
        <v>2</v>
      </c>
      <c r="D193" s="244">
        <f t="shared" si="14"/>
        <v>7</v>
      </c>
      <c r="E193" s="244">
        <f t="shared" si="15"/>
        <v>9</v>
      </c>
      <c r="G193" s="248" t="str">
        <f t="shared" si="16"/>
        <v>&lt;ct318&gt;</v>
      </c>
      <c r="H193" s="251">
        <f ca="1">VLOOKUP(N193,BaoCaoTHTC!$C$7:$F$700,4,0)</f>
        <v>0</v>
      </c>
      <c r="I193" s="246" t="str">
        <f t="shared" si="17"/>
        <v>&lt;/ct318&gt;</v>
      </c>
      <c r="J193" s="245"/>
      <c r="K193" s="245"/>
      <c r="L193" s="245"/>
      <c r="M193" s="247"/>
      <c r="N193">
        <v>318</v>
      </c>
    </row>
    <row r="194" spans="1:14" x14ac:dyDescent="0.45">
      <c r="A194" s="253" t="str">
        <f t="shared" ca="1" si="18"/>
        <v>&lt;ct319&gt;0&lt;/ct319&gt;</v>
      </c>
      <c r="B194" s="243" t="s">
        <v>1495</v>
      </c>
      <c r="C194" s="244">
        <f t="shared" si="13"/>
        <v>2</v>
      </c>
      <c r="D194" s="244">
        <f t="shared" si="14"/>
        <v>7</v>
      </c>
      <c r="E194" s="244">
        <f t="shared" si="15"/>
        <v>9</v>
      </c>
      <c r="G194" s="248" t="str">
        <f t="shared" si="16"/>
        <v>&lt;ct319&gt;</v>
      </c>
      <c r="H194" s="251">
        <f ca="1">VLOOKUP(N194,BaoCaoTHTC!$C$7:$F$700,4,0)</f>
        <v>0</v>
      </c>
      <c r="I194" s="246" t="str">
        <f t="shared" si="17"/>
        <v>&lt;/ct319&gt;</v>
      </c>
      <c r="J194" s="245"/>
      <c r="K194" s="245"/>
      <c r="L194" s="245"/>
      <c r="M194" s="247"/>
      <c r="N194">
        <v>319</v>
      </c>
    </row>
    <row r="195" spans="1:14" x14ac:dyDescent="0.45">
      <c r="A195" s="253" t="str">
        <f t="shared" ca="1" si="18"/>
        <v>&lt;ct320&gt;0&lt;/ct320&gt;</v>
      </c>
      <c r="B195" s="243" t="s">
        <v>1496</v>
      </c>
      <c r="C195" s="244">
        <f t="shared" si="13"/>
        <v>2</v>
      </c>
      <c r="D195" s="244">
        <f t="shared" si="14"/>
        <v>7</v>
      </c>
      <c r="E195" s="244">
        <f t="shared" si="15"/>
        <v>9</v>
      </c>
      <c r="G195" s="248" t="str">
        <f t="shared" si="16"/>
        <v>&lt;ct320&gt;</v>
      </c>
      <c r="H195" s="251">
        <f ca="1">VLOOKUP(N195,BaoCaoTHTC!$C$7:$F$700,4,0)</f>
        <v>0</v>
      </c>
      <c r="I195" s="246" t="str">
        <f t="shared" si="17"/>
        <v>&lt;/ct320&gt;</v>
      </c>
      <c r="J195" s="245"/>
      <c r="K195" s="245"/>
      <c r="L195" s="245"/>
      <c r="M195" s="247"/>
      <c r="N195">
        <v>320</v>
      </c>
    </row>
    <row r="196" spans="1:14" x14ac:dyDescent="0.45">
      <c r="A196" s="253" t="str">
        <f t="shared" ca="1" si="18"/>
        <v>&lt;ct400&gt;492679518&lt;/ct400&gt;</v>
      </c>
      <c r="B196" s="243" t="s">
        <v>1524</v>
      </c>
      <c r="C196" s="244">
        <f t="shared" si="13"/>
        <v>2</v>
      </c>
      <c r="D196" s="244">
        <f t="shared" si="14"/>
        <v>7</v>
      </c>
      <c r="E196" s="244">
        <f t="shared" si="15"/>
        <v>9</v>
      </c>
      <c r="G196" s="248" t="str">
        <f t="shared" si="16"/>
        <v>&lt;ct400&gt;</v>
      </c>
      <c r="H196" s="251">
        <f ca="1">VLOOKUP(N196,BaoCaoTHTC!$C$7:$F$700,4,0)</f>
        <v>492679518</v>
      </c>
      <c r="I196" s="246" t="str">
        <f t="shared" si="17"/>
        <v>&lt;/ct400&gt;</v>
      </c>
      <c r="J196" s="245"/>
      <c r="K196" s="245"/>
      <c r="L196" s="245"/>
      <c r="M196" s="247"/>
      <c r="N196">
        <v>400</v>
      </c>
    </row>
    <row r="197" spans="1:14" x14ac:dyDescent="0.45">
      <c r="A197" s="253" t="str">
        <f t="shared" ca="1" si="18"/>
        <v>&lt;ct411&gt;500000000&lt;/ct411&gt;</v>
      </c>
      <c r="B197" s="243" t="s">
        <v>1525</v>
      </c>
      <c r="C197" s="244">
        <f t="shared" si="13"/>
        <v>2</v>
      </c>
      <c r="D197" s="244">
        <f t="shared" si="14"/>
        <v>7</v>
      </c>
      <c r="E197" s="244">
        <f t="shared" si="15"/>
        <v>9</v>
      </c>
      <c r="G197" s="248" t="str">
        <f t="shared" si="16"/>
        <v>&lt;ct411&gt;</v>
      </c>
      <c r="H197" s="251">
        <f ca="1">VLOOKUP(N197,BaoCaoTHTC!$C$7:$F$700,4,0)</f>
        <v>500000000</v>
      </c>
      <c r="I197" s="246" t="str">
        <f t="shared" si="17"/>
        <v>&lt;/ct411&gt;</v>
      </c>
      <c r="J197" s="245"/>
      <c r="K197" s="245"/>
      <c r="L197" s="245"/>
      <c r="M197" s="247"/>
      <c r="N197">
        <v>411</v>
      </c>
    </row>
    <row r="198" spans="1:14" x14ac:dyDescent="0.45">
      <c r="A198" s="253" t="str">
        <f t="shared" ca="1" si="18"/>
        <v>&lt;ct412&gt;0&lt;/ct412&gt;</v>
      </c>
      <c r="B198" s="243" t="s">
        <v>1499</v>
      </c>
      <c r="C198" s="244">
        <f t="shared" si="13"/>
        <v>2</v>
      </c>
      <c r="D198" s="244">
        <f t="shared" si="14"/>
        <v>7</v>
      </c>
      <c r="E198" s="244">
        <f t="shared" si="15"/>
        <v>9</v>
      </c>
      <c r="G198" s="248" t="str">
        <f t="shared" si="16"/>
        <v>&lt;ct412&gt;</v>
      </c>
      <c r="H198" s="251">
        <f ca="1">VLOOKUP(N198,BaoCaoTHTC!$C$7:$F$700,4,0)</f>
        <v>0</v>
      </c>
      <c r="I198" s="246" t="str">
        <f t="shared" si="17"/>
        <v>&lt;/ct412&gt;</v>
      </c>
      <c r="J198" s="245"/>
      <c r="K198" s="245"/>
      <c r="L198" s="245"/>
      <c r="M198" s="247"/>
      <c r="N198">
        <v>412</v>
      </c>
    </row>
    <row r="199" spans="1:14" x14ac:dyDescent="0.45">
      <c r="A199" s="253" t="str">
        <f t="shared" ca="1" si="18"/>
        <v>&lt;ct413&gt;0&lt;/ct413&gt;</v>
      </c>
      <c r="B199" s="243" t="s">
        <v>1500</v>
      </c>
      <c r="C199" s="244">
        <f t="shared" si="13"/>
        <v>2</v>
      </c>
      <c r="D199" s="244">
        <f t="shared" si="14"/>
        <v>7</v>
      </c>
      <c r="E199" s="244">
        <f t="shared" si="15"/>
        <v>9</v>
      </c>
      <c r="G199" s="248" t="str">
        <f t="shared" si="16"/>
        <v>&lt;ct413&gt;</v>
      </c>
      <c r="H199" s="251">
        <f ca="1">VLOOKUP(N199,BaoCaoTHTC!$C$7:$F$700,4,0)</f>
        <v>0</v>
      </c>
      <c r="I199" s="246" t="str">
        <f t="shared" si="17"/>
        <v>&lt;/ct413&gt;</v>
      </c>
      <c r="J199" s="245"/>
      <c r="K199" s="245"/>
      <c r="L199" s="245"/>
      <c r="M199" s="247"/>
      <c r="N199">
        <v>413</v>
      </c>
    </row>
    <row r="200" spans="1:14" x14ac:dyDescent="0.45">
      <c r="A200" s="253" t="str">
        <f t="shared" ca="1" si="18"/>
        <v>&lt;ct414&gt;0&lt;/ct414&gt;</v>
      </c>
      <c r="B200" s="243" t="s">
        <v>1501</v>
      </c>
      <c r="C200" s="244">
        <f t="shared" si="13"/>
        <v>2</v>
      </c>
      <c r="D200" s="244">
        <f t="shared" si="14"/>
        <v>7</v>
      </c>
      <c r="E200" s="244">
        <f t="shared" si="15"/>
        <v>9</v>
      </c>
      <c r="G200" s="248" t="str">
        <f t="shared" si="16"/>
        <v>&lt;ct414&gt;</v>
      </c>
      <c r="H200" s="251">
        <f ca="1">VLOOKUP(N200,BaoCaoTHTC!$C$7:$F$700,4,0)</f>
        <v>0</v>
      </c>
      <c r="I200" s="246" t="str">
        <f t="shared" si="17"/>
        <v>&lt;/ct414&gt;</v>
      </c>
      <c r="J200" s="245"/>
      <c r="K200" s="245"/>
      <c r="L200" s="245"/>
      <c r="M200" s="247"/>
      <c r="N200">
        <v>414</v>
      </c>
    </row>
    <row r="201" spans="1:14" x14ac:dyDescent="0.45">
      <c r="A201" s="253" t="str">
        <f t="shared" ca="1" si="18"/>
        <v>&lt;ct415&gt;0&lt;/ct415&gt;</v>
      </c>
      <c r="B201" s="243" t="s">
        <v>1502</v>
      </c>
      <c r="C201" s="244">
        <f t="shared" si="13"/>
        <v>2</v>
      </c>
      <c r="D201" s="244">
        <f t="shared" si="14"/>
        <v>7</v>
      </c>
      <c r="E201" s="244">
        <f t="shared" si="15"/>
        <v>9</v>
      </c>
      <c r="G201" s="248" t="str">
        <f t="shared" si="16"/>
        <v>&lt;ct415&gt;</v>
      </c>
      <c r="H201" s="251">
        <f ca="1">VLOOKUP(N201,BaoCaoTHTC!$C$7:$F$700,4,0)</f>
        <v>0</v>
      </c>
      <c r="I201" s="246" t="str">
        <f t="shared" si="17"/>
        <v>&lt;/ct415&gt;</v>
      </c>
      <c r="J201" s="245"/>
      <c r="K201" s="245"/>
      <c r="L201" s="245"/>
      <c r="M201" s="247"/>
      <c r="N201">
        <v>415</v>
      </c>
    </row>
    <row r="202" spans="1:14" x14ac:dyDescent="0.45">
      <c r="A202" s="253" t="str">
        <f t="shared" ca="1" si="18"/>
        <v>&lt;ct416&gt;0&lt;/ct416&gt;</v>
      </c>
      <c r="B202" s="243" t="s">
        <v>1503</v>
      </c>
      <c r="C202" s="244">
        <f t="shared" si="13"/>
        <v>2</v>
      </c>
      <c r="D202" s="244">
        <f t="shared" si="14"/>
        <v>7</v>
      </c>
      <c r="E202" s="244">
        <f t="shared" si="15"/>
        <v>9</v>
      </c>
      <c r="G202" s="248" t="str">
        <f t="shared" si="16"/>
        <v>&lt;ct416&gt;</v>
      </c>
      <c r="H202" s="251">
        <f ca="1">VLOOKUP(N202,BaoCaoTHTC!$C$7:$F$700,4,0)</f>
        <v>0</v>
      </c>
      <c r="I202" s="246" t="str">
        <f t="shared" si="17"/>
        <v>&lt;/ct416&gt;</v>
      </c>
      <c r="J202" s="245"/>
      <c r="K202" s="245"/>
      <c r="L202" s="245"/>
      <c r="M202" s="247"/>
      <c r="N202">
        <v>416</v>
      </c>
    </row>
    <row r="203" spans="1:14" x14ac:dyDescent="0.45">
      <c r="A203" s="253" t="str">
        <f t="shared" ca="1" si="18"/>
        <v>&lt;ct417&gt;-7320482&lt;/ct417&gt;</v>
      </c>
      <c r="B203" s="243" t="s">
        <v>1526</v>
      </c>
      <c r="C203" s="244">
        <f t="shared" si="13"/>
        <v>2</v>
      </c>
      <c r="D203" s="244">
        <f t="shared" si="14"/>
        <v>7</v>
      </c>
      <c r="E203" s="244">
        <f t="shared" si="15"/>
        <v>9</v>
      </c>
      <c r="G203" s="248" t="str">
        <f t="shared" si="16"/>
        <v>&lt;ct417&gt;</v>
      </c>
      <c r="H203" s="251">
        <f ca="1">VLOOKUP(N203,BaoCaoTHTC!$C$7:$F$700,4,0)</f>
        <v>-7320482</v>
      </c>
      <c r="I203" s="246" t="str">
        <f t="shared" si="17"/>
        <v>&lt;/ct417&gt;</v>
      </c>
      <c r="J203" s="245"/>
      <c r="K203" s="245"/>
      <c r="L203" s="245"/>
      <c r="M203" s="247"/>
      <c r="N203">
        <v>417</v>
      </c>
    </row>
    <row r="204" spans="1:14" x14ac:dyDescent="0.45">
      <c r="A204" s="253" t="str">
        <f t="shared" ca="1" si="18"/>
        <v>&lt;ct500&gt;497694981&lt;/ct500&gt;</v>
      </c>
      <c r="B204" s="243" t="s">
        <v>1527</v>
      </c>
      <c r="C204" s="244">
        <f t="shared" si="13"/>
        <v>2</v>
      </c>
      <c r="D204" s="244">
        <f t="shared" si="14"/>
        <v>7</v>
      </c>
      <c r="E204" s="244">
        <f t="shared" si="15"/>
        <v>9</v>
      </c>
      <c r="G204" s="248" t="str">
        <f t="shared" si="16"/>
        <v>&lt;ct500&gt;</v>
      </c>
      <c r="H204" s="251">
        <f ca="1">VLOOKUP(N204,BaoCaoTHTC!$C$7:$F$700,4,0)</f>
        <v>497694981</v>
      </c>
      <c r="I204" s="246" t="str">
        <f t="shared" si="17"/>
        <v>&lt;/ct500&gt;</v>
      </c>
      <c r="J204" s="245"/>
      <c r="K204" s="245"/>
      <c r="L204" s="245"/>
      <c r="M204" s="247"/>
      <c r="N204">
        <v>500</v>
      </c>
    </row>
    <row r="205" spans="1:14" x14ac:dyDescent="0.45">
      <c r="A205" s="253" t="str">
        <f t="shared" si="18"/>
        <v>&lt;/SoDauNam&gt;</v>
      </c>
      <c r="B205" s="243" t="s">
        <v>1528</v>
      </c>
      <c r="C205" s="244">
        <f t="shared" si="13"/>
        <v>1</v>
      </c>
      <c r="D205" s="244">
        <f t="shared" si="14"/>
        <v>11</v>
      </c>
      <c r="E205" s="244">
        <f t="shared" si="15"/>
        <v>1</v>
      </c>
      <c r="G205" s="248" t="str">
        <f t="shared" si="16"/>
        <v>&lt;/SoDauNam&gt;</v>
      </c>
      <c r="H205" s="251"/>
      <c r="I205" s="246" t="str">
        <f t="shared" si="17"/>
        <v/>
      </c>
      <c r="J205" s="245"/>
      <c r="K205" s="245"/>
      <c r="L205" s="245"/>
      <c r="M205" s="247"/>
    </row>
    <row r="206" spans="1:14" x14ac:dyDescent="0.45">
      <c r="A206" s="253" t="str">
        <f t="shared" si="18"/>
        <v>&lt;nguoiLapBieu&gt;&lt;/nguoiLapBieu&gt;</v>
      </c>
      <c r="B206" s="243" t="s">
        <v>1529</v>
      </c>
      <c r="C206" s="244">
        <f t="shared" si="13"/>
        <v>2</v>
      </c>
      <c r="D206" s="244">
        <f t="shared" si="14"/>
        <v>14</v>
      </c>
      <c r="E206" s="244">
        <f t="shared" si="15"/>
        <v>15</v>
      </c>
      <c r="G206" s="248" t="str">
        <f t="shared" si="16"/>
        <v>&lt;nguoiLapBieu&gt;</v>
      </c>
      <c r="H206" s="251"/>
      <c r="I206" s="246" t="str">
        <f t="shared" si="17"/>
        <v>&lt;/nguoiLapBieu&gt;</v>
      </c>
      <c r="J206" s="245"/>
      <c r="K206" s="245"/>
      <c r="L206" s="245"/>
      <c r="M206" s="247"/>
    </row>
    <row r="207" spans="1:14" x14ac:dyDescent="0.45">
      <c r="A207" s="253" t="str">
        <f t="shared" si="18"/>
        <v>&lt;keToanTruong&gt;&lt;/keToanTruong&gt;</v>
      </c>
      <c r="B207" s="243" t="s">
        <v>1530</v>
      </c>
      <c r="C207" s="244">
        <f t="shared" si="13"/>
        <v>2</v>
      </c>
      <c r="D207" s="244">
        <f t="shared" si="14"/>
        <v>14</v>
      </c>
      <c r="E207" s="244">
        <f t="shared" si="15"/>
        <v>15</v>
      </c>
      <c r="G207" s="248" t="str">
        <f t="shared" si="16"/>
        <v>&lt;keToanTruong&gt;</v>
      </c>
      <c r="H207" s="251"/>
      <c r="I207" s="246" t="str">
        <f t="shared" si="17"/>
        <v>&lt;/keToanTruong&gt;</v>
      </c>
      <c r="J207" s="245"/>
      <c r="K207" s="245"/>
      <c r="L207" s="245"/>
      <c r="M207" s="247"/>
    </row>
    <row r="208" spans="1:14" x14ac:dyDescent="0.45">
      <c r="A208" s="253" t="str">
        <f t="shared" ca="1" si="18"/>
        <v>&lt;ngayLap&gt;2025-10-12&lt;/ngayLap&gt;</v>
      </c>
      <c r="B208" s="243" t="s">
        <v>1531</v>
      </c>
      <c r="C208" s="244">
        <f t="shared" si="13"/>
        <v>2</v>
      </c>
      <c r="D208" s="244">
        <f t="shared" si="14"/>
        <v>9</v>
      </c>
      <c r="E208" s="244">
        <f t="shared" si="15"/>
        <v>20</v>
      </c>
      <c r="G208" s="248" t="str">
        <f t="shared" si="16"/>
        <v>&lt;ngayLap&gt;</v>
      </c>
      <c r="H208" s="251" t="str">
        <f ca="1">H31</f>
        <v>2025-10-12</v>
      </c>
      <c r="I208" s="246" t="str">
        <f t="shared" si="17"/>
        <v>&lt;/ngayLap&gt;</v>
      </c>
      <c r="J208" s="245"/>
      <c r="K208" s="245"/>
      <c r="L208" s="245"/>
      <c r="M208" s="247"/>
    </row>
    <row r="209" spans="1:13" x14ac:dyDescent="0.45">
      <c r="A209" s="253" t="str">
        <f t="shared" si="18"/>
        <v>&lt;nguoiDaiDienTheoPhapLuat&gt;&lt;/nguoiDaiDienTheoPhapLuat&gt;</v>
      </c>
      <c r="B209" s="243" t="s">
        <v>1532</v>
      </c>
      <c r="C209" s="244">
        <f t="shared" si="13"/>
        <v>2</v>
      </c>
      <c r="D209" s="244">
        <f t="shared" si="14"/>
        <v>26</v>
      </c>
      <c r="E209" s="244">
        <f t="shared" si="15"/>
        <v>27</v>
      </c>
      <c r="G209" s="248" t="str">
        <f t="shared" si="16"/>
        <v>&lt;nguoiDaiDienTheoPhapLuat&gt;</v>
      </c>
      <c r="H209" s="251"/>
      <c r="I209" s="246" t="str">
        <f t="shared" si="17"/>
        <v>&lt;/nguoiDaiDienTheoPhapLuat&gt;</v>
      </c>
      <c r="J209" s="245"/>
      <c r="K209" s="245"/>
      <c r="L209" s="245"/>
      <c r="M209" s="247"/>
    </row>
    <row r="210" spans="1:13" x14ac:dyDescent="0.45">
      <c r="A210" s="253" t="str">
        <f t="shared" si="18"/>
        <v>&lt;/CTieuTKhaiChinh&gt;</v>
      </c>
      <c r="B210" s="243" t="s">
        <v>1533</v>
      </c>
      <c r="C210" s="244">
        <f t="shared" si="13"/>
        <v>1</v>
      </c>
      <c r="D210" s="244">
        <f t="shared" si="14"/>
        <v>18</v>
      </c>
      <c r="E210" s="244">
        <f t="shared" si="15"/>
        <v>1</v>
      </c>
      <c r="G210" s="248" t="str">
        <f t="shared" si="16"/>
        <v>&lt;/CTieuTKhaiChinh&gt;</v>
      </c>
      <c r="H210" s="251"/>
      <c r="I210" s="246" t="str">
        <f t="shared" si="17"/>
        <v/>
      </c>
      <c r="J210" s="245"/>
      <c r="K210" s="245"/>
      <c r="L210" s="245"/>
      <c r="M210" s="247"/>
    </row>
    <row r="211" spans="1:13" x14ac:dyDescent="0.45">
      <c r="A211" s="253" t="str">
        <f t="shared" si="18"/>
        <v>&lt;PLuc&gt;</v>
      </c>
      <c r="B211" s="243" t="s">
        <v>1534</v>
      </c>
      <c r="C211" s="244">
        <f t="shared" si="13"/>
        <v>1</v>
      </c>
      <c r="D211" s="244">
        <f t="shared" si="14"/>
        <v>6</v>
      </c>
      <c r="E211" s="244" t="str">
        <f t="shared" si="15"/>
        <v/>
      </c>
      <c r="G211" s="248" t="str">
        <f t="shared" si="16"/>
        <v>&lt;PLuc&gt;</v>
      </c>
      <c r="H211" s="251"/>
      <c r="I211" s="246" t="str">
        <f t="shared" si="17"/>
        <v/>
      </c>
      <c r="J211" s="245"/>
      <c r="K211" s="245"/>
      <c r="L211" s="245"/>
      <c r="M211" s="247"/>
    </row>
    <row r="212" spans="1:13" x14ac:dyDescent="0.45">
      <c r="A212" s="253" t="str">
        <f t="shared" si="18"/>
        <v>&lt;PL_KQHDSXKD&gt;</v>
      </c>
      <c r="B212" s="243" t="s">
        <v>1535</v>
      </c>
      <c r="C212" s="244">
        <f t="shared" si="13"/>
        <v>1</v>
      </c>
      <c r="D212" s="244">
        <f t="shared" si="14"/>
        <v>13</v>
      </c>
      <c r="E212" s="244" t="str">
        <f t="shared" si="15"/>
        <v/>
      </c>
      <c r="G212" s="248" t="str">
        <f t="shared" si="16"/>
        <v>&lt;PL_KQHDSXKD&gt;</v>
      </c>
      <c r="H212" s="251"/>
      <c r="I212" s="246" t="str">
        <f t="shared" si="17"/>
        <v/>
      </c>
      <c r="J212" s="245"/>
      <c r="K212" s="245"/>
      <c r="L212" s="245"/>
      <c r="M212" s="247"/>
    </row>
    <row r="213" spans="1:13" x14ac:dyDescent="0.45">
      <c r="A213" s="253" t="str">
        <f t="shared" si="18"/>
        <v>&lt;ThuyetMinh&gt;</v>
      </c>
      <c r="B213" s="243" t="s">
        <v>1397</v>
      </c>
      <c r="C213" s="244">
        <f t="shared" si="13"/>
        <v>1</v>
      </c>
      <c r="D213" s="244">
        <f t="shared" si="14"/>
        <v>12</v>
      </c>
      <c r="E213" s="244" t="str">
        <f t="shared" si="15"/>
        <v/>
      </c>
      <c r="G213" s="248" t="str">
        <f t="shared" si="16"/>
        <v>&lt;ThuyetMinh&gt;</v>
      </c>
      <c r="H213" s="251"/>
      <c r="I213" s="246" t="str">
        <f t="shared" si="17"/>
        <v/>
      </c>
      <c r="J213" s="245"/>
      <c r="K213" s="245"/>
      <c r="L213" s="245"/>
      <c r="M213" s="247"/>
    </row>
    <row r="214" spans="1:13" x14ac:dyDescent="0.45">
      <c r="A214" s="253" t="str">
        <f t="shared" si="18"/>
        <v>&lt;ct01&gt;&lt;/ct01&gt;</v>
      </c>
      <c r="B214" s="243" t="s">
        <v>1536</v>
      </c>
      <c r="C214" s="244">
        <f t="shared" si="13"/>
        <v>2</v>
      </c>
      <c r="D214" s="244">
        <f t="shared" si="14"/>
        <v>6</v>
      </c>
      <c r="E214" s="244">
        <f t="shared" si="15"/>
        <v>7</v>
      </c>
      <c r="G214" s="248" t="str">
        <f t="shared" si="16"/>
        <v>&lt;ct01&gt;</v>
      </c>
      <c r="H214" s="251"/>
      <c r="I214" s="246" t="str">
        <f t="shared" si="17"/>
        <v>&lt;/ct01&gt;</v>
      </c>
      <c r="J214" s="245"/>
      <c r="K214" s="245"/>
      <c r="L214" s="245"/>
      <c r="M214" s="247"/>
    </row>
    <row r="215" spans="1:13" x14ac:dyDescent="0.45">
      <c r="A215" s="253" t="str">
        <f t="shared" si="18"/>
        <v>&lt;ct02&gt;&lt;/ct02&gt;</v>
      </c>
      <c r="B215" s="243" t="s">
        <v>1537</v>
      </c>
      <c r="C215" s="244">
        <f t="shared" si="13"/>
        <v>2</v>
      </c>
      <c r="D215" s="244">
        <f t="shared" si="14"/>
        <v>6</v>
      </c>
      <c r="E215" s="244">
        <f t="shared" si="15"/>
        <v>7</v>
      </c>
      <c r="G215" s="248" t="str">
        <f t="shared" si="16"/>
        <v>&lt;ct02&gt;</v>
      </c>
      <c r="H215" s="251"/>
      <c r="I215" s="246" t="str">
        <f t="shared" si="17"/>
        <v>&lt;/ct02&gt;</v>
      </c>
      <c r="J215" s="245"/>
      <c r="K215" s="245"/>
      <c r="L215" s="245"/>
      <c r="M215" s="247"/>
    </row>
    <row r="216" spans="1:13" x14ac:dyDescent="0.45">
      <c r="A216" s="253" t="str">
        <f t="shared" si="18"/>
        <v>&lt;ct10&gt;&lt;/ct10&gt;</v>
      </c>
      <c r="B216" s="243" t="s">
        <v>1538</v>
      </c>
      <c r="C216" s="244">
        <f t="shared" ref="C216:C280" si="19">LEN(B216)-LEN(SUBSTITUTE(B216,"&lt;",""))</f>
        <v>2</v>
      </c>
      <c r="D216" s="244">
        <f t="shared" ref="D216:D280" si="20">SEARCH("&gt;",B216)</f>
        <v>6</v>
      </c>
      <c r="E216" s="244">
        <f t="shared" ref="E216:E280" si="21">IFERROR(SEARCH("&lt;/",B216),"")</f>
        <v>7</v>
      </c>
      <c r="G216" s="248" t="str">
        <f t="shared" ref="G216:G280" si="22">LEFT(B216,D216)</f>
        <v>&lt;ct10&gt;</v>
      </c>
      <c r="H216" s="251"/>
      <c r="I216" s="246" t="str">
        <f t="shared" ref="I216:I280" si="23">IF(C216=2,RIGHT(B216,LEN(B216)-E216+1),"")</f>
        <v>&lt;/ct10&gt;</v>
      </c>
      <c r="J216" s="245"/>
      <c r="K216" s="245"/>
      <c r="L216" s="245"/>
      <c r="M216" s="247"/>
    </row>
    <row r="217" spans="1:13" x14ac:dyDescent="0.45">
      <c r="A217" s="253" t="str">
        <f t="shared" si="18"/>
        <v>&lt;ct11&gt;&lt;/ct11&gt;</v>
      </c>
      <c r="B217" s="243" t="s">
        <v>1539</v>
      </c>
      <c r="C217" s="244">
        <f t="shared" si="19"/>
        <v>2</v>
      </c>
      <c r="D217" s="244">
        <f t="shared" si="20"/>
        <v>6</v>
      </c>
      <c r="E217" s="244">
        <f t="shared" si="21"/>
        <v>7</v>
      </c>
      <c r="G217" s="248" t="str">
        <f t="shared" si="22"/>
        <v>&lt;ct11&gt;</v>
      </c>
      <c r="H217" s="251"/>
      <c r="I217" s="246" t="str">
        <f t="shared" si="23"/>
        <v>&lt;/ct11&gt;</v>
      </c>
      <c r="J217" s="245"/>
      <c r="K217" s="245"/>
      <c r="L217" s="245"/>
      <c r="M217" s="247"/>
    </row>
    <row r="218" spans="1:13" x14ac:dyDescent="0.45">
      <c r="A218" s="253" t="str">
        <f t="shared" si="18"/>
        <v>&lt;ct20&gt;&lt;/ct20&gt;</v>
      </c>
      <c r="B218" s="243" t="s">
        <v>1540</v>
      </c>
      <c r="C218" s="244">
        <f t="shared" si="19"/>
        <v>2</v>
      </c>
      <c r="D218" s="244">
        <f t="shared" si="20"/>
        <v>6</v>
      </c>
      <c r="E218" s="244">
        <f t="shared" si="21"/>
        <v>7</v>
      </c>
      <c r="G218" s="248" t="str">
        <f t="shared" si="22"/>
        <v>&lt;ct20&gt;</v>
      </c>
      <c r="H218" s="251"/>
      <c r="I218" s="246" t="str">
        <f t="shared" si="23"/>
        <v>&lt;/ct20&gt;</v>
      </c>
      <c r="J218" s="245"/>
      <c r="K218" s="245"/>
      <c r="L218" s="245"/>
      <c r="M218" s="247"/>
    </row>
    <row r="219" spans="1:13" x14ac:dyDescent="0.45">
      <c r="A219" s="253" t="str">
        <f t="shared" si="18"/>
        <v>&lt;ct21&gt;&lt;/ct21&gt;</v>
      </c>
      <c r="B219" s="243" t="s">
        <v>1541</v>
      </c>
      <c r="C219" s="244">
        <f t="shared" si="19"/>
        <v>2</v>
      </c>
      <c r="D219" s="244">
        <f t="shared" si="20"/>
        <v>6</v>
      </c>
      <c r="E219" s="244">
        <f t="shared" si="21"/>
        <v>7</v>
      </c>
      <c r="G219" s="248" t="str">
        <f t="shared" si="22"/>
        <v>&lt;ct21&gt;</v>
      </c>
      <c r="H219" s="251"/>
      <c r="I219" s="246" t="str">
        <f t="shared" si="23"/>
        <v>&lt;/ct21&gt;</v>
      </c>
      <c r="J219" s="245"/>
      <c r="K219" s="245"/>
      <c r="L219" s="245"/>
      <c r="M219" s="247"/>
    </row>
    <row r="220" spans="1:13" x14ac:dyDescent="0.45">
      <c r="A220" s="253" t="str">
        <f t="shared" si="18"/>
        <v>&lt;ct22&gt;&lt;/ct22&gt;</v>
      </c>
      <c r="B220" s="243" t="s">
        <v>1542</v>
      </c>
      <c r="C220" s="244">
        <f t="shared" si="19"/>
        <v>2</v>
      </c>
      <c r="D220" s="244">
        <f t="shared" si="20"/>
        <v>6</v>
      </c>
      <c r="E220" s="244">
        <f t="shared" si="21"/>
        <v>7</v>
      </c>
      <c r="G220" s="248" t="str">
        <f t="shared" si="22"/>
        <v>&lt;ct22&gt;</v>
      </c>
      <c r="H220" s="251"/>
      <c r="I220" s="246" t="str">
        <f t="shared" si="23"/>
        <v>&lt;/ct22&gt;</v>
      </c>
      <c r="J220" s="245"/>
      <c r="K220" s="245"/>
      <c r="L220" s="245"/>
      <c r="M220" s="247"/>
    </row>
    <row r="221" spans="1:13" x14ac:dyDescent="0.45">
      <c r="A221" s="253" t="str">
        <f t="shared" si="18"/>
        <v>&lt;ct23&gt;&lt;/ct23&gt;</v>
      </c>
      <c r="B221" s="243" t="s">
        <v>1543</v>
      </c>
      <c r="C221" s="244">
        <f t="shared" si="19"/>
        <v>2</v>
      </c>
      <c r="D221" s="244">
        <f t="shared" si="20"/>
        <v>6</v>
      </c>
      <c r="E221" s="244">
        <f t="shared" si="21"/>
        <v>7</v>
      </c>
      <c r="G221" s="248" t="str">
        <f t="shared" si="22"/>
        <v>&lt;ct23&gt;</v>
      </c>
      <c r="H221" s="251"/>
      <c r="I221" s="246" t="str">
        <f t="shared" si="23"/>
        <v>&lt;/ct23&gt;</v>
      </c>
      <c r="J221" s="245"/>
      <c r="K221" s="245"/>
      <c r="L221" s="245"/>
      <c r="M221" s="247"/>
    </row>
    <row r="222" spans="1:13" x14ac:dyDescent="0.45">
      <c r="A222" s="253" t="str">
        <f t="shared" si="18"/>
        <v>&lt;ct24&gt;&lt;/ct24&gt;</v>
      </c>
      <c r="B222" s="243" t="s">
        <v>1544</v>
      </c>
      <c r="C222" s="244">
        <f t="shared" si="19"/>
        <v>2</v>
      </c>
      <c r="D222" s="244">
        <f t="shared" si="20"/>
        <v>6</v>
      </c>
      <c r="E222" s="244">
        <f t="shared" si="21"/>
        <v>7</v>
      </c>
      <c r="G222" s="248" t="str">
        <f t="shared" si="22"/>
        <v>&lt;ct24&gt;</v>
      </c>
      <c r="H222" s="251"/>
      <c r="I222" s="246" t="str">
        <f t="shared" si="23"/>
        <v>&lt;/ct24&gt;</v>
      </c>
      <c r="J222" s="245"/>
      <c r="K222" s="245"/>
      <c r="L222" s="245"/>
      <c r="M222" s="247"/>
    </row>
    <row r="223" spans="1:13" x14ac:dyDescent="0.45">
      <c r="A223" s="253" t="str">
        <f t="shared" si="18"/>
        <v>&lt;ct30&gt;&lt;/ct30&gt;</v>
      </c>
      <c r="B223" s="243" t="s">
        <v>1545</v>
      </c>
      <c r="C223" s="244">
        <f t="shared" si="19"/>
        <v>2</v>
      </c>
      <c r="D223" s="244">
        <f t="shared" si="20"/>
        <v>6</v>
      </c>
      <c r="E223" s="244">
        <f t="shared" si="21"/>
        <v>7</v>
      </c>
      <c r="G223" s="248" t="str">
        <f t="shared" si="22"/>
        <v>&lt;ct30&gt;</v>
      </c>
      <c r="H223" s="251"/>
      <c r="I223" s="246" t="str">
        <f t="shared" si="23"/>
        <v>&lt;/ct30&gt;</v>
      </c>
      <c r="J223" s="245"/>
      <c r="K223" s="245"/>
      <c r="L223" s="245"/>
      <c r="M223" s="247"/>
    </row>
    <row r="224" spans="1:13" x14ac:dyDescent="0.45">
      <c r="A224" s="253" t="str">
        <f t="shared" si="18"/>
        <v>&lt;ct31&gt;&lt;/ct31&gt;</v>
      </c>
      <c r="B224" s="243" t="s">
        <v>1546</v>
      </c>
      <c r="C224" s="244">
        <f t="shared" si="19"/>
        <v>2</v>
      </c>
      <c r="D224" s="244">
        <f t="shared" si="20"/>
        <v>6</v>
      </c>
      <c r="E224" s="244">
        <f t="shared" si="21"/>
        <v>7</v>
      </c>
      <c r="G224" s="248" t="str">
        <f t="shared" si="22"/>
        <v>&lt;ct31&gt;</v>
      </c>
      <c r="H224" s="251"/>
      <c r="I224" s="246" t="str">
        <f t="shared" si="23"/>
        <v>&lt;/ct31&gt;</v>
      </c>
      <c r="J224" s="245"/>
      <c r="K224" s="245"/>
      <c r="L224" s="245"/>
      <c r="M224" s="247"/>
    </row>
    <row r="225" spans="1:14" x14ac:dyDescent="0.45">
      <c r="A225" s="253" t="str">
        <f t="shared" si="18"/>
        <v>&lt;ct32&gt;&lt;/ct32&gt;</v>
      </c>
      <c r="B225" s="243" t="s">
        <v>1547</v>
      </c>
      <c r="C225" s="244">
        <f t="shared" si="19"/>
        <v>2</v>
      </c>
      <c r="D225" s="244">
        <f t="shared" si="20"/>
        <v>6</v>
      </c>
      <c r="E225" s="244">
        <f t="shared" si="21"/>
        <v>7</v>
      </c>
      <c r="G225" s="248" t="str">
        <f t="shared" si="22"/>
        <v>&lt;ct32&gt;</v>
      </c>
      <c r="H225" s="251"/>
      <c r="I225" s="246" t="str">
        <f t="shared" si="23"/>
        <v>&lt;/ct32&gt;</v>
      </c>
      <c r="J225" s="245"/>
      <c r="K225" s="245"/>
      <c r="L225" s="245"/>
      <c r="M225" s="247"/>
    </row>
    <row r="226" spans="1:14" x14ac:dyDescent="0.45">
      <c r="A226" s="253" t="str">
        <f t="shared" si="18"/>
        <v>&lt;ct40&gt;&lt;/ct40&gt;</v>
      </c>
      <c r="B226" s="243" t="s">
        <v>1548</v>
      </c>
      <c r="C226" s="244">
        <f t="shared" si="19"/>
        <v>2</v>
      </c>
      <c r="D226" s="244">
        <f t="shared" si="20"/>
        <v>6</v>
      </c>
      <c r="E226" s="244">
        <f t="shared" si="21"/>
        <v>7</v>
      </c>
      <c r="G226" s="248" t="str">
        <f t="shared" si="22"/>
        <v>&lt;ct40&gt;</v>
      </c>
      <c r="H226" s="251"/>
      <c r="I226" s="246" t="str">
        <f t="shared" si="23"/>
        <v>&lt;/ct40&gt;</v>
      </c>
      <c r="J226" s="245"/>
      <c r="K226" s="245"/>
      <c r="L226" s="245"/>
      <c r="M226" s="247"/>
    </row>
    <row r="227" spans="1:14" x14ac:dyDescent="0.45">
      <c r="A227" s="253" t="str">
        <f t="shared" si="18"/>
        <v>&lt;ct50&gt;&lt;/ct50&gt;</v>
      </c>
      <c r="B227" s="243" t="s">
        <v>1549</v>
      </c>
      <c r="C227" s="244">
        <f t="shared" si="19"/>
        <v>2</v>
      </c>
      <c r="D227" s="244">
        <f t="shared" si="20"/>
        <v>6</v>
      </c>
      <c r="E227" s="244">
        <f t="shared" si="21"/>
        <v>7</v>
      </c>
      <c r="G227" s="248" t="str">
        <f t="shared" si="22"/>
        <v>&lt;ct50&gt;</v>
      </c>
      <c r="H227" s="251"/>
      <c r="I227" s="246" t="str">
        <f t="shared" si="23"/>
        <v>&lt;/ct50&gt;</v>
      </c>
      <c r="J227" s="245"/>
      <c r="K227" s="245"/>
      <c r="L227" s="245"/>
      <c r="M227" s="247"/>
    </row>
    <row r="228" spans="1:14" x14ac:dyDescent="0.45">
      <c r="A228" s="253" t="str">
        <f t="shared" si="18"/>
        <v>&lt;ct51&gt;&lt;/ct51&gt;</v>
      </c>
      <c r="B228" s="243" t="s">
        <v>1550</v>
      </c>
      <c r="C228" s="244">
        <f t="shared" si="19"/>
        <v>2</v>
      </c>
      <c r="D228" s="244">
        <f t="shared" si="20"/>
        <v>6</v>
      </c>
      <c r="E228" s="244">
        <f t="shared" si="21"/>
        <v>7</v>
      </c>
      <c r="G228" s="248" t="str">
        <f t="shared" si="22"/>
        <v>&lt;ct51&gt;</v>
      </c>
      <c r="H228" s="251"/>
      <c r="I228" s="246" t="str">
        <f t="shared" si="23"/>
        <v>&lt;/ct51&gt;</v>
      </c>
      <c r="J228" s="245"/>
      <c r="K228" s="245"/>
      <c r="L228" s="245"/>
      <c r="M228" s="247"/>
    </row>
    <row r="229" spans="1:14" x14ac:dyDescent="0.45">
      <c r="A229" s="253" t="str">
        <f t="shared" si="18"/>
        <v>&lt;ct60&gt;&lt;/ct60&gt;</v>
      </c>
      <c r="B229" s="243" t="s">
        <v>1551</v>
      </c>
      <c r="C229" s="244">
        <f t="shared" si="19"/>
        <v>2</v>
      </c>
      <c r="D229" s="244">
        <f t="shared" si="20"/>
        <v>6</v>
      </c>
      <c r="E229" s="244">
        <f t="shared" si="21"/>
        <v>7</v>
      </c>
      <c r="G229" s="248" t="str">
        <f t="shared" si="22"/>
        <v>&lt;ct60&gt;</v>
      </c>
      <c r="H229" s="251"/>
      <c r="I229" s="246" t="str">
        <f t="shared" si="23"/>
        <v>&lt;/ct60&gt;</v>
      </c>
      <c r="J229" s="245"/>
      <c r="K229" s="245"/>
      <c r="L229" s="245"/>
      <c r="M229" s="247"/>
    </row>
    <row r="230" spans="1:14" x14ac:dyDescent="0.45">
      <c r="A230" s="253" t="str">
        <f t="shared" si="18"/>
        <v>&lt;/ThuyetMinh&gt;</v>
      </c>
      <c r="B230" s="243" t="s">
        <v>1445</v>
      </c>
      <c r="C230" s="244">
        <f t="shared" si="19"/>
        <v>1</v>
      </c>
      <c r="D230" s="244">
        <f t="shared" si="20"/>
        <v>13</v>
      </c>
      <c r="E230" s="244">
        <f t="shared" si="21"/>
        <v>1</v>
      </c>
      <c r="G230" s="248" t="str">
        <f t="shared" si="22"/>
        <v>&lt;/ThuyetMinh&gt;</v>
      </c>
      <c r="H230" s="251"/>
      <c r="I230" s="246" t="str">
        <f t="shared" si="23"/>
        <v/>
      </c>
      <c r="J230" s="245"/>
      <c r="K230" s="245"/>
      <c r="L230" s="245"/>
      <c r="M230" s="247"/>
    </row>
    <row r="231" spans="1:14" x14ac:dyDescent="0.45">
      <c r="A231" s="253" t="str">
        <f t="shared" si="18"/>
        <v>&lt;NamNay&gt;</v>
      </c>
      <c r="B231" s="243" t="s">
        <v>1552</v>
      </c>
      <c r="C231" s="244">
        <f t="shared" si="19"/>
        <v>1</v>
      </c>
      <c r="D231" s="244">
        <f t="shared" si="20"/>
        <v>8</v>
      </c>
      <c r="E231" s="244" t="str">
        <f t="shared" si="21"/>
        <v/>
      </c>
      <c r="G231" s="248" t="str">
        <f t="shared" si="22"/>
        <v>&lt;NamNay&gt;</v>
      </c>
      <c r="H231" s="251"/>
      <c r="I231" s="246" t="str">
        <f t="shared" si="23"/>
        <v/>
      </c>
      <c r="J231" s="245"/>
      <c r="K231" s="245"/>
      <c r="L231" s="245"/>
      <c r="M231" s="247"/>
    </row>
    <row r="232" spans="1:14" x14ac:dyDescent="0.45">
      <c r="A232" s="253" t="str">
        <f t="shared" si="18"/>
        <v>&lt;ct01&gt;244520964&lt;/ct01&gt;</v>
      </c>
      <c r="B232" s="243" t="s">
        <v>1553</v>
      </c>
      <c r="C232" s="244">
        <f t="shared" si="19"/>
        <v>2</v>
      </c>
      <c r="D232" s="244">
        <f t="shared" si="20"/>
        <v>6</v>
      </c>
      <c r="E232" s="244">
        <f t="shared" si="21"/>
        <v>16</v>
      </c>
      <c r="G232" s="248" t="str">
        <f t="shared" si="22"/>
        <v>&lt;ct01&gt;</v>
      </c>
      <c r="H232" s="251">
        <f>VLOOKUP(N232,BCKQKD!$E$9:$H$24,3,0)</f>
        <v>244520964</v>
      </c>
      <c r="I232" s="246" t="str">
        <f t="shared" si="23"/>
        <v>&lt;/ct01&gt;</v>
      </c>
      <c r="J232" s="245"/>
      <c r="K232" s="245"/>
      <c r="L232" s="245"/>
      <c r="M232" s="247"/>
      <c r="N232">
        <v>1</v>
      </c>
    </row>
    <row r="233" spans="1:14" x14ac:dyDescent="0.45">
      <c r="A233" s="253" t="str">
        <f t="shared" si="18"/>
        <v>&lt;ct02&gt;0&lt;/ct02&gt;</v>
      </c>
      <c r="B233" s="243" t="s">
        <v>1554</v>
      </c>
      <c r="C233" s="244">
        <f t="shared" si="19"/>
        <v>2</v>
      </c>
      <c r="D233" s="244">
        <f t="shared" si="20"/>
        <v>6</v>
      </c>
      <c r="E233" s="244">
        <f t="shared" si="21"/>
        <v>8</v>
      </c>
      <c r="G233" s="248" t="str">
        <f t="shared" si="22"/>
        <v>&lt;ct02&gt;</v>
      </c>
      <c r="H233" s="251">
        <f>VLOOKUP(N233,BCKQKD!$E$9:$H$24,3,0)</f>
        <v>0</v>
      </c>
      <c r="I233" s="246" t="str">
        <f t="shared" si="23"/>
        <v>&lt;/ct02&gt;</v>
      </c>
      <c r="J233" s="245"/>
      <c r="K233" s="245"/>
      <c r="L233" s="245"/>
      <c r="M233" s="247"/>
      <c r="N233">
        <v>2</v>
      </c>
    </row>
    <row r="234" spans="1:14" x14ac:dyDescent="0.45">
      <c r="A234" s="253" t="str">
        <f t="shared" si="18"/>
        <v>&lt;ct10&gt;244520964&lt;/ct10&gt;</v>
      </c>
      <c r="B234" s="243" t="s">
        <v>1555</v>
      </c>
      <c r="C234" s="244">
        <f t="shared" si="19"/>
        <v>2</v>
      </c>
      <c r="D234" s="244">
        <f t="shared" si="20"/>
        <v>6</v>
      </c>
      <c r="E234" s="244">
        <f t="shared" si="21"/>
        <v>16</v>
      </c>
      <c r="G234" s="248" t="str">
        <f t="shared" si="22"/>
        <v>&lt;ct10&gt;</v>
      </c>
      <c r="H234" s="251">
        <f>VLOOKUP(N234,BCKQKD!$E$9:$H$24,3,0)</f>
        <v>244520964</v>
      </c>
      <c r="I234" s="246" t="str">
        <f t="shared" si="23"/>
        <v>&lt;/ct10&gt;</v>
      </c>
      <c r="J234" s="245"/>
      <c r="K234" s="245"/>
      <c r="L234" s="245"/>
      <c r="M234" s="247"/>
      <c r="N234">
        <v>10</v>
      </c>
    </row>
    <row r="235" spans="1:14" x14ac:dyDescent="0.45">
      <c r="A235" s="253" t="str">
        <f t="shared" si="18"/>
        <v>&lt;ct11&gt;183572894&lt;/ct11&gt;</v>
      </c>
      <c r="B235" s="243" t="s">
        <v>1556</v>
      </c>
      <c r="C235" s="244">
        <f t="shared" si="19"/>
        <v>2</v>
      </c>
      <c r="D235" s="244">
        <f t="shared" si="20"/>
        <v>6</v>
      </c>
      <c r="E235" s="244">
        <f t="shared" si="21"/>
        <v>15</v>
      </c>
      <c r="G235" s="248" t="str">
        <f t="shared" si="22"/>
        <v>&lt;ct11&gt;</v>
      </c>
      <c r="H235" s="251">
        <f>VLOOKUP(N235,BCKQKD!$E$9:$H$24,3,0)</f>
        <v>183572894</v>
      </c>
      <c r="I235" s="246" t="str">
        <f t="shared" si="23"/>
        <v>&lt;/ct11&gt;</v>
      </c>
      <c r="J235" s="245"/>
      <c r="K235" s="245"/>
      <c r="L235" s="245"/>
      <c r="M235" s="247"/>
      <c r="N235">
        <v>11</v>
      </c>
    </row>
    <row r="236" spans="1:14" x14ac:dyDescent="0.45">
      <c r="A236" s="253" t="str">
        <f t="shared" si="18"/>
        <v>&lt;ct20&gt;60948070&lt;/ct20&gt;</v>
      </c>
      <c r="B236" s="243" t="s">
        <v>1557</v>
      </c>
      <c r="C236" s="244">
        <f t="shared" si="19"/>
        <v>2</v>
      </c>
      <c r="D236" s="244">
        <f t="shared" si="20"/>
        <v>6</v>
      </c>
      <c r="E236" s="244">
        <f t="shared" si="21"/>
        <v>16</v>
      </c>
      <c r="G236" s="248" t="str">
        <f t="shared" si="22"/>
        <v>&lt;ct20&gt;</v>
      </c>
      <c r="H236" s="251">
        <f>VLOOKUP(N236,BCKQKD!$E$9:$H$24,3,0)</f>
        <v>60948070</v>
      </c>
      <c r="I236" s="246" t="str">
        <f t="shared" si="23"/>
        <v>&lt;/ct20&gt;</v>
      </c>
      <c r="J236" s="245"/>
      <c r="K236" s="245"/>
      <c r="L236" s="245"/>
      <c r="M236" s="247"/>
      <c r="N236">
        <v>20</v>
      </c>
    </row>
    <row r="237" spans="1:14" x14ac:dyDescent="0.45">
      <c r="A237" s="253" t="str">
        <f t="shared" ref="A237:A300" si="24">CONCATENATE(G237,H237,I237)</f>
        <v>&lt;ct21&gt;161&lt;/ct21&gt;</v>
      </c>
      <c r="B237" s="243" t="s">
        <v>1558</v>
      </c>
      <c r="C237" s="244">
        <f t="shared" si="19"/>
        <v>2</v>
      </c>
      <c r="D237" s="244">
        <f t="shared" si="20"/>
        <v>6</v>
      </c>
      <c r="E237" s="244">
        <f t="shared" si="21"/>
        <v>14</v>
      </c>
      <c r="G237" s="248" t="str">
        <f t="shared" si="22"/>
        <v>&lt;ct21&gt;</v>
      </c>
      <c r="H237" s="251">
        <f>VLOOKUP(N237,BCKQKD!$E$9:$H$24,3,0)</f>
        <v>161</v>
      </c>
      <c r="I237" s="246" t="str">
        <f t="shared" si="23"/>
        <v>&lt;/ct21&gt;</v>
      </c>
      <c r="J237" s="245"/>
      <c r="K237" s="245"/>
      <c r="L237" s="245"/>
      <c r="M237" s="247"/>
      <c r="N237">
        <v>21</v>
      </c>
    </row>
    <row r="238" spans="1:14" x14ac:dyDescent="0.45">
      <c r="A238" s="253" t="str">
        <f t="shared" si="24"/>
        <v>&lt;ct22&gt;2573376&lt;/ct22&gt;</v>
      </c>
      <c r="B238" s="243" t="s">
        <v>1559</v>
      </c>
      <c r="C238" s="244">
        <f t="shared" si="19"/>
        <v>2</v>
      </c>
      <c r="D238" s="244">
        <f t="shared" si="20"/>
        <v>6</v>
      </c>
      <c r="E238" s="244">
        <f t="shared" si="21"/>
        <v>15</v>
      </c>
      <c r="G238" s="248" t="str">
        <f t="shared" si="22"/>
        <v>&lt;ct22&gt;</v>
      </c>
      <c r="H238" s="251">
        <f>VLOOKUP(N238,BCKQKD!$E$9:$H$24,3,0)</f>
        <v>2573376</v>
      </c>
      <c r="I238" s="246" t="str">
        <f t="shared" si="23"/>
        <v>&lt;/ct22&gt;</v>
      </c>
      <c r="J238" s="245"/>
      <c r="K238" s="245"/>
      <c r="L238" s="245"/>
      <c r="M238" s="247"/>
      <c r="N238">
        <v>22</v>
      </c>
    </row>
    <row r="239" spans="1:14" x14ac:dyDescent="0.45">
      <c r="A239" s="253" t="str">
        <f t="shared" si="24"/>
        <v>&lt;ct23&gt;0&lt;/ct23&gt;</v>
      </c>
      <c r="B239" s="243" t="s">
        <v>1560</v>
      </c>
      <c r="C239" s="244">
        <f t="shared" si="19"/>
        <v>2</v>
      </c>
      <c r="D239" s="244">
        <f t="shared" si="20"/>
        <v>6</v>
      </c>
      <c r="E239" s="244">
        <f t="shared" si="21"/>
        <v>8</v>
      </c>
      <c r="G239" s="248" t="str">
        <f t="shared" si="22"/>
        <v>&lt;ct23&gt;</v>
      </c>
      <c r="H239" s="251">
        <f>VLOOKUP(N239,BCKQKD!$E$9:$H$24,3,0)</f>
        <v>0</v>
      </c>
      <c r="I239" s="246" t="str">
        <f t="shared" si="23"/>
        <v>&lt;/ct23&gt;</v>
      </c>
      <c r="J239" s="245"/>
      <c r="K239" s="245"/>
      <c r="L239" s="245"/>
      <c r="M239" s="247"/>
      <c r="N239">
        <v>23</v>
      </c>
    </row>
    <row r="240" spans="1:14" x14ac:dyDescent="0.45">
      <c r="A240" s="253" t="str">
        <f t="shared" si="24"/>
        <v>&lt;ct24&gt;46432205&lt;/ct24&gt;</v>
      </c>
      <c r="B240" s="243" t="s">
        <v>1561</v>
      </c>
      <c r="C240" s="244">
        <f t="shared" si="19"/>
        <v>2</v>
      </c>
      <c r="D240" s="244">
        <f t="shared" si="20"/>
        <v>6</v>
      </c>
      <c r="E240" s="244">
        <f t="shared" si="21"/>
        <v>17</v>
      </c>
      <c r="G240" s="248" t="str">
        <f t="shared" si="22"/>
        <v>&lt;ct24&gt;</v>
      </c>
      <c r="H240" s="251">
        <f>VLOOKUP(N240,BCKQKD!$E$9:$H$24,3,0)</f>
        <v>46432205</v>
      </c>
      <c r="I240" s="246" t="str">
        <f t="shared" si="23"/>
        <v>&lt;/ct24&gt;</v>
      </c>
      <c r="J240" s="245"/>
      <c r="K240" s="245"/>
      <c r="L240" s="245"/>
      <c r="M240" s="247"/>
      <c r="N240">
        <v>24</v>
      </c>
    </row>
    <row r="241" spans="1:14" x14ac:dyDescent="0.45">
      <c r="A241" s="253" t="str">
        <f t="shared" si="24"/>
        <v>&lt;ct30&gt;11942650&lt;/ct30&gt;</v>
      </c>
      <c r="B241" s="243" t="s">
        <v>1562</v>
      </c>
      <c r="C241" s="244">
        <f t="shared" si="19"/>
        <v>2</v>
      </c>
      <c r="D241" s="244">
        <f t="shared" si="20"/>
        <v>6</v>
      </c>
      <c r="E241" s="244">
        <f t="shared" si="21"/>
        <v>18</v>
      </c>
      <c r="G241" s="248" t="str">
        <f t="shared" si="22"/>
        <v>&lt;ct30&gt;</v>
      </c>
      <c r="H241" s="251">
        <f>VLOOKUP(N241,BCKQKD!$E$9:$H$24,3,0)</f>
        <v>11942650</v>
      </c>
      <c r="I241" s="246" t="str">
        <f t="shared" si="23"/>
        <v>&lt;/ct30&gt;</v>
      </c>
      <c r="J241" s="245"/>
      <c r="K241" s="245"/>
      <c r="L241" s="245"/>
      <c r="M241" s="247"/>
      <c r="N241">
        <v>30</v>
      </c>
    </row>
    <row r="242" spans="1:14" x14ac:dyDescent="0.45">
      <c r="A242" s="253" t="str">
        <f t="shared" si="24"/>
        <v>&lt;ct31&gt;5555556&lt;/ct31&gt;</v>
      </c>
      <c r="B242" s="243" t="s">
        <v>1563</v>
      </c>
      <c r="C242" s="244">
        <f t="shared" si="19"/>
        <v>2</v>
      </c>
      <c r="D242" s="244">
        <f t="shared" si="20"/>
        <v>6</v>
      </c>
      <c r="E242" s="244">
        <f t="shared" si="21"/>
        <v>8</v>
      </c>
      <c r="G242" s="248" t="str">
        <f t="shared" si="22"/>
        <v>&lt;ct31&gt;</v>
      </c>
      <c r="H242" s="251">
        <f>VLOOKUP(N242,BCKQKD!$E$9:$H$24,3,0)</f>
        <v>5555556</v>
      </c>
      <c r="I242" s="246" t="str">
        <f t="shared" si="23"/>
        <v>&lt;/ct31&gt;</v>
      </c>
      <c r="J242" s="245"/>
      <c r="K242" s="245"/>
      <c r="L242" s="245"/>
      <c r="M242" s="247"/>
      <c r="N242">
        <v>31</v>
      </c>
    </row>
    <row r="243" spans="1:14" x14ac:dyDescent="0.45">
      <c r="A243" s="253" t="str">
        <f t="shared" si="24"/>
        <v>&lt;ct32&gt;7540197&lt;/ct32&gt;</v>
      </c>
      <c r="B243" s="243" t="s">
        <v>1564</v>
      </c>
      <c r="C243" s="244">
        <f t="shared" si="19"/>
        <v>2</v>
      </c>
      <c r="D243" s="244">
        <f t="shared" si="20"/>
        <v>6</v>
      </c>
      <c r="E243" s="244">
        <f t="shared" si="21"/>
        <v>16</v>
      </c>
      <c r="G243" s="248" t="str">
        <f t="shared" si="22"/>
        <v>&lt;ct32&gt;</v>
      </c>
      <c r="H243" s="251">
        <f>VLOOKUP(N243,BCKQKD!$E$9:$H$24,3,0)</f>
        <v>7540197</v>
      </c>
      <c r="I243" s="246" t="str">
        <f t="shared" si="23"/>
        <v>&lt;/ct32&gt;</v>
      </c>
      <c r="J243" s="245"/>
      <c r="K243" s="245"/>
      <c r="L243" s="245"/>
      <c r="M243" s="247"/>
      <c r="N243">
        <v>32</v>
      </c>
    </row>
    <row r="244" spans="1:14" x14ac:dyDescent="0.45">
      <c r="A244" s="253" t="str">
        <f t="shared" si="24"/>
        <v>&lt;ct40&gt;-1984641&lt;/ct40&gt;</v>
      </c>
      <c r="B244" s="243" t="s">
        <v>1565</v>
      </c>
      <c r="C244" s="244">
        <f t="shared" si="19"/>
        <v>2</v>
      </c>
      <c r="D244" s="244">
        <f t="shared" si="20"/>
        <v>6</v>
      </c>
      <c r="E244" s="244">
        <f t="shared" si="21"/>
        <v>17</v>
      </c>
      <c r="G244" s="248" t="str">
        <f t="shared" si="22"/>
        <v>&lt;ct40&gt;</v>
      </c>
      <c r="H244" s="251">
        <f>VLOOKUP(N244,BCKQKD!$E$9:$H$24,3,0)</f>
        <v>-1984641</v>
      </c>
      <c r="I244" s="246" t="str">
        <f t="shared" si="23"/>
        <v>&lt;/ct40&gt;</v>
      </c>
      <c r="J244" s="245"/>
      <c r="K244" s="245"/>
      <c r="L244" s="245"/>
      <c r="M244" s="247"/>
      <c r="N244">
        <v>40</v>
      </c>
    </row>
    <row r="245" spans="1:14" x14ac:dyDescent="0.45">
      <c r="A245" s="253" t="str">
        <f t="shared" si="24"/>
        <v>&lt;ct50&gt;9958009&lt;/ct50&gt;</v>
      </c>
      <c r="B245" s="243" t="s">
        <v>1566</v>
      </c>
      <c r="C245" s="244">
        <f t="shared" si="19"/>
        <v>2</v>
      </c>
      <c r="D245" s="244">
        <f t="shared" si="20"/>
        <v>6</v>
      </c>
      <c r="E245" s="244">
        <f t="shared" si="21"/>
        <v>18</v>
      </c>
      <c r="G245" s="248" t="str">
        <f t="shared" si="22"/>
        <v>&lt;ct50&gt;</v>
      </c>
      <c r="H245" s="251">
        <f>VLOOKUP(N245,BCKQKD!$E$9:$H$24,3,0)</f>
        <v>9958009</v>
      </c>
      <c r="I245" s="246" t="str">
        <f t="shared" si="23"/>
        <v>&lt;/ct50&gt;</v>
      </c>
      <c r="J245" s="245"/>
      <c r="K245" s="245"/>
      <c r="L245" s="245"/>
      <c r="M245" s="247"/>
      <c r="N245">
        <v>50</v>
      </c>
    </row>
    <row r="246" spans="1:14" x14ac:dyDescent="0.45">
      <c r="A246" s="253" t="str">
        <f t="shared" si="24"/>
        <v>&lt;ct51&gt;2035545&lt;/ct51&gt;</v>
      </c>
      <c r="B246" s="243" t="s">
        <v>1567</v>
      </c>
      <c r="C246" s="244">
        <f t="shared" si="19"/>
        <v>2</v>
      </c>
      <c r="D246" s="244">
        <f t="shared" si="20"/>
        <v>6</v>
      </c>
      <c r="E246" s="244">
        <f t="shared" si="21"/>
        <v>8</v>
      </c>
      <c r="G246" s="248" t="str">
        <f t="shared" si="22"/>
        <v>&lt;ct51&gt;</v>
      </c>
      <c r="H246" s="251">
        <f>VLOOKUP(N246,BCKQKD!$E$9:$H$24,3,0)</f>
        <v>2035545</v>
      </c>
      <c r="I246" s="246" t="str">
        <f t="shared" si="23"/>
        <v>&lt;/ct51&gt;</v>
      </c>
      <c r="J246" s="245"/>
      <c r="K246" s="245"/>
      <c r="L246" s="245"/>
      <c r="M246" s="247"/>
      <c r="N246">
        <v>51</v>
      </c>
    </row>
    <row r="247" spans="1:14" x14ac:dyDescent="0.45">
      <c r="A247" s="253" t="str">
        <f t="shared" si="24"/>
        <v>&lt;ct60&gt;7922464&lt;/ct60&gt;</v>
      </c>
      <c r="B247" s="243" t="s">
        <v>1568</v>
      </c>
      <c r="C247" s="244">
        <f t="shared" si="19"/>
        <v>2</v>
      </c>
      <c r="D247" s="244">
        <f t="shared" si="20"/>
        <v>6</v>
      </c>
      <c r="E247" s="244">
        <f t="shared" si="21"/>
        <v>18</v>
      </c>
      <c r="G247" s="248" t="str">
        <f t="shared" si="22"/>
        <v>&lt;ct60&gt;</v>
      </c>
      <c r="H247" s="251">
        <f>VLOOKUP(N247,BCKQKD!$E$9:$H$24,3,0)</f>
        <v>7922464</v>
      </c>
      <c r="I247" s="246" t="str">
        <f t="shared" si="23"/>
        <v>&lt;/ct60&gt;</v>
      </c>
      <c r="J247" s="245"/>
      <c r="K247" s="245"/>
      <c r="L247" s="245"/>
      <c r="M247" s="247"/>
      <c r="N247">
        <v>60</v>
      </c>
    </row>
    <row r="248" spans="1:14" x14ac:dyDescent="0.45">
      <c r="A248" s="253" t="str">
        <f t="shared" si="24"/>
        <v>&lt;/NamNay&gt;</v>
      </c>
      <c r="B248" s="243" t="s">
        <v>1569</v>
      </c>
      <c r="C248" s="244">
        <f t="shared" si="19"/>
        <v>1</v>
      </c>
      <c r="D248" s="244">
        <f t="shared" si="20"/>
        <v>9</v>
      </c>
      <c r="E248" s="244">
        <f t="shared" si="21"/>
        <v>1</v>
      </c>
      <c r="G248" s="248" t="str">
        <f t="shared" si="22"/>
        <v>&lt;/NamNay&gt;</v>
      </c>
      <c r="H248" s="251"/>
      <c r="I248" s="246" t="str">
        <f t="shared" si="23"/>
        <v/>
      </c>
      <c r="J248" s="245"/>
      <c r="K248" s="245"/>
      <c r="L248" s="245"/>
      <c r="M248" s="247"/>
    </row>
    <row r="249" spans="1:14" x14ac:dyDescent="0.45">
      <c r="A249" s="253" t="str">
        <f t="shared" si="24"/>
        <v>&lt;NamTruoc&gt;</v>
      </c>
      <c r="B249" s="243" t="s">
        <v>1570</v>
      </c>
      <c r="C249" s="244">
        <f t="shared" si="19"/>
        <v>1</v>
      </c>
      <c r="D249" s="244">
        <f t="shared" si="20"/>
        <v>10</v>
      </c>
      <c r="E249" s="244" t="str">
        <f t="shared" si="21"/>
        <v/>
      </c>
      <c r="G249" s="248" t="str">
        <f t="shared" si="22"/>
        <v>&lt;NamTruoc&gt;</v>
      </c>
      <c r="H249" s="251"/>
      <c r="I249" s="246" t="str">
        <f t="shared" si="23"/>
        <v/>
      </c>
      <c r="J249" s="245"/>
      <c r="K249" s="245"/>
      <c r="L249" s="245"/>
      <c r="M249" s="247"/>
    </row>
    <row r="250" spans="1:14" x14ac:dyDescent="0.45">
      <c r="A250" s="253" t="str">
        <f t="shared" si="24"/>
        <v>&lt;ct01&gt;0&lt;/ct01&gt;</v>
      </c>
      <c r="B250" s="243" t="s">
        <v>1571</v>
      </c>
      <c r="C250" s="244">
        <f t="shared" si="19"/>
        <v>2</v>
      </c>
      <c r="D250" s="244">
        <f t="shared" si="20"/>
        <v>6</v>
      </c>
      <c r="E250" s="244">
        <f t="shared" si="21"/>
        <v>8</v>
      </c>
      <c r="G250" s="248" t="str">
        <f t="shared" si="22"/>
        <v>&lt;ct01&gt;</v>
      </c>
      <c r="H250" s="251">
        <f>VLOOKUP(N250,BCKQKD!$E$9:$H$24,4,0)</f>
        <v>0</v>
      </c>
      <c r="I250" s="246" t="str">
        <f t="shared" si="23"/>
        <v>&lt;/ct01&gt;</v>
      </c>
      <c r="J250" s="245"/>
      <c r="K250" s="245"/>
      <c r="L250" s="245"/>
      <c r="M250" s="247"/>
      <c r="N250">
        <v>1</v>
      </c>
    </row>
    <row r="251" spans="1:14" x14ac:dyDescent="0.45">
      <c r="A251" s="253" t="str">
        <f t="shared" si="24"/>
        <v>&lt;ct02&gt;0&lt;/ct02&gt;</v>
      </c>
      <c r="B251" s="243" t="s">
        <v>1554</v>
      </c>
      <c r="C251" s="244">
        <f t="shared" si="19"/>
        <v>2</v>
      </c>
      <c r="D251" s="244">
        <f t="shared" si="20"/>
        <v>6</v>
      </c>
      <c r="E251" s="244">
        <f t="shared" si="21"/>
        <v>8</v>
      </c>
      <c r="G251" s="248" t="str">
        <f t="shared" si="22"/>
        <v>&lt;ct02&gt;</v>
      </c>
      <c r="H251" s="251">
        <f>VLOOKUP(N251,BCKQKD!$E$9:$H$24,4,0)</f>
        <v>0</v>
      </c>
      <c r="I251" s="246" t="str">
        <f t="shared" si="23"/>
        <v>&lt;/ct02&gt;</v>
      </c>
      <c r="J251" s="245"/>
      <c r="K251" s="245"/>
      <c r="L251" s="245"/>
      <c r="M251" s="247"/>
      <c r="N251">
        <v>2</v>
      </c>
    </row>
    <row r="252" spans="1:14" x14ac:dyDescent="0.45">
      <c r="A252" s="253" t="str">
        <f t="shared" si="24"/>
        <v>&lt;ct10&gt;0&lt;/ct10&gt;</v>
      </c>
      <c r="B252" s="243" t="s">
        <v>1572</v>
      </c>
      <c r="C252" s="244">
        <f t="shared" si="19"/>
        <v>2</v>
      </c>
      <c r="D252" s="244">
        <f t="shared" si="20"/>
        <v>6</v>
      </c>
      <c r="E252" s="244">
        <f t="shared" si="21"/>
        <v>8</v>
      </c>
      <c r="G252" s="248" t="str">
        <f t="shared" si="22"/>
        <v>&lt;ct10&gt;</v>
      </c>
      <c r="H252" s="251">
        <f>VLOOKUP(N252,BCKQKD!$E$9:$H$24,4,0)</f>
        <v>0</v>
      </c>
      <c r="I252" s="246" t="str">
        <f t="shared" si="23"/>
        <v>&lt;/ct10&gt;</v>
      </c>
      <c r="J252" s="245"/>
      <c r="K252" s="245"/>
      <c r="L252" s="245"/>
      <c r="M252" s="247"/>
      <c r="N252">
        <v>10</v>
      </c>
    </row>
    <row r="253" spans="1:14" x14ac:dyDescent="0.45">
      <c r="A253" s="253" t="str">
        <f t="shared" si="24"/>
        <v>&lt;ct11&gt;0&lt;/ct11&gt;</v>
      </c>
      <c r="B253" s="243" t="s">
        <v>1573</v>
      </c>
      <c r="C253" s="244">
        <f t="shared" si="19"/>
        <v>2</v>
      </c>
      <c r="D253" s="244">
        <f t="shared" si="20"/>
        <v>6</v>
      </c>
      <c r="E253" s="244">
        <f t="shared" si="21"/>
        <v>8</v>
      </c>
      <c r="G253" s="248" t="str">
        <f t="shared" si="22"/>
        <v>&lt;ct11&gt;</v>
      </c>
      <c r="H253" s="251">
        <f>VLOOKUP(N253,BCKQKD!$E$9:$H$24,4,0)</f>
        <v>0</v>
      </c>
      <c r="I253" s="246" t="str">
        <f t="shared" si="23"/>
        <v>&lt;/ct11&gt;</v>
      </c>
      <c r="J253" s="245"/>
      <c r="K253" s="245"/>
      <c r="L253" s="245"/>
      <c r="M253" s="247"/>
      <c r="N253">
        <v>11</v>
      </c>
    </row>
    <row r="254" spans="1:14" x14ac:dyDescent="0.45">
      <c r="A254" s="253" t="str">
        <f t="shared" si="24"/>
        <v>&lt;ct20&gt;0&lt;/ct20&gt;</v>
      </c>
      <c r="B254" s="243" t="s">
        <v>1574</v>
      </c>
      <c r="C254" s="244">
        <f t="shared" si="19"/>
        <v>2</v>
      </c>
      <c r="D254" s="244">
        <f t="shared" si="20"/>
        <v>6</v>
      </c>
      <c r="E254" s="244">
        <f t="shared" si="21"/>
        <v>8</v>
      </c>
      <c r="G254" s="248" t="str">
        <f t="shared" si="22"/>
        <v>&lt;ct20&gt;</v>
      </c>
      <c r="H254" s="251">
        <f>VLOOKUP(N254,BCKQKD!$E$9:$H$24,4,0)</f>
        <v>0</v>
      </c>
      <c r="I254" s="246" t="str">
        <f t="shared" si="23"/>
        <v>&lt;/ct20&gt;</v>
      </c>
      <c r="J254" s="245"/>
      <c r="K254" s="245"/>
      <c r="L254" s="245"/>
      <c r="M254" s="247"/>
      <c r="N254">
        <v>20</v>
      </c>
    </row>
    <row r="255" spans="1:14" x14ac:dyDescent="0.45">
      <c r="A255" s="253" t="str">
        <f t="shared" si="24"/>
        <v>&lt;ct21&gt;0&lt;/ct21&gt;</v>
      </c>
      <c r="B255" s="243" t="s">
        <v>1575</v>
      </c>
      <c r="C255" s="244">
        <f t="shared" si="19"/>
        <v>2</v>
      </c>
      <c r="D255" s="244">
        <f t="shared" si="20"/>
        <v>6</v>
      </c>
      <c r="E255" s="244">
        <f t="shared" si="21"/>
        <v>8</v>
      </c>
      <c r="G255" s="248" t="str">
        <f t="shared" si="22"/>
        <v>&lt;ct21&gt;</v>
      </c>
      <c r="H255" s="251">
        <f>VLOOKUP(N255,BCKQKD!$E$9:$H$24,4,0)</f>
        <v>0</v>
      </c>
      <c r="I255" s="246" t="str">
        <f t="shared" si="23"/>
        <v>&lt;/ct21&gt;</v>
      </c>
      <c r="J255" s="245"/>
      <c r="K255" s="245"/>
      <c r="L255" s="245"/>
      <c r="M255" s="247"/>
      <c r="N255">
        <v>21</v>
      </c>
    </row>
    <row r="256" spans="1:14" x14ac:dyDescent="0.45">
      <c r="A256" s="253" t="str">
        <f t="shared" si="24"/>
        <v>&lt;ct22&gt;0&lt;/ct22&gt;</v>
      </c>
      <c r="B256" s="243" t="s">
        <v>1576</v>
      </c>
      <c r="C256" s="244">
        <f t="shared" si="19"/>
        <v>2</v>
      </c>
      <c r="D256" s="244">
        <f t="shared" si="20"/>
        <v>6</v>
      </c>
      <c r="E256" s="244">
        <f t="shared" si="21"/>
        <v>8</v>
      </c>
      <c r="G256" s="248" t="str">
        <f t="shared" si="22"/>
        <v>&lt;ct22&gt;</v>
      </c>
      <c r="H256" s="251">
        <f>VLOOKUP(N256,BCKQKD!$E$9:$H$24,4,0)</f>
        <v>0</v>
      </c>
      <c r="I256" s="246" t="str">
        <f t="shared" si="23"/>
        <v>&lt;/ct22&gt;</v>
      </c>
      <c r="J256" s="245"/>
      <c r="K256" s="245"/>
      <c r="L256" s="245"/>
      <c r="M256" s="247"/>
      <c r="N256">
        <v>22</v>
      </c>
    </row>
    <row r="257" spans="1:14" x14ac:dyDescent="0.45">
      <c r="A257" s="253" t="str">
        <f t="shared" si="24"/>
        <v>&lt;ct23&gt;0&lt;/ct23&gt;</v>
      </c>
      <c r="B257" s="243" t="s">
        <v>1560</v>
      </c>
      <c r="C257" s="244">
        <f t="shared" si="19"/>
        <v>2</v>
      </c>
      <c r="D257" s="244">
        <f t="shared" si="20"/>
        <v>6</v>
      </c>
      <c r="E257" s="244">
        <f t="shared" si="21"/>
        <v>8</v>
      </c>
      <c r="G257" s="248" t="str">
        <f t="shared" si="22"/>
        <v>&lt;ct23&gt;</v>
      </c>
      <c r="H257" s="251">
        <f>VLOOKUP(N257,BCKQKD!$E$9:$H$24,4,0)</f>
        <v>0</v>
      </c>
      <c r="I257" s="246" t="str">
        <f t="shared" si="23"/>
        <v>&lt;/ct23&gt;</v>
      </c>
      <c r="J257" s="245"/>
      <c r="K257" s="245"/>
      <c r="L257" s="245"/>
      <c r="M257" s="247"/>
      <c r="N257">
        <v>23</v>
      </c>
    </row>
    <row r="258" spans="1:14" x14ac:dyDescent="0.45">
      <c r="A258" s="253" t="str">
        <f t="shared" si="24"/>
        <v>&lt;ct24&gt;0&lt;/ct24&gt;</v>
      </c>
      <c r="B258" s="243" t="s">
        <v>1577</v>
      </c>
      <c r="C258" s="244">
        <f t="shared" si="19"/>
        <v>2</v>
      </c>
      <c r="D258" s="244">
        <f t="shared" si="20"/>
        <v>6</v>
      </c>
      <c r="E258" s="244">
        <f t="shared" si="21"/>
        <v>8</v>
      </c>
      <c r="G258" s="248" t="str">
        <f t="shared" si="22"/>
        <v>&lt;ct24&gt;</v>
      </c>
      <c r="H258" s="251">
        <f>VLOOKUP(N258,BCKQKD!$E$9:$H$24,4,0)</f>
        <v>0</v>
      </c>
      <c r="I258" s="246" t="str">
        <f t="shared" si="23"/>
        <v>&lt;/ct24&gt;</v>
      </c>
      <c r="J258" s="245"/>
      <c r="K258" s="245"/>
      <c r="L258" s="245"/>
      <c r="M258" s="247"/>
      <c r="N258">
        <v>24</v>
      </c>
    </row>
    <row r="259" spans="1:14" x14ac:dyDescent="0.45">
      <c r="A259" s="253" t="str">
        <f t="shared" si="24"/>
        <v>&lt;ct30&gt;0&lt;/ct30&gt;</v>
      </c>
      <c r="B259" s="243" t="s">
        <v>1578</v>
      </c>
      <c r="C259" s="244">
        <f t="shared" si="19"/>
        <v>2</v>
      </c>
      <c r="D259" s="244">
        <f t="shared" si="20"/>
        <v>6</v>
      </c>
      <c r="E259" s="244">
        <f t="shared" si="21"/>
        <v>8</v>
      </c>
      <c r="G259" s="248" t="str">
        <f t="shared" si="22"/>
        <v>&lt;ct30&gt;</v>
      </c>
      <c r="H259" s="251">
        <f>VLOOKUP(N259,BCKQKD!$E$9:$H$24,4,0)</f>
        <v>0</v>
      </c>
      <c r="I259" s="246" t="str">
        <f t="shared" si="23"/>
        <v>&lt;/ct30&gt;</v>
      </c>
      <c r="J259" s="245"/>
      <c r="K259" s="245"/>
      <c r="L259" s="245"/>
      <c r="M259" s="247"/>
      <c r="N259">
        <v>30</v>
      </c>
    </row>
    <row r="260" spans="1:14" x14ac:dyDescent="0.45">
      <c r="A260" s="253" t="str">
        <f t="shared" si="24"/>
        <v>&lt;ct31&gt;0&lt;/ct31&gt;</v>
      </c>
      <c r="B260" s="243" t="s">
        <v>1563</v>
      </c>
      <c r="C260" s="244">
        <f t="shared" si="19"/>
        <v>2</v>
      </c>
      <c r="D260" s="244">
        <f t="shared" si="20"/>
        <v>6</v>
      </c>
      <c r="E260" s="244">
        <f t="shared" si="21"/>
        <v>8</v>
      </c>
      <c r="G260" s="248" t="str">
        <f t="shared" si="22"/>
        <v>&lt;ct31&gt;</v>
      </c>
      <c r="H260" s="251">
        <f>VLOOKUP(N260,BCKQKD!$E$9:$H$24,4,0)</f>
        <v>0</v>
      </c>
      <c r="I260" s="246" t="str">
        <f t="shared" si="23"/>
        <v>&lt;/ct31&gt;</v>
      </c>
      <c r="J260" s="245"/>
      <c r="K260" s="245"/>
      <c r="L260" s="245"/>
      <c r="M260" s="247"/>
      <c r="N260">
        <v>31</v>
      </c>
    </row>
    <row r="261" spans="1:14" x14ac:dyDescent="0.45">
      <c r="A261" s="253" t="str">
        <f t="shared" si="24"/>
        <v>&lt;ct32&gt;0&lt;/ct32&gt;</v>
      </c>
      <c r="B261" s="243" t="s">
        <v>1579</v>
      </c>
      <c r="C261" s="244">
        <f t="shared" si="19"/>
        <v>2</v>
      </c>
      <c r="D261" s="244">
        <f t="shared" si="20"/>
        <v>6</v>
      </c>
      <c r="E261" s="244">
        <f t="shared" si="21"/>
        <v>8</v>
      </c>
      <c r="G261" s="248" t="str">
        <f t="shared" si="22"/>
        <v>&lt;ct32&gt;</v>
      </c>
      <c r="H261" s="251">
        <f>VLOOKUP(N261,BCKQKD!$E$9:$H$24,4,0)</f>
        <v>0</v>
      </c>
      <c r="I261" s="246" t="str">
        <f t="shared" si="23"/>
        <v>&lt;/ct32&gt;</v>
      </c>
      <c r="J261" s="245"/>
      <c r="K261" s="245"/>
      <c r="L261" s="245"/>
      <c r="M261" s="247"/>
      <c r="N261">
        <v>32</v>
      </c>
    </row>
    <row r="262" spans="1:14" x14ac:dyDescent="0.45">
      <c r="A262" s="253" t="str">
        <f t="shared" si="24"/>
        <v>&lt;ct40&gt;0&lt;/ct40&gt;</v>
      </c>
      <c r="B262" s="243" t="s">
        <v>1580</v>
      </c>
      <c r="C262" s="244">
        <f t="shared" si="19"/>
        <v>2</v>
      </c>
      <c r="D262" s="244">
        <f t="shared" si="20"/>
        <v>6</v>
      </c>
      <c r="E262" s="244">
        <f t="shared" si="21"/>
        <v>8</v>
      </c>
      <c r="G262" s="248" t="str">
        <f t="shared" si="22"/>
        <v>&lt;ct40&gt;</v>
      </c>
      <c r="H262" s="251">
        <f>VLOOKUP(N262,BCKQKD!$E$9:$H$24,4,0)</f>
        <v>0</v>
      </c>
      <c r="I262" s="246" t="str">
        <f t="shared" si="23"/>
        <v>&lt;/ct40&gt;</v>
      </c>
      <c r="J262" s="245"/>
      <c r="K262" s="245"/>
      <c r="L262" s="245"/>
      <c r="M262" s="247"/>
      <c r="N262">
        <v>40</v>
      </c>
    </row>
    <row r="263" spans="1:14" x14ac:dyDescent="0.45">
      <c r="A263" s="253" t="str">
        <f t="shared" si="24"/>
        <v>&lt;ct50&gt;0&lt;/ct50&gt;</v>
      </c>
      <c r="B263" s="243" t="s">
        <v>1581</v>
      </c>
      <c r="C263" s="244">
        <f t="shared" si="19"/>
        <v>2</v>
      </c>
      <c r="D263" s="244">
        <f t="shared" si="20"/>
        <v>6</v>
      </c>
      <c r="E263" s="244">
        <f t="shared" si="21"/>
        <v>8</v>
      </c>
      <c r="G263" s="248" t="str">
        <f t="shared" si="22"/>
        <v>&lt;ct50&gt;</v>
      </c>
      <c r="H263" s="251">
        <f>VLOOKUP(N263,BCKQKD!$E$9:$H$24,4,0)</f>
        <v>0</v>
      </c>
      <c r="I263" s="246" t="str">
        <f t="shared" si="23"/>
        <v>&lt;/ct50&gt;</v>
      </c>
      <c r="J263" s="245"/>
      <c r="K263" s="245"/>
      <c r="L263" s="245"/>
      <c r="M263" s="247"/>
      <c r="N263">
        <v>50</v>
      </c>
    </row>
    <row r="264" spans="1:14" x14ac:dyDescent="0.45">
      <c r="A264" s="253" t="str">
        <f t="shared" si="24"/>
        <v>&lt;ct51&gt;0&lt;/ct51&gt;</v>
      </c>
      <c r="B264" s="243" t="s">
        <v>1567</v>
      </c>
      <c r="C264" s="244">
        <f t="shared" si="19"/>
        <v>2</v>
      </c>
      <c r="D264" s="244">
        <f t="shared" si="20"/>
        <v>6</v>
      </c>
      <c r="E264" s="244">
        <f t="shared" si="21"/>
        <v>8</v>
      </c>
      <c r="G264" s="248" t="str">
        <f t="shared" si="22"/>
        <v>&lt;ct51&gt;</v>
      </c>
      <c r="H264" s="251">
        <f>VLOOKUP(N264,BCKQKD!$E$9:$H$24,4,0)</f>
        <v>0</v>
      </c>
      <c r="I264" s="246" t="str">
        <f t="shared" si="23"/>
        <v>&lt;/ct51&gt;</v>
      </c>
      <c r="J264" s="245"/>
      <c r="K264" s="245"/>
      <c r="L264" s="245"/>
      <c r="M264" s="247"/>
      <c r="N264">
        <v>51</v>
      </c>
    </row>
    <row r="265" spans="1:14" x14ac:dyDescent="0.45">
      <c r="A265" s="253" t="str">
        <f t="shared" si="24"/>
        <v>&lt;ct60&gt;0&lt;/ct60&gt;</v>
      </c>
      <c r="B265" s="243" t="s">
        <v>1582</v>
      </c>
      <c r="C265" s="244">
        <f t="shared" si="19"/>
        <v>2</v>
      </c>
      <c r="D265" s="244">
        <f t="shared" si="20"/>
        <v>6</v>
      </c>
      <c r="E265" s="244">
        <f t="shared" si="21"/>
        <v>8</v>
      </c>
      <c r="G265" s="248" t="str">
        <f t="shared" si="22"/>
        <v>&lt;ct60&gt;</v>
      </c>
      <c r="H265" s="251">
        <f>VLOOKUP(N265,BCKQKD!$E$9:$H$24,4,0)</f>
        <v>0</v>
      </c>
      <c r="I265" s="246" t="str">
        <f t="shared" si="23"/>
        <v>&lt;/ct60&gt;</v>
      </c>
      <c r="J265" s="245"/>
      <c r="K265" s="245"/>
      <c r="L265" s="245"/>
      <c r="M265" s="247"/>
      <c r="N265">
        <v>60</v>
      </c>
    </row>
    <row r="266" spans="1:14" x14ac:dyDescent="0.45">
      <c r="A266" s="253" t="str">
        <f t="shared" si="24"/>
        <v>&lt;/NamTruoc&gt;</v>
      </c>
      <c r="B266" s="243" t="s">
        <v>1583</v>
      </c>
      <c r="C266" s="244">
        <f t="shared" si="19"/>
        <v>1</v>
      </c>
      <c r="D266" s="244">
        <f t="shared" ref="D266:D272" si="25">SEARCH("&gt;",B266)</f>
        <v>11</v>
      </c>
      <c r="E266" s="244">
        <f t="shared" ref="E266:E272" si="26">IFERROR(SEARCH("&lt;/",B266),"")</f>
        <v>1</v>
      </c>
      <c r="G266" s="248" t="str">
        <f t="shared" ref="G266:G272" si="27">LEFT(B266,D266)</f>
        <v>&lt;/NamTruoc&gt;</v>
      </c>
      <c r="H266" s="251"/>
      <c r="I266" s="246" t="str">
        <f t="shared" ref="I266:I272" si="28">IF(C266=2,RIGHT(B266,LEN(B266)-E266+1),"")</f>
        <v/>
      </c>
      <c r="J266" s="245"/>
      <c r="K266" s="245"/>
      <c r="L266" s="245"/>
      <c r="M266" s="247"/>
    </row>
    <row r="267" spans="1:14" x14ac:dyDescent="0.45">
      <c r="A267" s="253" t="str">
        <f t="shared" si="24"/>
        <v>&lt;/PL_KQHDSXKD&gt;&lt;PL_CDTK&gt;</v>
      </c>
      <c r="B267" s="243" t="s">
        <v>1584</v>
      </c>
      <c r="C267" s="244">
        <f t="shared" si="19"/>
        <v>2</v>
      </c>
      <c r="D267" s="244">
        <f t="shared" si="25"/>
        <v>14</v>
      </c>
      <c r="E267" s="244">
        <f t="shared" si="26"/>
        <v>1</v>
      </c>
      <c r="G267" s="248" t="str">
        <f>B267</f>
        <v>&lt;/PL_KQHDSXKD&gt;&lt;PL_CDTK&gt;</v>
      </c>
      <c r="H267" s="251"/>
      <c r="I267" s="246"/>
      <c r="J267" s="245"/>
      <c r="K267" s="245"/>
      <c r="L267" s="245"/>
      <c r="M267" s="247"/>
    </row>
    <row r="268" spans="1:14" x14ac:dyDescent="0.45">
      <c r="A268" s="253" t="str">
        <f t="shared" si="24"/>
        <v>&lt;SoDuDauKy&gt;</v>
      </c>
      <c r="B268" s="243" t="s">
        <v>1585</v>
      </c>
      <c r="C268" s="244">
        <f t="shared" si="19"/>
        <v>1</v>
      </c>
      <c r="D268" s="244">
        <f t="shared" si="25"/>
        <v>11</v>
      </c>
      <c r="E268" s="244" t="str">
        <f t="shared" si="26"/>
        <v/>
      </c>
      <c r="G268" s="248" t="str">
        <f t="shared" si="27"/>
        <v>&lt;SoDuDauKy&gt;</v>
      </c>
      <c r="H268" s="251"/>
      <c r="I268" s="246" t="str">
        <f t="shared" si="28"/>
        <v/>
      </c>
      <c r="J268" s="245"/>
      <c r="K268" s="245"/>
      <c r="L268" s="245"/>
      <c r="M268" s="247"/>
    </row>
    <row r="269" spans="1:14" x14ac:dyDescent="0.45">
      <c r="A269" s="253" t="str">
        <f t="shared" si="24"/>
        <v>&lt;No&gt;</v>
      </c>
      <c r="B269" s="243" t="s">
        <v>1586</v>
      </c>
      <c r="C269" s="244">
        <f t="shared" si="19"/>
        <v>1</v>
      </c>
      <c r="D269" s="244">
        <f t="shared" si="25"/>
        <v>4</v>
      </c>
      <c r="E269" s="244" t="str">
        <f t="shared" si="26"/>
        <v/>
      </c>
      <c r="G269" s="248" t="str">
        <f t="shared" si="27"/>
        <v>&lt;No&gt;</v>
      </c>
      <c r="H269" s="251"/>
      <c r="I269" s="246" t="str">
        <f t="shared" si="28"/>
        <v/>
      </c>
      <c r="J269" s="245"/>
      <c r="K269" s="245"/>
      <c r="L269" s="245"/>
      <c r="M269" s="247"/>
    </row>
    <row r="270" spans="1:14" x14ac:dyDescent="0.45">
      <c r="A270" s="253" t="str">
        <f t="shared" si="24"/>
        <v>&lt;ct111&gt;439885419&lt;/ct111&gt;</v>
      </c>
      <c r="B270" s="243" t="s">
        <v>1587</v>
      </c>
      <c r="C270" s="244">
        <f t="shared" si="19"/>
        <v>2</v>
      </c>
      <c r="D270" s="244">
        <f t="shared" si="25"/>
        <v>7</v>
      </c>
      <c r="E270" s="244">
        <f t="shared" si="26"/>
        <v>9</v>
      </c>
      <c r="G270" s="254" t="str">
        <f t="shared" si="27"/>
        <v>&lt;ct111&gt;</v>
      </c>
      <c r="H270" s="260">
        <f>VLOOKUP(N270,BCDTK!$E$9:$L$132,3,0)</f>
        <v>439885419</v>
      </c>
      <c r="I270" s="255" t="str">
        <f t="shared" si="28"/>
        <v>&lt;/ct111&gt;</v>
      </c>
      <c r="J270" s="256"/>
      <c r="K270" s="256"/>
      <c r="L270" s="256"/>
      <c r="M270" s="257"/>
      <c r="N270" s="265">
        <v>111</v>
      </c>
    </row>
    <row r="271" spans="1:14" x14ac:dyDescent="0.45">
      <c r="A271" s="253" t="str">
        <f t="shared" si="24"/>
        <v>&lt;ct1111&gt;439885419&lt;/ct1111&gt;</v>
      </c>
      <c r="B271" s="243" t="s">
        <v>1588</v>
      </c>
      <c r="C271" s="244">
        <f t="shared" si="19"/>
        <v>2</v>
      </c>
      <c r="D271" s="244">
        <f t="shared" si="25"/>
        <v>8</v>
      </c>
      <c r="E271" s="244">
        <f t="shared" si="26"/>
        <v>10</v>
      </c>
      <c r="G271" s="259" t="str">
        <f t="shared" si="27"/>
        <v>&lt;ct1111&gt;</v>
      </c>
      <c r="H271" s="260">
        <f>VLOOKUP(N271,BCDTK!$E$9:$L$132,3,0)</f>
        <v>439885419</v>
      </c>
      <c r="I271" s="261" t="str">
        <f t="shared" si="28"/>
        <v>&lt;/ct1111&gt;</v>
      </c>
      <c r="J271" s="262"/>
      <c r="K271" s="262"/>
      <c r="L271" s="262"/>
      <c r="M271" s="263"/>
      <c r="N271" s="265">
        <v>1111</v>
      </c>
    </row>
    <row r="272" spans="1:14" x14ac:dyDescent="0.45">
      <c r="A272" s="253" t="str">
        <f t="shared" si="24"/>
        <v>&lt;ct1112&gt;0&lt;/ct1112&gt;</v>
      </c>
      <c r="B272" s="243" t="s">
        <v>1589</v>
      </c>
      <c r="C272" s="244">
        <f t="shared" si="19"/>
        <v>2</v>
      </c>
      <c r="D272" s="244">
        <f t="shared" si="25"/>
        <v>8</v>
      </c>
      <c r="E272" s="244">
        <f t="shared" si="26"/>
        <v>10</v>
      </c>
      <c r="G272" s="259" t="str">
        <f t="shared" si="27"/>
        <v>&lt;ct1112&gt;</v>
      </c>
      <c r="H272" s="260">
        <f>VLOOKUP(N272,BCDTK!$E$9:$L$132,3,0)</f>
        <v>0</v>
      </c>
      <c r="I272" s="261" t="str">
        <f t="shared" si="28"/>
        <v>&lt;/ct1112&gt;</v>
      </c>
      <c r="J272" s="262"/>
      <c r="K272" s="262"/>
      <c r="L272" s="262"/>
      <c r="M272" s="263"/>
      <c r="N272" s="265">
        <v>1112</v>
      </c>
    </row>
    <row r="273" spans="1:14" x14ac:dyDescent="0.45">
      <c r="A273" s="253" t="str">
        <f t="shared" si="24"/>
        <v>&lt;ct112&gt;229512&lt;/ct112&gt;</v>
      </c>
      <c r="B273" s="243" t="s">
        <v>1590</v>
      </c>
      <c r="C273" s="244">
        <f t="shared" si="19"/>
        <v>2</v>
      </c>
      <c r="D273" s="244">
        <f t="shared" si="20"/>
        <v>7</v>
      </c>
      <c r="E273" s="244">
        <f t="shared" si="21"/>
        <v>9</v>
      </c>
      <c r="G273" s="259" t="str">
        <f t="shared" si="22"/>
        <v>&lt;ct112&gt;</v>
      </c>
      <c r="H273" s="260">
        <f>VLOOKUP(N273,BCDTK!$E$9:$L$132,3,0)</f>
        <v>229512</v>
      </c>
      <c r="I273" s="261" t="str">
        <f t="shared" si="23"/>
        <v>&lt;/ct112&gt;</v>
      </c>
      <c r="J273" s="262"/>
      <c r="K273" s="262"/>
      <c r="L273" s="262"/>
      <c r="M273" s="263"/>
      <c r="N273" s="265">
        <v>112</v>
      </c>
    </row>
    <row r="274" spans="1:14" x14ac:dyDescent="0.45">
      <c r="A274" s="253" t="str">
        <f t="shared" si="24"/>
        <v>&lt;ct1121&gt;229512&lt;/ct1121&gt;</v>
      </c>
      <c r="B274" s="243" t="s">
        <v>1591</v>
      </c>
      <c r="C274" s="244">
        <f t="shared" si="19"/>
        <v>2</v>
      </c>
      <c r="D274" s="244">
        <f t="shared" si="20"/>
        <v>8</v>
      </c>
      <c r="E274" s="244">
        <f t="shared" si="21"/>
        <v>10</v>
      </c>
      <c r="G274" s="259" t="str">
        <f t="shared" si="22"/>
        <v>&lt;ct1121&gt;</v>
      </c>
      <c r="H274" s="260">
        <f>VLOOKUP(N274,BCDTK!$E$9:$L$132,3,0)</f>
        <v>229512</v>
      </c>
      <c r="I274" s="261" t="str">
        <f t="shared" si="23"/>
        <v>&lt;/ct1121&gt;</v>
      </c>
      <c r="J274" s="262"/>
      <c r="K274" s="262"/>
      <c r="L274" s="262"/>
      <c r="M274" s="263"/>
      <c r="N274" s="265">
        <v>1121</v>
      </c>
    </row>
    <row r="275" spans="1:14" x14ac:dyDescent="0.45">
      <c r="A275" s="253" t="str">
        <f t="shared" si="24"/>
        <v>&lt;ct1122&gt;0&lt;/ct1122&gt;</v>
      </c>
      <c r="B275" s="243" t="s">
        <v>1592</v>
      </c>
      <c r="C275" s="244">
        <f t="shared" si="19"/>
        <v>2</v>
      </c>
      <c r="D275" s="244">
        <f t="shared" si="20"/>
        <v>8</v>
      </c>
      <c r="E275" s="244">
        <f t="shared" si="21"/>
        <v>10</v>
      </c>
      <c r="G275" s="259" t="str">
        <f t="shared" si="22"/>
        <v>&lt;ct1122&gt;</v>
      </c>
      <c r="H275" s="260">
        <f>VLOOKUP(N275,BCDTK!$E$9:$L$132,3,0)</f>
        <v>0</v>
      </c>
      <c r="I275" s="261" t="str">
        <f t="shared" si="23"/>
        <v>&lt;/ct1122&gt;</v>
      </c>
      <c r="J275" s="262"/>
      <c r="K275" s="262"/>
      <c r="L275" s="262"/>
      <c r="M275" s="263"/>
      <c r="N275" s="265">
        <v>1122</v>
      </c>
    </row>
    <row r="276" spans="1:14" x14ac:dyDescent="0.45">
      <c r="A276" s="253" t="str">
        <f t="shared" si="24"/>
        <v>&lt;ct121&gt;0&lt;/ct121&gt;</v>
      </c>
      <c r="B276" s="243" t="s">
        <v>1461</v>
      </c>
      <c r="C276" s="244">
        <f t="shared" si="19"/>
        <v>2</v>
      </c>
      <c r="D276" s="244">
        <f t="shared" si="20"/>
        <v>7</v>
      </c>
      <c r="E276" s="244">
        <f t="shared" si="21"/>
        <v>9</v>
      </c>
      <c r="G276" s="259" t="str">
        <f t="shared" si="22"/>
        <v>&lt;ct121&gt;</v>
      </c>
      <c r="H276" s="260">
        <f>VLOOKUP(N276,BCDTK!$E$9:$L$132,3,0)</f>
        <v>0</v>
      </c>
      <c r="I276" s="261" t="str">
        <f t="shared" si="23"/>
        <v>&lt;/ct121&gt;</v>
      </c>
      <c r="J276" s="262"/>
      <c r="K276" s="262"/>
      <c r="L276" s="262"/>
      <c r="M276" s="263"/>
      <c r="N276" s="265">
        <v>121</v>
      </c>
    </row>
    <row r="277" spans="1:14" x14ac:dyDescent="0.45">
      <c r="A277" s="253" t="str">
        <f t="shared" si="24"/>
        <v>&lt;ct128&gt;0&lt;/ct128&gt;</v>
      </c>
      <c r="B277" s="243" t="s">
        <v>1593</v>
      </c>
      <c r="C277" s="244">
        <f t="shared" si="19"/>
        <v>2</v>
      </c>
      <c r="D277" s="244">
        <f t="shared" si="20"/>
        <v>7</v>
      </c>
      <c r="E277" s="244">
        <f t="shared" si="21"/>
        <v>9</v>
      </c>
      <c r="G277" s="259" t="str">
        <f t="shared" si="22"/>
        <v>&lt;ct128&gt;</v>
      </c>
      <c r="H277" s="260">
        <f>VLOOKUP(N277,BCDTK!$E$9:$L$132,3,0)</f>
        <v>0</v>
      </c>
      <c r="I277" s="261" t="str">
        <f t="shared" si="23"/>
        <v>&lt;/ct128&gt;</v>
      </c>
      <c r="J277" s="262"/>
      <c r="K277" s="262"/>
      <c r="L277" s="262"/>
      <c r="M277" s="263"/>
      <c r="N277" s="265">
        <v>128</v>
      </c>
    </row>
    <row r="278" spans="1:14" x14ac:dyDescent="0.45">
      <c r="A278" s="253" t="str">
        <f t="shared" si="24"/>
        <v>&lt;ct1281&gt;0&lt;/ct1281&gt;</v>
      </c>
      <c r="B278" s="243" t="s">
        <v>1594</v>
      </c>
      <c r="C278" s="244">
        <f t="shared" si="19"/>
        <v>2</v>
      </c>
      <c r="D278" s="244">
        <f t="shared" si="20"/>
        <v>8</v>
      </c>
      <c r="E278" s="244">
        <f t="shared" si="21"/>
        <v>10</v>
      </c>
      <c r="G278" s="259" t="str">
        <f t="shared" si="22"/>
        <v>&lt;ct1281&gt;</v>
      </c>
      <c r="H278" s="260">
        <f>VLOOKUP(N278,BCDTK!$E$9:$L$132,3,0)</f>
        <v>0</v>
      </c>
      <c r="I278" s="261" t="str">
        <f t="shared" si="23"/>
        <v>&lt;/ct1281&gt;</v>
      </c>
      <c r="J278" s="262"/>
      <c r="K278" s="262"/>
      <c r="L278" s="262"/>
      <c r="M278" s="263"/>
      <c r="N278" s="265">
        <v>1281</v>
      </c>
    </row>
    <row r="279" spans="1:14" x14ac:dyDescent="0.45">
      <c r="A279" s="253" t="str">
        <f t="shared" si="24"/>
        <v>&lt;ct1288&gt;0&lt;/ct1288&gt;</v>
      </c>
      <c r="B279" s="243" t="s">
        <v>1595</v>
      </c>
      <c r="C279" s="244">
        <f t="shared" si="19"/>
        <v>2</v>
      </c>
      <c r="D279" s="244">
        <f t="shared" si="20"/>
        <v>8</v>
      </c>
      <c r="E279" s="244">
        <f t="shared" si="21"/>
        <v>10</v>
      </c>
      <c r="G279" s="259" t="str">
        <f t="shared" si="22"/>
        <v>&lt;ct1288&gt;</v>
      </c>
      <c r="H279" s="260">
        <f>VLOOKUP(N279,BCDTK!$E$9:$L$132,3,0)</f>
        <v>0</v>
      </c>
      <c r="I279" s="261" t="str">
        <f t="shared" si="23"/>
        <v>&lt;/ct1288&gt;</v>
      </c>
      <c r="J279" s="262"/>
      <c r="K279" s="262"/>
      <c r="L279" s="262"/>
      <c r="M279" s="263"/>
      <c r="N279" s="265">
        <v>1288</v>
      </c>
    </row>
    <row r="280" spans="1:14" x14ac:dyDescent="0.45">
      <c r="A280" s="253" t="str">
        <f t="shared" si="24"/>
        <v>&lt;ct131&gt;22680000&lt;/ct131&gt;</v>
      </c>
      <c r="B280" s="243" t="s">
        <v>1510</v>
      </c>
      <c r="C280" s="244">
        <f t="shared" si="19"/>
        <v>2</v>
      </c>
      <c r="D280" s="244">
        <f t="shared" si="20"/>
        <v>7</v>
      </c>
      <c r="E280" s="244">
        <f t="shared" si="21"/>
        <v>9</v>
      </c>
      <c r="G280" s="259" t="str">
        <f t="shared" si="22"/>
        <v>&lt;ct131&gt;</v>
      </c>
      <c r="H280" s="260">
        <f>VLOOKUP(N280,BCDTK!$E$9:$L$132,3,0)</f>
        <v>22680000</v>
      </c>
      <c r="I280" s="261" t="str">
        <f t="shared" si="23"/>
        <v>&lt;/ct131&gt;</v>
      </c>
      <c r="J280" s="262"/>
      <c r="K280" s="262"/>
      <c r="L280" s="262"/>
      <c r="M280" s="263"/>
      <c r="N280" s="265">
        <v>131</v>
      </c>
    </row>
    <row r="281" spans="1:14" x14ac:dyDescent="0.45">
      <c r="A281" s="253" t="str">
        <f t="shared" si="24"/>
        <v>&lt;ct133&gt;0&lt;/ct133&gt;</v>
      </c>
      <c r="B281" s="243" t="s">
        <v>1468</v>
      </c>
      <c r="C281" s="244">
        <f t="shared" ref="C281:C344" si="29">LEN(B281)-LEN(SUBSTITUTE(B281,"&lt;",""))</f>
        <v>2</v>
      </c>
      <c r="D281" s="244">
        <f t="shared" ref="D281:D344" si="30">SEARCH("&gt;",B281)</f>
        <v>7</v>
      </c>
      <c r="E281" s="244">
        <f t="shared" ref="E281:E344" si="31">IFERROR(SEARCH("&lt;/",B281),"")</f>
        <v>9</v>
      </c>
      <c r="G281" s="259" t="str">
        <f t="shared" ref="G281:G344" si="32">LEFT(B281,D281)</f>
        <v>&lt;ct133&gt;</v>
      </c>
      <c r="H281" s="260">
        <f>VLOOKUP(N281,BCDTK!$E$9:$L$132,3,0)</f>
        <v>0</v>
      </c>
      <c r="I281" s="261" t="str">
        <f t="shared" ref="I281:I344" si="33">IF(C281=2,RIGHT(B281,LEN(B281)-E281+1),"")</f>
        <v>&lt;/ct133&gt;</v>
      </c>
      <c r="J281" s="262"/>
      <c r="K281" s="262"/>
      <c r="L281" s="262"/>
      <c r="M281" s="263"/>
      <c r="N281" s="265">
        <v>133</v>
      </c>
    </row>
    <row r="282" spans="1:14" x14ac:dyDescent="0.45">
      <c r="A282" s="253" t="str">
        <f t="shared" si="24"/>
        <v>&lt;ct1331&gt;0&lt;/ct1331&gt;</v>
      </c>
      <c r="B282" s="243" t="s">
        <v>1596</v>
      </c>
      <c r="C282" s="244">
        <f t="shared" si="29"/>
        <v>2</v>
      </c>
      <c r="D282" s="244">
        <f t="shared" si="30"/>
        <v>8</v>
      </c>
      <c r="E282" s="244">
        <f t="shared" si="31"/>
        <v>10</v>
      </c>
      <c r="G282" s="259" t="str">
        <f t="shared" si="32"/>
        <v>&lt;ct1331&gt;</v>
      </c>
      <c r="H282" s="260">
        <f>VLOOKUP(N282,BCDTK!$E$9:$L$132,3,0)</f>
        <v>0</v>
      </c>
      <c r="I282" s="261" t="str">
        <f t="shared" si="33"/>
        <v>&lt;/ct1331&gt;</v>
      </c>
      <c r="J282" s="262"/>
      <c r="K282" s="262"/>
      <c r="L282" s="262"/>
      <c r="M282" s="263"/>
      <c r="N282" s="265">
        <v>1331</v>
      </c>
    </row>
    <row r="283" spans="1:14" x14ac:dyDescent="0.45">
      <c r="A283" s="253" t="str">
        <f t="shared" si="24"/>
        <v>&lt;ct1332&gt;0&lt;/ct1332&gt;</v>
      </c>
      <c r="B283" s="243" t="s">
        <v>1597</v>
      </c>
      <c r="C283" s="244">
        <f t="shared" si="29"/>
        <v>2</v>
      </c>
      <c r="D283" s="244">
        <f t="shared" si="30"/>
        <v>8</v>
      </c>
      <c r="E283" s="244">
        <f t="shared" si="31"/>
        <v>10</v>
      </c>
      <c r="G283" s="259" t="str">
        <f t="shared" si="32"/>
        <v>&lt;ct1332&gt;</v>
      </c>
      <c r="H283" s="260">
        <f>VLOOKUP(N283,BCDTK!$E$9:$L$132,3,0)</f>
        <v>0</v>
      </c>
      <c r="I283" s="261" t="str">
        <f t="shared" si="33"/>
        <v>&lt;/ct1332&gt;</v>
      </c>
      <c r="J283" s="262"/>
      <c r="K283" s="262"/>
      <c r="L283" s="262"/>
      <c r="M283" s="263"/>
      <c r="N283" s="265">
        <v>1332</v>
      </c>
    </row>
    <row r="284" spans="1:14" x14ac:dyDescent="0.45">
      <c r="A284" s="253" t="str">
        <f t="shared" si="24"/>
        <v>&lt;ct136&gt;0&lt;/ct136&gt;</v>
      </c>
      <c r="B284" s="243" t="s">
        <v>1471</v>
      </c>
      <c r="C284" s="244">
        <f t="shared" si="29"/>
        <v>2</v>
      </c>
      <c r="D284" s="244">
        <f t="shared" si="30"/>
        <v>7</v>
      </c>
      <c r="E284" s="244">
        <f t="shared" si="31"/>
        <v>9</v>
      </c>
      <c r="G284" s="259" t="str">
        <f t="shared" si="32"/>
        <v>&lt;ct136&gt;</v>
      </c>
      <c r="H284" s="260">
        <f>VLOOKUP(N284,BCDTK!$E$9:$L$132,3,0)</f>
        <v>0</v>
      </c>
      <c r="I284" s="261" t="str">
        <f t="shared" si="33"/>
        <v>&lt;/ct136&gt;</v>
      </c>
      <c r="J284" s="262"/>
      <c r="K284" s="262"/>
      <c r="L284" s="262"/>
      <c r="M284" s="263"/>
      <c r="N284" s="265">
        <v>136</v>
      </c>
    </row>
    <row r="285" spans="1:14" x14ac:dyDescent="0.45">
      <c r="A285" s="253" t="str">
        <f t="shared" si="24"/>
        <v>&lt;ct1361&gt;0&lt;/ct1361&gt;</v>
      </c>
      <c r="B285" s="243" t="s">
        <v>1598</v>
      </c>
      <c r="C285" s="244">
        <f t="shared" si="29"/>
        <v>2</v>
      </c>
      <c r="D285" s="244">
        <f t="shared" si="30"/>
        <v>8</v>
      </c>
      <c r="E285" s="244">
        <f t="shared" si="31"/>
        <v>10</v>
      </c>
      <c r="G285" s="259" t="str">
        <f t="shared" si="32"/>
        <v>&lt;ct1361&gt;</v>
      </c>
      <c r="H285" s="260">
        <f>VLOOKUP(N285,BCDTK!$E$9:$L$132,3,0)</f>
        <v>0</v>
      </c>
      <c r="I285" s="261" t="str">
        <f t="shared" si="33"/>
        <v>&lt;/ct1361&gt;</v>
      </c>
      <c r="J285" s="262"/>
      <c r="K285" s="262"/>
      <c r="L285" s="262"/>
      <c r="M285" s="263"/>
      <c r="N285" s="265">
        <v>1361</v>
      </c>
    </row>
    <row r="286" spans="1:14" x14ac:dyDescent="0.45">
      <c r="A286" s="253" t="str">
        <f t="shared" si="24"/>
        <v>&lt;ct1368&gt;0&lt;/ct1368&gt;</v>
      </c>
      <c r="B286" s="243" t="s">
        <v>1599</v>
      </c>
      <c r="C286" s="244">
        <f t="shared" si="29"/>
        <v>2</v>
      </c>
      <c r="D286" s="244">
        <f t="shared" si="30"/>
        <v>8</v>
      </c>
      <c r="E286" s="244">
        <f t="shared" si="31"/>
        <v>10</v>
      </c>
      <c r="G286" s="259" t="str">
        <f t="shared" si="32"/>
        <v>&lt;ct1368&gt;</v>
      </c>
      <c r="H286" s="260">
        <f>VLOOKUP(N286,BCDTK!$E$9:$L$132,3,0)</f>
        <v>0</v>
      </c>
      <c r="I286" s="261" t="str">
        <f t="shared" si="33"/>
        <v>&lt;/ct1368&gt;</v>
      </c>
      <c r="J286" s="262"/>
      <c r="K286" s="262"/>
      <c r="L286" s="262"/>
      <c r="M286" s="263"/>
      <c r="N286" s="265">
        <v>1368</v>
      </c>
    </row>
    <row r="287" spans="1:14" x14ac:dyDescent="0.45">
      <c r="A287" s="253" t="str">
        <f t="shared" si="24"/>
        <v>&lt;ct138&gt;0&lt;/ct138&gt;</v>
      </c>
      <c r="B287" s="243" t="s">
        <v>1600</v>
      </c>
      <c r="C287" s="244">
        <f t="shared" si="29"/>
        <v>2</v>
      </c>
      <c r="D287" s="244">
        <f t="shared" si="30"/>
        <v>7</v>
      </c>
      <c r="E287" s="244">
        <f t="shared" si="31"/>
        <v>9</v>
      </c>
      <c r="G287" s="259" t="str">
        <f t="shared" si="32"/>
        <v>&lt;ct138&gt;</v>
      </c>
      <c r="H287" s="260">
        <f>VLOOKUP(N287,BCDTK!$E$9:$L$132,3,0)</f>
        <v>0</v>
      </c>
      <c r="I287" s="261" t="str">
        <f t="shared" si="33"/>
        <v>&lt;/ct138&gt;</v>
      </c>
      <c r="J287" s="262"/>
      <c r="K287" s="262"/>
      <c r="L287" s="262"/>
      <c r="M287" s="263"/>
      <c r="N287" s="265">
        <v>138</v>
      </c>
    </row>
    <row r="288" spans="1:14" x14ac:dyDescent="0.45">
      <c r="A288" s="253" t="str">
        <f t="shared" si="24"/>
        <v>&lt;ct1381&gt;0&lt;/ct1381&gt;</v>
      </c>
      <c r="B288" s="243" t="s">
        <v>1601</v>
      </c>
      <c r="C288" s="244">
        <f t="shared" si="29"/>
        <v>2</v>
      </c>
      <c r="D288" s="244">
        <f t="shared" si="30"/>
        <v>8</v>
      </c>
      <c r="E288" s="244">
        <f t="shared" si="31"/>
        <v>10</v>
      </c>
      <c r="G288" s="259" t="str">
        <f t="shared" si="32"/>
        <v>&lt;ct1381&gt;</v>
      </c>
      <c r="H288" s="260">
        <f>VLOOKUP(N288,BCDTK!$E$9:$L$132,3,0)</f>
        <v>0</v>
      </c>
      <c r="I288" s="261" t="str">
        <f t="shared" si="33"/>
        <v>&lt;/ct1381&gt;</v>
      </c>
      <c r="J288" s="262"/>
      <c r="K288" s="262"/>
      <c r="L288" s="262"/>
      <c r="M288" s="263"/>
      <c r="N288" s="265">
        <v>1381</v>
      </c>
    </row>
    <row r="289" spans="1:14" x14ac:dyDescent="0.45">
      <c r="A289" s="253" t="str">
        <f t="shared" si="24"/>
        <v>&lt;ct1386&gt;0&lt;/ct1386&gt;</v>
      </c>
      <c r="B289" s="243" t="s">
        <v>1602</v>
      </c>
      <c r="C289" s="244">
        <f t="shared" si="29"/>
        <v>2</v>
      </c>
      <c r="D289" s="244">
        <f t="shared" si="30"/>
        <v>8</v>
      </c>
      <c r="E289" s="244">
        <f t="shared" si="31"/>
        <v>10</v>
      </c>
      <c r="G289" s="259" t="str">
        <f t="shared" si="32"/>
        <v>&lt;ct1386&gt;</v>
      </c>
      <c r="H289" s="260">
        <f>VLOOKUP(N289,BCDTK!$E$9:$L$132,3,0)</f>
        <v>0</v>
      </c>
      <c r="I289" s="261" t="str">
        <f t="shared" si="33"/>
        <v>&lt;/ct1386&gt;</v>
      </c>
      <c r="J289" s="262"/>
      <c r="K289" s="262"/>
      <c r="L289" s="262"/>
      <c r="M289" s="263"/>
      <c r="N289" s="265">
        <v>1386</v>
      </c>
    </row>
    <row r="290" spans="1:14" x14ac:dyDescent="0.45">
      <c r="A290" s="253" t="str">
        <f t="shared" si="24"/>
        <v>&lt;ct1388&gt;0&lt;/ct1388&gt;</v>
      </c>
      <c r="B290" s="243" t="s">
        <v>1603</v>
      </c>
      <c r="C290" s="244">
        <f t="shared" si="29"/>
        <v>2</v>
      </c>
      <c r="D290" s="244">
        <f t="shared" si="30"/>
        <v>8</v>
      </c>
      <c r="E290" s="244">
        <f t="shared" si="31"/>
        <v>10</v>
      </c>
      <c r="G290" s="259" t="str">
        <f t="shared" si="32"/>
        <v>&lt;ct1388&gt;</v>
      </c>
      <c r="H290" s="260">
        <f>VLOOKUP(N290,BCDTK!$E$9:$L$132,3,0)</f>
        <v>0</v>
      </c>
      <c r="I290" s="261" t="str">
        <f t="shared" si="33"/>
        <v>&lt;/ct1388&gt;</v>
      </c>
      <c r="J290" s="262"/>
      <c r="K290" s="262"/>
      <c r="L290" s="262"/>
      <c r="M290" s="263"/>
      <c r="N290" s="265">
        <v>1388</v>
      </c>
    </row>
    <row r="291" spans="1:14" x14ac:dyDescent="0.45">
      <c r="A291" s="253" t="str">
        <f t="shared" si="24"/>
        <v>&lt;ct141&gt;0&lt;/ct141&gt;</v>
      </c>
      <c r="B291" s="243" t="s">
        <v>1513</v>
      </c>
      <c r="C291" s="244">
        <f t="shared" si="29"/>
        <v>2</v>
      </c>
      <c r="D291" s="244">
        <f t="shared" si="30"/>
        <v>7</v>
      </c>
      <c r="E291" s="244">
        <f t="shared" si="31"/>
        <v>9</v>
      </c>
      <c r="G291" s="259" t="str">
        <f t="shared" si="32"/>
        <v>&lt;ct141&gt;</v>
      </c>
      <c r="H291" s="260">
        <f>VLOOKUP(N291,BCDTK!$E$9:$L$132,3,0)</f>
        <v>0</v>
      </c>
      <c r="I291" s="261" t="str">
        <f t="shared" si="33"/>
        <v>&lt;/ct141&gt;</v>
      </c>
      <c r="J291" s="262"/>
      <c r="K291" s="262"/>
      <c r="L291" s="262"/>
      <c r="M291" s="263"/>
      <c r="N291" s="265">
        <v>141</v>
      </c>
    </row>
    <row r="292" spans="1:14" x14ac:dyDescent="0.45">
      <c r="A292" s="253" t="str">
        <f t="shared" si="24"/>
        <v>&lt;ct151&gt;0&lt;/ct151&gt;</v>
      </c>
      <c r="B292" s="243" t="s">
        <v>1476</v>
      </c>
      <c r="C292" s="244">
        <f t="shared" si="29"/>
        <v>2</v>
      </c>
      <c r="D292" s="244">
        <f t="shared" si="30"/>
        <v>7</v>
      </c>
      <c r="E292" s="244">
        <f t="shared" si="31"/>
        <v>9</v>
      </c>
      <c r="G292" s="259" t="str">
        <f t="shared" si="32"/>
        <v>&lt;ct151&gt;</v>
      </c>
      <c r="H292" s="260">
        <f>VLOOKUP(N292,BCDTK!$E$9:$L$132,3,0)</f>
        <v>0</v>
      </c>
      <c r="I292" s="261" t="str">
        <f t="shared" si="33"/>
        <v>&lt;/ct151&gt;</v>
      </c>
      <c r="J292" s="262"/>
      <c r="K292" s="262"/>
      <c r="L292" s="262"/>
      <c r="M292" s="263"/>
      <c r="N292" s="265">
        <v>151</v>
      </c>
    </row>
    <row r="293" spans="1:14" x14ac:dyDescent="0.45">
      <c r="A293" s="253" t="str">
        <f t="shared" si="24"/>
        <v>&lt;ct152&gt;0&lt;/ct152&gt;</v>
      </c>
      <c r="B293" s="243" t="s">
        <v>1477</v>
      </c>
      <c r="C293" s="244">
        <f t="shared" si="29"/>
        <v>2</v>
      </c>
      <c r="D293" s="244">
        <f t="shared" si="30"/>
        <v>7</v>
      </c>
      <c r="E293" s="244">
        <f t="shared" si="31"/>
        <v>9</v>
      </c>
      <c r="G293" s="259" t="str">
        <f t="shared" si="32"/>
        <v>&lt;ct152&gt;</v>
      </c>
      <c r="H293" s="260">
        <f>VLOOKUP(N293,BCDTK!$E$9:$L$132,3,0)</f>
        <v>0</v>
      </c>
      <c r="I293" s="261" t="str">
        <f t="shared" si="33"/>
        <v>&lt;/ct152&gt;</v>
      </c>
      <c r="J293" s="262"/>
      <c r="K293" s="262"/>
      <c r="L293" s="262"/>
      <c r="M293" s="263"/>
      <c r="N293" s="265">
        <v>152</v>
      </c>
    </row>
    <row r="294" spans="1:14" x14ac:dyDescent="0.45">
      <c r="A294" s="253" t="str">
        <f t="shared" si="24"/>
        <v>&lt;ct153&gt;0&lt;/ct153&gt;</v>
      </c>
      <c r="B294" s="243" t="s">
        <v>1604</v>
      </c>
      <c r="C294" s="244">
        <f t="shared" si="29"/>
        <v>2</v>
      </c>
      <c r="D294" s="244">
        <f t="shared" si="30"/>
        <v>7</v>
      </c>
      <c r="E294" s="244">
        <f t="shared" si="31"/>
        <v>9</v>
      </c>
      <c r="G294" s="259" t="str">
        <f t="shared" si="32"/>
        <v>&lt;ct153&gt;</v>
      </c>
      <c r="H294" s="260">
        <f>VLOOKUP(N294,BCDTK!$E$9:$L$132,3,0)</f>
        <v>0</v>
      </c>
      <c r="I294" s="261" t="str">
        <f t="shared" si="33"/>
        <v>&lt;/ct153&gt;</v>
      </c>
      <c r="J294" s="262"/>
      <c r="K294" s="262"/>
      <c r="L294" s="262"/>
      <c r="M294" s="263"/>
      <c r="N294" s="265">
        <v>153</v>
      </c>
    </row>
    <row r="295" spans="1:14" x14ac:dyDescent="0.45">
      <c r="A295" s="253" t="str">
        <f t="shared" si="24"/>
        <v>&lt;ct154&gt;0&lt;/ct154&gt;</v>
      </c>
      <c r="B295" s="243" t="s">
        <v>1605</v>
      </c>
      <c r="C295" s="244">
        <f t="shared" si="29"/>
        <v>2</v>
      </c>
      <c r="D295" s="244">
        <f t="shared" si="30"/>
        <v>7</v>
      </c>
      <c r="E295" s="244">
        <f t="shared" si="31"/>
        <v>9</v>
      </c>
      <c r="G295" s="259" t="str">
        <f t="shared" si="32"/>
        <v>&lt;ct154&gt;</v>
      </c>
      <c r="H295" s="260">
        <f>VLOOKUP(N295,BCDTK!$E$9:$L$132,3,0)</f>
        <v>0</v>
      </c>
      <c r="I295" s="261" t="str">
        <f t="shared" si="33"/>
        <v>&lt;/ct154&gt;</v>
      </c>
      <c r="J295" s="262"/>
      <c r="K295" s="262"/>
      <c r="L295" s="262"/>
      <c r="M295" s="263"/>
      <c r="N295" s="265">
        <v>154</v>
      </c>
    </row>
    <row r="296" spans="1:14" x14ac:dyDescent="0.45">
      <c r="A296" s="253" t="str">
        <f t="shared" si="24"/>
        <v>&lt;ct155&gt;0&lt;/ct155&gt;</v>
      </c>
      <c r="B296" s="243" t="s">
        <v>1606</v>
      </c>
      <c r="C296" s="244">
        <f t="shared" si="29"/>
        <v>2</v>
      </c>
      <c r="D296" s="244">
        <f t="shared" si="30"/>
        <v>7</v>
      </c>
      <c r="E296" s="244">
        <f t="shared" si="31"/>
        <v>9</v>
      </c>
      <c r="G296" s="259" t="str">
        <f t="shared" si="32"/>
        <v>&lt;ct155&gt;</v>
      </c>
      <c r="H296" s="260">
        <f>VLOOKUP(N296,BCDTK!$E$9:$L$132,3,0)</f>
        <v>0</v>
      </c>
      <c r="I296" s="261" t="str">
        <f t="shared" si="33"/>
        <v>&lt;/ct155&gt;</v>
      </c>
      <c r="J296" s="262"/>
      <c r="K296" s="262"/>
      <c r="L296" s="262"/>
      <c r="M296" s="263"/>
      <c r="N296" s="265">
        <v>155</v>
      </c>
    </row>
    <row r="297" spans="1:14" x14ac:dyDescent="0.45">
      <c r="A297" s="253" t="str">
        <f t="shared" si="24"/>
        <v>&lt;ct156&gt;0&lt;/ct156&gt;</v>
      </c>
      <c r="B297" s="243" t="s">
        <v>1607</v>
      </c>
      <c r="C297" s="244">
        <f t="shared" si="29"/>
        <v>2</v>
      </c>
      <c r="D297" s="244">
        <f t="shared" si="30"/>
        <v>7</v>
      </c>
      <c r="E297" s="244">
        <f t="shared" si="31"/>
        <v>9</v>
      </c>
      <c r="G297" s="259" t="str">
        <f t="shared" si="32"/>
        <v>&lt;ct156&gt;</v>
      </c>
      <c r="H297" s="260">
        <f>VLOOKUP(N297,BCDTK!$E$9:$L$132,3,0)</f>
        <v>0</v>
      </c>
      <c r="I297" s="261" t="str">
        <f t="shared" si="33"/>
        <v>&lt;/ct156&gt;</v>
      </c>
      <c r="J297" s="262"/>
      <c r="K297" s="262"/>
      <c r="L297" s="262"/>
      <c r="M297" s="263"/>
      <c r="N297" s="265">
        <v>156</v>
      </c>
    </row>
    <row r="298" spans="1:14" x14ac:dyDescent="0.45">
      <c r="A298" s="253" t="str">
        <f t="shared" si="24"/>
        <v>&lt;ct157&gt;0&lt;/ct157&gt;</v>
      </c>
      <c r="B298" s="243" t="s">
        <v>1608</v>
      </c>
      <c r="C298" s="244">
        <f t="shared" si="29"/>
        <v>2</v>
      </c>
      <c r="D298" s="244">
        <f t="shared" si="30"/>
        <v>7</v>
      </c>
      <c r="E298" s="244">
        <f t="shared" si="31"/>
        <v>9</v>
      </c>
      <c r="G298" s="259" t="str">
        <f t="shared" si="32"/>
        <v>&lt;ct157&gt;</v>
      </c>
      <c r="H298" s="260">
        <f>VLOOKUP(N298,BCDTK!$E$9:$L$132,3,0)</f>
        <v>0</v>
      </c>
      <c r="I298" s="261" t="str">
        <f t="shared" si="33"/>
        <v>&lt;/ct157&gt;</v>
      </c>
      <c r="J298" s="262"/>
      <c r="K298" s="262"/>
      <c r="L298" s="262"/>
      <c r="M298" s="263"/>
      <c r="N298" s="265">
        <v>157</v>
      </c>
    </row>
    <row r="299" spans="1:14" x14ac:dyDescent="0.45">
      <c r="A299" s="253" t="str">
        <f t="shared" si="24"/>
        <v>&lt;ct211&gt;0&lt;/ct211&gt;</v>
      </c>
      <c r="B299" s="243" t="s">
        <v>1609</v>
      </c>
      <c r="C299" s="244">
        <f t="shared" si="29"/>
        <v>2</v>
      </c>
      <c r="D299" s="244">
        <f t="shared" si="30"/>
        <v>7</v>
      </c>
      <c r="E299" s="244">
        <f t="shared" si="31"/>
        <v>9</v>
      </c>
      <c r="G299" s="259" t="str">
        <f t="shared" si="32"/>
        <v>&lt;ct211&gt;</v>
      </c>
      <c r="H299" s="260">
        <f>VLOOKUP(N299,BCDTK!$E$9:$L$132,3,0)</f>
        <v>0</v>
      </c>
      <c r="I299" s="261" t="str">
        <f t="shared" si="33"/>
        <v>&lt;/ct211&gt;</v>
      </c>
      <c r="J299" s="262"/>
      <c r="K299" s="262"/>
      <c r="L299" s="262"/>
      <c r="M299" s="263"/>
      <c r="N299" s="265">
        <v>211</v>
      </c>
    </row>
    <row r="300" spans="1:14" x14ac:dyDescent="0.45">
      <c r="A300" s="253" t="str">
        <f t="shared" si="24"/>
        <v>&lt;ct2111&gt;0&lt;/ct2111&gt;</v>
      </c>
      <c r="B300" s="243" t="s">
        <v>1610</v>
      </c>
      <c r="C300" s="244">
        <f t="shared" si="29"/>
        <v>2</v>
      </c>
      <c r="D300" s="244">
        <f t="shared" si="30"/>
        <v>8</v>
      </c>
      <c r="E300" s="244">
        <f t="shared" si="31"/>
        <v>10</v>
      </c>
      <c r="G300" s="259" t="str">
        <f t="shared" si="32"/>
        <v>&lt;ct2111&gt;</v>
      </c>
      <c r="H300" s="260">
        <f>VLOOKUP(N300,BCDTK!$E$9:$L$132,3,0)</f>
        <v>0</v>
      </c>
      <c r="I300" s="261" t="str">
        <f t="shared" si="33"/>
        <v>&lt;/ct2111&gt;</v>
      </c>
      <c r="J300" s="262"/>
      <c r="K300" s="262"/>
      <c r="L300" s="262"/>
      <c r="M300" s="263"/>
      <c r="N300" s="265">
        <v>2111</v>
      </c>
    </row>
    <row r="301" spans="1:14" x14ac:dyDescent="0.45">
      <c r="A301" s="253" t="str">
        <f t="shared" ref="A301:A364" si="34">CONCATENATE(G301,H301,I301)</f>
        <v>&lt;ct2112&gt;0&lt;/ct2112&gt;</v>
      </c>
      <c r="B301" s="243" t="s">
        <v>1611</v>
      </c>
      <c r="C301" s="244">
        <f t="shared" si="29"/>
        <v>2</v>
      </c>
      <c r="D301" s="244">
        <f t="shared" si="30"/>
        <v>8</v>
      </c>
      <c r="E301" s="244">
        <f t="shared" si="31"/>
        <v>10</v>
      </c>
      <c r="G301" s="259" t="str">
        <f t="shared" si="32"/>
        <v>&lt;ct2112&gt;</v>
      </c>
      <c r="H301" s="260">
        <f>VLOOKUP(N301,BCDTK!$E$9:$L$132,3,0)</f>
        <v>0</v>
      </c>
      <c r="I301" s="261" t="str">
        <f t="shared" si="33"/>
        <v>&lt;/ct2112&gt;</v>
      </c>
      <c r="J301" s="262"/>
      <c r="K301" s="262"/>
      <c r="L301" s="262"/>
      <c r="M301" s="263"/>
      <c r="N301" s="265">
        <v>2112</v>
      </c>
    </row>
    <row r="302" spans="1:14" x14ac:dyDescent="0.45">
      <c r="A302" s="253" t="str">
        <f t="shared" si="34"/>
        <v>&lt;ct2113&gt;0&lt;/ct2113&gt;</v>
      </c>
      <c r="B302" s="243" t="s">
        <v>1612</v>
      </c>
      <c r="C302" s="244">
        <f t="shared" si="29"/>
        <v>2</v>
      </c>
      <c r="D302" s="244">
        <f t="shared" si="30"/>
        <v>8</v>
      </c>
      <c r="E302" s="244">
        <f t="shared" si="31"/>
        <v>10</v>
      </c>
      <c r="G302" s="259" t="str">
        <f t="shared" si="32"/>
        <v>&lt;ct2113&gt;</v>
      </c>
      <c r="H302" s="260">
        <f>VLOOKUP(N302,BCDTK!$E$9:$L$132,3,0)</f>
        <v>0</v>
      </c>
      <c r="I302" s="261" t="str">
        <f t="shared" si="33"/>
        <v>&lt;/ct2113&gt;</v>
      </c>
      <c r="J302" s="262"/>
      <c r="K302" s="262"/>
      <c r="L302" s="262"/>
      <c r="M302" s="263"/>
      <c r="N302" s="265">
        <v>2113</v>
      </c>
    </row>
    <row r="303" spans="1:14" x14ac:dyDescent="0.45">
      <c r="A303" s="253" t="str">
        <f t="shared" si="34"/>
        <v>&lt;ct214&gt;0&lt;/ct214&gt;</v>
      </c>
      <c r="B303" s="243" t="s">
        <v>1613</v>
      </c>
      <c r="C303" s="244">
        <f t="shared" si="29"/>
        <v>2</v>
      </c>
      <c r="D303" s="244">
        <f t="shared" si="30"/>
        <v>7</v>
      </c>
      <c r="E303" s="244">
        <f t="shared" si="31"/>
        <v>9</v>
      </c>
      <c r="G303" s="259" t="str">
        <f t="shared" si="32"/>
        <v>&lt;ct214&gt;</v>
      </c>
      <c r="H303" s="260">
        <f>VLOOKUP(N303,BCDTK!$E$9:$L$132,3,0)</f>
        <v>0</v>
      </c>
      <c r="I303" s="261" t="str">
        <f t="shared" si="33"/>
        <v>&lt;/ct214&gt;</v>
      </c>
      <c r="J303" s="262"/>
      <c r="K303" s="262"/>
      <c r="L303" s="262"/>
      <c r="M303" s="263"/>
      <c r="N303" s="265">
        <v>214</v>
      </c>
    </row>
    <row r="304" spans="1:14" x14ac:dyDescent="0.45">
      <c r="A304" s="253" t="str">
        <f t="shared" si="34"/>
        <v>&lt;ct2141&gt;0&lt;/ct2141&gt;</v>
      </c>
      <c r="B304" s="243" t="s">
        <v>1614</v>
      </c>
      <c r="C304" s="244">
        <f t="shared" si="29"/>
        <v>2</v>
      </c>
      <c r="D304" s="244">
        <f t="shared" si="30"/>
        <v>8</v>
      </c>
      <c r="E304" s="244">
        <f t="shared" si="31"/>
        <v>10</v>
      </c>
      <c r="G304" s="259" t="str">
        <f t="shared" si="32"/>
        <v>&lt;ct2141&gt;</v>
      </c>
      <c r="H304" s="260">
        <f>VLOOKUP(N304,BCDTK!$E$9:$L$132,3,0)</f>
        <v>0</v>
      </c>
      <c r="I304" s="261" t="str">
        <f t="shared" si="33"/>
        <v>&lt;/ct2141&gt;</v>
      </c>
      <c r="J304" s="262"/>
      <c r="K304" s="262"/>
      <c r="L304" s="262"/>
      <c r="M304" s="263"/>
      <c r="N304" s="265">
        <v>2141</v>
      </c>
    </row>
    <row r="305" spans="1:14" x14ac:dyDescent="0.45">
      <c r="A305" s="253" t="str">
        <f t="shared" si="34"/>
        <v>&lt;ct2142&gt;0&lt;/ct2142&gt;</v>
      </c>
      <c r="B305" s="243" t="s">
        <v>1615</v>
      </c>
      <c r="C305" s="244">
        <f t="shared" si="29"/>
        <v>2</v>
      </c>
      <c r="D305" s="244">
        <f t="shared" si="30"/>
        <v>8</v>
      </c>
      <c r="E305" s="244">
        <f t="shared" si="31"/>
        <v>10</v>
      </c>
      <c r="G305" s="259" t="str">
        <f t="shared" si="32"/>
        <v>&lt;ct2142&gt;</v>
      </c>
      <c r="H305" s="260">
        <f>VLOOKUP(N305,BCDTK!$E$9:$L$132,3,0)</f>
        <v>0</v>
      </c>
      <c r="I305" s="261" t="str">
        <f t="shared" si="33"/>
        <v>&lt;/ct2142&gt;</v>
      </c>
      <c r="J305" s="262"/>
      <c r="K305" s="262"/>
      <c r="L305" s="262"/>
      <c r="M305" s="263"/>
      <c r="N305" s="265">
        <v>2142</v>
      </c>
    </row>
    <row r="306" spans="1:14" x14ac:dyDescent="0.45">
      <c r="A306" s="253" t="str">
        <f t="shared" si="34"/>
        <v>&lt;ct2143&gt;0&lt;/ct2143&gt;</v>
      </c>
      <c r="B306" s="243" t="s">
        <v>1616</v>
      </c>
      <c r="C306" s="244">
        <f t="shared" si="29"/>
        <v>2</v>
      </c>
      <c r="D306" s="244">
        <f t="shared" si="30"/>
        <v>8</v>
      </c>
      <c r="E306" s="244">
        <f t="shared" si="31"/>
        <v>10</v>
      </c>
      <c r="G306" s="259" t="str">
        <f t="shared" si="32"/>
        <v>&lt;ct2143&gt;</v>
      </c>
      <c r="H306" s="260">
        <f>VLOOKUP(N306,BCDTK!$E$9:$L$132,3,0)</f>
        <v>0</v>
      </c>
      <c r="I306" s="261" t="str">
        <f t="shared" si="33"/>
        <v>&lt;/ct2143&gt;</v>
      </c>
      <c r="J306" s="262"/>
      <c r="K306" s="262"/>
      <c r="L306" s="262"/>
      <c r="M306" s="263"/>
      <c r="N306" s="265">
        <v>2143</v>
      </c>
    </row>
    <row r="307" spans="1:14" x14ac:dyDescent="0.45">
      <c r="A307" s="253" t="str">
        <f t="shared" si="34"/>
        <v>&lt;ct2147&gt;0&lt;/ct2147&gt;</v>
      </c>
      <c r="B307" s="243" t="s">
        <v>1617</v>
      </c>
      <c r="C307" s="244">
        <f t="shared" si="29"/>
        <v>2</v>
      </c>
      <c r="D307" s="244">
        <f t="shared" si="30"/>
        <v>8</v>
      </c>
      <c r="E307" s="244">
        <f t="shared" si="31"/>
        <v>10</v>
      </c>
      <c r="G307" s="259" t="str">
        <f t="shared" si="32"/>
        <v>&lt;ct2147&gt;</v>
      </c>
      <c r="H307" s="260">
        <f>VLOOKUP(N307,BCDTK!$E$9:$L$132,3,0)</f>
        <v>0</v>
      </c>
      <c r="I307" s="261" t="str">
        <f t="shared" si="33"/>
        <v>&lt;/ct2147&gt;</v>
      </c>
      <c r="J307" s="262"/>
      <c r="K307" s="262"/>
      <c r="L307" s="262"/>
      <c r="M307" s="263"/>
      <c r="N307" s="265">
        <v>2147</v>
      </c>
    </row>
    <row r="308" spans="1:14" x14ac:dyDescent="0.45">
      <c r="A308" s="253" t="str">
        <f t="shared" si="34"/>
        <v>&lt;ct217&gt;0&lt;/ct217&gt;</v>
      </c>
      <c r="B308" s="243" t="s">
        <v>1618</v>
      </c>
      <c r="C308" s="244">
        <f t="shared" si="29"/>
        <v>2</v>
      </c>
      <c r="D308" s="244">
        <f t="shared" si="30"/>
        <v>7</v>
      </c>
      <c r="E308" s="244">
        <f t="shared" si="31"/>
        <v>9</v>
      </c>
      <c r="G308" s="259" t="str">
        <f t="shared" si="32"/>
        <v>&lt;ct217&gt;</v>
      </c>
      <c r="H308" s="260">
        <f>VLOOKUP(N308,BCDTK!$E$9:$L$132,3,0)</f>
        <v>0</v>
      </c>
      <c r="I308" s="261" t="str">
        <f t="shared" si="33"/>
        <v>&lt;/ct217&gt;</v>
      </c>
      <c r="J308" s="262"/>
      <c r="K308" s="262"/>
      <c r="L308" s="262"/>
      <c r="M308" s="263"/>
      <c r="N308" s="265">
        <v>217</v>
      </c>
    </row>
    <row r="309" spans="1:14" x14ac:dyDescent="0.45">
      <c r="A309" s="253" t="str">
        <f t="shared" si="34"/>
        <v>&lt;ct228&gt;0&lt;/ct228&gt;</v>
      </c>
      <c r="B309" s="243" t="s">
        <v>1619</v>
      </c>
      <c r="C309" s="244">
        <f t="shared" si="29"/>
        <v>2</v>
      </c>
      <c r="D309" s="244">
        <f t="shared" si="30"/>
        <v>7</v>
      </c>
      <c r="E309" s="244">
        <f t="shared" si="31"/>
        <v>9</v>
      </c>
      <c r="G309" s="259" t="str">
        <f t="shared" si="32"/>
        <v>&lt;ct228&gt;</v>
      </c>
      <c r="H309" s="260">
        <f>VLOOKUP(N309,BCDTK!$E$9:$L$132,3,0)</f>
        <v>0</v>
      </c>
      <c r="I309" s="261" t="str">
        <f t="shared" si="33"/>
        <v>&lt;/ct228&gt;</v>
      </c>
      <c r="J309" s="262"/>
      <c r="K309" s="262"/>
      <c r="L309" s="262"/>
      <c r="M309" s="263"/>
      <c r="N309" s="265">
        <v>228</v>
      </c>
    </row>
    <row r="310" spans="1:14" x14ac:dyDescent="0.45">
      <c r="A310" s="253" t="str">
        <f t="shared" si="34"/>
        <v>&lt;ct2281&gt;0&lt;/ct2281&gt;</v>
      </c>
      <c r="B310" s="243" t="s">
        <v>1620</v>
      </c>
      <c r="C310" s="244">
        <f t="shared" si="29"/>
        <v>2</v>
      </c>
      <c r="D310" s="244">
        <f t="shared" si="30"/>
        <v>8</v>
      </c>
      <c r="E310" s="244">
        <f t="shared" si="31"/>
        <v>10</v>
      </c>
      <c r="G310" s="259" t="str">
        <f t="shared" si="32"/>
        <v>&lt;ct2281&gt;</v>
      </c>
      <c r="H310" s="260">
        <f>VLOOKUP(N310,BCDTK!$E$9:$L$132,3,0)</f>
        <v>0</v>
      </c>
      <c r="I310" s="261" t="str">
        <f t="shared" si="33"/>
        <v>&lt;/ct2281&gt;</v>
      </c>
      <c r="J310" s="262"/>
      <c r="K310" s="262"/>
      <c r="L310" s="262"/>
      <c r="M310" s="263"/>
      <c r="N310" s="265">
        <v>2281</v>
      </c>
    </row>
    <row r="311" spans="1:14" x14ac:dyDescent="0.45">
      <c r="A311" s="253" t="str">
        <f t="shared" si="34"/>
        <v>&lt;ct2288&gt;0&lt;/ct2288&gt;</v>
      </c>
      <c r="B311" s="243" t="s">
        <v>1621</v>
      </c>
      <c r="C311" s="244">
        <f t="shared" si="29"/>
        <v>2</v>
      </c>
      <c r="D311" s="244">
        <f t="shared" si="30"/>
        <v>8</v>
      </c>
      <c r="E311" s="244">
        <f t="shared" si="31"/>
        <v>10</v>
      </c>
      <c r="G311" s="259" t="str">
        <f t="shared" si="32"/>
        <v>&lt;ct2288&gt;</v>
      </c>
      <c r="H311" s="260">
        <f>VLOOKUP(N311,BCDTK!$E$9:$L$132,3,0)</f>
        <v>0</v>
      </c>
      <c r="I311" s="261" t="str">
        <f t="shared" si="33"/>
        <v>&lt;/ct2288&gt;</v>
      </c>
      <c r="J311" s="262"/>
      <c r="K311" s="262"/>
      <c r="L311" s="262"/>
      <c r="M311" s="263"/>
      <c r="N311" s="265">
        <v>2288</v>
      </c>
    </row>
    <row r="312" spans="1:14" x14ac:dyDescent="0.45">
      <c r="A312" s="253" t="str">
        <f t="shared" si="34"/>
        <v>&lt;ct229&gt;0&lt;/ct229&gt;</v>
      </c>
      <c r="B312" s="243" t="s">
        <v>1622</v>
      </c>
      <c r="C312" s="244">
        <f t="shared" si="29"/>
        <v>2</v>
      </c>
      <c r="D312" s="244">
        <f t="shared" si="30"/>
        <v>7</v>
      </c>
      <c r="E312" s="244">
        <f t="shared" si="31"/>
        <v>9</v>
      </c>
      <c r="G312" s="259" t="str">
        <f t="shared" si="32"/>
        <v>&lt;ct229&gt;</v>
      </c>
      <c r="H312" s="260">
        <f>VLOOKUP(N312,BCDTK!$E$9:$L$132,3,0)</f>
        <v>0</v>
      </c>
      <c r="I312" s="261" t="str">
        <f t="shared" si="33"/>
        <v>&lt;/ct229&gt;</v>
      </c>
      <c r="J312" s="262"/>
      <c r="K312" s="262"/>
      <c r="L312" s="262"/>
      <c r="M312" s="263"/>
      <c r="N312" s="265">
        <v>229</v>
      </c>
    </row>
    <row r="313" spans="1:14" x14ac:dyDescent="0.45">
      <c r="A313" s="253" t="str">
        <f t="shared" si="34"/>
        <v>&lt;ct2291&gt;0&lt;/ct2291&gt;</v>
      </c>
      <c r="B313" s="243" t="s">
        <v>1623</v>
      </c>
      <c r="C313" s="244">
        <f t="shared" si="29"/>
        <v>2</v>
      </c>
      <c r="D313" s="244">
        <f t="shared" si="30"/>
        <v>8</v>
      </c>
      <c r="E313" s="244">
        <f t="shared" si="31"/>
        <v>10</v>
      </c>
      <c r="G313" s="259" t="str">
        <f t="shared" si="32"/>
        <v>&lt;ct2291&gt;</v>
      </c>
      <c r="H313" s="260">
        <f>VLOOKUP(N313,BCDTK!$E$9:$L$132,3,0)</f>
        <v>0</v>
      </c>
      <c r="I313" s="261" t="str">
        <f t="shared" si="33"/>
        <v>&lt;/ct2291&gt;</v>
      </c>
      <c r="J313" s="262"/>
      <c r="K313" s="262"/>
      <c r="L313" s="262"/>
      <c r="M313" s="263"/>
      <c r="N313" s="265">
        <v>2291</v>
      </c>
    </row>
    <row r="314" spans="1:14" x14ac:dyDescent="0.45">
      <c r="A314" s="253" t="str">
        <f t="shared" si="34"/>
        <v>&lt;ct2292&gt;0&lt;/ct2292&gt;</v>
      </c>
      <c r="B314" s="243" t="s">
        <v>1624</v>
      </c>
      <c r="C314" s="244">
        <f t="shared" si="29"/>
        <v>2</v>
      </c>
      <c r="D314" s="244">
        <f t="shared" si="30"/>
        <v>8</v>
      </c>
      <c r="E314" s="244">
        <f t="shared" si="31"/>
        <v>10</v>
      </c>
      <c r="G314" s="259" t="str">
        <f t="shared" si="32"/>
        <v>&lt;ct2292&gt;</v>
      </c>
      <c r="H314" s="260">
        <f>VLOOKUP(N314,BCDTK!$E$9:$L$132,3,0)</f>
        <v>0</v>
      </c>
      <c r="I314" s="261" t="str">
        <f t="shared" si="33"/>
        <v>&lt;/ct2292&gt;</v>
      </c>
      <c r="J314" s="262"/>
      <c r="K314" s="262"/>
      <c r="L314" s="262"/>
      <c r="M314" s="263"/>
      <c r="N314" s="265">
        <v>2292</v>
      </c>
    </row>
    <row r="315" spans="1:14" x14ac:dyDescent="0.45">
      <c r="A315" s="253" t="str">
        <f t="shared" si="34"/>
        <v>&lt;ct2293&gt;0&lt;/ct2293&gt;</v>
      </c>
      <c r="B315" s="243" t="s">
        <v>1625</v>
      </c>
      <c r="C315" s="244">
        <f t="shared" si="29"/>
        <v>2</v>
      </c>
      <c r="D315" s="244">
        <f t="shared" si="30"/>
        <v>8</v>
      </c>
      <c r="E315" s="244">
        <f t="shared" si="31"/>
        <v>10</v>
      </c>
      <c r="G315" s="259" t="str">
        <f t="shared" si="32"/>
        <v>&lt;ct2293&gt;</v>
      </c>
      <c r="H315" s="260">
        <f>VLOOKUP(N315,BCDTK!$E$9:$L$132,3,0)</f>
        <v>0</v>
      </c>
      <c r="I315" s="261" t="str">
        <f t="shared" si="33"/>
        <v>&lt;/ct2293&gt;</v>
      </c>
      <c r="J315" s="262"/>
      <c r="K315" s="262"/>
      <c r="L315" s="262"/>
      <c r="M315" s="263"/>
      <c r="N315" s="265">
        <v>2293</v>
      </c>
    </row>
    <row r="316" spans="1:14" x14ac:dyDescent="0.45">
      <c r="A316" s="253" t="str">
        <f t="shared" si="34"/>
        <v>&lt;ct2294&gt;0&lt;/ct2294&gt;</v>
      </c>
      <c r="B316" s="243" t="s">
        <v>1626</v>
      </c>
      <c r="C316" s="244">
        <f t="shared" si="29"/>
        <v>2</v>
      </c>
      <c r="D316" s="244">
        <f t="shared" si="30"/>
        <v>8</v>
      </c>
      <c r="E316" s="244">
        <f t="shared" si="31"/>
        <v>10</v>
      </c>
      <c r="G316" s="259" t="str">
        <f t="shared" si="32"/>
        <v>&lt;ct2294&gt;</v>
      </c>
      <c r="H316" s="260">
        <f>VLOOKUP(N316,BCDTK!$E$9:$L$132,3,0)</f>
        <v>0</v>
      </c>
      <c r="I316" s="261" t="str">
        <f t="shared" si="33"/>
        <v>&lt;/ct2294&gt;</v>
      </c>
      <c r="J316" s="262"/>
      <c r="K316" s="262"/>
      <c r="L316" s="262"/>
      <c r="M316" s="263"/>
      <c r="N316" s="265">
        <v>2294</v>
      </c>
    </row>
    <row r="317" spans="1:14" x14ac:dyDescent="0.45">
      <c r="A317" s="253" t="str">
        <f t="shared" si="34"/>
        <v>&lt;ct241&gt;0&lt;/ct241&gt;</v>
      </c>
      <c r="B317" s="243" t="s">
        <v>1627</v>
      </c>
      <c r="C317" s="244">
        <f t="shared" si="29"/>
        <v>2</v>
      </c>
      <c r="D317" s="244">
        <f t="shared" si="30"/>
        <v>7</v>
      </c>
      <c r="E317" s="244">
        <f t="shared" si="31"/>
        <v>9</v>
      </c>
      <c r="G317" s="259" t="str">
        <f t="shared" si="32"/>
        <v>&lt;ct241&gt;</v>
      </c>
      <c r="H317" s="260">
        <f>VLOOKUP(N317,BCDTK!$E$9:$L$132,3,0)</f>
        <v>0</v>
      </c>
      <c r="I317" s="261" t="str">
        <f t="shared" si="33"/>
        <v>&lt;/ct241&gt;</v>
      </c>
      <c r="J317" s="262"/>
      <c r="K317" s="262"/>
      <c r="L317" s="262"/>
      <c r="M317" s="263"/>
      <c r="N317" s="265">
        <v>241</v>
      </c>
    </row>
    <row r="318" spans="1:14" x14ac:dyDescent="0.45">
      <c r="A318" s="253" t="str">
        <f t="shared" si="34"/>
        <v>&lt;ct2411&gt;0&lt;/ct2411&gt;</v>
      </c>
      <c r="B318" s="243" t="s">
        <v>1628</v>
      </c>
      <c r="C318" s="244">
        <f t="shared" si="29"/>
        <v>2</v>
      </c>
      <c r="D318" s="244">
        <f t="shared" si="30"/>
        <v>8</v>
      </c>
      <c r="E318" s="244">
        <f t="shared" si="31"/>
        <v>10</v>
      </c>
      <c r="G318" s="259" t="str">
        <f t="shared" si="32"/>
        <v>&lt;ct2411&gt;</v>
      </c>
      <c r="H318" s="260">
        <f>VLOOKUP(N318,BCDTK!$E$9:$L$132,3,0)</f>
        <v>0</v>
      </c>
      <c r="I318" s="261" t="str">
        <f t="shared" si="33"/>
        <v>&lt;/ct2411&gt;</v>
      </c>
      <c r="J318" s="262"/>
      <c r="K318" s="262"/>
      <c r="L318" s="262"/>
      <c r="M318" s="263"/>
      <c r="N318" s="265">
        <v>2411</v>
      </c>
    </row>
    <row r="319" spans="1:14" x14ac:dyDescent="0.45">
      <c r="A319" s="253" t="str">
        <f t="shared" si="34"/>
        <v>&lt;ct2412&gt;0&lt;/ct2412&gt;</v>
      </c>
      <c r="B319" s="243" t="s">
        <v>1629</v>
      </c>
      <c r="C319" s="244">
        <f t="shared" si="29"/>
        <v>2</v>
      </c>
      <c r="D319" s="244">
        <f t="shared" si="30"/>
        <v>8</v>
      </c>
      <c r="E319" s="244">
        <f t="shared" si="31"/>
        <v>10</v>
      </c>
      <c r="G319" s="259" t="str">
        <f t="shared" si="32"/>
        <v>&lt;ct2412&gt;</v>
      </c>
      <c r="H319" s="260">
        <f>VLOOKUP(N319,BCDTK!$E$9:$L$132,3,0)</f>
        <v>0</v>
      </c>
      <c r="I319" s="261" t="str">
        <f t="shared" si="33"/>
        <v>&lt;/ct2412&gt;</v>
      </c>
      <c r="J319" s="262"/>
      <c r="K319" s="262"/>
      <c r="L319" s="262"/>
      <c r="M319" s="263"/>
      <c r="N319" s="265">
        <v>2412</v>
      </c>
    </row>
    <row r="320" spans="1:14" x14ac:dyDescent="0.45">
      <c r="A320" s="253" t="str">
        <f t="shared" si="34"/>
        <v>&lt;ct2413&gt;0&lt;/ct2413&gt;</v>
      </c>
      <c r="B320" s="243" t="s">
        <v>1630</v>
      </c>
      <c r="C320" s="244">
        <f t="shared" si="29"/>
        <v>2</v>
      </c>
      <c r="D320" s="244">
        <f t="shared" si="30"/>
        <v>8</v>
      </c>
      <c r="E320" s="244">
        <f t="shared" si="31"/>
        <v>10</v>
      </c>
      <c r="G320" s="259" t="str">
        <f t="shared" si="32"/>
        <v>&lt;ct2413&gt;</v>
      </c>
      <c r="H320" s="260">
        <f>VLOOKUP(N320,BCDTK!$E$9:$L$132,3,0)</f>
        <v>0</v>
      </c>
      <c r="I320" s="261" t="str">
        <f t="shared" si="33"/>
        <v>&lt;/ct2413&gt;</v>
      </c>
      <c r="J320" s="262"/>
      <c r="K320" s="262"/>
      <c r="L320" s="262"/>
      <c r="M320" s="263"/>
      <c r="N320" s="265">
        <v>2413</v>
      </c>
    </row>
    <row r="321" spans="1:14" x14ac:dyDescent="0.45">
      <c r="A321" s="253" t="str">
        <f t="shared" si="34"/>
        <v>&lt;ct242&gt;34900050&lt;/ct242&gt;</v>
      </c>
      <c r="B321" s="243" t="s">
        <v>1631</v>
      </c>
      <c r="C321" s="244">
        <f t="shared" si="29"/>
        <v>2</v>
      </c>
      <c r="D321" s="244">
        <f t="shared" si="30"/>
        <v>7</v>
      </c>
      <c r="E321" s="244">
        <f t="shared" si="31"/>
        <v>9</v>
      </c>
      <c r="G321" s="259" t="str">
        <f t="shared" si="32"/>
        <v>&lt;ct242&gt;</v>
      </c>
      <c r="H321" s="260">
        <f>VLOOKUP(N321,BCDTK!$E$9:$L$132,3,0)</f>
        <v>34900050</v>
      </c>
      <c r="I321" s="261" t="str">
        <f t="shared" si="33"/>
        <v>&lt;/ct242&gt;</v>
      </c>
      <c r="J321" s="262"/>
      <c r="K321" s="262"/>
      <c r="L321" s="262"/>
      <c r="M321" s="263"/>
      <c r="N321" s="265">
        <v>242</v>
      </c>
    </row>
    <row r="322" spans="1:14" x14ac:dyDescent="0.45">
      <c r="A322" s="253" t="str">
        <f t="shared" si="34"/>
        <v>&lt;ct331&gt;0&lt;/ct331&gt;</v>
      </c>
      <c r="B322" s="243" t="s">
        <v>1632</v>
      </c>
      <c r="C322" s="244">
        <f t="shared" si="29"/>
        <v>2</v>
      </c>
      <c r="D322" s="244">
        <f t="shared" si="30"/>
        <v>7</v>
      </c>
      <c r="E322" s="244">
        <f t="shared" si="31"/>
        <v>9</v>
      </c>
      <c r="G322" s="259" t="str">
        <f t="shared" si="32"/>
        <v>&lt;ct331&gt;</v>
      </c>
      <c r="H322" s="260">
        <f>VLOOKUP(N322,BCDTK!$E$9:$L$132,3,0)</f>
        <v>0</v>
      </c>
      <c r="I322" s="261" t="str">
        <f t="shared" si="33"/>
        <v>&lt;/ct331&gt;</v>
      </c>
      <c r="J322" s="262"/>
      <c r="K322" s="262"/>
      <c r="L322" s="262"/>
      <c r="M322" s="263"/>
      <c r="N322" s="265">
        <v>331</v>
      </c>
    </row>
    <row r="323" spans="1:14" x14ac:dyDescent="0.45">
      <c r="A323" s="253" t="str">
        <f t="shared" si="34"/>
        <v>&lt;ct333&gt;0&lt;/ct333&gt;</v>
      </c>
      <c r="B323" s="243" t="s">
        <v>1633</v>
      </c>
      <c r="C323" s="244">
        <f t="shared" si="29"/>
        <v>2</v>
      </c>
      <c r="D323" s="244">
        <f t="shared" si="30"/>
        <v>7</v>
      </c>
      <c r="E323" s="244">
        <f t="shared" si="31"/>
        <v>9</v>
      </c>
      <c r="G323" s="259" t="str">
        <f t="shared" si="32"/>
        <v>&lt;ct333&gt;</v>
      </c>
      <c r="H323" s="260">
        <f>VLOOKUP(N323,BCDTK!$E$9:$L$132,3,0)</f>
        <v>0</v>
      </c>
      <c r="I323" s="261" t="str">
        <f t="shared" si="33"/>
        <v>&lt;/ct333&gt;</v>
      </c>
      <c r="J323" s="262"/>
      <c r="K323" s="262"/>
      <c r="L323" s="262"/>
      <c r="M323" s="263"/>
      <c r="N323" s="265">
        <v>333</v>
      </c>
    </row>
    <row r="324" spans="1:14" x14ac:dyDescent="0.45">
      <c r="A324" s="253" t="str">
        <f t="shared" si="34"/>
        <v>&lt;ct3331&gt;0&lt;/ct3331&gt;</v>
      </c>
      <c r="B324" s="243" t="s">
        <v>1634</v>
      </c>
      <c r="C324" s="244">
        <f t="shared" si="29"/>
        <v>2</v>
      </c>
      <c r="D324" s="244">
        <f t="shared" si="30"/>
        <v>8</v>
      </c>
      <c r="E324" s="244">
        <f t="shared" si="31"/>
        <v>10</v>
      </c>
      <c r="G324" s="259" t="str">
        <f t="shared" si="32"/>
        <v>&lt;ct3331&gt;</v>
      </c>
      <c r="H324" s="260">
        <f>VLOOKUP(N324,BCDTK!$E$9:$L$132,3,0)</f>
        <v>0</v>
      </c>
      <c r="I324" s="261" t="str">
        <f t="shared" si="33"/>
        <v>&lt;/ct3331&gt;</v>
      </c>
      <c r="J324" s="262"/>
      <c r="K324" s="262"/>
      <c r="L324" s="262"/>
      <c r="M324" s="263"/>
      <c r="N324" s="265">
        <v>3331</v>
      </c>
    </row>
    <row r="325" spans="1:14" x14ac:dyDescent="0.45">
      <c r="A325" s="253" t="str">
        <f t="shared" si="34"/>
        <v>&lt;ct33311&gt;0&lt;/ct33311&gt;</v>
      </c>
      <c r="B325" s="243" t="s">
        <v>1635</v>
      </c>
      <c r="C325" s="244">
        <f t="shared" si="29"/>
        <v>2</v>
      </c>
      <c r="D325" s="244">
        <f t="shared" si="30"/>
        <v>9</v>
      </c>
      <c r="E325" s="244">
        <f t="shared" si="31"/>
        <v>11</v>
      </c>
      <c r="G325" s="259" t="str">
        <f t="shared" si="32"/>
        <v>&lt;ct33311&gt;</v>
      </c>
      <c r="H325" s="260">
        <f>VLOOKUP(N325,BCDTK!$E$9:$L$132,3,0)</f>
        <v>0</v>
      </c>
      <c r="I325" s="261" t="str">
        <f t="shared" si="33"/>
        <v>&lt;/ct33311&gt;</v>
      </c>
      <c r="J325" s="262"/>
      <c r="K325" s="262"/>
      <c r="L325" s="262"/>
      <c r="M325" s="263"/>
      <c r="N325" s="265">
        <v>33311</v>
      </c>
    </row>
    <row r="326" spans="1:14" x14ac:dyDescent="0.45">
      <c r="A326" s="253" t="str">
        <f t="shared" si="34"/>
        <v>&lt;ct33312&gt;0&lt;/ct33312&gt;</v>
      </c>
      <c r="B326" s="243" t="s">
        <v>1636</v>
      </c>
      <c r="C326" s="244">
        <f t="shared" si="29"/>
        <v>2</v>
      </c>
      <c r="D326" s="244">
        <f t="shared" si="30"/>
        <v>9</v>
      </c>
      <c r="E326" s="244">
        <f t="shared" si="31"/>
        <v>11</v>
      </c>
      <c r="G326" s="259" t="str">
        <f t="shared" si="32"/>
        <v>&lt;ct33312&gt;</v>
      </c>
      <c r="H326" s="260">
        <f>VLOOKUP(N326,BCDTK!$E$9:$L$132,3,0)</f>
        <v>0</v>
      </c>
      <c r="I326" s="261" t="str">
        <f t="shared" si="33"/>
        <v>&lt;/ct33312&gt;</v>
      </c>
      <c r="J326" s="262"/>
      <c r="K326" s="262"/>
      <c r="L326" s="262"/>
      <c r="M326" s="263"/>
      <c r="N326" s="265">
        <v>33312</v>
      </c>
    </row>
    <row r="327" spans="1:14" x14ac:dyDescent="0.45">
      <c r="A327" s="253" t="str">
        <f t="shared" si="34"/>
        <v>&lt;ct3332&gt;0&lt;/ct3332&gt;</v>
      </c>
      <c r="B327" s="243" t="s">
        <v>1637</v>
      </c>
      <c r="C327" s="244">
        <f t="shared" si="29"/>
        <v>2</v>
      </c>
      <c r="D327" s="244">
        <f t="shared" si="30"/>
        <v>8</v>
      </c>
      <c r="E327" s="244">
        <f t="shared" si="31"/>
        <v>10</v>
      </c>
      <c r="G327" s="259" t="str">
        <f t="shared" si="32"/>
        <v>&lt;ct3332&gt;</v>
      </c>
      <c r="H327" s="260">
        <f>VLOOKUP(N327,BCDTK!$E$9:$L$132,3,0)</f>
        <v>0</v>
      </c>
      <c r="I327" s="261" t="str">
        <f t="shared" si="33"/>
        <v>&lt;/ct3332&gt;</v>
      </c>
      <c r="J327" s="262"/>
      <c r="K327" s="262"/>
      <c r="L327" s="262"/>
      <c r="M327" s="263"/>
      <c r="N327" s="265">
        <v>3332</v>
      </c>
    </row>
    <row r="328" spans="1:14" x14ac:dyDescent="0.45">
      <c r="A328" s="253" t="str">
        <f t="shared" si="34"/>
        <v>&lt;ct3333&gt;0&lt;/ct3333&gt;</v>
      </c>
      <c r="B328" s="243" t="s">
        <v>1638</v>
      </c>
      <c r="C328" s="244">
        <f t="shared" si="29"/>
        <v>2</v>
      </c>
      <c r="D328" s="244">
        <f t="shared" si="30"/>
        <v>8</v>
      </c>
      <c r="E328" s="244">
        <f t="shared" si="31"/>
        <v>10</v>
      </c>
      <c r="G328" s="259" t="str">
        <f t="shared" si="32"/>
        <v>&lt;ct3333&gt;</v>
      </c>
      <c r="H328" s="260">
        <f>VLOOKUP(N328,BCDTK!$E$9:$L$132,3,0)</f>
        <v>0</v>
      </c>
      <c r="I328" s="261" t="str">
        <f t="shared" si="33"/>
        <v>&lt;/ct3333&gt;</v>
      </c>
      <c r="J328" s="262"/>
      <c r="K328" s="262"/>
      <c r="L328" s="262"/>
      <c r="M328" s="263"/>
      <c r="N328" s="265">
        <v>3333</v>
      </c>
    </row>
    <row r="329" spans="1:14" x14ac:dyDescent="0.45">
      <c r="A329" s="253" t="str">
        <f t="shared" si="34"/>
        <v>&lt;ct3334&gt;0&lt;/ct3334&gt;</v>
      </c>
      <c r="B329" s="243" t="s">
        <v>1639</v>
      </c>
      <c r="C329" s="244">
        <f t="shared" si="29"/>
        <v>2</v>
      </c>
      <c r="D329" s="244">
        <f t="shared" si="30"/>
        <v>8</v>
      </c>
      <c r="E329" s="244">
        <f t="shared" si="31"/>
        <v>10</v>
      </c>
      <c r="G329" s="259" t="str">
        <f t="shared" si="32"/>
        <v>&lt;ct3334&gt;</v>
      </c>
      <c r="H329" s="260">
        <f>VLOOKUP(N329,BCDTK!$E$9:$L$132,3,0)</f>
        <v>0</v>
      </c>
      <c r="I329" s="261" t="str">
        <f t="shared" si="33"/>
        <v>&lt;/ct3334&gt;</v>
      </c>
      <c r="J329" s="262"/>
      <c r="K329" s="262"/>
      <c r="L329" s="262"/>
      <c r="M329" s="263"/>
      <c r="N329" s="265">
        <v>3334</v>
      </c>
    </row>
    <row r="330" spans="1:14" x14ac:dyDescent="0.45">
      <c r="A330" s="253" t="str">
        <f t="shared" si="34"/>
        <v>&lt;ct3335&gt;0&lt;/ct3335&gt;</v>
      </c>
      <c r="B330" s="243" t="s">
        <v>1640</v>
      </c>
      <c r="C330" s="244">
        <f t="shared" si="29"/>
        <v>2</v>
      </c>
      <c r="D330" s="244">
        <f t="shared" si="30"/>
        <v>8</v>
      </c>
      <c r="E330" s="244">
        <f t="shared" si="31"/>
        <v>10</v>
      </c>
      <c r="G330" s="259" t="str">
        <f t="shared" si="32"/>
        <v>&lt;ct3335&gt;</v>
      </c>
      <c r="H330" s="260">
        <f>VLOOKUP(N330,BCDTK!$E$9:$L$132,3,0)</f>
        <v>0</v>
      </c>
      <c r="I330" s="261" t="str">
        <f t="shared" si="33"/>
        <v>&lt;/ct3335&gt;</v>
      </c>
      <c r="J330" s="262"/>
      <c r="K330" s="262"/>
      <c r="L330" s="262"/>
      <c r="M330" s="263"/>
      <c r="N330" s="265">
        <v>3335</v>
      </c>
    </row>
    <row r="331" spans="1:14" x14ac:dyDescent="0.45">
      <c r="A331" s="253" t="str">
        <f t="shared" si="34"/>
        <v>&lt;ct3336&gt;0&lt;/ct3336&gt;</v>
      </c>
      <c r="B331" s="243" t="s">
        <v>1641</v>
      </c>
      <c r="C331" s="244">
        <f t="shared" si="29"/>
        <v>2</v>
      </c>
      <c r="D331" s="244">
        <f t="shared" si="30"/>
        <v>8</v>
      </c>
      <c r="E331" s="244">
        <f t="shared" si="31"/>
        <v>10</v>
      </c>
      <c r="G331" s="259" t="str">
        <f t="shared" si="32"/>
        <v>&lt;ct3336&gt;</v>
      </c>
      <c r="H331" s="260">
        <f>VLOOKUP(N331,BCDTK!$E$9:$L$132,3,0)</f>
        <v>0</v>
      </c>
      <c r="I331" s="261" t="str">
        <f t="shared" si="33"/>
        <v>&lt;/ct3336&gt;</v>
      </c>
      <c r="J331" s="262"/>
      <c r="K331" s="262"/>
      <c r="L331" s="262"/>
      <c r="M331" s="263"/>
      <c r="N331" s="265">
        <v>3336</v>
      </c>
    </row>
    <row r="332" spans="1:14" x14ac:dyDescent="0.45">
      <c r="A332" s="253" t="str">
        <f t="shared" si="34"/>
        <v>&lt;ct3337&gt;0&lt;/ct3337&gt;</v>
      </c>
      <c r="B332" s="243" t="s">
        <v>1642</v>
      </c>
      <c r="C332" s="244">
        <f t="shared" si="29"/>
        <v>2</v>
      </c>
      <c r="D332" s="244">
        <f t="shared" si="30"/>
        <v>8</v>
      </c>
      <c r="E332" s="244">
        <f t="shared" si="31"/>
        <v>10</v>
      </c>
      <c r="G332" s="259" t="str">
        <f t="shared" si="32"/>
        <v>&lt;ct3337&gt;</v>
      </c>
      <c r="H332" s="260">
        <f>VLOOKUP(N332,BCDTK!$E$9:$L$132,3,0)</f>
        <v>0</v>
      </c>
      <c r="I332" s="261" t="str">
        <f t="shared" si="33"/>
        <v>&lt;/ct3337&gt;</v>
      </c>
      <c r="J332" s="262"/>
      <c r="K332" s="262"/>
      <c r="L332" s="262"/>
      <c r="M332" s="263"/>
      <c r="N332" s="265">
        <v>3337</v>
      </c>
    </row>
    <row r="333" spans="1:14" x14ac:dyDescent="0.45">
      <c r="A333" s="253" t="str">
        <f t="shared" si="34"/>
        <v>&lt;ct3338&gt;0&lt;/ct3338&gt;</v>
      </c>
      <c r="B333" s="243" t="s">
        <v>1643</v>
      </c>
      <c r="C333" s="244">
        <f t="shared" si="29"/>
        <v>2</v>
      </c>
      <c r="D333" s="244">
        <f t="shared" si="30"/>
        <v>8</v>
      </c>
      <c r="E333" s="244">
        <f t="shared" si="31"/>
        <v>10</v>
      </c>
      <c r="G333" s="259" t="str">
        <f t="shared" si="32"/>
        <v>&lt;ct3338&gt;</v>
      </c>
      <c r="H333" s="260">
        <f>VLOOKUP(N333,BCDTK!$E$9:$L$132,3,0)</f>
        <v>0</v>
      </c>
      <c r="I333" s="261" t="str">
        <f t="shared" si="33"/>
        <v>&lt;/ct3338&gt;</v>
      </c>
      <c r="J333" s="262"/>
      <c r="K333" s="262"/>
      <c r="L333" s="262"/>
      <c r="M333" s="263"/>
      <c r="N333" s="265">
        <v>3338</v>
      </c>
    </row>
    <row r="334" spans="1:14" x14ac:dyDescent="0.45">
      <c r="A334" s="253" t="str">
        <f t="shared" si="34"/>
        <v>&lt;ct33381&gt;0&lt;/ct33381&gt;</v>
      </c>
      <c r="B334" s="243" t="s">
        <v>1644</v>
      </c>
      <c r="C334" s="244">
        <f t="shared" si="29"/>
        <v>2</v>
      </c>
      <c r="D334" s="244">
        <f t="shared" si="30"/>
        <v>9</v>
      </c>
      <c r="E334" s="244">
        <f t="shared" si="31"/>
        <v>11</v>
      </c>
      <c r="G334" s="259" t="str">
        <f t="shared" si="32"/>
        <v>&lt;ct33381&gt;</v>
      </c>
      <c r="H334" s="260">
        <f>VLOOKUP(N334,BCDTK!$E$9:$L$132,3,0)</f>
        <v>0</v>
      </c>
      <c r="I334" s="261" t="str">
        <f t="shared" si="33"/>
        <v>&lt;/ct33381&gt;</v>
      </c>
      <c r="J334" s="262"/>
      <c r="K334" s="262"/>
      <c r="L334" s="262"/>
      <c r="M334" s="263"/>
      <c r="N334" s="265">
        <v>33381</v>
      </c>
    </row>
    <row r="335" spans="1:14" x14ac:dyDescent="0.45">
      <c r="A335" s="253" t="str">
        <f t="shared" si="34"/>
        <v>&lt;ct33382&gt;0&lt;/ct33382&gt;</v>
      </c>
      <c r="B335" s="243" t="s">
        <v>1645</v>
      </c>
      <c r="C335" s="244">
        <f t="shared" si="29"/>
        <v>2</v>
      </c>
      <c r="D335" s="244">
        <f t="shared" si="30"/>
        <v>9</v>
      </c>
      <c r="E335" s="244">
        <f t="shared" si="31"/>
        <v>11</v>
      </c>
      <c r="G335" s="259" t="str">
        <f t="shared" si="32"/>
        <v>&lt;ct33382&gt;</v>
      </c>
      <c r="H335" s="260">
        <f>VLOOKUP(N335,BCDTK!$E$9:$L$132,3,0)</f>
        <v>0</v>
      </c>
      <c r="I335" s="261" t="str">
        <f t="shared" si="33"/>
        <v>&lt;/ct33382&gt;</v>
      </c>
      <c r="J335" s="262"/>
      <c r="K335" s="262"/>
      <c r="L335" s="262"/>
      <c r="M335" s="263"/>
      <c r="N335" s="265">
        <v>33382</v>
      </c>
    </row>
    <row r="336" spans="1:14" x14ac:dyDescent="0.45">
      <c r="A336" s="253" t="str">
        <f t="shared" si="34"/>
        <v>&lt;ct3339&gt;0&lt;/ct3339&gt;</v>
      </c>
      <c r="B336" s="243" t="s">
        <v>1646</v>
      </c>
      <c r="C336" s="244">
        <f t="shared" si="29"/>
        <v>2</v>
      </c>
      <c r="D336" s="244">
        <f t="shared" si="30"/>
        <v>8</v>
      </c>
      <c r="E336" s="244">
        <f t="shared" si="31"/>
        <v>10</v>
      </c>
      <c r="G336" s="259" t="str">
        <f t="shared" si="32"/>
        <v>&lt;ct3339&gt;</v>
      </c>
      <c r="H336" s="260">
        <f>VLOOKUP(N336,BCDTK!$E$9:$L$132,3,0)</f>
        <v>0</v>
      </c>
      <c r="I336" s="261" t="str">
        <f t="shared" si="33"/>
        <v>&lt;/ct3339&gt;</v>
      </c>
      <c r="J336" s="262"/>
      <c r="K336" s="262"/>
      <c r="L336" s="262"/>
      <c r="M336" s="263"/>
      <c r="N336" s="265">
        <v>3339</v>
      </c>
    </row>
    <row r="337" spans="1:14" x14ac:dyDescent="0.45">
      <c r="A337" s="253" t="str">
        <f t="shared" si="34"/>
        <v>&lt;ct334&gt;0&lt;/ct334&gt;</v>
      </c>
      <c r="B337" s="243" t="s">
        <v>1647</v>
      </c>
      <c r="C337" s="244">
        <f t="shared" si="29"/>
        <v>2</v>
      </c>
      <c r="D337" s="244">
        <f t="shared" si="30"/>
        <v>7</v>
      </c>
      <c r="E337" s="244">
        <f t="shared" si="31"/>
        <v>9</v>
      </c>
      <c r="G337" s="259" t="str">
        <f t="shared" si="32"/>
        <v>&lt;ct334&gt;</v>
      </c>
      <c r="H337" s="260">
        <f>VLOOKUP(N337,BCDTK!$E$9:$L$132,3,0)</f>
        <v>0</v>
      </c>
      <c r="I337" s="261" t="str">
        <f t="shared" si="33"/>
        <v>&lt;/ct334&gt;</v>
      </c>
      <c r="J337" s="262"/>
      <c r="K337" s="262"/>
      <c r="L337" s="262"/>
      <c r="M337" s="263"/>
      <c r="N337" s="265">
        <v>334</v>
      </c>
    </row>
    <row r="338" spans="1:14" x14ac:dyDescent="0.45">
      <c r="A338" s="253" t="str">
        <f t="shared" si="34"/>
        <v>&lt;ct335&gt;0&lt;/ct335&gt;</v>
      </c>
      <c r="B338" s="243" t="s">
        <v>1648</v>
      </c>
      <c r="C338" s="244">
        <f t="shared" si="29"/>
        <v>2</v>
      </c>
      <c r="D338" s="244">
        <f t="shared" si="30"/>
        <v>7</v>
      </c>
      <c r="E338" s="244">
        <f t="shared" si="31"/>
        <v>9</v>
      </c>
      <c r="G338" s="259" t="str">
        <f t="shared" si="32"/>
        <v>&lt;ct335&gt;</v>
      </c>
      <c r="H338" s="260">
        <f>VLOOKUP(N338,BCDTK!$E$9:$L$132,3,0)</f>
        <v>0</v>
      </c>
      <c r="I338" s="261" t="str">
        <f t="shared" si="33"/>
        <v>&lt;/ct335&gt;</v>
      </c>
      <c r="J338" s="262"/>
      <c r="K338" s="262"/>
      <c r="L338" s="262"/>
      <c r="M338" s="263"/>
      <c r="N338" s="265">
        <v>335</v>
      </c>
    </row>
    <row r="339" spans="1:14" x14ac:dyDescent="0.45">
      <c r="A339" s="253" t="str">
        <f t="shared" si="34"/>
        <v>&lt;ct336&gt;0&lt;/ct336&gt;</v>
      </c>
      <c r="B339" s="243" t="s">
        <v>1649</v>
      </c>
      <c r="C339" s="244">
        <f t="shared" si="29"/>
        <v>2</v>
      </c>
      <c r="D339" s="244">
        <f t="shared" si="30"/>
        <v>7</v>
      </c>
      <c r="E339" s="244">
        <f t="shared" si="31"/>
        <v>9</v>
      </c>
      <c r="G339" s="259" t="str">
        <f t="shared" si="32"/>
        <v>&lt;ct336&gt;</v>
      </c>
      <c r="H339" s="260">
        <f>VLOOKUP(N339,BCDTK!$E$9:$L$132,3,0)</f>
        <v>0</v>
      </c>
      <c r="I339" s="261" t="str">
        <f t="shared" si="33"/>
        <v>&lt;/ct336&gt;</v>
      </c>
      <c r="J339" s="262"/>
      <c r="K339" s="262"/>
      <c r="L339" s="262"/>
      <c r="M339" s="263"/>
      <c r="N339" s="265">
        <v>336</v>
      </c>
    </row>
    <row r="340" spans="1:14" x14ac:dyDescent="0.45">
      <c r="A340" s="253" t="str">
        <f t="shared" si="34"/>
        <v>&lt;ct3361&gt;0&lt;/ct3361&gt;</v>
      </c>
      <c r="B340" s="243" t="s">
        <v>1650</v>
      </c>
      <c r="C340" s="244">
        <f t="shared" si="29"/>
        <v>2</v>
      </c>
      <c r="D340" s="244">
        <f t="shared" si="30"/>
        <v>8</v>
      </c>
      <c r="E340" s="244">
        <f t="shared" si="31"/>
        <v>10</v>
      </c>
      <c r="G340" s="259" t="str">
        <f t="shared" si="32"/>
        <v>&lt;ct3361&gt;</v>
      </c>
      <c r="H340" s="260">
        <f>VLOOKUP(N340,BCDTK!$E$9:$L$132,3,0)</f>
        <v>0</v>
      </c>
      <c r="I340" s="261" t="str">
        <f t="shared" si="33"/>
        <v>&lt;/ct3361&gt;</v>
      </c>
      <c r="J340" s="262"/>
      <c r="K340" s="262"/>
      <c r="L340" s="262"/>
      <c r="M340" s="263"/>
      <c r="N340" s="265">
        <v>3361</v>
      </c>
    </row>
    <row r="341" spans="1:14" x14ac:dyDescent="0.45">
      <c r="A341" s="253" t="str">
        <f t="shared" si="34"/>
        <v>&lt;ct3368&gt;0&lt;/ct3368&gt;</v>
      </c>
      <c r="B341" s="243" t="s">
        <v>1651</v>
      </c>
      <c r="C341" s="244">
        <f t="shared" si="29"/>
        <v>2</v>
      </c>
      <c r="D341" s="244">
        <f t="shared" si="30"/>
        <v>8</v>
      </c>
      <c r="E341" s="244">
        <f t="shared" si="31"/>
        <v>10</v>
      </c>
      <c r="G341" s="259" t="str">
        <f t="shared" si="32"/>
        <v>&lt;ct3368&gt;</v>
      </c>
      <c r="H341" s="260">
        <f>VLOOKUP(N341,BCDTK!$E$9:$L$132,3,0)</f>
        <v>0</v>
      </c>
      <c r="I341" s="261" t="str">
        <f t="shared" si="33"/>
        <v>&lt;/ct3368&gt;</v>
      </c>
      <c r="J341" s="262"/>
      <c r="K341" s="262"/>
      <c r="L341" s="262"/>
      <c r="M341" s="263"/>
      <c r="N341" s="265">
        <v>3368</v>
      </c>
    </row>
    <row r="342" spans="1:14" x14ac:dyDescent="0.45">
      <c r="A342" s="253" t="str">
        <f t="shared" si="34"/>
        <v>&lt;ct338&gt;0&lt;/ct338&gt;</v>
      </c>
      <c r="B342" s="243" t="s">
        <v>1652</v>
      </c>
      <c r="C342" s="244">
        <f t="shared" si="29"/>
        <v>2</v>
      </c>
      <c r="D342" s="244">
        <f t="shared" si="30"/>
        <v>7</v>
      </c>
      <c r="E342" s="244">
        <f t="shared" si="31"/>
        <v>9</v>
      </c>
      <c r="G342" s="259" t="str">
        <f t="shared" si="32"/>
        <v>&lt;ct338&gt;</v>
      </c>
      <c r="H342" s="260">
        <f>VLOOKUP(N342,BCDTK!$E$9:$L$132,3,0)</f>
        <v>0</v>
      </c>
      <c r="I342" s="261" t="str">
        <f t="shared" si="33"/>
        <v>&lt;/ct338&gt;</v>
      </c>
      <c r="J342" s="262"/>
      <c r="K342" s="262"/>
      <c r="L342" s="262"/>
      <c r="M342" s="263"/>
      <c r="N342" s="265">
        <v>338</v>
      </c>
    </row>
    <row r="343" spans="1:14" x14ac:dyDescent="0.45">
      <c r="A343" s="253" t="str">
        <f t="shared" si="34"/>
        <v>&lt;ct3381&gt;0&lt;/ct3381&gt;</v>
      </c>
      <c r="B343" s="243" t="s">
        <v>1653</v>
      </c>
      <c r="C343" s="244">
        <f t="shared" si="29"/>
        <v>2</v>
      </c>
      <c r="D343" s="244">
        <f t="shared" si="30"/>
        <v>8</v>
      </c>
      <c r="E343" s="244">
        <f t="shared" si="31"/>
        <v>10</v>
      </c>
      <c r="G343" s="259" t="str">
        <f t="shared" si="32"/>
        <v>&lt;ct3381&gt;</v>
      </c>
      <c r="H343" s="260">
        <f>VLOOKUP(N343,BCDTK!$E$9:$L$132,3,0)</f>
        <v>0</v>
      </c>
      <c r="I343" s="261" t="str">
        <f t="shared" si="33"/>
        <v>&lt;/ct3381&gt;</v>
      </c>
      <c r="J343" s="262"/>
      <c r="K343" s="262"/>
      <c r="L343" s="262"/>
      <c r="M343" s="263"/>
      <c r="N343" s="265">
        <v>3381</v>
      </c>
    </row>
    <row r="344" spans="1:14" x14ac:dyDescent="0.45">
      <c r="A344" s="253" t="str">
        <f t="shared" si="34"/>
        <v>&lt;ct3382&gt;0&lt;/ct3382&gt;</v>
      </c>
      <c r="B344" s="243" t="s">
        <v>1654</v>
      </c>
      <c r="C344" s="244">
        <f t="shared" si="29"/>
        <v>2</v>
      </c>
      <c r="D344" s="244">
        <f t="shared" si="30"/>
        <v>8</v>
      </c>
      <c r="E344" s="244">
        <f t="shared" si="31"/>
        <v>10</v>
      </c>
      <c r="G344" s="259" t="str">
        <f t="shared" si="32"/>
        <v>&lt;ct3382&gt;</v>
      </c>
      <c r="H344" s="260">
        <f>VLOOKUP(N344,BCDTK!$E$9:$L$132,3,0)</f>
        <v>0</v>
      </c>
      <c r="I344" s="261" t="str">
        <f t="shared" si="33"/>
        <v>&lt;/ct3382&gt;</v>
      </c>
      <c r="J344" s="262"/>
      <c r="K344" s="262"/>
      <c r="L344" s="262"/>
      <c r="M344" s="263"/>
      <c r="N344" s="265">
        <v>3382</v>
      </c>
    </row>
    <row r="345" spans="1:14" x14ac:dyDescent="0.45">
      <c r="A345" s="253" t="str">
        <f t="shared" si="34"/>
        <v>&lt;ct3383&gt;0&lt;/ct3383&gt;</v>
      </c>
      <c r="B345" s="243" t="s">
        <v>1655</v>
      </c>
      <c r="C345" s="244">
        <f t="shared" ref="C345:C408" si="35">LEN(B345)-LEN(SUBSTITUTE(B345,"&lt;",""))</f>
        <v>2</v>
      </c>
      <c r="D345" s="244">
        <f t="shared" ref="D345:D408" si="36">SEARCH("&gt;",B345)</f>
        <v>8</v>
      </c>
      <c r="E345" s="244">
        <f t="shared" ref="E345:E408" si="37">IFERROR(SEARCH("&lt;/",B345),"")</f>
        <v>10</v>
      </c>
      <c r="G345" s="259" t="str">
        <f t="shared" ref="G345:G408" si="38">LEFT(B345,D345)</f>
        <v>&lt;ct3383&gt;</v>
      </c>
      <c r="H345" s="260">
        <f>VLOOKUP(N345,BCDTK!$E$9:$L$132,3,0)</f>
        <v>0</v>
      </c>
      <c r="I345" s="261" t="str">
        <f t="shared" ref="I345:I408" si="39">IF(C345=2,RIGHT(B345,LEN(B345)-E345+1),"")</f>
        <v>&lt;/ct3383&gt;</v>
      </c>
      <c r="J345" s="262"/>
      <c r="K345" s="262"/>
      <c r="L345" s="262"/>
      <c r="M345" s="263"/>
      <c r="N345" s="265">
        <v>3383</v>
      </c>
    </row>
    <row r="346" spans="1:14" x14ac:dyDescent="0.45">
      <c r="A346" s="253" t="str">
        <f t="shared" si="34"/>
        <v>&lt;ct3384&gt;0&lt;/ct3384&gt;</v>
      </c>
      <c r="B346" s="243" t="s">
        <v>1656</v>
      </c>
      <c r="C346" s="244">
        <f t="shared" si="35"/>
        <v>2</v>
      </c>
      <c r="D346" s="244">
        <f t="shared" si="36"/>
        <v>8</v>
      </c>
      <c r="E346" s="244">
        <f t="shared" si="37"/>
        <v>10</v>
      </c>
      <c r="G346" s="259" t="str">
        <f t="shared" si="38"/>
        <v>&lt;ct3384&gt;</v>
      </c>
      <c r="H346" s="260">
        <f>VLOOKUP(N346,BCDTK!$E$9:$L$132,3,0)</f>
        <v>0</v>
      </c>
      <c r="I346" s="261" t="str">
        <f t="shared" si="39"/>
        <v>&lt;/ct3384&gt;</v>
      </c>
      <c r="J346" s="262"/>
      <c r="K346" s="262"/>
      <c r="L346" s="262"/>
      <c r="M346" s="263"/>
      <c r="N346" s="265">
        <v>3384</v>
      </c>
    </row>
    <row r="347" spans="1:14" x14ac:dyDescent="0.45">
      <c r="A347" s="253" t="str">
        <f t="shared" si="34"/>
        <v>&lt;ct3385&gt;0&lt;/ct3385&gt;</v>
      </c>
      <c r="B347" s="243" t="s">
        <v>1657</v>
      </c>
      <c r="C347" s="244">
        <f t="shared" si="35"/>
        <v>2</v>
      </c>
      <c r="D347" s="244">
        <f t="shared" si="36"/>
        <v>8</v>
      </c>
      <c r="E347" s="244">
        <f t="shared" si="37"/>
        <v>10</v>
      </c>
      <c r="G347" s="259" t="str">
        <f t="shared" si="38"/>
        <v>&lt;ct3385&gt;</v>
      </c>
      <c r="H347" s="260">
        <f>VLOOKUP(N347,BCDTK!$E$9:$L$132,3,0)</f>
        <v>0</v>
      </c>
      <c r="I347" s="261" t="str">
        <f t="shared" si="39"/>
        <v>&lt;/ct3385&gt;</v>
      </c>
      <c r="J347" s="262"/>
      <c r="K347" s="262"/>
      <c r="L347" s="262"/>
      <c r="M347" s="263"/>
      <c r="N347" s="265">
        <v>3385</v>
      </c>
    </row>
    <row r="348" spans="1:14" x14ac:dyDescent="0.45">
      <c r="A348" s="253" t="str">
        <f t="shared" si="34"/>
        <v>&lt;ct3386&gt;0&lt;/ct3386&gt;</v>
      </c>
      <c r="B348" s="243" t="s">
        <v>1658</v>
      </c>
      <c r="C348" s="244">
        <f t="shared" si="35"/>
        <v>2</v>
      </c>
      <c r="D348" s="244">
        <f t="shared" si="36"/>
        <v>8</v>
      </c>
      <c r="E348" s="244">
        <f t="shared" si="37"/>
        <v>10</v>
      </c>
      <c r="G348" s="259" t="str">
        <f t="shared" si="38"/>
        <v>&lt;ct3386&gt;</v>
      </c>
      <c r="H348" s="260">
        <f>VLOOKUP(N348,BCDTK!$E$9:$L$132,3,0)</f>
        <v>0</v>
      </c>
      <c r="I348" s="261" t="str">
        <f t="shared" si="39"/>
        <v>&lt;/ct3386&gt;</v>
      </c>
      <c r="J348" s="262"/>
      <c r="K348" s="262"/>
      <c r="L348" s="262"/>
      <c r="M348" s="263"/>
      <c r="N348" s="265">
        <v>3386</v>
      </c>
    </row>
    <row r="349" spans="1:14" x14ac:dyDescent="0.45">
      <c r="A349" s="253" t="str">
        <f t="shared" si="34"/>
        <v>&lt;ct3387&gt;0&lt;/ct3387&gt;</v>
      </c>
      <c r="B349" s="243" t="s">
        <v>1659</v>
      </c>
      <c r="C349" s="244">
        <f t="shared" si="35"/>
        <v>2</v>
      </c>
      <c r="D349" s="244">
        <f t="shared" si="36"/>
        <v>8</v>
      </c>
      <c r="E349" s="244">
        <f t="shared" si="37"/>
        <v>10</v>
      </c>
      <c r="G349" s="259" t="str">
        <f t="shared" si="38"/>
        <v>&lt;ct3387&gt;</v>
      </c>
      <c r="H349" s="260">
        <f>VLOOKUP(N349,BCDTK!$E$9:$L$132,3,0)</f>
        <v>0</v>
      </c>
      <c r="I349" s="261" t="str">
        <f t="shared" si="39"/>
        <v>&lt;/ct3387&gt;</v>
      </c>
      <c r="J349" s="262"/>
      <c r="K349" s="262"/>
      <c r="L349" s="262"/>
      <c r="M349" s="263"/>
      <c r="N349" s="265">
        <v>3387</v>
      </c>
    </row>
    <row r="350" spans="1:14" x14ac:dyDescent="0.45">
      <c r="A350" s="253" t="str">
        <f t="shared" si="34"/>
        <v>&lt;ct3388&gt;0&lt;/ct3388&gt;</v>
      </c>
      <c r="B350" s="243" t="s">
        <v>1660</v>
      </c>
      <c r="C350" s="244">
        <f t="shared" si="35"/>
        <v>2</v>
      </c>
      <c r="D350" s="244">
        <f t="shared" si="36"/>
        <v>8</v>
      </c>
      <c r="E350" s="244">
        <f t="shared" si="37"/>
        <v>10</v>
      </c>
      <c r="G350" s="259" t="str">
        <f t="shared" si="38"/>
        <v>&lt;ct3388&gt;</v>
      </c>
      <c r="H350" s="260">
        <f>VLOOKUP(N350,BCDTK!$E$9:$L$132,3,0)</f>
        <v>0</v>
      </c>
      <c r="I350" s="261" t="str">
        <f t="shared" si="39"/>
        <v>&lt;/ct3388&gt;</v>
      </c>
      <c r="J350" s="262"/>
      <c r="K350" s="262"/>
      <c r="L350" s="262"/>
      <c r="M350" s="263"/>
      <c r="N350" s="265">
        <v>3388</v>
      </c>
    </row>
    <row r="351" spans="1:14" x14ac:dyDescent="0.45">
      <c r="A351" s="253" t="str">
        <f t="shared" si="34"/>
        <v>&lt;ct341&gt;0&lt;/ct341&gt;</v>
      </c>
      <c r="B351" s="243" t="s">
        <v>1661</v>
      </c>
      <c r="C351" s="244">
        <f t="shared" si="35"/>
        <v>2</v>
      </c>
      <c r="D351" s="244">
        <f t="shared" si="36"/>
        <v>7</v>
      </c>
      <c r="E351" s="244">
        <f t="shared" si="37"/>
        <v>9</v>
      </c>
      <c r="G351" s="259" t="str">
        <f t="shared" si="38"/>
        <v>&lt;ct341&gt;</v>
      </c>
      <c r="H351" s="260">
        <f>VLOOKUP(N351,BCDTK!$E$9:$L$132,3,0)</f>
        <v>0</v>
      </c>
      <c r="I351" s="261" t="str">
        <f t="shared" si="39"/>
        <v>&lt;/ct341&gt;</v>
      </c>
      <c r="J351" s="262"/>
      <c r="K351" s="262"/>
      <c r="L351" s="262"/>
      <c r="M351" s="263"/>
      <c r="N351" s="265">
        <v>341</v>
      </c>
    </row>
    <row r="352" spans="1:14" x14ac:dyDescent="0.45">
      <c r="A352" s="253" t="str">
        <f t="shared" si="34"/>
        <v>&lt;ct3411&gt;0&lt;/ct3411&gt;</v>
      </c>
      <c r="B352" s="243" t="s">
        <v>1662</v>
      </c>
      <c r="C352" s="244">
        <f t="shared" si="35"/>
        <v>2</v>
      </c>
      <c r="D352" s="244">
        <f t="shared" si="36"/>
        <v>8</v>
      </c>
      <c r="E352" s="244">
        <f t="shared" si="37"/>
        <v>10</v>
      </c>
      <c r="G352" s="259" t="str">
        <f t="shared" si="38"/>
        <v>&lt;ct3411&gt;</v>
      </c>
      <c r="H352" s="260">
        <f>VLOOKUP(N352,BCDTK!$E$9:$L$132,3,0)</f>
        <v>0</v>
      </c>
      <c r="I352" s="261" t="str">
        <f t="shared" si="39"/>
        <v>&lt;/ct3411&gt;</v>
      </c>
      <c r="J352" s="262"/>
      <c r="K352" s="262"/>
      <c r="L352" s="262"/>
      <c r="M352" s="263"/>
      <c r="N352" s="265">
        <v>3411</v>
      </c>
    </row>
    <row r="353" spans="1:14" x14ac:dyDescent="0.45">
      <c r="A353" s="253" t="str">
        <f t="shared" si="34"/>
        <v>&lt;ct3412&gt;0&lt;/ct3412&gt;</v>
      </c>
      <c r="B353" s="243" t="s">
        <v>1663</v>
      </c>
      <c r="C353" s="244">
        <f t="shared" si="35"/>
        <v>2</v>
      </c>
      <c r="D353" s="244">
        <f t="shared" si="36"/>
        <v>8</v>
      </c>
      <c r="E353" s="244">
        <f t="shared" si="37"/>
        <v>10</v>
      </c>
      <c r="G353" s="259" t="str">
        <f t="shared" si="38"/>
        <v>&lt;ct3412&gt;</v>
      </c>
      <c r="H353" s="260">
        <f>VLOOKUP(N353,BCDTK!$E$9:$L$132,3,0)</f>
        <v>0</v>
      </c>
      <c r="I353" s="261" t="str">
        <f t="shared" si="39"/>
        <v>&lt;/ct3412&gt;</v>
      </c>
      <c r="J353" s="262"/>
      <c r="K353" s="262"/>
      <c r="L353" s="262"/>
      <c r="M353" s="263"/>
      <c r="N353" s="265">
        <v>3412</v>
      </c>
    </row>
    <row r="354" spans="1:14" x14ac:dyDescent="0.45">
      <c r="A354" s="253" t="str">
        <f t="shared" si="34"/>
        <v>&lt;ct352&gt;0&lt;/ct352&gt;</v>
      </c>
      <c r="B354" s="243" t="s">
        <v>1664</v>
      </c>
      <c r="C354" s="244">
        <f t="shared" si="35"/>
        <v>2</v>
      </c>
      <c r="D354" s="244">
        <f t="shared" si="36"/>
        <v>7</v>
      </c>
      <c r="E354" s="244">
        <f t="shared" si="37"/>
        <v>9</v>
      </c>
      <c r="G354" s="259" t="str">
        <f t="shared" si="38"/>
        <v>&lt;ct352&gt;</v>
      </c>
      <c r="H354" s="260">
        <f>VLOOKUP(N354,BCDTK!$E$9:$L$132,3,0)</f>
        <v>0</v>
      </c>
      <c r="I354" s="261" t="str">
        <f t="shared" si="39"/>
        <v>&lt;/ct352&gt;</v>
      </c>
      <c r="J354" s="262"/>
      <c r="K354" s="262"/>
      <c r="L354" s="262"/>
      <c r="M354" s="263"/>
      <c r="N354" s="265">
        <v>352</v>
      </c>
    </row>
    <row r="355" spans="1:14" x14ac:dyDescent="0.45">
      <c r="A355" s="253" t="str">
        <f t="shared" si="34"/>
        <v>&lt;ct3521&gt;0&lt;/ct3521&gt;</v>
      </c>
      <c r="B355" s="243" t="s">
        <v>1665</v>
      </c>
      <c r="C355" s="244">
        <f t="shared" si="35"/>
        <v>2</v>
      </c>
      <c r="D355" s="244">
        <f t="shared" si="36"/>
        <v>8</v>
      </c>
      <c r="E355" s="244">
        <f t="shared" si="37"/>
        <v>10</v>
      </c>
      <c r="G355" s="259" t="str">
        <f t="shared" si="38"/>
        <v>&lt;ct3521&gt;</v>
      </c>
      <c r="H355" s="260">
        <f>VLOOKUP(N355,BCDTK!$E$9:$L$132,3,0)</f>
        <v>0</v>
      </c>
      <c r="I355" s="261" t="str">
        <f t="shared" si="39"/>
        <v>&lt;/ct3521&gt;</v>
      </c>
      <c r="J355" s="262"/>
      <c r="K355" s="262"/>
      <c r="L355" s="262"/>
      <c r="M355" s="263"/>
      <c r="N355" s="265">
        <v>3521</v>
      </c>
    </row>
    <row r="356" spans="1:14" x14ac:dyDescent="0.45">
      <c r="A356" s="253" t="str">
        <f t="shared" si="34"/>
        <v>&lt;ct3522&gt;0&lt;/ct3522&gt;</v>
      </c>
      <c r="B356" s="243" t="s">
        <v>1666</v>
      </c>
      <c r="C356" s="244">
        <f t="shared" si="35"/>
        <v>2</v>
      </c>
      <c r="D356" s="244">
        <f t="shared" si="36"/>
        <v>8</v>
      </c>
      <c r="E356" s="244">
        <f t="shared" si="37"/>
        <v>10</v>
      </c>
      <c r="G356" s="259" t="str">
        <f t="shared" si="38"/>
        <v>&lt;ct3522&gt;</v>
      </c>
      <c r="H356" s="260">
        <f>VLOOKUP(N356,BCDTK!$E$9:$L$132,3,0)</f>
        <v>0</v>
      </c>
      <c r="I356" s="261" t="str">
        <f t="shared" si="39"/>
        <v>&lt;/ct3522&gt;</v>
      </c>
      <c r="J356" s="262"/>
      <c r="K356" s="262"/>
      <c r="L356" s="262"/>
      <c r="M356" s="263"/>
      <c r="N356" s="265">
        <v>3522</v>
      </c>
    </row>
    <row r="357" spans="1:14" x14ac:dyDescent="0.45">
      <c r="A357" s="253" t="str">
        <f t="shared" si="34"/>
        <v>&lt;ct3524&gt;0&lt;/ct3524&gt;</v>
      </c>
      <c r="B357" s="243" t="s">
        <v>1667</v>
      </c>
      <c r="C357" s="244">
        <f t="shared" si="35"/>
        <v>2</v>
      </c>
      <c r="D357" s="244">
        <f t="shared" si="36"/>
        <v>8</v>
      </c>
      <c r="E357" s="244">
        <f t="shared" si="37"/>
        <v>10</v>
      </c>
      <c r="G357" s="259" t="str">
        <f t="shared" si="38"/>
        <v>&lt;ct3524&gt;</v>
      </c>
      <c r="H357" s="260">
        <f>VLOOKUP(N357,BCDTK!$E$9:$L$132,3,0)</f>
        <v>0</v>
      </c>
      <c r="I357" s="261" t="str">
        <f t="shared" si="39"/>
        <v>&lt;/ct3524&gt;</v>
      </c>
      <c r="J357" s="262"/>
      <c r="K357" s="262"/>
      <c r="L357" s="262"/>
      <c r="M357" s="263"/>
      <c r="N357" s="265">
        <v>3524</v>
      </c>
    </row>
    <row r="358" spans="1:14" x14ac:dyDescent="0.45">
      <c r="A358" s="253" t="str">
        <f t="shared" si="34"/>
        <v>&lt;ct353&gt;0&lt;/ct353&gt;</v>
      </c>
      <c r="B358" s="243" t="s">
        <v>1668</v>
      </c>
      <c r="C358" s="244">
        <f t="shared" si="35"/>
        <v>2</v>
      </c>
      <c r="D358" s="244">
        <f t="shared" si="36"/>
        <v>7</v>
      </c>
      <c r="E358" s="244">
        <f t="shared" si="37"/>
        <v>9</v>
      </c>
      <c r="G358" s="259" t="str">
        <f t="shared" si="38"/>
        <v>&lt;ct353&gt;</v>
      </c>
      <c r="H358" s="260">
        <f>VLOOKUP(N358,BCDTK!$E$9:$L$132,3,0)</f>
        <v>0</v>
      </c>
      <c r="I358" s="261" t="str">
        <f t="shared" si="39"/>
        <v>&lt;/ct353&gt;</v>
      </c>
      <c r="J358" s="262"/>
      <c r="K358" s="262"/>
      <c r="L358" s="262"/>
      <c r="M358" s="263"/>
      <c r="N358" s="265">
        <v>353</v>
      </c>
    </row>
    <row r="359" spans="1:14" x14ac:dyDescent="0.45">
      <c r="A359" s="253" t="str">
        <f t="shared" si="34"/>
        <v>&lt;ct3531&gt;0&lt;/ct3531&gt;</v>
      </c>
      <c r="B359" s="243" t="s">
        <v>1669</v>
      </c>
      <c r="C359" s="244">
        <f t="shared" si="35"/>
        <v>2</v>
      </c>
      <c r="D359" s="244">
        <f t="shared" si="36"/>
        <v>8</v>
      </c>
      <c r="E359" s="244">
        <f t="shared" si="37"/>
        <v>10</v>
      </c>
      <c r="G359" s="259" t="str">
        <f t="shared" si="38"/>
        <v>&lt;ct3531&gt;</v>
      </c>
      <c r="H359" s="260">
        <f>VLOOKUP(N359,BCDTK!$E$9:$L$132,3,0)</f>
        <v>0</v>
      </c>
      <c r="I359" s="261" t="str">
        <f t="shared" si="39"/>
        <v>&lt;/ct3531&gt;</v>
      </c>
      <c r="J359" s="262"/>
      <c r="K359" s="262"/>
      <c r="L359" s="262"/>
      <c r="M359" s="263"/>
      <c r="N359" s="265">
        <v>3531</v>
      </c>
    </row>
    <row r="360" spans="1:14" x14ac:dyDescent="0.45">
      <c r="A360" s="253" t="str">
        <f t="shared" si="34"/>
        <v>&lt;ct3532&gt;0&lt;/ct3532&gt;</v>
      </c>
      <c r="B360" s="243" t="s">
        <v>1670</v>
      </c>
      <c r="C360" s="244">
        <f t="shared" si="35"/>
        <v>2</v>
      </c>
      <c r="D360" s="244">
        <f t="shared" si="36"/>
        <v>8</v>
      </c>
      <c r="E360" s="244">
        <f t="shared" si="37"/>
        <v>10</v>
      </c>
      <c r="G360" s="259" t="str">
        <f t="shared" si="38"/>
        <v>&lt;ct3532&gt;</v>
      </c>
      <c r="H360" s="260">
        <f>VLOOKUP(N360,BCDTK!$E$9:$L$132,3,0)</f>
        <v>0</v>
      </c>
      <c r="I360" s="261" t="str">
        <f t="shared" si="39"/>
        <v>&lt;/ct3532&gt;</v>
      </c>
      <c r="J360" s="262"/>
      <c r="K360" s="262"/>
      <c r="L360" s="262"/>
      <c r="M360" s="263"/>
      <c r="N360" s="265">
        <v>3532</v>
      </c>
    </row>
    <row r="361" spans="1:14" x14ac:dyDescent="0.45">
      <c r="A361" s="253" t="str">
        <f t="shared" si="34"/>
        <v>&lt;ct3533&gt;0&lt;/ct3533&gt;</v>
      </c>
      <c r="B361" s="243" t="s">
        <v>1671</v>
      </c>
      <c r="C361" s="244">
        <f t="shared" si="35"/>
        <v>2</v>
      </c>
      <c r="D361" s="244">
        <f t="shared" si="36"/>
        <v>8</v>
      </c>
      <c r="E361" s="244">
        <f t="shared" si="37"/>
        <v>10</v>
      </c>
      <c r="G361" s="259" t="str">
        <f t="shared" si="38"/>
        <v>&lt;ct3533&gt;</v>
      </c>
      <c r="H361" s="260">
        <f>VLOOKUP(N361,BCDTK!$E$9:$L$132,3,0)</f>
        <v>0</v>
      </c>
      <c r="I361" s="261" t="str">
        <f t="shared" si="39"/>
        <v>&lt;/ct3533&gt;</v>
      </c>
      <c r="J361" s="262"/>
      <c r="K361" s="262"/>
      <c r="L361" s="262"/>
      <c r="M361" s="263"/>
      <c r="N361" s="265">
        <v>3533</v>
      </c>
    </row>
    <row r="362" spans="1:14" x14ac:dyDescent="0.45">
      <c r="A362" s="253" t="str">
        <f t="shared" si="34"/>
        <v>&lt;ct3534&gt;0&lt;/ct3534&gt;</v>
      </c>
      <c r="B362" s="243" t="s">
        <v>1672</v>
      </c>
      <c r="C362" s="244">
        <f t="shared" si="35"/>
        <v>2</v>
      </c>
      <c r="D362" s="244">
        <f t="shared" si="36"/>
        <v>8</v>
      </c>
      <c r="E362" s="244">
        <f t="shared" si="37"/>
        <v>10</v>
      </c>
      <c r="G362" s="259" t="str">
        <f t="shared" si="38"/>
        <v>&lt;ct3534&gt;</v>
      </c>
      <c r="H362" s="260">
        <f>VLOOKUP(N362,BCDTK!$E$9:$L$132,3,0)</f>
        <v>0</v>
      </c>
      <c r="I362" s="261" t="str">
        <f t="shared" si="39"/>
        <v>&lt;/ct3534&gt;</v>
      </c>
      <c r="J362" s="262"/>
      <c r="K362" s="262"/>
      <c r="L362" s="262"/>
      <c r="M362" s="263"/>
      <c r="N362" s="265">
        <v>3534</v>
      </c>
    </row>
    <row r="363" spans="1:14" x14ac:dyDescent="0.45">
      <c r="A363" s="253" t="str">
        <f t="shared" si="34"/>
        <v>&lt;ct356&gt;0&lt;/ct356&gt;</v>
      </c>
      <c r="B363" s="243" t="s">
        <v>1673</v>
      </c>
      <c r="C363" s="244">
        <f t="shared" si="35"/>
        <v>2</v>
      </c>
      <c r="D363" s="244">
        <f t="shared" si="36"/>
        <v>7</v>
      </c>
      <c r="E363" s="244">
        <f t="shared" si="37"/>
        <v>9</v>
      </c>
      <c r="G363" s="259" t="str">
        <f t="shared" si="38"/>
        <v>&lt;ct356&gt;</v>
      </c>
      <c r="H363" s="260">
        <f>VLOOKUP(N363,BCDTK!$E$9:$L$132,3,0)</f>
        <v>0</v>
      </c>
      <c r="I363" s="261" t="str">
        <f t="shared" si="39"/>
        <v>&lt;/ct356&gt;</v>
      </c>
      <c r="J363" s="262"/>
      <c r="K363" s="262"/>
      <c r="L363" s="262"/>
      <c r="M363" s="263"/>
      <c r="N363" s="265">
        <v>356</v>
      </c>
    </row>
    <row r="364" spans="1:14" x14ac:dyDescent="0.45">
      <c r="A364" s="253" t="str">
        <f t="shared" si="34"/>
        <v>&lt;ct3561&gt;0&lt;/ct3561&gt;</v>
      </c>
      <c r="B364" s="243" t="s">
        <v>1674</v>
      </c>
      <c r="C364" s="244">
        <f t="shared" si="35"/>
        <v>2</v>
      </c>
      <c r="D364" s="244">
        <f t="shared" si="36"/>
        <v>8</v>
      </c>
      <c r="E364" s="244">
        <f t="shared" si="37"/>
        <v>10</v>
      </c>
      <c r="G364" s="259" t="str">
        <f t="shared" si="38"/>
        <v>&lt;ct3561&gt;</v>
      </c>
      <c r="H364" s="260">
        <f>VLOOKUP(N364,BCDTK!$E$9:$L$132,3,0)</f>
        <v>0</v>
      </c>
      <c r="I364" s="261" t="str">
        <f t="shared" si="39"/>
        <v>&lt;/ct3561&gt;</v>
      </c>
      <c r="J364" s="262"/>
      <c r="K364" s="262"/>
      <c r="L364" s="262"/>
      <c r="M364" s="263"/>
      <c r="N364" s="265">
        <v>3561</v>
      </c>
    </row>
    <row r="365" spans="1:14" x14ac:dyDescent="0.45">
      <c r="A365" s="253" t="str">
        <f t="shared" ref="A365:A428" si="40">CONCATENATE(G365,H365,I365)</f>
        <v>&lt;ct3562&gt;0&lt;/ct3562&gt;</v>
      </c>
      <c r="B365" s="243" t="s">
        <v>1675</v>
      </c>
      <c r="C365" s="244">
        <f t="shared" si="35"/>
        <v>2</v>
      </c>
      <c r="D365" s="244">
        <f t="shared" si="36"/>
        <v>8</v>
      </c>
      <c r="E365" s="244">
        <f t="shared" si="37"/>
        <v>10</v>
      </c>
      <c r="G365" s="259" t="str">
        <f t="shared" si="38"/>
        <v>&lt;ct3562&gt;</v>
      </c>
      <c r="H365" s="260">
        <f>VLOOKUP(N365,BCDTK!$E$9:$L$132,3,0)</f>
        <v>0</v>
      </c>
      <c r="I365" s="261" t="str">
        <f t="shared" si="39"/>
        <v>&lt;/ct3562&gt;</v>
      </c>
      <c r="J365" s="262"/>
      <c r="K365" s="262"/>
      <c r="L365" s="262"/>
      <c r="M365" s="263"/>
      <c r="N365" s="265">
        <v>3562</v>
      </c>
    </row>
    <row r="366" spans="1:14" x14ac:dyDescent="0.45">
      <c r="A366" s="253" t="str">
        <f t="shared" si="40"/>
        <v>&lt;ct411&gt;0&lt;/ct411&gt;</v>
      </c>
      <c r="B366" s="243" t="s">
        <v>1525</v>
      </c>
      <c r="C366" s="244">
        <f t="shared" si="35"/>
        <v>2</v>
      </c>
      <c r="D366" s="244">
        <f t="shared" si="36"/>
        <v>7</v>
      </c>
      <c r="E366" s="244">
        <f t="shared" si="37"/>
        <v>9</v>
      </c>
      <c r="G366" s="259" t="str">
        <f t="shared" si="38"/>
        <v>&lt;ct411&gt;</v>
      </c>
      <c r="H366" s="260">
        <f>VLOOKUP(N366,BCDTK!$E$9:$L$132,3,0)</f>
        <v>0</v>
      </c>
      <c r="I366" s="261" t="str">
        <f t="shared" si="39"/>
        <v>&lt;/ct411&gt;</v>
      </c>
      <c r="J366" s="262"/>
      <c r="K366" s="262"/>
      <c r="L366" s="262"/>
      <c r="M366" s="263"/>
      <c r="N366" s="265">
        <v>411</v>
      </c>
    </row>
    <row r="367" spans="1:14" x14ac:dyDescent="0.45">
      <c r="A367" s="253" t="str">
        <f t="shared" si="40"/>
        <v>&lt;ct4111&gt;0&lt;/ct4111&gt;</v>
      </c>
      <c r="B367" s="243" t="s">
        <v>1676</v>
      </c>
      <c r="C367" s="244">
        <f t="shared" si="35"/>
        <v>2</v>
      </c>
      <c r="D367" s="244">
        <f t="shared" si="36"/>
        <v>8</v>
      </c>
      <c r="E367" s="244">
        <f t="shared" si="37"/>
        <v>10</v>
      </c>
      <c r="G367" s="259" t="str">
        <f t="shared" si="38"/>
        <v>&lt;ct4111&gt;</v>
      </c>
      <c r="H367" s="260">
        <f>VLOOKUP(N367,BCDTK!$E$9:$L$132,3,0)</f>
        <v>0</v>
      </c>
      <c r="I367" s="261" t="str">
        <f t="shared" si="39"/>
        <v>&lt;/ct4111&gt;</v>
      </c>
      <c r="J367" s="262"/>
      <c r="K367" s="262"/>
      <c r="L367" s="262"/>
      <c r="M367" s="263"/>
      <c r="N367" s="265">
        <v>4111</v>
      </c>
    </row>
    <row r="368" spans="1:14" x14ac:dyDescent="0.45">
      <c r="A368" s="253" t="str">
        <f t="shared" si="40"/>
        <v>&lt;ct4112&gt;0&lt;/ct4112&gt;</v>
      </c>
      <c r="B368" s="243" t="s">
        <v>1677</v>
      </c>
      <c r="C368" s="244">
        <f t="shared" si="35"/>
        <v>2</v>
      </c>
      <c r="D368" s="244">
        <f t="shared" si="36"/>
        <v>8</v>
      </c>
      <c r="E368" s="244">
        <f t="shared" si="37"/>
        <v>10</v>
      </c>
      <c r="G368" s="259" t="str">
        <f t="shared" si="38"/>
        <v>&lt;ct4112&gt;</v>
      </c>
      <c r="H368" s="260">
        <f>VLOOKUP(N368,BCDTK!$E$9:$L$132,3,0)</f>
        <v>0</v>
      </c>
      <c r="I368" s="261" t="str">
        <f t="shared" si="39"/>
        <v>&lt;/ct4112&gt;</v>
      </c>
      <c r="J368" s="262"/>
      <c r="K368" s="262"/>
      <c r="L368" s="262"/>
      <c r="M368" s="263"/>
      <c r="N368" s="265">
        <v>4112</v>
      </c>
    </row>
    <row r="369" spans="1:14" x14ac:dyDescent="0.45">
      <c r="A369" s="253" t="str">
        <f t="shared" si="40"/>
        <v>&lt;ct4118&gt;0&lt;/ct4118&gt;</v>
      </c>
      <c r="B369" s="243" t="s">
        <v>1678</v>
      </c>
      <c r="C369" s="244">
        <f t="shared" si="35"/>
        <v>2</v>
      </c>
      <c r="D369" s="244">
        <f t="shared" si="36"/>
        <v>8</v>
      </c>
      <c r="E369" s="244">
        <f t="shared" si="37"/>
        <v>10</v>
      </c>
      <c r="G369" s="259" t="str">
        <f t="shared" si="38"/>
        <v>&lt;ct4118&gt;</v>
      </c>
      <c r="H369" s="260">
        <f>VLOOKUP(N369,BCDTK!$E$9:$L$132,3,0)</f>
        <v>0</v>
      </c>
      <c r="I369" s="261" t="str">
        <f t="shared" si="39"/>
        <v>&lt;/ct4118&gt;</v>
      </c>
      <c r="J369" s="262"/>
      <c r="K369" s="262"/>
      <c r="L369" s="262"/>
      <c r="M369" s="263"/>
      <c r="N369" s="265">
        <v>4118</v>
      </c>
    </row>
    <row r="370" spans="1:14" x14ac:dyDescent="0.45">
      <c r="A370" s="253" t="str">
        <f t="shared" si="40"/>
        <v>&lt;ct413&gt;0&lt;/ct413&gt;</v>
      </c>
      <c r="B370" s="243" t="s">
        <v>1500</v>
      </c>
      <c r="C370" s="244">
        <f t="shared" si="35"/>
        <v>2</v>
      </c>
      <c r="D370" s="244">
        <f t="shared" si="36"/>
        <v>7</v>
      </c>
      <c r="E370" s="244">
        <f t="shared" si="37"/>
        <v>9</v>
      </c>
      <c r="G370" s="259" t="str">
        <f t="shared" si="38"/>
        <v>&lt;ct413&gt;</v>
      </c>
      <c r="H370" s="260">
        <f>VLOOKUP(N370,BCDTK!$E$9:$L$132,3,0)</f>
        <v>0</v>
      </c>
      <c r="I370" s="261" t="str">
        <f t="shared" si="39"/>
        <v>&lt;/ct413&gt;</v>
      </c>
      <c r="J370" s="262"/>
      <c r="K370" s="262"/>
      <c r="L370" s="262"/>
      <c r="M370" s="263"/>
      <c r="N370" s="265">
        <v>413</v>
      </c>
    </row>
    <row r="371" spans="1:14" x14ac:dyDescent="0.45">
      <c r="A371" s="253" t="str">
        <f t="shared" si="40"/>
        <v>&lt;ct418&gt;0&lt;/ct418&gt;</v>
      </c>
      <c r="B371" s="243" t="s">
        <v>1679</v>
      </c>
      <c r="C371" s="244">
        <f t="shared" si="35"/>
        <v>2</v>
      </c>
      <c r="D371" s="244">
        <f t="shared" si="36"/>
        <v>7</v>
      </c>
      <c r="E371" s="244">
        <f t="shared" si="37"/>
        <v>9</v>
      </c>
      <c r="G371" s="259" t="str">
        <f t="shared" si="38"/>
        <v>&lt;ct418&gt;</v>
      </c>
      <c r="H371" s="260">
        <f>VLOOKUP(N371,BCDTK!$E$9:$L$132,3,0)</f>
        <v>0</v>
      </c>
      <c r="I371" s="261" t="str">
        <f t="shared" si="39"/>
        <v>&lt;/ct418&gt;</v>
      </c>
      <c r="J371" s="262"/>
      <c r="K371" s="262"/>
      <c r="L371" s="262"/>
      <c r="M371" s="263"/>
      <c r="N371" s="265">
        <v>418</v>
      </c>
    </row>
    <row r="372" spans="1:14" x14ac:dyDescent="0.45">
      <c r="A372" s="253" t="str">
        <f t="shared" si="40"/>
        <v>&lt;ct419&gt;0&lt;/ct419&gt;</v>
      </c>
      <c r="B372" s="243" t="s">
        <v>1680</v>
      </c>
      <c r="C372" s="244">
        <f t="shared" si="35"/>
        <v>2</v>
      </c>
      <c r="D372" s="244">
        <f t="shared" si="36"/>
        <v>7</v>
      </c>
      <c r="E372" s="244">
        <f t="shared" si="37"/>
        <v>9</v>
      </c>
      <c r="G372" s="259" t="str">
        <f t="shared" si="38"/>
        <v>&lt;ct419&gt;</v>
      </c>
      <c r="H372" s="260">
        <f>VLOOKUP(N372,BCDTK!$E$9:$L$132,3,0)</f>
        <v>0</v>
      </c>
      <c r="I372" s="261" t="str">
        <f t="shared" si="39"/>
        <v>&lt;/ct419&gt;</v>
      </c>
      <c r="J372" s="262"/>
      <c r="K372" s="262"/>
      <c r="L372" s="262"/>
      <c r="M372" s="263"/>
      <c r="N372" s="265">
        <v>419</v>
      </c>
    </row>
    <row r="373" spans="1:14" x14ac:dyDescent="0.45">
      <c r="A373" s="253" t="str">
        <f t="shared" si="40"/>
        <v>&lt;ct421&gt;7320482&lt;/ct421&gt;</v>
      </c>
      <c r="B373" s="243" t="s">
        <v>1681</v>
      </c>
      <c r="C373" s="244">
        <f t="shared" si="35"/>
        <v>2</v>
      </c>
      <c r="D373" s="244">
        <f t="shared" si="36"/>
        <v>7</v>
      </c>
      <c r="E373" s="244">
        <f t="shared" si="37"/>
        <v>9</v>
      </c>
      <c r="G373" s="259" t="str">
        <f t="shared" si="38"/>
        <v>&lt;ct421&gt;</v>
      </c>
      <c r="H373" s="260">
        <f>VLOOKUP(N373,BCDTK!$E$9:$L$132,3,0)</f>
        <v>7320482</v>
      </c>
      <c r="I373" s="261" t="str">
        <f t="shared" si="39"/>
        <v>&lt;/ct421&gt;</v>
      </c>
      <c r="J373" s="262"/>
      <c r="K373" s="262"/>
      <c r="L373" s="262"/>
      <c r="M373" s="263"/>
      <c r="N373" s="265">
        <v>421</v>
      </c>
    </row>
    <row r="374" spans="1:14" x14ac:dyDescent="0.45">
      <c r="A374" s="253" t="str">
        <f t="shared" si="40"/>
        <v>&lt;ct4211&gt;0&lt;/ct4211&gt;</v>
      </c>
      <c r="B374" s="243" t="s">
        <v>1682</v>
      </c>
      <c r="C374" s="244">
        <f t="shared" si="35"/>
        <v>2</v>
      </c>
      <c r="D374" s="244">
        <f t="shared" si="36"/>
        <v>8</v>
      </c>
      <c r="E374" s="244">
        <f t="shared" si="37"/>
        <v>10</v>
      </c>
      <c r="G374" s="259" t="str">
        <f t="shared" si="38"/>
        <v>&lt;ct4211&gt;</v>
      </c>
      <c r="H374" s="260">
        <f>VLOOKUP(N374,BCDTK!$E$9:$L$132,3,0)</f>
        <v>0</v>
      </c>
      <c r="I374" s="261" t="str">
        <f t="shared" si="39"/>
        <v>&lt;/ct4211&gt;</v>
      </c>
      <c r="J374" s="262"/>
      <c r="K374" s="262"/>
      <c r="L374" s="262"/>
      <c r="M374" s="263"/>
      <c r="N374" s="265">
        <v>4211</v>
      </c>
    </row>
    <row r="375" spans="1:14" x14ac:dyDescent="0.45">
      <c r="A375" s="253" t="str">
        <f t="shared" si="40"/>
        <v>&lt;ct4212&gt;7320482&lt;/ct4212&gt;</v>
      </c>
      <c r="B375" s="243" t="s">
        <v>1683</v>
      </c>
      <c r="C375" s="244">
        <f t="shared" si="35"/>
        <v>2</v>
      </c>
      <c r="D375" s="244">
        <f t="shared" si="36"/>
        <v>8</v>
      </c>
      <c r="E375" s="244">
        <f t="shared" si="37"/>
        <v>10</v>
      </c>
      <c r="G375" s="259" t="str">
        <f t="shared" si="38"/>
        <v>&lt;ct4212&gt;</v>
      </c>
      <c r="H375" s="260">
        <f>VLOOKUP(N375,BCDTK!$E$9:$L$132,3,0)</f>
        <v>7320482</v>
      </c>
      <c r="I375" s="261" t="str">
        <f t="shared" si="39"/>
        <v>&lt;/ct4212&gt;</v>
      </c>
      <c r="J375" s="262"/>
      <c r="K375" s="262"/>
      <c r="L375" s="262"/>
      <c r="M375" s="263"/>
      <c r="N375" s="265">
        <v>4212</v>
      </c>
    </row>
    <row r="376" spans="1:14" x14ac:dyDescent="0.45">
      <c r="A376" s="253" t="str">
        <f t="shared" si="40"/>
        <v>&lt;ct511&gt;0&lt;/ct511&gt;</v>
      </c>
      <c r="B376" s="243" t="s">
        <v>1684</v>
      </c>
      <c r="C376" s="244">
        <f t="shared" si="35"/>
        <v>2</v>
      </c>
      <c r="D376" s="244">
        <f t="shared" si="36"/>
        <v>7</v>
      </c>
      <c r="E376" s="244">
        <f t="shared" si="37"/>
        <v>9</v>
      </c>
      <c r="G376" s="259" t="str">
        <f t="shared" si="38"/>
        <v>&lt;ct511&gt;</v>
      </c>
      <c r="H376" s="260">
        <f>VLOOKUP(N376,BCDTK!$E$9:$L$132,3,0)</f>
        <v>0</v>
      </c>
      <c r="I376" s="261" t="str">
        <f t="shared" si="39"/>
        <v>&lt;/ct511&gt;</v>
      </c>
      <c r="J376" s="262"/>
      <c r="K376" s="262"/>
      <c r="L376" s="262"/>
      <c r="M376" s="263"/>
      <c r="N376" s="265">
        <v>511</v>
      </c>
    </row>
    <row r="377" spans="1:14" x14ac:dyDescent="0.45">
      <c r="A377" s="253" t="str">
        <f t="shared" si="40"/>
        <v>&lt;ct5111&gt;0&lt;/ct5111&gt;</v>
      </c>
      <c r="B377" s="243" t="s">
        <v>1685</v>
      </c>
      <c r="C377" s="244">
        <f t="shared" si="35"/>
        <v>2</v>
      </c>
      <c r="D377" s="244">
        <f t="shared" si="36"/>
        <v>8</v>
      </c>
      <c r="E377" s="244">
        <f t="shared" si="37"/>
        <v>10</v>
      </c>
      <c r="G377" s="259" t="str">
        <f t="shared" si="38"/>
        <v>&lt;ct5111&gt;</v>
      </c>
      <c r="H377" s="260">
        <f>VLOOKUP(N377,BCDTK!$E$9:$L$132,3,0)</f>
        <v>0</v>
      </c>
      <c r="I377" s="261" t="str">
        <f t="shared" si="39"/>
        <v>&lt;/ct5111&gt;</v>
      </c>
      <c r="J377" s="262"/>
      <c r="K377" s="262"/>
      <c r="L377" s="262"/>
      <c r="M377" s="263"/>
      <c r="N377" s="265">
        <v>5111</v>
      </c>
    </row>
    <row r="378" spans="1:14" x14ac:dyDescent="0.45">
      <c r="A378" s="253" t="str">
        <f t="shared" si="40"/>
        <v>&lt;ct5112&gt;0&lt;/ct5112&gt;</v>
      </c>
      <c r="B378" s="243" t="s">
        <v>1686</v>
      </c>
      <c r="C378" s="244">
        <f t="shared" si="35"/>
        <v>2</v>
      </c>
      <c r="D378" s="244">
        <f t="shared" si="36"/>
        <v>8</v>
      </c>
      <c r="E378" s="244">
        <f t="shared" si="37"/>
        <v>10</v>
      </c>
      <c r="G378" s="259" t="str">
        <f t="shared" si="38"/>
        <v>&lt;ct5112&gt;</v>
      </c>
      <c r="H378" s="260">
        <f>VLOOKUP(N378,BCDTK!$E$9:$L$132,3,0)</f>
        <v>0</v>
      </c>
      <c r="I378" s="261" t="str">
        <f t="shared" si="39"/>
        <v>&lt;/ct5112&gt;</v>
      </c>
      <c r="J378" s="262"/>
      <c r="K378" s="262"/>
      <c r="L378" s="262"/>
      <c r="M378" s="263"/>
      <c r="N378" s="265">
        <v>5112</v>
      </c>
    </row>
    <row r="379" spans="1:14" x14ac:dyDescent="0.45">
      <c r="A379" s="253" t="str">
        <f t="shared" si="40"/>
        <v>&lt;ct5113&gt;0&lt;/ct5113&gt;</v>
      </c>
      <c r="B379" s="243" t="s">
        <v>1687</v>
      </c>
      <c r="C379" s="244">
        <f t="shared" si="35"/>
        <v>2</v>
      </c>
      <c r="D379" s="244">
        <f t="shared" si="36"/>
        <v>8</v>
      </c>
      <c r="E379" s="244">
        <f t="shared" si="37"/>
        <v>10</v>
      </c>
      <c r="G379" s="259" t="str">
        <f t="shared" si="38"/>
        <v>&lt;ct5113&gt;</v>
      </c>
      <c r="H379" s="260">
        <f>VLOOKUP(N379,BCDTK!$E$9:$L$132,3,0)</f>
        <v>0</v>
      </c>
      <c r="I379" s="261" t="str">
        <f t="shared" si="39"/>
        <v>&lt;/ct5113&gt;</v>
      </c>
      <c r="J379" s="262"/>
      <c r="K379" s="262"/>
      <c r="L379" s="262"/>
      <c r="M379" s="263"/>
      <c r="N379" s="265">
        <v>5113</v>
      </c>
    </row>
    <row r="380" spans="1:14" x14ac:dyDescent="0.45">
      <c r="A380" s="253" t="str">
        <f t="shared" si="40"/>
        <v>&lt;ct5118&gt;0&lt;/ct5118&gt;</v>
      </c>
      <c r="B380" s="243" t="s">
        <v>1688</v>
      </c>
      <c r="C380" s="244">
        <f t="shared" si="35"/>
        <v>2</v>
      </c>
      <c r="D380" s="244">
        <f t="shared" si="36"/>
        <v>8</v>
      </c>
      <c r="E380" s="244">
        <f t="shared" si="37"/>
        <v>10</v>
      </c>
      <c r="G380" s="259" t="str">
        <f t="shared" si="38"/>
        <v>&lt;ct5118&gt;</v>
      </c>
      <c r="H380" s="260">
        <f>VLOOKUP(N380,BCDTK!$E$9:$L$132,3,0)</f>
        <v>0</v>
      </c>
      <c r="I380" s="261" t="str">
        <f t="shared" si="39"/>
        <v>&lt;/ct5118&gt;</v>
      </c>
      <c r="J380" s="262"/>
      <c r="K380" s="262"/>
      <c r="L380" s="262"/>
      <c r="M380" s="263"/>
      <c r="N380" s="265">
        <v>5118</v>
      </c>
    </row>
    <row r="381" spans="1:14" x14ac:dyDescent="0.45">
      <c r="A381" s="253" t="str">
        <f t="shared" si="40"/>
        <v>&lt;ct515&gt;0&lt;/ct515&gt;</v>
      </c>
      <c r="B381" s="243" t="s">
        <v>1689</v>
      </c>
      <c r="C381" s="244">
        <f t="shared" si="35"/>
        <v>2</v>
      </c>
      <c r="D381" s="244">
        <f t="shared" si="36"/>
        <v>7</v>
      </c>
      <c r="E381" s="244">
        <f t="shared" si="37"/>
        <v>9</v>
      </c>
      <c r="G381" s="259" t="str">
        <f t="shared" si="38"/>
        <v>&lt;ct515&gt;</v>
      </c>
      <c r="H381" s="260">
        <f>VLOOKUP(N381,BCDTK!$E$9:$L$132,3,0)</f>
        <v>0</v>
      </c>
      <c r="I381" s="261" t="str">
        <f t="shared" si="39"/>
        <v>&lt;/ct515&gt;</v>
      </c>
      <c r="J381" s="262"/>
      <c r="K381" s="262"/>
      <c r="L381" s="262"/>
      <c r="M381" s="263"/>
      <c r="N381" s="265">
        <v>515</v>
      </c>
    </row>
    <row r="382" spans="1:14" x14ac:dyDescent="0.45">
      <c r="A382" s="253" t="str">
        <f t="shared" si="40"/>
        <v>&lt;ct611&gt;0&lt;/ct611&gt;</v>
      </c>
      <c r="B382" s="243" t="s">
        <v>1690</v>
      </c>
      <c r="C382" s="244">
        <f t="shared" si="35"/>
        <v>2</v>
      </c>
      <c r="D382" s="244">
        <f t="shared" si="36"/>
        <v>7</v>
      </c>
      <c r="E382" s="244">
        <f t="shared" si="37"/>
        <v>9</v>
      </c>
      <c r="G382" s="259" t="str">
        <f t="shared" si="38"/>
        <v>&lt;ct611&gt;</v>
      </c>
      <c r="H382" s="260">
        <f>VLOOKUP(N382,BCDTK!$E$9:$L$132,3,0)</f>
        <v>0</v>
      </c>
      <c r="I382" s="261" t="str">
        <f t="shared" si="39"/>
        <v>&lt;/ct611&gt;</v>
      </c>
      <c r="J382" s="262"/>
      <c r="K382" s="262"/>
      <c r="L382" s="262"/>
      <c r="M382" s="263"/>
      <c r="N382" s="265">
        <v>611</v>
      </c>
    </row>
    <row r="383" spans="1:14" x14ac:dyDescent="0.45">
      <c r="A383" s="253" t="str">
        <f t="shared" si="40"/>
        <v>&lt;ct631&gt;0&lt;/ct631&gt;</v>
      </c>
      <c r="B383" s="243" t="s">
        <v>1691</v>
      </c>
      <c r="C383" s="244">
        <f t="shared" si="35"/>
        <v>2</v>
      </c>
      <c r="D383" s="244">
        <f t="shared" si="36"/>
        <v>7</v>
      </c>
      <c r="E383" s="244">
        <f t="shared" si="37"/>
        <v>9</v>
      </c>
      <c r="G383" s="259" t="str">
        <f t="shared" si="38"/>
        <v>&lt;ct631&gt;</v>
      </c>
      <c r="H383" s="260">
        <f>VLOOKUP(N383,BCDTK!$E$9:$L$132,3,0)</f>
        <v>0</v>
      </c>
      <c r="I383" s="261" t="str">
        <f t="shared" si="39"/>
        <v>&lt;/ct631&gt;</v>
      </c>
      <c r="J383" s="262"/>
      <c r="K383" s="262"/>
      <c r="L383" s="262"/>
      <c r="M383" s="263"/>
      <c r="N383" s="265">
        <v>631</v>
      </c>
    </row>
    <row r="384" spans="1:14" x14ac:dyDescent="0.45">
      <c r="A384" s="253" t="str">
        <f t="shared" si="40"/>
        <v>&lt;ct632&gt;0&lt;/ct632&gt;</v>
      </c>
      <c r="B384" s="243" t="s">
        <v>1692</v>
      </c>
      <c r="C384" s="244">
        <f t="shared" si="35"/>
        <v>2</v>
      </c>
      <c r="D384" s="244">
        <f t="shared" si="36"/>
        <v>7</v>
      </c>
      <c r="E384" s="244">
        <f t="shared" si="37"/>
        <v>9</v>
      </c>
      <c r="G384" s="259" t="str">
        <f t="shared" si="38"/>
        <v>&lt;ct632&gt;</v>
      </c>
      <c r="H384" s="260">
        <f>VLOOKUP(N384,BCDTK!$E$9:$L$132,3,0)</f>
        <v>0</v>
      </c>
      <c r="I384" s="261" t="str">
        <f t="shared" si="39"/>
        <v>&lt;/ct632&gt;</v>
      </c>
      <c r="J384" s="262"/>
      <c r="K384" s="262"/>
      <c r="L384" s="262"/>
      <c r="M384" s="263"/>
      <c r="N384" s="265">
        <v>632</v>
      </c>
    </row>
    <row r="385" spans="1:14" x14ac:dyDescent="0.45">
      <c r="A385" s="253" t="str">
        <f t="shared" si="40"/>
        <v>&lt;ct635&gt;0&lt;/ct635&gt;</v>
      </c>
      <c r="B385" s="243" t="s">
        <v>1693</v>
      </c>
      <c r="C385" s="244">
        <f t="shared" si="35"/>
        <v>2</v>
      </c>
      <c r="D385" s="244">
        <f t="shared" si="36"/>
        <v>7</v>
      </c>
      <c r="E385" s="244">
        <f t="shared" si="37"/>
        <v>9</v>
      </c>
      <c r="G385" s="259" t="str">
        <f t="shared" si="38"/>
        <v>&lt;ct635&gt;</v>
      </c>
      <c r="H385" s="260">
        <f>VLOOKUP(N385,BCDTK!$E$9:$L$132,3,0)</f>
        <v>0</v>
      </c>
      <c r="I385" s="261" t="str">
        <f t="shared" si="39"/>
        <v>&lt;/ct635&gt;</v>
      </c>
      <c r="J385" s="262"/>
      <c r="K385" s="262"/>
      <c r="L385" s="262"/>
      <c r="M385" s="263"/>
      <c r="N385" s="265">
        <v>635</v>
      </c>
    </row>
    <row r="386" spans="1:14" x14ac:dyDescent="0.45">
      <c r="A386" s="253" t="str">
        <f t="shared" si="40"/>
        <v>&lt;ct642&gt;0&lt;/ct642&gt;</v>
      </c>
      <c r="B386" s="243" t="s">
        <v>1694</v>
      </c>
      <c r="C386" s="244">
        <f t="shared" si="35"/>
        <v>2</v>
      </c>
      <c r="D386" s="244">
        <f t="shared" si="36"/>
        <v>7</v>
      </c>
      <c r="E386" s="244">
        <f t="shared" si="37"/>
        <v>9</v>
      </c>
      <c r="G386" s="259" t="str">
        <f t="shared" si="38"/>
        <v>&lt;ct642&gt;</v>
      </c>
      <c r="H386" s="260">
        <f>VLOOKUP(N386,BCDTK!$E$9:$L$132,3,0)</f>
        <v>0</v>
      </c>
      <c r="I386" s="261" t="str">
        <f t="shared" si="39"/>
        <v>&lt;/ct642&gt;</v>
      </c>
      <c r="J386" s="262"/>
      <c r="K386" s="262"/>
      <c r="L386" s="262"/>
      <c r="M386" s="263"/>
      <c r="N386" s="265">
        <v>642</v>
      </c>
    </row>
    <row r="387" spans="1:14" x14ac:dyDescent="0.45">
      <c r="A387" s="253" t="str">
        <f t="shared" si="40"/>
        <v>&lt;ct6421&gt;0&lt;/ct6421&gt;</v>
      </c>
      <c r="B387" s="243" t="s">
        <v>1695</v>
      </c>
      <c r="C387" s="244">
        <f t="shared" si="35"/>
        <v>2</v>
      </c>
      <c r="D387" s="244">
        <f t="shared" si="36"/>
        <v>8</v>
      </c>
      <c r="E387" s="244">
        <f t="shared" si="37"/>
        <v>10</v>
      </c>
      <c r="G387" s="259" t="str">
        <f t="shared" si="38"/>
        <v>&lt;ct6421&gt;</v>
      </c>
      <c r="H387" s="260">
        <f>VLOOKUP(N387,BCDTK!$E$9:$L$132,3,0)</f>
        <v>0</v>
      </c>
      <c r="I387" s="261" t="str">
        <f t="shared" si="39"/>
        <v>&lt;/ct6421&gt;</v>
      </c>
      <c r="J387" s="262"/>
      <c r="K387" s="262"/>
      <c r="L387" s="262"/>
      <c r="M387" s="263"/>
      <c r="N387" s="265">
        <v>6421</v>
      </c>
    </row>
    <row r="388" spans="1:14" x14ac:dyDescent="0.45">
      <c r="A388" s="253" t="str">
        <f t="shared" si="40"/>
        <v>&lt;ct6422&gt;0&lt;/ct6422&gt;</v>
      </c>
      <c r="B388" s="243" t="s">
        <v>1696</v>
      </c>
      <c r="C388" s="244">
        <f t="shared" si="35"/>
        <v>2</v>
      </c>
      <c r="D388" s="244">
        <f t="shared" si="36"/>
        <v>8</v>
      </c>
      <c r="E388" s="244">
        <f t="shared" si="37"/>
        <v>10</v>
      </c>
      <c r="G388" s="259" t="str">
        <f t="shared" si="38"/>
        <v>&lt;ct6422&gt;</v>
      </c>
      <c r="H388" s="260">
        <f>VLOOKUP(N388,BCDTK!$E$9:$L$132,3,0)</f>
        <v>0</v>
      </c>
      <c r="I388" s="261" t="str">
        <f t="shared" si="39"/>
        <v>&lt;/ct6422&gt;</v>
      </c>
      <c r="J388" s="262"/>
      <c r="K388" s="262"/>
      <c r="L388" s="262"/>
      <c r="M388" s="263"/>
      <c r="N388" s="265">
        <v>6422</v>
      </c>
    </row>
    <row r="389" spans="1:14" x14ac:dyDescent="0.45">
      <c r="A389" s="253" t="str">
        <f t="shared" si="40"/>
        <v>&lt;ct711&gt;0&lt;/ct711&gt;</v>
      </c>
      <c r="B389" s="243" t="s">
        <v>1697</v>
      </c>
      <c r="C389" s="244">
        <f t="shared" si="35"/>
        <v>2</v>
      </c>
      <c r="D389" s="244">
        <f t="shared" si="36"/>
        <v>7</v>
      </c>
      <c r="E389" s="244">
        <f t="shared" si="37"/>
        <v>9</v>
      </c>
      <c r="G389" s="259" t="str">
        <f t="shared" si="38"/>
        <v>&lt;ct711&gt;</v>
      </c>
      <c r="H389" s="260">
        <f>VLOOKUP(N389,BCDTK!$E$9:$L$132,3,0)</f>
        <v>0</v>
      </c>
      <c r="I389" s="261" t="str">
        <f t="shared" si="39"/>
        <v>&lt;/ct711&gt;</v>
      </c>
      <c r="J389" s="262"/>
      <c r="K389" s="262"/>
      <c r="L389" s="262"/>
      <c r="M389" s="263"/>
      <c r="N389" s="265">
        <v>711</v>
      </c>
    </row>
    <row r="390" spans="1:14" x14ac:dyDescent="0.45">
      <c r="A390" s="253" t="str">
        <f t="shared" si="40"/>
        <v>&lt;ct811&gt;0&lt;/ct811&gt;</v>
      </c>
      <c r="B390" s="243" t="s">
        <v>1698</v>
      </c>
      <c r="C390" s="244">
        <f t="shared" si="35"/>
        <v>2</v>
      </c>
      <c r="D390" s="244">
        <f t="shared" si="36"/>
        <v>7</v>
      </c>
      <c r="E390" s="244">
        <f t="shared" si="37"/>
        <v>9</v>
      </c>
      <c r="G390" s="259" t="str">
        <f t="shared" si="38"/>
        <v>&lt;ct811&gt;</v>
      </c>
      <c r="H390" s="260">
        <f>VLOOKUP(N390,BCDTK!$E$9:$L$132,3,0)</f>
        <v>0</v>
      </c>
      <c r="I390" s="261" t="str">
        <f t="shared" si="39"/>
        <v>&lt;/ct811&gt;</v>
      </c>
      <c r="J390" s="262"/>
      <c r="K390" s="262"/>
      <c r="L390" s="262"/>
      <c r="M390" s="263"/>
      <c r="N390" s="265">
        <v>811</v>
      </c>
    </row>
    <row r="391" spans="1:14" x14ac:dyDescent="0.45">
      <c r="A391" s="253" t="str">
        <f t="shared" si="40"/>
        <v>&lt;ct821&gt;0&lt;/ct821&gt;</v>
      </c>
      <c r="B391" s="243" t="s">
        <v>1699</v>
      </c>
      <c r="C391" s="244">
        <f t="shared" si="35"/>
        <v>2</v>
      </c>
      <c r="D391" s="244">
        <f t="shared" si="36"/>
        <v>7</v>
      </c>
      <c r="E391" s="244">
        <f t="shared" si="37"/>
        <v>9</v>
      </c>
      <c r="G391" s="259" t="str">
        <f t="shared" si="38"/>
        <v>&lt;ct821&gt;</v>
      </c>
      <c r="H391" s="260">
        <f>VLOOKUP(N391,BCDTK!$E$9:$L$132,3,0)</f>
        <v>0</v>
      </c>
      <c r="I391" s="261" t="str">
        <f t="shared" si="39"/>
        <v>&lt;/ct821&gt;</v>
      </c>
      <c r="J391" s="262"/>
      <c r="K391" s="262"/>
      <c r="L391" s="262"/>
      <c r="M391" s="263"/>
      <c r="N391" s="265">
        <v>821</v>
      </c>
    </row>
    <row r="392" spans="1:14" x14ac:dyDescent="0.45">
      <c r="A392" s="253" t="str">
        <f t="shared" si="40"/>
        <v>&lt;ct911&gt;0&lt;/ct911&gt;</v>
      </c>
      <c r="B392" s="243" t="s">
        <v>1700</v>
      </c>
      <c r="C392" s="244">
        <f t="shared" si="35"/>
        <v>2</v>
      </c>
      <c r="D392" s="244">
        <f t="shared" si="36"/>
        <v>7</v>
      </c>
      <c r="E392" s="244">
        <f t="shared" si="37"/>
        <v>9</v>
      </c>
      <c r="G392" s="259" t="str">
        <f t="shared" si="38"/>
        <v>&lt;ct911&gt;</v>
      </c>
      <c r="H392" s="260">
        <f>VLOOKUP(N392,BCDTK!$E$9:$L$132,3,0)</f>
        <v>0</v>
      </c>
      <c r="I392" s="261" t="str">
        <f t="shared" si="39"/>
        <v>&lt;/ct911&gt;</v>
      </c>
      <c r="J392" s="262"/>
      <c r="K392" s="262"/>
      <c r="L392" s="262"/>
      <c r="M392" s="263"/>
      <c r="N392" s="265">
        <v>911</v>
      </c>
    </row>
    <row r="393" spans="1:14" x14ac:dyDescent="0.45">
      <c r="A393" s="253" t="str">
        <f t="shared" si="40"/>
        <v>&lt;tongCong&gt;505015463&lt;/tongCong&gt;</v>
      </c>
      <c r="B393" s="243" t="s">
        <v>1701</v>
      </c>
      <c r="C393" s="244">
        <f t="shared" si="35"/>
        <v>2</v>
      </c>
      <c r="D393" s="244">
        <f t="shared" si="36"/>
        <v>10</v>
      </c>
      <c r="E393" s="244">
        <f t="shared" si="37"/>
        <v>12</v>
      </c>
      <c r="G393" s="259" t="str">
        <f t="shared" si="38"/>
        <v>&lt;tongCong&gt;</v>
      </c>
      <c r="H393" s="260">
        <f>VLOOKUP(N393,BCDTK!$E$9:$L$132,3,0)</f>
        <v>505015463</v>
      </c>
      <c r="I393" s="261" t="str">
        <f t="shared" si="39"/>
        <v>&lt;/tongCong&gt;</v>
      </c>
      <c r="J393" s="262"/>
      <c r="K393" s="262"/>
      <c r="L393" s="262"/>
      <c r="M393" s="263"/>
      <c r="N393" s="265" t="s">
        <v>1794</v>
      </c>
    </row>
    <row r="394" spans="1:14" x14ac:dyDescent="0.45">
      <c r="A394" s="253" t="str">
        <f t="shared" si="40"/>
        <v>&lt;/No&gt;</v>
      </c>
      <c r="B394" s="243" t="s">
        <v>1702</v>
      </c>
      <c r="C394" s="244">
        <f t="shared" si="35"/>
        <v>1</v>
      </c>
      <c r="D394" s="244">
        <f t="shared" si="36"/>
        <v>5</v>
      </c>
      <c r="E394" s="244">
        <f t="shared" si="37"/>
        <v>1</v>
      </c>
      <c r="G394" s="259" t="str">
        <f t="shared" si="38"/>
        <v>&lt;/No&gt;</v>
      </c>
      <c r="H394" s="260"/>
      <c r="I394" s="261" t="str">
        <f t="shared" si="39"/>
        <v/>
      </c>
      <c r="J394" s="262"/>
      <c r="K394" s="262"/>
      <c r="L394" s="262"/>
      <c r="M394" s="263"/>
      <c r="N394" s="265"/>
    </row>
    <row r="395" spans="1:14" x14ac:dyDescent="0.45">
      <c r="A395" s="253" t="str">
        <f t="shared" si="40"/>
        <v>&lt;Co&gt;</v>
      </c>
      <c r="B395" s="243" t="s">
        <v>1703</v>
      </c>
      <c r="C395" s="244">
        <f t="shared" si="35"/>
        <v>1</v>
      </c>
      <c r="D395" s="244">
        <f t="shared" si="36"/>
        <v>4</v>
      </c>
      <c r="E395" s="244" t="str">
        <f t="shared" si="37"/>
        <v/>
      </c>
      <c r="G395" s="259" t="str">
        <f t="shared" si="38"/>
        <v>&lt;Co&gt;</v>
      </c>
      <c r="H395" s="260"/>
      <c r="I395" s="261" t="str">
        <f t="shared" si="39"/>
        <v/>
      </c>
      <c r="J395" s="262"/>
      <c r="K395" s="262"/>
      <c r="L395" s="262"/>
      <c r="M395" s="263"/>
      <c r="N395" s="265"/>
    </row>
    <row r="396" spans="1:14" x14ac:dyDescent="0.45">
      <c r="A396" s="253" t="str">
        <f t="shared" si="40"/>
        <v>&lt;ct111&gt;0&lt;/ct111&gt;</v>
      </c>
      <c r="B396" s="243" t="s">
        <v>1587</v>
      </c>
      <c r="C396" s="244">
        <f t="shared" si="35"/>
        <v>2</v>
      </c>
      <c r="D396" s="244">
        <f t="shared" si="36"/>
        <v>7</v>
      </c>
      <c r="E396" s="244">
        <f t="shared" si="37"/>
        <v>9</v>
      </c>
      <c r="G396" s="259" t="str">
        <f t="shared" si="38"/>
        <v>&lt;ct111&gt;</v>
      </c>
      <c r="H396" s="260">
        <f>VLOOKUP(N396,BCDTK!$E$9:$L$132,4,0)</f>
        <v>0</v>
      </c>
      <c r="I396" s="261" t="str">
        <f t="shared" si="39"/>
        <v>&lt;/ct111&gt;</v>
      </c>
      <c r="J396" s="262"/>
      <c r="K396" s="262"/>
      <c r="L396" s="262"/>
      <c r="M396" s="263"/>
      <c r="N396" s="265">
        <v>111</v>
      </c>
    </row>
    <row r="397" spans="1:14" x14ac:dyDescent="0.45">
      <c r="A397" s="253" t="str">
        <f t="shared" si="40"/>
        <v>&lt;ct1111&gt;0&lt;/ct1111&gt;</v>
      </c>
      <c r="B397" s="243" t="s">
        <v>1588</v>
      </c>
      <c r="C397" s="244">
        <f t="shared" si="35"/>
        <v>2</v>
      </c>
      <c r="D397" s="244">
        <f t="shared" si="36"/>
        <v>8</v>
      </c>
      <c r="E397" s="244">
        <f t="shared" si="37"/>
        <v>10</v>
      </c>
      <c r="G397" s="259" t="str">
        <f t="shared" si="38"/>
        <v>&lt;ct1111&gt;</v>
      </c>
      <c r="H397" s="260">
        <f>VLOOKUP(N397,BCDTK!$E$9:$L$132,4,0)</f>
        <v>0</v>
      </c>
      <c r="I397" s="261" t="str">
        <f t="shared" si="39"/>
        <v>&lt;/ct1111&gt;</v>
      </c>
      <c r="J397" s="262"/>
      <c r="K397" s="262"/>
      <c r="L397" s="262"/>
      <c r="M397" s="263"/>
      <c r="N397" s="265">
        <v>1111</v>
      </c>
    </row>
    <row r="398" spans="1:14" x14ac:dyDescent="0.45">
      <c r="A398" s="253" t="str">
        <f t="shared" si="40"/>
        <v>&lt;ct1112&gt;0&lt;/ct1112&gt;</v>
      </c>
      <c r="B398" s="243" t="s">
        <v>1589</v>
      </c>
      <c r="C398" s="244">
        <f t="shared" si="35"/>
        <v>2</v>
      </c>
      <c r="D398" s="244">
        <f t="shared" si="36"/>
        <v>8</v>
      </c>
      <c r="E398" s="244">
        <f t="shared" si="37"/>
        <v>10</v>
      </c>
      <c r="G398" s="259" t="str">
        <f t="shared" si="38"/>
        <v>&lt;ct1112&gt;</v>
      </c>
      <c r="H398" s="260">
        <f>VLOOKUP(N398,BCDTK!$E$9:$L$132,4,0)</f>
        <v>0</v>
      </c>
      <c r="I398" s="261" t="str">
        <f t="shared" si="39"/>
        <v>&lt;/ct1112&gt;</v>
      </c>
      <c r="J398" s="262"/>
      <c r="K398" s="262"/>
      <c r="L398" s="262"/>
      <c r="M398" s="263"/>
      <c r="N398" s="265">
        <v>1112</v>
      </c>
    </row>
    <row r="399" spans="1:14" x14ac:dyDescent="0.45">
      <c r="A399" s="253" t="str">
        <f t="shared" si="40"/>
        <v>&lt;ct112&gt;0&lt;/ct112&gt;</v>
      </c>
      <c r="B399" s="243" t="s">
        <v>1590</v>
      </c>
      <c r="C399" s="244">
        <f t="shared" si="35"/>
        <v>2</v>
      </c>
      <c r="D399" s="244">
        <f t="shared" si="36"/>
        <v>7</v>
      </c>
      <c r="E399" s="244">
        <f t="shared" si="37"/>
        <v>9</v>
      </c>
      <c r="G399" s="259" t="str">
        <f t="shared" si="38"/>
        <v>&lt;ct112&gt;</v>
      </c>
      <c r="H399" s="260">
        <f>VLOOKUP(N399,BCDTK!$E$9:$L$132,4,0)</f>
        <v>0</v>
      </c>
      <c r="I399" s="261" t="str">
        <f t="shared" si="39"/>
        <v>&lt;/ct112&gt;</v>
      </c>
      <c r="J399" s="262"/>
      <c r="K399" s="262"/>
      <c r="L399" s="262"/>
      <c r="M399" s="263"/>
      <c r="N399" s="265">
        <v>112</v>
      </c>
    </row>
    <row r="400" spans="1:14" x14ac:dyDescent="0.45">
      <c r="A400" s="253" t="str">
        <f t="shared" si="40"/>
        <v>&lt;ct1121&gt;0&lt;/ct1121&gt;</v>
      </c>
      <c r="B400" s="243" t="s">
        <v>1591</v>
      </c>
      <c r="C400" s="244">
        <f t="shared" si="35"/>
        <v>2</v>
      </c>
      <c r="D400" s="244">
        <f t="shared" si="36"/>
        <v>8</v>
      </c>
      <c r="E400" s="244">
        <f t="shared" si="37"/>
        <v>10</v>
      </c>
      <c r="G400" s="259" t="str">
        <f t="shared" si="38"/>
        <v>&lt;ct1121&gt;</v>
      </c>
      <c r="H400" s="260">
        <f>VLOOKUP(N400,BCDTK!$E$9:$L$132,4,0)</f>
        <v>0</v>
      </c>
      <c r="I400" s="261" t="str">
        <f t="shared" si="39"/>
        <v>&lt;/ct1121&gt;</v>
      </c>
      <c r="J400" s="262"/>
      <c r="K400" s="262"/>
      <c r="L400" s="262"/>
      <c r="M400" s="263"/>
      <c r="N400" s="265">
        <v>1121</v>
      </c>
    </row>
    <row r="401" spans="1:14" x14ac:dyDescent="0.45">
      <c r="A401" s="253" t="str">
        <f t="shared" si="40"/>
        <v>&lt;ct1122&gt;0&lt;/ct1122&gt;</v>
      </c>
      <c r="B401" s="243" t="s">
        <v>1592</v>
      </c>
      <c r="C401" s="244">
        <f t="shared" si="35"/>
        <v>2</v>
      </c>
      <c r="D401" s="244">
        <f t="shared" si="36"/>
        <v>8</v>
      </c>
      <c r="E401" s="244">
        <f t="shared" si="37"/>
        <v>10</v>
      </c>
      <c r="G401" s="259" t="str">
        <f t="shared" si="38"/>
        <v>&lt;ct1122&gt;</v>
      </c>
      <c r="H401" s="260">
        <f>VLOOKUP(N401,BCDTK!$E$9:$L$132,4,0)</f>
        <v>0</v>
      </c>
      <c r="I401" s="261" t="str">
        <f t="shared" si="39"/>
        <v>&lt;/ct1122&gt;</v>
      </c>
      <c r="J401" s="262"/>
      <c r="K401" s="262"/>
      <c r="L401" s="262"/>
      <c r="M401" s="263"/>
      <c r="N401" s="265">
        <v>1122</v>
      </c>
    </row>
    <row r="402" spans="1:14" x14ac:dyDescent="0.45">
      <c r="A402" s="253" t="str">
        <f t="shared" si="40"/>
        <v>&lt;ct121&gt;0&lt;/ct121&gt;</v>
      </c>
      <c r="B402" s="243" t="s">
        <v>1461</v>
      </c>
      <c r="C402" s="244">
        <f t="shared" si="35"/>
        <v>2</v>
      </c>
      <c r="D402" s="244">
        <f t="shared" si="36"/>
        <v>7</v>
      </c>
      <c r="E402" s="244">
        <f t="shared" si="37"/>
        <v>9</v>
      </c>
      <c r="G402" s="259" t="str">
        <f t="shared" si="38"/>
        <v>&lt;ct121&gt;</v>
      </c>
      <c r="H402" s="260">
        <f>VLOOKUP(N402,BCDTK!$E$9:$L$132,4,0)</f>
        <v>0</v>
      </c>
      <c r="I402" s="261" t="str">
        <f t="shared" si="39"/>
        <v>&lt;/ct121&gt;</v>
      </c>
      <c r="J402" s="262"/>
      <c r="K402" s="262"/>
      <c r="L402" s="262"/>
      <c r="M402" s="263"/>
      <c r="N402" s="265">
        <v>121</v>
      </c>
    </row>
    <row r="403" spans="1:14" x14ac:dyDescent="0.45">
      <c r="A403" s="253" t="str">
        <f t="shared" si="40"/>
        <v>&lt;ct128&gt;0&lt;/ct128&gt;</v>
      </c>
      <c r="B403" s="243" t="s">
        <v>1593</v>
      </c>
      <c r="C403" s="244">
        <f t="shared" si="35"/>
        <v>2</v>
      </c>
      <c r="D403" s="244">
        <f t="shared" si="36"/>
        <v>7</v>
      </c>
      <c r="E403" s="244">
        <f t="shared" si="37"/>
        <v>9</v>
      </c>
      <c r="G403" s="259" t="str">
        <f t="shared" si="38"/>
        <v>&lt;ct128&gt;</v>
      </c>
      <c r="H403" s="260">
        <f>VLOOKUP(N403,BCDTK!$E$9:$L$132,4,0)</f>
        <v>0</v>
      </c>
      <c r="I403" s="261" t="str">
        <f t="shared" si="39"/>
        <v>&lt;/ct128&gt;</v>
      </c>
      <c r="J403" s="262"/>
      <c r="K403" s="262"/>
      <c r="L403" s="262"/>
      <c r="M403" s="263"/>
      <c r="N403" s="265">
        <v>128</v>
      </c>
    </row>
    <row r="404" spans="1:14" x14ac:dyDescent="0.45">
      <c r="A404" s="253" t="str">
        <f t="shared" si="40"/>
        <v>&lt;ct1281&gt;0&lt;/ct1281&gt;</v>
      </c>
      <c r="B404" s="243" t="s">
        <v>1594</v>
      </c>
      <c r="C404" s="244">
        <f t="shared" si="35"/>
        <v>2</v>
      </c>
      <c r="D404" s="244">
        <f t="shared" si="36"/>
        <v>8</v>
      </c>
      <c r="E404" s="244">
        <f t="shared" si="37"/>
        <v>10</v>
      </c>
      <c r="G404" s="259" t="str">
        <f t="shared" si="38"/>
        <v>&lt;ct1281&gt;</v>
      </c>
      <c r="H404" s="260">
        <f>VLOOKUP(N404,BCDTK!$E$9:$L$132,4,0)</f>
        <v>0</v>
      </c>
      <c r="I404" s="261" t="str">
        <f t="shared" si="39"/>
        <v>&lt;/ct1281&gt;</v>
      </c>
      <c r="J404" s="262"/>
      <c r="K404" s="262"/>
      <c r="L404" s="262"/>
      <c r="M404" s="263"/>
      <c r="N404" s="265">
        <v>1281</v>
      </c>
    </row>
    <row r="405" spans="1:14" x14ac:dyDescent="0.45">
      <c r="A405" s="253" t="str">
        <f t="shared" si="40"/>
        <v>&lt;ct1288&gt;0&lt;/ct1288&gt;</v>
      </c>
      <c r="B405" s="243" t="s">
        <v>1595</v>
      </c>
      <c r="C405" s="244">
        <f t="shared" si="35"/>
        <v>2</v>
      </c>
      <c r="D405" s="244">
        <f t="shared" si="36"/>
        <v>8</v>
      </c>
      <c r="E405" s="244">
        <f t="shared" si="37"/>
        <v>10</v>
      </c>
      <c r="G405" s="259" t="str">
        <f t="shared" si="38"/>
        <v>&lt;ct1288&gt;</v>
      </c>
      <c r="H405" s="260">
        <f>VLOOKUP(N405,BCDTK!$E$9:$L$132,4,0)</f>
        <v>0</v>
      </c>
      <c r="I405" s="261" t="str">
        <f t="shared" si="39"/>
        <v>&lt;/ct1288&gt;</v>
      </c>
      <c r="J405" s="262"/>
      <c r="K405" s="262"/>
      <c r="L405" s="262"/>
      <c r="M405" s="263"/>
      <c r="N405" s="265">
        <v>1288</v>
      </c>
    </row>
    <row r="406" spans="1:14" x14ac:dyDescent="0.45">
      <c r="A406" s="253" t="str">
        <f t="shared" si="40"/>
        <v>&lt;ct131&gt;0&lt;/ct131&gt;</v>
      </c>
      <c r="B406" s="243" t="s">
        <v>1510</v>
      </c>
      <c r="C406" s="244">
        <f t="shared" si="35"/>
        <v>2</v>
      </c>
      <c r="D406" s="244">
        <f t="shared" si="36"/>
        <v>7</v>
      </c>
      <c r="E406" s="244">
        <f t="shared" si="37"/>
        <v>9</v>
      </c>
      <c r="G406" s="259" t="str">
        <f t="shared" si="38"/>
        <v>&lt;ct131&gt;</v>
      </c>
      <c r="H406" s="260">
        <f>VLOOKUP(N406,BCDTK!$E$9:$L$132,4,0)</f>
        <v>0</v>
      </c>
      <c r="I406" s="261" t="str">
        <f t="shared" si="39"/>
        <v>&lt;/ct131&gt;</v>
      </c>
      <c r="J406" s="262"/>
      <c r="K406" s="262"/>
      <c r="L406" s="262"/>
      <c r="M406" s="263"/>
      <c r="N406" s="265">
        <v>131</v>
      </c>
    </row>
    <row r="407" spans="1:14" x14ac:dyDescent="0.45">
      <c r="A407" s="253" t="str">
        <f t="shared" si="40"/>
        <v>&lt;ct133&gt;0&lt;/ct133&gt;</v>
      </c>
      <c r="B407" s="243" t="s">
        <v>1468</v>
      </c>
      <c r="C407" s="244">
        <f t="shared" si="35"/>
        <v>2</v>
      </c>
      <c r="D407" s="244">
        <f t="shared" si="36"/>
        <v>7</v>
      </c>
      <c r="E407" s="244">
        <f t="shared" si="37"/>
        <v>9</v>
      </c>
      <c r="G407" s="259" t="str">
        <f t="shared" si="38"/>
        <v>&lt;ct133&gt;</v>
      </c>
      <c r="H407" s="260">
        <f>VLOOKUP(N407,BCDTK!$E$9:$L$132,4,0)</f>
        <v>0</v>
      </c>
      <c r="I407" s="261" t="str">
        <f t="shared" si="39"/>
        <v>&lt;/ct133&gt;</v>
      </c>
      <c r="J407" s="262"/>
      <c r="K407" s="262"/>
      <c r="L407" s="262"/>
      <c r="M407" s="263"/>
      <c r="N407" s="265">
        <v>133</v>
      </c>
    </row>
    <row r="408" spans="1:14" x14ac:dyDescent="0.45">
      <c r="A408" s="253" t="str">
        <f t="shared" si="40"/>
        <v>&lt;ct1331&gt;0&lt;/ct1331&gt;</v>
      </c>
      <c r="B408" s="243" t="s">
        <v>1596</v>
      </c>
      <c r="C408" s="244">
        <f t="shared" si="35"/>
        <v>2</v>
      </c>
      <c r="D408" s="244">
        <f t="shared" si="36"/>
        <v>8</v>
      </c>
      <c r="E408" s="244">
        <f t="shared" si="37"/>
        <v>10</v>
      </c>
      <c r="G408" s="259" t="str">
        <f t="shared" si="38"/>
        <v>&lt;ct1331&gt;</v>
      </c>
      <c r="H408" s="260">
        <f>VLOOKUP(N408,BCDTK!$E$9:$L$132,4,0)</f>
        <v>0</v>
      </c>
      <c r="I408" s="261" t="str">
        <f t="shared" si="39"/>
        <v>&lt;/ct1331&gt;</v>
      </c>
      <c r="J408" s="262"/>
      <c r="K408" s="262"/>
      <c r="L408" s="262"/>
      <c r="M408" s="263"/>
      <c r="N408" s="265">
        <v>1331</v>
      </c>
    </row>
    <row r="409" spans="1:14" x14ac:dyDescent="0.45">
      <c r="A409" s="253" t="str">
        <f t="shared" si="40"/>
        <v>&lt;ct1332&gt;0&lt;/ct1332&gt;</v>
      </c>
      <c r="B409" s="243" t="s">
        <v>1597</v>
      </c>
      <c r="C409" s="244">
        <f t="shared" ref="C409:C472" si="41">LEN(B409)-LEN(SUBSTITUTE(B409,"&lt;",""))</f>
        <v>2</v>
      </c>
      <c r="D409" s="244">
        <f t="shared" ref="D409:D472" si="42">SEARCH("&gt;",B409)</f>
        <v>8</v>
      </c>
      <c r="E409" s="244">
        <f t="shared" ref="E409:E472" si="43">IFERROR(SEARCH("&lt;/",B409),"")</f>
        <v>10</v>
      </c>
      <c r="G409" s="259" t="str">
        <f t="shared" ref="G409:G472" si="44">LEFT(B409,D409)</f>
        <v>&lt;ct1332&gt;</v>
      </c>
      <c r="H409" s="260">
        <f>VLOOKUP(N409,BCDTK!$E$9:$L$132,4,0)</f>
        <v>0</v>
      </c>
      <c r="I409" s="261" t="str">
        <f t="shared" ref="I409:I472" si="45">IF(C409=2,RIGHT(B409,LEN(B409)-E409+1),"")</f>
        <v>&lt;/ct1332&gt;</v>
      </c>
      <c r="J409" s="262"/>
      <c r="K409" s="262"/>
      <c r="L409" s="262"/>
      <c r="M409" s="263"/>
      <c r="N409" s="265">
        <v>1332</v>
      </c>
    </row>
    <row r="410" spans="1:14" x14ac:dyDescent="0.45">
      <c r="A410" s="253" t="str">
        <f t="shared" si="40"/>
        <v>&lt;ct136&gt;0&lt;/ct136&gt;</v>
      </c>
      <c r="B410" s="243" t="s">
        <v>1471</v>
      </c>
      <c r="C410" s="244">
        <f t="shared" si="41"/>
        <v>2</v>
      </c>
      <c r="D410" s="244">
        <f t="shared" si="42"/>
        <v>7</v>
      </c>
      <c r="E410" s="244">
        <f t="shared" si="43"/>
        <v>9</v>
      </c>
      <c r="G410" s="259" t="str">
        <f t="shared" si="44"/>
        <v>&lt;ct136&gt;</v>
      </c>
      <c r="H410" s="260">
        <f>VLOOKUP(N410,BCDTK!$E$9:$L$132,4,0)</f>
        <v>0</v>
      </c>
      <c r="I410" s="261" t="str">
        <f t="shared" si="45"/>
        <v>&lt;/ct136&gt;</v>
      </c>
      <c r="J410" s="262"/>
      <c r="K410" s="262"/>
      <c r="L410" s="262"/>
      <c r="M410" s="263"/>
      <c r="N410" s="265">
        <v>136</v>
      </c>
    </row>
    <row r="411" spans="1:14" x14ac:dyDescent="0.45">
      <c r="A411" s="253" t="str">
        <f t="shared" si="40"/>
        <v>&lt;ct1361&gt;0&lt;/ct1361&gt;</v>
      </c>
      <c r="B411" s="243" t="s">
        <v>1598</v>
      </c>
      <c r="C411" s="244">
        <f t="shared" si="41"/>
        <v>2</v>
      </c>
      <c r="D411" s="244">
        <f t="shared" si="42"/>
        <v>8</v>
      </c>
      <c r="E411" s="244">
        <f t="shared" si="43"/>
        <v>10</v>
      </c>
      <c r="G411" s="259" t="str">
        <f t="shared" si="44"/>
        <v>&lt;ct1361&gt;</v>
      </c>
      <c r="H411" s="260">
        <f>VLOOKUP(N411,BCDTK!$E$9:$L$132,4,0)</f>
        <v>0</v>
      </c>
      <c r="I411" s="261" t="str">
        <f t="shared" si="45"/>
        <v>&lt;/ct1361&gt;</v>
      </c>
      <c r="J411" s="262"/>
      <c r="K411" s="262"/>
      <c r="L411" s="262"/>
      <c r="M411" s="263"/>
      <c r="N411" s="265">
        <v>1361</v>
      </c>
    </row>
    <row r="412" spans="1:14" x14ac:dyDescent="0.45">
      <c r="A412" s="253" t="str">
        <f t="shared" si="40"/>
        <v>&lt;ct1368&gt;0&lt;/ct1368&gt;</v>
      </c>
      <c r="B412" s="243" t="s">
        <v>1599</v>
      </c>
      <c r="C412" s="244">
        <f t="shared" si="41"/>
        <v>2</v>
      </c>
      <c r="D412" s="244">
        <f t="shared" si="42"/>
        <v>8</v>
      </c>
      <c r="E412" s="244">
        <f t="shared" si="43"/>
        <v>10</v>
      </c>
      <c r="G412" s="259" t="str">
        <f t="shared" si="44"/>
        <v>&lt;ct1368&gt;</v>
      </c>
      <c r="H412" s="260">
        <f>VLOOKUP(N412,BCDTK!$E$9:$L$132,4,0)</f>
        <v>0</v>
      </c>
      <c r="I412" s="261" t="str">
        <f t="shared" si="45"/>
        <v>&lt;/ct1368&gt;</v>
      </c>
      <c r="J412" s="262"/>
      <c r="K412" s="262"/>
      <c r="L412" s="262"/>
      <c r="M412" s="263"/>
      <c r="N412" s="265">
        <v>1368</v>
      </c>
    </row>
    <row r="413" spans="1:14" x14ac:dyDescent="0.45">
      <c r="A413" s="253" t="str">
        <f t="shared" si="40"/>
        <v>&lt;ct138&gt;0&lt;/ct138&gt;</v>
      </c>
      <c r="B413" s="243" t="s">
        <v>1600</v>
      </c>
      <c r="C413" s="244">
        <f t="shared" si="41"/>
        <v>2</v>
      </c>
      <c r="D413" s="244">
        <f t="shared" si="42"/>
        <v>7</v>
      </c>
      <c r="E413" s="244">
        <f t="shared" si="43"/>
        <v>9</v>
      </c>
      <c r="G413" s="259" t="str">
        <f t="shared" si="44"/>
        <v>&lt;ct138&gt;</v>
      </c>
      <c r="H413" s="260">
        <f>VLOOKUP(N413,BCDTK!$E$9:$L$132,4,0)</f>
        <v>0</v>
      </c>
      <c r="I413" s="261" t="str">
        <f t="shared" si="45"/>
        <v>&lt;/ct138&gt;</v>
      </c>
      <c r="J413" s="262"/>
      <c r="K413" s="262"/>
      <c r="L413" s="262"/>
      <c r="M413" s="263"/>
      <c r="N413" s="265">
        <v>138</v>
      </c>
    </row>
    <row r="414" spans="1:14" x14ac:dyDescent="0.45">
      <c r="A414" s="253" t="str">
        <f t="shared" si="40"/>
        <v>&lt;ct1381&gt;0&lt;/ct1381&gt;</v>
      </c>
      <c r="B414" s="243" t="s">
        <v>1601</v>
      </c>
      <c r="C414" s="244">
        <f t="shared" si="41"/>
        <v>2</v>
      </c>
      <c r="D414" s="244">
        <f t="shared" si="42"/>
        <v>8</v>
      </c>
      <c r="E414" s="244">
        <f t="shared" si="43"/>
        <v>10</v>
      </c>
      <c r="G414" s="259" t="str">
        <f t="shared" si="44"/>
        <v>&lt;ct1381&gt;</v>
      </c>
      <c r="H414" s="260">
        <f>VLOOKUP(N414,BCDTK!$E$9:$L$132,4,0)</f>
        <v>0</v>
      </c>
      <c r="I414" s="261" t="str">
        <f t="shared" si="45"/>
        <v>&lt;/ct1381&gt;</v>
      </c>
      <c r="J414" s="262"/>
      <c r="K414" s="262"/>
      <c r="L414" s="262"/>
      <c r="M414" s="263"/>
      <c r="N414" s="265">
        <v>1381</v>
      </c>
    </row>
    <row r="415" spans="1:14" x14ac:dyDescent="0.45">
      <c r="A415" s="253" t="str">
        <f t="shared" si="40"/>
        <v>&lt;ct1386&gt;0&lt;/ct1386&gt;</v>
      </c>
      <c r="B415" s="243" t="s">
        <v>1602</v>
      </c>
      <c r="C415" s="244">
        <f t="shared" si="41"/>
        <v>2</v>
      </c>
      <c r="D415" s="244">
        <f t="shared" si="42"/>
        <v>8</v>
      </c>
      <c r="E415" s="244">
        <f t="shared" si="43"/>
        <v>10</v>
      </c>
      <c r="G415" s="259" t="str">
        <f t="shared" si="44"/>
        <v>&lt;ct1386&gt;</v>
      </c>
      <c r="H415" s="260">
        <f>VLOOKUP(N415,BCDTK!$E$9:$L$132,4,0)</f>
        <v>0</v>
      </c>
      <c r="I415" s="261" t="str">
        <f t="shared" si="45"/>
        <v>&lt;/ct1386&gt;</v>
      </c>
      <c r="J415" s="262"/>
      <c r="K415" s="262"/>
      <c r="L415" s="262"/>
      <c r="M415" s="263"/>
      <c r="N415" s="265">
        <v>1386</v>
      </c>
    </row>
    <row r="416" spans="1:14" x14ac:dyDescent="0.45">
      <c r="A416" s="253" t="str">
        <f t="shared" si="40"/>
        <v>&lt;ct1388&gt;0&lt;/ct1388&gt;</v>
      </c>
      <c r="B416" s="243" t="s">
        <v>1603</v>
      </c>
      <c r="C416" s="244">
        <f t="shared" si="41"/>
        <v>2</v>
      </c>
      <c r="D416" s="244">
        <f t="shared" si="42"/>
        <v>8</v>
      </c>
      <c r="E416" s="244">
        <f t="shared" si="43"/>
        <v>10</v>
      </c>
      <c r="G416" s="259" t="str">
        <f t="shared" si="44"/>
        <v>&lt;ct1388&gt;</v>
      </c>
      <c r="H416" s="260">
        <f>VLOOKUP(N416,BCDTK!$E$9:$L$132,4,0)</f>
        <v>0</v>
      </c>
      <c r="I416" s="261" t="str">
        <f t="shared" si="45"/>
        <v>&lt;/ct1388&gt;</v>
      </c>
      <c r="J416" s="262"/>
      <c r="K416" s="262"/>
      <c r="L416" s="262"/>
      <c r="M416" s="263"/>
      <c r="N416" s="265">
        <v>1388</v>
      </c>
    </row>
    <row r="417" spans="1:14" x14ac:dyDescent="0.45">
      <c r="A417" s="253" t="str">
        <f t="shared" si="40"/>
        <v>&lt;ct141&gt;0&lt;/ct141&gt;</v>
      </c>
      <c r="B417" s="243" t="s">
        <v>1513</v>
      </c>
      <c r="C417" s="244">
        <f t="shared" si="41"/>
        <v>2</v>
      </c>
      <c r="D417" s="244">
        <f t="shared" si="42"/>
        <v>7</v>
      </c>
      <c r="E417" s="244">
        <f t="shared" si="43"/>
        <v>9</v>
      </c>
      <c r="G417" s="259" t="str">
        <f t="shared" si="44"/>
        <v>&lt;ct141&gt;</v>
      </c>
      <c r="H417" s="260">
        <f>VLOOKUP(N417,BCDTK!$E$9:$L$132,4,0)</f>
        <v>0</v>
      </c>
      <c r="I417" s="261" t="str">
        <f t="shared" si="45"/>
        <v>&lt;/ct141&gt;</v>
      </c>
      <c r="J417" s="262"/>
      <c r="K417" s="262"/>
      <c r="L417" s="262"/>
      <c r="M417" s="263"/>
      <c r="N417" s="265">
        <v>141</v>
      </c>
    </row>
    <row r="418" spans="1:14" x14ac:dyDescent="0.45">
      <c r="A418" s="253" t="str">
        <f t="shared" si="40"/>
        <v>&lt;ct151&gt;0&lt;/ct151&gt;</v>
      </c>
      <c r="B418" s="243" t="s">
        <v>1476</v>
      </c>
      <c r="C418" s="244">
        <f t="shared" si="41"/>
        <v>2</v>
      </c>
      <c r="D418" s="244">
        <f t="shared" si="42"/>
        <v>7</v>
      </c>
      <c r="E418" s="244">
        <f t="shared" si="43"/>
        <v>9</v>
      </c>
      <c r="G418" s="259" t="str">
        <f t="shared" si="44"/>
        <v>&lt;ct151&gt;</v>
      </c>
      <c r="H418" s="260">
        <f>VLOOKUP(N418,BCDTK!$E$9:$L$132,4,0)</f>
        <v>0</v>
      </c>
      <c r="I418" s="261" t="str">
        <f t="shared" si="45"/>
        <v>&lt;/ct151&gt;</v>
      </c>
      <c r="J418" s="262"/>
      <c r="K418" s="262"/>
      <c r="L418" s="262"/>
      <c r="M418" s="263"/>
      <c r="N418" s="265">
        <v>151</v>
      </c>
    </row>
    <row r="419" spans="1:14" x14ac:dyDescent="0.45">
      <c r="A419" s="253" t="str">
        <f t="shared" si="40"/>
        <v>&lt;ct152&gt;0&lt;/ct152&gt;</v>
      </c>
      <c r="B419" s="243" t="s">
        <v>1477</v>
      </c>
      <c r="C419" s="244">
        <f t="shared" si="41"/>
        <v>2</v>
      </c>
      <c r="D419" s="244">
        <f t="shared" si="42"/>
        <v>7</v>
      </c>
      <c r="E419" s="244">
        <f t="shared" si="43"/>
        <v>9</v>
      </c>
      <c r="G419" s="259" t="str">
        <f t="shared" si="44"/>
        <v>&lt;ct152&gt;</v>
      </c>
      <c r="H419" s="260">
        <f>VLOOKUP(N419,BCDTK!$E$9:$L$132,4,0)</f>
        <v>0</v>
      </c>
      <c r="I419" s="261" t="str">
        <f t="shared" si="45"/>
        <v>&lt;/ct152&gt;</v>
      </c>
      <c r="J419" s="262"/>
      <c r="K419" s="262"/>
      <c r="L419" s="262"/>
      <c r="M419" s="263"/>
      <c r="N419" s="265">
        <v>152</v>
      </c>
    </row>
    <row r="420" spans="1:14" x14ac:dyDescent="0.45">
      <c r="A420" s="253" t="str">
        <f t="shared" si="40"/>
        <v>&lt;ct153&gt;0&lt;/ct153&gt;</v>
      </c>
      <c r="B420" s="243" t="s">
        <v>1604</v>
      </c>
      <c r="C420" s="244">
        <f t="shared" si="41"/>
        <v>2</v>
      </c>
      <c r="D420" s="244">
        <f t="shared" si="42"/>
        <v>7</v>
      </c>
      <c r="E420" s="244">
        <f t="shared" si="43"/>
        <v>9</v>
      </c>
      <c r="G420" s="259" t="str">
        <f t="shared" si="44"/>
        <v>&lt;ct153&gt;</v>
      </c>
      <c r="H420" s="260">
        <f>VLOOKUP(N420,BCDTK!$E$9:$L$132,4,0)</f>
        <v>0</v>
      </c>
      <c r="I420" s="261" t="str">
        <f t="shared" si="45"/>
        <v>&lt;/ct153&gt;</v>
      </c>
      <c r="J420" s="262"/>
      <c r="K420" s="262"/>
      <c r="L420" s="262"/>
      <c r="M420" s="263"/>
      <c r="N420" s="265">
        <v>153</v>
      </c>
    </row>
    <row r="421" spans="1:14" x14ac:dyDescent="0.45">
      <c r="A421" s="253" t="str">
        <f t="shared" si="40"/>
        <v>&lt;ct154&gt;0&lt;/ct154&gt;</v>
      </c>
      <c r="B421" s="243" t="s">
        <v>1605</v>
      </c>
      <c r="C421" s="244">
        <f t="shared" si="41"/>
        <v>2</v>
      </c>
      <c r="D421" s="244">
        <f t="shared" si="42"/>
        <v>7</v>
      </c>
      <c r="E421" s="244">
        <f t="shared" si="43"/>
        <v>9</v>
      </c>
      <c r="G421" s="259" t="str">
        <f t="shared" si="44"/>
        <v>&lt;ct154&gt;</v>
      </c>
      <c r="H421" s="260">
        <f>VLOOKUP(N421,BCDTK!$E$9:$L$132,4,0)</f>
        <v>0</v>
      </c>
      <c r="I421" s="261" t="str">
        <f t="shared" si="45"/>
        <v>&lt;/ct154&gt;</v>
      </c>
      <c r="J421" s="262"/>
      <c r="K421" s="262"/>
      <c r="L421" s="262"/>
      <c r="M421" s="263"/>
      <c r="N421" s="265">
        <v>154</v>
      </c>
    </row>
    <row r="422" spans="1:14" x14ac:dyDescent="0.45">
      <c r="A422" s="253" t="str">
        <f t="shared" si="40"/>
        <v>&lt;ct155&gt;0&lt;/ct155&gt;</v>
      </c>
      <c r="B422" s="243" t="s">
        <v>1606</v>
      </c>
      <c r="C422" s="244">
        <f t="shared" si="41"/>
        <v>2</v>
      </c>
      <c r="D422" s="244">
        <f t="shared" si="42"/>
        <v>7</v>
      </c>
      <c r="E422" s="244">
        <f t="shared" si="43"/>
        <v>9</v>
      </c>
      <c r="G422" s="259" t="str">
        <f t="shared" si="44"/>
        <v>&lt;ct155&gt;</v>
      </c>
      <c r="H422" s="260">
        <f>VLOOKUP(N422,BCDTK!$E$9:$L$132,4,0)</f>
        <v>0</v>
      </c>
      <c r="I422" s="261" t="str">
        <f t="shared" si="45"/>
        <v>&lt;/ct155&gt;</v>
      </c>
      <c r="J422" s="262"/>
      <c r="K422" s="262"/>
      <c r="L422" s="262"/>
      <c r="M422" s="263"/>
      <c r="N422" s="265">
        <v>155</v>
      </c>
    </row>
    <row r="423" spans="1:14" x14ac:dyDescent="0.45">
      <c r="A423" s="253" t="str">
        <f t="shared" si="40"/>
        <v>&lt;ct156&gt;0&lt;/ct156&gt;</v>
      </c>
      <c r="B423" s="243" t="s">
        <v>1607</v>
      </c>
      <c r="C423" s="244">
        <f t="shared" si="41"/>
        <v>2</v>
      </c>
      <c r="D423" s="244">
        <f t="shared" si="42"/>
        <v>7</v>
      </c>
      <c r="E423" s="244">
        <f t="shared" si="43"/>
        <v>9</v>
      </c>
      <c r="G423" s="259" t="str">
        <f t="shared" si="44"/>
        <v>&lt;ct156&gt;</v>
      </c>
      <c r="H423" s="260">
        <f>VLOOKUP(N423,BCDTK!$E$9:$L$132,4,0)</f>
        <v>0</v>
      </c>
      <c r="I423" s="261" t="str">
        <f t="shared" si="45"/>
        <v>&lt;/ct156&gt;</v>
      </c>
      <c r="J423" s="262"/>
      <c r="K423" s="262"/>
      <c r="L423" s="262"/>
      <c r="M423" s="263"/>
      <c r="N423" s="265">
        <v>156</v>
      </c>
    </row>
    <row r="424" spans="1:14" x14ac:dyDescent="0.45">
      <c r="A424" s="253" t="str">
        <f t="shared" si="40"/>
        <v>&lt;ct157&gt;0&lt;/ct157&gt;</v>
      </c>
      <c r="B424" s="243" t="s">
        <v>1608</v>
      </c>
      <c r="C424" s="244">
        <f t="shared" si="41"/>
        <v>2</v>
      </c>
      <c r="D424" s="244">
        <f t="shared" si="42"/>
        <v>7</v>
      </c>
      <c r="E424" s="244">
        <f t="shared" si="43"/>
        <v>9</v>
      </c>
      <c r="G424" s="259" t="str">
        <f t="shared" si="44"/>
        <v>&lt;ct157&gt;</v>
      </c>
      <c r="H424" s="260">
        <f>VLOOKUP(N424,BCDTK!$E$9:$L$132,4,0)</f>
        <v>0</v>
      </c>
      <c r="I424" s="261" t="str">
        <f t="shared" si="45"/>
        <v>&lt;/ct157&gt;</v>
      </c>
      <c r="J424" s="262"/>
      <c r="K424" s="262"/>
      <c r="L424" s="262"/>
      <c r="M424" s="263"/>
      <c r="N424" s="265">
        <v>157</v>
      </c>
    </row>
    <row r="425" spans="1:14" x14ac:dyDescent="0.45">
      <c r="A425" s="253" t="str">
        <f t="shared" si="40"/>
        <v>&lt;ct211&gt;0&lt;/ct211&gt;</v>
      </c>
      <c r="B425" s="243" t="s">
        <v>1609</v>
      </c>
      <c r="C425" s="244">
        <f t="shared" si="41"/>
        <v>2</v>
      </c>
      <c r="D425" s="244">
        <f t="shared" si="42"/>
        <v>7</v>
      </c>
      <c r="E425" s="244">
        <f t="shared" si="43"/>
        <v>9</v>
      </c>
      <c r="G425" s="259" t="str">
        <f t="shared" si="44"/>
        <v>&lt;ct211&gt;</v>
      </c>
      <c r="H425" s="260">
        <f>VLOOKUP(N425,BCDTK!$E$9:$L$132,4,0)</f>
        <v>0</v>
      </c>
      <c r="I425" s="261" t="str">
        <f t="shared" si="45"/>
        <v>&lt;/ct211&gt;</v>
      </c>
      <c r="J425" s="262"/>
      <c r="K425" s="262"/>
      <c r="L425" s="262"/>
      <c r="M425" s="263"/>
      <c r="N425" s="265">
        <v>211</v>
      </c>
    </row>
    <row r="426" spans="1:14" x14ac:dyDescent="0.45">
      <c r="A426" s="253" t="str">
        <f t="shared" si="40"/>
        <v>&lt;ct2111&gt;0&lt;/ct2111&gt;</v>
      </c>
      <c r="B426" s="243" t="s">
        <v>1610</v>
      </c>
      <c r="C426" s="244">
        <f t="shared" si="41"/>
        <v>2</v>
      </c>
      <c r="D426" s="244">
        <f t="shared" si="42"/>
        <v>8</v>
      </c>
      <c r="E426" s="244">
        <f t="shared" si="43"/>
        <v>10</v>
      </c>
      <c r="G426" s="259" t="str">
        <f t="shared" si="44"/>
        <v>&lt;ct2111&gt;</v>
      </c>
      <c r="H426" s="260">
        <f>VLOOKUP(N426,BCDTK!$E$9:$L$132,4,0)</f>
        <v>0</v>
      </c>
      <c r="I426" s="261" t="str">
        <f t="shared" si="45"/>
        <v>&lt;/ct2111&gt;</v>
      </c>
      <c r="J426" s="262"/>
      <c r="K426" s="262"/>
      <c r="L426" s="262"/>
      <c r="M426" s="263"/>
      <c r="N426" s="265">
        <v>2111</v>
      </c>
    </row>
    <row r="427" spans="1:14" x14ac:dyDescent="0.45">
      <c r="A427" s="253" t="str">
        <f t="shared" si="40"/>
        <v>&lt;ct2112&gt;0&lt;/ct2112&gt;</v>
      </c>
      <c r="B427" s="243" t="s">
        <v>1611</v>
      </c>
      <c r="C427" s="244">
        <f t="shared" si="41"/>
        <v>2</v>
      </c>
      <c r="D427" s="244">
        <f t="shared" si="42"/>
        <v>8</v>
      </c>
      <c r="E427" s="244">
        <f t="shared" si="43"/>
        <v>10</v>
      </c>
      <c r="G427" s="259" t="str">
        <f t="shared" si="44"/>
        <v>&lt;ct2112&gt;</v>
      </c>
      <c r="H427" s="260">
        <f>VLOOKUP(N427,BCDTK!$E$9:$L$132,4,0)</f>
        <v>0</v>
      </c>
      <c r="I427" s="261" t="str">
        <f t="shared" si="45"/>
        <v>&lt;/ct2112&gt;</v>
      </c>
      <c r="J427" s="262"/>
      <c r="K427" s="262"/>
      <c r="L427" s="262"/>
      <c r="M427" s="263"/>
      <c r="N427" s="265">
        <v>2112</v>
      </c>
    </row>
    <row r="428" spans="1:14" x14ac:dyDescent="0.45">
      <c r="A428" s="253" t="str">
        <f t="shared" si="40"/>
        <v>&lt;ct2113&gt;0&lt;/ct2113&gt;</v>
      </c>
      <c r="B428" s="243" t="s">
        <v>1612</v>
      </c>
      <c r="C428" s="244">
        <f t="shared" si="41"/>
        <v>2</v>
      </c>
      <c r="D428" s="244">
        <f t="shared" si="42"/>
        <v>8</v>
      </c>
      <c r="E428" s="244">
        <f t="shared" si="43"/>
        <v>10</v>
      </c>
      <c r="G428" s="259" t="str">
        <f t="shared" si="44"/>
        <v>&lt;ct2113&gt;</v>
      </c>
      <c r="H428" s="260">
        <f>VLOOKUP(N428,BCDTK!$E$9:$L$132,4,0)</f>
        <v>0</v>
      </c>
      <c r="I428" s="261" t="str">
        <f t="shared" si="45"/>
        <v>&lt;/ct2113&gt;</v>
      </c>
      <c r="J428" s="262"/>
      <c r="K428" s="262"/>
      <c r="L428" s="262"/>
      <c r="M428" s="263"/>
      <c r="N428" s="265">
        <v>2113</v>
      </c>
    </row>
    <row r="429" spans="1:14" x14ac:dyDescent="0.45">
      <c r="A429" s="253" t="str">
        <f t="shared" ref="A429:A492" si="46">CONCATENATE(G429,H429,I429)</f>
        <v>&lt;ct214&gt;0&lt;/ct214&gt;</v>
      </c>
      <c r="B429" s="243" t="s">
        <v>1613</v>
      </c>
      <c r="C429" s="244">
        <f t="shared" si="41"/>
        <v>2</v>
      </c>
      <c r="D429" s="244">
        <f t="shared" si="42"/>
        <v>7</v>
      </c>
      <c r="E429" s="244">
        <f t="shared" si="43"/>
        <v>9</v>
      </c>
      <c r="G429" s="259" t="str">
        <f t="shared" si="44"/>
        <v>&lt;ct214&gt;</v>
      </c>
      <c r="H429" s="260">
        <f>VLOOKUP(N429,BCDTK!$E$9:$L$132,4,0)</f>
        <v>0</v>
      </c>
      <c r="I429" s="261" t="str">
        <f t="shared" si="45"/>
        <v>&lt;/ct214&gt;</v>
      </c>
      <c r="J429" s="262"/>
      <c r="K429" s="262"/>
      <c r="L429" s="262"/>
      <c r="M429" s="263"/>
      <c r="N429" s="265">
        <v>214</v>
      </c>
    </row>
    <row r="430" spans="1:14" x14ac:dyDescent="0.45">
      <c r="A430" s="253" t="str">
        <f t="shared" si="46"/>
        <v>&lt;ct2141&gt;0&lt;/ct2141&gt;</v>
      </c>
      <c r="B430" s="243" t="s">
        <v>1614</v>
      </c>
      <c r="C430" s="244">
        <f t="shared" si="41"/>
        <v>2</v>
      </c>
      <c r="D430" s="244">
        <f t="shared" si="42"/>
        <v>8</v>
      </c>
      <c r="E430" s="244">
        <f t="shared" si="43"/>
        <v>10</v>
      </c>
      <c r="G430" s="259" t="str">
        <f t="shared" si="44"/>
        <v>&lt;ct2141&gt;</v>
      </c>
      <c r="H430" s="260">
        <f>VLOOKUP(N430,BCDTK!$E$9:$L$132,4,0)</f>
        <v>0</v>
      </c>
      <c r="I430" s="261" t="str">
        <f t="shared" si="45"/>
        <v>&lt;/ct2141&gt;</v>
      </c>
      <c r="J430" s="262"/>
      <c r="K430" s="262"/>
      <c r="L430" s="262"/>
      <c r="M430" s="263"/>
      <c r="N430" s="265">
        <v>2141</v>
      </c>
    </row>
    <row r="431" spans="1:14" x14ac:dyDescent="0.45">
      <c r="A431" s="253" t="str">
        <f t="shared" si="46"/>
        <v>&lt;ct2142&gt;0&lt;/ct2142&gt;</v>
      </c>
      <c r="B431" s="243" t="s">
        <v>1615</v>
      </c>
      <c r="C431" s="244">
        <f t="shared" si="41"/>
        <v>2</v>
      </c>
      <c r="D431" s="244">
        <f t="shared" si="42"/>
        <v>8</v>
      </c>
      <c r="E431" s="244">
        <f t="shared" si="43"/>
        <v>10</v>
      </c>
      <c r="G431" s="259" t="str">
        <f t="shared" si="44"/>
        <v>&lt;ct2142&gt;</v>
      </c>
      <c r="H431" s="260">
        <f>VLOOKUP(N431,BCDTK!$E$9:$L$132,4,0)</f>
        <v>0</v>
      </c>
      <c r="I431" s="261" t="str">
        <f t="shared" si="45"/>
        <v>&lt;/ct2142&gt;</v>
      </c>
      <c r="J431" s="262"/>
      <c r="K431" s="262"/>
      <c r="L431" s="262"/>
      <c r="M431" s="263"/>
      <c r="N431" s="265">
        <v>2142</v>
      </c>
    </row>
    <row r="432" spans="1:14" x14ac:dyDescent="0.45">
      <c r="A432" s="253" t="str">
        <f t="shared" si="46"/>
        <v>&lt;ct2143&gt;0&lt;/ct2143&gt;</v>
      </c>
      <c r="B432" s="243" t="s">
        <v>1616</v>
      </c>
      <c r="C432" s="244">
        <f t="shared" si="41"/>
        <v>2</v>
      </c>
      <c r="D432" s="244">
        <f t="shared" si="42"/>
        <v>8</v>
      </c>
      <c r="E432" s="244">
        <f t="shared" si="43"/>
        <v>10</v>
      </c>
      <c r="G432" s="259" t="str">
        <f t="shared" si="44"/>
        <v>&lt;ct2143&gt;</v>
      </c>
      <c r="H432" s="260">
        <f>VLOOKUP(N432,BCDTK!$E$9:$L$132,4,0)</f>
        <v>0</v>
      </c>
      <c r="I432" s="261" t="str">
        <f t="shared" si="45"/>
        <v>&lt;/ct2143&gt;</v>
      </c>
      <c r="J432" s="262"/>
      <c r="K432" s="262"/>
      <c r="L432" s="262"/>
      <c r="M432" s="263"/>
      <c r="N432" s="265">
        <v>2143</v>
      </c>
    </row>
    <row r="433" spans="1:14" x14ac:dyDescent="0.45">
      <c r="A433" s="253" t="str">
        <f t="shared" si="46"/>
        <v>&lt;ct2147&gt;0&lt;/ct2147&gt;</v>
      </c>
      <c r="B433" s="243" t="s">
        <v>1617</v>
      </c>
      <c r="C433" s="244">
        <f t="shared" si="41"/>
        <v>2</v>
      </c>
      <c r="D433" s="244">
        <f t="shared" si="42"/>
        <v>8</v>
      </c>
      <c r="E433" s="244">
        <f t="shared" si="43"/>
        <v>10</v>
      </c>
      <c r="G433" s="259" t="str">
        <f t="shared" si="44"/>
        <v>&lt;ct2147&gt;</v>
      </c>
      <c r="H433" s="260">
        <f>VLOOKUP(N433,BCDTK!$E$9:$L$132,4,0)</f>
        <v>0</v>
      </c>
      <c r="I433" s="261" t="str">
        <f t="shared" si="45"/>
        <v>&lt;/ct2147&gt;</v>
      </c>
      <c r="J433" s="262"/>
      <c r="K433" s="262"/>
      <c r="L433" s="262"/>
      <c r="M433" s="263"/>
      <c r="N433" s="265">
        <v>2147</v>
      </c>
    </row>
    <row r="434" spans="1:14" x14ac:dyDescent="0.45">
      <c r="A434" s="253" t="str">
        <f t="shared" si="46"/>
        <v>&lt;ct217&gt;0&lt;/ct217&gt;</v>
      </c>
      <c r="B434" s="243" t="s">
        <v>1618</v>
      </c>
      <c r="C434" s="244">
        <f t="shared" si="41"/>
        <v>2</v>
      </c>
      <c r="D434" s="244">
        <f t="shared" si="42"/>
        <v>7</v>
      </c>
      <c r="E434" s="244">
        <f t="shared" si="43"/>
        <v>9</v>
      </c>
      <c r="G434" s="259" t="str">
        <f t="shared" si="44"/>
        <v>&lt;ct217&gt;</v>
      </c>
      <c r="H434" s="260">
        <f>VLOOKUP(N434,BCDTK!$E$9:$L$132,4,0)</f>
        <v>0</v>
      </c>
      <c r="I434" s="261" t="str">
        <f t="shared" si="45"/>
        <v>&lt;/ct217&gt;</v>
      </c>
      <c r="J434" s="262"/>
      <c r="K434" s="262"/>
      <c r="L434" s="262"/>
      <c r="M434" s="263"/>
      <c r="N434" s="265">
        <v>217</v>
      </c>
    </row>
    <row r="435" spans="1:14" x14ac:dyDescent="0.45">
      <c r="A435" s="253" t="str">
        <f t="shared" si="46"/>
        <v>&lt;ct228&gt;0&lt;/ct228&gt;</v>
      </c>
      <c r="B435" s="243" t="s">
        <v>1619</v>
      </c>
      <c r="C435" s="244">
        <f t="shared" si="41"/>
        <v>2</v>
      </c>
      <c r="D435" s="244">
        <f t="shared" si="42"/>
        <v>7</v>
      </c>
      <c r="E435" s="244">
        <f t="shared" si="43"/>
        <v>9</v>
      </c>
      <c r="G435" s="259" t="str">
        <f t="shared" si="44"/>
        <v>&lt;ct228&gt;</v>
      </c>
      <c r="H435" s="260">
        <f>VLOOKUP(N435,BCDTK!$E$9:$L$132,4,0)</f>
        <v>0</v>
      </c>
      <c r="I435" s="261" t="str">
        <f t="shared" si="45"/>
        <v>&lt;/ct228&gt;</v>
      </c>
      <c r="J435" s="262"/>
      <c r="K435" s="262"/>
      <c r="L435" s="262"/>
      <c r="M435" s="263"/>
      <c r="N435" s="265">
        <v>228</v>
      </c>
    </row>
    <row r="436" spans="1:14" x14ac:dyDescent="0.45">
      <c r="A436" s="253" t="str">
        <f t="shared" si="46"/>
        <v>&lt;ct2281&gt;0&lt;/ct2281&gt;</v>
      </c>
      <c r="B436" s="243" t="s">
        <v>1620</v>
      </c>
      <c r="C436" s="244">
        <f t="shared" si="41"/>
        <v>2</v>
      </c>
      <c r="D436" s="244">
        <f t="shared" si="42"/>
        <v>8</v>
      </c>
      <c r="E436" s="244">
        <f t="shared" si="43"/>
        <v>10</v>
      </c>
      <c r="G436" s="259" t="str">
        <f t="shared" si="44"/>
        <v>&lt;ct2281&gt;</v>
      </c>
      <c r="H436" s="260">
        <f>VLOOKUP(N436,BCDTK!$E$9:$L$132,4,0)</f>
        <v>0</v>
      </c>
      <c r="I436" s="261" t="str">
        <f t="shared" si="45"/>
        <v>&lt;/ct2281&gt;</v>
      </c>
      <c r="J436" s="262"/>
      <c r="K436" s="262"/>
      <c r="L436" s="262"/>
      <c r="M436" s="263"/>
      <c r="N436" s="265">
        <v>2281</v>
      </c>
    </row>
    <row r="437" spans="1:14" x14ac:dyDescent="0.45">
      <c r="A437" s="253" t="str">
        <f t="shared" si="46"/>
        <v>&lt;ct2288&gt;0&lt;/ct2288&gt;</v>
      </c>
      <c r="B437" s="243" t="s">
        <v>1621</v>
      </c>
      <c r="C437" s="244">
        <f t="shared" si="41"/>
        <v>2</v>
      </c>
      <c r="D437" s="244">
        <f t="shared" si="42"/>
        <v>8</v>
      </c>
      <c r="E437" s="244">
        <f t="shared" si="43"/>
        <v>10</v>
      </c>
      <c r="G437" s="259" t="str">
        <f t="shared" si="44"/>
        <v>&lt;ct2288&gt;</v>
      </c>
      <c r="H437" s="260">
        <f>VLOOKUP(N437,BCDTK!$E$9:$L$132,4,0)</f>
        <v>0</v>
      </c>
      <c r="I437" s="261" t="str">
        <f t="shared" si="45"/>
        <v>&lt;/ct2288&gt;</v>
      </c>
      <c r="J437" s="262"/>
      <c r="K437" s="262"/>
      <c r="L437" s="262"/>
      <c r="M437" s="263"/>
      <c r="N437" s="265">
        <v>2288</v>
      </c>
    </row>
    <row r="438" spans="1:14" x14ac:dyDescent="0.45">
      <c r="A438" s="253" t="str">
        <f t="shared" si="46"/>
        <v>&lt;ct229&gt;0&lt;/ct229&gt;</v>
      </c>
      <c r="B438" s="243" t="s">
        <v>1622</v>
      </c>
      <c r="C438" s="244">
        <f t="shared" si="41"/>
        <v>2</v>
      </c>
      <c r="D438" s="244">
        <f t="shared" si="42"/>
        <v>7</v>
      </c>
      <c r="E438" s="244">
        <f t="shared" si="43"/>
        <v>9</v>
      </c>
      <c r="G438" s="259" t="str">
        <f t="shared" si="44"/>
        <v>&lt;ct229&gt;</v>
      </c>
      <c r="H438" s="260">
        <f>VLOOKUP(N438,BCDTK!$E$9:$L$132,4,0)</f>
        <v>0</v>
      </c>
      <c r="I438" s="261" t="str">
        <f t="shared" si="45"/>
        <v>&lt;/ct229&gt;</v>
      </c>
      <c r="J438" s="262"/>
      <c r="K438" s="262"/>
      <c r="L438" s="262"/>
      <c r="M438" s="263"/>
      <c r="N438" s="265">
        <v>229</v>
      </c>
    </row>
    <row r="439" spans="1:14" x14ac:dyDescent="0.45">
      <c r="A439" s="253" t="str">
        <f t="shared" si="46"/>
        <v>&lt;ct2291&gt;0&lt;/ct2291&gt;</v>
      </c>
      <c r="B439" s="243" t="s">
        <v>1623</v>
      </c>
      <c r="C439" s="244">
        <f t="shared" si="41"/>
        <v>2</v>
      </c>
      <c r="D439" s="244">
        <f t="shared" si="42"/>
        <v>8</v>
      </c>
      <c r="E439" s="244">
        <f t="shared" si="43"/>
        <v>10</v>
      </c>
      <c r="G439" s="259" t="str">
        <f t="shared" si="44"/>
        <v>&lt;ct2291&gt;</v>
      </c>
      <c r="H439" s="260">
        <f>VLOOKUP(N439,BCDTK!$E$9:$L$132,4,0)</f>
        <v>0</v>
      </c>
      <c r="I439" s="261" t="str">
        <f t="shared" si="45"/>
        <v>&lt;/ct2291&gt;</v>
      </c>
      <c r="J439" s="262"/>
      <c r="K439" s="262"/>
      <c r="L439" s="262"/>
      <c r="M439" s="263"/>
      <c r="N439" s="265">
        <v>2291</v>
      </c>
    </row>
    <row r="440" spans="1:14" x14ac:dyDescent="0.45">
      <c r="A440" s="253" t="str">
        <f t="shared" si="46"/>
        <v>&lt;ct2292&gt;0&lt;/ct2292&gt;</v>
      </c>
      <c r="B440" s="243" t="s">
        <v>1624</v>
      </c>
      <c r="C440" s="244">
        <f t="shared" si="41"/>
        <v>2</v>
      </c>
      <c r="D440" s="244">
        <f t="shared" si="42"/>
        <v>8</v>
      </c>
      <c r="E440" s="244">
        <f t="shared" si="43"/>
        <v>10</v>
      </c>
      <c r="G440" s="259" t="str">
        <f t="shared" si="44"/>
        <v>&lt;ct2292&gt;</v>
      </c>
      <c r="H440" s="260">
        <f>VLOOKUP(N440,BCDTK!$E$9:$L$132,4,0)</f>
        <v>0</v>
      </c>
      <c r="I440" s="261" t="str">
        <f t="shared" si="45"/>
        <v>&lt;/ct2292&gt;</v>
      </c>
      <c r="J440" s="262"/>
      <c r="K440" s="262"/>
      <c r="L440" s="262"/>
      <c r="M440" s="263"/>
      <c r="N440" s="265">
        <v>2292</v>
      </c>
    </row>
    <row r="441" spans="1:14" x14ac:dyDescent="0.45">
      <c r="A441" s="253" t="str">
        <f t="shared" si="46"/>
        <v>&lt;ct2293&gt;0&lt;/ct2293&gt;</v>
      </c>
      <c r="B441" s="243" t="s">
        <v>1625</v>
      </c>
      <c r="C441" s="244">
        <f t="shared" si="41"/>
        <v>2</v>
      </c>
      <c r="D441" s="244">
        <f t="shared" si="42"/>
        <v>8</v>
      </c>
      <c r="E441" s="244">
        <f t="shared" si="43"/>
        <v>10</v>
      </c>
      <c r="G441" s="259" t="str">
        <f t="shared" si="44"/>
        <v>&lt;ct2293&gt;</v>
      </c>
      <c r="H441" s="260">
        <f>VLOOKUP(N441,BCDTK!$E$9:$L$132,4,0)</f>
        <v>0</v>
      </c>
      <c r="I441" s="261" t="str">
        <f t="shared" si="45"/>
        <v>&lt;/ct2293&gt;</v>
      </c>
      <c r="J441" s="262"/>
      <c r="K441" s="262"/>
      <c r="L441" s="262"/>
      <c r="M441" s="263"/>
      <c r="N441" s="265">
        <v>2293</v>
      </c>
    </row>
    <row r="442" spans="1:14" x14ac:dyDescent="0.45">
      <c r="A442" s="253" t="str">
        <f t="shared" si="46"/>
        <v>&lt;ct2294&gt;0&lt;/ct2294&gt;</v>
      </c>
      <c r="B442" s="243" t="s">
        <v>1626</v>
      </c>
      <c r="C442" s="244">
        <f t="shared" si="41"/>
        <v>2</v>
      </c>
      <c r="D442" s="244">
        <f t="shared" si="42"/>
        <v>8</v>
      </c>
      <c r="E442" s="244">
        <f t="shared" si="43"/>
        <v>10</v>
      </c>
      <c r="G442" s="259" t="str">
        <f t="shared" si="44"/>
        <v>&lt;ct2294&gt;</v>
      </c>
      <c r="H442" s="260">
        <f>VLOOKUP(N442,BCDTK!$E$9:$L$132,4,0)</f>
        <v>0</v>
      </c>
      <c r="I442" s="261" t="str">
        <f t="shared" si="45"/>
        <v>&lt;/ct2294&gt;</v>
      </c>
      <c r="J442" s="262"/>
      <c r="K442" s="262"/>
      <c r="L442" s="262"/>
      <c r="M442" s="263"/>
      <c r="N442" s="265">
        <v>2294</v>
      </c>
    </row>
    <row r="443" spans="1:14" x14ac:dyDescent="0.45">
      <c r="A443" s="253" t="str">
        <f t="shared" si="46"/>
        <v>&lt;ct241&gt;0&lt;/ct241&gt;</v>
      </c>
      <c r="B443" s="243" t="s">
        <v>1627</v>
      </c>
      <c r="C443" s="244">
        <f t="shared" si="41"/>
        <v>2</v>
      </c>
      <c r="D443" s="244">
        <f t="shared" si="42"/>
        <v>7</v>
      </c>
      <c r="E443" s="244">
        <f t="shared" si="43"/>
        <v>9</v>
      </c>
      <c r="G443" s="259" t="str">
        <f t="shared" si="44"/>
        <v>&lt;ct241&gt;</v>
      </c>
      <c r="H443" s="260">
        <f>VLOOKUP(N443,BCDTK!$E$9:$L$132,4,0)</f>
        <v>0</v>
      </c>
      <c r="I443" s="261" t="str">
        <f t="shared" si="45"/>
        <v>&lt;/ct241&gt;</v>
      </c>
      <c r="J443" s="262"/>
      <c r="K443" s="262"/>
      <c r="L443" s="262"/>
      <c r="M443" s="263"/>
      <c r="N443" s="265">
        <v>241</v>
      </c>
    </row>
    <row r="444" spans="1:14" x14ac:dyDescent="0.45">
      <c r="A444" s="253" t="str">
        <f t="shared" si="46"/>
        <v>&lt;ct2411&gt;0&lt;/ct2411&gt;</v>
      </c>
      <c r="B444" s="243" t="s">
        <v>1628</v>
      </c>
      <c r="C444" s="244">
        <f t="shared" si="41"/>
        <v>2</v>
      </c>
      <c r="D444" s="244">
        <f t="shared" si="42"/>
        <v>8</v>
      </c>
      <c r="E444" s="244">
        <f t="shared" si="43"/>
        <v>10</v>
      </c>
      <c r="G444" s="259" t="str">
        <f t="shared" si="44"/>
        <v>&lt;ct2411&gt;</v>
      </c>
      <c r="H444" s="260">
        <f>VLOOKUP(N444,BCDTK!$E$9:$L$132,4,0)</f>
        <v>0</v>
      </c>
      <c r="I444" s="261" t="str">
        <f t="shared" si="45"/>
        <v>&lt;/ct2411&gt;</v>
      </c>
      <c r="J444" s="262"/>
      <c r="K444" s="262"/>
      <c r="L444" s="262"/>
      <c r="M444" s="263"/>
      <c r="N444" s="265">
        <v>2411</v>
      </c>
    </row>
    <row r="445" spans="1:14" x14ac:dyDescent="0.45">
      <c r="A445" s="253" t="str">
        <f t="shared" si="46"/>
        <v>&lt;ct2412&gt;0&lt;/ct2412&gt;</v>
      </c>
      <c r="B445" s="243" t="s">
        <v>1629</v>
      </c>
      <c r="C445" s="244">
        <f t="shared" si="41"/>
        <v>2</v>
      </c>
      <c r="D445" s="244">
        <f t="shared" si="42"/>
        <v>8</v>
      </c>
      <c r="E445" s="244">
        <f t="shared" si="43"/>
        <v>10</v>
      </c>
      <c r="G445" s="259" t="str">
        <f t="shared" si="44"/>
        <v>&lt;ct2412&gt;</v>
      </c>
      <c r="H445" s="260">
        <f>VLOOKUP(N445,BCDTK!$E$9:$L$132,4,0)</f>
        <v>0</v>
      </c>
      <c r="I445" s="261" t="str">
        <f t="shared" si="45"/>
        <v>&lt;/ct2412&gt;</v>
      </c>
      <c r="J445" s="262"/>
      <c r="K445" s="262"/>
      <c r="L445" s="262"/>
      <c r="M445" s="263"/>
      <c r="N445" s="265">
        <v>2412</v>
      </c>
    </row>
    <row r="446" spans="1:14" x14ac:dyDescent="0.45">
      <c r="A446" s="253" t="str">
        <f t="shared" si="46"/>
        <v>&lt;ct2413&gt;0&lt;/ct2413&gt;</v>
      </c>
      <c r="B446" s="243" t="s">
        <v>1630</v>
      </c>
      <c r="C446" s="244">
        <f t="shared" si="41"/>
        <v>2</v>
      </c>
      <c r="D446" s="244">
        <f t="shared" si="42"/>
        <v>8</v>
      </c>
      <c r="E446" s="244">
        <f t="shared" si="43"/>
        <v>10</v>
      </c>
      <c r="G446" s="259" t="str">
        <f t="shared" si="44"/>
        <v>&lt;ct2413&gt;</v>
      </c>
      <c r="H446" s="260">
        <f>VLOOKUP(N446,BCDTK!$E$9:$L$132,4,0)</f>
        <v>0</v>
      </c>
      <c r="I446" s="261" t="str">
        <f t="shared" si="45"/>
        <v>&lt;/ct2413&gt;</v>
      </c>
      <c r="J446" s="262"/>
      <c r="K446" s="262"/>
      <c r="L446" s="262"/>
      <c r="M446" s="263"/>
      <c r="N446" s="265">
        <v>2413</v>
      </c>
    </row>
    <row r="447" spans="1:14" x14ac:dyDescent="0.45">
      <c r="A447" s="253" t="str">
        <f t="shared" si="46"/>
        <v>&lt;ct242&gt;0&lt;/ct242&gt;</v>
      </c>
      <c r="B447" s="243" t="s">
        <v>1631</v>
      </c>
      <c r="C447" s="244">
        <f t="shared" si="41"/>
        <v>2</v>
      </c>
      <c r="D447" s="244">
        <f t="shared" si="42"/>
        <v>7</v>
      </c>
      <c r="E447" s="244">
        <f t="shared" si="43"/>
        <v>9</v>
      </c>
      <c r="G447" s="259" t="str">
        <f t="shared" si="44"/>
        <v>&lt;ct242&gt;</v>
      </c>
      <c r="H447" s="260">
        <f>VLOOKUP(N447,BCDTK!$E$9:$L$132,4,0)</f>
        <v>0</v>
      </c>
      <c r="I447" s="261" t="str">
        <f t="shared" si="45"/>
        <v>&lt;/ct242&gt;</v>
      </c>
      <c r="J447" s="262"/>
      <c r="K447" s="262"/>
      <c r="L447" s="262"/>
      <c r="M447" s="263"/>
      <c r="N447" s="265">
        <v>242</v>
      </c>
    </row>
    <row r="448" spans="1:14" x14ac:dyDescent="0.45">
      <c r="A448" s="253" t="str">
        <f t="shared" si="46"/>
        <v>&lt;ct331&gt;0&lt;/ct331&gt;</v>
      </c>
      <c r="B448" s="243" t="s">
        <v>1632</v>
      </c>
      <c r="C448" s="244">
        <f t="shared" si="41"/>
        <v>2</v>
      </c>
      <c r="D448" s="244">
        <f t="shared" si="42"/>
        <v>7</v>
      </c>
      <c r="E448" s="244">
        <f t="shared" si="43"/>
        <v>9</v>
      </c>
      <c r="G448" s="259" t="str">
        <f t="shared" si="44"/>
        <v>&lt;ct331&gt;</v>
      </c>
      <c r="H448" s="260">
        <f>VLOOKUP(N448,BCDTK!$E$9:$L$132,4,0)</f>
        <v>0</v>
      </c>
      <c r="I448" s="261" t="str">
        <f t="shared" si="45"/>
        <v>&lt;/ct331&gt;</v>
      </c>
      <c r="J448" s="262"/>
      <c r="K448" s="262"/>
      <c r="L448" s="262"/>
      <c r="M448" s="263"/>
      <c r="N448" s="265">
        <v>331</v>
      </c>
    </row>
    <row r="449" spans="1:14" x14ac:dyDescent="0.45">
      <c r="A449" s="253" t="str">
        <f t="shared" si="46"/>
        <v>&lt;ct333&gt;5015463&lt;/ct333&gt;</v>
      </c>
      <c r="B449" s="243" t="s">
        <v>1633</v>
      </c>
      <c r="C449" s="244">
        <f t="shared" si="41"/>
        <v>2</v>
      </c>
      <c r="D449" s="244">
        <f t="shared" si="42"/>
        <v>7</v>
      </c>
      <c r="E449" s="244">
        <f t="shared" si="43"/>
        <v>9</v>
      </c>
      <c r="G449" s="259" t="str">
        <f t="shared" si="44"/>
        <v>&lt;ct333&gt;</v>
      </c>
      <c r="H449" s="260">
        <f>VLOOKUP(N449,BCDTK!$E$9:$L$132,4,0)</f>
        <v>5015463</v>
      </c>
      <c r="I449" s="261" t="str">
        <f t="shared" si="45"/>
        <v>&lt;/ct333&gt;</v>
      </c>
      <c r="J449" s="262"/>
      <c r="K449" s="262"/>
      <c r="L449" s="262"/>
      <c r="M449" s="263"/>
      <c r="N449" s="265">
        <v>333</v>
      </c>
    </row>
    <row r="450" spans="1:14" x14ac:dyDescent="0.45">
      <c r="A450" s="253" t="str">
        <f t="shared" si="46"/>
        <v>&lt;ct3331&gt;5015463&lt;/ct3331&gt;</v>
      </c>
      <c r="B450" s="243" t="s">
        <v>1634</v>
      </c>
      <c r="C450" s="244">
        <f t="shared" si="41"/>
        <v>2</v>
      </c>
      <c r="D450" s="244">
        <f t="shared" si="42"/>
        <v>8</v>
      </c>
      <c r="E450" s="244">
        <f t="shared" si="43"/>
        <v>10</v>
      </c>
      <c r="G450" s="259" t="str">
        <f t="shared" si="44"/>
        <v>&lt;ct3331&gt;</v>
      </c>
      <c r="H450" s="260">
        <f>VLOOKUP(N450,BCDTK!$E$9:$L$132,4,0)</f>
        <v>5015463</v>
      </c>
      <c r="I450" s="261" t="str">
        <f t="shared" si="45"/>
        <v>&lt;/ct3331&gt;</v>
      </c>
      <c r="J450" s="262"/>
      <c r="K450" s="262"/>
      <c r="L450" s="262"/>
      <c r="M450" s="263"/>
      <c r="N450" s="265">
        <v>3331</v>
      </c>
    </row>
    <row r="451" spans="1:14" x14ac:dyDescent="0.45">
      <c r="A451" s="253" t="str">
        <f t="shared" si="46"/>
        <v>&lt;ct33311&gt;5015463&lt;/ct33311&gt;</v>
      </c>
      <c r="B451" s="243" t="s">
        <v>1635</v>
      </c>
      <c r="C451" s="244">
        <f t="shared" si="41"/>
        <v>2</v>
      </c>
      <c r="D451" s="244">
        <f t="shared" si="42"/>
        <v>9</v>
      </c>
      <c r="E451" s="244">
        <f t="shared" si="43"/>
        <v>11</v>
      </c>
      <c r="G451" s="259" t="str">
        <f t="shared" si="44"/>
        <v>&lt;ct33311&gt;</v>
      </c>
      <c r="H451" s="260">
        <f>VLOOKUP(N451,BCDTK!$E$9:$L$132,4,0)</f>
        <v>5015463</v>
      </c>
      <c r="I451" s="261" t="str">
        <f t="shared" si="45"/>
        <v>&lt;/ct33311&gt;</v>
      </c>
      <c r="J451" s="262"/>
      <c r="K451" s="262"/>
      <c r="L451" s="262"/>
      <c r="M451" s="263"/>
      <c r="N451" s="265">
        <v>33311</v>
      </c>
    </row>
    <row r="452" spans="1:14" x14ac:dyDescent="0.45">
      <c r="A452" s="253" t="str">
        <f t="shared" si="46"/>
        <v>&lt;ct33312&gt;0&lt;/ct33312&gt;</v>
      </c>
      <c r="B452" s="243" t="s">
        <v>1636</v>
      </c>
      <c r="C452" s="244">
        <f t="shared" si="41"/>
        <v>2</v>
      </c>
      <c r="D452" s="244">
        <f t="shared" si="42"/>
        <v>9</v>
      </c>
      <c r="E452" s="244">
        <f t="shared" si="43"/>
        <v>11</v>
      </c>
      <c r="G452" s="259" t="str">
        <f t="shared" si="44"/>
        <v>&lt;ct33312&gt;</v>
      </c>
      <c r="H452" s="260">
        <f>VLOOKUP(N452,BCDTK!$E$9:$L$132,4,0)</f>
        <v>0</v>
      </c>
      <c r="I452" s="261" t="str">
        <f t="shared" si="45"/>
        <v>&lt;/ct33312&gt;</v>
      </c>
      <c r="J452" s="262"/>
      <c r="K452" s="262"/>
      <c r="L452" s="262"/>
      <c r="M452" s="263"/>
      <c r="N452" s="265">
        <v>33312</v>
      </c>
    </row>
    <row r="453" spans="1:14" x14ac:dyDescent="0.45">
      <c r="A453" s="253" t="str">
        <f t="shared" si="46"/>
        <v>&lt;ct3332&gt;0&lt;/ct3332&gt;</v>
      </c>
      <c r="B453" s="243" t="s">
        <v>1637</v>
      </c>
      <c r="C453" s="244">
        <f t="shared" si="41"/>
        <v>2</v>
      </c>
      <c r="D453" s="244">
        <f t="shared" si="42"/>
        <v>8</v>
      </c>
      <c r="E453" s="244">
        <f t="shared" si="43"/>
        <v>10</v>
      </c>
      <c r="G453" s="259" t="str">
        <f t="shared" si="44"/>
        <v>&lt;ct3332&gt;</v>
      </c>
      <c r="H453" s="260">
        <f>VLOOKUP(N453,BCDTK!$E$9:$L$132,4,0)</f>
        <v>0</v>
      </c>
      <c r="I453" s="261" t="str">
        <f t="shared" si="45"/>
        <v>&lt;/ct3332&gt;</v>
      </c>
      <c r="J453" s="262"/>
      <c r="K453" s="262"/>
      <c r="L453" s="262"/>
      <c r="M453" s="263"/>
      <c r="N453" s="265">
        <v>3332</v>
      </c>
    </row>
    <row r="454" spans="1:14" x14ac:dyDescent="0.45">
      <c r="A454" s="253" t="str">
        <f t="shared" si="46"/>
        <v>&lt;ct3333&gt;0&lt;/ct3333&gt;</v>
      </c>
      <c r="B454" s="243" t="s">
        <v>1638</v>
      </c>
      <c r="C454" s="244">
        <f t="shared" si="41"/>
        <v>2</v>
      </c>
      <c r="D454" s="244">
        <f t="shared" si="42"/>
        <v>8</v>
      </c>
      <c r="E454" s="244">
        <f t="shared" si="43"/>
        <v>10</v>
      </c>
      <c r="G454" s="259" t="str">
        <f t="shared" si="44"/>
        <v>&lt;ct3333&gt;</v>
      </c>
      <c r="H454" s="260">
        <f>VLOOKUP(N454,BCDTK!$E$9:$L$132,4,0)</f>
        <v>0</v>
      </c>
      <c r="I454" s="261" t="str">
        <f t="shared" si="45"/>
        <v>&lt;/ct3333&gt;</v>
      </c>
      <c r="J454" s="262"/>
      <c r="K454" s="262"/>
      <c r="L454" s="262"/>
      <c r="M454" s="263"/>
      <c r="N454" s="265">
        <v>3333</v>
      </c>
    </row>
    <row r="455" spans="1:14" x14ac:dyDescent="0.45">
      <c r="A455" s="253" t="str">
        <f t="shared" si="46"/>
        <v>&lt;ct3334&gt;0&lt;/ct3334&gt;</v>
      </c>
      <c r="B455" s="243" t="s">
        <v>1639</v>
      </c>
      <c r="C455" s="244">
        <f t="shared" si="41"/>
        <v>2</v>
      </c>
      <c r="D455" s="244">
        <f t="shared" si="42"/>
        <v>8</v>
      </c>
      <c r="E455" s="244">
        <f t="shared" si="43"/>
        <v>10</v>
      </c>
      <c r="G455" s="259" t="str">
        <f t="shared" si="44"/>
        <v>&lt;ct3334&gt;</v>
      </c>
      <c r="H455" s="260">
        <f>VLOOKUP(N455,BCDTK!$E$9:$L$132,4,0)</f>
        <v>0</v>
      </c>
      <c r="I455" s="261" t="str">
        <f t="shared" si="45"/>
        <v>&lt;/ct3334&gt;</v>
      </c>
      <c r="J455" s="262"/>
      <c r="K455" s="262"/>
      <c r="L455" s="262"/>
      <c r="M455" s="263"/>
      <c r="N455" s="265">
        <v>3334</v>
      </c>
    </row>
    <row r="456" spans="1:14" x14ac:dyDescent="0.45">
      <c r="A456" s="253" t="str">
        <f t="shared" si="46"/>
        <v>&lt;ct3335&gt;0&lt;/ct3335&gt;</v>
      </c>
      <c r="B456" s="243" t="s">
        <v>1640</v>
      </c>
      <c r="C456" s="244">
        <f t="shared" si="41"/>
        <v>2</v>
      </c>
      <c r="D456" s="244">
        <f t="shared" si="42"/>
        <v>8</v>
      </c>
      <c r="E456" s="244">
        <f t="shared" si="43"/>
        <v>10</v>
      </c>
      <c r="G456" s="259" t="str">
        <f t="shared" si="44"/>
        <v>&lt;ct3335&gt;</v>
      </c>
      <c r="H456" s="260">
        <f>VLOOKUP(N456,BCDTK!$E$9:$L$132,4,0)</f>
        <v>0</v>
      </c>
      <c r="I456" s="261" t="str">
        <f t="shared" si="45"/>
        <v>&lt;/ct3335&gt;</v>
      </c>
      <c r="J456" s="262"/>
      <c r="K456" s="262"/>
      <c r="L456" s="262"/>
      <c r="M456" s="263"/>
      <c r="N456" s="265">
        <v>3335</v>
      </c>
    </row>
    <row r="457" spans="1:14" x14ac:dyDescent="0.45">
      <c r="A457" s="253" t="str">
        <f t="shared" si="46"/>
        <v>&lt;ct3336&gt;0&lt;/ct3336&gt;</v>
      </c>
      <c r="B457" s="243" t="s">
        <v>1641</v>
      </c>
      <c r="C457" s="244">
        <f t="shared" si="41"/>
        <v>2</v>
      </c>
      <c r="D457" s="244">
        <f t="shared" si="42"/>
        <v>8</v>
      </c>
      <c r="E457" s="244">
        <f t="shared" si="43"/>
        <v>10</v>
      </c>
      <c r="G457" s="259" t="str">
        <f t="shared" si="44"/>
        <v>&lt;ct3336&gt;</v>
      </c>
      <c r="H457" s="260">
        <f>VLOOKUP(N457,BCDTK!$E$9:$L$132,4,0)</f>
        <v>0</v>
      </c>
      <c r="I457" s="261" t="str">
        <f t="shared" si="45"/>
        <v>&lt;/ct3336&gt;</v>
      </c>
      <c r="J457" s="262"/>
      <c r="K457" s="262"/>
      <c r="L457" s="262"/>
      <c r="M457" s="263"/>
      <c r="N457" s="265">
        <v>3336</v>
      </c>
    </row>
    <row r="458" spans="1:14" x14ac:dyDescent="0.45">
      <c r="A458" s="253" t="str">
        <f t="shared" si="46"/>
        <v>&lt;ct3337&gt;0&lt;/ct3337&gt;</v>
      </c>
      <c r="B458" s="243" t="s">
        <v>1642</v>
      </c>
      <c r="C458" s="244">
        <f t="shared" si="41"/>
        <v>2</v>
      </c>
      <c r="D458" s="244">
        <f t="shared" si="42"/>
        <v>8</v>
      </c>
      <c r="E458" s="244">
        <f t="shared" si="43"/>
        <v>10</v>
      </c>
      <c r="G458" s="259" t="str">
        <f t="shared" si="44"/>
        <v>&lt;ct3337&gt;</v>
      </c>
      <c r="H458" s="260">
        <f>VLOOKUP(N458,BCDTK!$E$9:$L$132,4,0)</f>
        <v>0</v>
      </c>
      <c r="I458" s="261" t="str">
        <f t="shared" si="45"/>
        <v>&lt;/ct3337&gt;</v>
      </c>
      <c r="J458" s="262"/>
      <c r="K458" s="262"/>
      <c r="L458" s="262"/>
      <c r="M458" s="263"/>
      <c r="N458" s="265">
        <v>3337</v>
      </c>
    </row>
    <row r="459" spans="1:14" x14ac:dyDescent="0.45">
      <c r="A459" s="253" t="str">
        <f t="shared" si="46"/>
        <v>&lt;ct3338&gt;0&lt;/ct3338&gt;</v>
      </c>
      <c r="B459" s="243" t="s">
        <v>1643</v>
      </c>
      <c r="C459" s="244">
        <f t="shared" si="41"/>
        <v>2</v>
      </c>
      <c r="D459" s="244">
        <f t="shared" si="42"/>
        <v>8</v>
      </c>
      <c r="E459" s="244">
        <f t="shared" si="43"/>
        <v>10</v>
      </c>
      <c r="G459" s="259" t="str">
        <f t="shared" si="44"/>
        <v>&lt;ct3338&gt;</v>
      </c>
      <c r="H459" s="260">
        <f>VLOOKUP(N459,BCDTK!$E$9:$L$132,4,0)</f>
        <v>0</v>
      </c>
      <c r="I459" s="261" t="str">
        <f t="shared" si="45"/>
        <v>&lt;/ct3338&gt;</v>
      </c>
      <c r="J459" s="262"/>
      <c r="K459" s="262"/>
      <c r="L459" s="262"/>
      <c r="M459" s="263"/>
      <c r="N459" s="265">
        <v>3338</v>
      </c>
    </row>
    <row r="460" spans="1:14" x14ac:dyDescent="0.45">
      <c r="A460" s="253" t="str">
        <f t="shared" si="46"/>
        <v>&lt;ct33381&gt;0&lt;/ct33381&gt;</v>
      </c>
      <c r="B460" s="243" t="s">
        <v>1644</v>
      </c>
      <c r="C460" s="244">
        <f t="shared" si="41"/>
        <v>2</v>
      </c>
      <c r="D460" s="244">
        <f t="shared" si="42"/>
        <v>9</v>
      </c>
      <c r="E460" s="244">
        <f t="shared" si="43"/>
        <v>11</v>
      </c>
      <c r="G460" s="259" t="str">
        <f t="shared" si="44"/>
        <v>&lt;ct33381&gt;</v>
      </c>
      <c r="H460" s="260">
        <f>VLOOKUP(N460,BCDTK!$E$9:$L$132,4,0)</f>
        <v>0</v>
      </c>
      <c r="I460" s="261" t="str">
        <f t="shared" si="45"/>
        <v>&lt;/ct33381&gt;</v>
      </c>
      <c r="J460" s="262"/>
      <c r="K460" s="262"/>
      <c r="L460" s="262"/>
      <c r="M460" s="263"/>
      <c r="N460" s="265">
        <v>33381</v>
      </c>
    </row>
    <row r="461" spans="1:14" x14ac:dyDescent="0.45">
      <c r="A461" s="253" t="str">
        <f t="shared" si="46"/>
        <v>&lt;ct33382&gt;0&lt;/ct33382&gt;</v>
      </c>
      <c r="B461" s="243" t="s">
        <v>1645</v>
      </c>
      <c r="C461" s="244">
        <f t="shared" si="41"/>
        <v>2</v>
      </c>
      <c r="D461" s="244">
        <f t="shared" si="42"/>
        <v>9</v>
      </c>
      <c r="E461" s="244">
        <f t="shared" si="43"/>
        <v>11</v>
      </c>
      <c r="G461" s="259" t="str">
        <f t="shared" si="44"/>
        <v>&lt;ct33382&gt;</v>
      </c>
      <c r="H461" s="260">
        <f>VLOOKUP(N461,BCDTK!$E$9:$L$132,4,0)</f>
        <v>0</v>
      </c>
      <c r="I461" s="261" t="str">
        <f t="shared" si="45"/>
        <v>&lt;/ct33382&gt;</v>
      </c>
      <c r="J461" s="262"/>
      <c r="K461" s="262"/>
      <c r="L461" s="262"/>
      <c r="M461" s="263"/>
      <c r="N461" s="265">
        <v>33382</v>
      </c>
    </row>
    <row r="462" spans="1:14" x14ac:dyDescent="0.45">
      <c r="A462" s="253" t="str">
        <f t="shared" si="46"/>
        <v>&lt;ct3339&gt;0&lt;/ct3339&gt;</v>
      </c>
      <c r="B462" s="243" t="s">
        <v>1646</v>
      </c>
      <c r="C462" s="244">
        <f t="shared" si="41"/>
        <v>2</v>
      </c>
      <c r="D462" s="244">
        <f t="shared" si="42"/>
        <v>8</v>
      </c>
      <c r="E462" s="244">
        <f t="shared" si="43"/>
        <v>10</v>
      </c>
      <c r="G462" s="259" t="str">
        <f t="shared" si="44"/>
        <v>&lt;ct3339&gt;</v>
      </c>
      <c r="H462" s="260">
        <f>VLOOKUP(N462,BCDTK!$E$9:$L$132,4,0)</f>
        <v>0</v>
      </c>
      <c r="I462" s="261" t="str">
        <f t="shared" si="45"/>
        <v>&lt;/ct3339&gt;</v>
      </c>
      <c r="J462" s="262"/>
      <c r="K462" s="262"/>
      <c r="L462" s="262"/>
      <c r="M462" s="263"/>
      <c r="N462" s="265">
        <v>3339</v>
      </c>
    </row>
    <row r="463" spans="1:14" x14ac:dyDescent="0.45">
      <c r="A463" s="253" t="str">
        <f t="shared" si="46"/>
        <v>&lt;ct334&gt;0&lt;/ct334&gt;</v>
      </c>
      <c r="B463" s="243" t="s">
        <v>1647</v>
      </c>
      <c r="C463" s="244">
        <f t="shared" si="41"/>
        <v>2</v>
      </c>
      <c r="D463" s="244">
        <f t="shared" si="42"/>
        <v>7</v>
      </c>
      <c r="E463" s="244">
        <f t="shared" si="43"/>
        <v>9</v>
      </c>
      <c r="G463" s="259" t="str">
        <f t="shared" si="44"/>
        <v>&lt;ct334&gt;</v>
      </c>
      <c r="H463" s="260">
        <f>VLOOKUP(N463,BCDTK!$E$9:$L$132,4,0)</f>
        <v>0</v>
      </c>
      <c r="I463" s="261" t="str">
        <f t="shared" si="45"/>
        <v>&lt;/ct334&gt;</v>
      </c>
      <c r="J463" s="262"/>
      <c r="K463" s="262"/>
      <c r="L463" s="262"/>
      <c r="M463" s="263"/>
      <c r="N463" s="265">
        <v>334</v>
      </c>
    </row>
    <row r="464" spans="1:14" x14ac:dyDescent="0.45">
      <c r="A464" s="253" t="str">
        <f t="shared" si="46"/>
        <v>&lt;ct335&gt;0&lt;/ct335&gt;</v>
      </c>
      <c r="B464" s="243" t="s">
        <v>1648</v>
      </c>
      <c r="C464" s="244">
        <f t="shared" si="41"/>
        <v>2</v>
      </c>
      <c r="D464" s="244">
        <f t="shared" si="42"/>
        <v>7</v>
      </c>
      <c r="E464" s="244">
        <f t="shared" si="43"/>
        <v>9</v>
      </c>
      <c r="G464" s="259" t="str">
        <f t="shared" si="44"/>
        <v>&lt;ct335&gt;</v>
      </c>
      <c r="H464" s="260">
        <f>VLOOKUP(N464,BCDTK!$E$9:$L$132,4,0)</f>
        <v>0</v>
      </c>
      <c r="I464" s="261" t="str">
        <f t="shared" si="45"/>
        <v>&lt;/ct335&gt;</v>
      </c>
      <c r="J464" s="262"/>
      <c r="K464" s="262"/>
      <c r="L464" s="262"/>
      <c r="M464" s="263"/>
      <c r="N464" s="265">
        <v>335</v>
      </c>
    </row>
    <row r="465" spans="1:14" x14ac:dyDescent="0.45">
      <c r="A465" s="253" t="str">
        <f t="shared" si="46"/>
        <v>&lt;ct336&gt;0&lt;/ct336&gt;</v>
      </c>
      <c r="B465" s="243" t="s">
        <v>1649</v>
      </c>
      <c r="C465" s="244">
        <f t="shared" si="41"/>
        <v>2</v>
      </c>
      <c r="D465" s="244">
        <f t="shared" si="42"/>
        <v>7</v>
      </c>
      <c r="E465" s="244">
        <f t="shared" si="43"/>
        <v>9</v>
      </c>
      <c r="G465" s="259" t="str">
        <f t="shared" si="44"/>
        <v>&lt;ct336&gt;</v>
      </c>
      <c r="H465" s="260">
        <f>VLOOKUP(N465,BCDTK!$E$9:$L$132,4,0)</f>
        <v>0</v>
      </c>
      <c r="I465" s="261" t="str">
        <f t="shared" si="45"/>
        <v>&lt;/ct336&gt;</v>
      </c>
      <c r="J465" s="262"/>
      <c r="K465" s="262"/>
      <c r="L465" s="262"/>
      <c r="M465" s="263"/>
      <c r="N465" s="265">
        <v>336</v>
      </c>
    </row>
    <row r="466" spans="1:14" x14ac:dyDescent="0.45">
      <c r="A466" s="253" t="str">
        <f t="shared" si="46"/>
        <v>&lt;ct3361&gt;0&lt;/ct3361&gt;</v>
      </c>
      <c r="B466" s="243" t="s">
        <v>1650</v>
      </c>
      <c r="C466" s="244">
        <f t="shared" si="41"/>
        <v>2</v>
      </c>
      <c r="D466" s="244">
        <f t="shared" si="42"/>
        <v>8</v>
      </c>
      <c r="E466" s="244">
        <f t="shared" si="43"/>
        <v>10</v>
      </c>
      <c r="G466" s="259" t="str">
        <f t="shared" si="44"/>
        <v>&lt;ct3361&gt;</v>
      </c>
      <c r="H466" s="260">
        <f>VLOOKUP(N466,BCDTK!$E$9:$L$132,4,0)</f>
        <v>0</v>
      </c>
      <c r="I466" s="261" t="str">
        <f t="shared" si="45"/>
        <v>&lt;/ct3361&gt;</v>
      </c>
      <c r="J466" s="262"/>
      <c r="K466" s="262"/>
      <c r="L466" s="262"/>
      <c r="M466" s="263"/>
      <c r="N466" s="265">
        <v>3361</v>
      </c>
    </row>
    <row r="467" spans="1:14" x14ac:dyDescent="0.45">
      <c r="A467" s="253" t="str">
        <f t="shared" si="46"/>
        <v>&lt;ct3368&gt;0&lt;/ct3368&gt;</v>
      </c>
      <c r="B467" s="243" t="s">
        <v>1651</v>
      </c>
      <c r="C467" s="244">
        <f t="shared" si="41"/>
        <v>2</v>
      </c>
      <c r="D467" s="244">
        <f t="shared" si="42"/>
        <v>8</v>
      </c>
      <c r="E467" s="244">
        <f t="shared" si="43"/>
        <v>10</v>
      </c>
      <c r="G467" s="259" t="str">
        <f t="shared" si="44"/>
        <v>&lt;ct3368&gt;</v>
      </c>
      <c r="H467" s="260">
        <f>VLOOKUP(N467,BCDTK!$E$9:$L$132,4,0)</f>
        <v>0</v>
      </c>
      <c r="I467" s="261" t="str">
        <f t="shared" si="45"/>
        <v>&lt;/ct3368&gt;</v>
      </c>
      <c r="J467" s="262"/>
      <c r="K467" s="262"/>
      <c r="L467" s="262"/>
      <c r="M467" s="263"/>
      <c r="N467" s="265">
        <v>3368</v>
      </c>
    </row>
    <row r="468" spans="1:14" x14ac:dyDescent="0.45">
      <c r="A468" s="253" t="str">
        <f t="shared" si="46"/>
        <v>&lt;ct338&gt;0&lt;/ct338&gt;</v>
      </c>
      <c r="B468" s="243" t="s">
        <v>1652</v>
      </c>
      <c r="C468" s="244">
        <f t="shared" si="41"/>
        <v>2</v>
      </c>
      <c r="D468" s="244">
        <f t="shared" si="42"/>
        <v>7</v>
      </c>
      <c r="E468" s="244">
        <f t="shared" si="43"/>
        <v>9</v>
      </c>
      <c r="G468" s="259" t="str">
        <f t="shared" si="44"/>
        <v>&lt;ct338&gt;</v>
      </c>
      <c r="H468" s="260">
        <f>VLOOKUP(N468,BCDTK!$E$9:$L$132,4,0)</f>
        <v>0</v>
      </c>
      <c r="I468" s="261" t="str">
        <f t="shared" si="45"/>
        <v>&lt;/ct338&gt;</v>
      </c>
      <c r="J468" s="262"/>
      <c r="K468" s="262"/>
      <c r="L468" s="262"/>
      <c r="M468" s="263"/>
      <c r="N468" s="265">
        <v>338</v>
      </c>
    </row>
    <row r="469" spans="1:14" x14ac:dyDescent="0.45">
      <c r="A469" s="253" t="str">
        <f t="shared" si="46"/>
        <v>&lt;ct3381&gt;0&lt;/ct3381&gt;</v>
      </c>
      <c r="B469" s="243" t="s">
        <v>1653</v>
      </c>
      <c r="C469" s="244">
        <f t="shared" si="41"/>
        <v>2</v>
      </c>
      <c r="D469" s="244">
        <f t="shared" si="42"/>
        <v>8</v>
      </c>
      <c r="E469" s="244">
        <f t="shared" si="43"/>
        <v>10</v>
      </c>
      <c r="G469" s="259" t="str">
        <f t="shared" si="44"/>
        <v>&lt;ct3381&gt;</v>
      </c>
      <c r="H469" s="260">
        <f>VLOOKUP(N469,BCDTK!$E$9:$L$132,4,0)</f>
        <v>0</v>
      </c>
      <c r="I469" s="261" t="str">
        <f t="shared" si="45"/>
        <v>&lt;/ct3381&gt;</v>
      </c>
      <c r="J469" s="262"/>
      <c r="K469" s="262"/>
      <c r="L469" s="262"/>
      <c r="M469" s="263"/>
      <c r="N469" s="265">
        <v>3381</v>
      </c>
    </row>
    <row r="470" spans="1:14" x14ac:dyDescent="0.45">
      <c r="A470" s="253" t="str">
        <f t="shared" si="46"/>
        <v>&lt;ct3382&gt;0&lt;/ct3382&gt;</v>
      </c>
      <c r="B470" s="243" t="s">
        <v>1654</v>
      </c>
      <c r="C470" s="244">
        <f t="shared" si="41"/>
        <v>2</v>
      </c>
      <c r="D470" s="244">
        <f t="shared" si="42"/>
        <v>8</v>
      </c>
      <c r="E470" s="244">
        <f t="shared" si="43"/>
        <v>10</v>
      </c>
      <c r="G470" s="259" t="str">
        <f t="shared" si="44"/>
        <v>&lt;ct3382&gt;</v>
      </c>
      <c r="H470" s="260">
        <f>VLOOKUP(N470,BCDTK!$E$9:$L$132,4,0)</f>
        <v>0</v>
      </c>
      <c r="I470" s="261" t="str">
        <f t="shared" si="45"/>
        <v>&lt;/ct3382&gt;</v>
      </c>
      <c r="J470" s="262"/>
      <c r="K470" s="262"/>
      <c r="L470" s="262"/>
      <c r="M470" s="263"/>
      <c r="N470" s="265">
        <v>3382</v>
      </c>
    </row>
    <row r="471" spans="1:14" x14ac:dyDescent="0.45">
      <c r="A471" s="253" t="str">
        <f t="shared" si="46"/>
        <v>&lt;ct3383&gt;0&lt;/ct3383&gt;</v>
      </c>
      <c r="B471" s="243" t="s">
        <v>1655</v>
      </c>
      <c r="C471" s="244">
        <f t="shared" si="41"/>
        <v>2</v>
      </c>
      <c r="D471" s="244">
        <f t="shared" si="42"/>
        <v>8</v>
      </c>
      <c r="E471" s="244">
        <f t="shared" si="43"/>
        <v>10</v>
      </c>
      <c r="G471" s="259" t="str">
        <f t="shared" si="44"/>
        <v>&lt;ct3383&gt;</v>
      </c>
      <c r="H471" s="260">
        <f>VLOOKUP(N471,BCDTK!$E$9:$L$132,4,0)</f>
        <v>0</v>
      </c>
      <c r="I471" s="261" t="str">
        <f t="shared" si="45"/>
        <v>&lt;/ct3383&gt;</v>
      </c>
      <c r="J471" s="262"/>
      <c r="K471" s="262"/>
      <c r="L471" s="262"/>
      <c r="M471" s="263"/>
      <c r="N471" s="265">
        <v>3383</v>
      </c>
    </row>
    <row r="472" spans="1:14" x14ac:dyDescent="0.45">
      <c r="A472" s="253" t="str">
        <f t="shared" si="46"/>
        <v>&lt;ct3384&gt;0&lt;/ct3384&gt;</v>
      </c>
      <c r="B472" s="243" t="s">
        <v>1656</v>
      </c>
      <c r="C472" s="244">
        <f t="shared" si="41"/>
        <v>2</v>
      </c>
      <c r="D472" s="244">
        <f t="shared" si="42"/>
        <v>8</v>
      </c>
      <c r="E472" s="244">
        <f t="shared" si="43"/>
        <v>10</v>
      </c>
      <c r="G472" s="259" t="str">
        <f t="shared" si="44"/>
        <v>&lt;ct3384&gt;</v>
      </c>
      <c r="H472" s="260">
        <f>VLOOKUP(N472,BCDTK!$E$9:$L$132,4,0)</f>
        <v>0</v>
      </c>
      <c r="I472" s="261" t="str">
        <f t="shared" si="45"/>
        <v>&lt;/ct3384&gt;</v>
      </c>
      <c r="J472" s="262"/>
      <c r="K472" s="262"/>
      <c r="L472" s="262"/>
      <c r="M472" s="263"/>
      <c r="N472" s="265">
        <v>3384</v>
      </c>
    </row>
    <row r="473" spans="1:14" x14ac:dyDescent="0.45">
      <c r="A473" s="253" t="str">
        <f t="shared" si="46"/>
        <v>&lt;ct3385&gt;0&lt;/ct3385&gt;</v>
      </c>
      <c r="B473" s="243" t="s">
        <v>1657</v>
      </c>
      <c r="C473" s="244">
        <f t="shared" ref="C473:C536" si="47">LEN(B473)-LEN(SUBSTITUTE(B473,"&lt;",""))</f>
        <v>2</v>
      </c>
      <c r="D473" s="244">
        <f t="shared" ref="D473:D536" si="48">SEARCH("&gt;",B473)</f>
        <v>8</v>
      </c>
      <c r="E473" s="244">
        <f t="shared" ref="E473:E536" si="49">IFERROR(SEARCH("&lt;/",B473),"")</f>
        <v>10</v>
      </c>
      <c r="G473" s="259" t="str">
        <f t="shared" ref="G473:G536" si="50">LEFT(B473,D473)</f>
        <v>&lt;ct3385&gt;</v>
      </c>
      <c r="H473" s="260">
        <f>VLOOKUP(N473,BCDTK!$E$9:$L$132,4,0)</f>
        <v>0</v>
      </c>
      <c r="I473" s="261" t="str">
        <f t="shared" ref="I473:I536" si="51">IF(C473=2,RIGHT(B473,LEN(B473)-E473+1),"")</f>
        <v>&lt;/ct3385&gt;</v>
      </c>
      <c r="J473" s="262"/>
      <c r="K473" s="262"/>
      <c r="L473" s="262"/>
      <c r="M473" s="263"/>
      <c r="N473" s="265">
        <v>3385</v>
      </c>
    </row>
    <row r="474" spans="1:14" x14ac:dyDescent="0.45">
      <c r="A474" s="253" t="str">
        <f t="shared" si="46"/>
        <v>&lt;ct3386&gt;0&lt;/ct3386&gt;</v>
      </c>
      <c r="B474" s="243" t="s">
        <v>1658</v>
      </c>
      <c r="C474" s="244">
        <f t="shared" si="47"/>
        <v>2</v>
      </c>
      <c r="D474" s="244">
        <f t="shared" si="48"/>
        <v>8</v>
      </c>
      <c r="E474" s="244">
        <f t="shared" si="49"/>
        <v>10</v>
      </c>
      <c r="G474" s="259" t="str">
        <f t="shared" si="50"/>
        <v>&lt;ct3386&gt;</v>
      </c>
      <c r="H474" s="260">
        <f>VLOOKUP(N474,BCDTK!$E$9:$L$132,4,0)</f>
        <v>0</v>
      </c>
      <c r="I474" s="261" t="str">
        <f t="shared" si="51"/>
        <v>&lt;/ct3386&gt;</v>
      </c>
      <c r="J474" s="262"/>
      <c r="K474" s="262"/>
      <c r="L474" s="262"/>
      <c r="M474" s="263"/>
      <c r="N474" s="265">
        <v>3386</v>
      </c>
    </row>
    <row r="475" spans="1:14" x14ac:dyDescent="0.45">
      <c r="A475" s="253" t="str">
        <f t="shared" si="46"/>
        <v>&lt;ct3387&gt;0&lt;/ct3387&gt;</v>
      </c>
      <c r="B475" s="243" t="s">
        <v>1659</v>
      </c>
      <c r="C475" s="244">
        <f t="shared" si="47"/>
        <v>2</v>
      </c>
      <c r="D475" s="244">
        <f t="shared" si="48"/>
        <v>8</v>
      </c>
      <c r="E475" s="244">
        <f t="shared" si="49"/>
        <v>10</v>
      </c>
      <c r="G475" s="259" t="str">
        <f t="shared" si="50"/>
        <v>&lt;ct3387&gt;</v>
      </c>
      <c r="H475" s="260">
        <f>VLOOKUP(N475,BCDTK!$E$9:$L$132,4,0)</f>
        <v>0</v>
      </c>
      <c r="I475" s="261" t="str">
        <f t="shared" si="51"/>
        <v>&lt;/ct3387&gt;</v>
      </c>
      <c r="J475" s="262"/>
      <c r="K475" s="262"/>
      <c r="L475" s="262"/>
      <c r="M475" s="263"/>
      <c r="N475" s="265">
        <v>3387</v>
      </c>
    </row>
    <row r="476" spans="1:14" x14ac:dyDescent="0.45">
      <c r="A476" s="253" t="str">
        <f t="shared" si="46"/>
        <v>&lt;ct3388&gt;0&lt;/ct3388&gt;</v>
      </c>
      <c r="B476" s="243" t="s">
        <v>1660</v>
      </c>
      <c r="C476" s="244">
        <f t="shared" si="47"/>
        <v>2</v>
      </c>
      <c r="D476" s="244">
        <f t="shared" si="48"/>
        <v>8</v>
      </c>
      <c r="E476" s="244">
        <f t="shared" si="49"/>
        <v>10</v>
      </c>
      <c r="G476" s="259" t="str">
        <f t="shared" si="50"/>
        <v>&lt;ct3388&gt;</v>
      </c>
      <c r="H476" s="260">
        <f>VLOOKUP(N476,BCDTK!$E$9:$L$132,4,0)</f>
        <v>0</v>
      </c>
      <c r="I476" s="261" t="str">
        <f t="shared" si="51"/>
        <v>&lt;/ct3388&gt;</v>
      </c>
      <c r="J476" s="262"/>
      <c r="K476" s="262"/>
      <c r="L476" s="262"/>
      <c r="M476" s="263"/>
      <c r="N476" s="265">
        <v>3388</v>
      </c>
    </row>
    <row r="477" spans="1:14" x14ac:dyDescent="0.45">
      <c r="A477" s="253" t="str">
        <f t="shared" si="46"/>
        <v>&lt;ct341&gt;0&lt;/ct341&gt;</v>
      </c>
      <c r="B477" s="243" t="s">
        <v>1661</v>
      </c>
      <c r="C477" s="244">
        <f t="shared" si="47"/>
        <v>2</v>
      </c>
      <c r="D477" s="244">
        <f t="shared" si="48"/>
        <v>7</v>
      </c>
      <c r="E477" s="244">
        <f t="shared" si="49"/>
        <v>9</v>
      </c>
      <c r="G477" s="259" t="str">
        <f t="shared" si="50"/>
        <v>&lt;ct341&gt;</v>
      </c>
      <c r="H477" s="260">
        <f>VLOOKUP(N477,BCDTK!$E$9:$L$132,4,0)</f>
        <v>0</v>
      </c>
      <c r="I477" s="261" t="str">
        <f t="shared" si="51"/>
        <v>&lt;/ct341&gt;</v>
      </c>
      <c r="J477" s="262"/>
      <c r="K477" s="262"/>
      <c r="L477" s="262"/>
      <c r="M477" s="263"/>
      <c r="N477" s="265">
        <v>341</v>
      </c>
    </row>
    <row r="478" spans="1:14" x14ac:dyDescent="0.45">
      <c r="A478" s="253" t="str">
        <f t="shared" si="46"/>
        <v>&lt;ct3411&gt;0&lt;/ct3411&gt;</v>
      </c>
      <c r="B478" s="243" t="s">
        <v>1662</v>
      </c>
      <c r="C478" s="244">
        <f t="shared" si="47"/>
        <v>2</v>
      </c>
      <c r="D478" s="244">
        <f t="shared" si="48"/>
        <v>8</v>
      </c>
      <c r="E478" s="244">
        <f t="shared" si="49"/>
        <v>10</v>
      </c>
      <c r="G478" s="259" t="str">
        <f t="shared" si="50"/>
        <v>&lt;ct3411&gt;</v>
      </c>
      <c r="H478" s="260">
        <f>VLOOKUP(N478,BCDTK!$E$9:$L$132,4,0)</f>
        <v>0</v>
      </c>
      <c r="I478" s="261" t="str">
        <f t="shared" si="51"/>
        <v>&lt;/ct3411&gt;</v>
      </c>
      <c r="J478" s="262"/>
      <c r="K478" s="262"/>
      <c r="L478" s="262"/>
      <c r="M478" s="263"/>
      <c r="N478" s="265">
        <v>3411</v>
      </c>
    </row>
    <row r="479" spans="1:14" x14ac:dyDescent="0.45">
      <c r="A479" s="253" t="str">
        <f t="shared" si="46"/>
        <v>&lt;ct3412&gt;0&lt;/ct3412&gt;</v>
      </c>
      <c r="B479" s="243" t="s">
        <v>1663</v>
      </c>
      <c r="C479" s="244">
        <f t="shared" si="47"/>
        <v>2</v>
      </c>
      <c r="D479" s="244">
        <f t="shared" si="48"/>
        <v>8</v>
      </c>
      <c r="E479" s="244">
        <f t="shared" si="49"/>
        <v>10</v>
      </c>
      <c r="G479" s="259" t="str">
        <f t="shared" si="50"/>
        <v>&lt;ct3412&gt;</v>
      </c>
      <c r="H479" s="260">
        <f>VLOOKUP(N479,BCDTK!$E$9:$L$132,4,0)</f>
        <v>0</v>
      </c>
      <c r="I479" s="261" t="str">
        <f t="shared" si="51"/>
        <v>&lt;/ct3412&gt;</v>
      </c>
      <c r="J479" s="262"/>
      <c r="K479" s="262"/>
      <c r="L479" s="262"/>
      <c r="M479" s="263"/>
      <c r="N479" s="265">
        <v>3412</v>
      </c>
    </row>
    <row r="480" spans="1:14" x14ac:dyDescent="0.45">
      <c r="A480" s="253" t="str">
        <f t="shared" si="46"/>
        <v>&lt;ct352&gt;0&lt;/ct352&gt;</v>
      </c>
      <c r="B480" s="243" t="s">
        <v>1664</v>
      </c>
      <c r="C480" s="244">
        <f t="shared" si="47"/>
        <v>2</v>
      </c>
      <c r="D480" s="244">
        <f t="shared" si="48"/>
        <v>7</v>
      </c>
      <c r="E480" s="244">
        <f t="shared" si="49"/>
        <v>9</v>
      </c>
      <c r="G480" s="259" t="str">
        <f t="shared" si="50"/>
        <v>&lt;ct352&gt;</v>
      </c>
      <c r="H480" s="260">
        <f>VLOOKUP(N480,BCDTK!$E$9:$L$132,4,0)</f>
        <v>0</v>
      </c>
      <c r="I480" s="261" t="str">
        <f t="shared" si="51"/>
        <v>&lt;/ct352&gt;</v>
      </c>
      <c r="J480" s="262"/>
      <c r="K480" s="262"/>
      <c r="L480" s="262"/>
      <c r="M480" s="263"/>
      <c r="N480" s="265">
        <v>352</v>
      </c>
    </row>
    <row r="481" spans="1:14" x14ac:dyDescent="0.45">
      <c r="A481" s="253" t="str">
        <f t="shared" si="46"/>
        <v>&lt;ct3521&gt;0&lt;/ct3521&gt;</v>
      </c>
      <c r="B481" s="243" t="s">
        <v>1665</v>
      </c>
      <c r="C481" s="244">
        <f t="shared" si="47"/>
        <v>2</v>
      </c>
      <c r="D481" s="244">
        <f t="shared" si="48"/>
        <v>8</v>
      </c>
      <c r="E481" s="244">
        <f t="shared" si="49"/>
        <v>10</v>
      </c>
      <c r="G481" s="259" t="str">
        <f t="shared" si="50"/>
        <v>&lt;ct3521&gt;</v>
      </c>
      <c r="H481" s="260">
        <f>VLOOKUP(N481,BCDTK!$E$9:$L$132,4,0)</f>
        <v>0</v>
      </c>
      <c r="I481" s="261" t="str">
        <f t="shared" si="51"/>
        <v>&lt;/ct3521&gt;</v>
      </c>
      <c r="J481" s="262"/>
      <c r="K481" s="262"/>
      <c r="L481" s="262"/>
      <c r="M481" s="263"/>
      <c r="N481" s="265">
        <v>3521</v>
      </c>
    </row>
    <row r="482" spans="1:14" x14ac:dyDescent="0.45">
      <c r="A482" s="253" t="str">
        <f t="shared" si="46"/>
        <v>&lt;ct3522&gt;0&lt;/ct3522&gt;</v>
      </c>
      <c r="B482" s="243" t="s">
        <v>1666</v>
      </c>
      <c r="C482" s="244">
        <f t="shared" si="47"/>
        <v>2</v>
      </c>
      <c r="D482" s="244">
        <f t="shared" si="48"/>
        <v>8</v>
      </c>
      <c r="E482" s="244">
        <f t="shared" si="49"/>
        <v>10</v>
      </c>
      <c r="G482" s="259" t="str">
        <f t="shared" si="50"/>
        <v>&lt;ct3522&gt;</v>
      </c>
      <c r="H482" s="260">
        <f>VLOOKUP(N482,BCDTK!$E$9:$L$132,4,0)</f>
        <v>0</v>
      </c>
      <c r="I482" s="261" t="str">
        <f t="shared" si="51"/>
        <v>&lt;/ct3522&gt;</v>
      </c>
      <c r="J482" s="262"/>
      <c r="K482" s="262"/>
      <c r="L482" s="262"/>
      <c r="M482" s="263"/>
      <c r="N482" s="265">
        <v>3522</v>
      </c>
    </row>
    <row r="483" spans="1:14" x14ac:dyDescent="0.45">
      <c r="A483" s="253" t="str">
        <f t="shared" si="46"/>
        <v>&lt;ct3524&gt;0&lt;/ct3524&gt;</v>
      </c>
      <c r="B483" s="243" t="s">
        <v>1667</v>
      </c>
      <c r="C483" s="244">
        <f t="shared" si="47"/>
        <v>2</v>
      </c>
      <c r="D483" s="244">
        <f t="shared" si="48"/>
        <v>8</v>
      </c>
      <c r="E483" s="244">
        <f t="shared" si="49"/>
        <v>10</v>
      </c>
      <c r="G483" s="259" t="str">
        <f t="shared" si="50"/>
        <v>&lt;ct3524&gt;</v>
      </c>
      <c r="H483" s="260">
        <f>VLOOKUP(N483,BCDTK!$E$9:$L$132,4,0)</f>
        <v>0</v>
      </c>
      <c r="I483" s="261" t="str">
        <f t="shared" si="51"/>
        <v>&lt;/ct3524&gt;</v>
      </c>
      <c r="J483" s="262"/>
      <c r="K483" s="262"/>
      <c r="L483" s="262"/>
      <c r="M483" s="263"/>
      <c r="N483" s="265">
        <v>3524</v>
      </c>
    </row>
    <row r="484" spans="1:14" x14ac:dyDescent="0.45">
      <c r="A484" s="253" t="str">
        <f t="shared" si="46"/>
        <v>&lt;ct353&gt;0&lt;/ct353&gt;</v>
      </c>
      <c r="B484" s="243" t="s">
        <v>1668</v>
      </c>
      <c r="C484" s="244">
        <f t="shared" si="47"/>
        <v>2</v>
      </c>
      <c r="D484" s="244">
        <f t="shared" si="48"/>
        <v>7</v>
      </c>
      <c r="E484" s="244">
        <f t="shared" si="49"/>
        <v>9</v>
      </c>
      <c r="G484" s="259" t="str">
        <f t="shared" si="50"/>
        <v>&lt;ct353&gt;</v>
      </c>
      <c r="H484" s="260">
        <f>VLOOKUP(N484,BCDTK!$E$9:$L$132,4,0)</f>
        <v>0</v>
      </c>
      <c r="I484" s="261" t="str">
        <f t="shared" si="51"/>
        <v>&lt;/ct353&gt;</v>
      </c>
      <c r="J484" s="262"/>
      <c r="K484" s="262"/>
      <c r="L484" s="262"/>
      <c r="M484" s="263"/>
      <c r="N484" s="265">
        <v>353</v>
      </c>
    </row>
    <row r="485" spans="1:14" x14ac:dyDescent="0.45">
      <c r="A485" s="253" t="str">
        <f t="shared" si="46"/>
        <v>&lt;ct3531&gt;0&lt;/ct3531&gt;</v>
      </c>
      <c r="B485" s="243" t="s">
        <v>1669</v>
      </c>
      <c r="C485" s="244">
        <f t="shared" si="47"/>
        <v>2</v>
      </c>
      <c r="D485" s="244">
        <f t="shared" si="48"/>
        <v>8</v>
      </c>
      <c r="E485" s="244">
        <f t="shared" si="49"/>
        <v>10</v>
      </c>
      <c r="G485" s="259" t="str">
        <f t="shared" si="50"/>
        <v>&lt;ct3531&gt;</v>
      </c>
      <c r="H485" s="260">
        <f>VLOOKUP(N485,BCDTK!$E$9:$L$132,4,0)</f>
        <v>0</v>
      </c>
      <c r="I485" s="261" t="str">
        <f t="shared" si="51"/>
        <v>&lt;/ct3531&gt;</v>
      </c>
      <c r="J485" s="262"/>
      <c r="K485" s="262"/>
      <c r="L485" s="262"/>
      <c r="M485" s="263"/>
      <c r="N485" s="265">
        <v>3531</v>
      </c>
    </row>
    <row r="486" spans="1:14" x14ac:dyDescent="0.45">
      <c r="A486" s="253" t="str">
        <f t="shared" si="46"/>
        <v>&lt;ct3532&gt;0&lt;/ct3532&gt;</v>
      </c>
      <c r="B486" s="243" t="s">
        <v>1670</v>
      </c>
      <c r="C486" s="244">
        <f t="shared" si="47"/>
        <v>2</v>
      </c>
      <c r="D486" s="244">
        <f t="shared" si="48"/>
        <v>8</v>
      </c>
      <c r="E486" s="244">
        <f t="shared" si="49"/>
        <v>10</v>
      </c>
      <c r="G486" s="259" t="str">
        <f t="shared" si="50"/>
        <v>&lt;ct3532&gt;</v>
      </c>
      <c r="H486" s="260">
        <f>VLOOKUP(N486,BCDTK!$E$9:$L$132,4,0)</f>
        <v>0</v>
      </c>
      <c r="I486" s="261" t="str">
        <f t="shared" si="51"/>
        <v>&lt;/ct3532&gt;</v>
      </c>
      <c r="J486" s="262"/>
      <c r="K486" s="262"/>
      <c r="L486" s="262"/>
      <c r="M486" s="263"/>
      <c r="N486" s="265">
        <v>3532</v>
      </c>
    </row>
    <row r="487" spans="1:14" x14ac:dyDescent="0.45">
      <c r="A487" s="253" t="str">
        <f t="shared" si="46"/>
        <v>&lt;ct3533&gt;0&lt;/ct3533&gt;</v>
      </c>
      <c r="B487" s="243" t="s">
        <v>1671</v>
      </c>
      <c r="C487" s="244">
        <f t="shared" si="47"/>
        <v>2</v>
      </c>
      <c r="D487" s="244">
        <f t="shared" si="48"/>
        <v>8</v>
      </c>
      <c r="E487" s="244">
        <f t="shared" si="49"/>
        <v>10</v>
      </c>
      <c r="G487" s="259" t="str">
        <f t="shared" si="50"/>
        <v>&lt;ct3533&gt;</v>
      </c>
      <c r="H487" s="260">
        <f>VLOOKUP(N487,BCDTK!$E$9:$L$132,4,0)</f>
        <v>0</v>
      </c>
      <c r="I487" s="261" t="str">
        <f t="shared" si="51"/>
        <v>&lt;/ct3533&gt;</v>
      </c>
      <c r="J487" s="262"/>
      <c r="K487" s="262"/>
      <c r="L487" s="262"/>
      <c r="M487" s="263"/>
      <c r="N487" s="265">
        <v>3533</v>
      </c>
    </row>
    <row r="488" spans="1:14" x14ac:dyDescent="0.45">
      <c r="A488" s="253" t="str">
        <f t="shared" si="46"/>
        <v>&lt;ct3534&gt;0&lt;/ct3534&gt;</v>
      </c>
      <c r="B488" s="243" t="s">
        <v>1672</v>
      </c>
      <c r="C488" s="244">
        <f t="shared" si="47"/>
        <v>2</v>
      </c>
      <c r="D488" s="244">
        <f t="shared" si="48"/>
        <v>8</v>
      </c>
      <c r="E488" s="244">
        <f t="shared" si="49"/>
        <v>10</v>
      </c>
      <c r="G488" s="259" t="str">
        <f t="shared" si="50"/>
        <v>&lt;ct3534&gt;</v>
      </c>
      <c r="H488" s="260">
        <f>VLOOKUP(N488,BCDTK!$E$9:$L$132,4,0)</f>
        <v>0</v>
      </c>
      <c r="I488" s="261" t="str">
        <f t="shared" si="51"/>
        <v>&lt;/ct3534&gt;</v>
      </c>
      <c r="J488" s="262"/>
      <c r="K488" s="262"/>
      <c r="L488" s="262"/>
      <c r="M488" s="263"/>
      <c r="N488" s="265">
        <v>3534</v>
      </c>
    </row>
    <row r="489" spans="1:14" x14ac:dyDescent="0.45">
      <c r="A489" s="253" t="str">
        <f t="shared" si="46"/>
        <v>&lt;ct356&gt;0&lt;/ct356&gt;</v>
      </c>
      <c r="B489" s="243" t="s">
        <v>1673</v>
      </c>
      <c r="C489" s="244">
        <f t="shared" si="47"/>
        <v>2</v>
      </c>
      <c r="D489" s="244">
        <f t="shared" si="48"/>
        <v>7</v>
      </c>
      <c r="E489" s="244">
        <f t="shared" si="49"/>
        <v>9</v>
      </c>
      <c r="G489" s="259" t="str">
        <f t="shared" si="50"/>
        <v>&lt;ct356&gt;</v>
      </c>
      <c r="H489" s="260">
        <f>VLOOKUP(N489,BCDTK!$E$9:$L$132,4,0)</f>
        <v>0</v>
      </c>
      <c r="I489" s="261" t="str">
        <f t="shared" si="51"/>
        <v>&lt;/ct356&gt;</v>
      </c>
      <c r="J489" s="262"/>
      <c r="K489" s="262"/>
      <c r="L489" s="262"/>
      <c r="M489" s="263"/>
      <c r="N489" s="265">
        <v>356</v>
      </c>
    </row>
    <row r="490" spans="1:14" x14ac:dyDescent="0.45">
      <c r="A490" s="253" t="str">
        <f t="shared" si="46"/>
        <v>&lt;ct3561&gt;0&lt;/ct3561&gt;</v>
      </c>
      <c r="B490" s="243" t="s">
        <v>1674</v>
      </c>
      <c r="C490" s="244">
        <f t="shared" si="47"/>
        <v>2</v>
      </c>
      <c r="D490" s="244">
        <f t="shared" si="48"/>
        <v>8</v>
      </c>
      <c r="E490" s="244">
        <f t="shared" si="49"/>
        <v>10</v>
      </c>
      <c r="G490" s="259" t="str">
        <f t="shared" si="50"/>
        <v>&lt;ct3561&gt;</v>
      </c>
      <c r="H490" s="260">
        <f>VLOOKUP(N490,BCDTK!$E$9:$L$132,4,0)</f>
        <v>0</v>
      </c>
      <c r="I490" s="261" t="str">
        <f t="shared" si="51"/>
        <v>&lt;/ct3561&gt;</v>
      </c>
      <c r="J490" s="262"/>
      <c r="K490" s="262"/>
      <c r="L490" s="262"/>
      <c r="M490" s="263"/>
      <c r="N490" s="265">
        <v>3561</v>
      </c>
    </row>
    <row r="491" spans="1:14" x14ac:dyDescent="0.45">
      <c r="A491" s="253" t="str">
        <f t="shared" si="46"/>
        <v>&lt;ct3562&gt;0&lt;/ct3562&gt;</v>
      </c>
      <c r="B491" s="243" t="s">
        <v>1675</v>
      </c>
      <c r="C491" s="244">
        <f t="shared" si="47"/>
        <v>2</v>
      </c>
      <c r="D491" s="244">
        <f t="shared" si="48"/>
        <v>8</v>
      </c>
      <c r="E491" s="244">
        <f t="shared" si="49"/>
        <v>10</v>
      </c>
      <c r="G491" s="259" t="str">
        <f t="shared" si="50"/>
        <v>&lt;ct3562&gt;</v>
      </c>
      <c r="H491" s="260">
        <f>VLOOKUP(N491,BCDTK!$E$9:$L$132,4,0)</f>
        <v>0</v>
      </c>
      <c r="I491" s="261" t="str">
        <f t="shared" si="51"/>
        <v>&lt;/ct3562&gt;</v>
      </c>
      <c r="J491" s="262"/>
      <c r="K491" s="262"/>
      <c r="L491" s="262"/>
      <c r="M491" s="263"/>
      <c r="N491" s="265">
        <v>3562</v>
      </c>
    </row>
    <row r="492" spans="1:14" x14ac:dyDescent="0.45">
      <c r="A492" s="253" t="str">
        <f t="shared" si="46"/>
        <v>&lt;ct411&gt;500000000&lt;/ct411&gt;</v>
      </c>
      <c r="B492" s="243" t="s">
        <v>1525</v>
      </c>
      <c r="C492" s="244">
        <f t="shared" si="47"/>
        <v>2</v>
      </c>
      <c r="D492" s="244">
        <f t="shared" si="48"/>
        <v>7</v>
      </c>
      <c r="E492" s="244">
        <f t="shared" si="49"/>
        <v>9</v>
      </c>
      <c r="G492" s="259" t="str">
        <f t="shared" si="50"/>
        <v>&lt;ct411&gt;</v>
      </c>
      <c r="H492" s="260">
        <f>VLOOKUP(N492,BCDTK!$E$9:$L$132,4,0)</f>
        <v>500000000</v>
      </c>
      <c r="I492" s="261" t="str">
        <f t="shared" si="51"/>
        <v>&lt;/ct411&gt;</v>
      </c>
      <c r="J492" s="262"/>
      <c r="K492" s="262"/>
      <c r="L492" s="262"/>
      <c r="M492" s="263"/>
      <c r="N492" s="265">
        <v>411</v>
      </c>
    </row>
    <row r="493" spans="1:14" x14ac:dyDescent="0.45">
      <c r="A493" s="253" t="str">
        <f t="shared" ref="A493:A556" si="52">CONCATENATE(G493,H493,I493)</f>
        <v>&lt;ct4111&gt;500000000&lt;/ct4111&gt;</v>
      </c>
      <c r="B493" s="243" t="s">
        <v>1676</v>
      </c>
      <c r="C493" s="244">
        <f t="shared" si="47"/>
        <v>2</v>
      </c>
      <c r="D493" s="244">
        <f t="shared" si="48"/>
        <v>8</v>
      </c>
      <c r="E493" s="244">
        <f t="shared" si="49"/>
        <v>10</v>
      </c>
      <c r="G493" s="259" t="str">
        <f t="shared" si="50"/>
        <v>&lt;ct4111&gt;</v>
      </c>
      <c r="H493" s="260">
        <f>VLOOKUP(N493,BCDTK!$E$9:$L$132,4,0)</f>
        <v>500000000</v>
      </c>
      <c r="I493" s="261" t="str">
        <f t="shared" si="51"/>
        <v>&lt;/ct4111&gt;</v>
      </c>
      <c r="J493" s="262"/>
      <c r="K493" s="262"/>
      <c r="L493" s="262"/>
      <c r="M493" s="263"/>
      <c r="N493" s="265">
        <v>4111</v>
      </c>
    </row>
    <row r="494" spans="1:14" x14ac:dyDescent="0.45">
      <c r="A494" s="253" t="str">
        <f t="shared" si="52"/>
        <v>&lt;ct4112&gt;0&lt;/ct4112&gt;</v>
      </c>
      <c r="B494" s="243" t="s">
        <v>1677</v>
      </c>
      <c r="C494" s="244">
        <f t="shared" si="47"/>
        <v>2</v>
      </c>
      <c r="D494" s="244">
        <f t="shared" si="48"/>
        <v>8</v>
      </c>
      <c r="E494" s="244">
        <f t="shared" si="49"/>
        <v>10</v>
      </c>
      <c r="G494" s="259" t="str">
        <f t="shared" si="50"/>
        <v>&lt;ct4112&gt;</v>
      </c>
      <c r="H494" s="260">
        <f>VLOOKUP(N494,BCDTK!$E$9:$L$132,4,0)</f>
        <v>0</v>
      </c>
      <c r="I494" s="261" t="str">
        <f t="shared" si="51"/>
        <v>&lt;/ct4112&gt;</v>
      </c>
      <c r="J494" s="262"/>
      <c r="K494" s="262"/>
      <c r="L494" s="262"/>
      <c r="M494" s="263"/>
      <c r="N494" s="265">
        <v>4112</v>
      </c>
    </row>
    <row r="495" spans="1:14" x14ac:dyDescent="0.45">
      <c r="A495" s="253" t="str">
        <f t="shared" si="52"/>
        <v>&lt;ct4118&gt;0&lt;/ct4118&gt;</v>
      </c>
      <c r="B495" s="243" t="s">
        <v>1678</v>
      </c>
      <c r="C495" s="244">
        <f t="shared" si="47"/>
        <v>2</v>
      </c>
      <c r="D495" s="244">
        <f t="shared" si="48"/>
        <v>8</v>
      </c>
      <c r="E495" s="244">
        <f t="shared" si="49"/>
        <v>10</v>
      </c>
      <c r="G495" s="259" t="str">
        <f t="shared" si="50"/>
        <v>&lt;ct4118&gt;</v>
      </c>
      <c r="H495" s="260">
        <f>VLOOKUP(N495,BCDTK!$E$9:$L$132,4,0)</f>
        <v>0</v>
      </c>
      <c r="I495" s="261" t="str">
        <f t="shared" si="51"/>
        <v>&lt;/ct4118&gt;</v>
      </c>
      <c r="J495" s="262"/>
      <c r="K495" s="262"/>
      <c r="L495" s="262"/>
      <c r="M495" s="263"/>
      <c r="N495" s="265">
        <v>4118</v>
      </c>
    </row>
    <row r="496" spans="1:14" x14ac:dyDescent="0.45">
      <c r="A496" s="253" t="str">
        <f t="shared" si="52"/>
        <v>&lt;ct413&gt;0&lt;/ct413&gt;</v>
      </c>
      <c r="B496" s="243" t="s">
        <v>1500</v>
      </c>
      <c r="C496" s="244">
        <f t="shared" si="47"/>
        <v>2</v>
      </c>
      <c r="D496" s="244">
        <f t="shared" si="48"/>
        <v>7</v>
      </c>
      <c r="E496" s="244">
        <f t="shared" si="49"/>
        <v>9</v>
      </c>
      <c r="G496" s="259" t="str">
        <f t="shared" si="50"/>
        <v>&lt;ct413&gt;</v>
      </c>
      <c r="H496" s="260">
        <f>VLOOKUP(N496,BCDTK!$E$9:$L$132,4,0)</f>
        <v>0</v>
      </c>
      <c r="I496" s="261" t="str">
        <f t="shared" si="51"/>
        <v>&lt;/ct413&gt;</v>
      </c>
      <c r="J496" s="262"/>
      <c r="K496" s="262"/>
      <c r="L496" s="262"/>
      <c r="M496" s="263"/>
      <c r="N496" s="265">
        <v>413</v>
      </c>
    </row>
    <row r="497" spans="1:14" x14ac:dyDescent="0.45">
      <c r="A497" s="253" t="str">
        <f t="shared" si="52"/>
        <v>&lt;ct418&gt;0&lt;/ct418&gt;</v>
      </c>
      <c r="B497" s="243" t="s">
        <v>1679</v>
      </c>
      <c r="C497" s="244">
        <f t="shared" si="47"/>
        <v>2</v>
      </c>
      <c r="D497" s="244">
        <f t="shared" si="48"/>
        <v>7</v>
      </c>
      <c r="E497" s="244">
        <f t="shared" si="49"/>
        <v>9</v>
      </c>
      <c r="G497" s="259" t="str">
        <f t="shared" si="50"/>
        <v>&lt;ct418&gt;</v>
      </c>
      <c r="H497" s="260">
        <f>VLOOKUP(N497,BCDTK!$E$9:$L$132,4,0)</f>
        <v>0</v>
      </c>
      <c r="I497" s="261" t="str">
        <f t="shared" si="51"/>
        <v>&lt;/ct418&gt;</v>
      </c>
      <c r="J497" s="262"/>
      <c r="K497" s="262"/>
      <c r="L497" s="262"/>
      <c r="M497" s="263"/>
      <c r="N497" s="265">
        <v>418</v>
      </c>
    </row>
    <row r="498" spans="1:14" x14ac:dyDescent="0.45">
      <c r="A498" s="253" t="str">
        <f t="shared" si="52"/>
        <v>&lt;ct419&gt;0&lt;/ct419&gt;</v>
      </c>
      <c r="B498" s="243" t="s">
        <v>1680</v>
      </c>
      <c r="C498" s="244">
        <f t="shared" si="47"/>
        <v>2</v>
      </c>
      <c r="D498" s="244">
        <f t="shared" si="48"/>
        <v>7</v>
      </c>
      <c r="E498" s="244">
        <f t="shared" si="49"/>
        <v>9</v>
      </c>
      <c r="G498" s="259" t="str">
        <f t="shared" si="50"/>
        <v>&lt;ct419&gt;</v>
      </c>
      <c r="H498" s="260">
        <f>VLOOKUP(N498,BCDTK!$E$9:$L$132,4,0)</f>
        <v>0</v>
      </c>
      <c r="I498" s="261" t="str">
        <f t="shared" si="51"/>
        <v>&lt;/ct419&gt;</v>
      </c>
      <c r="J498" s="262"/>
      <c r="K498" s="262"/>
      <c r="L498" s="262"/>
      <c r="M498" s="263"/>
      <c r="N498" s="265">
        <v>419</v>
      </c>
    </row>
    <row r="499" spans="1:14" x14ac:dyDescent="0.45">
      <c r="A499" s="253" t="str">
        <f t="shared" si="52"/>
        <v>&lt;ct421&gt;0&lt;/ct421&gt;</v>
      </c>
      <c r="B499" s="243" t="s">
        <v>1681</v>
      </c>
      <c r="C499" s="244">
        <f t="shared" si="47"/>
        <v>2</v>
      </c>
      <c r="D499" s="244">
        <f t="shared" si="48"/>
        <v>7</v>
      </c>
      <c r="E499" s="244">
        <f t="shared" si="49"/>
        <v>9</v>
      </c>
      <c r="G499" s="259" t="str">
        <f t="shared" si="50"/>
        <v>&lt;ct421&gt;</v>
      </c>
      <c r="H499" s="260">
        <f>VLOOKUP(N499,BCDTK!$E$9:$L$132,4,0)</f>
        <v>0</v>
      </c>
      <c r="I499" s="261" t="str">
        <f t="shared" si="51"/>
        <v>&lt;/ct421&gt;</v>
      </c>
      <c r="J499" s="262"/>
      <c r="K499" s="262"/>
      <c r="L499" s="262"/>
      <c r="M499" s="263"/>
      <c r="N499" s="265">
        <v>421</v>
      </c>
    </row>
    <row r="500" spans="1:14" x14ac:dyDescent="0.45">
      <c r="A500" s="253" t="str">
        <f t="shared" si="52"/>
        <v>&lt;ct4211&gt;0&lt;/ct4211&gt;</v>
      </c>
      <c r="B500" s="243" t="s">
        <v>1682</v>
      </c>
      <c r="C500" s="244">
        <f t="shared" si="47"/>
        <v>2</v>
      </c>
      <c r="D500" s="244">
        <f t="shared" si="48"/>
        <v>8</v>
      </c>
      <c r="E500" s="244">
        <f t="shared" si="49"/>
        <v>10</v>
      </c>
      <c r="G500" s="259" t="str">
        <f t="shared" si="50"/>
        <v>&lt;ct4211&gt;</v>
      </c>
      <c r="H500" s="260">
        <f>VLOOKUP(N500,BCDTK!$E$9:$L$132,4,0)</f>
        <v>0</v>
      </c>
      <c r="I500" s="261" t="str">
        <f t="shared" si="51"/>
        <v>&lt;/ct4211&gt;</v>
      </c>
      <c r="J500" s="262"/>
      <c r="K500" s="262"/>
      <c r="L500" s="262"/>
      <c r="M500" s="263"/>
      <c r="N500" s="265">
        <v>4211</v>
      </c>
    </row>
    <row r="501" spans="1:14" x14ac:dyDescent="0.45">
      <c r="A501" s="253" t="str">
        <f t="shared" si="52"/>
        <v>&lt;ct4212&gt;0&lt;/ct4212&gt;</v>
      </c>
      <c r="B501" s="243" t="s">
        <v>1683</v>
      </c>
      <c r="C501" s="244">
        <f t="shared" si="47"/>
        <v>2</v>
      </c>
      <c r="D501" s="244">
        <f t="shared" si="48"/>
        <v>8</v>
      </c>
      <c r="E501" s="244">
        <f t="shared" si="49"/>
        <v>10</v>
      </c>
      <c r="G501" s="259" t="str">
        <f t="shared" si="50"/>
        <v>&lt;ct4212&gt;</v>
      </c>
      <c r="H501" s="260">
        <f>VLOOKUP(N501,BCDTK!$E$9:$L$132,4,0)</f>
        <v>0</v>
      </c>
      <c r="I501" s="261" t="str">
        <f t="shared" si="51"/>
        <v>&lt;/ct4212&gt;</v>
      </c>
      <c r="J501" s="262"/>
      <c r="K501" s="262"/>
      <c r="L501" s="262"/>
      <c r="M501" s="263"/>
      <c r="N501" s="265">
        <v>4212</v>
      </c>
    </row>
    <row r="502" spans="1:14" x14ac:dyDescent="0.45">
      <c r="A502" s="253" t="str">
        <f t="shared" si="52"/>
        <v>&lt;ct511&gt;0&lt;/ct511&gt;</v>
      </c>
      <c r="B502" s="243" t="s">
        <v>1684</v>
      </c>
      <c r="C502" s="244">
        <f t="shared" si="47"/>
        <v>2</v>
      </c>
      <c r="D502" s="244">
        <f t="shared" si="48"/>
        <v>7</v>
      </c>
      <c r="E502" s="244">
        <f t="shared" si="49"/>
        <v>9</v>
      </c>
      <c r="G502" s="259" t="str">
        <f t="shared" si="50"/>
        <v>&lt;ct511&gt;</v>
      </c>
      <c r="H502" s="260">
        <f>VLOOKUP(N502,BCDTK!$E$9:$L$132,4,0)</f>
        <v>0</v>
      </c>
      <c r="I502" s="261" t="str">
        <f t="shared" si="51"/>
        <v>&lt;/ct511&gt;</v>
      </c>
      <c r="J502" s="262"/>
      <c r="K502" s="262"/>
      <c r="L502" s="262"/>
      <c r="M502" s="263"/>
      <c r="N502" s="265">
        <v>511</v>
      </c>
    </row>
    <row r="503" spans="1:14" x14ac:dyDescent="0.45">
      <c r="A503" s="253" t="str">
        <f t="shared" si="52"/>
        <v>&lt;ct5111&gt;0&lt;/ct5111&gt;</v>
      </c>
      <c r="B503" s="243" t="s">
        <v>1685</v>
      </c>
      <c r="C503" s="244">
        <f t="shared" si="47"/>
        <v>2</v>
      </c>
      <c r="D503" s="244">
        <f t="shared" si="48"/>
        <v>8</v>
      </c>
      <c r="E503" s="244">
        <f t="shared" si="49"/>
        <v>10</v>
      </c>
      <c r="G503" s="259" t="str">
        <f t="shared" si="50"/>
        <v>&lt;ct5111&gt;</v>
      </c>
      <c r="H503" s="260">
        <f>VLOOKUP(N503,BCDTK!$E$9:$L$132,4,0)</f>
        <v>0</v>
      </c>
      <c r="I503" s="261" t="str">
        <f t="shared" si="51"/>
        <v>&lt;/ct5111&gt;</v>
      </c>
      <c r="J503" s="262"/>
      <c r="K503" s="262"/>
      <c r="L503" s="262"/>
      <c r="M503" s="263"/>
      <c r="N503" s="265">
        <v>5111</v>
      </c>
    </row>
    <row r="504" spans="1:14" x14ac:dyDescent="0.45">
      <c r="A504" s="253" t="str">
        <f t="shared" si="52"/>
        <v>&lt;ct5112&gt;0&lt;/ct5112&gt;</v>
      </c>
      <c r="B504" s="243" t="s">
        <v>1686</v>
      </c>
      <c r="C504" s="244">
        <f t="shared" si="47"/>
        <v>2</v>
      </c>
      <c r="D504" s="244">
        <f t="shared" si="48"/>
        <v>8</v>
      </c>
      <c r="E504" s="244">
        <f t="shared" si="49"/>
        <v>10</v>
      </c>
      <c r="G504" s="259" t="str">
        <f t="shared" si="50"/>
        <v>&lt;ct5112&gt;</v>
      </c>
      <c r="H504" s="260">
        <f>VLOOKUP(N504,BCDTK!$E$9:$L$132,4,0)</f>
        <v>0</v>
      </c>
      <c r="I504" s="261" t="str">
        <f t="shared" si="51"/>
        <v>&lt;/ct5112&gt;</v>
      </c>
      <c r="J504" s="262"/>
      <c r="K504" s="262"/>
      <c r="L504" s="262"/>
      <c r="M504" s="263"/>
      <c r="N504" s="265">
        <v>5112</v>
      </c>
    </row>
    <row r="505" spans="1:14" x14ac:dyDescent="0.45">
      <c r="A505" s="253" t="str">
        <f t="shared" si="52"/>
        <v>&lt;ct5113&gt;0&lt;/ct5113&gt;</v>
      </c>
      <c r="B505" s="243" t="s">
        <v>1687</v>
      </c>
      <c r="C505" s="244">
        <f t="shared" si="47"/>
        <v>2</v>
      </c>
      <c r="D505" s="244">
        <f t="shared" si="48"/>
        <v>8</v>
      </c>
      <c r="E505" s="244">
        <f t="shared" si="49"/>
        <v>10</v>
      </c>
      <c r="G505" s="259" t="str">
        <f t="shared" si="50"/>
        <v>&lt;ct5113&gt;</v>
      </c>
      <c r="H505" s="260">
        <f>VLOOKUP(N505,BCDTK!$E$9:$L$132,4,0)</f>
        <v>0</v>
      </c>
      <c r="I505" s="261" t="str">
        <f t="shared" si="51"/>
        <v>&lt;/ct5113&gt;</v>
      </c>
      <c r="J505" s="262"/>
      <c r="K505" s="262"/>
      <c r="L505" s="262"/>
      <c r="M505" s="263"/>
      <c r="N505" s="265">
        <v>5113</v>
      </c>
    </row>
    <row r="506" spans="1:14" x14ac:dyDescent="0.45">
      <c r="A506" s="253" t="str">
        <f t="shared" si="52"/>
        <v>&lt;ct5118&gt;0&lt;/ct5118&gt;</v>
      </c>
      <c r="B506" s="243" t="s">
        <v>1688</v>
      </c>
      <c r="C506" s="244">
        <f t="shared" si="47"/>
        <v>2</v>
      </c>
      <c r="D506" s="244">
        <f t="shared" si="48"/>
        <v>8</v>
      </c>
      <c r="E506" s="244">
        <f t="shared" si="49"/>
        <v>10</v>
      </c>
      <c r="G506" s="259" t="str">
        <f t="shared" si="50"/>
        <v>&lt;ct5118&gt;</v>
      </c>
      <c r="H506" s="260">
        <f>VLOOKUP(N506,BCDTK!$E$9:$L$132,4,0)</f>
        <v>0</v>
      </c>
      <c r="I506" s="261" t="str">
        <f t="shared" si="51"/>
        <v>&lt;/ct5118&gt;</v>
      </c>
      <c r="J506" s="262"/>
      <c r="K506" s="262"/>
      <c r="L506" s="262"/>
      <c r="M506" s="263"/>
      <c r="N506" s="265">
        <v>5118</v>
      </c>
    </row>
    <row r="507" spans="1:14" x14ac:dyDescent="0.45">
      <c r="A507" s="253" t="str">
        <f t="shared" si="52"/>
        <v>&lt;ct515&gt;0&lt;/ct515&gt;</v>
      </c>
      <c r="B507" s="243" t="s">
        <v>1689</v>
      </c>
      <c r="C507" s="244">
        <f t="shared" si="47"/>
        <v>2</v>
      </c>
      <c r="D507" s="244">
        <f t="shared" si="48"/>
        <v>7</v>
      </c>
      <c r="E507" s="244">
        <f t="shared" si="49"/>
        <v>9</v>
      </c>
      <c r="G507" s="259" t="str">
        <f t="shared" si="50"/>
        <v>&lt;ct515&gt;</v>
      </c>
      <c r="H507" s="260">
        <f>VLOOKUP(N507,BCDTK!$E$9:$L$132,4,0)</f>
        <v>0</v>
      </c>
      <c r="I507" s="261" t="str">
        <f t="shared" si="51"/>
        <v>&lt;/ct515&gt;</v>
      </c>
      <c r="J507" s="262"/>
      <c r="K507" s="262"/>
      <c r="L507" s="262"/>
      <c r="M507" s="263"/>
      <c r="N507" s="265">
        <v>515</v>
      </c>
    </row>
    <row r="508" spans="1:14" x14ac:dyDescent="0.45">
      <c r="A508" s="253" t="str">
        <f t="shared" si="52"/>
        <v>&lt;ct611&gt;0&lt;/ct611&gt;</v>
      </c>
      <c r="B508" s="243" t="s">
        <v>1690</v>
      </c>
      <c r="C508" s="244">
        <f t="shared" si="47"/>
        <v>2</v>
      </c>
      <c r="D508" s="244">
        <f t="shared" si="48"/>
        <v>7</v>
      </c>
      <c r="E508" s="244">
        <f t="shared" si="49"/>
        <v>9</v>
      </c>
      <c r="G508" s="259" t="str">
        <f t="shared" si="50"/>
        <v>&lt;ct611&gt;</v>
      </c>
      <c r="H508" s="260">
        <f>VLOOKUP(N508,BCDTK!$E$9:$L$132,4,0)</f>
        <v>0</v>
      </c>
      <c r="I508" s="261" t="str">
        <f t="shared" si="51"/>
        <v>&lt;/ct611&gt;</v>
      </c>
      <c r="J508" s="262"/>
      <c r="K508" s="262"/>
      <c r="L508" s="262"/>
      <c r="M508" s="263"/>
      <c r="N508" s="265">
        <v>611</v>
      </c>
    </row>
    <row r="509" spans="1:14" x14ac:dyDescent="0.45">
      <c r="A509" s="253" t="str">
        <f t="shared" si="52"/>
        <v>&lt;ct631&gt;0&lt;/ct631&gt;</v>
      </c>
      <c r="B509" s="243" t="s">
        <v>1691</v>
      </c>
      <c r="C509" s="244">
        <f t="shared" si="47"/>
        <v>2</v>
      </c>
      <c r="D509" s="244">
        <f t="shared" si="48"/>
        <v>7</v>
      </c>
      <c r="E509" s="244">
        <f t="shared" si="49"/>
        <v>9</v>
      </c>
      <c r="G509" s="259" t="str">
        <f t="shared" si="50"/>
        <v>&lt;ct631&gt;</v>
      </c>
      <c r="H509" s="260">
        <f>VLOOKUP(N509,BCDTK!$E$9:$L$132,4,0)</f>
        <v>0</v>
      </c>
      <c r="I509" s="261" t="str">
        <f t="shared" si="51"/>
        <v>&lt;/ct631&gt;</v>
      </c>
      <c r="J509" s="262"/>
      <c r="K509" s="262"/>
      <c r="L509" s="262"/>
      <c r="M509" s="263"/>
      <c r="N509" s="265">
        <v>631</v>
      </c>
    </row>
    <row r="510" spans="1:14" x14ac:dyDescent="0.45">
      <c r="A510" s="253" t="str">
        <f t="shared" si="52"/>
        <v>&lt;ct632&gt;0&lt;/ct632&gt;</v>
      </c>
      <c r="B510" s="243" t="s">
        <v>1692</v>
      </c>
      <c r="C510" s="244">
        <f t="shared" si="47"/>
        <v>2</v>
      </c>
      <c r="D510" s="244">
        <f t="shared" si="48"/>
        <v>7</v>
      </c>
      <c r="E510" s="244">
        <f t="shared" si="49"/>
        <v>9</v>
      </c>
      <c r="G510" s="259" t="str">
        <f t="shared" si="50"/>
        <v>&lt;ct632&gt;</v>
      </c>
      <c r="H510" s="260">
        <f>VLOOKUP(N510,BCDTK!$E$9:$L$132,4,0)</f>
        <v>0</v>
      </c>
      <c r="I510" s="261" t="str">
        <f t="shared" si="51"/>
        <v>&lt;/ct632&gt;</v>
      </c>
      <c r="J510" s="262"/>
      <c r="K510" s="262"/>
      <c r="L510" s="262"/>
      <c r="M510" s="263"/>
      <c r="N510" s="265">
        <v>632</v>
      </c>
    </row>
    <row r="511" spans="1:14" x14ac:dyDescent="0.45">
      <c r="A511" s="253" t="str">
        <f t="shared" si="52"/>
        <v>&lt;ct635&gt;0&lt;/ct635&gt;</v>
      </c>
      <c r="B511" s="243" t="s">
        <v>1693</v>
      </c>
      <c r="C511" s="244">
        <f t="shared" si="47"/>
        <v>2</v>
      </c>
      <c r="D511" s="244">
        <f t="shared" si="48"/>
        <v>7</v>
      </c>
      <c r="E511" s="244">
        <f t="shared" si="49"/>
        <v>9</v>
      </c>
      <c r="G511" s="259" t="str">
        <f t="shared" si="50"/>
        <v>&lt;ct635&gt;</v>
      </c>
      <c r="H511" s="260">
        <f>VLOOKUP(N511,BCDTK!$E$9:$L$132,4,0)</f>
        <v>0</v>
      </c>
      <c r="I511" s="261" t="str">
        <f t="shared" si="51"/>
        <v>&lt;/ct635&gt;</v>
      </c>
      <c r="J511" s="262"/>
      <c r="K511" s="262"/>
      <c r="L511" s="262"/>
      <c r="M511" s="263"/>
      <c r="N511" s="265">
        <v>635</v>
      </c>
    </row>
    <row r="512" spans="1:14" x14ac:dyDescent="0.45">
      <c r="A512" s="253" t="str">
        <f t="shared" si="52"/>
        <v>&lt;ct642&gt;0&lt;/ct642&gt;</v>
      </c>
      <c r="B512" s="243" t="s">
        <v>1694</v>
      </c>
      <c r="C512" s="244">
        <f t="shared" si="47"/>
        <v>2</v>
      </c>
      <c r="D512" s="244">
        <f t="shared" si="48"/>
        <v>7</v>
      </c>
      <c r="E512" s="244">
        <f t="shared" si="49"/>
        <v>9</v>
      </c>
      <c r="G512" s="259" t="str">
        <f t="shared" si="50"/>
        <v>&lt;ct642&gt;</v>
      </c>
      <c r="H512" s="260">
        <f>VLOOKUP(N512,BCDTK!$E$9:$L$132,4,0)</f>
        <v>0</v>
      </c>
      <c r="I512" s="261" t="str">
        <f t="shared" si="51"/>
        <v>&lt;/ct642&gt;</v>
      </c>
      <c r="J512" s="262"/>
      <c r="K512" s="262"/>
      <c r="L512" s="262"/>
      <c r="M512" s="263"/>
      <c r="N512" s="265">
        <v>642</v>
      </c>
    </row>
    <row r="513" spans="1:14" x14ac:dyDescent="0.45">
      <c r="A513" s="253" t="str">
        <f t="shared" si="52"/>
        <v>&lt;ct6421&gt;0&lt;/ct6421&gt;</v>
      </c>
      <c r="B513" s="243" t="s">
        <v>1695</v>
      </c>
      <c r="C513" s="244">
        <f t="shared" si="47"/>
        <v>2</v>
      </c>
      <c r="D513" s="244">
        <f t="shared" si="48"/>
        <v>8</v>
      </c>
      <c r="E513" s="244">
        <f t="shared" si="49"/>
        <v>10</v>
      </c>
      <c r="G513" s="259" t="str">
        <f t="shared" si="50"/>
        <v>&lt;ct6421&gt;</v>
      </c>
      <c r="H513" s="260">
        <f>VLOOKUP(N513,BCDTK!$E$9:$L$132,4,0)</f>
        <v>0</v>
      </c>
      <c r="I513" s="261" t="str">
        <f t="shared" si="51"/>
        <v>&lt;/ct6421&gt;</v>
      </c>
      <c r="J513" s="262"/>
      <c r="K513" s="262"/>
      <c r="L513" s="262"/>
      <c r="M513" s="263"/>
      <c r="N513" s="265">
        <v>6421</v>
      </c>
    </row>
    <row r="514" spans="1:14" x14ac:dyDescent="0.45">
      <c r="A514" s="253" t="str">
        <f t="shared" si="52"/>
        <v>&lt;ct6422&gt;0&lt;/ct6422&gt;</v>
      </c>
      <c r="B514" s="243" t="s">
        <v>1696</v>
      </c>
      <c r="C514" s="244">
        <f t="shared" si="47"/>
        <v>2</v>
      </c>
      <c r="D514" s="244">
        <f t="shared" si="48"/>
        <v>8</v>
      </c>
      <c r="E514" s="244">
        <f t="shared" si="49"/>
        <v>10</v>
      </c>
      <c r="G514" s="259" t="str">
        <f t="shared" si="50"/>
        <v>&lt;ct6422&gt;</v>
      </c>
      <c r="H514" s="260">
        <f>VLOOKUP(N514,BCDTK!$E$9:$L$132,4,0)</f>
        <v>0</v>
      </c>
      <c r="I514" s="261" t="str">
        <f t="shared" si="51"/>
        <v>&lt;/ct6422&gt;</v>
      </c>
      <c r="J514" s="262"/>
      <c r="K514" s="262"/>
      <c r="L514" s="262"/>
      <c r="M514" s="263"/>
      <c r="N514" s="265">
        <v>6422</v>
      </c>
    </row>
    <row r="515" spans="1:14" x14ac:dyDescent="0.45">
      <c r="A515" s="253" t="str">
        <f t="shared" si="52"/>
        <v>&lt;ct711&gt;0&lt;/ct711&gt;</v>
      </c>
      <c r="B515" s="243" t="s">
        <v>1697</v>
      </c>
      <c r="C515" s="244">
        <f t="shared" si="47"/>
        <v>2</v>
      </c>
      <c r="D515" s="244">
        <f t="shared" si="48"/>
        <v>7</v>
      </c>
      <c r="E515" s="244">
        <f t="shared" si="49"/>
        <v>9</v>
      </c>
      <c r="G515" s="259" t="str">
        <f t="shared" si="50"/>
        <v>&lt;ct711&gt;</v>
      </c>
      <c r="H515" s="260">
        <f>VLOOKUP(N515,BCDTK!$E$9:$L$132,4,0)</f>
        <v>0</v>
      </c>
      <c r="I515" s="261" t="str">
        <f t="shared" si="51"/>
        <v>&lt;/ct711&gt;</v>
      </c>
      <c r="J515" s="262"/>
      <c r="K515" s="262"/>
      <c r="L515" s="262"/>
      <c r="M515" s="263"/>
      <c r="N515" s="265">
        <v>711</v>
      </c>
    </row>
    <row r="516" spans="1:14" x14ac:dyDescent="0.45">
      <c r="A516" s="253" t="str">
        <f t="shared" si="52"/>
        <v>&lt;ct811&gt;0&lt;/ct811&gt;</v>
      </c>
      <c r="B516" s="243" t="s">
        <v>1698</v>
      </c>
      <c r="C516" s="244">
        <f t="shared" si="47"/>
        <v>2</v>
      </c>
      <c r="D516" s="244">
        <f t="shared" si="48"/>
        <v>7</v>
      </c>
      <c r="E516" s="244">
        <f t="shared" si="49"/>
        <v>9</v>
      </c>
      <c r="G516" s="259" t="str">
        <f t="shared" si="50"/>
        <v>&lt;ct811&gt;</v>
      </c>
      <c r="H516" s="260">
        <f>VLOOKUP(N516,BCDTK!$E$9:$L$132,4,0)</f>
        <v>0</v>
      </c>
      <c r="I516" s="261" t="str">
        <f t="shared" si="51"/>
        <v>&lt;/ct811&gt;</v>
      </c>
      <c r="J516" s="262"/>
      <c r="K516" s="262"/>
      <c r="L516" s="262"/>
      <c r="M516" s="263"/>
      <c r="N516" s="265">
        <v>811</v>
      </c>
    </row>
    <row r="517" spans="1:14" x14ac:dyDescent="0.45">
      <c r="A517" s="253" t="str">
        <f t="shared" si="52"/>
        <v>&lt;ct821&gt;0&lt;/ct821&gt;</v>
      </c>
      <c r="B517" s="243" t="s">
        <v>1699</v>
      </c>
      <c r="C517" s="244">
        <f t="shared" si="47"/>
        <v>2</v>
      </c>
      <c r="D517" s="244">
        <f t="shared" si="48"/>
        <v>7</v>
      </c>
      <c r="E517" s="244">
        <f t="shared" si="49"/>
        <v>9</v>
      </c>
      <c r="G517" s="259" t="str">
        <f t="shared" si="50"/>
        <v>&lt;ct821&gt;</v>
      </c>
      <c r="H517" s="260">
        <f>VLOOKUP(N517,BCDTK!$E$9:$L$132,4,0)</f>
        <v>0</v>
      </c>
      <c r="I517" s="261" t="str">
        <f t="shared" si="51"/>
        <v>&lt;/ct821&gt;</v>
      </c>
      <c r="J517" s="262"/>
      <c r="K517" s="262"/>
      <c r="L517" s="262"/>
      <c r="M517" s="263"/>
      <c r="N517" s="265">
        <v>821</v>
      </c>
    </row>
    <row r="518" spans="1:14" x14ac:dyDescent="0.45">
      <c r="A518" s="253" t="str">
        <f t="shared" si="52"/>
        <v>&lt;ct911&gt;0&lt;/ct911&gt;</v>
      </c>
      <c r="B518" s="243" t="s">
        <v>1700</v>
      </c>
      <c r="C518" s="244">
        <f t="shared" si="47"/>
        <v>2</v>
      </c>
      <c r="D518" s="244">
        <f t="shared" si="48"/>
        <v>7</v>
      </c>
      <c r="E518" s="244">
        <f t="shared" si="49"/>
        <v>9</v>
      </c>
      <c r="G518" s="259" t="str">
        <f t="shared" si="50"/>
        <v>&lt;ct911&gt;</v>
      </c>
      <c r="H518" s="260">
        <f>VLOOKUP(N518,BCDTK!$E$9:$L$132,4,0)</f>
        <v>0</v>
      </c>
      <c r="I518" s="261" t="str">
        <f t="shared" si="51"/>
        <v>&lt;/ct911&gt;</v>
      </c>
      <c r="J518" s="262"/>
      <c r="K518" s="262"/>
      <c r="L518" s="262"/>
      <c r="M518" s="263"/>
      <c r="N518" s="265">
        <v>911</v>
      </c>
    </row>
    <row r="519" spans="1:14" x14ac:dyDescent="0.45">
      <c r="A519" s="253" t="str">
        <f t="shared" si="52"/>
        <v>&lt;tongCong&gt;505015463&lt;/tongCong&gt;</v>
      </c>
      <c r="B519" s="243" t="s">
        <v>1701</v>
      </c>
      <c r="C519" s="244">
        <f t="shared" si="47"/>
        <v>2</v>
      </c>
      <c r="D519" s="244">
        <f t="shared" si="48"/>
        <v>10</v>
      </c>
      <c r="E519" s="244">
        <f t="shared" si="49"/>
        <v>12</v>
      </c>
      <c r="G519" s="259" t="str">
        <f t="shared" si="50"/>
        <v>&lt;tongCong&gt;</v>
      </c>
      <c r="H519" s="260">
        <f>VLOOKUP(N519,BCDTK!$E$9:$L$132,4,0)</f>
        <v>505015463</v>
      </c>
      <c r="I519" s="261" t="str">
        <f t="shared" si="51"/>
        <v>&lt;/tongCong&gt;</v>
      </c>
      <c r="J519" s="262"/>
      <c r="K519" s="262"/>
      <c r="L519" s="262"/>
      <c r="M519" s="263"/>
      <c r="N519" s="265" t="s">
        <v>1794</v>
      </c>
    </row>
    <row r="520" spans="1:14" x14ac:dyDescent="0.45">
      <c r="A520" s="253" t="str">
        <f t="shared" si="52"/>
        <v>&lt;/Co&gt;</v>
      </c>
      <c r="B520" s="243" t="s">
        <v>1704</v>
      </c>
      <c r="C520" s="244">
        <f t="shared" si="47"/>
        <v>1</v>
      </c>
      <c r="D520" s="244">
        <f t="shared" si="48"/>
        <v>5</v>
      </c>
      <c r="E520" s="244">
        <f t="shared" si="49"/>
        <v>1</v>
      </c>
      <c r="G520" s="259" t="str">
        <f t="shared" si="50"/>
        <v>&lt;/Co&gt;</v>
      </c>
      <c r="H520" s="260"/>
      <c r="I520" s="261" t="str">
        <f t="shared" si="51"/>
        <v/>
      </c>
      <c r="J520" s="262"/>
      <c r="K520" s="262"/>
      <c r="L520" s="262"/>
      <c r="M520" s="263"/>
    </row>
    <row r="521" spans="1:14" x14ac:dyDescent="0.45">
      <c r="A521" s="253" t="str">
        <f t="shared" si="52"/>
        <v>&lt;/SoDuDauKy&gt;</v>
      </c>
      <c r="B521" s="243" t="s">
        <v>1705</v>
      </c>
      <c r="C521" s="244">
        <f t="shared" si="47"/>
        <v>1</v>
      </c>
      <c r="D521" s="244">
        <f t="shared" si="48"/>
        <v>12</v>
      </c>
      <c r="E521" s="244">
        <f t="shared" si="49"/>
        <v>1</v>
      </c>
      <c r="G521" s="259" t="str">
        <f t="shared" si="50"/>
        <v>&lt;/SoDuDauKy&gt;</v>
      </c>
      <c r="H521" s="260"/>
      <c r="I521" s="261" t="str">
        <f t="shared" si="51"/>
        <v/>
      </c>
      <c r="J521" s="262"/>
      <c r="K521" s="262"/>
      <c r="L521" s="262"/>
      <c r="M521" s="263"/>
      <c r="N521" s="265"/>
    </row>
    <row r="522" spans="1:14" x14ac:dyDescent="0.45">
      <c r="A522" s="253" t="str">
        <f t="shared" si="52"/>
        <v>&lt;SoPhatSinhTrongKy&gt;</v>
      </c>
      <c r="B522" s="243" t="s">
        <v>1706</v>
      </c>
      <c r="C522" s="244">
        <f t="shared" si="47"/>
        <v>1</v>
      </c>
      <c r="D522" s="244">
        <f t="shared" si="48"/>
        <v>19</v>
      </c>
      <c r="E522" s="244" t="str">
        <f t="shared" si="49"/>
        <v/>
      </c>
      <c r="G522" s="259" t="str">
        <f t="shared" si="50"/>
        <v>&lt;SoPhatSinhTrongKy&gt;</v>
      </c>
      <c r="H522" s="260"/>
      <c r="I522" s="261" t="str">
        <f t="shared" si="51"/>
        <v/>
      </c>
      <c r="J522" s="262"/>
      <c r="K522" s="262"/>
      <c r="L522" s="262"/>
      <c r="M522" s="263"/>
      <c r="N522" s="265"/>
    </row>
    <row r="523" spans="1:14" x14ac:dyDescent="0.45">
      <c r="A523" s="253" t="str">
        <f t="shared" si="52"/>
        <v>&lt;No&gt;</v>
      </c>
      <c r="B523" s="243" t="s">
        <v>1586</v>
      </c>
      <c r="C523" s="244">
        <f t="shared" si="47"/>
        <v>1</v>
      </c>
      <c r="D523" s="244">
        <f t="shared" si="48"/>
        <v>4</v>
      </c>
      <c r="E523" s="244" t="str">
        <f t="shared" si="49"/>
        <v/>
      </c>
      <c r="G523" s="259" t="str">
        <f t="shared" si="50"/>
        <v>&lt;No&gt;</v>
      </c>
      <c r="H523" s="260"/>
      <c r="I523" s="261" t="str">
        <f t="shared" si="51"/>
        <v/>
      </c>
      <c r="J523" s="262"/>
      <c r="K523" s="262"/>
      <c r="L523" s="262"/>
      <c r="M523" s="263"/>
      <c r="N523" s="265"/>
    </row>
    <row r="524" spans="1:14" x14ac:dyDescent="0.45">
      <c r="A524" s="253" t="str">
        <f t="shared" si="52"/>
        <v>&lt;ct111&gt;243367380&lt;/ct111&gt;</v>
      </c>
      <c r="B524" s="243" t="s">
        <v>1707</v>
      </c>
      <c r="C524" s="244">
        <f t="shared" si="47"/>
        <v>2</v>
      </c>
      <c r="D524" s="244">
        <f t="shared" si="48"/>
        <v>7</v>
      </c>
      <c r="E524" s="244">
        <f t="shared" si="49"/>
        <v>17</v>
      </c>
      <c r="G524" s="259" t="str">
        <f t="shared" si="50"/>
        <v>&lt;ct111&gt;</v>
      </c>
      <c r="H524" s="260">
        <f>VLOOKUP(N524,BCDTK!$E$9:$L$132,5,0)</f>
        <v>243367380</v>
      </c>
      <c r="I524" s="261" t="str">
        <f t="shared" si="51"/>
        <v>&lt;/ct111&gt;</v>
      </c>
      <c r="J524" s="262"/>
      <c r="K524" s="262"/>
      <c r="L524" s="262"/>
      <c r="M524" s="263"/>
      <c r="N524" s="265">
        <v>111</v>
      </c>
    </row>
    <row r="525" spans="1:14" x14ac:dyDescent="0.45">
      <c r="A525" s="253" t="str">
        <f t="shared" si="52"/>
        <v>&lt;ct1111&gt;243367380&lt;/ct1111&gt;</v>
      </c>
      <c r="B525" s="243" t="s">
        <v>1708</v>
      </c>
      <c r="C525" s="244">
        <f t="shared" si="47"/>
        <v>2</v>
      </c>
      <c r="D525" s="244">
        <f t="shared" si="48"/>
        <v>8</v>
      </c>
      <c r="E525" s="244">
        <f t="shared" si="49"/>
        <v>18</v>
      </c>
      <c r="G525" s="259" t="str">
        <f t="shared" si="50"/>
        <v>&lt;ct1111&gt;</v>
      </c>
      <c r="H525" s="260">
        <f>VLOOKUP(N525,BCDTK!$E$9:$L$132,5,0)</f>
        <v>243367380</v>
      </c>
      <c r="I525" s="261" t="str">
        <f t="shared" si="51"/>
        <v>&lt;/ct1111&gt;</v>
      </c>
      <c r="J525" s="262"/>
      <c r="K525" s="262"/>
      <c r="L525" s="262"/>
      <c r="M525" s="263"/>
      <c r="N525" s="265">
        <v>1111</v>
      </c>
    </row>
    <row r="526" spans="1:14" x14ac:dyDescent="0.45">
      <c r="A526" s="253" t="str">
        <f t="shared" si="52"/>
        <v>&lt;ct1112&gt;0&lt;/ct1112&gt;</v>
      </c>
      <c r="B526" s="243" t="s">
        <v>1589</v>
      </c>
      <c r="C526" s="244">
        <f t="shared" si="47"/>
        <v>2</v>
      </c>
      <c r="D526" s="244">
        <f t="shared" si="48"/>
        <v>8</v>
      </c>
      <c r="E526" s="244">
        <f t="shared" si="49"/>
        <v>10</v>
      </c>
      <c r="G526" s="259" t="str">
        <f t="shared" si="50"/>
        <v>&lt;ct1112&gt;</v>
      </c>
      <c r="H526" s="260">
        <f>VLOOKUP(N526,BCDTK!$E$9:$L$132,5,0)</f>
        <v>0</v>
      </c>
      <c r="I526" s="261" t="str">
        <f t="shared" si="51"/>
        <v>&lt;/ct1112&gt;</v>
      </c>
      <c r="J526" s="262"/>
      <c r="K526" s="262"/>
      <c r="L526" s="262"/>
      <c r="M526" s="263"/>
      <c r="N526" s="265">
        <v>1112</v>
      </c>
    </row>
    <row r="527" spans="1:14" x14ac:dyDescent="0.45">
      <c r="A527" s="253" t="str">
        <f t="shared" si="52"/>
        <v>&lt;ct112&gt;380885904&lt;/ct112&gt;</v>
      </c>
      <c r="B527" s="243" t="s">
        <v>1709</v>
      </c>
      <c r="C527" s="244">
        <f t="shared" si="47"/>
        <v>2</v>
      </c>
      <c r="D527" s="244">
        <f t="shared" si="48"/>
        <v>7</v>
      </c>
      <c r="E527" s="244">
        <f t="shared" si="49"/>
        <v>18</v>
      </c>
      <c r="G527" s="259" t="str">
        <f t="shared" si="50"/>
        <v>&lt;ct112&gt;</v>
      </c>
      <c r="H527" s="260">
        <f>VLOOKUP(N527,BCDTK!$E$9:$L$132,5,0)</f>
        <v>380885904</v>
      </c>
      <c r="I527" s="261" t="str">
        <f t="shared" si="51"/>
        <v>&lt;/ct112&gt;</v>
      </c>
      <c r="J527" s="262"/>
      <c r="K527" s="262"/>
      <c r="L527" s="262"/>
      <c r="M527" s="263"/>
      <c r="N527" s="265">
        <v>112</v>
      </c>
    </row>
    <row r="528" spans="1:14" x14ac:dyDescent="0.45">
      <c r="A528" s="253" t="str">
        <f t="shared" si="52"/>
        <v>&lt;ct1121&gt;380885904&lt;/ct1121&gt;</v>
      </c>
      <c r="B528" s="243" t="s">
        <v>1710</v>
      </c>
      <c r="C528" s="244">
        <f t="shared" si="47"/>
        <v>2</v>
      </c>
      <c r="D528" s="244">
        <f t="shared" si="48"/>
        <v>8</v>
      </c>
      <c r="E528" s="244">
        <f t="shared" si="49"/>
        <v>19</v>
      </c>
      <c r="G528" s="259" t="str">
        <f t="shared" si="50"/>
        <v>&lt;ct1121&gt;</v>
      </c>
      <c r="H528" s="260">
        <f>VLOOKUP(N528,BCDTK!$E$9:$L$132,5,0)</f>
        <v>380885904</v>
      </c>
      <c r="I528" s="261" t="str">
        <f t="shared" si="51"/>
        <v>&lt;/ct1121&gt;</v>
      </c>
      <c r="J528" s="262"/>
      <c r="K528" s="262"/>
      <c r="L528" s="262"/>
      <c r="M528" s="263"/>
      <c r="N528" s="265">
        <v>1121</v>
      </c>
    </row>
    <row r="529" spans="1:14" x14ac:dyDescent="0.45">
      <c r="A529" s="253" t="str">
        <f t="shared" si="52"/>
        <v>&lt;ct1122&gt;0&lt;/ct1122&gt;</v>
      </c>
      <c r="B529" s="243" t="s">
        <v>1711</v>
      </c>
      <c r="C529" s="244">
        <f t="shared" si="47"/>
        <v>2</v>
      </c>
      <c r="D529" s="244">
        <f t="shared" si="48"/>
        <v>8</v>
      </c>
      <c r="E529" s="244">
        <f t="shared" si="49"/>
        <v>19</v>
      </c>
      <c r="G529" s="259" t="str">
        <f t="shared" si="50"/>
        <v>&lt;ct1122&gt;</v>
      </c>
      <c r="H529" s="260">
        <f>VLOOKUP(N529,BCDTK!$E$9:$L$132,5,0)</f>
        <v>0</v>
      </c>
      <c r="I529" s="261" t="str">
        <f t="shared" si="51"/>
        <v>&lt;/ct1122&gt;</v>
      </c>
      <c r="J529" s="262"/>
      <c r="K529" s="262"/>
      <c r="L529" s="262"/>
      <c r="M529" s="263"/>
      <c r="N529" s="265">
        <v>1122</v>
      </c>
    </row>
    <row r="530" spans="1:14" x14ac:dyDescent="0.45">
      <c r="A530" s="253" t="str">
        <f t="shared" si="52"/>
        <v>&lt;ct121&gt;0&lt;/ct121&gt;</v>
      </c>
      <c r="B530" s="243" t="s">
        <v>1461</v>
      </c>
      <c r="C530" s="244">
        <f t="shared" si="47"/>
        <v>2</v>
      </c>
      <c r="D530" s="244">
        <f t="shared" si="48"/>
        <v>7</v>
      </c>
      <c r="E530" s="244">
        <f t="shared" si="49"/>
        <v>9</v>
      </c>
      <c r="G530" s="259" t="str">
        <f t="shared" si="50"/>
        <v>&lt;ct121&gt;</v>
      </c>
      <c r="H530" s="260">
        <f>VLOOKUP(N530,BCDTK!$E$9:$L$132,5,0)</f>
        <v>0</v>
      </c>
      <c r="I530" s="261" t="str">
        <f t="shared" si="51"/>
        <v>&lt;/ct121&gt;</v>
      </c>
      <c r="J530" s="262"/>
      <c r="K530" s="262"/>
      <c r="L530" s="262"/>
      <c r="M530" s="263"/>
      <c r="N530" s="265">
        <v>121</v>
      </c>
    </row>
    <row r="531" spans="1:14" x14ac:dyDescent="0.45">
      <c r="A531" s="253" t="str">
        <f t="shared" si="52"/>
        <v>&lt;ct128&gt;0&lt;/ct128&gt;</v>
      </c>
      <c r="B531" s="243" t="s">
        <v>1593</v>
      </c>
      <c r="C531" s="244">
        <f t="shared" si="47"/>
        <v>2</v>
      </c>
      <c r="D531" s="244">
        <f t="shared" si="48"/>
        <v>7</v>
      </c>
      <c r="E531" s="244">
        <f t="shared" si="49"/>
        <v>9</v>
      </c>
      <c r="G531" s="259" t="str">
        <f t="shared" si="50"/>
        <v>&lt;ct128&gt;</v>
      </c>
      <c r="H531" s="260">
        <f>VLOOKUP(N531,BCDTK!$E$9:$L$132,5,0)</f>
        <v>0</v>
      </c>
      <c r="I531" s="261" t="str">
        <f t="shared" si="51"/>
        <v>&lt;/ct128&gt;</v>
      </c>
      <c r="J531" s="262"/>
      <c r="K531" s="262"/>
      <c r="L531" s="262"/>
      <c r="M531" s="263"/>
      <c r="N531" s="265">
        <v>128</v>
      </c>
    </row>
    <row r="532" spans="1:14" x14ac:dyDescent="0.45">
      <c r="A532" s="253" t="str">
        <f t="shared" si="52"/>
        <v>&lt;ct1281&gt;0&lt;/ct1281&gt;</v>
      </c>
      <c r="B532" s="243" t="s">
        <v>1594</v>
      </c>
      <c r="C532" s="244">
        <f t="shared" si="47"/>
        <v>2</v>
      </c>
      <c r="D532" s="244">
        <f t="shared" si="48"/>
        <v>8</v>
      </c>
      <c r="E532" s="244">
        <f t="shared" si="49"/>
        <v>10</v>
      </c>
      <c r="G532" s="259" t="str">
        <f t="shared" si="50"/>
        <v>&lt;ct1281&gt;</v>
      </c>
      <c r="H532" s="260">
        <f>VLOOKUP(N532,BCDTK!$E$9:$L$132,5,0)</f>
        <v>0</v>
      </c>
      <c r="I532" s="261" t="str">
        <f t="shared" si="51"/>
        <v>&lt;/ct1281&gt;</v>
      </c>
      <c r="J532" s="262"/>
      <c r="K532" s="262"/>
      <c r="L532" s="262"/>
      <c r="M532" s="263"/>
      <c r="N532" s="265">
        <v>1281</v>
      </c>
    </row>
    <row r="533" spans="1:14" x14ac:dyDescent="0.45">
      <c r="A533" s="253" t="str">
        <f t="shared" si="52"/>
        <v>&lt;ct1288&gt;0&lt;/ct1288&gt;</v>
      </c>
      <c r="B533" s="243" t="s">
        <v>1595</v>
      </c>
      <c r="C533" s="244">
        <f t="shared" si="47"/>
        <v>2</v>
      </c>
      <c r="D533" s="244">
        <f t="shared" si="48"/>
        <v>8</v>
      </c>
      <c r="E533" s="244">
        <f t="shared" si="49"/>
        <v>10</v>
      </c>
      <c r="G533" s="259" t="str">
        <f t="shared" si="50"/>
        <v>&lt;ct1288&gt;</v>
      </c>
      <c r="H533" s="260">
        <f>VLOOKUP(N533,BCDTK!$E$9:$L$132,5,0)</f>
        <v>0</v>
      </c>
      <c r="I533" s="261" t="str">
        <f t="shared" si="51"/>
        <v>&lt;/ct1288&gt;</v>
      </c>
      <c r="J533" s="262"/>
      <c r="K533" s="262"/>
      <c r="L533" s="262"/>
      <c r="M533" s="263"/>
      <c r="N533" s="265">
        <v>1288</v>
      </c>
    </row>
    <row r="534" spans="1:14" x14ac:dyDescent="0.45">
      <c r="A534" s="253" t="str">
        <f t="shared" si="52"/>
        <v>&lt;ct131&gt;54240000&lt;/ct131&gt;</v>
      </c>
      <c r="B534" s="243" t="s">
        <v>1712</v>
      </c>
      <c r="C534" s="244">
        <f t="shared" si="47"/>
        <v>2</v>
      </c>
      <c r="D534" s="244">
        <f t="shared" si="48"/>
        <v>7</v>
      </c>
      <c r="E534" s="244">
        <f t="shared" si="49"/>
        <v>17</v>
      </c>
      <c r="G534" s="259" t="str">
        <f t="shared" si="50"/>
        <v>&lt;ct131&gt;</v>
      </c>
      <c r="H534" s="260">
        <f>VLOOKUP(N534,BCDTK!$E$9:$L$132,5,0)</f>
        <v>54240000</v>
      </c>
      <c r="I534" s="261" t="str">
        <f t="shared" si="51"/>
        <v>&lt;/ct131&gt;</v>
      </c>
      <c r="J534" s="262"/>
      <c r="K534" s="262"/>
      <c r="L534" s="262"/>
      <c r="M534" s="263"/>
      <c r="N534" s="265">
        <v>131</v>
      </c>
    </row>
    <row r="535" spans="1:14" x14ac:dyDescent="0.45">
      <c r="A535" s="253" t="str">
        <f t="shared" si="52"/>
        <v>&lt;ct133&gt;40645620&lt;/ct133&gt;</v>
      </c>
      <c r="B535" s="243" t="s">
        <v>1713</v>
      </c>
      <c r="C535" s="244">
        <f t="shared" si="47"/>
        <v>2</v>
      </c>
      <c r="D535" s="244">
        <f t="shared" si="48"/>
        <v>7</v>
      </c>
      <c r="E535" s="244">
        <f t="shared" si="49"/>
        <v>16</v>
      </c>
      <c r="G535" s="259" t="str">
        <f t="shared" si="50"/>
        <v>&lt;ct133&gt;</v>
      </c>
      <c r="H535" s="260">
        <f>VLOOKUP(N535,BCDTK!$E$9:$L$132,5,0)</f>
        <v>40645620</v>
      </c>
      <c r="I535" s="261" t="str">
        <f t="shared" si="51"/>
        <v>&lt;/ct133&gt;</v>
      </c>
      <c r="J535" s="262"/>
      <c r="K535" s="262"/>
      <c r="L535" s="262"/>
      <c r="M535" s="263"/>
      <c r="N535" s="265">
        <v>133</v>
      </c>
    </row>
    <row r="536" spans="1:14" x14ac:dyDescent="0.45">
      <c r="A536" s="253" t="str">
        <f t="shared" si="52"/>
        <v>&lt;ct1331&gt;40645620&lt;/ct1331&gt;</v>
      </c>
      <c r="B536" s="243" t="s">
        <v>1714</v>
      </c>
      <c r="C536" s="244">
        <f t="shared" si="47"/>
        <v>2</v>
      </c>
      <c r="D536" s="244">
        <f t="shared" si="48"/>
        <v>8</v>
      </c>
      <c r="E536" s="244">
        <f t="shared" si="49"/>
        <v>17</v>
      </c>
      <c r="G536" s="259" t="str">
        <f t="shared" si="50"/>
        <v>&lt;ct1331&gt;</v>
      </c>
      <c r="H536" s="260">
        <f>VLOOKUP(N536,BCDTK!$E$9:$L$132,5,0)</f>
        <v>40645620</v>
      </c>
      <c r="I536" s="261" t="str">
        <f t="shared" si="51"/>
        <v>&lt;/ct1331&gt;</v>
      </c>
      <c r="J536" s="262"/>
      <c r="K536" s="262"/>
      <c r="L536" s="262"/>
      <c r="M536" s="263"/>
      <c r="N536" s="265">
        <v>1331</v>
      </c>
    </row>
    <row r="537" spans="1:14" x14ac:dyDescent="0.45">
      <c r="A537" s="253" t="str">
        <f t="shared" si="52"/>
        <v>&lt;ct1332&gt;0&lt;/ct1332&gt;</v>
      </c>
      <c r="B537" s="243" t="s">
        <v>1597</v>
      </c>
      <c r="C537" s="244">
        <f t="shared" ref="C537:C600" si="53">LEN(B537)-LEN(SUBSTITUTE(B537,"&lt;",""))</f>
        <v>2</v>
      </c>
      <c r="D537" s="244">
        <f t="shared" ref="D537:D600" si="54">SEARCH("&gt;",B537)</f>
        <v>8</v>
      </c>
      <c r="E537" s="244">
        <f t="shared" ref="E537:E600" si="55">IFERROR(SEARCH("&lt;/",B537),"")</f>
        <v>10</v>
      </c>
      <c r="G537" s="259" t="str">
        <f t="shared" ref="G537:G600" si="56">LEFT(B537,D537)</f>
        <v>&lt;ct1332&gt;</v>
      </c>
      <c r="H537" s="260">
        <f>VLOOKUP(N537,BCDTK!$E$9:$L$132,5,0)</f>
        <v>0</v>
      </c>
      <c r="I537" s="261" t="str">
        <f t="shared" ref="I537:I600" si="57">IF(C537=2,RIGHT(B537,LEN(B537)-E537+1),"")</f>
        <v>&lt;/ct1332&gt;</v>
      </c>
      <c r="J537" s="262"/>
      <c r="K537" s="262"/>
      <c r="L537" s="262"/>
      <c r="M537" s="263"/>
      <c r="N537" s="265">
        <v>1332</v>
      </c>
    </row>
    <row r="538" spans="1:14" x14ac:dyDescent="0.45">
      <c r="A538" s="253" t="str">
        <f t="shared" si="52"/>
        <v>&lt;ct136&gt;0&lt;/ct136&gt;</v>
      </c>
      <c r="B538" s="243" t="s">
        <v>1471</v>
      </c>
      <c r="C538" s="244">
        <f t="shared" si="53"/>
        <v>2</v>
      </c>
      <c r="D538" s="244">
        <f t="shared" si="54"/>
        <v>7</v>
      </c>
      <c r="E538" s="244">
        <f t="shared" si="55"/>
        <v>9</v>
      </c>
      <c r="G538" s="259" t="str">
        <f t="shared" si="56"/>
        <v>&lt;ct136&gt;</v>
      </c>
      <c r="H538" s="260">
        <f>VLOOKUP(N538,BCDTK!$E$9:$L$132,5,0)</f>
        <v>0</v>
      </c>
      <c r="I538" s="261" t="str">
        <f t="shared" si="57"/>
        <v>&lt;/ct136&gt;</v>
      </c>
      <c r="J538" s="262"/>
      <c r="K538" s="262"/>
      <c r="L538" s="262"/>
      <c r="M538" s="263"/>
      <c r="N538" s="265">
        <v>136</v>
      </c>
    </row>
    <row r="539" spans="1:14" x14ac:dyDescent="0.45">
      <c r="A539" s="253" t="str">
        <f t="shared" si="52"/>
        <v>&lt;ct1361&gt;0&lt;/ct1361&gt;</v>
      </c>
      <c r="B539" s="243" t="s">
        <v>1598</v>
      </c>
      <c r="C539" s="244">
        <f t="shared" si="53"/>
        <v>2</v>
      </c>
      <c r="D539" s="244">
        <f t="shared" si="54"/>
        <v>8</v>
      </c>
      <c r="E539" s="244">
        <f t="shared" si="55"/>
        <v>10</v>
      </c>
      <c r="G539" s="259" t="str">
        <f t="shared" si="56"/>
        <v>&lt;ct1361&gt;</v>
      </c>
      <c r="H539" s="260">
        <f>VLOOKUP(N539,BCDTK!$E$9:$L$132,5,0)</f>
        <v>0</v>
      </c>
      <c r="I539" s="261" t="str">
        <f t="shared" si="57"/>
        <v>&lt;/ct1361&gt;</v>
      </c>
      <c r="J539" s="262"/>
      <c r="K539" s="262"/>
      <c r="L539" s="262"/>
      <c r="M539" s="263"/>
      <c r="N539" s="265">
        <v>1361</v>
      </c>
    </row>
    <row r="540" spans="1:14" x14ac:dyDescent="0.45">
      <c r="A540" s="253" t="str">
        <f t="shared" si="52"/>
        <v>&lt;ct1368&gt;0&lt;/ct1368&gt;</v>
      </c>
      <c r="B540" s="243" t="s">
        <v>1599</v>
      </c>
      <c r="C540" s="244">
        <f t="shared" si="53"/>
        <v>2</v>
      </c>
      <c r="D540" s="244">
        <f t="shared" si="54"/>
        <v>8</v>
      </c>
      <c r="E540" s="244">
        <f t="shared" si="55"/>
        <v>10</v>
      </c>
      <c r="G540" s="259" t="str">
        <f t="shared" si="56"/>
        <v>&lt;ct1368&gt;</v>
      </c>
      <c r="H540" s="260">
        <f>VLOOKUP(N540,BCDTK!$E$9:$L$132,5,0)</f>
        <v>0</v>
      </c>
      <c r="I540" s="261" t="str">
        <f t="shared" si="57"/>
        <v>&lt;/ct1368&gt;</v>
      </c>
      <c r="J540" s="262"/>
      <c r="K540" s="262"/>
      <c r="L540" s="262"/>
      <c r="M540" s="263"/>
      <c r="N540" s="265">
        <v>1368</v>
      </c>
    </row>
    <row r="541" spans="1:14" x14ac:dyDescent="0.45">
      <c r="A541" s="253" t="str">
        <f t="shared" si="52"/>
        <v>&lt;ct138&gt;0&lt;/ct138&gt;</v>
      </c>
      <c r="B541" s="243" t="s">
        <v>1715</v>
      </c>
      <c r="C541" s="244">
        <f t="shared" si="53"/>
        <v>2</v>
      </c>
      <c r="D541" s="244">
        <f t="shared" si="54"/>
        <v>7</v>
      </c>
      <c r="E541" s="244">
        <f t="shared" si="55"/>
        <v>16</v>
      </c>
      <c r="G541" s="259" t="str">
        <f t="shared" si="56"/>
        <v>&lt;ct138&gt;</v>
      </c>
      <c r="H541" s="260">
        <f>VLOOKUP(N541,BCDTK!$E$9:$L$132,5,0)</f>
        <v>0</v>
      </c>
      <c r="I541" s="261" t="str">
        <f t="shared" si="57"/>
        <v>&lt;/ct138&gt;</v>
      </c>
      <c r="J541" s="262"/>
      <c r="K541" s="262"/>
      <c r="L541" s="262"/>
      <c r="M541" s="263"/>
      <c r="N541" s="265">
        <v>138</v>
      </c>
    </row>
    <row r="542" spans="1:14" x14ac:dyDescent="0.45">
      <c r="A542" s="253" t="str">
        <f t="shared" si="52"/>
        <v>&lt;ct1381&gt;0&lt;/ct1381&gt;</v>
      </c>
      <c r="B542" s="243" t="s">
        <v>1601</v>
      </c>
      <c r="C542" s="244">
        <f t="shared" si="53"/>
        <v>2</v>
      </c>
      <c r="D542" s="244">
        <f t="shared" si="54"/>
        <v>8</v>
      </c>
      <c r="E542" s="244">
        <f t="shared" si="55"/>
        <v>10</v>
      </c>
      <c r="G542" s="259" t="str">
        <f t="shared" si="56"/>
        <v>&lt;ct1381&gt;</v>
      </c>
      <c r="H542" s="260">
        <f>VLOOKUP(N542,BCDTK!$E$9:$L$132,5,0)</f>
        <v>0</v>
      </c>
      <c r="I542" s="261" t="str">
        <f t="shared" si="57"/>
        <v>&lt;/ct1381&gt;</v>
      </c>
      <c r="J542" s="262"/>
      <c r="K542" s="262"/>
      <c r="L542" s="262"/>
      <c r="M542" s="263"/>
      <c r="N542" s="265">
        <v>1381</v>
      </c>
    </row>
    <row r="543" spans="1:14" x14ac:dyDescent="0.45">
      <c r="A543" s="253" t="str">
        <f t="shared" si="52"/>
        <v>&lt;ct1386&gt;0&lt;/ct1386&gt;</v>
      </c>
      <c r="B543" s="243" t="s">
        <v>1716</v>
      </c>
      <c r="C543" s="244">
        <f t="shared" si="53"/>
        <v>2</v>
      </c>
      <c r="D543" s="244">
        <f t="shared" si="54"/>
        <v>8</v>
      </c>
      <c r="E543" s="244">
        <f t="shared" si="55"/>
        <v>17</v>
      </c>
      <c r="G543" s="259" t="str">
        <f t="shared" si="56"/>
        <v>&lt;ct1386&gt;</v>
      </c>
      <c r="H543" s="260">
        <f>VLOOKUP(N543,BCDTK!$E$9:$L$132,5,0)</f>
        <v>0</v>
      </c>
      <c r="I543" s="261" t="str">
        <f t="shared" si="57"/>
        <v>&lt;/ct1386&gt;</v>
      </c>
      <c r="J543" s="262"/>
      <c r="K543" s="262"/>
      <c r="L543" s="262"/>
      <c r="M543" s="263"/>
      <c r="N543" s="265">
        <v>1386</v>
      </c>
    </row>
    <row r="544" spans="1:14" x14ac:dyDescent="0.45">
      <c r="A544" s="253" t="str">
        <f t="shared" si="52"/>
        <v>&lt;ct1388&gt;0&lt;/ct1388&gt;</v>
      </c>
      <c r="B544" s="243" t="s">
        <v>1717</v>
      </c>
      <c r="C544" s="244">
        <f t="shared" si="53"/>
        <v>2</v>
      </c>
      <c r="D544" s="244">
        <f t="shared" si="54"/>
        <v>8</v>
      </c>
      <c r="E544" s="244">
        <f t="shared" si="55"/>
        <v>17</v>
      </c>
      <c r="G544" s="259" t="str">
        <f t="shared" si="56"/>
        <v>&lt;ct1388&gt;</v>
      </c>
      <c r="H544" s="260">
        <f>VLOOKUP(N544,BCDTK!$E$9:$L$132,5,0)</f>
        <v>0</v>
      </c>
      <c r="I544" s="261" t="str">
        <f t="shared" si="57"/>
        <v>&lt;/ct1388&gt;</v>
      </c>
      <c r="J544" s="262"/>
      <c r="K544" s="262"/>
      <c r="L544" s="262"/>
      <c r="M544" s="263"/>
      <c r="N544" s="265">
        <v>1388</v>
      </c>
    </row>
    <row r="545" spans="1:14" x14ac:dyDescent="0.45">
      <c r="A545" s="253" t="str">
        <f t="shared" si="52"/>
        <v>&lt;ct141&gt;0&lt;/ct141&gt;</v>
      </c>
      <c r="B545" s="243" t="s">
        <v>1513</v>
      </c>
      <c r="C545" s="244">
        <f t="shared" si="53"/>
        <v>2</v>
      </c>
      <c r="D545" s="244">
        <f t="shared" si="54"/>
        <v>7</v>
      </c>
      <c r="E545" s="244">
        <f t="shared" si="55"/>
        <v>9</v>
      </c>
      <c r="G545" s="259" t="str">
        <f t="shared" si="56"/>
        <v>&lt;ct141&gt;</v>
      </c>
      <c r="H545" s="260">
        <f>VLOOKUP(N545,BCDTK!$E$9:$L$132,5,0)</f>
        <v>0</v>
      </c>
      <c r="I545" s="261" t="str">
        <f t="shared" si="57"/>
        <v>&lt;/ct141&gt;</v>
      </c>
      <c r="J545" s="262"/>
      <c r="K545" s="262"/>
      <c r="L545" s="262"/>
      <c r="M545" s="263"/>
      <c r="N545" s="265">
        <v>141</v>
      </c>
    </row>
    <row r="546" spans="1:14" x14ac:dyDescent="0.45">
      <c r="A546" s="253" t="str">
        <f t="shared" si="52"/>
        <v>&lt;ct151&gt;0&lt;/ct151&gt;</v>
      </c>
      <c r="B546" s="243" t="s">
        <v>1476</v>
      </c>
      <c r="C546" s="244">
        <f t="shared" si="53"/>
        <v>2</v>
      </c>
      <c r="D546" s="244">
        <f t="shared" si="54"/>
        <v>7</v>
      </c>
      <c r="E546" s="244">
        <f t="shared" si="55"/>
        <v>9</v>
      </c>
      <c r="G546" s="259" t="str">
        <f t="shared" si="56"/>
        <v>&lt;ct151&gt;</v>
      </c>
      <c r="H546" s="260">
        <f>VLOOKUP(N546,BCDTK!$E$9:$L$132,5,0)</f>
        <v>0</v>
      </c>
      <c r="I546" s="261" t="str">
        <f t="shared" si="57"/>
        <v>&lt;/ct151&gt;</v>
      </c>
      <c r="J546" s="262"/>
      <c r="K546" s="262"/>
      <c r="L546" s="262"/>
      <c r="M546" s="263"/>
      <c r="N546" s="265">
        <v>151</v>
      </c>
    </row>
    <row r="547" spans="1:14" x14ac:dyDescent="0.45">
      <c r="A547" s="253" t="str">
        <f t="shared" si="52"/>
        <v>&lt;ct152&gt;0&lt;/ct152&gt;</v>
      </c>
      <c r="B547" s="243" t="s">
        <v>1718</v>
      </c>
      <c r="C547" s="244">
        <f t="shared" si="53"/>
        <v>2</v>
      </c>
      <c r="D547" s="244">
        <f t="shared" si="54"/>
        <v>7</v>
      </c>
      <c r="E547" s="244">
        <f t="shared" si="55"/>
        <v>15</v>
      </c>
      <c r="G547" s="259" t="str">
        <f t="shared" si="56"/>
        <v>&lt;ct152&gt;</v>
      </c>
      <c r="H547" s="260">
        <f>VLOOKUP(N547,BCDTK!$E$9:$L$132,5,0)</f>
        <v>0</v>
      </c>
      <c r="I547" s="261" t="str">
        <f t="shared" si="57"/>
        <v>&lt;/ct152&gt;</v>
      </c>
      <c r="J547" s="262"/>
      <c r="K547" s="262"/>
      <c r="L547" s="262"/>
      <c r="M547" s="263"/>
      <c r="N547" s="265">
        <v>152</v>
      </c>
    </row>
    <row r="548" spans="1:14" x14ac:dyDescent="0.45">
      <c r="A548" s="253" t="str">
        <f t="shared" si="52"/>
        <v>&lt;ct153&gt;0&lt;/ct153&gt;</v>
      </c>
      <c r="B548" s="243" t="s">
        <v>1604</v>
      </c>
      <c r="C548" s="244">
        <f t="shared" si="53"/>
        <v>2</v>
      </c>
      <c r="D548" s="244">
        <f t="shared" si="54"/>
        <v>7</v>
      </c>
      <c r="E548" s="244">
        <f t="shared" si="55"/>
        <v>9</v>
      </c>
      <c r="G548" s="259" t="str">
        <f t="shared" si="56"/>
        <v>&lt;ct153&gt;</v>
      </c>
      <c r="H548" s="260">
        <f>VLOOKUP(N548,BCDTK!$E$9:$L$132,5,0)</f>
        <v>0</v>
      </c>
      <c r="I548" s="261" t="str">
        <f t="shared" si="57"/>
        <v>&lt;/ct153&gt;</v>
      </c>
      <c r="J548" s="262"/>
      <c r="K548" s="262"/>
      <c r="L548" s="262"/>
      <c r="M548" s="263"/>
      <c r="N548" s="265">
        <v>153</v>
      </c>
    </row>
    <row r="549" spans="1:14" x14ac:dyDescent="0.45">
      <c r="A549" s="253" t="str">
        <f t="shared" si="52"/>
        <v>&lt;ct154&gt;183572894&lt;/ct154&gt;</v>
      </c>
      <c r="B549" s="243" t="s">
        <v>1719</v>
      </c>
      <c r="C549" s="244">
        <f t="shared" si="53"/>
        <v>2</v>
      </c>
      <c r="D549" s="244">
        <f t="shared" si="54"/>
        <v>7</v>
      </c>
      <c r="E549" s="244">
        <f t="shared" si="55"/>
        <v>17</v>
      </c>
      <c r="G549" s="259" t="str">
        <f t="shared" si="56"/>
        <v>&lt;ct154&gt;</v>
      </c>
      <c r="H549" s="260">
        <f>VLOOKUP(N549,BCDTK!$E$9:$L$132,5,0)</f>
        <v>183572894</v>
      </c>
      <c r="I549" s="261" t="str">
        <f t="shared" si="57"/>
        <v>&lt;/ct154&gt;</v>
      </c>
      <c r="J549" s="262"/>
      <c r="K549" s="262"/>
      <c r="L549" s="262"/>
      <c r="M549" s="263"/>
      <c r="N549" s="265">
        <v>154</v>
      </c>
    </row>
    <row r="550" spans="1:14" x14ac:dyDescent="0.45">
      <c r="A550" s="253" t="str">
        <f t="shared" si="52"/>
        <v>&lt;ct155&gt;0&lt;/ct155&gt;</v>
      </c>
      <c r="B550" s="243" t="s">
        <v>1606</v>
      </c>
      <c r="C550" s="244">
        <f t="shared" si="53"/>
        <v>2</v>
      </c>
      <c r="D550" s="244">
        <f t="shared" si="54"/>
        <v>7</v>
      </c>
      <c r="E550" s="244">
        <f t="shared" si="55"/>
        <v>9</v>
      </c>
      <c r="G550" s="259" t="str">
        <f t="shared" si="56"/>
        <v>&lt;ct155&gt;</v>
      </c>
      <c r="H550" s="260">
        <f>VLOOKUP(N550,BCDTK!$E$9:$L$132,5,0)</f>
        <v>0</v>
      </c>
      <c r="I550" s="261" t="str">
        <f t="shared" si="57"/>
        <v>&lt;/ct155&gt;</v>
      </c>
      <c r="J550" s="262"/>
      <c r="K550" s="262"/>
      <c r="L550" s="262"/>
      <c r="M550" s="263"/>
      <c r="N550" s="265">
        <v>155</v>
      </c>
    </row>
    <row r="551" spans="1:14" x14ac:dyDescent="0.45">
      <c r="A551" s="253" t="str">
        <f t="shared" si="52"/>
        <v>&lt;ct156&gt;0&lt;/ct156&gt;</v>
      </c>
      <c r="B551" s="243" t="s">
        <v>1720</v>
      </c>
      <c r="C551" s="244">
        <f t="shared" si="53"/>
        <v>2</v>
      </c>
      <c r="D551" s="244">
        <f t="shared" si="54"/>
        <v>7</v>
      </c>
      <c r="E551" s="244">
        <f t="shared" si="55"/>
        <v>17</v>
      </c>
      <c r="G551" s="259" t="str">
        <f t="shared" si="56"/>
        <v>&lt;ct156&gt;</v>
      </c>
      <c r="H551" s="260">
        <f>VLOOKUP(N551,BCDTK!$E$9:$L$132,5,0)</f>
        <v>0</v>
      </c>
      <c r="I551" s="261" t="str">
        <f t="shared" si="57"/>
        <v>&lt;/ct156&gt;</v>
      </c>
      <c r="J551" s="262"/>
      <c r="K551" s="262"/>
      <c r="L551" s="262"/>
      <c r="M551" s="263"/>
      <c r="N551" s="265">
        <v>156</v>
      </c>
    </row>
    <row r="552" spans="1:14" x14ac:dyDescent="0.45">
      <c r="A552" s="253" t="str">
        <f t="shared" si="52"/>
        <v>&lt;ct157&gt;0&lt;/ct157&gt;</v>
      </c>
      <c r="B552" s="243" t="s">
        <v>1608</v>
      </c>
      <c r="C552" s="244">
        <f t="shared" si="53"/>
        <v>2</v>
      </c>
      <c r="D552" s="244">
        <f t="shared" si="54"/>
        <v>7</v>
      </c>
      <c r="E552" s="244">
        <f t="shared" si="55"/>
        <v>9</v>
      </c>
      <c r="G552" s="259" t="str">
        <f t="shared" si="56"/>
        <v>&lt;ct157&gt;</v>
      </c>
      <c r="H552" s="260">
        <f>VLOOKUP(N552,BCDTK!$E$9:$L$132,5,0)</f>
        <v>0</v>
      </c>
      <c r="I552" s="261" t="str">
        <f t="shared" si="57"/>
        <v>&lt;/ct157&gt;</v>
      </c>
      <c r="J552" s="262"/>
      <c r="K552" s="262"/>
      <c r="L552" s="262"/>
      <c r="M552" s="263"/>
      <c r="N552" s="265">
        <v>157</v>
      </c>
    </row>
    <row r="553" spans="1:14" x14ac:dyDescent="0.45">
      <c r="A553" s="253" t="str">
        <f t="shared" si="52"/>
        <v>&lt;ct211&gt;423501818&lt;/ct211&gt;</v>
      </c>
      <c r="B553" s="243" t="s">
        <v>1609</v>
      </c>
      <c r="C553" s="244">
        <f t="shared" si="53"/>
        <v>2</v>
      </c>
      <c r="D553" s="244">
        <f t="shared" si="54"/>
        <v>7</v>
      </c>
      <c r="E553" s="244">
        <f t="shared" si="55"/>
        <v>9</v>
      </c>
      <c r="G553" s="259" t="str">
        <f t="shared" si="56"/>
        <v>&lt;ct211&gt;</v>
      </c>
      <c r="H553" s="260">
        <f>VLOOKUP(N553,BCDTK!$E$9:$L$132,5,0)</f>
        <v>423501818</v>
      </c>
      <c r="I553" s="261" t="str">
        <f t="shared" si="57"/>
        <v>&lt;/ct211&gt;</v>
      </c>
      <c r="J553" s="262"/>
      <c r="K553" s="262"/>
      <c r="L553" s="262"/>
      <c r="M553" s="263"/>
      <c r="N553" s="265">
        <v>211</v>
      </c>
    </row>
    <row r="554" spans="1:14" x14ac:dyDescent="0.45">
      <c r="A554" s="253" t="str">
        <f t="shared" si="52"/>
        <v>&lt;ct2111&gt;423501818&lt;/ct2111&gt;</v>
      </c>
      <c r="B554" s="243" t="s">
        <v>1610</v>
      </c>
      <c r="C554" s="244">
        <f t="shared" si="53"/>
        <v>2</v>
      </c>
      <c r="D554" s="244">
        <f t="shared" si="54"/>
        <v>8</v>
      </c>
      <c r="E554" s="244">
        <f t="shared" si="55"/>
        <v>10</v>
      </c>
      <c r="G554" s="259" t="str">
        <f t="shared" si="56"/>
        <v>&lt;ct2111&gt;</v>
      </c>
      <c r="H554" s="260">
        <f>VLOOKUP(N554,BCDTK!$E$9:$L$132,5,0)</f>
        <v>423501818</v>
      </c>
      <c r="I554" s="261" t="str">
        <f t="shared" si="57"/>
        <v>&lt;/ct2111&gt;</v>
      </c>
      <c r="J554" s="262"/>
      <c r="K554" s="262"/>
      <c r="L554" s="262"/>
      <c r="M554" s="263"/>
      <c r="N554" s="265">
        <v>2111</v>
      </c>
    </row>
    <row r="555" spans="1:14" x14ac:dyDescent="0.45">
      <c r="A555" s="253" t="str">
        <f t="shared" si="52"/>
        <v>&lt;ct2112&gt;0&lt;/ct2112&gt;</v>
      </c>
      <c r="B555" s="243" t="s">
        <v>1611</v>
      </c>
      <c r="C555" s="244">
        <f t="shared" si="53"/>
        <v>2</v>
      </c>
      <c r="D555" s="244">
        <f t="shared" si="54"/>
        <v>8</v>
      </c>
      <c r="E555" s="244">
        <f t="shared" si="55"/>
        <v>10</v>
      </c>
      <c r="G555" s="259" t="str">
        <f t="shared" si="56"/>
        <v>&lt;ct2112&gt;</v>
      </c>
      <c r="H555" s="260">
        <f>VLOOKUP(N555,BCDTK!$E$9:$L$132,5,0)</f>
        <v>0</v>
      </c>
      <c r="I555" s="261" t="str">
        <f t="shared" si="57"/>
        <v>&lt;/ct2112&gt;</v>
      </c>
      <c r="J555" s="262"/>
      <c r="K555" s="262"/>
      <c r="L555" s="262"/>
      <c r="M555" s="263"/>
      <c r="N555" s="265">
        <v>2112</v>
      </c>
    </row>
    <row r="556" spans="1:14" x14ac:dyDescent="0.45">
      <c r="A556" s="253" t="str">
        <f t="shared" si="52"/>
        <v>&lt;ct2113&gt;0&lt;/ct2113&gt;</v>
      </c>
      <c r="B556" s="243" t="s">
        <v>1612</v>
      </c>
      <c r="C556" s="244">
        <f t="shared" si="53"/>
        <v>2</v>
      </c>
      <c r="D556" s="244">
        <f t="shared" si="54"/>
        <v>8</v>
      </c>
      <c r="E556" s="244">
        <f t="shared" si="55"/>
        <v>10</v>
      </c>
      <c r="G556" s="259" t="str">
        <f t="shared" si="56"/>
        <v>&lt;ct2113&gt;</v>
      </c>
      <c r="H556" s="260">
        <f>VLOOKUP(N556,BCDTK!$E$9:$L$132,5,0)</f>
        <v>0</v>
      </c>
      <c r="I556" s="261" t="str">
        <f t="shared" si="57"/>
        <v>&lt;/ct2113&gt;</v>
      </c>
      <c r="J556" s="262"/>
      <c r="K556" s="262"/>
      <c r="L556" s="262"/>
      <c r="M556" s="263"/>
      <c r="N556" s="265">
        <v>2113</v>
      </c>
    </row>
    <row r="557" spans="1:14" x14ac:dyDescent="0.45">
      <c r="A557" s="253" t="str">
        <f t="shared" ref="A557:A620" si="58">CONCATENATE(G557,H557,I557)</f>
        <v>&lt;ct214&gt;0&lt;/ct214&gt;</v>
      </c>
      <c r="B557" s="243" t="s">
        <v>1613</v>
      </c>
      <c r="C557" s="244">
        <f t="shared" si="53"/>
        <v>2</v>
      </c>
      <c r="D557" s="244">
        <f t="shared" si="54"/>
        <v>7</v>
      </c>
      <c r="E557" s="244">
        <f t="shared" si="55"/>
        <v>9</v>
      </c>
      <c r="G557" s="259" t="str">
        <f t="shared" si="56"/>
        <v>&lt;ct214&gt;</v>
      </c>
      <c r="H557" s="260">
        <f>VLOOKUP(N557,BCDTK!$E$9:$L$132,5,0)</f>
        <v>0</v>
      </c>
      <c r="I557" s="261" t="str">
        <f t="shared" si="57"/>
        <v>&lt;/ct214&gt;</v>
      </c>
      <c r="J557" s="262"/>
      <c r="K557" s="262"/>
      <c r="L557" s="262"/>
      <c r="M557" s="263"/>
      <c r="N557" s="265">
        <v>214</v>
      </c>
    </row>
    <row r="558" spans="1:14" x14ac:dyDescent="0.45">
      <c r="A558" s="253" t="str">
        <f t="shared" si="58"/>
        <v>&lt;ct2141&gt;0&lt;/ct2141&gt;</v>
      </c>
      <c r="B558" s="243" t="s">
        <v>1614</v>
      </c>
      <c r="C558" s="244">
        <f t="shared" si="53"/>
        <v>2</v>
      </c>
      <c r="D558" s="244">
        <f t="shared" si="54"/>
        <v>8</v>
      </c>
      <c r="E558" s="244">
        <f t="shared" si="55"/>
        <v>10</v>
      </c>
      <c r="G558" s="259" t="str">
        <f t="shared" si="56"/>
        <v>&lt;ct2141&gt;</v>
      </c>
      <c r="H558" s="260">
        <f>VLOOKUP(N558,BCDTK!$E$9:$L$132,5,0)</f>
        <v>0</v>
      </c>
      <c r="I558" s="261" t="str">
        <f t="shared" si="57"/>
        <v>&lt;/ct2141&gt;</v>
      </c>
      <c r="J558" s="262"/>
      <c r="K558" s="262"/>
      <c r="L558" s="262"/>
      <c r="M558" s="263"/>
      <c r="N558" s="265">
        <v>2141</v>
      </c>
    </row>
    <row r="559" spans="1:14" x14ac:dyDescent="0.45">
      <c r="A559" s="253" t="str">
        <f t="shared" si="58"/>
        <v>&lt;ct2142&gt;0&lt;/ct2142&gt;</v>
      </c>
      <c r="B559" s="243" t="s">
        <v>1615</v>
      </c>
      <c r="C559" s="244">
        <f t="shared" si="53"/>
        <v>2</v>
      </c>
      <c r="D559" s="244">
        <f t="shared" si="54"/>
        <v>8</v>
      </c>
      <c r="E559" s="244">
        <f t="shared" si="55"/>
        <v>10</v>
      </c>
      <c r="G559" s="259" t="str">
        <f t="shared" si="56"/>
        <v>&lt;ct2142&gt;</v>
      </c>
      <c r="H559" s="260">
        <f>VLOOKUP(N559,BCDTK!$E$9:$L$132,5,0)</f>
        <v>0</v>
      </c>
      <c r="I559" s="261" t="str">
        <f t="shared" si="57"/>
        <v>&lt;/ct2142&gt;</v>
      </c>
      <c r="J559" s="262"/>
      <c r="K559" s="262"/>
      <c r="L559" s="262"/>
      <c r="M559" s="263"/>
      <c r="N559" s="265">
        <v>2142</v>
      </c>
    </row>
    <row r="560" spans="1:14" x14ac:dyDescent="0.45">
      <c r="A560" s="253" t="str">
        <f t="shared" si="58"/>
        <v>&lt;ct2143&gt;0&lt;/ct2143&gt;</v>
      </c>
      <c r="B560" s="243" t="s">
        <v>1616</v>
      </c>
      <c r="C560" s="244">
        <f t="shared" si="53"/>
        <v>2</v>
      </c>
      <c r="D560" s="244">
        <f t="shared" si="54"/>
        <v>8</v>
      </c>
      <c r="E560" s="244">
        <f t="shared" si="55"/>
        <v>10</v>
      </c>
      <c r="G560" s="259" t="str">
        <f t="shared" si="56"/>
        <v>&lt;ct2143&gt;</v>
      </c>
      <c r="H560" s="260">
        <f>VLOOKUP(N560,BCDTK!$E$9:$L$132,5,0)</f>
        <v>0</v>
      </c>
      <c r="I560" s="261" t="str">
        <f t="shared" si="57"/>
        <v>&lt;/ct2143&gt;</v>
      </c>
      <c r="J560" s="262"/>
      <c r="K560" s="262"/>
      <c r="L560" s="262"/>
      <c r="M560" s="263"/>
      <c r="N560" s="265">
        <v>2143</v>
      </c>
    </row>
    <row r="561" spans="1:14" x14ac:dyDescent="0.45">
      <c r="A561" s="253" t="str">
        <f t="shared" si="58"/>
        <v>&lt;ct2147&gt;0&lt;/ct2147&gt;</v>
      </c>
      <c r="B561" s="243" t="s">
        <v>1617</v>
      </c>
      <c r="C561" s="244">
        <f t="shared" si="53"/>
        <v>2</v>
      </c>
      <c r="D561" s="244">
        <f t="shared" si="54"/>
        <v>8</v>
      </c>
      <c r="E561" s="244">
        <f t="shared" si="55"/>
        <v>10</v>
      </c>
      <c r="G561" s="259" t="str">
        <f t="shared" si="56"/>
        <v>&lt;ct2147&gt;</v>
      </c>
      <c r="H561" s="260">
        <f>VLOOKUP(N561,BCDTK!$E$9:$L$132,5,0)</f>
        <v>0</v>
      </c>
      <c r="I561" s="261" t="str">
        <f t="shared" si="57"/>
        <v>&lt;/ct2147&gt;</v>
      </c>
      <c r="J561" s="262"/>
      <c r="K561" s="262"/>
      <c r="L561" s="262"/>
      <c r="M561" s="263"/>
      <c r="N561" s="265">
        <v>2147</v>
      </c>
    </row>
    <row r="562" spans="1:14" x14ac:dyDescent="0.45">
      <c r="A562" s="253" t="str">
        <f t="shared" si="58"/>
        <v>&lt;ct217&gt;0&lt;/ct217&gt;</v>
      </c>
      <c r="B562" s="243" t="s">
        <v>1618</v>
      </c>
      <c r="C562" s="244">
        <f t="shared" si="53"/>
        <v>2</v>
      </c>
      <c r="D562" s="244">
        <f t="shared" si="54"/>
        <v>7</v>
      </c>
      <c r="E562" s="244">
        <f t="shared" si="55"/>
        <v>9</v>
      </c>
      <c r="G562" s="259" t="str">
        <f t="shared" si="56"/>
        <v>&lt;ct217&gt;</v>
      </c>
      <c r="H562" s="260">
        <f>VLOOKUP(N562,BCDTK!$E$9:$L$132,5,0)</f>
        <v>0</v>
      </c>
      <c r="I562" s="261" t="str">
        <f t="shared" si="57"/>
        <v>&lt;/ct217&gt;</v>
      </c>
      <c r="J562" s="262"/>
      <c r="K562" s="262"/>
      <c r="L562" s="262"/>
      <c r="M562" s="263"/>
      <c r="N562" s="265">
        <v>217</v>
      </c>
    </row>
    <row r="563" spans="1:14" x14ac:dyDescent="0.45">
      <c r="A563" s="253" t="str">
        <f t="shared" si="58"/>
        <v>&lt;ct228&gt;0&lt;/ct228&gt;</v>
      </c>
      <c r="B563" s="243" t="s">
        <v>1619</v>
      </c>
      <c r="C563" s="244">
        <f t="shared" si="53"/>
        <v>2</v>
      </c>
      <c r="D563" s="244">
        <f t="shared" si="54"/>
        <v>7</v>
      </c>
      <c r="E563" s="244">
        <f t="shared" si="55"/>
        <v>9</v>
      </c>
      <c r="G563" s="259" t="str">
        <f t="shared" si="56"/>
        <v>&lt;ct228&gt;</v>
      </c>
      <c r="H563" s="260">
        <f>VLOOKUP(N563,BCDTK!$E$9:$L$132,5,0)</f>
        <v>0</v>
      </c>
      <c r="I563" s="261" t="str">
        <f t="shared" si="57"/>
        <v>&lt;/ct228&gt;</v>
      </c>
      <c r="J563" s="262"/>
      <c r="K563" s="262"/>
      <c r="L563" s="262"/>
      <c r="M563" s="263"/>
      <c r="N563" s="265">
        <v>228</v>
      </c>
    </row>
    <row r="564" spans="1:14" x14ac:dyDescent="0.45">
      <c r="A564" s="253" t="str">
        <f t="shared" si="58"/>
        <v>&lt;ct2281&gt;0&lt;/ct2281&gt;</v>
      </c>
      <c r="B564" s="243" t="s">
        <v>1620</v>
      </c>
      <c r="C564" s="244">
        <f t="shared" si="53"/>
        <v>2</v>
      </c>
      <c r="D564" s="244">
        <f t="shared" si="54"/>
        <v>8</v>
      </c>
      <c r="E564" s="244">
        <f t="shared" si="55"/>
        <v>10</v>
      </c>
      <c r="G564" s="259" t="str">
        <f t="shared" si="56"/>
        <v>&lt;ct2281&gt;</v>
      </c>
      <c r="H564" s="260">
        <f>VLOOKUP(N564,BCDTK!$E$9:$L$132,5,0)</f>
        <v>0</v>
      </c>
      <c r="I564" s="261" t="str">
        <f t="shared" si="57"/>
        <v>&lt;/ct2281&gt;</v>
      </c>
      <c r="J564" s="262"/>
      <c r="K564" s="262"/>
      <c r="L564" s="262"/>
      <c r="M564" s="263"/>
      <c r="N564" s="265">
        <v>2281</v>
      </c>
    </row>
    <row r="565" spans="1:14" x14ac:dyDescent="0.45">
      <c r="A565" s="253" t="str">
        <f t="shared" si="58"/>
        <v>&lt;ct2288&gt;0&lt;/ct2288&gt;</v>
      </c>
      <c r="B565" s="243" t="s">
        <v>1621</v>
      </c>
      <c r="C565" s="244">
        <f t="shared" si="53"/>
        <v>2</v>
      </c>
      <c r="D565" s="244">
        <f t="shared" si="54"/>
        <v>8</v>
      </c>
      <c r="E565" s="244">
        <f t="shared" si="55"/>
        <v>10</v>
      </c>
      <c r="G565" s="259" t="str">
        <f t="shared" si="56"/>
        <v>&lt;ct2288&gt;</v>
      </c>
      <c r="H565" s="260">
        <f>VLOOKUP(N565,BCDTK!$E$9:$L$132,5,0)</f>
        <v>0</v>
      </c>
      <c r="I565" s="261" t="str">
        <f t="shared" si="57"/>
        <v>&lt;/ct2288&gt;</v>
      </c>
      <c r="J565" s="262"/>
      <c r="K565" s="262"/>
      <c r="L565" s="262"/>
      <c r="M565" s="263"/>
      <c r="N565" s="265">
        <v>2288</v>
      </c>
    </row>
    <row r="566" spans="1:14" x14ac:dyDescent="0.45">
      <c r="A566" s="253" t="str">
        <f t="shared" si="58"/>
        <v>&lt;ct229&gt;0&lt;/ct229&gt;</v>
      </c>
      <c r="B566" s="243" t="s">
        <v>1622</v>
      </c>
      <c r="C566" s="244">
        <f t="shared" si="53"/>
        <v>2</v>
      </c>
      <c r="D566" s="244">
        <f t="shared" si="54"/>
        <v>7</v>
      </c>
      <c r="E566" s="244">
        <f t="shared" si="55"/>
        <v>9</v>
      </c>
      <c r="G566" s="259" t="str">
        <f t="shared" si="56"/>
        <v>&lt;ct229&gt;</v>
      </c>
      <c r="H566" s="260">
        <f>VLOOKUP(N566,BCDTK!$E$9:$L$132,5,0)</f>
        <v>0</v>
      </c>
      <c r="I566" s="261" t="str">
        <f t="shared" si="57"/>
        <v>&lt;/ct229&gt;</v>
      </c>
      <c r="J566" s="262"/>
      <c r="K566" s="262"/>
      <c r="L566" s="262"/>
      <c r="M566" s="263"/>
      <c r="N566" s="265">
        <v>229</v>
      </c>
    </row>
    <row r="567" spans="1:14" x14ac:dyDescent="0.45">
      <c r="A567" s="253" t="str">
        <f t="shared" si="58"/>
        <v>&lt;ct2291&gt;0&lt;/ct2291&gt;</v>
      </c>
      <c r="B567" s="243" t="s">
        <v>1623</v>
      </c>
      <c r="C567" s="244">
        <f t="shared" si="53"/>
        <v>2</v>
      </c>
      <c r="D567" s="244">
        <f t="shared" si="54"/>
        <v>8</v>
      </c>
      <c r="E567" s="244">
        <f t="shared" si="55"/>
        <v>10</v>
      </c>
      <c r="G567" s="259" t="str">
        <f t="shared" si="56"/>
        <v>&lt;ct2291&gt;</v>
      </c>
      <c r="H567" s="260">
        <f>VLOOKUP(N567,BCDTK!$E$9:$L$132,5,0)</f>
        <v>0</v>
      </c>
      <c r="I567" s="261" t="str">
        <f t="shared" si="57"/>
        <v>&lt;/ct2291&gt;</v>
      </c>
      <c r="J567" s="262"/>
      <c r="K567" s="262"/>
      <c r="L567" s="262"/>
      <c r="M567" s="263"/>
      <c r="N567" s="265">
        <v>2291</v>
      </c>
    </row>
    <row r="568" spans="1:14" x14ac:dyDescent="0.45">
      <c r="A568" s="253" t="str">
        <f t="shared" si="58"/>
        <v>&lt;ct2292&gt;0&lt;/ct2292&gt;</v>
      </c>
      <c r="B568" s="243" t="s">
        <v>1624</v>
      </c>
      <c r="C568" s="244">
        <f t="shared" si="53"/>
        <v>2</v>
      </c>
      <c r="D568" s="244">
        <f t="shared" si="54"/>
        <v>8</v>
      </c>
      <c r="E568" s="244">
        <f t="shared" si="55"/>
        <v>10</v>
      </c>
      <c r="G568" s="259" t="str">
        <f t="shared" si="56"/>
        <v>&lt;ct2292&gt;</v>
      </c>
      <c r="H568" s="260">
        <f>VLOOKUP(N568,BCDTK!$E$9:$L$132,5,0)</f>
        <v>0</v>
      </c>
      <c r="I568" s="261" t="str">
        <f t="shared" si="57"/>
        <v>&lt;/ct2292&gt;</v>
      </c>
      <c r="J568" s="262"/>
      <c r="K568" s="262"/>
      <c r="L568" s="262"/>
      <c r="M568" s="263"/>
      <c r="N568" s="265">
        <v>2292</v>
      </c>
    </row>
    <row r="569" spans="1:14" x14ac:dyDescent="0.45">
      <c r="A569" s="253" t="str">
        <f t="shared" si="58"/>
        <v>&lt;ct2293&gt;0&lt;/ct2293&gt;</v>
      </c>
      <c r="B569" s="243" t="s">
        <v>1625</v>
      </c>
      <c r="C569" s="244">
        <f t="shared" si="53"/>
        <v>2</v>
      </c>
      <c r="D569" s="244">
        <f t="shared" si="54"/>
        <v>8</v>
      </c>
      <c r="E569" s="244">
        <f t="shared" si="55"/>
        <v>10</v>
      </c>
      <c r="G569" s="259" t="str">
        <f t="shared" si="56"/>
        <v>&lt;ct2293&gt;</v>
      </c>
      <c r="H569" s="260">
        <f>VLOOKUP(N569,BCDTK!$E$9:$L$132,5,0)</f>
        <v>0</v>
      </c>
      <c r="I569" s="261" t="str">
        <f t="shared" si="57"/>
        <v>&lt;/ct2293&gt;</v>
      </c>
      <c r="J569" s="262"/>
      <c r="K569" s="262"/>
      <c r="L569" s="262"/>
      <c r="M569" s="263"/>
      <c r="N569" s="265">
        <v>2293</v>
      </c>
    </row>
    <row r="570" spans="1:14" x14ac:dyDescent="0.45">
      <c r="A570" s="253" t="str">
        <f t="shared" si="58"/>
        <v>&lt;ct2294&gt;0&lt;/ct2294&gt;</v>
      </c>
      <c r="B570" s="243" t="s">
        <v>1626</v>
      </c>
      <c r="C570" s="244">
        <f t="shared" si="53"/>
        <v>2</v>
      </c>
      <c r="D570" s="244">
        <f t="shared" si="54"/>
        <v>8</v>
      </c>
      <c r="E570" s="244">
        <f t="shared" si="55"/>
        <v>10</v>
      </c>
      <c r="G570" s="259" t="str">
        <f t="shared" si="56"/>
        <v>&lt;ct2294&gt;</v>
      </c>
      <c r="H570" s="260">
        <f>VLOOKUP(N570,BCDTK!$E$9:$L$132,5,0)</f>
        <v>0</v>
      </c>
      <c r="I570" s="261" t="str">
        <f t="shared" si="57"/>
        <v>&lt;/ct2294&gt;</v>
      </c>
      <c r="J570" s="262"/>
      <c r="K570" s="262"/>
      <c r="L570" s="262"/>
      <c r="M570" s="263"/>
      <c r="N570" s="265">
        <v>2294</v>
      </c>
    </row>
    <row r="571" spans="1:14" x14ac:dyDescent="0.45">
      <c r="A571" s="253" t="str">
        <f t="shared" si="58"/>
        <v>&lt;ct241&gt;0&lt;/ct241&gt;</v>
      </c>
      <c r="B571" s="243" t="s">
        <v>1721</v>
      </c>
      <c r="C571" s="244">
        <f t="shared" si="53"/>
        <v>2</v>
      </c>
      <c r="D571" s="244">
        <f t="shared" si="54"/>
        <v>7</v>
      </c>
      <c r="E571" s="244">
        <f t="shared" si="55"/>
        <v>17</v>
      </c>
      <c r="G571" s="259" t="str">
        <f t="shared" si="56"/>
        <v>&lt;ct241&gt;</v>
      </c>
      <c r="H571" s="260">
        <f>VLOOKUP(N571,BCDTK!$E$9:$L$132,5,0)</f>
        <v>0</v>
      </c>
      <c r="I571" s="261" t="str">
        <f t="shared" si="57"/>
        <v>&lt;/ct241&gt;</v>
      </c>
      <c r="J571" s="262"/>
      <c r="K571" s="262"/>
      <c r="L571" s="262"/>
      <c r="M571" s="263"/>
      <c r="N571" s="265">
        <v>241</v>
      </c>
    </row>
    <row r="572" spans="1:14" x14ac:dyDescent="0.45">
      <c r="A572" s="253" t="str">
        <f t="shared" si="58"/>
        <v>&lt;ct2411&gt;0&lt;/ct2411&gt;</v>
      </c>
      <c r="B572" s="243" t="s">
        <v>1628</v>
      </c>
      <c r="C572" s="244">
        <f t="shared" si="53"/>
        <v>2</v>
      </c>
      <c r="D572" s="244">
        <f t="shared" si="54"/>
        <v>8</v>
      </c>
      <c r="E572" s="244">
        <f t="shared" si="55"/>
        <v>10</v>
      </c>
      <c r="G572" s="259" t="str">
        <f t="shared" si="56"/>
        <v>&lt;ct2411&gt;</v>
      </c>
      <c r="H572" s="260">
        <f>VLOOKUP(N572,BCDTK!$E$9:$L$132,5,0)</f>
        <v>0</v>
      </c>
      <c r="I572" s="261" t="str">
        <f t="shared" si="57"/>
        <v>&lt;/ct2411&gt;</v>
      </c>
      <c r="J572" s="262"/>
      <c r="K572" s="262"/>
      <c r="L572" s="262"/>
      <c r="M572" s="263"/>
      <c r="N572" s="265">
        <v>2411</v>
      </c>
    </row>
    <row r="573" spans="1:14" x14ac:dyDescent="0.45">
      <c r="A573" s="253" t="str">
        <f t="shared" si="58"/>
        <v>&lt;ct2412&gt;0&lt;/ct2412&gt;</v>
      </c>
      <c r="B573" s="243" t="s">
        <v>1722</v>
      </c>
      <c r="C573" s="244">
        <f t="shared" si="53"/>
        <v>2</v>
      </c>
      <c r="D573" s="244">
        <f t="shared" si="54"/>
        <v>8</v>
      </c>
      <c r="E573" s="244">
        <f t="shared" si="55"/>
        <v>18</v>
      </c>
      <c r="G573" s="259" t="str">
        <f t="shared" si="56"/>
        <v>&lt;ct2412&gt;</v>
      </c>
      <c r="H573" s="260">
        <f>VLOOKUP(N573,BCDTK!$E$9:$L$132,5,0)</f>
        <v>0</v>
      </c>
      <c r="I573" s="261" t="str">
        <f t="shared" si="57"/>
        <v>&lt;/ct2412&gt;</v>
      </c>
      <c r="J573" s="262"/>
      <c r="K573" s="262"/>
      <c r="L573" s="262"/>
      <c r="M573" s="263"/>
      <c r="N573" s="265">
        <v>2412</v>
      </c>
    </row>
    <row r="574" spans="1:14" x14ac:dyDescent="0.45">
      <c r="A574" s="253" t="str">
        <f t="shared" si="58"/>
        <v>&lt;ct2413&gt;0&lt;/ct2413&gt;</v>
      </c>
      <c r="B574" s="243" t="s">
        <v>1630</v>
      </c>
      <c r="C574" s="244">
        <f t="shared" si="53"/>
        <v>2</v>
      </c>
      <c r="D574" s="244">
        <f t="shared" si="54"/>
        <v>8</v>
      </c>
      <c r="E574" s="244">
        <f t="shared" si="55"/>
        <v>10</v>
      </c>
      <c r="G574" s="259" t="str">
        <f t="shared" si="56"/>
        <v>&lt;ct2413&gt;</v>
      </c>
      <c r="H574" s="260">
        <f>VLOOKUP(N574,BCDTK!$E$9:$L$132,5,0)</f>
        <v>0</v>
      </c>
      <c r="I574" s="261" t="str">
        <f t="shared" si="57"/>
        <v>&lt;/ct2413&gt;</v>
      </c>
      <c r="J574" s="262"/>
      <c r="K574" s="262"/>
      <c r="L574" s="262"/>
      <c r="M574" s="263"/>
      <c r="N574" s="265">
        <v>2413</v>
      </c>
    </row>
    <row r="575" spans="1:14" x14ac:dyDescent="0.45">
      <c r="A575" s="253" t="str">
        <f t="shared" si="58"/>
        <v>&lt;ct242&gt;0&lt;/ct242&gt;</v>
      </c>
      <c r="B575" s="243" t="s">
        <v>1723</v>
      </c>
      <c r="C575" s="244">
        <f t="shared" si="53"/>
        <v>2</v>
      </c>
      <c r="D575" s="244">
        <f t="shared" si="54"/>
        <v>7</v>
      </c>
      <c r="E575" s="244">
        <f t="shared" si="55"/>
        <v>18</v>
      </c>
      <c r="G575" s="259" t="str">
        <f t="shared" si="56"/>
        <v>&lt;ct242&gt;</v>
      </c>
      <c r="H575" s="260">
        <f>VLOOKUP(N575,BCDTK!$E$9:$L$132,5,0)</f>
        <v>0</v>
      </c>
      <c r="I575" s="261" t="str">
        <f t="shared" si="57"/>
        <v>&lt;/ct242&gt;</v>
      </c>
      <c r="J575" s="262"/>
      <c r="K575" s="262"/>
      <c r="L575" s="262"/>
      <c r="M575" s="263"/>
      <c r="N575" s="265">
        <v>242</v>
      </c>
    </row>
    <row r="576" spans="1:14" x14ac:dyDescent="0.45">
      <c r="A576" s="253" t="str">
        <f t="shared" si="58"/>
        <v>&lt;ct331&gt;425768000&lt;/ct331&gt;</v>
      </c>
      <c r="B576" s="243" t="s">
        <v>1724</v>
      </c>
      <c r="C576" s="244">
        <f t="shared" si="53"/>
        <v>2</v>
      </c>
      <c r="D576" s="244">
        <f t="shared" si="54"/>
        <v>7</v>
      </c>
      <c r="E576" s="244">
        <f t="shared" si="55"/>
        <v>18</v>
      </c>
      <c r="G576" s="259" t="str">
        <f t="shared" si="56"/>
        <v>&lt;ct331&gt;</v>
      </c>
      <c r="H576" s="260">
        <f>VLOOKUP(N576,BCDTK!$E$9:$L$132,5,0)</f>
        <v>425768000</v>
      </c>
      <c r="I576" s="261" t="str">
        <f t="shared" si="57"/>
        <v>&lt;/ct331&gt;</v>
      </c>
      <c r="J576" s="262"/>
      <c r="K576" s="262"/>
      <c r="L576" s="262"/>
      <c r="M576" s="263"/>
      <c r="N576" s="265">
        <v>331</v>
      </c>
    </row>
    <row r="577" spans="1:14" x14ac:dyDescent="0.45">
      <c r="A577" s="253" t="str">
        <f t="shared" si="58"/>
        <v>&lt;ct333&gt;27021584&lt;/ct333&gt;</v>
      </c>
      <c r="B577" s="243" t="s">
        <v>1725</v>
      </c>
      <c r="C577" s="244">
        <f t="shared" si="53"/>
        <v>2</v>
      </c>
      <c r="D577" s="244">
        <f t="shared" si="54"/>
        <v>7</v>
      </c>
      <c r="E577" s="244">
        <f t="shared" si="55"/>
        <v>17</v>
      </c>
      <c r="G577" s="259" t="str">
        <f t="shared" si="56"/>
        <v>&lt;ct333&gt;</v>
      </c>
      <c r="H577" s="260">
        <f>VLOOKUP(N577,BCDTK!$E$9:$L$132,5,0)</f>
        <v>27021584</v>
      </c>
      <c r="I577" s="261" t="str">
        <f t="shared" si="57"/>
        <v>&lt;/ct333&gt;</v>
      </c>
      <c r="J577" s="262"/>
      <c r="K577" s="262"/>
      <c r="L577" s="262"/>
      <c r="M577" s="263"/>
      <c r="N577" s="265">
        <v>333</v>
      </c>
    </row>
    <row r="578" spans="1:14" x14ac:dyDescent="0.45">
      <c r="A578" s="253" t="str">
        <f t="shared" si="58"/>
        <v>&lt;ct3331&gt;25021584&lt;/ct3331&gt;</v>
      </c>
      <c r="B578" s="243" t="s">
        <v>1726</v>
      </c>
      <c r="C578" s="244">
        <f t="shared" si="53"/>
        <v>2</v>
      </c>
      <c r="D578" s="244">
        <f t="shared" si="54"/>
        <v>8</v>
      </c>
      <c r="E578" s="244">
        <f t="shared" si="55"/>
        <v>17</v>
      </c>
      <c r="G578" s="259" t="str">
        <f t="shared" si="56"/>
        <v>&lt;ct3331&gt;</v>
      </c>
      <c r="H578" s="260">
        <f>VLOOKUP(N578,BCDTK!$E$9:$L$132,5,0)</f>
        <v>25021584</v>
      </c>
      <c r="I578" s="261" t="str">
        <f t="shared" si="57"/>
        <v>&lt;/ct3331&gt;</v>
      </c>
      <c r="J578" s="262"/>
      <c r="K578" s="262"/>
      <c r="L578" s="262"/>
      <c r="M578" s="263"/>
      <c r="N578" s="265">
        <v>3331</v>
      </c>
    </row>
    <row r="579" spans="1:14" x14ac:dyDescent="0.45">
      <c r="A579" s="253" t="str">
        <f t="shared" si="58"/>
        <v>&lt;ct33311&gt;25021584&lt;/ct33311&gt;</v>
      </c>
      <c r="B579" s="243" t="s">
        <v>1727</v>
      </c>
      <c r="C579" s="244">
        <f t="shared" si="53"/>
        <v>2</v>
      </c>
      <c r="D579" s="244">
        <f t="shared" si="54"/>
        <v>9</v>
      </c>
      <c r="E579" s="244">
        <f t="shared" si="55"/>
        <v>18</v>
      </c>
      <c r="G579" s="259" t="str">
        <f t="shared" si="56"/>
        <v>&lt;ct33311&gt;</v>
      </c>
      <c r="H579" s="260">
        <f>VLOOKUP(N579,BCDTK!$E$9:$L$132,5,0)</f>
        <v>25021584</v>
      </c>
      <c r="I579" s="261" t="str">
        <f t="shared" si="57"/>
        <v>&lt;/ct33311&gt;</v>
      </c>
      <c r="J579" s="262"/>
      <c r="K579" s="262"/>
      <c r="L579" s="262"/>
      <c r="M579" s="263"/>
      <c r="N579" s="265">
        <v>33311</v>
      </c>
    </row>
    <row r="580" spans="1:14" x14ac:dyDescent="0.45">
      <c r="A580" s="253" t="str">
        <f t="shared" si="58"/>
        <v>&lt;ct33312&gt;0&lt;/ct33312&gt;</v>
      </c>
      <c r="B580" s="243" t="s">
        <v>1728</v>
      </c>
      <c r="C580" s="244">
        <f t="shared" si="53"/>
        <v>2</v>
      </c>
      <c r="D580" s="244">
        <f t="shared" si="54"/>
        <v>9</v>
      </c>
      <c r="E580" s="244">
        <f t="shared" si="55"/>
        <v>16</v>
      </c>
      <c r="G580" s="259" t="str">
        <f t="shared" si="56"/>
        <v>&lt;ct33312&gt;</v>
      </c>
      <c r="H580" s="260">
        <f>VLOOKUP(N580,BCDTK!$E$9:$L$132,5,0)</f>
        <v>0</v>
      </c>
      <c r="I580" s="261" t="str">
        <f t="shared" si="57"/>
        <v>&lt;/ct33312&gt;</v>
      </c>
      <c r="J580" s="262"/>
      <c r="K580" s="262"/>
      <c r="L580" s="262"/>
      <c r="M580" s="263"/>
      <c r="N580" s="265">
        <v>33312</v>
      </c>
    </row>
    <row r="581" spans="1:14" x14ac:dyDescent="0.45">
      <c r="A581" s="253" t="str">
        <f t="shared" si="58"/>
        <v>&lt;ct3332&gt;0&lt;/ct3332&gt;</v>
      </c>
      <c r="B581" s="243" t="s">
        <v>1637</v>
      </c>
      <c r="C581" s="244">
        <f t="shared" si="53"/>
        <v>2</v>
      </c>
      <c r="D581" s="244">
        <f t="shared" si="54"/>
        <v>8</v>
      </c>
      <c r="E581" s="244">
        <f t="shared" si="55"/>
        <v>10</v>
      </c>
      <c r="G581" s="259" t="str">
        <f t="shared" si="56"/>
        <v>&lt;ct3332&gt;</v>
      </c>
      <c r="H581" s="260">
        <f>VLOOKUP(N581,BCDTK!$E$9:$L$132,5,0)</f>
        <v>0</v>
      </c>
      <c r="I581" s="261" t="str">
        <f t="shared" si="57"/>
        <v>&lt;/ct3332&gt;</v>
      </c>
      <c r="J581" s="262"/>
      <c r="K581" s="262"/>
      <c r="L581" s="262"/>
      <c r="M581" s="263"/>
      <c r="N581" s="265">
        <v>3332</v>
      </c>
    </row>
    <row r="582" spans="1:14" x14ac:dyDescent="0.45">
      <c r="A582" s="253" t="str">
        <f t="shared" si="58"/>
        <v>&lt;ct3333&gt;0&lt;/ct3333&gt;</v>
      </c>
      <c r="B582" s="243" t="s">
        <v>1729</v>
      </c>
      <c r="C582" s="244">
        <f t="shared" si="53"/>
        <v>2</v>
      </c>
      <c r="D582" s="244">
        <f t="shared" si="54"/>
        <v>8</v>
      </c>
      <c r="E582" s="244">
        <f t="shared" si="55"/>
        <v>15</v>
      </c>
      <c r="G582" s="259" t="str">
        <f t="shared" si="56"/>
        <v>&lt;ct3333&gt;</v>
      </c>
      <c r="H582" s="260">
        <f>VLOOKUP(N582,BCDTK!$E$9:$L$132,5,0)</f>
        <v>0</v>
      </c>
      <c r="I582" s="261" t="str">
        <f t="shared" si="57"/>
        <v>&lt;/ct3333&gt;</v>
      </c>
      <c r="J582" s="262"/>
      <c r="K582" s="262"/>
      <c r="L582" s="262"/>
      <c r="M582" s="263"/>
      <c r="N582" s="265">
        <v>3333</v>
      </c>
    </row>
    <row r="583" spans="1:14" x14ac:dyDescent="0.45">
      <c r="A583" s="253" t="str">
        <f t="shared" si="58"/>
        <v>&lt;ct3334&gt;0&lt;/ct3334&gt;</v>
      </c>
      <c r="B583" s="243" t="s">
        <v>1639</v>
      </c>
      <c r="C583" s="244">
        <f t="shared" si="53"/>
        <v>2</v>
      </c>
      <c r="D583" s="244">
        <f t="shared" si="54"/>
        <v>8</v>
      </c>
      <c r="E583" s="244">
        <f t="shared" si="55"/>
        <v>10</v>
      </c>
      <c r="G583" s="259" t="str">
        <f t="shared" si="56"/>
        <v>&lt;ct3334&gt;</v>
      </c>
      <c r="H583" s="260">
        <f>VLOOKUP(N583,BCDTK!$E$9:$L$132,5,0)</f>
        <v>0</v>
      </c>
      <c r="I583" s="261" t="str">
        <f t="shared" si="57"/>
        <v>&lt;/ct3334&gt;</v>
      </c>
      <c r="J583" s="262"/>
      <c r="K583" s="262"/>
      <c r="L583" s="262"/>
      <c r="M583" s="263"/>
      <c r="N583" s="265">
        <v>3334</v>
      </c>
    </row>
    <row r="584" spans="1:14" x14ac:dyDescent="0.45">
      <c r="A584" s="253" t="str">
        <f t="shared" si="58"/>
        <v>&lt;ct3335&gt;0&lt;/ct3335&gt;</v>
      </c>
      <c r="B584" s="243" t="s">
        <v>1730</v>
      </c>
      <c r="C584" s="244">
        <f t="shared" si="53"/>
        <v>2</v>
      </c>
      <c r="D584" s="244">
        <f t="shared" si="54"/>
        <v>8</v>
      </c>
      <c r="E584" s="244">
        <f t="shared" si="55"/>
        <v>17</v>
      </c>
      <c r="G584" s="259" t="str">
        <f t="shared" si="56"/>
        <v>&lt;ct3335&gt;</v>
      </c>
      <c r="H584" s="260">
        <f>VLOOKUP(N584,BCDTK!$E$9:$L$132,5,0)</f>
        <v>0</v>
      </c>
      <c r="I584" s="261" t="str">
        <f t="shared" si="57"/>
        <v>&lt;/ct3335&gt;</v>
      </c>
      <c r="J584" s="262"/>
      <c r="K584" s="262"/>
      <c r="L584" s="262"/>
      <c r="M584" s="263"/>
      <c r="N584" s="265">
        <v>3335</v>
      </c>
    </row>
    <row r="585" spans="1:14" x14ac:dyDescent="0.45">
      <c r="A585" s="253" t="str">
        <f t="shared" si="58"/>
        <v>&lt;ct3336&gt;0&lt;/ct3336&gt;</v>
      </c>
      <c r="B585" s="243" t="s">
        <v>1641</v>
      </c>
      <c r="C585" s="244">
        <f t="shared" si="53"/>
        <v>2</v>
      </c>
      <c r="D585" s="244">
        <f t="shared" si="54"/>
        <v>8</v>
      </c>
      <c r="E585" s="244">
        <f t="shared" si="55"/>
        <v>10</v>
      </c>
      <c r="G585" s="259" t="str">
        <f t="shared" si="56"/>
        <v>&lt;ct3336&gt;</v>
      </c>
      <c r="H585" s="260">
        <f>VLOOKUP(N585,BCDTK!$E$9:$L$132,5,0)</f>
        <v>0</v>
      </c>
      <c r="I585" s="261" t="str">
        <f t="shared" si="57"/>
        <v>&lt;/ct3336&gt;</v>
      </c>
      <c r="J585" s="262"/>
      <c r="K585" s="262"/>
      <c r="L585" s="262"/>
      <c r="M585" s="263"/>
      <c r="N585" s="265">
        <v>3336</v>
      </c>
    </row>
    <row r="586" spans="1:14" x14ac:dyDescent="0.45">
      <c r="A586" s="253" t="str">
        <f t="shared" si="58"/>
        <v>&lt;ct3337&gt;0&lt;/ct3337&gt;</v>
      </c>
      <c r="B586" s="243" t="s">
        <v>1642</v>
      </c>
      <c r="C586" s="244">
        <f t="shared" si="53"/>
        <v>2</v>
      </c>
      <c r="D586" s="244">
        <f t="shared" si="54"/>
        <v>8</v>
      </c>
      <c r="E586" s="244">
        <f t="shared" si="55"/>
        <v>10</v>
      </c>
      <c r="G586" s="259" t="str">
        <f t="shared" si="56"/>
        <v>&lt;ct3337&gt;</v>
      </c>
      <c r="H586" s="260">
        <f>VLOOKUP(N586,BCDTK!$E$9:$L$132,5,0)</f>
        <v>0</v>
      </c>
      <c r="I586" s="261" t="str">
        <f t="shared" si="57"/>
        <v>&lt;/ct3337&gt;</v>
      </c>
      <c r="J586" s="262"/>
      <c r="K586" s="262"/>
      <c r="L586" s="262"/>
      <c r="M586" s="263"/>
      <c r="N586" s="265">
        <v>3337</v>
      </c>
    </row>
    <row r="587" spans="1:14" x14ac:dyDescent="0.45">
      <c r="A587" s="253" t="str">
        <f t="shared" si="58"/>
        <v>&lt;ct3338&gt;0&lt;/ct3338&gt;</v>
      </c>
      <c r="B587" s="243" t="s">
        <v>1643</v>
      </c>
      <c r="C587" s="244">
        <f t="shared" si="53"/>
        <v>2</v>
      </c>
      <c r="D587" s="244">
        <f t="shared" si="54"/>
        <v>8</v>
      </c>
      <c r="E587" s="244">
        <f t="shared" si="55"/>
        <v>10</v>
      </c>
      <c r="G587" s="259" t="str">
        <f t="shared" si="56"/>
        <v>&lt;ct3338&gt;</v>
      </c>
      <c r="H587" s="260">
        <f>VLOOKUP(N587,BCDTK!$E$9:$L$132,5,0)</f>
        <v>0</v>
      </c>
      <c r="I587" s="261" t="str">
        <f t="shared" si="57"/>
        <v>&lt;/ct3338&gt;</v>
      </c>
      <c r="J587" s="262"/>
      <c r="K587" s="262"/>
      <c r="L587" s="262"/>
      <c r="M587" s="263"/>
      <c r="N587" s="265">
        <v>3338</v>
      </c>
    </row>
    <row r="588" spans="1:14" x14ac:dyDescent="0.45">
      <c r="A588" s="253" t="str">
        <f t="shared" si="58"/>
        <v>&lt;ct33381&gt;0&lt;/ct33381&gt;</v>
      </c>
      <c r="B588" s="243" t="s">
        <v>1644</v>
      </c>
      <c r="C588" s="244">
        <f t="shared" si="53"/>
        <v>2</v>
      </c>
      <c r="D588" s="244">
        <f t="shared" si="54"/>
        <v>9</v>
      </c>
      <c r="E588" s="244">
        <f t="shared" si="55"/>
        <v>11</v>
      </c>
      <c r="G588" s="259" t="str">
        <f t="shared" si="56"/>
        <v>&lt;ct33381&gt;</v>
      </c>
      <c r="H588" s="260">
        <f>VLOOKUP(N588,BCDTK!$E$9:$L$132,5,0)</f>
        <v>0</v>
      </c>
      <c r="I588" s="261" t="str">
        <f t="shared" si="57"/>
        <v>&lt;/ct33381&gt;</v>
      </c>
      <c r="J588" s="262"/>
      <c r="K588" s="262"/>
      <c r="L588" s="262"/>
      <c r="M588" s="263"/>
      <c r="N588" s="265">
        <v>33381</v>
      </c>
    </row>
    <row r="589" spans="1:14" x14ac:dyDescent="0.45">
      <c r="A589" s="253" t="str">
        <f t="shared" si="58"/>
        <v>&lt;ct33382&gt;0&lt;/ct33382&gt;</v>
      </c>
      <c r="B589" s="243" t="s">
        <v>1645</v>
      </c>
      <c r="C589" s="244">
        <f t="shared" si="53"/>
        <v>2</v>
      </c>
      <c r="D589" s="244">
        <f t="shared" si="54"/>
        <v>9</v>
      </c>
      <c r="E589" s="244">
        <f t="shared" si="55"/>
        <v>11</v>
      </c>
      <c r="G589" s="259" t="str">
        <f t="shared" si="56"/>
        <v>&lt;ct33382&gt;</v>
      </c>
      <c r="H589" s="260">
        <f>VLOOKUP(N589,BCDTK!$E$9:$L$132,5,0)</f>
        <v>0</v>
      </c>
      <c r="I589" s="261" t="str">
        <f t="shared" si="57"/>
        <v>&lt;/ct33382&gt;</v>
      </c>
      <c r="J589" s="262"/>
      <c r="K589" s="262"/>
      <c r="L589" s="262"/>
      <c r="M589" s="263"/>
      <c r="N589" s="265">
        <v>33382</v>
      </c>
    </row>
    <row r="590" spans="1:14" x14ac:dyDescent="0.45">
      <c r="A590" s="253" t="str">
        <f t="shared" si="58"/>
        <v>&lt;ct3339&gt;2000000&lt;/ct3339&gt;</v>
      </c>
      <c r="B590" s="243" t="s">
        <v>1646</v>
      </c>
      <c r="C590" s="244">
        <f t="shared" si="53"/>
        <v>2</v>
      </c>
      <c r="D590" s="244">
        <f t="shared" si="54"/>
        <v>8</v>
      </c>
      <c r="E590" s="244">
        <f t="shared" si="55"/>
        <v>10</v>
      </c>
      <c r="G590" s="259" t="str">
        <f t="shared" si="56"/>
        <v>&lt;ct3339&gt;</v>
      </c>
      <c r="H590" s="260">
        <f>VLOOKUP(N590,BCDTK!$E$9:$L$132,5,0)</f>
        <v>2000000</v>
      </c>
      <c r="I590" s="261" t="str">
        <f t="shared" si="57"/>
        <v>&lt;/ct3339&gt;</v>
      </c>
      <c r="J590" s="262"/>
      <c r="K590" s="262"/>
      <c r="L590" s="262"/>
      <c r="M590" s="263"/>
      <c r="N590" s="265">
        <v>3339</v>
      </c>
    </row>
    <row r="591" spans="1:14" x14ac:dyDescent="0.45">
      <c r="A591" s="253" t="str">
        <f t="shared" si="58"/>
        <v>&lt;ct334&gt;172720000&lt;/ct334&gt;</v>
      </c>
      <c r="B591" s="243" t="s">
        <v>1731</v>
      </c>
      <c r="C591" s="244">
        <f t="shared" si="53"/>
        <v>2</v>
      </c>
      <c r="D591" s="244">
        <f t="shared" si="54"/>
        <v>7</v>
      </c>
      <c r="E591" s="244">
        <f t="shared" si="55"/>
        <v>17</v>
      </c>
      <c r="G591" s="259" t="str">
        <f t="shared" si="56"/>
        <v>&lt;ct334&gt;</v>
      </c>
      <c r="H591" s="260">
        <f>VLOOKUP(N591,BCDTK!$E$9:$L$132,5,0)</f>
        <v>172720000</v>
      </c>
      <c r="I591" s="261" t="str">
        <f t="shared" si="57"/>
        <v>&lt;/ct334&gt;</v>
      </c>
      <c r="J591" s="262"/>
      <c r="K591" s="262"/>
      <c r="L591" s="262"/>
      <c r="M591" s="263"/>
      <c r="N591" s="265">
        <v>334</v>
      </c>
    </row>
    <row r="592" spans="1:14" x14ac:dyDescent="0.45">
      <c r="A592" s="253" t="str">
        <f t="shared" si="58"/>
        <v>&lt;ct335&gt;0&lt;/ct335&gt;</v>
      </c>
      <c r="B592" s="243" t="s">
        <v>1648</v>
      </c>
      <c r="C592" s="244">
        <f t="shared" si="53"/>
        <v>2</v>
      </c>
      <c r="D592" s="244">
        <f t="shared" si="54"/>
        <v>7</v>
      </c>
      <c r="E592" s="244">
        <f t="shared" si="55"/>
        <v>9</v>
      </c>
      <c r="G592" s="259" t="str">
        <f t="shared" si="56"/>
        <v>&lt;ct335&gt;</v>
      </c>
      <c r="H592" s="260">
        <f>VLOOKUP(N592,BCDTK!$E$9:$L$132,5,0)</f>
        <v>0</v>
      </c>
      <c r="I592" s="261" t="str">
        <f t="shared" si="57"/>
        <v>&lt;/ct335&gt;</v>
      </c>
      <c r="J592" s="262"/>
      <c r="K592" s="262"/>
      <c r="L592" s="262"/>
      <c r="M592" s="263"/>
      <c r="N592" s="265">
        <v>335</v>
      </c>
    </row>
    <row r="593" spans="1:14" x14ac:dyDescent="0.45">
      <c r="A593" s="253" t="str">
        <f t="shared" si="58"/>
        <v>&lt;ct336&gt;0&lt;/ct336&gt;</v>
      </c>
      <c r="B593" s="243" t="s">
        <v>1649</v>
      </c>
      <c r="C593" s="244">
        <f t="shared" si="53"/>
        <v>2</v>
      </c>
      <c r="D593" s="244">
        <f t="shared" si="54"/>
        <v>7</v>
      </c>
      <c r="E593" s="244">
        <f t="shared" si="55"/>
        <v>9</v>
      </c>
      <c r="G593" s="259" t="str">
        <f t="shared" si="56"/>
        <v>&lt;ct336&gt;</v>
      </c>
      <c r="H593" s="260">
        <f>VLOOKUP(N593,BCDTK!$E$9:$L$132,5,0)</f>
        <v>0</v>
      </c>
      <c r="I593" s="261" t="str">
        <f t="shared" si="57"/>
        <v>&lt;/ct336&gt;</v>
      </c>
      <c r="J593" s="262"/>
      <c r="K593" s="262"/>
      <c r="L593" s="262"/>
      <c r="M593" s="263"/>
      <c r="N593" s="265">
        <v>336</v>
      </c>
    </row>
    <row r="594" spans="1:14" x14ac:dyDescent="0.45">
      <c r="A594" s="253" t="str">
        <f t="shared" si="58"/>
        <v>&lt;ct3361&gt;0&lt;/ct3361&gt;</v>
      </c>
      <c r="B594" s="243" t="s">
        <v>1650</v>
      </c>
      <c r="C594" s="244">
        <f t="shared" si="53"/>
        <v>2</v>
      </c>
      <c r="D594" s="244">
        <f t="shared" si="54"/>
        <v>8</v>
      </c>
      <c r="E594" s="244">
        <f t="shared" si="55"/>
        <v>10</v>
      </c>
      <c r="G594" s="259" t="str">
        <f t="shared" si="56"/>
        <v>&lt;ct3361&gt;</v>
      </c>
      <c r="H594" s="260">
        <f>VLOOKUP(N594,BCDTK!$E$9:$L$132,5,0)</f>
        <v>0</v>
      </c>
      <c r="I594" s="261" t="str">
        <f t="shared" si="57"/>
        <v>&lt;/ct3361&gt;</v>
      </c>
      <c r="J594" s="262"/>
      <c r="K594" s="262"/>
      <c r="L594" s="262"/>
      <c r="M594" s="263"/>
      <c r="N594" s="265">
        <v>3361</v>
      </c>
    </row>
    <row r="595" spans="1:14" x14ac:dyDescent="0.45">
      <c r="A595" s="253" t="str">
        <f t="shared" si="58"/>
        <v>&lt;ct3368&gt;0&lt;/ct3368&gt;</v>
      </c>
      <c r="B595" s="243" t="s">
        <v>1651</v>
      </c>
      <c r="C595" s="244">
        <f t="shared" si="53"/>
        <v>2</v>
      </c>
      <c r="D595" s="244">
        <f t="shared" si="54"/>
        <v>8</v>
      </c>
      <c r="E595" s="244">
        <f t="shared" si="55"/>
        <v>10</v>
      </c>
      <c r="G595" s="259" t="str">
        <f t="shared" si="56"/>
        <v>&lt;ct3368&gt;</v>
      </c>
      <c r="H595" s="260">
        <f>VLOOKUP(N595,BCDTK!$E$9:$L$132,5,0)</f>
        <v>0</v>
      </c>
      <c r="I595" s="261" t="str">
        <f t="shared" si="57"/>
        <v>&lt;/ct3368&gt;</v>
      </c>
      <c r="J595" s="262"/>
      <c r="K595" s="262"/>
      <c r="L595" s="262"/>
      <c r="M595" s="263"/>
      <c r="N595" s="265">
        <v>3368</v>
      </c>
    </row>
    <row r="596" spans="1:14" x14ac:dyDescent="0.45">
      <c r="A596" s="253" t="str">
        <f t="shared" si="58"/>
        <v>&lt;ct338&gt;0&lt;/ct338&gt;</v>
      </c>
      <c r="B596" s="243" t="s">
        <v>1732</v>
      </c>
      <c r="C596" s="244">
        <f t="shared" si="53"/>
        <v>2</v>
      </c>
      <c r="D596" s="244">
        <f t="shared" si="54"/>
        <v>7</v>
      </c>
      <c r="E596" s="244">
        <f t="shared" si="55"/>
        <v>17</v>
      </c>
      <c r="G596" s="259" t="str">
        <f t="shared" si="56"/>
        <v>&lt;ct338&gt;</v>
      </c>
      <c r="H596" s="260">
        <f>VLOOKUP(N596,BCDTK!$E$9:$L$132,5,0)</f>
        <v>0</v>
      </c>
      <c r="I596" s="261" t="str">
        <f t="shared" si="57"/>
        <v>&lt;/ct338&gt;</v>
      </c>
      <c r="J596" s="262"/>
      <c r="K596" s="262"/>
      <c r="L596" s="262"/>
      <c r="M596" s="263"/>
      <c r="N596" s="265">
        <v>338</v>
      </c>
    </row>
    <row r="597" spans="1:14" x14ac:dyDescent="0.45">
      <c r="A597" s="253" t="str">
        <f t="shared" si="58"/>
        <v>&lt;ct3381&gt;0&lt;/ct3381&gt;</v>
      </c>
      <c r="B597" s="243" t="s">
        <v>1653</v>
      </c>
      <c r="C597" s="244">
        <f t="shared" si="53"/>
        <v>2</v>
      </c>
      <c r="D597" s="244">
        <f t="shared" si="54"/>
        <v>8</v>
      </c>
      <c r="E597" s="244">
        <f t="shared" si="55"/>
        <v>10</v>
      </c>
      <c r="G597" s="259" t="str">
        <f t="shared" si="56"/>
        <v>&lt;ct3381&gt;</v>
      </c>
      <c r="H597" s="260">
        <f>VLOOKUP(N597,BCDTK!$E$9:$L$132,5,0)</f>
        <v>0</v>
      </c>
      <c r="I597" s="261" t="str">
        <f t="shared" si="57"/>
        <v>&lt;/ct3381&gt;</v>
      </c>
      <c r="J597" s="262"/>
      <c r="K597" s="262"/>
      <c r="L597" s="262"/>
      <c r="M597" s="263"/>
      <c r="N597" s="265">
        <v>3381</v>
      </c>
    </row>
    <row r="598" spans="1:14" x14ac:dyDescent="0.45">
      <c r="A598" s="253" t="str">
        <f t="shared" si="58"/>
        <v>&lt;ct3382&gt;0&lt;/ct3382&gt;</v>
      </c>
      <c r="B598" s="243" t="s">
        <v>1654</v>
      </c>
      <c r="C598" s="244">
        <f t="shared" si="53"/>
        <v>2</v>
      </c>
      <c r="D598" s="244">
        <f t="shared" si="54"/>
        <v>8</v>
      </c>
      <c r="E598" s="244">
        <f t="shared" si="55"/>
        <v>10</v>
      </c>
      <c r="G598" s="259" t="str">
        <f t="shared" si="56"/>
        <v>&lt;ct3382&gt;</v>
      </c>
      <c r="H598" s="260">
        <f>VLOOKUP(N598,BCDTK!$E$9:$L$132,5,0)</f>
        <v>0</v>
      </c>
      <c r="I598" s="261" t="str">
        <f t="shared" si="57"/>
        <v>&lt;/ct3382&gt;</v>
      </c>
      <c r="J598" s="262"/>
      <c r="K598" s="262"/>
      <c r="L598" s="262"/>
      <c r="M598" s="263"/>
      <c r="N598" s="265">
        <v>3382</v>
      </c>
    </row>
    <row r="599" spans="1:14" x14ac:dyDescent="0.45">
      <c r="A599" s="253" t="str">
        <f t="shared" si="58"/>
        <v>&lt;ct3383&gt;0&lt;/ct3383&gt;</v>
      </c>
      <c r="B599" s="243" t="s">
        <v>1655</v>
      </c>
      <c r="C599" s="244">
        <f t="shared" si="53"/>
        <v>2</v>
      </c>
      <c r="D599" s="244">
        <f t="shared" si="54"/>
        <v>8</v>
      </c>
      <c r="E599" s="244">
        <f t="shared" si="55"/>
        <v>10</v>
      </c>
      <c r="G599" s="259" t="str">
        <f t="shared" si="56"/>
        <v>&lt;ct3383&gt;</v>
      </c>
      <c r="H599" s="260">
        <f>VLOOKUP(N599,BCDTK!$E$9:$L$132,5,0)</f>
        <v>0</v>
      </c>
      <c r="I599" s="261" t="str">
        <f t="shared" si="57"/>
        <v>&lt;/ct3383&gt;</v>
      </c>
      <c r="J599" s="262"/>
      <c r="K599" s="262"/>
      <c r="L599" s="262"/>
      <c r="M599" s="263"/>
      <c r="N599" s="265">
        <v>3383</v>
      </c>
    </row>
    <row r="600" spans="1:14" x14ac:dyDescent="0.45">
      <c r="A600" s="253" t="str">
        <f t="shared" si="58"/>
        <v>&lt;ct3384&gt;0&lt;/ct3384&gt;</v>
      </c>
      <c r="B600" s="243" t="s">
        <v>1656</v>
      </c>
      <c r="C600" s="244">
        <f t="shared" si="53"/>
        <v>2</v>
      </c>
      <c r="D600" s="244">
        <f t="shared" si="54"/>
        <v>8</v>
      </c>
      <c r="E600" s="244">
        <f t="shared" si="55"/>
        <v>10</v>
      </c>
      <c r="G600" s="259" t="str">
        <f t="shared" si="56"/>
        <v>&lt;ct3384&gt;</v>
      </c>
      <c r="H600" s="260">
        <f>VLOOKUP(N600,BCDTK!$E$9:$L$132,5,0)</f>
        <v>0</v>
      </c>
      <c r="I600" s="261" t="str">
        <f t="shared" si="57"/>
        <v>&lt;/ct3384&gt;</v>
      </c>
      <c r="J600" s="262"/>
      <c r="K600" s="262"/>
      <c r="L600" s="262"/>
      <c r="M600" s="263"/>
      <c r="N600" s="265">
        <v>3384</v>
      </c>
    </row>
    <row r="601" spans="1:14" x14ac:dyDescent="0.45">
      <c r="A601" s="253" t="str">
        <f t="shared" si="58"/>
        <v>&lt;ct3385&gt;0&lt;/ct3385&gt;</v>
      </c>
      <c r="B601" s="243" t="s">
        <v>1657</v>
      </c>
      <c r="C601" s="244">
        <f t="shared" ref="C601:C664" si="59">LEN(B601)-LEN(SUBSTITUTE(B601,"&lt;",""))</f>
        <v>2</v>
      </c>
      <c r="D601" s="244">
        <f t="shared" ref="D601:D664" si="60">SEARCH("&gt;",B601)</f>
        <v>8</v>
      </c>
      <c r="E601" s="244">
        <f t="shared" ref="E601:E664" si="61">IFERROR(SEARCH("&lt;/",B601),"")</f>
        <v>10</v>
      </c>
      <c r="G601" s="259" t="str">
        <f t="shared" ref="G601:G664" si="62">LEFT(B601,D601)</f>
        <v>&lt;ct3385&gt;</v>
      </c>
      <c r="H601" s="260">
        <f>VLOOKUP(N601,BCDTK!$E$9:$L$132,5,0)</f>
        <v>0</v>
      </c>
      <c r="I601" s="261" t="str">
        <f t="shared" ref="I601:I664" si="63">IF(C601=2,RIGHT(B601,LEN(B601)-E601+1),"")</f>
        <v>&lt;/ct3385&gt;</v>
      </c>
      <c r="J601" s="262"/>
      <c r="K601" s="262"/>
      <c r="L601" s="262"/>
      <c r="M601" s="263"/>
      <c r="N601" s="265">
        <v>3385</v>
      </c>
    </row>
    <row r="602" spans="1:14" x14ac:dyDescent="0.45">
      <c r="A602" s="253" t="str">
        <f t="shared" si="58"/>
        <v>&lt;ct3386&gt;0&lt;/ct3386&gt;</v>
      </c>
      <c r="B602" s="243" t="s">
        <v>1658</v>
      </c>
      <c r="C602" s="244">
        <f t="shared" si="59"/>
        <v>2</v>
      </c>
      <c r="D602" s="244">
        <f t="shared" si="60"/>
        <v>8</v>
      </c>
      <c r="E602" s="244">
        <f t="shared" si="61"/>
        <v>10</v>
      </c>
      <c r="G602" s="259" t="str">
        <f t="shared" si="62"/>
        <v>&lt;ct3386&gt;</v>
      </c>
      <c r="H602" s="260">
        <f>VLOOKUP(N602,BCDTK!$E$9:$L$132,5,0)</f>
        <v>0</v>
      </c>
      <c r="I602" s="261" t="str">
        <f t="shared" si="63"/>
        <v>&lt;/ct3386&gt;</v>
      </c>
      <c r="J602" s="262"/>
      <c r="K602" s="262"/>
      <c r="L602" s="262"/>
      <c r="M602" s="263"/>
      <c r="N602" s="265">
        <v>3386</v>
      </c>
    </row>
    <row r="603" spans="1:14" x14ac:dyDescent="0.45">
      <c r="A603" s="253" t="str">
        <f t="shared" si="58"/>
        <v>&lt;ct3387&gt;0&lt;/ct3387&gt;</v>
      </c>
      <c r="B603" s="243" t="s">
        <v>1733</v>
      </c>
      <c r="C603" s="244">
        <f t="shared" si="59"/>
        <v>2</v>
      </c>
      <c r="D603" s="244">
        <f t="shared" si="60"/>
        <v>8</v>
      </c>
      <c r="E603" s="244">
        <f t="shared" si="61"/>
        <v>18</v>
      </c>
      <c r="G603" s="259" t="str">
        <f t="shared" si="62"/>
        <v>&lt;ct3387&gt;</v>
      </c>
      <c r="H603" s="260">
        <f>VLOOKUP(N603,BCDTK!$E$9:$L$132,5,0)</f>
        <v>0</v>
      </c>
      <c r="I603" s="261" t="str">
        <f t="shared" si="63"/>
        <v>&lt;/ct3387&gt;</v>
      </c>
      <c r="J603" s="262"/>
      <c r="K603" s="262"/>
      <c r="L603" s="262"/>
      <c r="M603" s="263"/>
      <c r="N603" s="265">
        <v>3387</v>
      </c>
    </row>
    <row r="604" spans="1:14" x14ac:dyDescent="0.45">
      <c r="A604" s="253" t="str">
        <f t="shared" si="58"/>
        <v>&lt;ct3388&gt;0&lt;/ct3388&gt;</v>
      </c>
      <c r="B604" s="243" t="s">
        <v>1734</v>
      </c>
      <c r="C604" s="244">
        <f t="shared" si="59"/>
        <v>2</v>
      </c>
      <c r="D604" s="244">
        <f t="shared" si="60"/>
        <v>8</v>
      </c>
      <c r="E604" s="244">
        <f t="shared" si="61"/>
        <v>15</v>
      </c>
      <c r="G604" s="259" t="str">
        <f t="shared" si="62"/>
        <v>&lt;ct3388&gt;</v>
      </c>
      <c r="H604" s="260">
        <f>VLOOKUP(N604,BCDTK!$E$9:$L$132,5,0)</f>
        <v>0</v>
      </c>
      <c r="I604" s="261" t="str">
        <f t="shared" si="63"/>
        <v>&lt;/ct3388&gt;</v>
      </c>
      <c r="J604" s="262"/>
      <c r="K604" s="262"/>
      <c r="L604" s="262"/>
      <c r="M604" s="263"/>
      <c r="N604" s="265">
        <v>3388</v>
      </c>
    </row>
    <row r="605" spans="1:14" x14ac:dyDescent="0.45">
      <c r="A605" s="253" t="str">
        <f t="shared" si="58"/>
        <v>&lt;ct341&gt;4027000&lt;/ct341&gt;</v>
      </c>
      <c r="B605" s="243" t="s">
        <v>1661</v>
      </c>
      <c r="C605" s="244">
        <f t="shared" si="59"/>
        <v>2</v>
      </c>
      <c r="D605" s="244">
        <f t="shared" si="60"/>
        <v>7</v>
      </c>
      <c r="E605" s="244">
        <f t="shared" si="61"/>
        <v>9</v>
      </c>
      <c r="G605" s="259" t="str">
        <f t="shared" si="62"/>
        <v>&lt;ct341&gt;</v>
      </c>
      <c r="H605" s="260">
        <f>VLOOKUP(N605,BCDTK!$E$9:$L$132,5,0)</f>
        <v>4027000</v>
      </c>
      <c r="I605" s="261" t="str">
        <f t="shared" si="63"/>
        <v>&lt;/ct341&gt;</v>
      </c>
      <c r="J605" s="262"/>
      <c r="K605" s="262"/>
      <c r="L605" s="262"/>
      <c r="M605" s="263"/>
      <c r="N605" s="265">
        <v>341</v>
      </c>
    </row>
    <row r="606" spans="1:14" x14ac:dyDescent="0.45">
      <c r="A606" s="253" t="str">
        <f t="shared" si="58"/>
        <v>&lt;ct3411&gt;4027000&lt;/ct3411&gt;</v>
      </c>
      <c r="B606" s="243" t="s">
        <v>1662</v>
      </c>
      <c r="C606" s="244">
        <f t="shared" si="59"/>
        <v>2</v>
      </c>
      <c r="D606" s="244">
        <f t="shared" si="60"/>
        <v>8</v>
      </c>
      <c r="E606" s="244">
        <f t="shared" si="61"/>
        <v>10</v>
      </c>
      <c r="G606" s="259" t="str">
        <f t="shared" si="62"/>
        <v>&lt;ct3411&gt;</v>
      </c>
      <c r="H606" s="260">
        <f>VLOOKUP(N606,BCDTK!$E$9:$L$132,5,0)</f>
        <v>4027000</v>
      </c>
      <c r="I606" s="261" t="str">
        <f t="shared" si="63"/>
        <v>&lt;/ct3411&gt;</v>
      </c>
      <c r="J606" s="262"/>
      <c r="K606" s="262"/>
      <c r="L606" s="262"/>
      <c r="M606" s="263"/>
      <c r="N606" s="265">
        <v>3411</v>
      </c>
    </row>
    <row r="607" spans="1:14" x14ac:dyDescent="0.45">
      <c r="A607" s="253" t="str">
        <f t="shared" si="58"/>
        <v>&lt;ct3412&gt;0&lt;/ct3412&gt;</v>
      </c>
      <c r="B607" s="243" t="s">
        <v>1663</v>
      </c>
      <c r="C607" s="244">
        <f t="shared" si="59"/>
        <v>2</v>
      </c>
      <c r="D607" s="244">
        <f t="shared" si="60"/>
        <v>8</v>
      </c>
      <c r="E607" s="244">
        <f t="shared" si="61"/>
        <v>10</v>
      </c>
      <c r="G607" s="259" t="str">
        <f t="shared" si="62"/>
        <v>&lt;ct3412&gt;</v>
      </c>
      <c r="H607" s="260">
        <f>VLOOKUP(N607,BCDTK!$E$9:$L$132,5,0)</f>
        <v>0</v>
      </c>
      <c r="I607" s="261" t="str">
        <f t="shared" si="63"/>
        <v>&lt;/ct3412&gt;</v>
      </c>
      <c r="J607" s="262"/>
      <c r="K607" s="262"/>
      <c r="L607" s="262"/>
      <c r="M607" s="263"/>
      <c r="N607" s="265">
        <v>3412</v>
      </c>
    </row>
    <row r="608" spans="1:14" x14ac:dyDescent="0.45">
      <c r="A608" s="253" t="str">
        <f t="shared" si="58"/>
        <v>&lt;ct352&gt;0&lt;/ct352&gt;</v>
      </c>
      <c r="B608" s="243" t="s">
        <v>1664</v>
      </c>
      <c r="C608" s="244">
        <f t="shared" si="59"/>
        <v>2</v>
      </c>
      <c r="D608" s="244">
        <f t="shared" si="60"/>
        <v>7</v>
      </c>
      <c r="E608" s="244">
        <f t="shared" si="61"/>
        <v>9</v>
      </c>
      <c r="G608" s="259" t="str">
        <f t="shared" si="62"/>
        <v>&lt;ct352&gt;</v>
      </c>
      <c r="H608" s="260">
        <f>VLOOKUP(N608,BCDTK!$E$9:$L$132,5,0)</f>
        <v>0</v>
      </c>
      <c r="I608" s="261" t="str">
        <f t="shared" si="63"/>
        <v>&lt;/ct352&gt;</v>
      </c>
      <c r="J608" s="262"/>
      <c r="K608" s="262"/>
      <c r="L608" s="262"/>
      <c r="M608" s="263"/>
      <c r="N608" s="265">
        <v>352</v>
      </c>
    </row>
    <row r="609" spans="1:14" x14ac:dyDescent="0.45">
      <c r="A609" s="253" t="str">
        <f t="shared" si="58"/>
        <v>&lt;ct3521&gt;0&lt;/ct3521&gt;</v>
      </c>
      <c r="B609" s="243" t="s">
        <v>1665</v>
      </c>
      <c r="C609" s="244">
        <f t="shared" si="59"/>
        <v>2</v>
      </c>
      <c r="D609" s="244">
        <f t="shared" si="60"/>
        <v>8</v>
      </c>
      <c r="E609" s="244">
        <f t="shared" si="61"/>
        <v>10</v>
      </c>
      <c r="G609" s="259" t="str">
        <f t="shared" si="62"/>
        <v>&lt;ct3521&gt;</v>
      </c>
      <c r="H609" s="260">
        <f>VLOOKUP(N609,BCDTK!$E$9:$L$132,5,0)</f>
        <v>0</v>
      </c>
      <c r="I609" s="261" t="str">
        <f t="shared" si="63"/>
        <v>&lt;/ct3521&gt;</v>
      </c>
      <c r="J609" s="262"/>
      <c r="K609" s="262"/>
      <c r="L609" s="262"/>
      <c r="M609" s="263"/>
      <c r="N609" s="265">
        <v>3521</v>
      </c>
    </row>
    <row r="610" spans="1:14" x14ac:dyDescent="0.45">
      <c r="A610" s="253" t="str">
        <f t="shared" si="58"/>
        <v>&lt;ct3522&gt;0&lt;/ct3522&gt;</v>
      </c>
      <c r="B610" s="243" t="s">
        <v>1666</v>
      </c>
      <c r="C610" s="244">
        <f t="shared" si="59"/>
        <v>2</v>
      </c>
      <c r="D610" s="244">
        <f t="shared" si="60"/>
        <v>8</v>
      </c>
      <c r="E610" s="244">
        <f t="shared" si="61"/>
        <v>10</v>
      </c>
      <c r="G610" s="259" t="str">
        <f t="shared" si="62"/>
        <v>&lt;ct3522&gt;</v>
      </c>
      <c r="H610" s="260">
        <f>VLOOKUP(N610,BCDTK!$E$9:$L$132,5,0)</f>
        <v>0</v>
      </c>
      <c r="I610" s="261" t="str">
        <f t="shared" si="63"/>
        <v>&lt;/ct3522&gt;</v>
      </c>
      <c r="J610" s="262"/>
      <c r="K610" s="262"/>
      <c r="L610" s="262"/>
      <c r="M610" s="263"/>
      <c r="N610" s="265">
        <v>3522</v>
      </c>
    </row>
    <row r="611" spans="1:14" x14ac:dyDescent="0.45">
      <c r="A611" s="253" t="str">
        <f t="shared" si="58"/>
        <v>&lt;ct3524&gt;0&lt;/ct3524&gt;</v>
      </c>
      <c r="B611" s="243" t="s">
        <v>1667</v>
      </c>
      <c r="C611" s="244">
        <f t="shared" si="59"/>
        <v>2</v>
      </c>
      <c r="D611" s="244">
        <f t="shared" si="60"/>
        <v>8</v>
      </c>
      <c r="E611" s="244">
        <f t="shared" si="61"/>
        <v>10</v>
      </c>
      <c r="G611" s="259" t="str">
        <f t="shared" si="62"/>
        <v>&lt;ct3524&gt;</v>
      </c>
      <c r="H611" s="260">
        <f>VLOOKUP(N611,BCDTK!$E$9:$L$132,5,0)</f>
        <v>0</v>
      </c>
      <c r="I611" s="261" t="str">
        <f t="shared" si="63"/>
        <v>&lt;/ct3524&gt;</v>
      </c>
      <c r="J611" s="262"/>
      <c r="K611" s="262"/>
      <c r="L611" s="262"/>
      <c r="M611" s="263"/>
      <c r="N611" s="265">
        <v>3524</v>
      </c>
    </row>
    <row r="612" spans="1:14" x14ac:dyDescent="0.45">
      <c r="A612" s="253" t="str">
        <f t="shared" si="58"/>
        <v>&lt;ct353&gt;0&lt;/ct353&gt;</v>
      </c>
      <c r="B612" s="243" t="s">
        <v>1668</v>
      </c>
      <c r="C612" s="244">
        <f t="shared" si="59"/>
        <v>2</v>
      </c>
      <c r="D612" s="244">
        <f t="shared" si="60"/>
        <v>7</v>
      </c>
      <c r="E612" s="244">
        <f t="shared" si="61"/>
        <v>9</v>
      </c>
      <c r="G612" s="259" t="str">
        <f t="shared" si="62"/>
        <v>&lt;ct353&gt;</v>
      </c>
      <c r="H612" s="260">
        <f>VLOOKUP(N612,BCDTK!$E$9:$L$132,5,0)</f>
        <v>0</v>
      </c>
      <c r="I612" s="261" t="str">
        <f t="shared" si="63"/>
        <v>&lt;/ct353&gt;</v>
      </c>
      <c r="J612" s="262"/>
      <c r="K612" s="262"/>
      <c r="L612" s="262"/>
      <c r="M612" s="263"/>
      <c r="N612" s="265">
        <v>353</v>
      </c>
    </row>
    <row r="613" spans="1:14" x14ac:dyDescent="0.45">
      <c r="A613" s="253" t="str">
        <f t="shared" si="58"/>
        <v>&lt;ct3531&gt;0&lt;/ct3531&gt;</v>
      </c>
      <c r="B613" s="243" t="s">
        <v>1669</v>
      </c>
      <c r="C613" s="244">
        <f t="shared" si="59"/>
        <v>2</v>
      </c>
      <c r="D613" s="244">
        <f t="shared" si="60"/>
        <v>8</v>
      </c>
      <c r="E613" s="244">
        <f t="shared" si="61"/>
        <v>10</v>
      </c>
      <c r="G613" s="259" t="str">
        <f t="shared" si="62"/>
        <v>&lt;ct3531&gt;</v>
      </c>
      <c r="H613" s="260">
        <f>VLOOKUP(N613,BCDTK!$E$9:$L$132,5,0)</f>
        <v>0</v>
      </c>
      <c r="I613" s="261" t="str">
        <f t="shared" si="63"/>
        <v>&lt;/ct3531&gt;</v>
      </c>
      <c r="J613" s="262"/>
      <c r="K613" s="262"/>
      <c r="L613" s="262"/>
      <c r="M613" s="263"/>
      <c r="N613" s="265">
        <v>3531</v>
      </c>
    </row>
    <row r="614" spans="1:14" x14ac:dyDescent="0.45">
      <c r="A614" s="253" t="str">
        <f t="shared" si="58"/>
        <v>&lt;ct3532&gt;0&lt;/ct3532&gt;</v>
      </c>
      <c r="B614" s="243" t="s">
        <v>1670</v>
      </c>
      <c r="C614" s="244">
        <f t="shared" si="59"/>
        <v>2</v>
      </c>
      <c r="D614" s="244">
        <f t="shared" si="60"/>
        <v>8</v>
      </c>
      <c r="E614" s="244">
        <f t="shared" si="61"/>
        <v>10</v>
      </c>
      <c r="G614" s="259" t="str">
        <f t="shared" si="62"/>
        <v>&lt;ct3532&gt;</v>
      </c>
      <c r="H614" s="260">
        <f>VLOOKUP(N614,BCDTK!$E$9:$L$132,5,0)</f>
        <v>0</v>
      </c>
      <c r="I614" s="261" t="str">
        <f t="shared" si="63"/>
        <v>&lt;/ct3532&gt;</v>
      </c>
      <c r="J614" s="262"/>
      <c r="K614" s="262"/>
      <c r="L614" s="262"/>
      <c r="M614" s="263"/>
      <c r="N614" s="265">
        <v>3532</v>
      </c>
    </row>
    <row r="615" spans="1:14" x14ac:dyDescent="0.45">
      <c r="A615" s="253" t="str">
        <f t="shared" si="58"/>
        <v>&lt;ct3533&gt;0&lt;/ct3533&gt;</v>
      </c>
      <c r="B615" s="243" t="s">
        <v>1671</v>
      </c>
      <c r="C615" s="244">
        <f t="shared" si="59"/>
        <v>2</v>
      </c>
      <c r="D615" s="244">
        <f t="shared" si="60"/>
        <v>8</v>
      </c>
      <c r="E615" s="244">
        <f t="shared" si="61"/>
        <v>10</v>
      </c>
      <c r="G615" s="259" t="str">
        <f t="shared" si="62"/>
        <v>&lt;ct3533&gt;</v>
      </c>
      <c r="H615" s="260">
        <f>VLOOKUP(N615,BCDTK!$E$9:$L$132,5,0)</f>
        <v>0</v>
      </c>
      <c r="I615" s="261" t="str">
        <f t="shared" si="63"/>
        <v>&lt;/ct3533&gt;</v>
      </c>
      <c r="J615" s="262"/>
      <c r="K615" s="262"/>
      <c r="L615" s="262"/>
      <c r="M615" s="263"/>
      <c r="N615" s="265">
        <v>3533</v>
      </c>
    </row>
    <row r="616" spans="1:14" x14ac:dyDescent="0.45">
      <c r="A616" s="253" t="str">
        <f t="shared" si="58"/>
        <v>&lt;ct3534&gt;0&lt;/ct3534&gt;</v>
      </c>
      <c r="B616" s="243" t="s">
        <v>1672</v>
      </c>
      <c r="C616" s="244">
        <f t="shared" si="59"/>
        <v>2</v>
      </c>
      <c r="D616" s="244">
        <f t="shared" si="60"/>
        <v>8</v>
      </c>
      <c r="E616" s="244">
        <f t="shared" si="61"/>
        <v>10</v>
      </c>
      <c r="G616" s="259" t="str">
        <f t="shared" si="62"/>
        <v>&lt;ct3534&gt;</v>
      </c>
      <c r="H616" s="260">
        <f>VLOOKUP(N616,BCDTK!$E$9:$L$132,5,0)</f>
        <v>0</v>
      </c>
      <c r="I616" s="261" t="str">
        <f t="shared" si="63"/>
        <v>&lt;/ct3534&gt;</v>
      </c>
      <c r="J616" s="262"/>
      <c r="K616" s="262"/>
      <c r="L616" s="262"/>
      <c r="M616" s="263"/>
      <c r="N616" s="265">
        <v>3534</v>
      </c>
    </row>
    <row r="617" spans="1:14" x14ac:dyDescent="0.45">
      <c r="A617" s="253" t="str">
        <f t="shared" si="58"/>
        <v>&lt;ct356&gt;0&lt;/ct356&gt;</v>
      </c>
      <c r="B617" s="243" t="s">
        <v>1673</v>
      </c>
      <c r="C617" s="244">
        <f t="shared" si="59"/>
        <v>2</v>
      </c>
      <c r="D617" s="244">
        <f t="shared" si="60"/>
        <v>7</v>
      </c>
      <c r="E617" s="244">
        <f t="shared" si="61"/>
        <v>9</v>
      </c>
      <c r="G617" s="259" t="str">
        <f t="shared" si="62"/>
        <v>&lt;ct356&gt;</v>
      </c>
      <c r="H617" s="260">
        <f>VLOOKUP(N617,BCDTK!$E$9:$L$132,5,0)</f>
        <v>0</v>
      </c>
      <c r="I617" s="261" t="str">
        <f t="shared" si="63"/>
        <v>&lt;/ct356&gt;</v>
      </c>
      <c r="J617" s="262"/>
      <c r="K617" s="262"/>
      <c r="L617" s="262"/>
      <c r="M617" s="263"/>
      <c r="N617" s="265">
        <v>356</v>
      </c>
    </row>
    <row r="618" spans="1:14" x14ac:dyDescent="0.45">
      <c r="A618" s="253" t="str">
        <f t="shared" si="58"/>
        <v>&lt;ct3561&gt;0&lt;/ct3561&gt;</v>
      </c>
      <c r="B618" s="243" t="s">
        <v>1674</v>
      </c>
      <c r="C618" s="244">
        <f t="shared" si="59"/>
        <v>2</v>
      </c>
      <c r="D618" s="244">
        <f t="shared" si="60"/>
        <v>8</v>
      </c>
      <c r="E618" s="244">
        <f t="shared" si="61"/>
        <v>10</v>
      </c>
      <c r="G618" s="259" t="str">
        <f t="shared" si="62"/>
        <v>&lt;ct3561&gt;</v>
      </c>
      <c r="H618" s="260">
        <f>VLOOKUP(N618,BCDTK!$E$9:$L$132,5,0)</f>
        <v>0</v>
      </c>
      <c r="I618" s="261" t="str">
        <f t="shared" si="63"/>
        <v>&lt;/ct3561&gt;</v>
      </c>
      <c r="J618" s="262"/>
      <c r="K618" s="262"/>
      <c r="L618" s="262"/>
      <c r="M618" s="263"/>
      <c r="N618" s="265">
        <v>3561</v>
      </c>
    </row>
    <row r="619" spans="1:14" x14ac:dyDescent="0.45">
      <c r="A619" s="253" t="str">
        <f t="shared" si="58"/>
        <v>&lt;ct3562&gt;0&lt;/ct3562&gt;</v>
      </c>
      <c r="B619" s="243" t="s">
        <v>1675</v>
      </c>
      <c r="C619" s="244">
        <f t="shared" si="59"/>
        <v>2</v>
      </c>
      <c r="D619" s="244">
        <f t="shared" si="60"/>
        <v>8</v>
      </c>
      <c r="E619" s="244">
        <f t="shared" si="61"/>
        <v>10</v>
      </c>
      <c r="G619" s="259" t="str">
        <f t="shared" si="62"/>
        <v>&lt;ct3562&gt;</v>
      </c>
      <c r="H619" s="260">
        <f>VLOOKUP(N619,BCDTK!$E$9:$L$132,5,0)</f>
        <v>0</v>
      </c>
      <c r="I619" s="261" t="str">
        <f t="shared" si="63"/>
        <v>&lt;/ct3562&gt;</v>
      </c>
      <c r="J619" s="262"/>
      <c r="K619" s="262"/>
      <c r="L619" s="262"/>
      <c r="M619" s="263"/>
      <c r="N619" s="265">
        <v>3562</v>
      </c>
    </row>
    <row r="620" spans="1:14" x14ac:dyDescent="0.45">
      <c r="A620" s="253" t="str">
        <f t="shared" si="58"/>
        <v>&lt;ct411&gt;0&lt;/ct411&gt;</v>
      </c>
      <c r="B620" s="243" t="s">
        <v>1525</v>
      </c>
      <c r="C620" s="244">
        <f t="shared" si="59"/>
        <v>2</v>
      </c>
      <c r="D620" s="244">
        <f t="shared" si="60"/>
        <v>7</v>
      </c>
      <c r="E620" s="244">
        <f t="shared" si="61"/>
        <v>9</v>
      </c>
      <c r="G620" s="259" t="str">
        <f t="shared" si="62"/>
        <v>&lt;ct411&gt;</v>
      </c>
      <c r="H620" s="260">
        <f>VLOOKUP(N620,BCDTK!$E$9:$L$132,5,0)</f>
        <v>0</v>
      </c>
      <c r="I620" s="261" t="str">
        <f t="shared" si="63"/>
        <v>&lt;/ct411&gt;</v>
      </c>
      <c r="J620" s="262"/>
      <c r="K620" s="262"/>
      <c r="L620" s="262"/>
      <c r="M620" s="263"/>
      <c r="N620" s="265">
        <v>411</v>
      </c>
    </row>
    <row r="621" spans="1:14" x14ac:dyDescent="0.45">
      <c r="A621" s="253" t="str">
        <f t="shared" ref="A621:A684" si="64">CONCATENATE(G621,H621,I621)</f>
        <v>&lt;ct4111&gt;0&lt;/ct4111&gt;</v>
      </c>
      <c r="B621" s="243" t="s">
        <v>1676</v>
      </c>
      <c r="C621" s="244">
        <f t="shared" si="59"/>
        <v>2</v>
      </c>
      <c r="D621" s="244">
        <f t="shared" si="60"/>
        <v>8</v>
      </c>
      <c r="E621" s="244">
        <f t="shared" si="61"/>
        <v>10</v>
      </c>
      <c r="G621" s="259" t="str">
        <f t="shared" si="62"/>
        <v>&lt;ct4111&gt;</v>
      </c>
      <c r="H621" s="260">
        <f>VLOOKUP(N621,BCDTK!$E$9:$L$132,5,0)</f>
        <v>0</v>
      </c>
      <c r="I621" s="261" t="str">
        <f t="shared" si="63"/>
        <v>&lt;/ct4111&gt;</v>
      </c>
      <c r="J621" s="262"/>
      <c r="K621" s="262"/>
      <c r="L621" s="262"/>
      <c r="M621" s="263"/>
      <c r="N621" s="265">
        <v>4111</v>
      </c>
    </row>
    <row r="622" spans="1:14" x14ac:dyDescent="0.45">
      <c r="A622" s="253" t="str">
        <f t="shared" si="64"/>
        <v>&lt;ct4112&gt;0&lt;/ct4112&gt;</v>
      </c>
      <c r="B622" s="243" t="s">
        <v>1677</v>
      </c>
      <c r="C622" s="244">
        <f t="shared" si="59"/>
        <v>2</v>
      </c>
      <c r="D622" s="244">
        <f t="shared" si="60"/>
        <v>8</v>
      </c>
      <c r="E622" s="244">
        <f t="shared" si="61"/>
        <v>10</v>
      </c>
      <c r="G622" s="259" t="str">
        <f t="shared" si="62"/>
        <v>&lt;ct4112&gt;</v>
      </c>
      <c r="H622" s="260">
        <f>VLOOKUP(N622,BCDTK!$E$9:$L$132,5,0)</f>
        <v>0</v>
      </c>
      <c r="I622" s="261" t="str">
        <f t="shared" si="63"/>
        <v>&lt;/ct4112&gt;</v>
      </c>
      <c r="J622" s="262"/>
      <c r="K622" s="262"/>
      <c r="L622" s="262"/>
      <c r="M622" s="263"/>
      <c r="N622" s="265">
        <v>4112</v>
      </c>
    </row>
    <row r="623" spans="1:14" x14ac:dyDescent="0.45">
      <c r="A623" s="253" t="str">
        <f t="shared" si="64"/>
        <v>&lt;ct4118&gt;0&lt;/ct4118&gt;</v>
      </c>
      <c r="B623" s="243" t="s">
        <v>1678</v>
      </c>
      <c r="C623" s="244">
        <f t="shared" si="59"/>
        <v>2</v>
      </c>
      <c r="D623" s="244">
        <f t="shared" si="60"/>
        <v>8</v>
      </c>
      <c r="E623" s="244">
        <f t="shared" si="61"/>
        <v>10</v>
      </c>
      <c r="G623" s="259" t="str">
        <f t="shared" si="62"/>
        <v>&lt;ct4118&gt;</v>
      </c>
      <c r="H623" s="260">
        <f>VLOOKUP(N623,BCDTK!$E$9:$L$132,5,0)</f>
        <v>0</v>
      </c>
      <c r="I623" s="261" t="str">
        <f t="shared" si="63"/>
        <v>&lt;/ct4118&gt;</v>
      </c>
      <c r="J623" s="262"/>
      <c r="K623" s="262"/>
      <c r="L623" s="262"/>
      <c r="M623" s="263"/>
      <c r="N623" s="265">
        <v>4118</v>
      </c>
    </row>
    <row r="624" spans="1:14" x14ac:dyDescent="0.45">
      <c r="A624" s="253" t="str">
        <f t="shared" si="64"/>
        <v>&lt;ct413&gt;0&lt;/ct413&gt;</v>
      </c>
      <c r="B624" s="243" t="s">
        <v>1735</v>
      </c>
      <c r="C624" s="244">
        <f t="shared" si="59"/>
        <v>2</v>
      </c>
      <c r="D624" s="244">
        <f t="shared" si="60"/>
        <v>7</v>
      </c>
      <c r="E624" s="244">
        <f t="shared" si="61"/>
        <v>16</v>
      </c>
      <c r="G624" s="259" t="str">
        <f t="shared" si="62"/>
        <v>&lt;ct413&gt;</v>
      </c>
      <c r="H624" s="260">
        <f>VLOOKUP(N624,BCDTK!$E$9:$L$132,5,0)</f>
        <v>0</v>
      </c>
      <c r="I624" s="261" t="str">
        <f t="shared" si="63"/>
        <v>&lt;/ct413&gt;</v>
      </c>
      <c r="J624" s="262"/>
      <c r="K624" s="262"/>
      <c r="L624" s="262"/>
      <c r="M624" s="263"/>
      <c r="N624" s="265">
        <v>413</v>
      </c>
    </row>
    <row r="625" spans="1:14" x14ac:dyDescent="0.45">
      <c r="A625" s="253" t="str">
        <f t="shared" si="64"/>
        <v>&lt;ct418&gt;0&lt;/ct418&gt;</v>
      </c>
      <c r="B625" s="243" t="s">
        <v>1679</v>
      </c>
      <c r="C625" s="244">
        <f t="shared" si="59"/>
        <v>2</v>
      </c>
      <c r="D625" s="244">
        <f t="shared" si="60"/>
        <v>7</v>
      </c>
      <c r="E625" s="244">
        <f t="shared" si="61"/>
        <v>9</v>
      </c>
      <c r="G625" s="259" t="str">
        <f t="shared" si="62"/>
        <v>&lt;ct418&gt;</v>
      </c>
      <c r="H625" s="260">
        <f>VLOOKUP(N625,BCDTK!$E$9:$L$132,5,0)</f>
        <v>0</v>
      </c>
      <c r="I625" s="261" t="str">
        <f t="shared" si="63"/>
        <v>&lt;/ct418&gt;</v>
      </c>
      <c r="J625" s="262"/>
      <c r="K625" s="262"/>
      <c r="L625" s="262"/>
      <c r="M625" s="263"/>
      <c r="N625" s="265">
        <v>418</v>
      </c>
    </row>
    <row r="626" spans="1:14" x14ac:dyDescent="0.45">
      <c r="A626" s="253" t="str">
        <f t="shared" si="64"/>
        <v>&lt;ct419&gt;0&lt;/ct419&gt;</v>
      </c>
      <c r="B626" s="243" t="s">
        <v>1680</v>
      </c>
      <c r="C626" s="244">
        <f t="shared" si="59"/>
        <v>2</v>
      </c>
      <c r="D626" s="244">
        <f t="shared" si="60"/>
        <v>7</v>
      </c>
      <c r="E626" s="244">
        <f t="shared" si="61"/>
        <v>9</v>
      </c>
      <c r="G626" s="259" t="str">
        <f t="shared" si="62"/>
        <v>&lt;ct419&gt;</v>
      </c>
      <c r="H626" s="260">
        <f>VLOOKUP(N626,BCDTK!$E$9:$L$132,5,0)</f>
        <v>0</v>
      </c>
      <c r="I626" s="261" t="str">
        <f t="shared" si="63"/>
        <v>&lt;/ct419&gt;</v>
      </c>
      <c r="J626" s="262"/>
      <c r="K626" s="262"/>
      <c r="L626" s="262"/>
      <c r="M626" s="263"/>
      <c r="N626" s="265">
        <v>419</v>
      </c>
    </row>
    <row r="627" spans="1:14" x14ac:dyDescent="0.45">
      <c r="A627" s="253" t="str">
        <f t="shared" si="64"/>
        <v>&lt;ct421&gt;0&lt;/ct421&gt;</v>
      </c>
      <c r="B627" s="243" t="s">
        <v>1736</v>
      </c>
      <c r="C627" s="244">
        <f t="shared" si="59"/>
        <v>2</v>
      </c>
      <c r="D627" s="244">
        <f t="shared" si="60"/>
        <v>7</v>
      </c>
      <c r="E627" s="244">
        <f t="shared" si="61"/>
        <v>18</v>
      </c>
      <c r="G627" s="259" t="str">
        <f t="shared" si="62"/>
        <v>&lt;ct421&gt;</v>
      </c>
      <c r="H627" s="260">
        <f>VLOOKUP(N627,BCDTK!$E$9:$L$132,5,0)</f>
        <v>0</v>
      </c>
      <c r="I627" s="261" t="str">
        <f t="shared" si="63"/>
        <v>&lt;/ct421&gt;</v>
      </c>
      <c r="J627" s="262"/>
      <c r="K627" s="262"/>
      <c r="L627" s="262"/>
      <c r="M627" s="263"/>
      <c r="N627" s="265">
        <v>421</v>
      </c>
    </row>
    <row r="628" spans="1:14" x14ac:dyDescent="0.45">
      <c r="A628" s="253" t="str">
        <f t="shared" si="64"/>
        <v>&lt;ct4211&gt;0&lt;/ct4211&gt;</v>
      </c>
      <c r="B628" s="243" t="s">
        <v>1737</v>
      </c>
      <c r="C628" s="244">
        <f t="shared" si="59"/>
        <v>2</v>
      </c>
      <c r="D628" s="244">
        <f t="shared" si="60"/>
        <v>8</v>
      </c>
      <c r="E628" s="244">
        <f t="shared" si="61"/>
        <v>18</v>
      </c>
      <c r="G628" s="259" t="str">
        <f t="shared" si="62"/>
        <v>&lt;ct4211&gt;</v>
      </c>
      <c r="H628" s="260">
        <f>VLOOKUP(N628,BCDTK!$E$9:$L$132,5,0)</f>
        <v>0</v>
      </c>
      <c r="I628" s="261" t="str">
        <f t="shared" si="63"/>
        <v>&lt;/ct4211&gt;</v>
      </c>
      <c r="J628" s="262"/>
      <c r="K628" s="262"/>
      <c r="L628" s="262"/>
      <c r="M628" s="263"/>
      <c r="N628" s="265">
        <v>4211</v>
      </c>
    </row>
    <row r="629" spans="1:14" x14ac:dyDescent="0.45">
      <c r="A629" s="253" t="str">
        <f t="shared" si="64"/>
        <v>&lt;ct4212&gt;0&lt;/ct4212&gt;</v>
      </c>
      <c r="B629" s="243" t="s">
        <v>1738</v>
      </c>
      <c r="C629" s="244">
        <f t="shared" si="59"/>
        <v>2</v>
      </c>
      <c r="D629" s="244">
        <f t="shared" si="60"/>
        <v>8</v>
      </c>
      <c r="E629" s="244">
        <f t="shared" si="61"/>
        <v>19</v>
      </c>
      <c r="G629" s="259" t="str">
        <f t="shared" si="62"/>
        <v>&lt;ct4212&gt;</v>
      </c>
      <c r="H629" s="260">
        <f>VLOOKUP(N629,BCDTK!$E$9:$L$132,5,0)</f>
        <v>0</v>
      </c>
      <c r="I629" s="261" t="str">
        <f t="shared" si="63"/>
        <v>&lt;/ct4212&gt;</v>
      </c>
      <c r="J629" s="262"/>
      <c r="K629" s="262"/>
      <c r="L629" s="262"/>
      <c r="M629" s="263"/>
      <c r="N629" s="265">
        <v>4212</v>
      </c>
    </row>
    <row r="630" spans="1:14" x14ac:dyDescent="0.45">
      <c r="A630" s="253" t="str">
        <f t="shared" si="64"/>
        <v>&lt;ct511&gt;244520964&lt;/ct511&gt;</v>
      </c>
      <c r="B630" s="243" t="s">
        <v>1739</v>
      </c>
      <c r="C630" s="244">
        <f t="shared" si="59"/>
        <v>2</v>
      </c>
      <c r="D630" s="244">
        <f t="shared" si="60"/>
        <v>7</v>
      </c>
      <c r="E630" s="244">
        <f t="shared" si="61"/>
        <v>17</v>
      </c>
      <c r="G630" s="259" t="str">
        <f t="shared" si="62"/>
        <v>&lt;ct511&gt;</v>
      </c>
      <c r="H630" s="260">
        <f>VLOOKUP(N630,BCDTK!$E$9:$L$132,5,0)</f>
        <v>244520964</v>
      </c>
      <c r="I630" s="261" t="str">
        <f t="shared" si="63"/>
        <v>&lt;/ct511&gt;</v>
      </c>
      <c r="J630" s="262"/>
      <c r="K630" s="262"/>
      <c r="L630" s="262"/>
      <c r="M630" s="263"/>
      <c r="N630" s="265">
        <v>511</v>
      </c>
    </row>
    <row r="631" spans="1:14" x14ac:dyDescent="0.45">
      <c r="A631" s="253" t="str">
        <f t="shared" si="64"/>
        <v>&lt;ct5111&gt;0&lt;/ct5111&gt;</v>
      </c>
      <c r="B631" s="243" t="s">
        <v>1685</v>
      </c>
      <c r="C631" s="244">
        <f t="shared" si="59"/>
        <v>2</v>
      </c>
      <c r="D631" s="244">
        <f t="shared" si="60"/>
        <v>8</v>
      </c>
      <c r="E631" s="244">
        <f t="shared" si="61"/>
        <v>10</v>
      </c>
      <c r="G631" s="259" t="str">
        <f t="shared" si="62"/>
        <v>&lt;ct5111&gt;</v>
      </c>
      <c r="H631" s="260">
        <f>VLOOKUP(N631,BCDTK!$E$9:$L$132,5,0)</f>
        <v>0</v>
      </c>
      <c r="I631" s="261" t="str">
        <f t="shared" si="63"/>
        <v>&lt;/ct5111&gt;</v>
      </c>
      <c r="J631" s="262"/>
      <c r="K631" s="262"/>
      <c r="L631" s="262"/>
      <c r="M631" s="263"/>
      <c r="N631" s="265">
        <v>5111</v>
      </c>
    </row>
    <row r="632" spans="1:14" x14ac:dyDescent="0.45">
      <c r="A632" s="253" t="str">
        <f t="shared" si="64"/>
        <v>&lt;ct5112&gt;0&lt;/ct5112&gt;</v>
      </c>
      <c r="B632" s="243" t="s">
        <v>1686</v>
      </c>
      <c r="C632" s="244">
        <f t="shared" si="59"/>
        <v>2</v>
      </c>
      <c r="D632" s="244">
        <f t="shared" si="60"/>
        <v>8</v>
      </c>
      <c r="E632" s="244">
        <f t="shared" si="61"/>
        <v>10</v>
      </c>
      <c r="G632" s="259" t="str">
        <f t="shared" si="62"/>
        <v>&lt;ct5112&gt;</v>
      </c>
      <c r="H632" s="260">
        <f>VLOOKUP(N632,BCDTK!$E$9:$L$132,5,0)</f>
        <v>0</v>
      </c>
      <c r="I632" s="261" t="str">
        <f t="shared" si="63"/>
        <v>&lt;/ct5112&gt;</v>
      </c>
      <c r="J632" s="262"/>
      <c r="K632" s="262"/>
      <c r="L632" s="262"/>
      <c r="M632" s="263"/>
      <c r="N632" s="265">
        <v>5112</v>
      </c>
    </row>
    <row r="633" spans="1:14" x14ac:dyDescent="0.45">
      <c r="A633" s="253" t="str">
        <f t="shared" si="64"/>
        <v>&lt;ct5113&gt;244520964&lt;/ct5113&gt;</v>
      </c>
      <c r="B633" s="243" t="s">
        <v>1740</v>
      </c>
      <c r="C633" s="244">
        <f t="shared" si="59"/>
        <v>2</v>
      </c>
      <c r="D633" s="244">
        <f t="shared" si="60"/>
        <v>8</v>
      </c>
      <c r="E633" s="244">
        <f t="shared" si="61"/>
        <v>18</v>
      </c>
      <c r="G633" s="259" t="str">
        <f t="shared" si="62"/>
        <v>&lt;ct5113&gt;</v>
      </c>
      <c r="H633" s="260">
        <f>VLOOKUP(N633,BCDTK!$E$9:$L$132,5,0)</f>
        <v>244520964</v>
      </c>
      <c r="I633" s="261" t="str">
        <f t="shared" si="63"/>
        <v>&lt;/ct5113&gt;</v>
      </c>
      <c r="J633" s="262"/>
      <c r="K633" s="262"/>
      <c r="L633" s="262"/>
      <c r="M633" s="263"/>
      <c r="N633" s="265">
        <v>5113</v>
      </c>
    </row>
    <row r="634" spans="1:14" x14ac:dyDescent="0.45">
      <c r="A634" s="253" t="str">
        <f t="shared" si="64"/>
        <v>&lt;ct5118&gt;0&lt;/ct5118&gt;</v>
      </c>
      <c r="B634" s="243" t="s">
        <v>1688</v>
      </c>
      <c r="C634" s="244">
        <f t="shared" si="59"/>
        <v>2</v>
      </c>
      <c r="D634" s="244">
        <f t="shared" si="60"/>
        <v>8</v>
      </c>
      <c r="E634" s="244">
        <f t="shared" si="61"/>
        <v>10</v>
      </c>
      <c r="G634" s="259" t="str">
        <f t="shared" si="62"/>
        <v>&lt;ct5118&gt;</v>
      </c>
      <c r="H634" s="260">
        <f>VLOOKUP(N634,BCDTK!$E$9:$L$132,5,0)</f>
        <v>0</v>
      </c>
      <c r="I634" s="261" t="str">
        <f t="shared" si="63"/>
        <v>&lt;/ct5118&gt;</v>
      </c>
      <c r="J634" s="262"/>
      <c r="K634" s="262"/>
      <c r="L634" s="262"/>
      <c r="M634" s="263"/>
      <c r="N634" s="265">
        <v>5118</v>
      </c>
    </row>
    <row r="635" spans="1:14" x14ac:dyDescent="0.45">
      <c r="A635" s="253" t="str">
        <f t="shared" si="64"/>
        <v>&lt;ct515&gt;161&lt;/ct515&gt;</v>
      </c>
      <c r="B635" s="243" t="s">
        <v>1741</v>
      </c>
      <c r="C635" s="244">
        <f t="shared" si="59"/>
        <v>2</v>
      </c>
      <c r="D635" s="244">
        <f t="shared" si="60"/>
        <v>7</v>
      </c>
      <c r="E635" s="244">
        <f t="shared" si="61"/>
        <v>15</v>
      </c>
      <c r="G635" s="259" t="str">
        <f t="shared" si="62"/>
        <v>&lt;ct515&gt;</v>
      </c>
      <c r="H635" s="260">
        <f>VLOOKUP(N635,BCDTK!$E$9:$L$132,5,0)</f>
        <v>161</v>
      </c>
      <c r="I635" s="261" t="str">
        <f t="shared" si="63"/>
        <v>&lt;/ct515&gt;</v>
      </c>
      <c r="J635" s="262"/>
      <c r="K635" s="262"/>
      <c r="L635" s="262"/>
      <c r="M635" s="263"/>
      <c r="N635" s="265">
        <v>515</v>
      </c>
    </row>
    <row r="636" spans="1:14" x14ac:dyDescent="0.45">
      <c r="A636" s="253" t="str">
        <f t="shared" si="64"/>
        <v>&lt;ct611&gt;0&lt;/ct611&gt;</v>
      </c>
      <c r="B636" s="243" t="s">
        <v>1690</v>
      </c>
      <c r="C636" s="244">
        <f t="shared" si="59"/>
        <v>2</v>
      </c>
      <c r="D636" s="244">
        <f t="shared" si="60"/>
        <v>7</v>
      </c>
      <c r="E636" s="244">
        <f t="shared" si="61"/>
        <v>9</v>
      </c>
      <c r="G636" s="259" t="str">
        <f t="shared" si="62"/>
        <v>&lt;ct611&gt;</v>
      </c>
      <c r="H636" s="260">
        <f>VLOOKUP(N636,BCDTK!$E$9:$L$132,5,0)</f>
        <v>0</v>
      </c>
      <c r="I636" s="261" t="str">
        <f t="shared" si="63"/>
        <v>&lt;/ct611&gt;</v>
      </c>
      <c r="J636" s="262"/>
      <c r="K636" s="262"/>
      <c r="L636" s="262"/>
      <c r="M636" s="263"/>
      <c r="N636" s="265">
        <v>611</v>
      </c>
    </row>
    <row r="637" spans="1:14" x14ac:dyDescent="0.45">
      <c r="A637" s="253" t="str">
        <f t="shared" si="64"/>
        <v>&lt;ct631&gt;0&lt;/ct631&gt;</v>
      </c>
      <c r="B637" s="243" t="s">
        <v>1691</v>
      </c>
      <c r="C637" s="244">
        <f t="shared" si="59"/>
        <v>2</v>
      </c>
      <c r="D637" s="244">
        <f t="shared" si="60"/>
        <v>7</v>
      </c>
      <c r="E637" s="244">
        <f t="shared" si="61"/>
        <v>9</v>
      </c>
      <c r="G637" s="259" t="str">
        <f t="shared" si="62"/>
        <v>&lt;ct631&gt;</v>
      </c>
      <c r="H637" s="260">
        <f>VLOOKUP(N637,BCDTK!$E$9:$L$132,5,0)</f>
        <v>0</v>
      </c>
      <c r="I637" s="261" t="str">
        <f t="shared" si="63"/>
        <v>&lt;/ct631&gt;</v>
      </c>
      <c r="J637" s="262"/>
      <c r="K637" s="262"/>
      <c r="L637" s="262"/>
      <c r="M637" s="263"/>
      <c r="N637" s="265">
        <v>631</v>
      </c>
    </row>
    <row r="638" spans="1:14" x14ac:dyDescent="0.45">
      <c r="A638" s="253" t="str">
        <f t="shared" si="64"/>
        <v>&lt;ct632&gt;183572894&lt;/ct632&gt;</v>
      </c>
      <c r="B638" s="243" t="s">
        <v>1742</v>
      </c>
      <c r="C638" s="244">
        <f t="shared" si="59"/>
        <v>2</v>
      </c>
      <c r="D638" s="244">
        <f t="shared" si="60"/>
        <v>7</v>
      </c>
      <c r="E638" s="244">
        <f t="shared" si="61"/>
        <v>16</v>
      </c>
      <c r="G638" s="259" t="str">
        <f t="shared" si="62"/>
        <v>&lt;ct632&gt;</v>
      </c>
      <c r="H638" s="260">
        <f>VLOOKUP(N638,BCDTK!$E$9:$L$132,5,0)</f>
        <v>183572894</v>
      </c>
      <c r="I638" s="261" t="str">
        <f t="shared" si="63"/>
        <v>&lt;/ct632&gt;</v>
      </c>
      <c r="J638" s="262"/>
      <c r="K638" s="262"/>
      <c r="L638" s="262"/>
      <c r="M638" s="263"/>
      <c r="N638" s="265">
        <v>632</v>
      </c>
    </row>
    <row r="639" spans="1:14" x14ac:dyDescent="0.45">
      <c r="A639" s="253" t="str">
        <f t="shared" si="64"/>
        <v>&lt;ct635&gt;2573376&lt;/ct635&gt;</v>
      </c>
      <c r="B639" s="243" t="s">
        <v>1743</v>
      </c>
      <c r="C639" s="244">
        <f t="shared" si="59"/>
        <v>2</v>
      </c>
      <c r="D639" s="244">
        <f t="shared" si="60"/>
        <v>7</v>
      </c>
      <c r="E639" s="244">
        <f t="shared" si="61"/>
        <v>16</v>
      </c>
      <c r="G639" s="259" t="str">
        <f t="shared" si="62"/>
        <v>&lt;ct635&gt;</v>
      </c>
      <c r="H639" s="260">
        <f>VLOOKUP(N639,BCDTK!$E$9:$L$132,5,0)</f>
        <v>2573376</v>
      </c>
      <c r="I639" s="261" t="str">
        <f t="shared" si="63"/>
        <v>&lt;/ct635&gt;</v>
      </c>
      <c r="J639" s="262"/>
      <c r="K639" s="262"/>
      <c r="L639" s="262"/>
      <c r="M639" s="263"/>
      <c r="N639" s="265">
        <v>635</v>
      </c>
    </row>
    <row r="640" spans="1:14" x14ac:dyDescent="0.45">
      <c r="A640" s="253" t="str">
        <f t="shared" si="64"/>
        <v>&lt;ct642&gt;46432205&lt;/ct642&gt;</v>
      </c>
      <c r="B640" s="243" t="s">
        <v>1744</v>
      </c>
      <c r="C640" s="244">
        <f t="shared" si="59"/>
        <v>2</v>
      </c>
      <c r="D640" s="244">
        <f t="shared" si="60"/>
        <v>7</v>
      </c>
      <c r="E640" s="244">
        <f t="shared" si="61"/>
        <v>18</v>
      </c>
      <c r="G640" s="259" t="str">
        <f t="shared" si="62"/>
        <v>&lt;ct642&gt;</v>
      </c>
      <c r="H640" s="260">
        <f>VLOOKUP(N640,BCDTK!$E$9:$L$132,5,0)</f>
        <v>46432205</v>
      </c>
      <c r="I640" s="261" t="str">
        <f t="shared" si="63"/>
        <v>&lt;/ct642&gt;</v>
      </c>
      <c r="J640" s="262"/>
      <c r="K640" s="262"/>
      <c r="L640" s="262"/>
      <c r="M640" s="263"/>
      <c r="N640" s="265">
        <v>642</v>
      </c>
    </row>
    <row r="641" spans="1:14" x14ac:dyDescent="0.45">
      <c r="A641" s="253" t="str">
        <f t="shared" si="64"/>
        <v>&lt;ct6421&gt;46432205&lt;/ct6421&gt;</v>
      </c>
      <c r="B641" s="243" t="s">
        <v>1695</v>
      </c>
      <c r="C641" s="244">
        <f t="shared" si="59"/>
        <v>2</v>
      </c>
      <c r="D641" s="244">
        <f t="shared" si="60"/>
        <v>8</v>
      </c>
      <c r="E641" s="244">
        <f t="shared" si="61"/>
        <v>10</v>
      </c>
      <c r="G641" s="259" t="str">
        <f t="shared" si="62"/>
        <v>&lt;ct6421&gt;</v>
      </c>
      <c r="H641" s="260">
        <f>VLOOKUP(N641,BCDTK!$E$9:$L$132,5,0)</f>
        <v>46432205</v>
      </c>
      <c r="I641" s="261" t="str">
        <f t="shared" si="63"/>
        <v>&lt;/ct6421&gt;</v>
      </c>
      <c r="J641" s="262"/>
      <c r="K641" s="262"/>
      <c r="L641" s="262"/>
      <c r="M641" s="263"/>
      <c r="N641" s="265">
        <v>6421</v>
      </c>
    </row>
    <row r="642" spans="1:14" x14ac:dyDescent="0.45">
      <c r="A642" s="253" t="str">
        <f t="shared" si="64"/>
        <v>&lt;ct6422&gt;0&lt;/ct6422&gt;</v>
      </c>
      <c r="B642" s="243" t="s">
        <v>1745</v>
      </c>
      <c r="C642" s="244">
        <f t="shared" si="59"/>
        <v>2</v>
      </c>
      <c r="D642" s="244">
        <f t="shared" si="60"/>
        <v>8</v>
      </c>
      <c r="E642" s="244">
        <f t="shared" si="61"/>
        <v>19</v>
      </c>
      <c r="G642" s="259" t="str">
        <f t="shared" si="62"/>
        <v>&lt;ct6422&gt;</v>
      </c>
      <c r="H642" s="260">
        <f>VLOOKUP(N642,BCDTK!$E$9:$L$132,5,0)</f>
        <v>0</v>
      </c>
      <c r="I642" s="261" t="str">
        <f t="shared" si="63"/>
        <v>&lt;/ct6422&gt;</v>
      </c>
      <c r="J642" s="262"/>
      <c r="K642" s="262"/>
      <c r="L642" s="262"/>
      <c r="M642" s="263"/>
      <c r="N642" s="265">
        <v>6422</v>
      </c>
    </row>
    <row r="643" spans="1:14" x14ac:dyDescent="0.45">
      <c r="A643" s="253" t="str">
        <f t="shared" si="64"/>
        <v>&lt;ct711&gt;5555556&lt;/ct711&gt;</v>
      </c>
      <c r="B643" s="243" t="s">
        <v>1697</v>
      </c>
      <c r="C643" s="244">
        <f t="shared" si="59"/>
        <v>2</v>
      </c>
      <c r="D643" s="244">
        <f t="shared" si="60"/>
        <v>7</v>
      </c>
      <c r="E643" s="244">
        <f t="shared" si="61"/>
        <v>9</v>
      </c>
      <c r="G643" s="259" t="str">
        <f t="shared" si="62"/>
        <v>&lt;ct711&gt;</v>
      </c>
      <c r="H643" s="260">
        <f>VLOOKUP(N643,BCDTK!$E$9:$L$132,5,0)</f>
        <v>5555556</v>
      </c>
      <c r="I643" s="261" t="str">
        <f t="shared" si="63"/>
        <v>&lt;/ct711&gt;</v>
      </c>
      <c r="J643" s="262"/>
      <c r="K643" s="262"/>
      <c r="L643" s="262"/>
      <c r="M643" s="263"/>
      <c r="N643" s="265">
        <v>711</v>
      </c>
    </row>
    <row r="644" spans="1:14" x14ac:dyDescent="0.45">
      <c r="A644" s="253" t="str">
        <f t="shared" si="64"/>
        <v>&lt;ct811&gt;7540197&lt;/ct811&gt;</v>
      </c>
      <c r="B644" s="243" t="s">
        <v>1746</v>
      </c>
      <c r="C644" s="244">
        <f t="shared" si="59"/>
        <v>2</v>
      </c>
      <c r="D644" s="244">
        <f t="shared" si="60"/>
        <v>7</v>
      </c>
      <c r="E644" s="244">
        <f t="shared" si="61"/>
        <v>17</v>
      </c>
      <c r="G644" s="259" t="str">
        <f t="shared" si="62"/>
        <v>&lt;ct811&gt;</v>
      </c>
      <c r="H644" s="260">
        <f>VLOOKUP(N644,BCDTK!$E$9:$L$132,5,0)</f>
        <v>7540197</v>
      </c>
      <c r="I644" s="261" t="str">
        <f t="shared" si="63"/>
        <v>&lt;/ct811&gt;</v>
      </c>
      <c r="J644" s="262"/>
      <c r="K644" s="262"/>
      <c r="L644" s="262"/>
      <c r="M644" s="263"/>
      <c r="N644" s="265">
        <v>811</v>
      </c>
    </row>
    <row r="645" spans="1:14" x14ac:dyDescent="0.45">
      <c r="A645" s="253" t="str">
        <f t="shared" si="64"/>
        <v>&lt;ct821&gt;2035545&lt;/ct821&gt;</v>
      </c>
      <c r="B645" s="243" t="s">
        <v>1699</v>
      </c>
      <c r="C645" s="244">
        <f t="shared" si="59"/>
        <v>2</v>
      </c>
      <c r="D645" s="244">
        <f t="shared" si="60"/>
        <v>7</v>
      </c>
      <c r="E645" s="244">
        <f t="shared" si="61"/>
        <v>9</v>
      </c>
      <c r="G645" s="259" t="str">
        <f t="shared" si="62"/>
        <v>&lt;ct821&gt;</v>
      </c>
      <c r="H645" s="260">
        <f>VLOOKUP(N645,BCDTK!$E$9:$L$132,5,0)</f>
        <v>2035545</v>
      </c>
      <c r="I645" s="261" t="str">
        <f t="shared" si="63"/>
        <v>&lt;/ct821&gt;</v>
      </c>
      <c r="J645" s="262"/>
      <c r="K645" s="262"/>
      <c r="L645" s="262"/>
      <c r="M645" s="263"/>
      <c r="N645" s="265">
        <v>821</v>
      </c>
    </row>
    <row r="646" spans="1:14" x14ac:dyDescent="0.45">
      <c r="A646" s="253" t="str">
        <f t="shared" si="64"/>
        <v>&lt;ct911&gt;250076681&lt;/ct911&gt;</v>
      </c>
      <c r="B646" s="243" t="s">
        <v>1747</v>
      </c>
      <c r="C646" s="244">
        <f t="shared" si="59"/>
        <v>2</v>
      </c>
      <c r="D646" s="244">
        <f t="shared" si="60"/>
        <v>7</v>
      </c>
      <c r="E646" s="244">
        <f t="shared" si="61"/>
        <v>18</v>
      </c>
      <c r="G646" s="259" t="str">
        <f t="shared" si="62"/>
        <v>&lt;ct911&gt;</v>
      </c>
      <c r="H646" s="260">
        <f>VLOOKUP(N646,BCDTK!$E$9:$L$132,5,0)</f>
        <v>250076681</v>
      </c>
      <c r="I646" s="261" t="str">
        <f t="shared" si="63"/>
        <v>&lt;/ct911&gt;</v>
      </c>
      <c r="J646" s="262"/>
      <c r="K646" s="262"/>
      <c r="L646" s="262"/>
      <c r="M646" s="263"/>
      <c r="N646" s="265">
        <v>911</v>
      </c>
    </row>
    <row r="647" spans="1:14" x14ac:dyDescent="0.45">
      <c r="A647" s="253" t="str">
        <f t="shared" si="64"/>
        <v>&lt;tongCong&gt;2698057779&lt;/tongCong&gt;</v>
      </c>
      <c r="B647" s="243" t="s">
        <v>1748</v>
      </c>
      <c r="C647" s="244">
        <f t="shared" si="59"/>
        <v>2</v>
      </c>
      <c r="D647" s="244">
        <f t="shared" si="60"/>
        <v>10</v>
      </c>
      <c r="E647" s="244">
        <f t="shared" si="61"/>
        <v>22</v>
      </c>
      <c r="G647" s="259" t="str">
        <f t="shared" si="62"/>
        <v>&lt;tongCong&gt;</v>
      </c>
      <c r="H647" s="260">
        <f>VLOOKUP(N647,BCDTK!$E$9:$L$132,5,0)</f>
        <v>2698057779</v>
      </c>
      <c r="I647" s="261" t="str">
        <f t="shared" si="63"/>
        <v>&lt;/tongCong&gt;</v>
      </c>
      <c r="J647" s="262"/>
      <c r="K647" s="262"/>
      <c r="L647" s="262"/>
      <c r="M647" s="263"/>
      <c r="N647" s="265" t="s">
        <v>1794</v>
      </c>
    </row>
    <row r="648" spans="1:14" x14ac:dyDescent="0.45">
      <c r="A648" s="253" t="str">
        <f t="shared" si="64"/>
        <v>&lt;/No&gt;</v>
      </c>
      <c r="B648" s="243" t="s">
        <v>1702</v>
      </c>
      <c r="C648" s="244">
        <f t="shared" si="59"/>
        <v>1</v>
      </c>
      <c r="D648" s="244">
        <f t="shared" si="60"/>
        <v>5</v>
      </c>
      <c r="E648" s="244">
        <f t="shared" si="61"/>
        <v>1</v>
      </c>
      <c r="G648" s="259" t="str">
        <f t="shared" si="62"/>
        <v>&lt;/No&gt;</v>
      </c>
      <c r="H648" s="260"/>
      <c r="I648" s="261" t="str">
        <f t="shared" si="63"/>
        <v/>
      </c>
      <c r="J648" s="262"/>
      <c r="K648" s="262"/>
      <c r="L648" s="262"/>
      <c r="M648" s="263"/>
    </row>
    <row r="649" spans="1:14" x14ac:dyDescent="0.45">
      <c r="A649" s="253" t="str">
        <f t="shared" si="64"/>
        <v>&lt;Co&gt;</v>
      </c>
      <c r="B649" s="243" t="s">
        <v>1703</v>
      </c>
      <c r="C649" s="244">
        <f t="shared" si="59"/>
        <v>1</v>
      </c>
      <c r="D649" s="244">
        <f t="shared" si="60"/>
        <v>4</v>
      </c>
      <c r="E649" s="244" t="str">
        <f t="shared" si="61"/>
        <v/>
      </c>
      <c r="G649" s="259" t="str">
        <f t="shared" si="62"/>
        <v>&lt;Co&gt;</v>
      </c>
      <c r="H649" s="260"/>
      <c r="I649" s="261" t="str">
        <f t="shared" si="63"/>
        <v/>
      </c>
      <c r="J649" s="262"/>
      <c r="K649" s="262"/>
      <c r="L649" s="262"/>
      <c r="M649" s="263"/>
      <c r="N649" s="265"/>
    </row>
    <row r="650" spans="1:14" x14ac:dyDescent="0.45">
      <c r="A650" s="253" t="str">
        <f t="shared" si="64"/>
        <v>&lt;ct111&gt;386127355&lt;/ct111&gt;</v>
      </c>
      <c r="B650" s="243" t="s">
        <v>1749</v>
      </c>
      <c r="C650" s="244">
        <f t="shared" si="59"/>
        <v>2</v>
      </c>
      <c r="D650" s="244">
        <f t="shared" si="60"/>
        <v>7</v>
      </c>
      <c r="E650" s="244">
        <f t="shared" si="61"/>
        <v>17</v>
      </c>
      <c r="G650" s="259" t="str">
        <f t="shared" si="62"/>
        <v>&lt;ct111&gt;</v>
      </c>
      <c r="H650" s="260">
        <f>VLOOKUP(N650,BCDTK!$E$9:$L$132,6,0)</f>
        <v>386127355</v>
      </c>
      <c r="I650" s="261" t="str">
        <f t="shared" si="63"/>
        <v>&lt;/ct111&gt;</v>
      </c>
      <c r="J650" s="262"/>
      <c r="K650" s="262"/>
      <c r="L650" s="262"/>
      <c r="M650" s="263"/>
      <c r="N650" s="265">
        <v>111</v>
      </c>
    </row>
    <row r="651" spans="1:14" x14ac:dyDescent="0.45">
      <c r="A651" s="253" t="str">
        <f t="shared" si="64"/>
        <v>&lt;ct1111&gt;386127355&lt;/ct1111&gt;</v>
      </c>
      <c r="B651" s="243" t="s">
        <v>1750</v>
      </c>
      <c r="C651" s="244">
        <f t="shared" si="59"/>
        <v>2</v>
      </c>
      <c r="D651" s="244">
        <f t="shared" si="60"/>
        <v>8</v>
      </c>
      <c r="E651" s="244">
        <f t="shared" si="61"/>
        <v>18</v>
      </c>
      <c r="G651" s="259" t="str">
        <f t="shared" si="62"/>
        <v>&lt;ct1111&gt;</v>
      </c>
      <c r="H651" s="260">
        <f>VLOOKUP(N651,BCDTK!$E$9:$L$132,6,0)</f>
        <v>386127355</v>
      </c>
      <c r="I651" s="261" t="str">
        <f t="shared" si="63"/>
        <v>&lt;/ct1111&gt;</v>
      </c>
      <c r="J651" s="262"/>
      <c r="K651" s="262"/>
      <c r="L651" s="262"/>
      <c r="M651" s="263"/>
      <c r="N651" s="265">
        <v>1111</v>
      </c>
    </row>
    <row r="652" spans="1:14" x14ac:dyDescent="0.45">
      <c r="A652" s="253" t="str">
        <f t="shared" si="64"/>
        <v>&lt;ct1112&gt;0&lt;/ct1112&gt;</v>
      </c>
      <c r="B652" s="243" t="s">
        <v>1589</v>
      </c>
      <c r="C652" s="244">
        <f t="shared" si="59"/>
        <v>2</v>
      </c>
      <c r="D652" s="244">
        <f t="shared" si="60"/>
        <v>8</v>
      </c>
      <c r="E652" s="244">
        <f t="shared" si="61"/>
        <v>10</v>
      </c>
      <c r="G652" s="259" t="str">
        <f t="shared" si="62"/>
        <v>&lt;ct1112&gt;</v>
      </c>
      <c r="H652" s="260">
        <f>VLOOKUP(N652,BCDTK!$E$9:$L$132,6,0)</f>
        <v>0</v>
      </c>
      <c r="I652" s="261" t="str">
        <f t="shared" si="63"/>
        <v>&lt;/ct1112&gt;</v>
      </c>
      <c r="J652" s="262"/>
      <c r="K652" s="262"/>
      <c r="L652" s="262"/>
      <c r="M652" s="263"/>
      <c r="N652" s="265">
        <v>1112</v>
      </c>
    </row>
    <row r="653" spans="1:14" x14ac:dyDescent="0.45">
      <c r="A653" s="253" t="str">
        <f t="shared" si="64"/>
        <v>&lt;ct112&gt;380972310&lt;/ct112&gt;</v>
      </c>
      <c r="B653" s="243" t="s">
        <v>1751</v>
      </c>
      <c r="C653" s="244">
        <f t="shared" si="59"/>
        <v>2</v>
      </c>
      <c r="D653" s="244">
        <f t="shared" si="60"/>
        <v>7</v>
      </c>
      <c r="E653" s="244">
        <f t="shared" si="61"/>
        <v>18</v>
      </c>
      <c r="G653" s="259" t="str">
        <f t="shared" si="62"/>
        <v>&lt;ct112&gt;</v>
      </c>
      <c r="H653" s="260">
        <f>VLOOKUP(N653,BCDTK!$E$9:$L$132,6,0)</f>
        <v>380972310</v>
      </c>
      <c r="I653" s="261" t="str">
        <f t="shared" si="63"/>
        <v>&lt;/ct112&gt;</v>
      </c>
      <c r="J653" s="262"/>
      <c r="K653" s="262"/>
      <c r="L653" s="262"/>
      <c r="M653" s="263"/>
      <c r="N653" s="265">
        <v>112</v>
      </c>
    </row>
    <row r="654" spans="1:14" x14ac:dyDescent="0.45">
      <c r="A654" s="253" t="str">
        <f t="shared" si="64"/>
        <v>&lt;ct1121&gt;380972310&lt;/ct1121&gt;</v>
      </c>
      <c r="B654" s="243" t="s">
        <v>1752</v>
      </c>
      <c r="C654" s="244">
        <f t="shared" si="59"/>
        <v>2</v>
      </c>
      <c r="D654" s="244">
        <f t="shared" si="60"/>
        <v>8</v>
      </c>
      <c r="E654" s="244">
        <f t="shared" si="61"/>
        <v>19</v>
      </c>
      <c r="G654" s="259" t="str">
        <f t="shared" si="62"/>
        <v>&lt;ct1121&gt;</v>
      </c>
      <c r="H654" s="260">
        <f>VLOOKUP(N654,BCDTK!$E$9:$L$132,6,0)</f>
        <v>380972310</v>
      </c>
      <c r="I654" s="261" t="str">
        <f t="shared" si="63"/>
        <v>&lt;/ct1121&gt;</v>
      </c>
      <c r="J654" s="262"/>
      <c r="K654" s="262"/>
      <c r="L654" s="262"/>
      <c r="M654" s="263"/>
      <c r="N654" s="265">
        <v>1121</v>
      </c>
    </row>
    <row r="655" spans="1:14" x14ac:dyDescent="0.45">
      <c r="A655" s="253" t="str">
        <f t="shared" si="64"/>
        <v>&lt;ct1122&gt;0&lt;/ct1122&gt;</v>
      </c>
      <c r="B655" s="243" t="s">
        <v>1711</v>
      </c>
      <c r="C655" s="244">
        <f t="shared" si="59"/>
        <v>2</v>
      </c>
      <c r="D655" s="244">
        <f t="shared" si="60"/>
        <v>8</v>
      </c>
      <c r="E655" s="244">
        <f t="shared" si="61"/>
        <v>19</v>
      </c>
      <c r="G655" s="259" t="str">
        <f t="shared" si="62"/>
        <v>&lt;ct1122&gt;</v>
      </c>
      <c r="H655" s="260">
        <f>VLOOKUP(N655,BCDTK!$E$9:$L$132,6,0)</f>
        <v>0</v>
      </c>
      <c r="I655" s="261" t="str">
        <f t="shared" si="63"/>
        <v>&lt;/ct1122&gt;</v>
      </c>
      <c r="J655" s="262"/>
      <c r="K655" s="262"/>
      <c r="L655" s="262"/>
      <c r="M655" s="263"/>
      <c r="N655" s="265">
        <v>1122</v>
      </c>
    </row>
    <row r="656" spans="1:14" x14ac:dyDescent="0.45">
      <c r="A656" s="253" t="str">
        <f t="shared" si="64"/>
        <v>&lt;ct121&gt;0&lt;/ct121&gt;</v>
      </c>
      <c r="B656" s="243" t="s">
        <v>1461</v>
      </c>
      <c r="C656" s="244">
        <f t="shared" si="59"/>
        <v>2</v>
      </c>
      <c r="D656" s="244">
        <f t="shared" si="60"/>
        <v>7</v>
      </c>
      <c r="E656" s="244">
        <f t="shared" si="61"/>
        <v>9</v>
      </c>
      <c r="G656" s="259" t="str">
        <f t="shared" si="62"/>
        <v>&lt;ct121&gt;</v>
      </c>
      <c r="H656" s="260">
        <f>VLOOKUP(N656,BCDTK!$E$9:$L$132,6,0)</f>
        <v>0</v>
      </c>
      <c r="I656" s="261" t="str">
        <f t="shared" si="63"/>
        <v>&lt;/ct121&gt;</v>
      </c>
      <c r="J656" s="262"/>
      <c r="K656" s="262"/>
      <c r="L656" s="262"/>
      <c r="M656" s="263"/>
      <c r="N656" s="265">
        <v>121</v>
      </c>
    </row>
    <row r="657" spans="1:14" x14ac:dyDescent="0.45">
      <c r="A657" s="253" t="str">
        <f t="shared" si="64"/>
        <v>&lt;ct128&gt;0&lt;/ct128&gt;</v>
      </c>
      <c r="B657" s="243" t="s">
        <v>1593</v>
      </c>
      <c r="C657" s="244">
        <f t="shared" si="59"/>
        <v>2</v>
      </c>
      <c r="D657" s="244">
        <f t="shared" si="60"/>
        <v>7</v>
      </c>
      <c r="E657" s="244">
        <f t="shared" si="61"/>
        <v>9</v>
      </c>
      <c r="G657" s="259" t="str">
        <f t="shared" si="62"/>
        <v>&lt;ct128&gt;</v>
      </c>
      <c r="H657" s="260">
        <f>VLOOKUP(N657,BCDTK!$E$9:$L$132,6,0)</f>
        <v>0</v>
      </c>
      <c r="I657" s="261" t="str">
        <f t="shared" si="63"/>
        <v>&lt;/ct128&gt;</v>
      </c>
      <c r="J657" s="262"/>
      <c r="K657" s="262"/>
      <c r="L657" s="262"/>
      <c r="M657" s="263"/>
      <c r="N657" s="265">
        <v>128</v>
      </c>
    </row>
    <row r="658" spans="1:14" x14ac:dyDescent="0.45">
      <c r="A658" s="253" t="str">
        <f t="shared" si="64"/>
        <v>&lt;ct1281&gt;0&lt;/ct1281&gt;</v>
      </c>
      <c r="B658" s="243" t="s">
        <v>1594</v>
      </c>
      <c r="C658" s="244">
        <f t="shared" si="59"/>
        <v>2</v>
      </c>
      <c r="D658" s="244">
        <f t="shared" si="60"/>
        <v>8</v>
      </c>
      <c r="E658" s="244">
        <f t="shared" si="61"/>
        <v>10</v>
      </c>
      <c r="G658" s="259" t="str">
        <f t="shared" si="62"/>
        <v>&lt;ct1281&gt;</v>
      </c>
      <c r="H658" s="260">
        <f>VLOOKUP(N658,BCDTK!$E$9:$L$132,6,0)</f>
        <v>0</v>
      </c>
      <c r="I658" s="261" t="str">
        <f t="shared" si="63"/>
        <v>&lt;/ct1281&gt;</v>
      </c>
      <c r="J658" s="262"/>
      <c r="K658" s="262"/>
      <c r="L658" s="262"/>
      <c r="M658" s="263"/>
      <c r="N658" s="265">
        <v>1281</v>
      </c>
    </row>
    <row r="659" spans="1:14" x14ac:dyDescent="0.45">
      <c r="A659" s="253" t="str">
        <f t="shared" si="64"/>
        <v>&lt;ct1288&gt;0&lt;/ct1288&gt;</v>
      </c>
      <c r="B659" s="243" t="s">
        <v>1595</v>
      </c>
      <c r="C659" s="244">
        <f t="shared" si="59"/>
        <v>2</v>
      </c>
      <c r="D659" s="244">
        <f t="shared" si="60"/>
        <v>8</v>
      </c>
      <c r="E659" s="244">
        <f t="shared" si="61"/>
        <v>10</v>
      </c>
      <c r="G659" s="259" t="str">
        <f t="shared" si="62"/>
        <v>&lt;ct1288&gt;</v>
      </c>
      <c r="H659" s="260">
        <f>VLOOKUP(N659,BCDTK!$E$9:$L$132,6,0)</f>
        <v>0</v>
      </c>
      <c r="I659" s="261" t="str">
        <f t="shared" si="63"/>
        <v>&lt;/ct1288&gt;</v>
      </c>
      <c r="J659" s="262"/>
      <c r="K659" s="262"/>
      <c r="L659" s="262"/>
      <c r="M659" s="263"/>
      <c r="N659" s="265">
        <v>1288</v>
      </c>
    </row>
    <row r="660" spans="1:14" x14ac:dyDescent="0.45">
      <c r="A660" s="253" t="str">
        <f t="shared" si="64"/>
        <v>&lt;ct131&gt;53040000&lt;/ct131&gt;</v>
      </c>
      <c r="B660" s="243" t="s">
        <v>1753</v>
      </c>
      <c r="C660" s="244">
        <f t="shared" si="59"/>
        <v>2</v>
      </c>
      <c r="D660" s="244">
        <f t="shared" si="60"/>
        <v>7</v>
      </c>
      <c r="E660" s="244">
        <f t="shared" si="61"/>
        <v>17</v>
      </c>
      <c r="G660" s="259" t="str">
        <f t="shared" si="62"/>
        <v>&lt;ct131&gt;</v>
      </c>
      <c r="H660" s="260">
        <f>VLOOKUP(N660,BCDTK!$E$9:$L$132,6,0)</f>
        <v>53040000</v>
      </c>
      <c r="I660" s="261" t="str">
        <f t="shared" si="63"/>
        <v>&lt;/ct131&gt;</v>
      </c>
      <c r="J660" s="262"/>
      <c r="K660" s="262"/>
      <c r="L660" s="262"/>
      <c r="M660" s="263"/>
      <c r="N660" s="265">
        <v>131</v>
      </c>
    </row>
    <row r="661" spans="1:14" x14ac:dyDescent="0.45">
      <c r="A661" s="253" t="str">
        <f t="shared" si="64"/>
        <v>&lt;ct133&gt;1611989&lt;/ct133&gt;</v>
      </c>
      <c r="B661" s="243" t="s">
        <v>1713</v>
      </c>
      <c r="C661" s="244">
        <f t="shared" si="59"/>
        <v>2</v>
      </c>
      <c r="D661" s="244">
        <f t="shared" si="60"/>
        <v>7</v>
      </c>
      <c r="E661" s="244">
        <f t="shared" si="61"/>
        <v>16</v>
      </c>
      <c r="G661" s="259" t="str">
        <f t="shared" si="62"/>
        <v>&lt;ct133&gt;</v>
      </c>
      <c r="H661" s="260">
        <f>VLOOKUP(N661,BCDTK!$E$9:$L$132,6,0)</f>
        <v>1611989</v>
      </c>
      <c r="I661" s="261" t="str">
        <f t="shared" si="63"/>
        <v>&lt;/ct133&gt;</v>
      </c>
      <c r="J661" s="262"/>
      <c r="K661" s="262"/>
      <c r="L661" s="262"/>
      <c r="M661" s="263"/>
      <c r="N661" s="265">
        <v>133</v>
      </c>
    </row>
    <row r="662" spans="1:14" x14ac:dyDescent="0.45">
      <c r="A662" s="253" t="str">
        <f t="shared" si="64"/>
        <v>&lt;ct1331&gt;1611989&lt;/ct1331&gt;</v>
      </c>
      <c r="B662" s="243" t="s">
        <v>1714</v>
      </c>
      <c r="C662" s="244">
        <f t="shared" si="59"/>
        <v>2</v>
      </c>
      <c r="D662" s="244">
        <f t="shared" si="60"/>
        <v>8</v>
      </c>
      <c r="E662" s="244">
        <f t="shared" si="61"/>
        <v>17</v>
      </c>
      <c r="G662" s="259" t="str">
        <f t="shared" si="62"/>
        <v>&lt;ct1331&gt;</v>
      </c>
      <c r="H662" s="260">
        <f>VLOOKUP(N662,BCDTK!$E$9:$L$132,6,0)</f>
        <v>1611989</v>
      </c>
      <c r="I662" s="261" t="str">
        <f t="shared" si="63"/>
        <v>&lt;/ct1331&gt;</v>
      </c>
      <c r="J662" s="262"/>
      <c r="K662" s="262"/>
      <c r="L662" s="262"/>
      <c r="M662" s="263"/>
      <c r="N662" s="265">
        <v>1331</v>
      </c>
    </row>
    <row r="663" spans="1:14" x14ac:dyDescent="0.45">
      <c r="A663" s="253" t="str">
        <f t="shared" si="64"/>
        <v>&lt;ct1332&gt;0&lt;/ct1332&gt;</v>
      </c>
      <c r="B663" s="243" t="s">
        <v>1597</v>
      </c>
      <c r="C663" s="244">
        <f t="shared" si="59"/>
        <v>2</v>
      </c>
      <c r="D663" s="244">
        <f t="shared" si="60"/>
        <v>8</v>
      </c>
      <c r="E663" s="244">
        <f t="shared" si="61"/>
        <v>10</v>
      </c>
      <c r="G663" s="259" t="str">
        <f t="shared" si="62"/>
        <v>&lt;ct1332&gt;</v>
      </c>
      <c r="H663" s="260">
        <f>VLOOKUP(N663,BCDTK!$E$9:$L$132,6,0)</f>
        <v>0</v>
      </c>
      <c r="I663" s="261" t="str">
        <f t="shared" si="63"/>
        <v>&lt;/ct1332&gt;</v>
      </c>
      <c r="J663" s="262"/>
      <c r="K663" s="262"/>
      <c r="L663" s="262"/>
      <c r="M663" s="263"/>
      <c r="N663" s="265">
        <v>1332</v>
      </c>
    </row>
    <row r="664" spans="1:14" x14ac:dyDescent="0.45">
      <c r="A664" s="253" t="str">
        <f t="shared" si="64"/>
        <v>&lt;ct136&gt;0&lt;/ct136&gt;</v>
      </c>
      <c r="B664" s="243" t="s">
        <v>1471</v>
      </c>
      <c r="C664" s="244">
        <f t="shared" si="59"/>
        <v>2</v>
      </c>
      <c r="D664" s="244">
        <f t="shared" si="60"/>
        <v>7</v>
      </c>
      <c r="E664" s="244">
        <f t="shared" si="61"/>
        <v>9</v>
      </c>
      <c r="G664" s="259" t="str">
        <f t="shared" si="62"/>
        <v>&lt;ct136&gt;</v>
      </c>
      <c r="H664" s="260">
        <f>VLOOKUP(N664,BCDTK!$E$9:$L$132,6,0)</f>
        <v>0</v>
      </c>
      <c r="I664" s="261" t="str">
        <f t="shared" si="63"/>
        <v>&lt;/ct136&gt;</v>
      </c>
      <c r="J664" s="262"/>
      <c r="K664" s="262"/>
      <c r="L664" s="262"/>
      <c r="M664" s="263"/>
      <c r="N664" s="265">
        <v>136</v>
      </c>
    </row>
    <row r="665" spans="1:14" x14ac:dyDescent="0.45">
      <c r="A665" s="253" t="str">
        <f t="shared" si="64"/>
        <v>&lt;ct1361&gt;0&lt;/ct1361&gt;</v>
      </c>
      <c r="B665" s="243" t="s">
        <v>1598</v>
      </c>
      <c r="C665" s="244">
        <f t="shared" ref="C665:C728" si="65">LEN(B665)-LEN(SUBSTITUTE(B665,"&lt;",""))</f>
        <v>2</v>
      </c>
      <c r="D665" s="244">
        <f t="shared" ref="D665:D728" si="66">SEARCH("&gt;",B665)</f>
        <v>8</v>
      </c>
      <c r="E665" s="244">
        <f t="shared" ref="E665:E728" si="67">IFERROR(SEARCH("&lt;/",B665),"")</f>
        <v>10</v>
      </c>
      <c r="G665" s="259" t="str">
        <f t="shared" ref="G665:G728" si="68">LEFT(B665,D665)</f>
        <v>&lt;ct1361&gt;</v>
      </c>
      <c r="H665" s="260">
        <f>VLOOKUP(N665,BCDTK!$E$9:$L$132,6,0)</f>
        <v>0</v>
      </c>
      <c r="I665" s="261" t="str">
        <f t="shared" ref="I665:I728" si="69">IF(C665=2,RIGHT(B665,LEN(B665)-E665+1),"")</f>
        <v>&lt;/ct1361&gt;</v>
      </c>
      <c r="J665" s="262"/>
      <c r="K665" s="262"/>
      <c r="L665" s="262"/>
      <c r="M665" s="263"/>
      <c r="N665" s="265">
        <v>1361</v>
      </c>
    </row>
    <row r="666" spans="1:14" x14ac:dyDescent="0.45">
      <c r="A666" s="253" t="str">
        <f t="shared" si="64"/>
        <v>&lt;ct1368&gt;0&lt;/ct1368&gt;</v>
      </c>
      <c r="B666" s="243" t="s">
        <v>1599</v>
      </c>
      <c r="C666" s="244">
        <f t="shared" si="65"/>
        <v>2</v>
      </c>
      <c r="D666" s="244">
        <f t="shared" si="66"/>
        <v>8</v>
      </c>
      <c r="E666" s="244">
        <f t="shared" si="67"/>
        <v>10</v>
      </c>
      <c r="G666" s="259" t="str">
        <f t="shared" si="68"/>
        <v>&lt;ct1368&gt;</v>
      </c>
      <c r="H666" s="260">
        <f>VLOOKUP(N666,BCDTK!$E$9:$L$132,6,0)</f>
        <v>0</v>
      </c>
      <c r="I666" s="261" t="str">
        <f t="shared" si="69"/>
        <v>&lt;/ct1368&gt;</v>
      </c>
      <c r="J666" s="262"/>
      <c r="K666" s="262"/>
      <c r="L666" s="262"/>
      <c r="M666" s="263"/>
      <c r="N666" s="265">
        <v>1368</v>
      </c>
    </row>
    <row r="667" spans="1:14" x14ac:dyDescent="0.45">
      <c r="A667" s="253" t="str">
        <f t="shared" si="64"/>
        <v>&lt;ct138&gt;0&lt;/ct138&gt;</v>
      </c>
      <c r="B667" s="243" t="s">
        <v>1754</v>
      </c>
      <c r="C667" s="244">
        <f t="shared" si="65"/>
        <v>2</v>
      </c>
      <c r="D667" s="244">
        <f t="shared" si="66"/>
        <v>7</v>
      </c>
      <c r="E667" s="244">
        <f t="shared" si="67"/>
        <v>16</v>
      </c>
      <c r="G667" s="259" t="str">
        <f t="shared" si="68"/>
        <v>&lt;ct138&gt;</v>
      </c>
      <c r="H667" s="260">
        <f>VLOOKUP(N667,BCDTK!$E$9:$L$132,6,0)</f>
        <v>0</v>
      </c>
      <c r="I667" s="261" t="str">
        <f t="shared" si="69"/>
        <v>&lt;/ct138&gt;</v>
      </c>
      <c r="J667" s="262"/>
      <c r="K667" s="262"/>
      <c r="L667" s="262"/>
      <c r="M667" s="263"/>
      <c r="N667" s="265">
        <v>138</v>
      </c>
    </row>
    <row r="668" spans="1:14" x14ac:dyDescent="0.45">
      <c r="A668" s="253" t="str">
        <f t="shared" si="64"/>
        <v>&lt;ct1381&gt;0&lt;/ct1381&gt;</v>
      </c>
      <c r="B668" s="243" t="s">
        <v>1601</v>
      </c>
      <c r="C668" s="244">
        <f t="shared" si="65"/>
        <v>2</v>
      </c>
      <c r="D668" s="244">
        <f t="shared" si="66"/>
        <v>8</v>
      </c>
      <c r="E668" s="244">
        <f t="shared" si="67"/>
        <v>10</v>
      </c>
      <c r="G668" s="259" t="str">
        <f t="shared" si="68"/>
        <v>&lt;ct1381&gt;</v>
      </c>
      <c r="H668" s="260">
        <f>VLOOKUP(N668,BCDTK!$E$9:$L$132,6,0)</f>
        <v>0</v>
      </c>
      <c r="I668" s="261" t="str">
        <f t="shared" si="69"/>
        <v>&lt;/ct1381&gt;</v>
      </c>
      <c r="J668" s="262"/>
      <c r="K668" s="262"/>
      <c r="L668" s="262"/>
      <c r="M668" s="263"/>
      <c r="N668" s="265">
        <v>1381</v>
      </c>
    </row>
    <row r="669" spans="1:14" x14ac:dyDescent="0.45">
      <c r="A669" s="253" t="str">
        <f t="shared" si="64"/>
        <v>&lt;ct1386&gt;0&lt;/ct1386&gt;</v>
      </c>
      <c r="B669" s="243" t="s">
        <v>1602</v>
      </c>
      <c r="C669" s="244">
        <f t="shared" si="65"/>
        <v>2</v>
      </c>
      <c r="D669" s="244">
        <f t="shared" si="66"/>
        <v>8</v>
      </c>
      <c r="E669" s="244">
        <f t="shared" si="67"/>
        <v>10</v>
      </c>
      <c r="G669" s="259" t="str">
        <f t="shared" si="68"/>
        <v>&lt;ct1386&gt;</v>
      </c>
      <c r="H669" s="260">
        <f>VLOOKUP(N669,BCDTK!$E$9:$L$132,6,0)</f>
        <v>0</v>
      </c>
      <c r="I669" s="261" t="str">
        <f t="shared" si="69"/>
        <v>&lt;/ct1386&gt;</v>
      </c>
      <c r="J669" s="262"/>
      <c r="K669" s="262"/>
      <c r="L669" s="262"/>
      <c r="M669" s="263"/>
      <c r="N669" s="265">
        <v>1386</v>
      </c>
    </row>
    <row r="670" spans="1:14" x14ac:dyDescent="0.45">
      <c r="A670" s="253" t="str">
        <f t="shared" si="64"/>
        <v>&lt;ct1388&gt;0&lt;/ct1388&gt;</v>
      </c>
      <c r="B670" s="243" t="s">
        <v>1755</v>
      </c>
      <c r="C670" s="244">
        <f t="shared" si="65"/>
        <v>2</v>
      </c>
      <c r="D670" s="244">
        <f t="shared" si="66"/>
        <v>8</v>
      </c>
      <c r="E670" s="244">
        <f t="shared" si="67"/>
        <v>17</v>
      </c>
      <c r="G670" s="259" t="str">
        <f t="shared" si="68"/>
        <v>&lt;ct1388&gt;</v>
      </c>
      <c r="H670" s="260">
        <f>VLOOKUP(N670,BCDTK!$E$9:$L$132,6,0)</f>
        <v>0</v>
      </c>
      <c r="I670" s="261" t="str">
        <f t="shared" si="69"/>
        <v>&lt;/ct1388&gt;</v>
      </c>
      <c r="J670" s="262"/>
      <c r="K670" s="262"/>
      <c r="L670" s="262"/>
      <c r="M670" s="263"/>
      <c r="N670" s="265">
        <v>1388</v>
      </c>
    </row>
    <row r="671" spans="1:14" x14ac:dyDescent="0.45">
      <c r="A671" s="253" t="str">
        <f t="shared" si="64"/>
        <v>&lt;ct141&gt;0&lt;/ct141&gt;</v>
      </c>
      <c r="B671" s="243" t="s">
        <v>1513</v>
      </c>
      <c r="C671" s="244">
        <f t="shared" si="65"/>
        <v>2</v>
      </c>
      <c r="D671" s="244">
        <f t="shared" si="66"/>
        <v>7</v>
      </c>
      <c r="E671" s="244">
        <f t="shared" si="67"/>
        <v>9</v>
      </c>
      <c r="G671" s="259" t="str">
        <f t="shared" si="68"/>
        <v>&lt;ct141&gt;</v>
      </c>
      <c r="H671" s="260">
        <f>VLOOKUP(N671,BCDTK!$E$9:$L$132,6,0)</f>
        <v>0</v>
      </c>
      <c r="I671" s="261" t="str">
        <f t="shared" si="69"/>
        <v>&lt;/ct141&gt;</v>
      </c>
      <c r="J671" s="262"/>
      <c r="K671" s="262"/>
      <c r="L671" s="262"/>
      <c r="M671" s="263"/>
      <c r="N671" s="265">
        <v>141</v>
      </c>
    </row>
    <row r="672" spans="1:14" x14ac:dyDescent="0.45">
      <c r="A672" s="253" t="str">
        <f t="shared" si="64"/>
        <v>&lt;ct151&gt;0&lt;/ct151&gt;</v>
      </c>
      <c r="B672" s="243" t="s">
        <v>1476</v>
      </c>
      <c r="C672" s="244">
        <f t="shared" si="65"/>
        <v>2</v>
      </c>
      <c r="D672" s="244">
        <f t="shared" si="66"/>
        <v>7</v>
      </c>
      <c r="E672" s="244">
        <f t="shared" si="67"/>
        <v>9</v>
      </c>
      <c r="G672" s="259" t="str">
        <f t="shared" si="68"/>
        <v>&lt;ct151&gt;</v>
      </c>
      <c r="H672" s="260">
        <f>VLOOKUP(N672,BCDTK!$E$9:$L$132,6,0)</f>
        <v>0</v>
      </c>
      <c r="I672" s="261" t="str">
        <f t="shared" si="69"/>
        <v>&lt;/ct151&gt;</v>
      </c>
      <c r="J672" s="262"/>
      <c r="K672" s="262"/>
      <c r="L672" s="262"/>
      <c r="M672" s="263"/>
      <c r="N672" s="265">
        <v>151</v>
      </c>
    </row>
    <row r="673" spans="1:14" x14ac:dyDescent="0.45">
      <c r="A673" s="253" t="str">
        <f t="shared" si="64"/>
        <v>&lt;ct152&gt;0&lt;/ct152&gt;</v>
      </c>
      <c r="B673" s="243" t="s">
        <v>1477</v>
      </c>
      <c r="C673" s="244">
        <f t="shared" si="65"/>
        <v>2</v>
      </c>
      <c r="D673" s="244">
        <f t="shared" si="66"/>
        <v>7</v>
      </c>
      <c r="E673" s="244">
        <f t="shared" si="67"/>
        <v>9</v>
      </c>
      <c r="G673" s="259" t="str">
        <f t="shared" si="68"/>
        <v>&lt;ct152&gt;</v>
      </c>
      <c r="H673" s="260">
        <f>VLOOKUP(N673,BCDTK!$E$9:$L$132,6,0)</f>
        <v>0</v>
      </c>
      <c r="I673" s="261" t="str">
        <f t="shared" si="69"/>
        <v>&lt;/ct152&gt;</v>
      </c>
      <c r="J673" s="262"/>
      <c r="K673" s="262"/>
      <c r="L673" s="262"/>
      <c r="M673" s="263"/>
      <c r="N673" s="265">
        <v>152</v>
      </c>
    </row>
    <row r="674" spans="1:14" x14ac:dyDescent="0.45">
      <c r="A674" s="253" t="str">
        <f t="shared" si="64"/>
        <v>&lt;ct153&gt;0&lt;/ct153&gt;</v>
      </c>
      <c r="B674" s="243" t="s">
        <v>1604</v>
      </c>
      <c r="C674" s="244">
        <f t="shared" si="65"/>
        <v>2</v>
      </c>
      <c r="D674" s="244">
        <f t="shared" si="66"/>
        <v>7</v>
      </c>
      <c r="E674" s="244">
        <f t="shared" si="67"/>
        <v>9</v>
      </c>
      <c r="G674" s="259" t="str">
        <f t="shared" si="68"/>
        <v>&lt;ct153&gt;</v>
      </c>
      <c r="H674" s="260">
        <f>VLOOKUP(N674,BCDTK!$E$9:$L$132,6,0)</f>
        <v>0</v>
      </c>
      <c r="I674" s="261" t="str">
        <f t="shared" si="69"/>
        <v>&lt;/ct153&gt;</v>
      </c>
      <c r="J674" s="262"/>
      <c r="K674" s="262"/>
      <c r="L674" s="262"/>
      <c r="M674" s="263"/>
      <c r="N674" s="265">
        <v>153</v>
      </c>
    </row>
    <row r="675" spans="1:14" x14ac:dyDescent="0.45">
      <c r="A675" s="253" t="str">
        <f t="shared" si="64"/>
        <v>&lt;ct154&gt;183572894&lt;/ct154&gt;</v>
      </c>
      <c r="B675" s="243" t="s">
        <v>1756</v>
      </c>
      <c r="C675" s="244">
        <f t="shared" si="65"/>
        <v>2</v>
      </c>
      <c r="D675" s="244">
        <f t="shared" si="66"/>
        <v>7</v>
      </c>
      <c r="E675" s="244">
        <f t="shared" si="67"/>
        <v>16</v>
      </c>
      <c r="G675" s="259" t="str">
        <f t="shared" si="68"/>
        <v>&lt;ct154&gt;</v>
      </c>
      <c r="H675" s="260">
        <f>VLOOKUP(N675,BCDTK!$E$9:$L$132,6,0)</f>
        <v>183572894</v>
      </c>
      <c r="I675" s="261" t="str">
        <f t="shared" si="69"/>
        <v>&lt;/ct154&gt;</v>
      </c>
      <c r="J675" s="262"/>
      <c r="K675" s="262"/>
      <c r="L675" s="262"/>
      <c r="M675" s="263"/>
      <c r="N675" s="265">
        <v>154</v>
      </c>
    </row>
    <row r="676" spans="1:14" x14ac:dyDescent="0.45">
      <c r="A676" s="253" t="str">
        <f t="shared" si="64"/>
        <v>&lt;ct155&gt;0&lt;/ct155&gt;</v>
      </c>
      <c r="B676" s="243" t="s">
        <v>1606</v>
      </c>
      <c r="C676" s="244">
        <f t="shared" si="65"/>
        <v>2</v>
      </c>
      <c r="D676" s="244">
        <f t="shared" si="66"/>
        <v>7</v>
      </c>
      <c r="E676" s="244">
        <f t="shared" si="67"/>
        <v>9</v>
      </c>
      <c r="G676" s="259" t="str">
        <f t="shared" si="68"/>
        <v>&lt;ct155&gt;</v>
      </c>
      <c r="H676" s="260">
        <f>VLOOKUP(N676,BCDTK!$E$9:$L$132,6,0)</f>
        <v>0</v>
      </c>
      <c r="I676" s="261" t="str">
        <f t="shared" si="69"/>
        <v>&lt;/ct155&gt;</v>
      </c>
      <c r="J676" s="262"/>
      <c r="K676" s="262"/>
      <c r="L676" s="262"/>
      <c r="M676" s="263"/>
      <c r="N676" s="265">
        <v>155</v>
      </c>
    </row>
    <row r="677" spans="1:14" x14ac:dyDescent="0.45">
      <c r="A677" s="253" t="str">
        <f t="shared" si="64"/>
        <v>&lt;ct156&gt;0&lt;/ct156&gt;</v>
      </c>
      <c r="B677" s="243" t="s">
        <v>1607</v>
      </c>
      <c r="C677" s="244">
        <f t="shared" si="65"/>
        <v>2</v>
      </c>
      <c r="D677" s="244">
        <f t="shared" si="66"/>
        <v>7</v>
      </c>
      <c r="E677" s="244">
        <f t="shared" si="67"/>
        <v>9</v>
      </c>
      <c r="G677" s="259" t="str">
        <f t="shared" si="68"/>
        <v>&lt;ct156&gt;</v>
      </c>
      <c r="H677" s="260">
        <f>VLOOKUP(N677,BCDTK!$E$9:$L$132,6,0)</f>
        <v>0</v>
      </c>
      <c r="I677" s="261" t="str">
        <f t="shared" si="69"/>
        <v>&lt;/ct156&gt;</v>
      </c>
      <c r="J677" s="262"/>
      <c r="K677" s="262"/>
      <c r="L677" s="262"/>
      <c r="M677" s="263"/>
      <c r="N677" s="265">
        <v>156</v>
      </c>
    </row>
    <row r="678" spans="1:14" x14ac:dyDescent="0.45">
      <c r="A678" s="253" t="str">
        <f t="shared" si="64"/>
        <v>&lt;ct157&gt;0&lt;/ct157&gt;</v>
      </c>
      <c r="B678" s="243" t="s">
        <v>1608</v>
      </c>
      <c r="C678" s="244">
        <f t="shared" si="65"/>
        <v>2</v>
      </c>
      <c r="D678" s="244">
        <f t="shared" si="66"/>
        <v>7</v>
      </c>
      <c r="E678" s="244">
        <f t="shared" si="67"/>
        <v>9</v>
      </c>
      <c r="G678" s="259" t="str">
        <f t="shared" si="68"/>
        <v>&lt;ct157&gt;</v>
      </c>
      <c r="H678" s="260">
        <f>VLOOKUP(N678,BCDTK!$E$9:$L$132,6,0)</f>
        <v>0</v>
      </c>
      <c r="I678" s="261" t="str">
        <f t="shared" si="69"/>
        <v>&lt;/ct157&gt;</v>
      </c>
      <c r="J678" s="262"/>
      <c r="K678" s="262"/>
      <c r="L678" s="262"/>
      <c r="M678" s="263"/>
      <c r="N678" s="265">
        <v>157</v>
      </c>
    </row>
    <row r="679" spans="1:14" x14ac:dyDescent="0.45">
      <c r="A679" s="253" t="str">
        <f t="shared" si="64"/>
        <v>&lt;ct211&gt;0&lt;/ct211&gt;</v>
      </c>
      <c r="B679" s="243" t="s">
        <v>1609</v>
      </c>
      <c r="C679" s="244">
        <f t="shared" si="65"/>
        <v>2</v>
      </c>
      <c r="D679" s="244">
        <f t="shared" si="66"/>
        <v>7</v>
      </c>
      <c r="E679" s="244">
        <f t="shared" si="67"/>
        <v>9</v>
      </c>
      <c r="G679" s="259" t="str">
        <f t="shared" si="68"/>
        <v>&lt;ct211&gt;</v>
      </c>
      <c r="H679" s="260">
        <f>VLOOKUP(N679,BCDTK!$E$9:$L$132,6,0)</f>
        <v>0</v>
      </c>
      <c r="I679" s="261" t="str">
        <f t="shared" si="69"/>
        <v>&lt;/ct211&gt;</v>
      </c>
      <c r="J679" s="262"/>
      <c r="K679" s="262"/>
      <c r="L679" s="262"/>
      <c r="M679" s="263"/>
      <c r="N679" s="265">
        <v>211</v>
      </c>
    </row>
    <row r="680" spans="1:14" x14ac:dyDescent="0.45">
      <c r="A680" s="253" t="str">
        <f t="shared" si="64"/>
        <v>&lt;ct2111&gt;0&lt;/ct2111&gt;</v>
      </c>
      <c r="B680" s="243" t="s">
        <v>1610</v>
      </c>
      <c r="C680" s="244">
        <f t="shared" si="65"/>
        <v>2</v>
      </c>
      <c r="D680" s="244">
        <f t="shared" si="66"/>
        <v>8</v>
      </c>
      <c r="E680" s="244">
        <f t="shared" si="67"/>
        <v>10</v>
      </c>
      <c r="G680" s="259" t="str">
        <f t="shared" si="68"/>
        <v>&lt;ct2111&gt;</v>
      </c>
      <c r="H680" s="260">
        <f>VLOOKUP(N680,BCDTK!$E$9:$L$132,6,0)</f>
        <v>0</v>
      </c>
      <c r="I680" s="261" t="str">
        <f t="shared" si="69"/>
        <v>&lt;/ct2111&gt;</v>
      </c>
      <c r="J680" s="262"/>
      <c r="K680" s="262"/>
      <c r="L680" s="262"/>
      <c r="M680" s="263"/>
      <c r="N680" s="265">
        <v>2111</v>
      </c>
    </row>
    <row r="681" spans="1:14" x14ac:dyDescent="0.45">
      <c r="A681" s="253" t="str">
        <f t="shared" si="64"/>
        <v>&lt;ct2112&gt;0&lt;/ct2112&gt;</v>
      </c>
      <c r="B681" s="243" t="s">
        <v>1611</v>
      </c>
      <c r="C681" s="244">
        <f t="shared" si="65"/>
        <v>2</v>
      </c>
      <c r="D681" s="244">
        <f t="shared" si="66"/>
        <v>8</v>
      </c>
      <c r="E681" s="244">
        <f t="shared" si="67"/>
        <v>10</v>
      </c>
      <c r="G681" s="259" t="str">
        <f t="shared" si="68"/>
        <v>&lt;ct2112&gt;</v>
      </c>
      <c r="H681" s="260">
        <f>VLOOKUP(N681,BCDTK!$E$9:$L$132,6,0)</f>
        <v>0</v>
      </c>
      <c r="I681" s="261" t="str">
        <f t="shared" si="69"/>
        <v>&lt;/ct2112&gt;</v>
      </c>
      <c r="J681" s="262"/>
      <c r="K681" s="262"/>
      <c r="L681" s="262"/>
      <c r="M681" s="263"/>
      <c r="N681" s="265">
        <v>2112</v>
      </c>
    </row>
    <row r="682" spans="1:14" x14ac:dyDescent="0.45">
      <c r="A682" s="253" t="str">
        <f t="shared" si="64"/>
        <v>&lt;ct2113&gt;0&lt;/ct2113&gt;</v>
      </c>
      <c r="B682" s="243" t="s">
        <v>1612</v>
      </c>
      <c r="C682" s="244">
        <f t="shared" si="65"/>
        <v>2</v>
      </c>
      <c r="D682" s="244">
        <f t="shared" si="66"/>
        <v>8</v>
      </c>
      <c r="E682" s="244">
        <f t="shared" si="67"/>
        <v>10</v>
      </c>
      <c r="G682" s="259" t="str">
        <f t="shared" si="68"/>
        <v>&lt;ct2113&gt;</v>
      </c>
      <c r="H682" s="260">
        <f>VLOOKUP(N682,BCDTK!$E$9:$L$132,6,0)</f>
        <v>0</v>
      </c>
      <c r="I682" s="261" t="str">
        <f t="shared" si="69"/>
        <v>&lt;/ct2113&gt;</v>
      </c>
      <c r="J682" s="262"/>
      <c r="K682" s="262"/>
      <c r="L682" s="262"/>
      <c r="M682" s="263"/>
      <c r="N682" s="265">
        <v>2113</v>
      </c>
    </row>
    <row r="683" spans="1:14" x14ac:dyDescent="0.45">
      <c r="A683" s="253" t="str">
        <f t="shared" si="64"/>
        <v>&lt;ct214&gt;10083376&lt;/ct214&gt;</v>
      </c>
      <c r="B683" s="243" t="s">
        <v>1613</v>
      </c>
      <c r="C683" s="244">
        <f t="shared" si="65"/>
        <v>2</v>
      </c>
      <c r="D683" s="244">
        <f t="shared" si="66"/>
        <v>7</v>
      </c>
      <c r="E683" s="244">
        <f t="shared" si="67"/>
        <v>9</v>
      </c>
      <c r="G683" s="259" t="str">
        <f t="shared" si="68"/>
        <v>&lt;ct214&gt;</v>
      </c>
      <c r="H683" s="260">
        <f>VLOOKUP(N683,BCDTK!$E$9:$L$132,6,0)</f>
        <v>10083376</v>
      </c>
      <c r="I683" s="261" t="str">
        <f t="shared" si="69"/>
        <v>&lt;/ct214&gt;</v>
      </c>
      <c r="J683" s="262"/>
      <c r="K683" s="262"/>
      <c r="L683" s="262"/>
      <c r="M683" s="263"/>
      <c r="N683" s="265">
        <v>214</v>
      </c>
    </row>
    <row r="684" spans="1:14" x14ac:dyDescent="0.45">
      <c r="A684" s="253" t="str">
        <f t="shared" si="64"/>
        <v>&lt;ct2141&gt;10083376&lt;/ct2141&gt;</v>
      </c>
      <c r="B684" s="243" t="s">
        <v>1614</v>
      </c>
      <c r="C684" s="244">
        <f t="shared" si="65"/>
        <v>2</v>
      </c>
      <c r="D684" s="244">
        <f t="shared" si="66"/>
        <v>8</v>
      </c>
      <c r="E684" s="244">
        <f t="shared" si="67"/>
        <v>10</v>
      </c>
      <c r="G684" s="259" t="str">
        <f t="shared" si="68"/>
        <v>&lt;ct2141&gt;</v>
      </c>
      <c r="H684" s="260">
        <f>VLOOKUP(N684,BCDTK!$E$9:$L$132,6,0)</f>
        <v>10083376</v>
      </c>
      <c r="I684" s="261" t="str">
        <f t="shared" si="69"/>
        <v>&lt;/ct2141&gt;</v>
      </c>
      <c r="J684" s="262"/>
      <c r="K684" s="262"/>
      <c r="L684" s="262"/>
      <c r="M684" s="263"/>
      <c r="N684" s="265">
        <v>2141</v>
      </c>
    </row>
    <row r="685" spans="1:14" x14ac:dyDescent="0.45">
      <c r="A685" s="253" t="str">
        <f t="shared" ref="A685:A748" si="70">CONCATENATE(G685,H685,I685)</f>
        <v>&lt;ct2142&gt;0&lt;/ct2142&gt;</v>
      </c>
      <c r="B685" s="243" t="s">
        <v>1615</v>
      </c>
      <c r="C685" s="244">
        <f t="shared" si="65"/>
        <v>2</v>
      </c>
      <c r="D685" s="244">
        <f t="shared" si="66"/>
        <v>8</v>
      </c>
      <c r="E685" s="244">
        <f t="shared" si="67"/>
        <v>10</v>
      </c>
      <c r="G685" s="259" t="str">
        <f t="shared" si="68"/>
        <v>&lt;ct2142&gt;</v>
      </c>
      <c r="H685" s="260">
        <f>VLOOKUP(N685,BCDTK!$E$9:$L$132,6,0)</f>
        <v>0</v>
      </c>
      <c r="I685" s="261" t="str">
        <f t="shared" si="69"/>
        <v>&lt;/ct2142&gt;</v>
      </c>
      <c r="J685" s="262"/>
      <c r="K685" s="262"/>
      <c r="L685" s="262"/>
      <c r="M685" s="263"/>
      <c r="N685" s="265">
        <v>2142</v>
      </c>
    </row>
    <row r="686" spans="1:14" x14ac:dyDescent="0.45">
      <c r="A686" s="253" t="str">
        <f t="shared" si="70"/>
        <v>&lt;ct2143&gt;0&lt;/ct2143&gt;</v>
      </c>
      <c r="B686" s="243" t="s">
        <v>1616</v>
      </c>
      <c r="C686" s="244">
        <f t="shared" si="65"/>
        <v>2</v>
      </c>
      <c r="D686" s="244">
        <f t="shared" si="66"/>
        <v>8</v>
      </c>
      <c r="E686" s="244">
        <f t="shared" si="67"/>
        <v>10</v>
      </c>
      <c r="G686" s="259" t="str">
        <f t="shared" si="68"/>
        <v>&lt;ct2143&gt;</v>
      </c>
      <c r="H686" s="260">
        <f>VLOOKUP(N686,BCDTK!$E$9:$L$132,6,0)</f>
        <v>0</v>
      </c>
      <c r="I686" s="261" t="str">
        <f t="shared" si="69"/>
        <v>&lt;/ct2143&gt;</v>
      </c>
      <c r="J686" s="262"/>
      <c r="K686" s="262"/>
      <c r="L686" s="262"/>
      <c r="M686" s="263"/>
      <c r="N686" s="265">
        <v>2143</v>
      </c>
    </row>
    <row r="687" spans="1:14" x14ac:dyDescent="0.45">
      <c r="A687" s="253" t="str">
        <f t="shared" si="70"/>
        <v>&lt;ct2147&gt;0&lt;/ct2147&gt;</v>
      </c>
      <c r="B687" s="243" t="s">
        <v>1617</v>
      </c>
      <c r="C687" s="244">
        <f t="shared" si="65"/>
        <v>2</v>
      </c>
      <c r="D687" s="244">
        <f t="shared" si="66"/>
        <v>8</v>
      </c>
      <c r="E687" s="244">
        <f t="shared" si="67"/>
        <v>10</v>
      </c>
      <c r="G687" s="259" t="str">
        <f t="shared" si="68"/>
        <v>&lt;ct2147&gt;</v>
      </c>
      <c r="H687" s="260">
        <f>VLOOKUP(N687,BCDTK!$E$9:$L$132,6,0)</f>
        <v>0</v>
      </c>
      <c r="I687" s="261" t="str">
        <f t="shared" si="69"/>
        <v>&lt;/ct2147&gt;</v>
      </c>
      <c r="J687" s="262"/>
      <c r="K687" s="262"/>
      <c r="L687" s="262"/>
      <c r="M687" s="263"/>
      <c r="N687" s="265">
        <v>2147</v>
      </c>
    </row>
    <row r="688" spans="1:14" x14ac:dyDescent="0.45">
      <c r="A688" s="253" t="str">
        <f t="shared" si="70"/>
        <v>&lt;ct217&gt;0&lt;/ct217&gt;</v>
      </c>
      <c r="B688" s="243" t="s">
        <v>1618</v>
      </c>
      <c r="C688" s="244">
        <f t="shared" si="65"/>
        <v>2</v>
      </c>
      <c r="D688" s="244">
        <f t="shared" si="66"/>
        <v>7</v>
      </c>
      <c r="E688" s="244">
        <f t="shared" si="67"/>
        <v>9</v>
      </c>
      <c r="G688" s="259" t="str">
        <f t="shared" si="68"/>
        <v>&lt;ct217&gt;</v>
      </c>
      <c r="H688" s="260">
        <f>VLOOKUP(N688,BCDTK!$E$9:$L$132,6,0)</f>
        <v>0</v>
      </c>
      <c r="I688" s="261" t="str">
        <f t="shared" si="69"/>
        <v>&lt;/ct217&gt;</v>
      </c>
      <c r="J688" s="262"/>
      <c r="K688" s="262"/>
      <c r="L688" s="262"/>
      <c r="M688" s="263"/>
      <c r="N688" s="265">
        <v>217</v>
      </c>
    </row>
    <row r="689" spans="1:14" x14ac:dyDescent="0.45">
      <c r="A689" s="253" t="str">
        <f t="shared" si="70"/>
        <v>&lt;ct228&gt;0&lt;/ct228&gt;</v>
      </c>
      <c r="B689" s="243" t="s">
        <v>1619</v>
      </c>
      <c r="C689" s="244">
        <f t="shared" si="65"/>
        <v>2</v>
      </c>
      <c r="D689" s="244">
        <f t="shared" si="66"/>
        <v>7</v>
      </c>
      <c r="E689" s="244">
        <f t="shared" si="67"/>
        <v>9</v>
      </c>
      <c r="G689" s="259" t="str">
        <f t="shared" si="68"/>
        <v>&lt;ct228&gt;</v>
      </c>
      <c r="H689" s="260">
        <f>VLOOKUP(N689,BCDTK!$E$9:$L$132,6,0)</f>
        <v>0</v>
      </c>
      <c r="I689" s="261" t="str">
        <f t="shared" si="69"/>
        <v>&lt;/ct228&gt;</v>
      </c>
      <c r="J689" s="262"/>
      <c r="K689" s="262"/>
      <c r="L689" s="262"/>
      <c r="M689" s="263"/>
      <c r="N689" s="265">
        <v>228</v>
      </c>
    </row>
    <row r="690" spans="1:14" x14ac:dyDescent="0.45">
      <c r="A690" s="253" t="str">
        <f t="shared" si="70"/>
        <v>&lt;ct2281&gt;0&lt;/ct2281&gt;</v>
      </c>
      <c r="B690" s="243" t="s">
        <v>1620</v>
      </c>
      <c r="C690" s="244">
        <f t="shared" si="65"/>
        <v>2</v>
      </c>
      <c r="D690" s="244">
        <f t="shared" si="66"/>
        <v>8</v>
      </c>
      <c r="E690" s="244">
        <f t="shared" si="67"/>
        <v>10</v>
      </c>
      <c r="G690" s="259" t="str">
        <f t="shared" si="68"/>
        <v>&lt;ct2281&gt;</v>
      </c>
      <c r="H690" s="260">
        <f>VLOOKUP(N690,BCDTK!$E$9:$L$132,6,0)</f>
        <v>0</v>
      </c>
      <c r="I690" s="261" t="str">
        <f t="shared" si="69"/>
        <v>&lt;/ct2281&gt;</v>
      </c>
      <c r="J690" s="262"/>
      <c r="K690" s="262"/>
      <c r="L690" s="262"/>
      <c r="M690" s="263"/>
      <c r="N690" s="265">
        <v>2281</v>
      </c>
    </row>
    <row r="691" spans="1:14" x14ac:dyDescent="0.45">
      <c r="A691" s="253" t="str">
        <f t="shared" si="70"/>
        <v>&lt;ct2288&gt;0&lt;/ct2288&gt;</v>
      </c>
      <c r="B691" s="243" t="s">
        <v>1621</v>
      </c>
      <c r="C691" s="244">
        <f t="shared" si="65"/>
        <v>2</v>
      </c>
      <c r="D691" s="244">
        <f t="shared" si="66"/>
        <v>8</v>
      </c>
      <c r="E691" s="244">
        <f t="shared" si="67"/>
        <v>10</v>
      </c>
      <c r="G691" s="259" t="str">
        <f t="shared" si="68"/>
        <v>&lt;ct2288&gt;</v>
      </c>
      <c r="H691" s="260">
        <f>VLOOKUP(N691,BCDTK!$E$9:$L$132,6,0)</f>
        <v>0</v>
      </c>
      <c r="I691" s="261" t="str">
        <f t="shared" si="69"/>
        <v>&lt;/ct2288&gt;</v>
      </c>
      <c r="J691" s="262"/>
      <c r="K691" s="262"/>
      <c r="L691" s="262"/>
      <c r="M691" s="263"/>
      <c r="N691" s="265">
        <v>2288</v>
      </c>
    </row>
    <row r="692" spans="1:14" x14ac:dyDescent="0.45">
      <c r="A692" s="253" t="str">
        <f t="shared" si="70"/>
        <v>&lt;ct229&gt;0&lt;/ct229&gt;</v>
      </c>
      <c r="B692" s="243" t="s">
        <v>1622</v>
      </c>
      <c r="C692" s="244">
        <f t="shared" si="65"/>
        <v>2</v>
      </c>
      <c r="D692" s="244">
        <f t="shared" si="66"/>
        <v>7</v>
      </c>
      <c r="E692" s="244">
        <f t="shared" si="67"/>
        <v>9</v>
      </c>
      <c r="G692" s="259" t="str">
        <f t="shared" si="68"/>
        <v>&lt;ct229&gt;</v>
      </c>
      <c r="H692" s="260">
        <f>VLOOKUP(N692,BCDTK!$E$9:$L$132,6,0)</f>
        <v>0</v>
      </c>
      <c r="I692" s="261" t="str">
        <f t="shared" si="69"/>
        <v>&lt;/ct229&gt;</v>
      </c>
      <c r="J692" s="262"/>
      <c r="K692" s="262"/>
      <c r="L692" s="262"/>
      <c r="M692" s="263"/>
      <c r="N692" s="265">
        <v>229</v>
      </c>
    </row>
    <row r="693" spans="1:14" x14ac:dyDescent="0.45">
      <c r="A693" s="253" t="str">
        <f t="shared" si="70"/>
        <v>&lt;ct2291&gt;0&lt;/ct2291&gt;</v>
      </c>
      <c r="B693" s="243" t="s">
        <v>1623</v>
      </c>
      <c r="C693" s="244">
        <f t="shared" si="65"/>
        <v>2</v>
      </c>
      <c r="D693" s="244">
        <f t="shared" si="66"/>
        <v>8</v>
      </c>
      <c r="E693" s="244">
        <f t="shared" si="67"/>
        <v>10</v>
      </c>
      <c r="G693" s="259" t="str">
        <f t="shared" si="68"/>
        <v>&lt;ct2291&gt;</v>
      </c>
      <c r="H693" s="260">
        <f>VLOOKUP(N693,BCDTK!$E$9:$L$132,6,0)</f>
        <v>0</v>
      </c>
      <c r="I693" s="261" t="str">
        <f t="shared" si="69"/>
        <v>&lt;/ct2291&gt;</v>
      </c>
      <c r="J693" s="262"/>
      <c r="K693" s="262"/>
      <c r="L693" s="262"/>
      <c r="M693" s="263"/>
      <c r="N693" s="265">
        <v>2291</v>
      </c>
    </row>
    <row r="694" spans="1:14" x14ac:dyDescent="0.45">
      <c r="A694" s="253" t="str">
        <f t="shared" si="70"/>
        <v>&lt;ct2292&gt;0&lt;/ct2292&gt;</v>
      </c>
      <c r="B694" s="243" t="s">
        <v>1624</v>
      </c>
      <c r="C694" s="244">
        <f t="shared" si="65"/>
        <v>2</v>
      </c>
      <c r="D694" s="244">
        <f t="shared" si="66"/>
        <v>8</v>
      </c>
      <c r="E694" s="244">
        <f t="shared" si="67"/>
        <v>10</v>
      </c>
      <c r="G694" s="259" t="str">
        <f t="shared" si="68"/>
        <v>&lt;ct2292&gt;</v>
      </c>
      <c r="H694" s="260">
        <f>VLOOKUP(N694,BCDTK!$E$9:$L$132,6,0)</f>
        <v>0</v>
      </c>
      <c r="I694" s="261" t="str">
        <f t="shared" si="69"/>
        <v>&lt;/ct2292&gt;</v>
      </c>
      <c r="J694" s="262"/>
      <c r="K694" s="262"/>
      <c r="L694" s="262"/>
      <c r="M694" s="263"/>
      <c r="N694" s="265">
        <v>2292</v>
      </c>
    </row>
    <row r="695" spans="1:14" x14ac:dyDescent="0.45">
      <c r="A695" s="253" t="str">
        <f t="shared" si="70"/>
        <v>&lt;ct2293&gt;0&lt;/ct2293&gt;</v>
      </c>
      <c r="B695" s="243" t="s">
        <v>1625</v>
      </c>
      <c r="C695" s="244">
        <f t="shared" si="65"/>
        <v>2</v>
      </c>
      <c r="D695" s="244">
        <f t="shared" si="66"/>
        <v>8</v>
      </c>
      <c r="E695" s="244">
        <f t="shared" si="67"/>
        <v>10</v>
      </c>
      <c r="G695" s="259" t="str">
        <f t="shared" si="68"/>
        <v>&lt;ct2293&gt;</v>
      </c>
      <c r="H695" s="260">
        <f>VLOOKUP(N695,BCDTK!$E$9:$L$132,6,0)</f>
        <v>0</v>
      </c>
      <c r="I695" s="261" t="str">
        <f t="shared" si="69"/>
        <v>&lt;/ct2293&gt;</v>
      </c>
      <c r="J695" s="262"/>
      <c r="K695" s="262"/>
      <c r="L695" s="262"/>
      <c r="M695" s="263"/>
      <c r="N695" s="265">
        <v>2293</v>
      </c>
    </row>
    <row r="696" spans="1:14" x14ac:dyDescent="0.45">
      <c r="A696" s="253" t="str">
        <f t="shared" si="70"/>
        <v>&lt;ct2294&gt;0&lt;/ct2294&gt;</v>
      </c>
      <c r="B696" s="243" t="s">
        <v>1626</v>
      </c>
      <c r="C696" s="244">
        <f t="shared" si="65"/>
        <v>2</v>
      </c>
      <c r="D696" s="244">
        <f t="shared" si="66"/>
        <v>8</v>
      </c>
      <c r="E696" s="244">
        <f t="shared" si="67"/>
        <v>10</v>
      </c>
      <c r="G696" s="259" t="str">
        <f t="shared" si="68"/>
        <v>&lt;ct2294&gt;</v>
      </c>
      <c r="H696" s="260">
        <f>VLOOKUP(N696,BCDTK!$E$9:$L$132,6,0)</f>
        <v>0</v>
      </c>
      <c r="I696" s="261" t="str">
        <f t="shared" si="69"/>
        <v>&lt;/ct2294&gt;</v>
      </c>
      <c r="J696" s="262"/>
      <c r="K696" s="262"/>
      <c r="L696" s="262"/>
      <c r="M696" s="263"/>
      <c r="N696" s="265">
        <v>2294</v>
      </c>
    </row>
    <row r="697" spans="1:14" x14ac:dyDescent="0.45">
      <c r="A697" s="253" t="str">
        <f t="shared" si="70"/>
        <v>&lt;ct241&gt;0&lt;/ct241&gt;</v>
      </c>
      <c r="B697" s="243" t="s">
        <v>1627</v>
      </c>
      <c r="C697" s="244">
        <f t="shared" si="65"/>
        <v>2</v>
      </c>
      <c r="D697" s="244">
        <f t="shared" si="66"/>
        <v>7</v>
      </c>
      <c r="E697" s="244">
        <f t="shared" si="67"/>
        <v>9</v>
      </c>
      <c r="G697" s="259" t="str">
        <f t="shared" si="68"/>
        <v>&lt;ct241&gt;</v>
      </c>
      <c r="H697" s="260">
        <f>VLOOKUP(N697,BCDTK!$E$9:$L$132,6,0)</f>
        <v>0</v>
      </c>
      <c r="I697" s="261" t="str">
        <f t="shared" si="69"/>
        <v>&lt;/ct241&gt;</v>
      </c>
      <c r="J697" s="262"/>
      <c r="K697" s="262"/>
      <c r="L697" s="262"/>
      <c r="M697" s="263"/>
      <c r="N697" s="265">
        <v>241</v>
      </c>
    </row>
    <row r="698" spans="1:14" x14ac:dyDescent="0.45">
      <c r="A698" s="253" t="str">
        <f t="shared" si="70"/>
        <v>&lt;ct2411&gt;0&lt;/ct2411&gt;</v>
      </c>
      <c r="B698" s="243" t="s">
        <v>1628</v>
      </c>
      <c r="C698" s="244">
        <f t="shared" si="65"/>
        <v>2</v>
      </c>
      <c r="D698" s="244">
        <f t="shared" si="66"/>
        <v>8</v>
      </c>
      <c r="E698" s="244">
        <f t="shared" si="67"/>
        <v>10</v>
      </c>
      <c r="G698" s="259" t="str">
        <f t="shared" si="68"/>
        <v>&lt;ct2411&gt;</v>
      </c>
      <c r="H698" s="260">
        <f>VLOOKUP(N698,BCDTK!$E$9:$L$132,6,0)</f>
        <v>0</v>
      </c>
      <c r="I698" s="261" t="str">
        <f t="shared" si="69"/>
        <v>&lt;/ct2411&gt;</v>
      </c>
      <c r="J698" s="262"/>
      <c r="K698" s="262"/>
      <c r="L698" s="262"/>
      <c r="M698" s="263"/>
      <c r="N698" s="265">
        <v>2411</v>
      </c>
    </row>
    <row r="699" spans="1:14" x14ac:dyDescent="0.45">
      <c r="A699" s="253" t="str">
        <f t="shared" si="70"/>
        <v>&lt;ct2412&gt;0&lt;/ct2412&gt;</v>
      </c>
      <c r="B699" s="243" t="s">
        <v>1629</v>
      </c>
      <c r="C699" s="244">
        <f t="shared" si="65"/>
        <v>2</v>
      </c>
      <c r="D699" s="244">
        <f t="shared" si="66"/>
        <v>8</v>
      </c>
      <c r="E699" s="244">
        <f t="shared" si="67"/>
        <v>10</v>
      </c>
      <c r="G699" s="259" t="str">
        <f t="shared" si="68"/>
        <v>&lt;ct2412&gt;</v>
      </c>
      <c r="H699" s="260">
        <f>VLOOKUP(N699,BCDTK!$E$9:$L$132,6,0)</f>
        <v>0</v>
      </c>
      <c r="I699" s="261" t="str">
        <f t="shared" si="69"/>
        <v>&lt;/ct2412&gt;</v>
      </c>
      <c r="J699" s="262"/>
      <c r="K699" s="262"/>
      <c r="L699" s="262"/>
      <c r="M699" s="263"/>
      <c r="N699" s="265">
        <v>2412</v>
      </c>
    </row>
    <row r="700" spans="1:14" x14ac:dyDescent="0.45">
      <c r="A700" s="253" t="str">
        <f t="shared" si="70"/>
        <v>&lt;ct2413&gt;0&lt;/ct2413&gt;</v>
      </c>
      <c r="B700" s="243" t="s">
        <v>1630</v>
      </c>
      <c r="C700" s="244">
        <f t="shared" si="65"/>
        <v>2</v>
      </c>
      <c r="D700" s="244">
        <f t="shared" si="66"/>
        <v>8</v>
      </c>
      <c r="E700" s="244">
        <f t="shared" si="67"/>
        <v>10</v>
      </c>
      <c r="G700" s="259" t="str">
        <f t="shared" si="68"/>
        <v>&lt;ct2413&gt;</v>
      </c>
      <c r="H700" s="260">
        <f>VLOOKUP(N700,BCDTK!$E$9:$L$132,6,0)</f>
        <v>0</v>
      </c>
      <c r="I700" s="261" t="str">
        <f t="shared" si="69"/>
        <v>&lt;/ct2413&gt;</v>
      </c>
      <c r="J700" s="262"/>
      <c r="K700" s="262"/>
      <c r="L700" s="262"/>
      <c r="M700" s="263"/>
      <c r="N700" s="265">
        <v>2413</v>
      </c>
    </row>
    <row r="701" spans="1:14" x14ac:dyDescent="0.45">
      <c r="A701" s="253" t="str">
        <f t="shared" si="70"/>
        <v>&lt;ct242&gt;12349949&lt;/ct242&gt;</v>
      </c>
      <c r="B701" s="243" t="s">
        <v>1757</v>
      </c>
      <c r="C701" s="244">
        <f t="shared" si="65"/>
        <v>2</v>
      </c>
      <c r="D701" s="244">
        <f t="shared" si="66"/>
        <v>7</v>
      </c>
      <c r="E701" s="244">
        <f t="shared" si="67"/>
        <v>16</v>
      </c>
      <c r="G701" s="259" t="str">
        <f t="shared" si="68"/>
        <v>&lt;ct242&gt;</v>
      </c>
      <c r="H701" s="260">
        <f>VLOOKUP(N701,BCDTK!$E$9:$L$132,6,0)</f>
        <v>12349949</v>
      </c>
      <c r="I701" s="261" t="str">
        <f t="shared" si="69"/>
        <v>&lt;/ct242&gt;</v>
      </c>
      <c r="J701" s="262"/>
      <c r="K701" s="262"/>
      <c r="L701" s="262"/>
      <c r="M701" s="263"/>
      <c r="N701" s="265">
        <v>242</v>
      </c>
    </row>
    <row r="702" spans="1:14" x14ac:dyDescent="0.45">
      <c r="A702" s="253" t="str">
        <f t="shared" si="70"/>
        <v>&lt;ct331&gt;425768000&lt;/ct331&gt;</v>
      </c>
      <c r="B702" s="243" t="s">
        <v>1758</v>
      </c>
      <c r="C702" s="244">
        <f t="shared" si="65"/>
        <v>2</v>
      </c>
      <c r="D702" s="244">
        <f t="shared" si="66"/>
        <v>7</v>
      </c>
      <c r="E702" s="244">
        <f t="shared" si="67"/>
        <v>18</v>
      </c>
      <c r="G702" s="259" t="str">
        <f t="shared" si="68"/>
        <v>&lt;ct331&gt;</v>
      </c>
      <c r="H702" s="260">
        <f>VLOOKUP(N702,BCDTK!$E$9:$L$132,6,0)</f>
        <v>425768000</v>
      </c>
      <c r="I702" s="261" t="str">
        <f t="shared" si="69"/>
        <v>&lt;/ct331&gt;</v>
      </c>
      <c r="J702" s="262"/>
      <c r="K702" s="262"/>
      <c r="L702" s="262"/>
      <c r="M702" s="263"/>
      <c r="N702" s="265">
        <v>331</v>
      </c>
    </row>
    <row r="703" spans="1:14" x14ac:dyDescent="0.45">
      <c r="A703" s="253" t="str">
        <f t="shared" si="70"/>
        <v>&lt;ct333&gt;24041666&lt;/ct333&gt;</v>
      </c>
      <c r="B703" s="243" t="s">
        <v>1759</v>
      </c>
      <c r="C703" s="244">
        <f t="shared" si="65"/>
        <v>2</v>
      </c>
      <c r="D703" s="244">
        <f t="shared" si="66"/>
        <v>7</v>
      </c>
      <c r="E703" s="244">
        <f t="shared" si="67"/>
        <v>17</v>
      </c>
      <c r="G703" s="259" t="str">
        <f t="shared" si="68"/>
        <v>&lt;ct333&gt;</v>
      </c>
      <c r="H703" s="260">
        <f>VLOOKUP(N703,BCDTK!$E$9:$L$132,6,0)</f>
        <v>24041666</v>
      </c>
      <c r="I703" s="261" t="str">
        <f t="shared" si="69"/>
        <v>&lt;/ct333&gt;</v>
      </c>
      <c r="J703" s="262"/>
      <c r="K703" s="262"/>
      <c r="L703" s="262"/>
      <c r="M703" s="263"/>
      <c r="N703" s="265">
        <v>333</v>
      </c>
    </row>
    <row r="704" spans="1:14" x14ac:dyDescent="0.45">
      <c r="A704" s="253" t="str">
        <f t="shared" si="70"/>
        <v>&lt;ct3331&gt;20006121&lt;/ct3331&gt;</v>
      </c>
      <c r="B704" s="243" t="s">
        <v>1760</v>
      </c>
      <c r="C704" s="244">
        <f t="shared" si="65"/>
        <v>2</v>
      </c>
      <c r="D704" s="244">
        <f t="shared" si="66"/>
        <v>8</v>
      </c>
      <c r="E704" s="244">
        <f t="shared" si="67"/>
        <v>17</v>
      </c>
      <c r="G704" s="259" t="str">
        <f t="shared" si="68"/>
        <v>&lt;ct3331&gt;</v>
      </c>
      <c r="H704" s="260">
        <f>VLOOKUP(N704,BCDTK!$E$9:$L$132,6,0)</f>
        <v>20006121</v>
      </c>
      <c r="I704" s="261" t="str">
        <f t="shared" si="69"/>
        <v>&lt;/ct3331&gt;</v>
      </c>
      <c r="J704" s="262"/>
      <c r="K704" s="262"/>
      <c r="L704" s="262"/>
      <c r="M704" s="263"/>
      <c r="N704" s="265">
        <v>3331</v>
      </c>
    </row>
    <row r="705" spans="1:14" x14ac:dyDescent="0.45">
      <c r="A705" s="253" t="str">
        <f t="shared" si="70"/>
        <v>&lt;ct33311&gt;20006121&lt;/ct33311&gt;</v>
      </c>
      <c r="B705" s="243" t="s">
        <v>1761</v>
      </c>
      <c r="C705" s="244">
        <f t="shared" si="65"/>
        <v>2</v>
      </c>
      <c r="D705" s="244">
        <f t="shared" si="66"/>
        <v>9</v>
      </c>
      <c r="E705" s="244">
        <f t="shared" si="67"/>
        <v>18</v>
      </c>
      <c r="G705" s="259" t="str">
        <f t="shared" si="68"/>
        <v>&lt;ct33311&gt;</v>
      </c>
      <c r="H705" s="260">
        <f>VLOOKUP(N705,BCDTK!$E$9:$L$132,6,0)</f>
        <v>20006121</v>
      </c>
      <c r="I705" s="261" t="str">
        <f t="shared" si="69"/>
        <v>&lt;/ct33311&gt;</v>
      </c>
      <c r="J705" s="262"/>
      <c r="K705" s="262"/>
      <c r="L705" s="262"/>
      <c r="M705" s="263"/>
      <c r="N705" s="265">
        <v>33311</v>
      </c>
    </row>
    <row r="706" spans="1:14" x14ac:dyDescent="0.45">
      <c r="A706" s="253" t="str">
        <f t="shared" si="70"/>
        <v>&lt;ct33312&gt;0&lt;/ct33312&gt;</v>
      </c>
      <c r="B706" s="243" t="s">
        <v>1728</v>
      </c>
      <c r="C706" s="244">
        <f t="shared" si="65"/>
        <v>2</v>
      </c>
      <c r="D706" s="244">
        <f t="shared" si="66"/>
        <v>9</v>
      </c>
      <c r="E706" s="244">
        <f t="shared" si="67"/>
        <v>16</v>
      </c>
      <c r="G706" s="259" t="str">
        <f t="shared" si="68"/>
        <v>&lt;ct33312&gt;</v>
      </c>
      <c r="H706" s="260">
        <f>VLOOKUP(N706,BCDTK!$E$9:$L$132,6,0)</f>
        <v>0</v>
      </c>
      <c r="I706" s="261" t="str">
        <f t="shared" si="69"/>
        <v>&lt;/ct33312&gt;</v>
      </c>
      <c r="J706" s="262"/>
      <c r="K706" s="262"/>
      <c r="L706" s="262"/>
      <c r="M706" s="263"/>
      <c r="N706" s="265">
        <v>33312</v>
      </c>
    </row>
    <row r="707" spans="1:14" x14ac:dyDescent="0.45">
      <c r="A707" s="253" t="str">
        <f t="shared" si="70"/>
        <v>&lt;ct3332&gt;0&lt;/ct3332&gt;</v>
      </c>
      <c r="B707" s="243" t="s">
        <v>1637</v>
      </c>
      <c r="C707" s="244">
        <f t="shared" si="65"/>
        <v>2</v>
      </c>
      <c r="D707" s="244">
        <f t="shared" si="66"/>
        <v>8</v>
      </c>
      <c r="E707" s="244">
        <f t="shared" si="67"/>
        <v>10</v>
      </c>
      <c r="G707" s="259" t="str">
        <f t="shared" si="68"/>
        <v>&lt;ct3332&gt;</v>
      </c>
      <c r="H707" s="260">
        <f>VLOOKUP(N707,BCDTK!$E$9:$L$132,6,0)</f>
        <v>0</v>
      </c>
      <c r="I707" s="261" t="str">
        <f t="shared" si="69"/>
        <v>&lt;/ct3332&gt;</v>
      </c>
      <c r="J707" s="262"/>
      <c r="K707" s="262"/>
      <c r="L707" s="262"/>
      <c r="M707" s="263"/>
      <c r="N707" s="265">
        <v>3332</v>
      </c>
    </row>
    <row r="708" spans="1:14" x14ac:dyDescent="0.45">
      <c r="A708" s="253" t="str">
        <f t="shared" si="70"/>
        <v>&lt;ct3333&gt;0&lt;/ct3333&gt;</v>
      </c>
      <c r="B708" s="243" t="s">
        <v>1729</v>
      </c>
      <c r="C708" s="244">
        <f t="shared" si="65"/>
        <v>2</v>
      </c>
      <c r="D708" s="244">
        <f t="shared" si="66"/>
        <v>8</v>
      </c>
      <c r="E708" s="244">
        <f t="shared" si="67"/>
        <v>15</v>
      </c>
      <c r="G708" s="259" t="str">
        <f t="shared" si="68"/>
        <v>&lt;ct3333&gt;</v>
      </c>
      <c r="H708" s="260">
        <f>VLOOKUP(N708,BCDTK!$E$9:$L$132,6,0)</f>
        <v>0</v>
      </c>
      <c r="I708" s="261" t="str">
        <f t="shared" si="69"/>
        <v>&lt;/ct3333&gt;</v>
      </c>
      <c r="J708" s="262"/>
      <c r="K708" s="262"/>
      <c r="L708" s="262"/>
      <c r="M708" s="263"/>
      <c r="N708" s="265">
        <v>3333</v>
      </c>
    </row>
    <row r="709" spans="1:14" x14ac:dyDescent="0.45">
      <c r="A709" s="253" t="str">
        <f t="shared" si="70"/>
        <v>&lt;ct3334&gt;2035545&lt;/ct3334&gt;</v>
      </c>
      <c r="B709" s="243" t="s">
        <v>1639</v>
      </c>
      <c r="C709" s="244">
        <f t="shared" si="65"/>
        <v>2</v>
      </c>
      <c r="D709" s="244">
        <f t="shared" si="66"/>
        <v>8</v>
      </c>
      <c r="E709" s="244">
        <f t="shared" si="67"/>
        <v>10</v>
      </c>
      <c r="G709" s="259" t="str">
        <f t="shared" si="68"/>
        <v>&lt;ct3334&gt;</v>
      </c>
      <c r="H709" s="260">
        <f>VLOOKUP(N709,BCDTK!$E$9:$L$132,6,0)</f>
        <v>2035545</v>
      </c>
      <c r="I709" s="261" t="str">
        <f t="shared" si="69"/>
        <v>&lt;/ct3334&gt;</v>
      </c>
      <c r="J709" s="262"/>
      <c r="K709" s="262"/>
      <c r="L709" s="262"/>
      <c r="M709" s="263"/>
      <c r="N709" s="265">
        <v>3334</v>
      </c>
    </row>
    <row r="710" spans="1:14" x14ac:dyDescent="0.45">
      <c r="A710" s="253" t="str">
        <f t="shared" si="70"/>
        <v>&lt;ct3335&gt;0&lt;/ct3335&gt;</v>
      </c>
      <c r="B710" s="243" t="s">
        <v>1762</v>
      </c>
      <c r="C710" s="244">
        <f t="shared" si="65"/>
        <v>2</v>
      </c>
      <c r="D710" s="244">
        <f t="shared" si="66"/>
        <v>8</v>
      </c>
      <c r="E710" s="244">
        <f t="shared" si="67"/>
        <v>17</v>
      </c>
      <c r="G710" s="259" t="str">
        <f t="shared" si="68"/>
        <v>&lt;ct3335&gt;</v>
      </c>
      <c r="H710" s="260">
        <f>VLOOKUP(N710,BCDTK!$E$9:$L$132,6,0)</f>
        <v>0</v>
      </c>
      <c r="I710" s="261" t="str">
        <f t="shared" si="69"/>
        <v>&lt;/ct3335&gt;</v>
      </c>
      <c r="J710" s="262"/>
      <c r="K710" s="262"/>
      <c r="L710" s="262"/>
      <c r="M710" s="263"/>
      <c r="N710" s="265">
        <v>3335</v>
      </c>
    </row>
    <row r="711" spans="1:14" x14ac:dyDescent="0.45">
      <c r="A711" s="253" t="str">
        <f t="shared" si="70"/>
        <v>&lt;ct3336&gt;0&lt;/ct3336&gt;</v>
      </c>
      <c r="B711" s="243" t="s">
        <v>1641</v>
      </c>
      <c r="C711" s="244">
        <f t="shared" si="65"/>
        <v>2</v>
      </c>
      <c r="D711" s="244">
        <f t="shared" si="66"/>
        <v>8</v>
      </c>
      <c r="E711" s="244">
        <f t="shared" si="67"/>
        <v>10</v>
      </c>
      <c r="G711" s="259" t="str">
        <f t="shared" si="68"/>
        <v>&lt;ct3336&gt;</v>
      </c>
      <c r="H711" s="260">
        <f>VLOOKUP(N711,BCDTK!$E$9:$L$132,6,0)</f>
        <v>0</v>
      </c>
      <c r="I711" s="261" t="str">
        <f t="shared" si="69"/>
        <v>&lt;/ct3336&gt;</v>
      </c>
      <c r="J711" s="262"/>
      <c r="K711" s="262"/>
      <c r="L711" s="262"/>
      <c r="M711" s="263"/>
      <c r="N711" s="265">
        <v>3336</v>
      </c>
    </row>
    <row r="712" spans="1:14" x14ac:dyDescent="0.45">
      <c r="A712" s="253" t="str">
        <f t="shared" si="70"/>
        <v>&lt;ct3337&gt;0&lt;/ct3337&gt;</v>
      </c>
      <c r="B712" s="243" t="s">
        <v>1642</v>
      </c>
      <c r="C712" s="244">
        <f t="shared" si="65"/>
        <v>2</v>
      </c>
      <c r="D712" s="244">
        <f t="shared" si="66"/>
        <v>8</v>
      </c>
      <c r="E712" s="244">
        <f t="shared" si="67"/>
        <v>10</v>
      </c>
      <c r="G712" s="259" t="str">
        <f t="shared" si="68"/>
        <v>&lt;ct3337&gt;</v>
      </c>
      <c r="H712" s="260">
        <f>VLOOKUP(N712,BCDTK!$E$9:$L$132,6,0)</f>
        <v>0</v>
      </c>
      <c r="I712" s="261" t="str">
        <f t="shared" si="69"/>
        <v>&lt;/ct3337&gt;</v>
      </c>
      <c r="J712" s="262"/>
      <c r="K712" s="262"/>
      <c r="L712" s="262"/>
      <c r="M712" s="263"/>
      <c r="N712" s="265">
        <v>3337</v>
      </c>
    </row>
    <row r="713" spans="1:14" x14ac:dyDescent="0.45">
      <c r="A713" s="253" t="str">
        <f t="shared" si="70"/>
        <v>&lt;ct3338&gt;0&lt;/ct3338&gt;</v>
      </c>
      <c r="B713" s="243" t="s">
        <v>1643</v>
      </c>
      <c r="C713" s="244">
        <f t="shared" si="65"/>
        <v>2</v>
      </c>
      <c r="D713" s="244">
        <f t="shared" si="66"/>
        <v>8</v>
      </c>
      <c r="E713" s="244">
        <f t="shared" si="67"/>
        <v>10</v>
      </c>
      <c r="G713" s="259" t="str">
        <f t="shared" si="68"/>
        <v>&lt;ct3338&gt;</v>
      </c>
      <c r="H713" s="260">
        <f>VLOOKUP(N713,BCDTK!$E$9:$L$132,6,0)</f>
        <v>0</v>
      </c>
      <c r="I713" s="261" t="str">
        <f t="shared" si="69"/>
        <v>&lt;/ct3338&gt;</v>
      </c>
      <c r="J713" s="262"/>
      <c r="K713" s="262"/>
      <c r="L713" s="262"/>
      <c r="M713" s="263"/>
      <c r="N713" s="265">
        <v>3338</v>
      </c>
    </row>
    <row r="714" spans="1:14" x14ac:dyDescent="0.45">
      <c r="A714" s="253" t="str">
        <f t="shared" si="70"/>
        <v>&lt;ct33381&gt;0&lt;/ct33381&gt;</v>
      </c>
      <c r="B714" s="243" t="s">
        <v>1644</v>
      </c>
      <c r="C714" s="244">
        <f t="shared" si="65"/>
        <v>2</v>
      </c>
      <c r="D714" s="244">
        <f t="shared" si="66"/>
        <v>9</v>
      </c>
      <c r="E714" s="244">
        <f t="shared" si="67"/>
        <v>11</v>
      </c>
      <c r="G714" s="259" t="str">
        <f t="shared" si="68"/>
        <v>&lt;ct33381&gt;</v>
      </c>
      <c r="H714" s="260">
        <f>VLOOKUP(N714,BCDTK!$E$9:$L$132,6,0)</f>
        <v>0</v>
      </c>
      <c r="I714" s="261" t="str">
        <f t="shared" si="69"/>
        <v>&lt;/ct33381&gt;</v>
      </c>
      <c r="J714" s="262"/>
      <c r="K714" s="262"/>
      <c r="L714" s="262"/>
      <c r="M714" s="263"/>
      <c r="N714" s="265">
        <v>33381</v>
      </c>
    </row>
    <row r="715" spans="1:14" x14ac:dyDescent="0.45">
      <c r="A715" s="253" t="str">
        <f t="shared" si="70"/>
        <v>&lt;ct33382&gt;0&lt;/ct33382&gt;</v>
      </c>
      <c r="B715" s="243" t="s">
        <v>1645</v>
      </c>
      <c r="C715" s="244">
        <f t="shared" si="65"/>
        <v>2</v>
      </c>
      <c r="D715" s="244">
        <f t="shared" si="66"/>
        <v>9</v>
      </c>
      <c r="E715" s="244">
        <f t="shared" si="67"/>
        <v>11</v>
      </c>
      <c r="G715" s="259" t="str">
        <f t="shared" si="68"/>
        <v>&lt;ct33382&gt;</v>
      </c>
      <c r="H715" s="260">
        <f>VLOOKUP(N715,BCDTK!$E$9:$L$132,6,0)</f>
        <v>0</v>
      </c>
      <c r="I715" s="261" t="str">
        <f t="shared" si="69"/>
        <v>&lt;/ct33382&gt;</v>
      </c>
      <c r="J715" s="262"/>
      <c r="K715" s="262"/>
      <c r="L715" s="262"/>
      <c r="M715" s="263"/>
      <c r="N715" s="265">
        <v>33382</v>
      </c>
    </row>
    <row r="716" spans="1:14" x14ac:dyDescent="0.45">
      <c r="A716" s="253" t="str">
        <f t="shared" si="70"/>
        <v>&lt;ct3339&gt;2000000&lt;/ct3339&gt;</v>
      </c>
      <c r="B716" s="243" t="s">
        <v>1646</v>
      </c>
      <c r="C716" s="244">
        <f t="shared" si="65"/>
        <v>2</v>
      </c>
      <c r="D716" s="244">
        <f t="shared" si="66"/>
        <v>8</v>
      </c>
      <c r="E716" s="244">
        <f t="shared" si="67"/>
        <v>10</v>
      </c>
      <c r="G716" s="259" t="str">
        <f t="shared" si="68"/>
        <v>&lt;ct3339&gt;</v>
      </c>
      <c r="H716" s="260">
        <f>VLOOKUP(N716,BCDTK!$E$9:$L$132,6,0)</f>
        <v>2000000</v>
      </c>
      <c r="I716" s="261" t="str">
        <f t="shared" si="69"/>
        <v>&lt;/ct3339&gt;</v>
      </c>
      <c r="J716" s="262"/>
      <c r="K716" s="262"/>
      <c r="L716" s="262"/>
      <c r="M716" s="263"/>
      <c r="N716" s="265">
        <v>3339</v>
      </c>
    </row>
    <row r="717" spans="1:14" x14ac:dyDescent="0.45">
      <c r="A717" s="253" t="str">
        <f t="shared" si="70"/>
        <v>&lt;ct334&gt;172720000&lt;/ct334&gt;</v>
      </c>
      <c r="B717" s="243" t="s">
        <v>1763</v>
      </c>
      <c r="C717" s="244">
        <f t="shared" si="65"/>
        <v>2</v>
      </c>
      <c r="D717" s="244">
        <f t="shared" si="66"/>
        <v>7</v>
      </c>
      <c r="E717" s="244">
        <f t="shared" si="67"/>
        <v>17</v>
      </c>
      <c r="G717" s="259" t="str">
        <f t="shared" si="68"/>
        <v>&lt;ct334&gt;</v>
      </c>
      <c r="H717" s="260">
        <f>VLOOKUP(N717,BCDTK!$E$9:$L$132,6,0)</f>
        <v>172720000</v>
      </c>
      <c r="I717" s="261" t="str">
        <f t="shared" si="69"/>
        <v>&lt;/ct334&gt;</v>
      </c>
      <c r="J717" s="262"/>
      <c r="K717" s="262"/>
      <c r="L717" s="262"/>
      <c r="M717" s="263"/>
      <c r="N717" s="265">
        <v>334</v>
      </c>
    </row>
    <row r="718" spans="1:14" x14ac:dyDescent="0.45">
      <c r="A718" s="253" t="str">
        <f t="shared" si="70"/>
        <v>&lt;ct335&gt;0&lt;/ct335&gt;</v>
      </c>
      <c r="B718" s="243" t="s">
        <v>1648</v>
      </c>
      <c r="C718" s="244">
        <f t="shared" si="65"/>
        <v>2</v>
      </c>
      <c r="D718" s="244">
        <f t="shared" si="66"/>
        <v>7</v>
      </c>
      <c r="E718" s="244">
        <f t="shared" si="67"/>
        <v>9</v>
      </c>
      <c r="G718" s="259" t="str">
        <f t="shared" si="68"/>
        <v>&lt;ct335&gt;</v>
      </c>
      <c r="H718" s="260">
        <f>VLOOKUP(N718,BCDTK!$E$9:$L$132,6,0)</f>
        <v>0</v>
      </c>
      <c r="I718" s="261" t="str">
        <f t="shared" si="69"/>
        <v>&lt;/ct335&gt;</v>
      </c>
      <c r="J718" s="262"/>
      <c r="K718" s="262"/>
      <c r="L718" s="262"/>
      <c r="M718" s="263"/>
      <c r="N718" s="265">
        <v>335</v>
      </c>
    </row>
    <row r="719" spans="1:14" x14ac:dyDescent="0.45">
      <c r="A719" s="253" t="str">
        <f t="shared" si="70"/>
        <v>&lt;ct336&gt;0&lt;/ct336&gt;</v>
      </c>
      <c r="B719" s="243" t="s">
        <v>1649</v>
      </c>
      <c r="C719" s="244">
        <f t="shared" si="65"/>
        <v>2</v>
      </c>
      <c r="D719" s="244">
        <f t="shared" si="66"/>
        <v>7</v>
      </c>
      <c r="E719" s="244">
        <f t="shared" si="67"/>
        <v>9</v>
      </c>
      <c r="G719" s="259" t="str">
        <f t="shared" si="68"/>
        <v>&lt;ct336&gt;</v>
      </c>
      <c r="H719" s="260">
        <f>VLOOKUP(N719,BCDTK!$E$9:$L$132,6,0)</f>
        <v>0</v>
      </c>
      <c r="I719" s="261" t="str">
        <f t="shared" si="69"/>
        <v>&lt;/ct336&gt;</v>
      </c>
      <c r="J719" s="262"/>
      <c r="K719" s="262"/>
      <c r="L719" s="262"/>
      <c r="M719" s="263"/>
      <c r="N719" s="265">
        <v>336</v>
      </c>
    </row>
    <row r="720" spans="1:14" x14ac:dyDescent="0.45">
      <c r="A720" s="253" t="str">
        <f t="shared" si="70"/>
        <v>&lt;ct3361&gt;0&lt;/ct3361&gt;</v>
      </c>
      <c r="B720" s="243" t="s">
        <v>1650</v>
      </c>
      <c r="C720" s="244">
        <f t="shared" si="65"/>
        <v>2</v>
      </c>
      <c r="D720" s="244">
        <f t="shared" si="66"/>
        <v>8</v>
      </c>
      <c r="E720" s="244">
        <f t="shared" si="67"/>
        <v>10</v>
      </c>
      <c r="G720" s="259" t="str">
        <f t="shared" si="68"/>
        <v>&lt;ct3361&gt;</v>
      </c>
      <c r="H720" s="260">
        <f>VLOOKUP(N720,BCDTK!$E$9:$L$132,6,0)</f>
        <v>0</v>
      </c>
      <c r="I720" s="261" t="str">
        <f t="shared" si="69"/>
        <v>&lt;/ct3361&gt;</v>
      </c>
      <c r="J720" s="262"/>
      <c r="K720" s="262"/>
      <c r="L720" s="262"/>
      <c r="M720" s="263"/>
      <c r="N720" s="265">
        <v>3361</v>
      </c>
    </row>
    <row r="721" spans="1:14" x14ac:dyDescent="0.45">
      <c r="A721" s="253" t="str">
        <f t="shared" si="70"/>
        <v>&lt;ct3368&gt;0&lt;/ct3368&gt;</v>
      </c>
      <c r="B721" s="243" t="s">
        <v>1651</v>
      </c>
      <c r="C721" s="244">
        <f t="shared" si="65"/>
        <v>2</v>
      </c>
      <c r="D721" s="244">
        <f t="shared" si="66"/>
        <v>8</v>
      </c>
      <c r="E721" s="244">
        <f t="shared" si="67"/>
        <v>10</v>
      </c>
      <c r="G721" s="259" t="str">
        <f t="shared" si="68"/>
        <v>&lt;ct3368&gt;</v>
      </c>
      <c r="H721" s="260">
        <f>VLOOKUP(N721,BCDTK!$E$9:$L$132,6,0)</f>
        <v>0</v>
      </c>
      <c r="I721" s="261" t="str">
        <f t="shared" si="69"/>
        <v>&lt;/ct3368&gt;</v>
      </c>
      <c r="J721" s="262"/>
      <c r="K721" s="262"/>
      <c r="L721" s="262"/>
      <c r="M721" s="263"/>
      <c r="N721" s="265">
        <v>3368</v>
      </c>
    </row>
    <row r="722" spans="1:14" x14ac:dyDescent="0.45">
      <c r="A722" s="253" t="str">
        <f t="shared" si="70"/>
        <v>&lt;ct338&gt;0&lt;/ct338&gt;</v>
      </c>
      <c r="B722" s="243" t="s">
        <v>1764</v>
      </c>
      <c r="C722" s="244">
        <f t="shared" si="65"/>
        <v>2</v>
      </c>
      <c r="D722" s="244">
        <f t="shared" si="66"/>
        <v>7</v>
      </c>
      <c r="E722" s="244">
        <f t="shared" si="67"/>
        <v>18</v>
      </c>
      <c r="G722" s="259" t="str">
        <f t="shared" si="68"/>
        <v>&lt;ct338&gt;</v>
      </c>
      <c r="H722" s="260">
        <f>VLOOKUP(N722,BCDTK!$E$9:$L$132,6,0)</f>
        <v>0</v>
      </c>
      <c r="I722" s="261" t="str">
        <f t="shared" si="69"/>
        <v>&lt;/ct338&gt;</v>
      </c>
      <c r="J722" s="262"/>
      <c r="K722" s="262"/>
      <c r="L722" s="262"/>
      <c r="M722" s="263"/>
      <c r="N722" s="265">
        <v>338</v>
      </c>
    </row>
    <row r="723" spans="1:14" x14ac:dyDescent="0.45">
      <c r="A723" s="253" t="str">
        <f t="shared" si="70"/>
        <v>&lt;ct3381&gt;0&lt;/ct3381&gt;</v>
      </c>
      <c r="B723" s="243" t="s">
        <v>1653</v>
      </c>
      <c r="C723" s="244">
        <f t="shared" si="65"/>
        <v>2</v>
      </c>
      <c r="D723" s="244">
        <f t="shared" si="66"/>
        <v>8</v>
      </c>
      <c r="E723" s="244">
        <f t="shared" si="67"/>
        <v>10</v>
      </c>
      <c r="G723" s="259" t="str">
        <f t="shared" si="68"/>
        <v>&lt;ct3381&gt;</v>
      </c>
      <c r="H723" s="260">
        <f>VLOOKUP(N723,BCDTK!$E$9:$L$132,6,0)</f>
        <v>0</v>
      </c>
      <c r="I723" s="261" t="str">
        <f t="shared" si="69"/>
        <v>&lt;/ct3381&gt;</v>
      </c>
      <c r="J723" s="262"/>
      <c r="K723" s="262"/>
      <c r="L723" s="262"/>
      <c r="M723" s="263"/>
      <c r="N723" s="265">
        <v>3381</v>
      </c>
    </row>
    <row r="724" spans="1:14" x14ac:dyDescent="0.45">
      <c r="A724" s="253" t="str">
        <f t="shared" si="70"/>
        <v>&lt;ct3382&gt;0&lt;/ct3382&gt;</v>
      </c>
      <c r="B724" s="243" t="s">
        <v>1654</v>
      </c>
      <c r="C724" s="244">
        <f t="shared" si="65"/>
        <v>2</v>
      </c>
      <c r="D724" s="244">
        <f t="shared" si="66"/>
        <v>8</v>
      </c>
      <c r="E724" s="244">
        <f t="shared" si="67"/>
        <v>10</v>
      </c>
      <c r="G724" s="259" t="str">
        <f t="shared" si="68"/>
        <v>&lt;ct3382&gt;</v>
      </c>
      <c r="H724" s="260">
        <f>VLOOKUP(N724,BCDTK!$E$9:$L$132,6,0)</f>
        <v>0</v>
      </c>
      <c r="I724" s="261" t="str">
        <f t="shared" si="69"/>
        <v>&lt;/ct3382&gt;</v>
      </c>
      <c r="J724" s="262"/>
      <c r="K724" s="262"/>
      <c r="L724" s="262"/>
      <c r="M724" s="263"/>
      <c r="N724" s="265">
        <v>3382</v>
      </c>
    </row>
    <row r="725" spans="1:14" x14ac:dyDescent="0.45">
      <c r="A725" s="253" t="str">
        <f t="shared" si="70"/>
        <v>&lt;ct3383&gt;0&lt;/ct3383&gt;</v>
      </c>
      <c r="B725" s="243" t="s">
        <v>1655</v>
      </c>
      <c r="C725" s="244">
        <f t="shared" si="65"/>
        <v>2</v>
      </c>
      <c r="D725" s="244">
        <f t="shared" si="66"/>
        <v>8</v>
      </c>
      <c r="E725" s="244">
        <f t="shared" si="67"/>
        <v>10</v>
      </c>
      <c r="G725" s="259" t="str">
        <f t="shared" si="68"/>
        <v>&lt;ct3383&gt;</v>
      </c>
      <c r="H725" s="260">
        <f>VLOOKUP(N725,BCDTK!$E$9:$L$132,6,0)</f>
        <v>0</v>
      </c>
      <c r="I725" s="261" t="str">
        <f t="shared" si="69"/>
        <v>&lt;/ct3383&gt;</v>
      </c>
      <c r="J725" s="262"/>
      <c r="K725" s="262"/>
      <c r="L725" s="262"/>
      <c r="M725" s="263"/>
      <c r="N725" s="265">
        <v>3383</v>
      </c>
    </row>
    <row r="726" spans="1:14" x14ac:dyDescent="0.45">
      <c r="A726" s="253" t="str">
        <f t="shared" si="70"/>
        <v>&lt;ct3384&gt;0&lt;/ct3384&gt;</v>
      </c>
      <c r="B726" s="243" t="s">
        <v>1656</v>
      </c>
      <c r="C726" s="244">
        <f t="shared" si="65"/>
        <v>2</v>
      </c>
      <c r="D726" s="244">
        <f t="shared" si="66"/>
        <v>8</v>
      </c>
      <c r="E726" s="244">
        <f t="shared" si="67"/>
        <v>10</v>
      </c>
      <c r="G726" s="259" t="str">
        <f t="shared" si="68"/>
        <v>&lt;ct3384&gt;</v>
      </c>
      <c r="H726" s="260">
        <f>VLOOKUP(N726,BCDTK!$E$9:$L$132,6,0)</f>
        <v>0</v>
      </c>
      <c r="I726" s="261" t="str">
        <f t="shared" si="69"/>
        <v>&lt;/ct3384&gt;</v>
      </c>
      <c r="J726" s="262"/>
      <c r="K726" s="262"/>
      <c r="L726" s="262"/>
      <c r="M726" s="263"/>
      <c r="N726" s="265">
        <v>3384</v>
      </c>
    </row>
    <row r="727" spans="1:14" x14ac:dyDescent="0.45">
      <c r="A727" s="253" t="str">
        <f t="shared" si="70"/>
        <v>&lt;ct3385&gt;0&lt;/ct3385&gt;</v>
      </c>
      <c r="B727" s="243" t="s">
        <v>1657</v>
      </c>
      <c r="C727" s="244">
        <f t="shared" si="65"/>
        <v>2</v>
      </c>
      <c r="D727" s="244">
        <f t="shared" si="66"/>
        <v>8</v>
      </c>
      <c r="E727" s="244">
        <f t="shared" si="67"/>
        <v>10</v>
      </c>
      <c r="G727" s="259" t="str">
        <f t="shared" si="68"/>
        <v>&lt;ct3385&gt;</v>
      </c>
      <c r="H727" s="260">
        <f>VLOOKUP(N727,BCDTK!$E$9:$L$132,6,0)</f>
        <v>0</v>
      </c>
      <c r="I727" s="261" t="str">
        <f t="shared" si="69"/>
        <v>&lt;/ct3385&gt;</v>
      </c>
      <c r="J727" s="262"/>
      <c r="K727" s="262"/>
      <c r="L727" s="262"/>
      <c r="M727" s="263"/>
      <c r="N727" s="265">
        <v>3385</v>
      </c>
    </row>
    <row r="728" spans="1:14" x14ac:dyDescent="0.45">
      <c r="A728" s="253" t="str">
        <f t="shared" si="70"/>
        <v>&lt;ct3386&gt;0&lt;/ct3386&gt;</v>
      </c>
      <c r="B728" s="243" t="s">
        <v>1658</v>
      </c>
      <c r="C728" s="244">
        <f t="shared" si="65"/>
        <v>2</v>
      </c>
      <c r="D728" s="244">
        <f t="shared" si="66"/>
        <v>8</v>
      </c>
      <c r="E728" s="244">
        <f t="shared" si="67"/>
        <v>10</v>
      </c>
      <c r="G728" s="259" t="str">
        <f t="shared" si="68"/>
        <v>&lt;ct3386&gt;</v>
      </c>
      <c r="H728" s="260">
        <f>VLOOKUP(N728,BCDTK!$E$9:$L$132,6,0)</f>
        <v>0</v>
      </c>
      <c r="I728" s="261" t="str">
        <f t="shared" si="69"/>
        <v>&lt;/ct3386&gt;</v>
      </c>
      <c r="J728" s="262"/>
      <c r="K728" s="262"/>
      <c r="L728" s="262"/>
      <c r="M728" s="263"/>
      <c r="N728" s="265">
        <v>3386</v>
      </c>
    </row>
    <row r="729" spans="1:14" x14ac:dyDescent="0.45">
      <c r="A729" s="253" t="str">
        <f t="shared" si="70"/>
        <v>&lt;ct3387&gt;0&lt;/ct3387&gt;</v>
      </c>
      <c r="B729" s="243" t="s">
        <v>1765</v>
      </c>
      <c r="C729" s="244">
        <f t="shared" ref="C729:C792" si="71">LEN(B729)-LEN(SUBSTITUTE(B729,"&lt;",""))</f>
        <v>2</v>
      </c>
      <c r="D729" s="244">
        <f t="shared" ref="D729:D792" si="72">SEARCH("&gt;",B729)</f>
        <v>8</v>
      </c>
      <c r="E729" s="244">
        <f t="shared" ref="E729:E792" si="73">IFERROR(SEARCH("&lt;/",B729),"")</f>
        <v>18</v>
      </c>
      <c r="G729" s="259" t="str">
        <f t="shared" ref="G729:G792" si="74">LEFT(B729,D729)</f>
        <v>&lt;ct3387&gt;</v>
      </c>
      <c r="H729" s="260">
        <f>VLOOKUP(N729,BCDTK!$E$9:$L$132,6,0)</f>
        <v>0</v>
      </c>
      <c r="I729" s="261" t="str">
        <f t="shared" ref="I729:I792" si="75">IF(C729=2,RIGHT(B729,LEN(B729)-E729+1),"")</f>
        <v>&lt;/ct3387&gt;</v>
      </c>
      <c r="J729" s="262"/>
      <c r="K729" s="262"/>
      <c r="L729" s="262"/>
      <c r="M729" s="263"/>
      <c r="N729" s="265">
        <v>3387</v>
      </c>
    </row>
    <row r="730" spans="1:14" x14ac:dyDescent="0.45">
      <c r="A730" s="253" t="str">
        <f t="shared" si="70"/>
        <v>&lt;ct3388&gt;0&lt;/ct3388&gt;</v>
      </c>
      <c r="B730" s="243" t="s">
        <v>1766</v>
      </c>
      <c r="C730" s="244">
        <f t="shared" si="71"/>
        <v>2</v>
      </c>
      <c r="D730" s="244">
        <f t="shared" si="72"/>
        <v>8</v>
      </c>
      <c r="E730" s="244">
        <f t="shared" si="73"/>
        <v>19</v>
      </c>
      <c r="G730" s="259" t="str">
        <f t="shared" si="74"/>
        <v>&lt;ct3388&gt;</v>
      </c>
      <c r="H730" s="260">
        <f>VLOOKUP(N730,BCDTK!$E$9:$L$132,6,0)</f>
        <v>0</v>
      </c>
      <c r="I730" s="261" t="str">
        <f t="shared" si="75"/>
        <v>&lt;/ct3388&gt;</v>
      </c>
      <c r="J730" s="262"/>
      <c r="K730" s="262"/>
      <c r="L730" s="262"/>
      <c r="M730" s="263"/>
      <c r="N730" s="265">
        <v>3388</v>
      </c>
    </row>
    <row r="731" spans="1:14" x14ac:dyDescent="0.45">
      <c r="A731" s="253" t="str">
        <f t="shared" si="70"/>
        <v>&lt;ct341&gt;290000000&lt;/ct341&gt;</v>
      </c>
      <c r="B731" s="243" t="s">
        <v>1767</v>
      </c>
      <c r="C731" s="244">
        <f t="shared" si="71"/>
        <v>2</v>
      </c>
      <c r="D731" s="244">
        <f t="shared" si="72"/>
        <v>7</v>
      </c>
      <c r="E731" s="244">
        <f t="shared" si="73"/>
        <v>17</v>
      </c>
      <c r="G731" s="259" t="str">
        <f t="shared" si="74"/>
        <v>&lt;ct341&gt;</v>
      </c>
      <c r="H731" s="260">
        <f>VLOOKUP(N731,BCDTK!$E$9:$L$132,6,0)</f>
        <v>290000000</v>
      </c>
      <c r="I731" s="261" t="str">
        <f t="shared" si="75"/>
        <v>&lt;/ct341&gt;</v>
      </c>
      <c r="J731" s="262"/>
      <c r="K731" s="262"/>
      <c r="L731" s="262"/>
      <c r="M731" s="263"/>
      <c r="N731" s="265">
        <v>341</v>
      </c>
    </row>
    <row r="732" spans="1:14" x14ac:dyDescent="0.45">
      <c r="A732" s="253" t="str">
        <f t="shared" si="70"/>
        <v>&lt;ct3411&gt;290000000&lt;/ct3411&gt;</v>
      </c>
      <c r="B732" s="243" t="s">
        <v>1768</v>
      </c>
      <c r="C732" s="244">
        <f t="shared" si="71"/>
        <v>2</v>
      </c>
      <c r="D732" s="244">
        <f t="shared" si="72"/>
        <v>8</v>
      </c>
      <c r="E732" s="244">
        <f t="shared" si="73"/>
        <v>18</v>
      </c>
      <c r="G732" s="259" t="str">
        <f t="shared" si="74"/>
        <v>&lt;ct3411&gt;</v>
      </c>
      <c r="H732" s="260">
        <f>VLOOKUP(N732,BCDTK!$E$9:$L$132,6,0)</f>
        <v>290000000</v>
      </c>
      <c r="I732" s="261" t="str">
        <f t="shared" si="75"/>
        <v>&lt;/ct3411&gt;</v>
      </c>
      <c r="J732" s="262"/>
      <c r="K732" s="262"/>
      <c r="L732" s="262"/>
      <c r="M732" s="263"/>
      <c r="N732" s="265">
        <v>3411</v>
      </c>
    </row>
    <row r="733" spans="1:14" x14ac:dyDescent="0.45">
      <c r="A733" s="253" t="str">
        <f t="shared" si="70"/>
        <v>&lt;ct3412&gt;0&lt;/ct3412&gt;</v>
      </c>
      <c r="B733" s="243" t="s">
        <v>1663</v>
      </c>
      <c r="C733" s="244">
        <f t="shared" si="71"/>
        <v>2</v>
      </c>
      <c r="D733" s="244">
        <f t="shared" si="72"/>
        <v>8</v>
      </c>
      <c r="E733" s="244">
        <f t="shared" si="73"/>
        <v>10</v>
      </c>
      <c r="G733" s="259" t="str">
        <f t="shared" si="74"/>
        <v>&lt;ct3412&gt;</v>
      </c>
      <c r="H733" s="260">
        <f>VLOOKUP(N733,BCDTK!$E$9:$L$132,6,0)</f>
        <v>0</v>
      </c>
      <c r="I733" s="261" t="str">
        <f t="shared" si="75"/>
        <v>&lt;/ct3412&gt;</v>
      </c>
      <c r="J733" s="262"/>
      <c r="K733" s="262"/>
      <c r="L733" s="262"/>
      <c r="M733" s="263"/>
      <c r="N733" s="265">
        <v>3412</v>
      </c>
    </row>
    <row r="734" spans="1:14" x14ac:dyDescent="0.45">
      <c r="A734" s="253" t="str">
        <f t="shared" si="70"/>
        <v>&lt;ct352&gt;0&lt;/ct352&gt;</v>
      </c>
      <c r="B734" s="243" t="s">
        <v>1664</v>
      </c>
      <c r="C734" s="244">
        <f t="shared" si="71"/>
        <v>2</v>
      </c>
      <c r="D734" s="244">
        <f t="shared" si="72"/>
        <v>7</v>
      </c>
      <c r="E734" s="244">
        <f t="shared" si="73"/>
        <v>9</v>
      </c>
      <c r="G734" s="259" t="str">
        <f t="shared" si="74"/>
        <v>&lt;ct352&gt;</v>
      </c>
      <c r="H734" s="260">
        <f>VLOOKUP(N734,BCDTK!$E$9:$L$132,6,0)</f>
        <v>0</v>
      </c>
      <c r="I734" s="261" t="str">
        <f t="shared" si="75"/>
        <v>&lt;/ct352&gt;</v>
      </c>
      <c r="J734" s="262"/>
      <c r="K734" s="262"/>
      <c r="L734" s="262"/>
      <c r="M734" s="263"/>
      <c r="N734" s="265">
        <v>352</v>
      </c>
    </row>
    <row r="735" spans="1:14" x14ac:dyDescent="0.45">
      <c r="A735" s="253" t="str">
        <f t="shared" si="70"/>
        <v>&lt;ct3521&gt;0&lt;/ct3521&gt;</v>
      </c>
      <c r="B735" s="243" t="s">
        <v>1665</v>
      </c>
      <c r="C735" s="244">
        <f t="shared" si="71"/>
        <v>2</v>
      </c>
      <c r="D735" s="244">
        <f t="shared" si="72"/>
        <v>8</v>
      </c>
      <c r="E735" s="244">
        <f t="shared" si="73"/>
        <v>10</v>
      </c>
      <c r="G735" s="259" t="str">
        <f t="shared" si="74"/>
        <v>&lt;ct3521&gt;</v>
      </c>
      <c r="H735" s="260">
        <f>VLOOKUP(N735,BCDTK!$E$9:$L$132,6,0)</f>
        <v>0</v>
      </c>
      <c r="I735" s="261" t="str">
        <f t="shared" si="75"/>
        <v>&lt;/ct3521&gt;</v>
      </c>
      <c r="J735" s="262"/>
      <c r="K735" s="262"/>
      <c r="L735" s="262"/>
      <c r="M735" s="263"/>
      <c r="N735" s="265">
        <v>3521</v>
      </c>
    </row>
    <row r="736" spans="1:14" x14ac:dyDescent="0.45">
      <c r="A736" s="253" t="str">
        <f t="shared" si="70"/>
        <v>&lt;ct3522&gt;0&lt;/ct3522&gt;</v>
      </c>
      <c r="B736" s="243" t="s">
        <v>1666</v>
      </c>
      <c r="C736" s="244">
        <f t="shared" si="71"/>
        <v>2</v>
      </c>
      <c r="D736" s="244">
        <f t="shared" si="72"/>
        <v>8</v>
      </c>
      <c r="E736" s="244">
        <f t="shared" si="73"/>
        <v>10</v>
      </c>
      <c r="G736" s="259" t="str">
        <f t="shared" si="74"/>
        <v>&lt;ct3522&gt;</v>
      </c>
      <c r="H736" s="260">
        <f>VLOOKUP(N736,BCDTK!$E$9:$L$132,6,0)</f>
        <v>0</v>
      </c>
      <c r="I736" s="261" t="str">
        <f t="shared" si="75"/>
        <v>&lt;/ct3522&gt;</v>
      </c>
      <c r="J736" s="262"/>
      <c r="K736" s="262"/>
      <c r="L736" s="262"/>
      <c r="M736" s="263"/>
      <c r="N736" s="265">
        <v>3522</v>
      </c>
    </row>
    <row r="737" spans="1:14" x14ac:dyDescent="0.45">
      <c r="A737" s="253" t="str">
        <f t="shared" si="70"/>
        <v>&lt;ct3524&gt;0&lt;/ct3524&gt;</v>
      </c>
      <c r="B737" s="243" t="s">
        <v>1667</v>
      </c>
      <c r="C737" s="244">
        <f t="shared" si="71"/>
        <v>2</v>
      </c>
      <c r="D737" s="244">
        <f t="shared" si="72"/>
        <v>8</v>
      </c>
      <c r="E737" s="244">
        <f t="shared" si="73"/>
        <v>10</v>
      </c>
      <c r="G737" s="259" t="str">
        <f t="shared" si="74"/>
        <v>&lt;ct3524&gt;</v>
      </c>
      <c r="H737" s="260">
        <f>VLOOKUP(N737,BCDTK!$E$9:$L$132,6,0)</f>
        <v>0</v>
      </c>
      <c r="I737" s="261" t="str">
        <f t="shared" si="75"/>
        <v>&lt;/ct3524&gt;</v>
      </c>
      <c r="J737" s="262"/>
      <c r="K737" s="262"/>
      <c r="L737" s="262"/>
      <c r="M737" s="263"/>
      <c r="N737" s="265">
        <v>3524</v>
      </c>
    </row>
    <row r="738" spans="1:14" x14ac:dyDescent="0.45">
      <c r="A738" s="253" t="str">
        <f t="shared" si="70"/>
        <v>&lt;ct353&gt;0&lt;/ct353&gt;</v>
      </c>
      <c r="B738" s="243" t="s">
        <v>1668</v>
      </c>
      <c r="C738" s="244">
        <f t="shared" si="71"/>
        <v>2</v>
      </c>
      <c r="D738" s="244">
        <f t="shared" si="72"/>
        <v>7</v>
      </c>
      <c r="E738" s="244">
        <f t="shared" si="73"/>
        <v>9</v>
      </c>
      <c r="G738" s="259" t="str">
        <f t="shared" si="74"/>
        <v>&lt;ct353&gt;</v>
      </c>
      <c r="H738" s="260">
        <f>VLOOKUP(N738,BCDTK!$E$9:$L$132,6,0)</f>
        <v>0</v>
      </c>
      <c r="I738" s="261" t="str">
        <f t="shared" si="75"/>
        <v>&lt;/ct353&gt;</v>
      </c>
      <c r="J738" s="262"/>
      <c r="K738" s="262"/>
      <c r="L738" s="262"/>
      <c r="M738" s="263"/>
      <c r="N738" s="265">
        <v>353</v>
      </c>
    </row>
    <row r="739" spans="1:14" x14ac:dyDescent="0.45">
      <c r="A739" s="253" t="str">
        <f t="shared" si="70"/>
        <v>&lt;ct3531&gt;0&lt;/ct3531&gt;</v>
      </c>
      <c r="B739" s="243" t="s">
        <v>1669</v>
      </c>
      <c r="C739" s="244">
        <f t="shared" si="71"/>
        <v>2</v>
      </c>
      <c r="D739" s="244">
        <f t="shared" si="72"/>
        <v>8</v>
      </c>
      <c r="E739" s="244">
        <f t="shared" si="73"/>
        <v>10</v>
      </c>
      <c r="G739" s="259" t="str">
        <f t="shared" si="74"/>
        <v>&lt;ct3531&gt;</v>
      </c>
      <c r="H739" s="260">
        <f>VLOOKUP(N739,BCDTK!$E$9:$L$132,6,0)</f>
        <v>0</v>
      </c>
      <c r="I739" s="261" t="str">
        <f t="shared" si="75"/>
        <v>&lt;/ct3531&gt;</v>
      </c>
      <c r="J739" s="262"/>
      <c r="K739" s="262"/>
      <c r="L739" s="262"/>
      <c r="M739" s="263"/>
      <c r="N739" s="265">
        <v>3531</v>
      </c>
    </row>
    <row r="740" spans="1:14" x14ac:dyDescent="0.45">
      <c r="A740" s="253" t="str">
        <f t="shared" si="70"/>
        <v>&lt;ct3532&gt;0&lt;/ct3532&gt;</v>
      </c>
      <c r="B740" s="243" t="s">
        <v>1670</v>
      </c>
      <c r="C740" s="244">
        <f t="shared" si="71"/>
        <v>2</v>
      </c>
      <c r="D740" s="244">
        <f t="shared" si="72"/>
        <v>8</v>
      </c>
      <c r="E740" s="244">
        <f t="shared" si="73"/>
        <v>10</v>
      </c>
      <c r="G740" s="259" t="str">
        <f t="shared" si="74"/>
        <v>&lt;ct3532&gt;</v>
      </c>
      <c r="H740" s="260">
        <f>VLOOKUP(N740,BCDTK!$E$9:$L$132,6,0)</f>
        <v>0</v>
      </c>
      <c r="I740" s="261" t="str">
        <f t="shared" si="75"/>
        <v>&lt;/ct3532&gt;</v>
      </c>
      <c r="J740" s="262"/>
      <c r="K740" s="262"/>
      <c r="L740" s="262"/>
      <c r="M740" s="263"/>
      <c r="N740" s="265">
        <v>3532</v>
      </c>
    </row>
    <row r="741" spans="1:14" x14ac:dyDescent="0.45">
      <c r="A741" s="253" t="str">
        <f t="shared" si="70"/>
        <v>&lt;ct3533&gt;0&lt;/ct3533&gt;</v>
      </c>
      <c r="B741" s="243" t="s">
        <v>1671</v>
      </c>
      <c r="C741" s="244">
        <f t="shared" si="71"/>
        <v>2</v>
      </c>
      <c r="D741" s="244">
        <f t="shared" si="72"/>
        <v>8</v>
      </c>
      <c r="E741" s="244">
        <f t="shared" si="73"/>
        <v>10</v>
      </c>
      <c r="G741" s="259" t="str">
        <f t="shared" si="74"/>
        <v>&lt;ct3533&gt;</v>
      </c>
      <c r="H741" s="260">
        <f>VLOOKUP(N741,BCDTK!$E$9:$L$132,6,0)</f>
        <v>0</v>
      </c>
      <c r="I741" s="261" t="str">
        <f t="shared" si="75"/>
        <v>&lt;/ct3533&gt;</v>
      </c>
      <c r="J741" s="262"/>
      <c r="K741" s="262"/>
      <c r="L741" s="262"/>
      <c r="M741" s="263"/>
      <c r="N741" s="265">
        <v>3533</v>
      </c>
    </row>
    <row r="742" spans="1:14" x14ac:dyDescent="0.45">
      <c r="A742" s="253" t="str">
        <f t="shared" si="70"/>
        <v>&lt;ct3534&gt;0&lt;/ct3534&gt;</v>
      </c>
      <c r="B742" s="243" t="s">
        <v>1672</v>
      </c>
      <c r="C742" s="244">
        <f t="shared" si="71"/>
        <v>2</v>
      </c>
      <c r="D742" s="244">
        <f t="shared" si="72"/>
        <v>8</v>
      </c>
      <c r="E742" s="244">
        <f t="shared" si="73"/>
        <v>10</v>
      </c>
      <c r="G742" s="259" t="str">
        <f t="shared" si="74"/>
        <v>&lt;ct3534&gt;</v>
      </c>
      <c r="H742" s="260">
        <f>VLOOKUP(N742,BCDTK!$E$9:$L$132,6,0)</f>
        <v>0</v>
      </c>
      <c r="I742" s="261" t="str">
        <f t="shared" si="75"/>
        <v>&lt;/ct3534&gt;</v>
      </c>
      <c r="J742" s="262"/>
      <c r="K742" s="262"/>
      <c r="L742" s="262"/>
      <c r="M742" s="263"/>
      <c r="N742" s="265">
        <v>3534</v>
      </c>
    </row>
    <row r="743" spans="1:14" x14ac:dyDescent="0.45">
      <c r="A743" s="253" t="str">
        <f t="shared" si="70"/>
        <v>&lt;ct356&gt;0&lt;/ct356&gt;</v>
      </c>
      <c r="B743" s="243" t="s">
        <v>1673</v>
      </c>
      <c r="C743" s="244">
        <f t="shared" si="71"/>
        <v>2</v>
      </c>
      <c r="D743" s="244">
        <f t="shared" si="72"/>
        <v>7</v>
      </c>
      <c r="E743" s="244">
        <f t="shared" si="73"/>
        <v>9</v>
      </c>
      <c r="G743" s="259" t="str">
        <f t="shared" si="74"/>
        <v>&lt;ct356&gt;</v>
      </c>
      <c r="H743" s="260">
        <f>VLOOKUP(N743,BCDTK!$E$9:$L$132,6,0)</f>
        <v>0</v>
      </c>
      <c r="I743" s="261" t="str">
        <f t="shared" si="75"/>
        <v>&lt;/ct356&gt;</v>
      </c>
      <c r="J743" s="262"/>
      <c r="K743" s="262"/>
      <c r="L743" s="262"/>
      <c r="M743" s="263"/>
      <c r="N743" s="265">
        <v>356</v>
      </c>
    </row>
    <row r="744" spans="1:14" x14ac:dyDescent="0.45">
      <c r="A744" s="253" t="str">
        <f t="shared" si="70"/>
        <v>&lt;ct3561&gt;0&lt;/ct3561&gt;</v>
      </c>
      <c r="B744" s="243" t="s">
        <v>1674</v>
      </c>
      <c r="C744" s="244">
        <f t="shared" si="71"/>
        <v>2</v>
      </c>
      <c r="D744" s="244">
        <f t="shared" si="72"/>
        <v>8</v>
      </c>
      <c r="E744" s="244">
        <f t="shared" si="73"/>
        <v>10</v>
      </c>
      <c r="G744" s="259" t="str">
        <f t="shared" si="74"/>
        <v>&lt;ct3561&gt;</v>
      </c>
      <c r="H744" s="260">
        <f>VLOOKUP(N744,BCDTK!$E$9:$L$132,6,0)</f>
        <v>0</v>
      </c>
      <c r="I744" s="261" t="str">
        <f t="shared" si="75"/>
        <v>&lt;/ct3561&gt;</v>
      </c>
      <c r="J744" s="262"/>
      <c r="K744" s="262"/>
      <c r="L744" s="262"/>
      <c r="M744" s="263"/>
      <c r="N744" s="265">
        <v>3561</v>
      </c>
    </row>
    <row r="745" spans="1:14" x14ac:dyDescent="0.45">
      <c r="A745" s="253" t="str">
        <f t="shared" si="70"/>
        <v>&lt;ct3562&gt;0&lt;/ct3562&gt;</v>
      </c>
      <c r="B745" s="243" t="s">
        <v>1675</v>
      </c>
      <c r="C745" s="244">
        <f t="shared" si="71"/>
        <v>2</v>
      </c>
      <c r="D745" s="244">
        <f t="shared" si="72"/>
        <v>8</v>
      </c>
      <c r="E745" s="244">
        <f t="shared" si="73"/>
        <v>10</v>
      </c>
      <c r="G745" s="259" t="str">
        <f t="shared" si="74"/>
        <v>&lt;ct3562&gt;</v>
      </c>
      <c r="H745" s="260">
        <f>VLOOKUP(N745,BCDTK!$E$9:$L$132,6,0)</f>
        <v>0</v>
      </c>
      <c r="I745" s="261" t="str">
        <f t="shared" si="75"/>
        <v>&lt;/ct3562&gt;</v>
      </c>
      <c r="J745" s="262"/>
      <c r="K745" s="262"/>
      <c r="L745" s="262"/>
      <c r="M745" s="263"/>
      <c r="N745" s="265">
        <v>3562</v>
      </c>
    </row>
    <row r="746" spans="1:14" x14ac:dyDescent="0.45">
      <c r="A746" s="253" t="str">
        <f t="shared" si="70"/>
        <v>&lt;ct411&gt;0&lt;/ct411&gt;</v>
      </c>
      <c r="B746" s="243" t="s">
        <v>1498</v>
      </c>
      <c r="C746" s="244">
        <f t="shared" si="71"/>
        <v>2</v>
      </c>
      <c r="D746" s="244">
        <f t="shared" si="72"/>
        <v>7</v>
      </c>
      <c r="E746" s="244">
        <f t="shared" si="73"/>
        <v>18</v>
      </c>
      <c r="G746" s="259" t="str">
        <f t="shared" si="74"/>
        <v>&lt;ct411&gt;</v>
      </c>
      <c r="H746" s="260">
        <f>VLOOKUP(N746,BCDTK!$E$9:$L$132,6,0)</f>
        <v>0</v>
      </c>
      <c r="I746" s="261" t="str">
        <f t="shared" si="75"/>
        <v>&lt;/ct411&gt;</v>
      </c>
      <c r="J746" s="262"/>
      <c r="K746" s="262"/>
      <c r="L746" s="262"/>
      <c r="M746" s="263"/>
      <c r="N746" s="265">
        <v>411</v>
      </c>
    </row>
    <row r="747" spans="1:14" x14ac:dyDescent="0.45">
      <c r="A747" s="253" t="str">
        <f t="shared" si="70"/>
        <v>&lt;ct4111&gt;0&lt;/ct4111&gt;</v>
      </c>
      <c r="B747" s="243" t="s">
        <v>1769</v>
      </c>
      <c r="C747" s="244">
        <f t="shared" si="71"/>
        <v>2</v>
      </c>
      <c r="D747" s="244">
        <f t="shared" si="72"/>
        <v>8</v>
      </c>
      <c r="E747" s="244">
        <f t="shared" si="73"/>
        <v>19</v>
      </c>
      <c r="G747" s="259" t="str">
        <f t="shared" si="74"/>
        <v>&lt;ct4111&gt;</v>
      </c>
      <c r="H747" s="260">
        <f>VLOOKUP(N747,BCDTK!$E$9:$L$132,6,0)</f>
        <v>0</v>
      </c>
      <c r="I747" s="261" t="str">
        <f t="shared" si="75"/>
        <v>&lt;/ct4111&gt;</v>
      </c>
      <c r="J747" s="262"/>
      <c r="K747" s="262"/>
      <c r="L747" s="262"/>
      <c r="M747" s="263"/>
      <c r="N747" s="265">
        <v>4111</v>
      </c>
    </row>
    <row r="748" spans="1:14" x14ac:dyDescent="0.45">
      <c r="A748" s="253" t="str">
        <f t="shared" si="70"/>
        <v>&lt;ct4112&gt;0&lt;/ct4112&gt;</v>
      </c>
      <c r="B748" s="243" t="s">
        <v>1677</v>
      </c>
      <c r="C748" s="244">
        <f t="shared" si="71"/>
        <v>2</v>
      </c>
      <c r="D748" s="244">
        <f t="shared" si="72"/>
        <v>8</v>
      </c>
      <c r="E748" s="244">
        <f t="shared" si="73"/>
        <v>10</v>
      </c>
      <c r="G748" s="259" t="str">
        <f t="shared" si="74"/>
        <v>&lt;ct4112&gt;</v>
      </c>
      <c r="H748" s="260">
        <f>VLOOKUP(N748,BCDTK!$E$9:$L$132,6,0)</f>
        <v>0</v>
      </c>
      <c r="I748" s="261" t="str">
        <f t="shared" si="75"/>
        <v>&lt;/ct4112&gt;</v>
      </c>
      <c r="J748" s="262"/>
      <c r="K748" s="262"/>
      <c r="L748" s="262"/>
      <c r="M748" s="263"/>
      <c r="N748" s="265">
        <v>4112</v>
      </c>
    </row>
    <row r="749" spans="1:14" x14ac:dyDescent="0.45">
      <c r="A749" s="253" t="str">
        <f t="shared" ref="A749:A812" si="76">CONCATENATE(G749,H749,I749)</f>
        <v>&lt;ct4118&gt;0&lt;/ct4118&gt;</v>
      </c>
      <c r="B749" s="243" t="s">
        <v>1678</v>
      </c>
      <c r="C749" s="244">
        <f t="shared" si="71"/>
        <v>2</v>
      </c>
      <c r="D749" s="244">
        <f t="shared" si="72"/>
        <v>8</v>
      </c>
      <c r="E749" s="244">
        <f t="shared" si="73"/>
        <v>10</v>
      </c>
      <c r="G749" s="259" t="str">
        <f t="shared" si="74"/>
        <v>&lt;ct4118&gt;</v>
      </c>
      <c r="H749" s="260">
        <f>VLOOKUP(N749,BCDTK!$E$9:$L$132,6,0)</f>
        <v>0</v>
      </c>
      <c r="I749" s="261" t="str">
        <f t="shared" si="75"/>
        <v>&lt;/ct4118&gt;</v>
      </c>
      <c r="J749" s="262"/>
      <c r="K749" s="262"/>
      <c r="L749" s="262"/>
      <c r="M749" s="263"/>
      <c r="N749" s="265">
        <v>4118</v>
      </c>
    </row>
    <row r="750" spans="1:14" x14ac:dyDescent="0.45">
      <c r="A750" s="253" t="str">
        <f t="shared" si="76"/>
        <v>&lt;ct413&gt;0&lt;/ct413&gt;</v>
      </c>
      <c r="B750" s="243" t="s">
        <v>1735</v>
      </c>
      <c r="C750" s="244">
        <f t="shared" si="71"/>
        <v>2</v>
      </c>
      <c r="D750" s="244">
        <f t="shared" si="72"/>
        <v>7</v>
      </c>
      <c r="E750" s="244">
        <f t="shared" si="73"/>
        <v>16</v>
      </c>
      <c r="G750" s="259" t="str">
        <f t="shared" si="74"/>
        <v>&lt;ct413&gt;</v>
      </c>
      <c r="H750" s="260">
        <f>VLOOKUP(N750,BCDTK!$E$9:$L$132,6,0)</f>
        <v>0</v>
      </c>
      <c r="I750" s="261" t="str">
        <f t="shared" si="75"/>
        <v>&lt;/ct413&gt;</v>
      </c>
      <c r="J750" s="262"/>
      <c r="K750" s="262"/>
      <c r="L750" s="262"/>
      <c r="M750" s="263"/>
      <c r="N750" s="265">
        <v>413</v>
      </c>
    </row>
    <row r="751" spans="1:14" x14ac:dyDescent="0.45">
      <c r="A751" s="253" t="str">
        <f t="shared" si="76"/>
        <v>&lt;ct418&gt;0&lt;/ct418&gt;</v>
      </c>
      <c r="B751" s="243" t="s">
        <v>1679</v>
      </c>
      <c r="C751" s="244">
        <f t="shared" si="71"/>
        <v>2</v>
      </c>
      <c r="D751" s="244">
        <f t="shared" si="72"/>
        <v>7</v>
      </c>
      <c r="E751" s="244">
        <f t="shared" si="73"/>
        <v>9</v>
      </c>
      <c r="G751" s="259" t="str">
        <f t="shared" si="74"/>
        <v>&lt;ct418&gt;</v>
      </c>
      <c r="H751" s="260">
        <f>VLOOKUP(N751,BCDTK!$E$9:$L$132,6,0)</f>
        <v>0</v>
      </c>
      <c r="I751" s="261" t="str">
        <f t="shared" si="75"/>
        <v>&lt;/ct418&gt;</v>
      </c>
      <c r="J751" s="262"/>
      <c r="K751" s="262"/>
      <c r="L751" s="262"/>
      <c r="M751" s="263"/>
      <c r="N751" s="265">
        <v>418</v>
      </c>
    </row>
    <row r="752" spans="1:14" x14ac:dyDescent="0.45">
      <c r="A752" s="253" t="str">
        <f t="shared" si="76"/>
        <v>&lt;ct419&gt;0&lt;/ct419&gt;</v>
      </c>
      <c r="B752" s="243" t="s">
        <v>1680</v>
      </c>
      <c r="C752" s="244">
        <f t="shared" si="71"/>
        <v>2</v>
      </c>
      <c r="D752" s="244">
        <f t="shared" si="72"/>
        <v>7</v>
      </c>
      <c r="E752" s="244">
        <f t="shared" si="73"/>
        <v>9</v>
      </c>
      <c r="G752" s="259" t="str">
        <f t="shared" si="74"/>
        <v>&lt;ct419&gt;</v>
      </c>
      <c r="H752" s="260">
        <f>VLOOKUP(N752,BCDTK!$E$9:$L$132,6,0)</f>
        <v>0</v>
      </c>
      <c r="I752" s="261" t="str">
        <f t="shared" si="75"/>
        <v>&lt;/ct419&gt;</v>
      </c>
      <c r="J752" s="262"/>
      <c r="K752" s="262"/>
      <c r="L752" s="262"/>
      <c r="M752" s="263"/>
      <c r="N752" s="265">
        <v>419</v>
      </c>
    </row>
    <row r="753" spans="1:14" x14ac:dyDescent="0.45">
      <c r="A753" s="253" t="str">
        <f t="shared" si="76"/>
        <v>&lt;ct421&gt;15462661&lt;/ct421&gt;</v>
      </c>
      <c r="B753" s="243" t="s">
        <v>1681</v>
      </c>
      <c r="C753" s="244">
        <f t="shared" si="71"/>
        <v>2</v>
      </c>
      <c r="D753" s="244">
        <f t="shared" si="72"/>
        <v>7</v>
      </c>
      <c r="E753" s="244">
        <f t="shared" si="73"/>
        <v>9</v>
      </c>
      <c r="G753" s="259" t="str">
        <f t="shared" si="74"/>
        <v>&lt;ct421&gt;</v>
      </c>
      <c r="H753" s="260">
        <f>VLOOKUP(N753,BCDTK!$E$9:$L$132,6,0)</f>
        <v>15462661</v>
      </c>
      <c r="I753" s="261" t="str">
        <f t="shared" si="75"/>
        <v>&lt;/ct421&gt;</v>
      </c>
      <c r="J753" s="262"/>
      <c r="K753" s="262"/>
      <c r="L753" s="262"/>
      <c r="M753" s="263"/>
      <c r="N753" s="265">
        <v>421</v>
      </c>
    </row>
    <row r="754" spans="1:14" x14ac:dyDescent="0.45">
      <c r="A754" s="253" t="str">
        <f t="shared" si="76"/>
        <v>&lt;ct4211&gt;0&lt;/ct4211&gt;</v>
      </c>
      <c r="B754" s="243" t="s">
        <v>1682</v>
      </c>
      <c r="C754" s="244">
        <f t="shared" si="71"/>
        <v>2</v>
      </c>
      <c r="D754" s="244">
        <f t="shared" si="72"/>
        <v>8</v>
      </c>
      <c r="E754" s="244">
        <f t="shared" si="73"/>
        <v>10</v>
      </c>
      <c r="G754" s="259" t="str">
        <f t="shared" si="74"/>
        <v>&lt;ct4211&gt;</v>
      </c>
      <c r="H754" s="260">
        <f>VLOOKUP(N754,BCDTK!$E$9:$L$132,6,0)</f>
        <v>0</v>
      </c>
      <c r="I754" s="261" t="str">
        <f t="shared" si="75"/>
        <v>&lt;/ct4211&gt;</v>
      </c>
      <c r="J754" s="262"/>
      <c r="K754" s="262"/>
      <c r="L754" s="262"/>
      <c r="M754" s="263"/>
      <c r="N754" s="265">
        <v>4211</v>
      </c>
    </row>
    <row r="755" spans="1:14" x14ac:dyDescent="0.45">
      <c r="A755" s="253" t="str">
        <f t="shared" si="76"/>
        <v>&lt;ct4212&gt;15462661&lt;/ct4212&gt;</v>
      </c>
      <c r="B755" s="243" t="s">
        <v>1683</v>
      </c>
      <c r="C755" s="244">
        <f t="shared" si="71"/>
        <v>2</v>
      </c>
      <c r="D755" s="244">
        <f t="shared" si="72"/>
        <v>8</v>
      </c>
      <c r="E755" s="244">
        <f t="shared" si="73"/>
        <v>10</v>
      </c>
      <c r="G755" s="259" t="str">
        <f t="shared" si="74"/>
        <v>&lt;ct4212&gt;</v>
      </c>
      <c r="H755" s="260">
        <f>VLOOKUP(N755,BCDTK!$E$9:$L$132,6,0)</f>
        <v>15462661</v>
      </c>
      <c r="I755" s="261" t="str">
        <f t="shared" si="75"/>
        <v>&lt;/ct4212&gt;</v>
      </c>
      <c r="J755" s="262"/>
      <c r="K755" s="262"/>
      <c r="L755" s="262"/>
      <c r="M755" s="263"/>
      <c r="N755" s="265">
        <v>4212</v>
      </c>
    </row>
    <row r="756" spans="1:14" x14ac:dyDescent="0.45">
      <c r="A756" s="253" t="str">
        <f t="shared" si="76"/>
        <v>&lt;ct511&gt;244520964&lt;/ct511&gt;</v>
      </c>
      <c r="B756" s="243" t="s">
        <v>1739</v>
      </c>
      <c r="C756" s="244">
        <f t="shared" si="71"/>
        <v>2</v>
      </c>
      <c r="D756" s="244">
        <f t="shared" si="72"/>
        <v>7</v>
      </c>
      <c r="E756" s="244">
        <f t="shared" si="73"/>
        <v>17</v>
      </c>
      <c r="G756" s="259" t="str">
        <f t="shared" si="74"/>
        <v>&lt;ct511&gt;</v>
      </c>
      <c r="H756" s="260">
        <f>VLOOKUP(N756,BCDTK!$E$9:$L$132,6,0)</f>
        <v>244520964</v>
      </c>
      <c r="I756" s="261" t="str">
        <f t="shared" si="75"/>
        <v>&lt;/ct511&gt;</v>
      </c>
      <c r="J756" s="262"/>
      <c r="K756" s="262"/>
      <c r="L756" s="262"/>
      <c r="M756" s="263"/>
      <c r="N756" s="265">
        <v>511</v>
      </c>
    </row>
    <row r="757" spans="1:14" x14ac:dyDescent="0.45">
      <c r="A757" s="253" t="str">
        <f t="shared" si="76"/>
        <v>&lt;ct5111&gt;0&lt;/ct5111&gt;</v>
      </c>
      <c r="B757" s="243" t="s">
        <v>1685</v>
      </c>
      <c r="C757" s="244">
        <f t="shared" si="71"/>
        <v>2</v>
      </c>
      <c r="D757" s="244">
        <f t="shared" si="72"/>
        <v>8</v>
      </c>
      <c r="E757" s="244">
        <f t="shared" si="73"/>
        <v>10</v>
      </c>
      <c r="G757" s="259" t="str">
        <f t="shared" si="74"/>
        <v>&lt;ct5111&gt;</v>
      </c>
      <c r="H757" s="260">
        <f>VLOOKUP(N757,BCDTK!$E$9:$L$132,6,0)</f>
        <v>0</v>
      </c>
      <c r="I757" s="261" t="str">
        <f t="shared" si="75"/>
        <v>&lt;/ct5111&gt;</v>
      </c>
      <c r="J757" s="262"/>
      <c r="K757" s="262"/>
      <c r="L757" s="262"/>
      <c r="M757" s="263"/>
      <c r="N757" s="265">
        <v>5111</v>
      </c>
    </row>
    <row r="758" spans="1:14" x14ac:dyDescent="0.45">
      <c r="A758" s="253" t="str">
        <f t="shared" si="76"/>
        <v>&lt;ct5112&gt;0&lt;/ct5112&gt;</v>
      </c>
      <c r="B758" s="243" t="s">
        <v>1686</v>
      </c>
      <c r="C758" s="244">
        <f t="shared" si="71"/>
        <v>2</v>
      </c>
      <c r="D758" s="244">
        <f t="shared" si="72"/>
        <v>8</v>
      </c>
      <c r="E758" s="244">
        <f t="shared" si="73"/>
        <v>10</v>
      </c>
      <c r="G758" s="259" t="str">
        <f t="shared" si="74"/>
        <v>&lt;ct5112&gt;</v>
      </c>
      <c r="H758" s="260">
        <f>VLOOKUP(N758,BCDTK!$E$9:$L$132,6,0)</f>
        <v>0</v>
      </c>
      <c r="I758" s="261" t="str">
        <f t="shared" si="75"/>
        <v>&lt;/ct5112&gt;</v>
      </c>
      <c r="J758" s="262"/>
      <c r="K758" s="262"/>
      <c r="L758" s="262"/>
      <c r="M758" s="263"/>
      <c r="N758" s="265">
        <v>5112</v>
      </c>
    </row>
    <row r="759" spans="1:14" x14ac:dyDescent="0.45">
      <c r="A759" s="253" t="str">
        <f t="shared" si="76"/>
        <v>&lt;ct5113&gt;244520964&lt;/ct5113&gt;</v>
      </c>
      <c r="B759" s="243" t="s">
        <v>1740</v>
      </c>
      <c r="C759" s="244">
        <f t="shared" si="71"/>
        <v>2</v>
      </c>
      <c r="D759" s="244">
        <f t="shared" si="72"/>
        <v>8</v>
      </c>
      <c r="E759" s="244">
        <f t="shared" si="73"/>
        <v>18</v>
      </c>
      <c r="G759" s="259" t="str">
        <f t="shared" si="74"/>
        <v>&lt;ct5113&gt;</v>
      </c>
      <c r="H759" s="260">
        <f>VLOOKUP(N759,BCDTK!$E$9:$L$132,6,0)</f>
        <v>244520964</v>
      </c>
      <c r="I759" s="261" t="str">
        <f t="shared" si="75"/>
        <v>&lt;/ct5113&gt;</v>
      </c>
      <c r="J759" s="262"/>
      <c r="K759" s="262"/>
      <c r="L759" s="262"/>
      <c r="M759" s="263"/>
      <c r="N759" s="265">
        <v>5113</v>
      </c>
    </row>
    <row r="760" spans="1:14" x14ac:dyDescent="0.45">
      <c r="A760" s="253" t="str">
        <f t="shared" si="76"/>
        <v>&lt;ct5118&gt;0&lt;/ct5118&gt;</v>
      </c>
      <c r="B760" s="243" t="s">
        <v>1688</v>
      </c>
      <c r="C760" s="244">
        <f t="shared" si="71"/>
        <v>2</v>
      </c>
      <c r="D760" s="244">
        <f t="shared" si="72"/>
        <v>8</v>
      </c>
      <c r="E760" s="244">
        <f t="shared" si="73"/>
        <v>10</v>
      </c>
      <c r="G760" s="259" t="str">
        <f t="shared" si="74"/>
        <v>&lt;ct5118&gt;</v>
      </c>
      <c r="H760" s="260">
        <f>VLOOKUP(N760,BCDTK!$E$9:$L$132,6,0)</f>
        <v>0</v>
      </c>
      <c r="I760" s="261" t="str">
        <f t="shared" si="75"/>
        <v>&lt;/ct5118&gt;</v>
      </c>
      <c r="J760" s="262"/>
      <c r="K760" s="262"/>
      <c r="L760" s="262"/>
      <c r="M760" s="263"/>
      <c r="N760" s="265">
        <v>5118</v>
      </c>
    </row>
    <row r="761" spans="1:14" x14ac:dyDescent="0.45">
      <c r="A761" s="253" t="str">
        <f t="shared" si="76"/>
        <v>&lt;ct515&gt;161&lt;/ct515&gt;</v>
      </c>
      <c r="B761" s="243" t="s">
        <v>1741</v>
      </c>
      <c r="C761" s="244">
        <f t="shared" si="71"/>
        <v>2</v>
      </c>
      <c r="D761" s="244">
        <f t="shared" si="72"/>
        <v>7</v>
      </c>
      <c r="E761" s="244">
        <f t="shared" si="73"/>
        <v>15</v>
      </c>
      <c r="G761" s="259" t="str">
        <f t="shared" si="74"/>
        <v>&lt;ct515&gt;</v>
      </c>
      <c r="H761" s="260">
        <f>VLOOKUP(N761,BCDTK!$E$9:$L$132,6,0)</f>
        <v>161</v>
      </c>
      <c r="I761" s="261" t="str">
        <f t="shared" si="75"/>
        <v>&lt;/ct515&gt;</v>
      </c>
      <c r="J761" s="262"/>
      <c r="K761" s="262"/>
      <c r="L761" s="262"/>
      <c r="M761" s="263"/>
      <c r="N761" s="265">
        <v>515</v>
      </c>
    </row>
    <row r="762" spans="1:14" x14ac:dyDescent="0.45">
      <c r="A762" s="253" t="str">
        <f t="shared" si="76"/>
        <v>&lt;ct611&gt;0&lt;/ct611&gt;</v>
      </c>
      <c r="B762" s="243" t="s">
        <v>1690</v>
      </c>
      <c r="C762" s="244">
        <f t="shared" si="71"/>
        <v>2</v>
      </c>
      <c r="D762" s="244">
        <f t="shared" si="72"/>
        <v>7</v>
      </c>
      <c r="E762" s="244">
        <f t="shared" si="73"/>
        <v>9</v>
      </c>
      <c r="G762" s="259" t="str">
        <f t="shared" si="74"/>
        <v>&lt;ct611&gt;</v>
      </c>
      <c r="H762" s="260">
        <f>VLOOKUP(N762,BCDTK!$E$9:$L$132,6,0)</f>
        <v>0</v>
      </c>
      <c r="I762" s="261" t="str">
        <f t="shared" si="75"/>
        <v>&lt;/ct611&gt;</v>
      </c>
      <c r="J762" s="262"/>
      <c r="K762" s="262"/>
      <c r="L762" s="262"/>
      <c r="M762" s="263"/>
      <c r="N762" s="265">
        <v>611</v>
      </c>
    </row>
    <row r="763" spans="1:14" x14ac:dyDescent="0.45">
      <c r="A763" s="253" t="str">
        <f t="shared" si="76"/>
        <v>&lt;ct631&gt;0&lt;/ct631&gt;</v>
      </c>
      <c r="B763" s="243" t="s">
        <v>1691</v>
      </c>
      <c r="C763" s="244">
        <f t="shared" si="71"/>
        <v>2</v>
      </c>
      <c r="D763" s="244">
        <f t="shared" si="72"/>
        <v>7</v>
      </c>
      <c r="E763" s="244">
        <f t="shared" si="73"/>
        <v>9</v>
      </c>
      <c r="G763" s="259" t="str">
        <f t="shared" si="74"/>
        <v>&lt;ct631&gt;</v>
      </c>
      <c r="H763" s="260">
        <f>VLOOKUP(N763,BCDTK!$E$9:$L$132,6,0)</f>
        <v>0</v>
      </c>
      <c r="I763" s="261" t="str">
        <f t="shared" si="75"/>
        <v>&lt;/ct631&gt;</v>
      </c>
      <c r="J763" s="262"/>
      <c r="K763" s="262"/>
      <c r="L763" s="262"/>
      <c r="M763" s="263"/>
      <c r="N763" s="265">
        <v>631</v>
      </c>
    </row>
    <row r="764" spans="1:14" x14ac:dyDescent="0.45">
      <c r="A764" s="253" t="str">
        <f t="shared" si="76"/>
        <v>&lt;ct632&gt;183572894&lt;/ct632&gt;</v>
      </c>
      <c r="B764" s="243" t="s">
        <v>1742</v>
      </c>
      <c r="C764" s="244">
        <f t="shared" si="71"/>
        <v>2</v>
      </c>
      <c r="D764" s="244">
        <f t="shared" si="72"/>
        <v>7</v>
      </c>
      <c r="E764" s="244">
        <f t="shared" si="73"/>
        <v>16</v>
      </c>
      <c r="G764" s="259" t="str">
        <f t="shared" si="74"/>
        <v>&lt;ct632&gt;</v>
      </c>
      <c r="H764" s="260">
        <f>VLOOKUP(N764,BCDTK!$E$9:$L$132,6,0)</f>
        <v>183572894</v>
      </c>
      <c r="I764" s="261" t="str">
        <f t="shared" si="75"/>
        <v>&lt;/ct632&gt;</v>
      </c>
      <c r="J764" s="262"/>
      <c r="K764" s="262"/>
      <c r="L764" s="262"/>
      <c r="M764" s="263"/>
      <c r="N764" s="265">
        <v>632</v>
      </c>
    </row>
    <row r="765" spans="1:14" x14ac:dyDescent="0.45">
      <c r="A765" s="253" t="str">
        <f t="shared" si="76"/>
        <v>&lt;ct635&gt;2573376&lt;/ct635&gt;</v>
      </c>
      <c r="B765" s="243" t="s">
        <v>1743</v>
      </c>
      <c r="C765" s="244">
        <f t="shared" si="71"/>
        <v>2</v>
      </c>
      <c r="D765" s="244">
        <f t="shared" si="72"/>
        <v>7</v>
      </c>
      <c r="E765" s="244">
        <f t="shared" si="73"/>
        <v>16</v>
      </c>
      <c r="G765" s="259" t="str">
        <f t="shared" si="74"/>
        <v>&lt;ct635&gt;</v>
      </c>
      <c r="H765" s="260">
        <f>VLOOKUP(N765,BCDTK!$E$9:$L$132,6,0)</f>
        <v>2573376</v>
      </c>
      <c r="I765" s="261" t="str">
        <f t="shared" si="75"/>
        <v>&lt;/ct635&gt;</v>
      </c>
      <c r="J765" s="262"/>
      <c r="K765" s="262"/>
      <c r="L765" s="262"/>
      <c r="M765" s="263"/>
      <c r="N765" s="265">
        <v>635</v>
      </c>
    </row>
    <row r="766" spans="1:14" x14ac:dyDescent="0.45">
      <c r="A766" s="253" t="str">
        <f t="shared" si="76"/>
        <v>&lt;ct642&gt;46432205&lt;/ct642&gt;</v>
      </c>
      <c r="B766" s="243" t="s">
        <v>1744</v>
      </c>
      <c r="C766" s="244">
        <f t="shared" si="71"/>
        <v>2</v>
      </c>
      <c r="D766" s="244">
        <f t="shared" si="72"/>
        <v>7</v>
      </c>
      <c r="E766" s="244">
        <f t="shared" si="73"/>
        <v>18</v>
      </c>
      <c r="G766" s="259" t="str">
        <f t="shared" si="74"/>
        <v>&lt;ct642&gt;</v>
      </c>
      <c r="H766" s="260">
        <f>VLOOKUP(N766,BCDTK!$E$9:$L$132,6,0)</f>
        <v>46432205</v>
      </c>
      <c r="I766" s="261" t="str">
        <f t="shared" si="75"/>
        <v>&lt;/ct642&gt;</v>
      </c>
      <c r="J766" s="262"/>
      <c r="K766" s="262"/>
      <c r="L766" s="262"/>
      <c r="M766" s="263"/>
      <c r="N766" s="265">
        <v>642</v>
      </c>
    </row>
    <row r="767" spans="1:14" x14ac:dyDescent="0.45">
      <c r="A767" s="253" t="str">
        <f t="shared" si="76"/>
        <v>&lt;ct6421&gt;46432205&lt;/ct6421&gt;</v>
      </c>
      <c r="B767" s="243" t="s">
        <v>1695</v>
      </c>
      <c r="C767" s="244">
        <f t="shared" si="71"/>
        <v>2</v>
      </c>
      <c r="D767" s="244">
        <f t="shared" si="72"/>
        <v>8</v>
      </c>
      <c r="E767" s="244">
        <f t="shared" si="73"/>
        <v>10</v>
      </c>
      <c r="G767" s="259" t="str">
        <f t="shared" si="74"/>
        <v>&lt;ct6421&gt;</v>
      </c>
      <c r="H767" s="260">
        <f>VLOOKUP(N767,BCDTK!$E$9:$L$132,6,0)</f>
        <v>46432205</v>
      </c>
      <c r="I767" s="261" t="str">
        <f t="shared" si="75"/>
        <v>&lt;/ct6421&gt;</v>
      </c>
      <c r="J767" s="262"/>
      <c r="K767" s="262"/>
      <c r="L767" s="262"/>
      <c r="M767" s="263"/>
      <c r="N767" s="265">
        <v>6421</v>
      </c>
    </row>
    <row r="768" spans="1:14" x14ac:dyDescent="0.45">
      <c r="A768" s="253" t="str">
        <f t="shared" si="76"/>
        <v>&lt;ct6422&gt;0&lt;/ct6422&gt;</v>
      </c>
      <c r="B768" s="243" t="s">
        <v>1745</v>
      </c>
      <c r="C768" s="244">
        <f t="shared" si="71"/>
        <v>2</v>
      </c>
      <c r="D768" s="244">
        <f t="shared" si="72"/>
        <v>8</v>
      </c>
      <c r="E768" s="244">
        <f t="shared" si="73"/>
        <v>19</v>
      </c>
      <c r="G768" s="259" t="str">
        <f t="shared" si="74"/>
        <v>&lt;ct6422&gt;</v>
      </c>
      <c r="H768" s="260">
        <f>VLOOKUP(N768,BCDTK!$E$9:$L$132,6,0)</f>
        <v>0</v>
      </c>
      <c r="I768" s="261" t="str">
        <f t="shared" si="75"/>
        <v>&lt;/ct6422&gt;</v>
      </c>
      <c r="J768" s="262"/>
      <c r="K768" s="262"/>
      <c r="L768" s="262"/>
      <c r="M768" s="263"/>
      <c r="N768" s="265">
        <v>6422</v>
      </c>
    </row>
    <row r="769" spans="1:14" x14ac:dyDescent="0.45">
      <c r="A769" s="253" t="str">
        <f t="shared" si="76"/>
        <v>&lt;ct711&gt;5555556&lt;/ct711&gt;</v>
      </c>
      <c r="B769" s="243" t="s">
        <v>1697</v>
      </c>
      <c r="C769" s="244">
        <f t="shared" si="71"/>
        <v>2</v>
      </c>
      <c r="D769" s="244">
        <f t="shared" si="72"/>
        <v>7</v>
      </c>
      <c r="E769" s="244">
        <f t="shared" si="73"/>
        <v>9</v>
      </c>
      <c r="G769" s="259" t="str">
        <f t="shared" si="74"/>
        <v>&lt;ct711&gt;</v>
      </c>
      <c r="H769" s="260">
        <f>VLOOKUP(N769,BCDTK!$E$9:$L$132,6,0)</f>
        <v>5555556</v>
      </c>
      <c r="I769" s="261" t="str">
        <f t="shared" si="75"/>
        <v>&lt;/ct711&gt;</v>
      </c>
      <c r="J769" s="262"/>
      <c r="K769" s="262"/>
      <c r="L769" s="262"/>
      <c r="M769" s="263"/>
      <c r="N769" s="265">
        <v>711</v>
      </c>
    </row>
    <row r="770" spans="1:14" x14ac:dyDescent="0.45">
      <c r="A770" s="253" t="str">
        <f t="shared" si="76"/>
        <v>&lt;ct811&gt;7540197&lt;/ct811&gt;</v>
      </c>
      <c r="B770" s="243" t="s">
        <v>1746</v>
      </c>
      <c r="C770" s="244">
        <f t="shared" si="71"/>
        <v>2</v>
      </c>
      <c r="D770" s="244">
        <f t="shared" si="72"/>
        <v>7</v>
      </c>
      <c r="E770" s="244">
        <f t="shared" si="73"/>
        <v>17</v>
      </c>
      <c r="G770" s="259" t="str">
        <f t="shared" si="74"/>
        <v>&lt;ct811&gt;</v>
      </c>
      <c r="H770" s="260">
        <f>VLOOKUP(N770,BCDTK!$E$9:$L$132,6,0)</f>
        <v>7540197</v>
      </c>
      <c r="I770" s="261" t="str">
        <f t="shared" si="75"/>
        <v>&lt;/ct811&gt;</v>
      </c>
      <c r="J770" s="262"/>
      <c r="K770" s="262"/>
      <c r="L770" s="262"/>
      <c r="M770" s="263"/>
      <c r="N770" s="265">
        <v>811</v>
      </c>
    </row>
    <row r="771" spans="1:14" x14ac:dyDescent="0.45">
      <c r="A771" s="253" t="str">
        <f t="shared" si="76"/>
        <v>&lt;ct821&gt;2035545&lt;/ct821&gt;</v>
      </c>
      <c r="B771" s="243" t="s">
        <v>1699</v>
      </c>
      <c r="C771" s="244">
        <f t="shared" si="71"/>
        <v>2</v>
      </c>
      <c r="D771" s="244">
        <f t="shared" si="72"/>
        <v>7</v>
      </c>
      <c r="E771" s="244">
        <f t="shared" si="73"/>
        <v>9</v>
      </c>
      <c r="G771" s="259" t="str">
        <f t="shared" si="74"/>
        <v>&lt;ct821&gt;</v>
      </c>
      <c r="H771" s="260">
        <f>VLOOKUP(N771,BCDTK!$E$9:$L$132,6,0)</f>
        <v>2035545</v>
      </c>
      <c r="I771" s="261" t="str">
        <f t="shared" si="75"/>
        <v>&lt;/ct821&gt;</v>
      </c>
      <c r="J771" s="262"/>
      <c r="K771" s="262"/>
      <c r="L771" s="262"/>
      <c r="M771" s="263"/>
      <c r="N771" s="265">
        <v>821</v>
      </c>
    </row>
    <row r="772" spans="1:14" x14ac:dyDescent="0.45">
      <c r="A772" s="253" t="str">
        <f t="shared" si="76"/>
        <v>&lt;ct911&gt;250076681&lt;/ct911&gt;</v>
      </c>
      <c r="B772" s="243" t="s">
        <v>1747</v>
      </c>
      <c r="C772" s="244">
        <f t="shared" si="71"/>
        <v>2</v>
      </c>
      <c r="D772" s="244">
        <f t="shared" si="72"/>
        <v>7</v>
      </c>
      <c r="E772" s="244">
        <f t="shared" si="73"/>
        <v>18</v>
      </c>
      <c r="G772" s="259" t="str">
        <f t="shared" si="74"/>
        <v>&lt;ct911&gt;</v>
      </c>
      <c r="H772" s="260">
        <f>VLOOKUP(N772,BCDTK!$E$9:$L$132,6,0)</f>
        <v>250076681</v>
      </c>
      <c r="I772" s="261" t="str">
        <f t="shared" si="75"/>
        <v>&lt;/ct911&gt;</v>
      </c>
      <c r="J772" s="262"/>
      <c r="K772" s="262"/>
      <c r="L772" s="262"/>
      <c r="M772" s="263"/>
      <c r="N772" s="265">
        <v>911</v>
      </c>
    </row>
    <row r="773" spans="1:14" x14ac:dyDescent="0.45">
      <c r="A773" s="253" t="str">
        <f t="shared" si="76"/>
        <v>&lt;tongCong&gt;2698057779&lt;/tongCong&gt;</v>
      </c>
      <c r="B773" s="243" t="s">
        <v>1748</v>
      </c>
      <c r="C773" s="244">
        <f t="shared" si="71"/>
        <v>2</v>
      </c>
      <c r="D773" s="244">
        <f t="shared" si="72"/>
        <v>10</v>
      </c>
      <c r="E773" s="244">
        <f t="shared" si="73"/>
        <v>22</v>
      </c>
      <c r="G773" s="259" t="str">
        <f t="shared" si="74"/>
        <v>&lt;tongCong&gt;</v>
      </c>
      <c r="H773" s="260">
        <f>VLOOKUP(N773,BCDTK!$E$9:$L$132,6,0)</f>
        <v>2698057779</v>
      </c>
      <c r="I773" s="261" t="str">
        <f t="shared" si="75"/>
        <v>&lt;/tongCong&gt;</v>
      </c>
      <c r="J773" s="262"/>
      <c r="K773" s="262"/>
      <c r="L773" s="262"/>
      <c r="M773" s="263"/>
      <c r="N773" s="265" t="s">
        <v>1794</v>
      </c>
    </row>
    <row r="774" spans="1:14" x14ac:dyDescent="0.45">
      <c r="A774" s="253" t="str">
        <f t="shared" si="76"/>
        <v>&lt;/Co&gt;</v>
      </c>
      <c r="B774" s="243" t="s">
        <v>1704</v>
      </c>
      <c r="C774" s="244">
        <f t="shared" si="71"/>
        <v>1</v>
      </c>
      <c r="D774" s="244">
        <f t="shared" si="72"/>
        <v>5</v>
      </c>
      <c r="E774" s="244">
        <f t="shared" si="73"/>
        <v>1</v>
      </c>
      <c r="G774" s="259" t="str">
        <f t="shared" si="74"/>
        <v>&lt;/Co&gt;</v>
      </c>
      <c r="H774" s="260"/>
      <c r="I774" s="261" t="str">
        <f t="shared" si="75"/>
        <v/>
      </c>
      <c r="J774" s="262"/>
      <c r="K774" s="262"/>
      <c r="L774" s="262"/>
      <c r="M774" s="263"/>
      <c r="N774" s="265"/>
    </row>
    <row r="775" spans="1:14" x14ac:dyDescent="0.45">
      <c r="A775" s="253" t="str">
        <f t="shared" si="76"/>
        <v>&lt;/SoPhatSinhTrongKy&gt;</v>
      </c>
      <c r="B775" s="243" t="s">
        <v>1770</v>
      </c>
      <c r="C775" s="244">
        <f t="shared" si="71"/>
        <v>1</v>
      </c>
      <c r="D775" s="244">
        <f t="shared" si="72"/>
        <v>20</v>
      </c>
      <c r="E775" s="244">
        <f t="shared" si="73"/>
        <v>1</v>
      </c>
      <c r="G775" s="259" t="str">
        <f t="shared" si="74"/>
        <v>&lt;/SoPhatSinhTrongKy&gt;</v>
      </c>
      <c r="H775" s="260"/>
      <c r="I775" s="261" t="str">
        <f t="shared" si="75"/>
        <v/>
      </c>
      <c r="J775" s="262"/>
      <c r="K775" s="262"/>
      <c r="L775" s="262"/>
      <c r="M775" s="263"/>
      <c r="N775" s="265"/>
    </row>
    <row r="776" spans="1:14" x14ac:dyDescent="0.45">
      <c r="A776" s="253" t="str">
        <f t="shared" si="76"/>
        <v>&lt;SoDuCuoiKy&gt;</v>
      </c>
      <c r="B776" s="243" t="s">
        <v>1771</v>
      </c>
      <c r="C776" s="244">
        <f t="shared" si="71"/>
        <v>1</v>
      </c>
      <c r="D776" s="244">
        <f t="shared" si="72"/>
        <v>12</v>
      </c>
      <c r="E776" s="244" t="str">
        <f t="shared" si="73"/>
        <v/>
      </c>
      <c r="G776" s="259" t="str">
        <f t="shared" si="74"/>
        <v>&lt;SoDuCuoiKy&gt;</v>
      </c>
      <c r="H776" s="260"/>
      <c r="I776" s="261" t="str">
        <f t="shared" si="75"/>
        <v/>
      </c>
      <c r="J776" s="262"/>
      <c r="K776" s="262"/>
      <c r="L776" s="262"/>
      <c r="M776" s="263"/>
      <c r="N776" s="265"/>
    </row>
    <row r="777" spans="1:14" x14ac:dyDescent="0.45">
      <c r="A777" s="253" t="str">
        <f t="shared" si="76"/>
        <v>&lt;No&gt;</v>
      </c>
      <c r="B777" s="243" t="s">
        <v>1586</v>
      </c>
      <c r="C777" s="244">
        <f t="shared" si="71"/>
        <v>1</v>
      </c>
      <c r="D777" s="244">
        <f t="shared" si="72"/>
        <v>4</v>
      </c>
      <c r="E777" s="244" t="str">
        <f t="shared" si="73"/>
        <v/>
      </c>
      <c r="G777" s="259" t="str">
        <f t="shared" si="74"/>
        <v>&lt;No&gt;</v>
      </c>
      <c r="H777" s="260"/>
      <c r="I777" s="261" t="str">
        <f t="shared" si="75"/>
        <v/>
      </c>
      <c r="J777" s="262"/>
      <c r="K777" s="262"/>
      <c r="L777" s="262"/>
      <c r="M777" s="263"/>
      <c r="N777" s="265"/>
    </row>
    <row r="778" spans="1:14" x14ac:dyDescent="0.45">
      <c r="A778" s="253" t="str">
        <f t="shared" si="76"/>
        <v>&lt;ct111&gt;297125444&lt;/ct111&gt;</v>
      </c>
      <c r="B778" s="243" t="s">
        <v>1772</v>
      </c>
      <c r="C778" s="244">
        <f t="shared" si="71"/>
        <v>2</v>
      </c>
      <c r="D778" s="244">
        <f t="shared" si="72"/>
        <v>7</v>
      </c>
      <c r="E778" s="244">
        <f t="shared" si="73"/>
        <v>16</v>
      </c>
      <c r="G778" s="259" t="str">
        <f t="shared" si="74"/>
        <v>&lt;ct111&gt;</v>
      </c>
      <c r="H778" s="260">
        <f>VLOOKUP(N778,BCDTK!$E$9:$L$132,7,0)</f>
        <v>297125444</v>
      </c>
      <c r="I778" s="261" t="str">
        <f t="shared" si="75"/>
        <v>&lt;/ct111&gt;</v>
      </c>
      <c r="J778" s="262"/>
      <c r="K778" s="262"/>
      <c r="L778" s="262"/>
      <c r="M778" s="263"/>
      <c r="N778" s="265">
        <v>111</v>
      </c>
    </row>
    <row r="779" spans="1:14" x14ac:dyDescent="0.45">
      <c r="A779" s="253" t="str">
        <f t="shared" si="76"/>
        <v>&lt;ct1111&gt;297125444&lt;/ct1111&gt;</v>
      </c>
      <c r="B779" s="243" t="s">
        <v>1773</v>
      </c>
      <c r="C779" s="244">
        <f t="shared" si="71"/>
        <v>2</v>
      </c>
      <c r="D779" s="244">
        <f t="shared" si="72"/>
        <v>8</v>
      </c>
      <c r="E779" s="244">
        <f t="shared" si="73"/>
        <v>17</v>
      </c>
      <c r="G779" s="259" t="str">
        <f t="shared" si="74"/>
        <v>&lt;ct1111&gt;</v>
      </c>
      <c r="H779" s="260">
        <f>VLOOKUP(N779,BCDTK!$E$9:$L$132,7,0)</f>
        <v>297125444</v>
      </c>
      <c r="I779" s="261" t="str">
        <f t="shared" si="75"/>
        <v>&lt;/ct1111&gt;</v>
      </c>
      <c r="J779" s="262"/>
      <c r="K779" s="262"/>
      <c r="L779" s="262"/>
      <c r="M779" s="263"/>
      <c r="N779" s="265">
        <v>1111</v>
      </c>
    </row>
    <row r="780" spans="1:14" x14ac:dyDescent="0.45">
      <c r="A780" s="253" t="str">
        <f t="shared" si="76"/>
        <v>&lt;ct1112&gt;0&lt;/ct1112&gt;</v>
      </c>
      <c r="B780" s="243" t="s">
        <v>1589</v>
      </c>
      <c r="C780" s="244">
        <f t="shared" si="71"/>
        <v>2</v>
      </c>
      <c r="D780" s="244">
        <f t="shared" si="72"/>
        <v>8</v>
      </c>
      <c r="E780" s="244">
        <f t="shared" si="73"/>
        <v>10</v>
      </c>
      <c r="G780" s="259" t="str">
        <f t="shared" si="74"/>
        <v>&lt;ct1112&gt;</v>
      </c>
      <c r="H780" s="260">
        <f>VLOOKUP(N780,BCDTK!$E$9:$L$132,7,0)</f>
        <v>0</v>
      </c>
      <c r="I780" s="261" t="str">
        <f t="shared" si="75"/>
        <v>&lt;/ct1112&gt;</v>
      </c>
      <c r="J780" s="262"/>
      <c r="K780" s="262"/>
      <c r="L780" s="262"/>
      <c r="M780" s="263"/>
      <c r="N780" s="265">
        <v>1112</v>
      </c>
    </row>
    <row r="781" spans="1:14" x14ac:dyDescent="0.45">
      <c r="A781" s="253" t="str">
        <f t="shared" si="76"/>
        <v>&lt;ct112&gt;143106&lt;/ct112&gt;</v>
      </c>
      <c r="B781" s="243" t="s">
        <v>1774</v>
      </c>
      <c r="C781" s="244">
        <f t="shared" si="71"/>
        <v>2</v>
      </c>
      <c r="D781" s="244">
        <f t="shared" si="72"/>
        <v>7</v>
      </c>
      <c r="E781" s="244">
        <f t="shared" si="73"/>
        <v>17</v>
      </c>
      <c r="G781" s="259" t="str">
        <f t="shared" si="74"/>
        <v>&lt;ct112&gt;</v>
      </c>
      <c r="H781" s="260">
        <f>VLOOKUP(N781,BCDTK!$E$9:$L$132,7,0)</f>
        <v>143106</v>
      </c>
      <c r="I781" s="261" t="str">
        <f t="shared" si="75"/>
        <v>&lt;/ct112&gt;</v>
      </c>
      <c r="J781" s="262"/>
      <c r="K781" s="262"/>
      <c r="L781" s="262"/>
      <c r="M781" s="263"/>
      <c r="N781" s="265">
        <v>112</v>
      </c>
    </row>
    <row r="782" spans="1:14" x14ac:dyDescent="0.45">
      <c r="A782" s="253" t="str">
        <f t="shared" si="76"/>
        <v>&lt;ct1121&gt;143106&lt;/ct1121&gt;</v>
      </c>
      <c r="B782" s="243" t="s">
        <v>1775</v>
      </c>
      <c r="C782" s="244">
        <f t="shared" si="71"/>
        <v>2</v>
      </c>
      <c r="D782" s="244">
        <f t="shared" si="72"/>
        <v>8</v>
      </c>
      <c r="E782" s="244">
        <f t="shared" si="73"/>
        <v>18</v>
      </c>
      <c r="G782" s="259" t="str">
        <f t="shared" si="74"/>
        <v>&lt;ct1121&gt;</v>
      </c>
      <c r="H782" s="260">
        <f>VLOOKUP(N782,BCDTK!$E$9:$L$132,7,0)</f>
        <v>143106</v>
      </c>
      <c r="I782" s="261" t="str">
        <f t="shared" si="75"/>
        <v>&lt;/ct1121&gt;</v>
      </c>
      <c r="J782" s="262"/>
      <c r="K782" s="262"/>
      <c r="L782" s="262"/>
      <c r="M782" s="263"/>
      <c r="N782" s="265">
        <v>1121</v>
      </c>
    </row>
    <row r="783" spans="1:14" x14ac:dyDescent="0.45">
      <c r="A783" s="253" t="str">
        <f t="shared" si="76"/>
        <v>&lt;ct1122&gt;0&lt;/ct1122&gt;</v>
      </c>
      <c r="B783" s="243" t="s">
        <v>1592</v>
      </c>
      <c r="C783" s="244">
        <f t="shared" si="71"/>
        <v>2</v>
      </c>
      <c r="D783" s="244">
        <f t="shared" si="72"/>
        <v>8</v>
      </c>
      <c r="E783" s="244">
        <f t="shared" si="73"/>
        <v>10</v>
      </c>
      <c r="G783" s="259" t="str">
        <f t="shared" si="74"/>
        <v>&lt;ct1122&gt;</v>
      </c>
      <c r="H783" s="260">
        <f>VLOOKUP(N783,BCDTK!$E$9:$L$132,7,0)</f>
        <v>0</v>
      </c>
      <c r="I783" s="261" t="str">
        <f t="shared" si="75"/>
        <v>&lt;/ct1122&gt;</v>
      </c>
      <c r="J783" s="262"/>
      <c r="K783" s="262"/>
      <c r="L783" s="262"/>
      <c r="M783" s="263"/>
      <c r="N783" s="265">
        <v>1122</v>
      </c>
    </row>
    <row r="784" spans="1:14" x14ac:dyDescent="0.45">
      <c r="A784" s="253" t="str">
        <f t="shared" si="76"/>
        <v>&lt;ct121&gt;0&lt;/ct121&gt;</v>
      </c>
      <c r="B784" s="243" t="s">
        <v>1461</v>
      </c>
      <c r="C784" s="244">
        <f t="shared" si="71"/>
        <v>2</v>
      </c>
      <c r="D784" s="244">
        <f t="shared" si="72"/>
        <v>7</v>
      </c>
      <c r="E784" s="244">
        <f t="shared" si="73"/>
        <v>9</v>
      </c>
      <c r="G784" s="259" t="str">
        <f t="shared" si="74"/>
        <v>&lt;ct121&gt;</v>
      </c>
      <c r="H784" s="260">
        <f>VLOOKUP(N784,BCDTK!$E$9:$L$132,7,0)</f>
        <v>0</v>
      </c>
      <c r="I784" s="261" t="str">
        <f t="shared" si="75"/>
        <v>&lt;/ct121&gt;</v>
      </c>
      <c r="J784" s="262"/>
      <c r="K784" s="262"/>
      <c r="L784" s="262"/>
      <c r="M784" s="263"/>
      <c r="N784" s="265">
        <v>121</v>
      </c>
    </row>
    <row r="785" spans="1:14" x14ac:dyDescent="0.45">
      <c r="A785" s="253" t="str">
        <f t="shared" si="76"/>
        <v>&lt;ct128&gt;0&lt;/ct128&gt;</v>
      </c>
      <c r="B785" s="243" t="s">
        <v>1593</v>
      </c>
      <c r="C785" s="244">
        <f t="shared" si="71"/>
        <v>2</v>
      </c>
      <c r="D785" s="244">
        <f t="shared" si="72"/>
        <v>7</v>
      </c>
      <c r="E785" s="244">
        <f t="shared" si="73"/>
        <v>9</v>
      </c>
      <c r="G785" s="259" t="str">
        <f t="shared" si="74"/>
        <v>&lt;ct128&gt;</v>
      </c>
      <c r="H785" s="260">
        <f>VLOOKUP(N785,BCDTK!$E$9:$L$132,7,0)</f>
        <v>0</v>
      </c>
      <c r="I785" s="261" t="str">
        <f t="shared" si="75"/>
        <v>&lt;/ct128&gt;</v>
      </c>
      <c r="J785" s="262"/>
      <c r="K785" s="262"/>
      <c r="L785" s="262"/>
      <c r="M785" s="263"/>
      <c r="N785" s="265">
        <v>128</v>
      </c>
    </row>
    <row r="786" spans="1:14" x14ac:dyDescent="0.45">
      <c r="A786" s="253" t="str">
        <f t="shared" si="76"/>
        <v>&lt;ct1281&gt;0&lt;/ct1281&gt;</v>
      </c>
      <c r="B786" s="243" t="s">
        <v>1594</v>
      </c>
      <c r="C786" s="244">
        <f t="shared" si="71"/>
        <v>2</v>
      </c>
      <c r="D786" s="244">
        <f t="shared" si="72"/>
        <v>8</v>
      </c>
      <c r="E786" s="244">
        <f t="shared" si="73"/>
        <v>10</v>
      </c>
      <c r="G786" s="259" t="str">
        <f t="shared" si="74"/>
        <v>&lt;ct1281&gt;</v>
      </c>
      <c r="H786" s="260">
        <f>VLOOKUP(N786,BCDTK!$E$9:$L$132,7,0)</f>
        <v>0</v>
      </c>
      <c r="I786" s="261" t="str">
        <f t="shared" si="75"/>
        <v>&lt;/ct1281&gt;</v>
      </c>
      <c r="J786" s="262"/>
      <c r="K786" s="262"/>
      <c r="L786" s="262"/>
      <c r="M786" s="263"/>
      <c r="N786" s="265">
        <v>1281</v>
      </c>
    </row>
    <row r="787" spans="1:14" x14ac:dyDescent="0.45">
      <c r="A787" s="253" t="str">
        <f t="shared" si="76"/>
        <v>&lt;ct1288&gt;0&lt;/ct1288&gt;</v>
      </c>
      <c r="B787" s="243" t="s">
        <v>1595</v>
      </c>
      <c r="C787" s="244">
        <f t="shared" si="71"/>
        <v>2</v>
      </c>
      <c r="D787" s="244">
        <f t="shared" si="72"/>
        <v>8</v>
      </c>
      <c r="E787" s="244">
        <f t="shared" si="73"/>
        <v>10</v>
      </c>
      <c r="G787" s="259" t="str">
        <f t="shared" si="74"/>
        <v>&lt;ct1288&gt;</v>
      </c>
      <c r="H787" s="260">
        <f>VLOOKUP(N787,BCDTK!$E$9:$L$132,7,0)</f>
        <v>0</v>
      </c>
      <c r="I787" s="261" t="str">
        <f t="shared" si="75"/>
        <v>&lt;/ct1288&gt;</v>
      </c>
      <c r="J787" s="262"/>
      <c r="K787" s="262"/>
      <c r="L787" s="262"/>
      <c r="M787" s="263"/>
      <c r="N787" s="265">
        <v>1288</v>
      </c>
    </row>
    <row r="788" spans="1:14" x14ac:dyDescent="0.45">
      <c r="A788" s="253" t="str">
        <f t="shared" si="76"/>
        <v>&lt;ct131&gt;23880000&lt;/ct131&gt;</v>
      </c>
      <c r="B788" s="243" t="s">
        <v>1466</v>
      </c>
      <c r="C788" s="244">
        <f t="shared" si="71"/>
        <v>2</v>
      </c>
      <c r="D788" s="244">
        <f t="shared" si="72"/>
        <v>7</v>
      </c>
      <c r="E788" s="244">
        <f t="shared" si="73"/>
        <v>17</v>
      </c>
      <c r="G788" s="259" t="str">
        <f t="shared" si="74"/>
        <v>&lt;ct131&gt;</v>
      </c>
      <c r="H788" s="260">
        <f>VLOOKUP(N788,BCDTK!$E$9:$L$132,7,0)</f>
        <v>23880000</v>
      </c>
      <c r="I788" s="261" t="str">
        <f t="shared" si="75"/>
        <v>&lt;/ct131&gt;</v>
      </c>
      <c r="J788" s="262"/>
      <c r="K788" s="262"/>
      <c r="L788" s="262"/>
      <c r="M788" s="263"/>
      <c r="N788" s="265">
        <v>131</v>
      </c>
    </row>
    <row r="789" spans="1:14" x14ac:dyDescent="0.45">
      <c r="A789" s="253" t="str">
        <f t="shared" si="76"/>
        <v>&lt;ct133&gt;39033631&lt;/ct133&gt;</v>
      </c>
      <c r="B789" s="243" t="s">
        <v>1468</v>
      </c>
      <c r="C789" s="244">
        <f t="shared" si="71"/>
        <v>2</v>
      </c>
      <c r="D789" s="244">
        <f t="shared" si="72"/>
        <v>7</v>
      </c>
      <c r="E789" s="244">
        <f t="shared" si="73"/>
        <v>9</v>
      </c>
      <c r="G789" s="259" t="str">
        <f t="shared" si="74"/>
        <v>&lt;ct133&gt;</v>
      </c>
      <c r="H789" s="260">
        <f>VLOOKUP(N789,BCDTK!$E$9:$L$132,7,0)</f>
        <v>39033631</v>
      </c>
      <c r="I789" s="261" t="str">
        <f t="shared" si="75"/>
        <v>&lt;/ct133&gt;</v>
      </c>
      <c r="J789" s="262"/>
      <c r="K789" s="262"/>
      <c r="L789" s="262"/>
      <c r="M789" s="263"/>
      <c r="N789" s="265">
        <v>133</v>
      </c>
    </row>
    <row r="790" spans="1:14" x14ac:dyDescent="0.45">
      <c r="A790" s="253" t="str">
        <f t="shared" si="76"/>
        <v>&lt;ct1331&gt;39033631&lt;/ct1331&gt;</v>
      </c>
      <c r="B790" s="243" t="s">
        <v>1596</v>
      </c>
      <c r="C790" s="244">
        <f t="shared" si="71"/>
        <v>2</v>
      </c>
      <c r="D790" s="244">
        <f t="shared" si="72"/>
        <v>8</v>
      </c>
      <c r="E790" s="244">
        <f t="shared" si="73"/>
        <v>10</v>
      </c>
      <c r="G790" s="259" t="str">
        <f t="shared" si="74"/>
        <v>&lt;ct1331&gt;</v>
      </c>
      <c r="H790" s="260">
        <f>VLOOKUP(N790,BCDTK!$E$9:$L$132,7,0)</f>
        <v>39033631</v>
      </c>
      <c r="I790" s="261" t="str">
        <f t="shared" si="75"/>
        <v>&lt;/ct1331&gt;</v>
      </c>
      <c r="J790" s="262"/>
      <c r="K790" s="262"/>
      <c r="L790" s="262"/>
      <c r="M790" s="263"/>
      <c r="N790" s="265">
        <v>1331</v>
      </c>
    </row>
    <row r="791" spans="1:14" x14ac:dyDescent="0.45">
      <c r="A791" s="253" t="str">
        <f t="shared" si="76"/>
        <v>&lt;ct1332&gt;0&lt;/ct1332&gt;</v>
      </c>
      <c r="B791" s="243" t="s">
        <v>1597</v>
      </c>
      <c r="C791" s="244">
        <f t="shared" si="71"/>
        <v>2</v>
      </c>
      <c r="D791" s="244">
        <f t="shared" si="72"/>
        <v>8</v>
      </c>
      <c r="E791" s="244">
        <f t="shared" si="73"/>
        <v>10</v>
      </c>
      <c r="G791" s="259" t="str">
        <f t="shared" si="74"/>
        <v>&lt;ct1332&gt;</v>
      </c>
      <c r="H791" s="260">
        <f>VLOOKUP(N791,BCDTK!$E$9:$L$132,7,0)</f>
        <v>0</v>
      </c>
      <c r="I791" s="261" t="str">
        <f t="shared" si="75"/>
        <v>&lt;/ct1332&gt;</v>
      </c>
      <c r="J791" s="262"/>
      <c r="K791" s="262"/>
      <c r="L791" s="262"/>
      <c r="M791" s="263"/>
      <c r="N791" s="265">
        <v>1332</v>
      </c>
    </row>
    <row r="792" spans="1:14" x14ac:dyDescent="0.45">
      <c r="A792" s="253" t="str">
        <f t="shared" si="76"/>
        <v>&lt;ct136&gt;0&lt;/ct136&gt;</v>
      </c>
      <c r="B792" s="243" t="s">
        <v>1471</v>
      </c>
      <c r="C792" s="244">
        <f t="shared" si="71"/>
        <v>2</v>
      </c>
      <c r="D792" s="244">
        <f t="shared" si="72"/>
        <v>7</v>
      </c>
      <c r="E792" s="244">
        <f t="shared" si="73"/>
        <v>9</v>
      </c>
      <c r="G792" s="259" t="str">
        <f t="shared" si="74"/>
        <v>&lt;ct136&gt;</v>
      </c>
      <c r="H792" s="260">
        <f>VLOOKUP(N792,BCDTK!$E$9:$L$132,7,0)</f>
        <v>0</v>
      </c>
      <c r="I792" s="261" t="str">
        <f t="shared" si="75"/>
        <v>&lt;/ct136&gt;</v>
      </c>
      <c r="J792" s="262"/>
      <c r="K792" s="262"/>
      <c r="L792" s="262"/>
      <c r="M792" s="263"/>
      <c r="N792" s="265">
        <v>136</v>
      </c>
    </row>
    <row r="793" spans="1:14" x14ac:dyDescent="0.45">
      <c r="A793" s="253" t="str">
        <f t="shared" si="76"/>
        <v>&lt;ct1361&gt;0&lt;/ct1361&gt;</v>
      </c>
      <c r="B793" s="243" t="s">
        <v>1598</v>
      </c>
      <c r="C793" s="244">
        <f t="shared" ref="C793:C856" si="77">LEN(B793)-LEN(SUBSTITUTE(B793,"&lt;",""))</f>
        <v>2</v>
      </c>
      <c r="D793" s="244">
        <f t="shared" ref="D793:D856" si="78">SEARCH("&gt;",B793)</f>
        <v>8</v>
      </c>
      <c r="E793" s="244">
        <f t="shared" ref="E793:E856" si="79">IFERROR(SEARCH("&lt;/",B793),"")</f>
        <v>10</v>
      </c>
      <c r="G793" s="259" t="str">
        <f t="shared" ref="G793:G856" si="80">LEFT(B793,D793)</f>
        <v>&lt;ct1361&gt;</v>
      </c>
      <c r="H793" s="260">
        <f>VLOOKUP(N793,BCDTK!$E$9:$L$132,7,0)</f>
        <v>0</v>
      </c>
      <c r="I793" s="261" t="str">
        <f t="shared" ref="I793:I856" si="81">IF(C793=2,RIGHT(B793,LEN(B793)-E793+1),"")</f>
        <v>&lt;/ct1361&gt;</v>
      </c>
      <c r="J793" s="262"/>
      <c r="K793" s="262"/>
      <c r="L793" s="262"/>
      <c r="M793" s="263"/>
      <c r="N793" s="265">
        <v>1361</v>
      </c>
    </row>
    <row r="794" spans="1:14" x14ac:dyDescent="0.45">
      <c r="A794" s="253" t="str">
        <f t="shared" si="76"/>
        <v>&lt;ct1368&gt;0&lt;/ct1368&gt;</v>
      </c>
      <c r="B794" s="243" t="s">
        <v>1599</v>
      </c>
      <c r="C794" s="244">
        <f t="shared" si="77"/>
        <v>2</v>
      </c>
      <c r="D794" s="244">
        <f t="shared" si="78"/>
        <v>8</v>
      </c>
      <c r="E794" s="244">
        <f t="shared" si="79"/>
        <v>10</v>
      </c>
      <c r="G794" s="259" t="str">
        <f t="shared" si="80"/>
        <v>&lt;ct1368&gt;</v>
      </c>
      <c r="H794" s="260">
        <f>VLOOKUP(N794,BCDTK!$E$9:$L$132,7,0)</f>
        <v>0</v>
      </c>
      <c r="I794" s="261" t="str">
        <f t="shared" si="81"/>
        <v>&lt;/ct1368&gt;</v>
      </c>
      <c r="J794" s="262"/>
      <c r="K794" s="262"/>
      <c r="L794" s="262"/>
      <c r="M794" s="263"/>
      <c r="N794" s="265">
        <v>1368</v>
      </c>
    </row>
    <row r="795" spans="1:14" x14ac:dyDescent="0.45">
      <c r="A795" s="253" t="str">
        <f t="shared" si="76"/>
        <v>&lt;ct138&gt;0&lt;/ct138&gt;</v>
      </c>
      <c r="B795" s="243" t="s">
        <v>1776</v>
      </c>
      <c r="C795" s="244">
        <f t="shared" si="77"/>
        <v>2</v>
      </c>
      <c r="D795" s="244">
        <f t="shared" si="78"/>
        <v>7</v>
      </c>
      <c r="E795" s="244">
        <f t="shared" si="79"/>
        <v>16</v>
      </c>
      <c r="G795" s="259" t="str">
        <f t="shared" si="80"/>
        <v>&lt;ct138&gt;</v>
      </c>
      <c r="H795" s="260">
        <f>VLOOKUP(N795,BCDTK!$E$9:$L$132,7,0)</f>
        <v>0</v>
      </c>
      <c r="I795" s="261" t="str">
        <f t="shared" si="81"/>
        <v>&lt;/ct138&gt;</v>
      </c>
      <c r="J795" s="262"/>
      <c r="K795" s="262"/>
      <c r="L795" s="262"/>
      <c r="M795" s="263"/>
      <c r="N795" s="265">
        <v>138</v>
      </c>
    </row>
    <row r="796" spans="1:14" x14ac:dyDescent="0.45">
      <c r="A796" s="253" t="str">
        <f t="shared" si="76"/>
        <v>&lt;ct1381&gt;0&lt;/ct1381&gt;</v>
      </c>
      <c r="B796" s="243" t="s">
        <v>1601</v>
      </c>
      <c r="C796" s="244">
        <f t="shared" si="77"/>
        <v>2</v>
      </c>
      <c r="D796" s="244">
        <f t="shared" si="78"/>
        <v>8</v>
      </c>
      <c r="E796" s="244">
        <f t="shared" si="79"/>
        <v>10</v>
      </c>
      <c r="G796" s="259" t="str">
        <f t="shared" si="80"/>
        <v>&lt;ct1381&gt;</v>
      </c>
      <c r="H796" s="260">
        <f>VLOOKUP(N796,BCDTK!$E$9:$L$132,7,0)</f>
        <v>0</v>
      </c>
      <c r="I796" s="261" t="str">
        <f t="shared" si="81"/>
        <v>&lt;/ct1381&gt;</v>
      </c>
      <c r="J796" s="262"/>
      <c r="K796" s="262"/>
      <c r="L796" s="262"/>
      <c r="M796" s="263"/>
      <c r="N796" s="265">
        <v>1381</v>
      </c>
    </row>
    <row r="797" spans="1:14" x14ac:dyDescent="0.45">
      <c r="A797" s="253" t="str">
        <f t="shared" si="76"/>
        <v>&lt;ct1386&gt;0&lt;/ct1386&gt;</v>
      </c>
      <c r="B797" s="243" t="s">
        <v>1716</v>
      </c>
      <c r="C797" s="244">
        <f t="shared" si="77"/>
        <v>2</v>
      </c>
      <c r="D797" s="244">
        <f t="shared" si="78"/>
        <v>8</v>
      </c>
      <c r="E797" s="244">
        <f t="shared" si="79"/>
        <v>17</v>
      </c>
      <c r="G797" s="259" t="str">
        <f t="shared" si="80"/>
        <v>&lt;ct1386&gt;</v>
      </c>
      <c r="H797" s="260">
        <f>VLOOKUP(N797,BCDTK!$E$9:$L$132,7,0)</f>
        <v>0</v>
      </c>
      <c r="I797" s="261" t="str">
        <f t="shared" si="81"/>
        <v>&lt;/ct1386&gt;</v>
      </c>
      <c r="J797" s="262"/>
      <c r="K797" s="262"/>
      <c r="L797" s="262"/>
      <c r="M797" s="263"/>
      <c r="N797" s="265">
        <v>1386</v>
      </c>
    </row>
    <row r="798" spans="1:14" x14ac:dyDescent="0.45">
      <c r="A798" s="253" t="str">
        <f t="shared" si="76"/>
        <v>&lt;ct1388&gt;0&lt;/ct1388&gt;</v>
      </c>
      <c r="B798" s="243" t="s">
        <v>1603</v>
      </c>
      <c r="C798" s="244">
        <f t="shared" si="77"/>
        <v>2</v>
      </c>
      <c r="D798" s="244">
        <f t="shared" si="78"/>
        <v>8</v>
      </c>
      <c r="E798" s="244">
        <f t="shared" si="79"/>
        <v>10</v>
      </c>
      <c r="G798" s="259" t="str">
        <f t="shared" si="80"/>
        <v>&lt;ct1388&gt;</v>
      </c>
      <c r="H798" s="260">
        <f>VLOOKUP(N798,BCDTK!$E$9:$L$132,7,0)</f>
        <v>0</v>
      </c>
      <c r="I798" s="261" t="str">
        <f t="shared" si="81"/>
        <v>&lt;/ct1388&gt;</v>
      </c>
      <c r="J798" s="262"/>
      <c r="K798" s="262"/>
      <c r="L798" s="262"/>
      <c r="M798" s="263"/>
      <c r="N798" s="265">
        <v>1388</v>
      </c>
    </row>
    <row r="799" spans="1:14" x14ac:dyDescent="0.45">
      <c r="A799" s="253" t="str">
        <f t="shared" si="76"/>
        <v>&lt;ct141&gt;0&lt;/ct141&gt;</v>
      </c>
      <c r="B799" s="243" t="s">
        <v>1513</v>
      </c>
      <c r="C799" s="244">
        <f t="shared" si="77"/>
        <v>2</v>
      </c>
      <c r="D799" s="244">
        <f t="shared" si="78"/>
        <v>7</v>
      </c>
      <c r="E799" s="244">
        <f t="shared" si="79"/>
        <v>9</v>
      </c>
      <c r="G799" s="259" t="str">
        <f t="shared" si="80"/>
        <v>&lt;ct141&gt;</v>
      </c>
      <c r="H799" s="260">
        <f>VLOOKUP(N799,BCDTK!$E$9:$L$132,7,0)</f>
        <v>0</v>
      </c>
      <c r="I799" s="261" t="str">
        <f t="shared" si="81"/>
        <v>&lt;/ct141&gt;</v>
      </c>
      <c r="J799" s="262"/>
      <c r="K799" s="262"/>
      <c r="L799" s="262"/>
      <c r="M799" s="263"/>
      <c r="N799" s="265">
        <v>141</v>
      </c>
    </row>
    <row r="800" spans="1:14" x14ac:dyDescent="0.45">
      <c r="A800" s="253" t="str">
        <f t="shared" si="76"/>
        <v>&lt;ct151&gt;0&lt;/ct151&gt;</v>
      </c>
      <c r="B800" s="243" t="s">
        <v>1476</v>
      </c>
      <c r="C800" s="244">
        <f t="shared" si="77"/>
        <v>2</v>
      </c>
      <c r="D800" s="244">
        <f t="shared" si="78"/>
        <v>7</v>
      </c>
      <c r="E800" s="244">
        <f t="shared" si="79"/>
        <v>9</v>
      </c>
      <c r="G800" s="259" t="str">
        <f t="shared" si="80"/>
        <v>&lt;ct151&gt;</v>
      </c>
      <c r="H800" s="260">
        <f>VLOOKUP(N800,BCDTK!$E$9:$L$132,7,0)</f>
        <v>0</v>
      </c>
      <c r="I800" s="261" t="str">
        <f t="shared" si="81"/>
        <v>&lt;/ct151&gt;</v>
      </c>
      <c r="J800" s="262"/>
      <c r="K800" s="262"/>
      <c r="L800" s="262"/>
      <c r="M800" s="263"/>
      <c r="N800" s="265">
        <v>151</v>
      </c>
    </row>
    <row r="801" spans="1:14" x14ac:dyDescent="0.45">
      <c r="A801" s="253" t="str">
        <f t="shared" si="76"/>
        <v>&lt;ct152&gt;0&lt;/ct152&gt;</v>
      </c>
      <c r="B801" s="243" t="s">
        <v>1718</v>
      </c>
      <c r="C801" s="244">
        <f t="shared" si="77"/>
        <v>2</v>
      </c>
      <c r="D801" s="244">
        <f t="shared" si="78"/>
        <v>7</v>
      </c>
      <c r="E801" s="244">
        <f t="shared" si="79"/>
        <v>15</v>
      </c>
      <c r="G801" s="259" t="str">
        <f t="shared" si="80"/>
        <v>&lt;ct152&gt;</v>
      </c>
      <c r="H801" s="260">
        <f>VLOOKUP(N801,BCDTK!$E$9:$L$132,7,0)</f>
        <v>0</v>
      </c>
      <c r="I801" s="261" t="str">
        <f t="shared" si="81"/>
        <v>&lt;/ct152&gt;</v>
      </c>
      <c r="J801" s="262"/>
      <c r="K801" s="262"/>
      <c r="L801" s="262"/>
      <c r="M801" s="263"/>
      <c r="N801" s="265">
        <v>152</v>
      </c>
    </row>
    <row r="802" spans="1:14" x14ac:dyDescent="0.45">
      <c r="A802" s="253" t="str">
        <f t="shared" si="76"/>
        <v>&lt;ct153&gt;0&lt;/ct153&gt;</v>
      </c>
      <c r="B802" s="243" t="s">
        <v>1604</v>
      </c>
      <c r="C802" s="244">
        <f t="shared" si="77"/>
        <v>2</v>
      </c>
      <c r="D802" s="244">
        <f t="shared" si="78"/>
        <v>7</v>
      </c>
      <c r="E802" s="244">
        <f t="shared" si="79"/>
        <v>9</v>
      </c>
      <c r="G802" s="259" t="str">
        <f t="shared" si="80"/>
        <v>&lt;ct153&gt;</v>
      </c>
      <c r="H802" s="260">
        <f>VLOOKUP(N802,BCDTK!$E$9:$L$132,7,0)</f>
        <v>0</v>
      </c>
      <c r="I802" s="261" t="str">
        <f t="shared" si="81"/>
        <v>&lt;/ct153&gt;</v>
      </c>
      <c r="J802" s="262"/>
      <c r="K802" s="262"/>
      <c r="L802" s="262"/>
      <c r="M802" s="263"/>
      <c r="N802" s="265">
        <v>153</v>
      </c>
    </row>
    <row r="803" spans="1:14" x14ac:dyDescent="0.45">
      <c r="A803" s="253" t="str">
        <f t="shared" si="76"/>
        <v>&lt;ct154&gt;0&lt;/ct154&gt;</v>
      </c>
      <c r="B803" s="243" t="s">
        <v>1777</v>
      </c>
      <c r="C803" s="244">
        <f t="shared" si="77"/>
        <v>2</v>
      </c>
      <c r="D803" s="244">
        <f t="shared" si="78"/>
        <v>7</v>
      </c>
      <c r="E803" s="244">
        <f t="shared" si="79"/>
        <v>17</v>
      </c>
      <c r="G803" s="259" t="str">
        <f t="shared" si="80"/>
        <v>&lt;ct154&gt;</v>
      </c>
      <c r="H803" s="260">
        <f>VLOOKUP(N803,BCDTK!$E$9:$L$132,7,0)</f>
        <v>0</v>
      </c>
      <c r="I803" s="261" t="str">
        <f t="shared" si="81"/>
        <v>&lt;/ct154&gt;</v>
      </c>
      <c r="J803" s="262"/>
      <c r="K803" s="262"/>
      <c r="L803" s="262"/>
      <c r="M803" s="263"/>
      <c r="N803" s="265">
        <v>154</v>
      </c>
    </row>
    <row r="804" spans="1:14" x14ac:dyDescent="0.45">
      <c r="A804" s="253" t="str">
        <f t="shared" si="76"/>
        <v>&lt;ct155&gt;0&lt;/ct155&gt;</v>
      </c>
      <c r="B804" s="243" t="s">
        <v>1606</v>
      </c>
      <c r="C804" s="244">
        <f t="shared" si="77"/>
        <v>2</v>
      </c>
      <c r="D804" s="244">
        <f t="shared" si="78"/>
        <v>7</v>
      </c>
      <c r="E804" s="244">
        <f t="shared" si="79"/>
        <v>9</v>
      </c>
      <c r="G804" s="259" t="str">
        <f t="shared" si="80"/>
        <v>&lt;ct155&gt;</v>
      </c>
      <c r="H804" s="260">
        <f>VLOOKUP(N804,BCDTK!$E$9:$L$132,7,0)</f>
        <v>0</v>
      </c>
      <c r="I804" s="261" t="str">
        <f t="shared" si="81"/>
        <v>&lt;/ct155&gt;</v>
      </c>
      <c r="J804" s="262"/>
      <c r="K804" s="262"/>
      <c r="L804" s="262"/>
      <c r="M804" s="263"/>
      <c r="N804" s="265">
        <v>155</v>
      </c>
    </row>
    <row r="805" spans="1:14" x14ac:dyDescent="0.45">
      <c r="A805" s="253" t="str">
        <f t="shared" si="76"/>
        <v>&lt;ct156&gt;0&lt;/ct156&gt;</v>
      </c>
      <c r="B805" s="243" t="s">
        <v>1720</v>
      </c>
      <c r="C805" s="244">
        <f t="shared" si="77"/>
        <v>2</v>
      </c>
      <c r="D805" s="244">
        <f t="shared" si="78"/>
        <v>7</v>
      </c>
      <c r="E805" s="244">
        <f t="shared" si="79"/>
        <v>17</v>
      </c>
      <c r="G805" s="259" t="str">
        <f t="shared" si="80"/>
        <v>&lt;ct156&gt;</v>
      </c>
      <c r="H805" s="260">
        <f>VLOOKUP(N805,BCDTK!$E$9:$L$132,7,0)</f>
        <v>0</v>
      </c>
      <c r="I805" s="261" t="str">
        <f t="shared" si="81"/>
        <v>&lt;/ct156&gt;</v>
      </c>
      <c r="J805" s="262"/>
      <c r="K805" s="262"/>
      <c r="L805" s="262"/>
      <c r="M805" s="263"/>
      <c r="N805" s="265">
        <v>156</v>
      </c>
    </row>
    <row r="806" spans="1:14" x14ac:dyDescent="0.45">
      <c r="A806" s="253" t="str">
        <f t="shared" si="76"/>
        <v>&lt;ct157&gt;0&lt;/ct157&gt;</v>
      </c>
      <c r="B806" s="243" t="s">
        <v>1608</v>
      </c>
      <c r="C806" s="244">
        <f t="shared" si="77"/>
        <v>2</v>
      </c>
      <c r="D806" s="244">
        <f t="shared" si="78"/>
        <v>7</v>
      </c>
      <c r="E806" s="244">
        <f t="shared" si="79"/>
        <v>9</v>
      </c>
      <c r="G806" s="259" t="str">
        <f t="shared" si="80"/>
        <v>&lt;ct157&gt;</v>
      </c>
      <c r="H806" s="260">
        <f>VLOOKUP(N806,BCDTK!$E$9:$L$132,7,0)</f>
        <v>0</v>
      </c>
      <c r="I806" s="261" t="str">
        <f t="shared" si="81"/>
        <v>&lt;/ct157&gt;</v>
      </c>
      <c r="J806" s="262"/>
      <c r="K806" s="262"/>
      <c r="L806" s="262"/>
      <c r="M806" s="263"/>
      <c r="N806" s="265">
        <v>157</v>
      </c>
    </row>
    <row r="807" spans="1:14" x14ac:dyDescent="0.45">
      <c r="A807" s="253" t="str">
        <f t="shared" si="76"/>
        <v>&lt;ct211&gt;423501818&lt;/ct211&gt;</v>
      </c>
      <c r="B807" s="243" t="s">
        <v>1609</v>
      </c>
      <c r="C807" s="244">
        <f t="shared" si="77"/>
        <v>2</v>
      </c>
      <c r="D807" s="244">
        <f t="shared" si="78"/>
        <v>7</v>
      </c>
      <c r="E807" s="244">
        <f t="shared" si="79"/>
        <v>9</v>
      </c>
      <c r="G807" s="259" t="str">
        <f t="shared" si="80"/>
        <v>&lt;ct211&gt;</v>
      </c>
      <c r="H807" s="260">
        <f>VLOOKUP(N807,BCDTK!$E$9:$L$132,7,0)</f>
        <v>423501818</v>
      </c>
      <c r="I807" s="261" t="str">
        <f t="shared" si="81"/>
        <v>&lt;/ct211&gt;</v>
      </c>
      <c r="J807" s="262"/>
      <c r="K807" s="262"/>
      <c r="L807" s="262"/>
      <c r="M807" s="263"/>
      <c r="N807" s="265">
        <v>211</v>
      </c>
    </row>
    <row r="808" spans="1:14" x14ac:dyDescent="0.45">
      <c r="A808" s="253" t="str">
        <f t="shared" si="76"/>
        <v>&lt;ct2111&gt;423501818&lt;/ct2111&gt;</v>
      </c>
      <c r="B808" s="243" t="s">
        <v>1610</v>
      </c>
      <c r="C808" s="244">
        <f t="shared" si="77"/>
        <v>2</v>
      </c>
      <c r="D808" s="244">
        <f t="shared" si="78"/>
        <v>8</v>
      </c>
      <c r="E808" s="244">
        <f t="shared" si="79"/>
        <v>10</v>
      </c>
      <c r="G808" s="259" t="str">
        <f t="shared" si="80"/>
        <v>&lt;ct2111&gt;</v>
      </c>
      <c r="H808" s="260">
        <f>VLOOKUP(N808,BCDTK!$E$9:$L$132,7,0)</f>
        <v>423501818</v>
      </c>
      <c r="I808" s="261" t="str">
        <f t="shared" si="81"/>
        <v>&lt;/ct2111&gt;</v>
      </c>
      <c r="J808" s="262"/>
      <c r="K808" s="262"/>
      <c r="L808" s="262"/>
      <c r="M808" s="263"/>
      <c r="N808" s="265">
        <v>2111</v>
      </c>
    </row>
    <row r="809" spans="1:14" x14ac:dyDescent="0.45">
      <c r="A809" s="253" t="str">
        <f t="shared" si="76"/>
        <v>&lt;ct2112&gt;0&lt;/ct2112&gt;</v>
      </c>
      <c r="B809" s="243" t="s">
        <v>1611</v>
      </c>
      <c r="C809" s="244">
        <f t="shared" si="77"/>
        <v>2</v>
      </c>
      <c r="D809" s="244">
        <f t="shared" si="78"/>
        <v>8</v>
      </c>
      <c r="E809" s="244">
        <f t="shared" si="79"/>
        <v>10</v>
      </c>
      <c r="G809" s="259" t="str">
        <f t="shared" si="80"/>
        <v>&lt;ct2112&gt;</v>
      </c>
      <c r="H809" s="260">
        <f>VLOOKUP(N809,BCDTK!$E$9:$L$132,7,0)</f>
        <v>0</v>
      </c>
      <c r="I809" s="261" t="str">
        <f t="shared" si="81"/>
        <v>&lt;/ct2112&gt;</v>
      </c>
      <c r="J809" s="262"/>
      <c r="K809" s="262"/>
      <c r="L809" s="262"/>
      <c r="M809" s="263"/>
      <c r="N809" s="265">
        <v>2112</v>
      </c>
    </row>
    <row r="810" spans="1:14" x14ac:dyDescent="0.45">
      <c r="A810" s="253" t="str">
        <f t="shared" si="76"/>
        <v>&lt;ct2113&gt;0&lt;/ct2113&gt;</v>
      </c>
      <c r="B810" s="243" t="s">
        <v>1612</v>
      </c>
      <c r="C810" s="244">
        <f t="shared" si="77"/>
        <v>2</v>
      </c>
      <c r="D810" s="244">
        <f t="shared" si="78"/>
        <v>8</v>
      </c>
      <c r="E810" s="244">
        <f t="shared" si="79"/>
        <v>10</v>
      </c>
      <c r="G810" s="259" t="str">
        <f t="shared" si="80"/>
        <v>&lt;ct2113&gt;</v>
      </c>
      <c r="H810" s="260">
        <f>VLOOKUP(N810,BCDTK!$E$9:$L$132,7,0)</f>
        <v>0</v>
      </c>
      <c r="I810" s="261" t="str">
        <f t="shared" si="81"/>
        <v>&lt;/ct2113&gt;</v>
      </c>
      <c r="J810" s="262"/>
      <c r="K810" s="262"/>
      <c r="L810" s="262"/>
      <c r="M810" s="263"/>
      <c r="N810" s="265">
        <v>2113</v>
      </c>
    </row>
    <row r="811" spans="1:14" x14ac:dyDescent="0.45">
      <c r="A811" s="253" t="str">
        <f t="shared" si="76"/>
        <v>&lt;ct214&gt;0&lt;/ct214&gt;</v>
      </c>
      <c r="B811" s="243" t="s">
        <v>1613</v>
      </c>
      <c r="C811" s="244">
        <f t="shared" si="77"/>
        <v>2</v>
      </c>
      <c r="D811" s="244">
        <f t="shared" si="78"/>
        <v>7</v>
      </c>
      <c r="E811" s="244">
        <f t="shared" si="79"/>
        <v>9</v>
      </c>
      <c r="G811" s="259" t="str">
        <f t="shared" si="80"/>
        <v>&lt;ct214&gt;</v>
      </c>
      <c r="H811" s="260">
        <f>VLOOKUP(N811,BCDTK!$E$9:$L$132,7,0)</f>
        <v>0</v>
      </c>
      <c r="I811" s="261" t="str">
        <f t="shared" si="81"/>
        <v>&lt;/ct214&gt;</v>
      </c>
      <c r="J811" s="262"/>
      <c r="K811" s="262"/>
      <c r="L811" s="262"/>
      <c r="M811" s="263"/>
      <c r="N811" s="265">
        <v>214</v>
      </c>
    </row>
    <row r="812" spans="1:14" x14ac:dyDescent="0.45">
      <c r="A812" s="253" t="str">
        <f t="shared" si="76"/>
        <v>&lt;ct2141&gt;0&lt;/ct2141&gt;</v>
      </c>
      <c r="B812" s="243" t="s">
        <v>1614</v>
      </c>
      <c r="C812" s="244">
        <f t="shared" si="77"/>
        <v>2</v>
      </c>
      <c r="D812" s="244">
        <f t="shared" si="78"/>
        <v>8</v>
      </c>
      <c r="E812" s="244">
        <f t="shared" si="79"/>
        <v>10</v>
      </c>
      <c r="G812" s="259" t="str">
        <f t="shared" si="80"/>
        <v>&lt;ct2141&gt;</v>
      </c>
      <c r="H812" s="260">
        <f>VLOOKUP(N812,BCDTK!$E$9:$L$132,7,0)</f>
        <v>0</v>
      </c>
      <c r="I812" s="261" t="str">
        <f t="shared" si="81"/>
        <v>&lt;/ct2141&gt;</v>
      </c>
      <c r="J812" s="262"/>
      <c r="K812" s="262"/>
      <c r="L812" s="262"/>
      <c r="M812" s="263"/>
      <c r="N812" s="265">
        <v>2141</v>
      </c>
    </row>
    <row r="813" spans="1:14" x14ac:dyDescent="0.45">
      <c r="A813" s="253" t="str">
        <f t="shared" ref="A813:A876" si="82">CONCATENATE(G813,H813,I813)</f>
        <v>&lt;ct2142&gt;0&lt;/ct2142&gt;</v>
      </c>
      <c r="B813" s="243" t="s">
        <v>1615</v>
      </c>
      <c r="C813" s="244">
        <f t="shared" si="77"/>
        <v>2</v>
      </c>
      <c r="D813" s="244">
        <f t="shared" si="78"/>
        <v>8</v>
      </c>
      <c r="E813" s="244">
        <f t="shared" si="79"/>
        <v>10</v>
      </c>
      <c r="G813" s="259" t="str">
        <f t="shared" si="80"/>
        <v>&lt;ct2142&gt;</v>
      </c>
      <c r="H813" s="260">
        <f>VLOOKUP(N813,BCDTK!$E$9:$L$132,7,0)</f>
        <v>0</v>
      </c>
      <c r="I813" s="261" t="str">
        <f t="shared" si="81"/>
        <v>&lt;/ct2142&gt;</v>
      </c>
      <c r="J813" s="262"/>
      <c r="K813" s="262"/>
      <c r="L813" s="262"/>
      <c r="M813" s="263"/>
      <c r="N813" s="265">
        <v>2142</v>
      </c>
    </row>
    <row r="814" spans="1:14" x14ac:dyDescent="0.45">
      <c r="A814" s="253" t="str">
        <f t="shared" si="82"/>
        <v>&lt;ct2143&gt;0&lt;/ct2143&gt;</v>
      </c>
      <c r="B814" s="243" t="s">
        <v>1616</v>
      </c>
      <c r="C814" s="244">
        <f t="shared" si="77"/>
        <v>2</v>
      </c>
      <c r="D814" s="244">
        <f t="shared" si="78"/>
        <v>8</v>
      </c>
      <c r="E814" s="244">
        <f t="shared" si="79"/>
        <v>10</v>
      </c>
      <c r="G814" s="259" t="str">
        <f t="shared" si="80"/>
        <v>&lt;ct2143&gt;</v>
      </c>
      <c r="H814" s="260">
        <f>VLOOKUP(N814,BCDTK!$E$9:$L$132,7,0)</f>
        <v>0</v>
      </c>
      <c r="I814" s="261" t="str">
        <f t="shared" si="81"/>
        <v>&lt;/ct2143&gt;</v>
      </c>
      <c r="J814" s="262"/>
      <c r="K814" s="262"/>
      <c r="L814" s="262"/>
      <c r="M814" s="263"/>
      <c r="N814" s="265">
        <v>2143</v>
      </c>
    </row>
    <row r="815" spans="1:14" x14ac:dyDescent="0.45">
      <c r="A815" s="253" t="str">
        <f t="shared" si="82"/>
        <v>&lt;ct2147&gt;0&lt;/ct2147&gt;</v>
      </c>
      <c r="B815" s="243" t="s">
        <v>1617</v>
      </c>
      <c r="C815" s="244">
        <f t="shared" si="77"/>
        <v>2</v>
      </c>
      <c r="D815" s="244">
        <f t="shared" si="78"/>
        <v>8</v>
      </c>
      <c r="E815" s="244">
        <f t="shared" si="79"/>
        <v>10</v>
      </c>
      <c r="G815" s="259" t="str">
        <f t="shared" si="80"/>
        <v>&lt;ct2147&gt;</v>
      </c>
      <c r="H815" s="260">
        <f>VLOOKUP(N815,BCDTK!$E$9:$L$132,7,0)</f>
        <v>0</v>
      </c>
      <c r="I815" s="261" t="str">
        <f t="shared" si="81"/>
        <v>&lt;/ct2147&gt;</v>
      </c>
      <c r="J815" s="262"/>
      <c r="K815" s="262"/>
      <c r="L815" s="262"/>
      <c r="M815" s="263"/>
      <c r="N815" s="265">
        <v>2147</v>
      </c>
    </row>
    <row r="816" spans="1:14" x14ac:dyDescent="0.45">
      <c r="A816" s="253" t="str">
        <f t="shared" si="82"/>
        <v>&lt;ct217&gt;0&lt;/ct217&gt;</v>
      </c>
      <c r="B816" s="243" t="s">
        <v>1618</v>
      </c>
      <c r="C816" s="244">
        <f t="shared" si="77"/>
        <v>2</v>
      </c>
      <c r="D816" s="244">
        <f t="shared" si="78"/>
        <v>7</v>
      </c>
      <c r="E816" s="244">
        <f t="shared" si="79"/>
        <v>9</v>
      </c>
      <c r="G816" s="259" t="str">
        <f t="shared" si="80"/>
        <v>&lt;ct217&gt;</v>
      </c>
      <c r="H816" s="260">
        <f>VLOOKUP(N816,BCDTK!$E$9:$L$132,7,0)</f>
        <v>0</v>
      </c>
      <c r="I816" s="261" t="str">
        <f t="shared" si="81"/>
        <v>&lt;/ct217&gt;</v>
      </c>
      <c r="J816" s="262"/>
      <c r="K816" s="262"/>
      <c r="L816" s="262"/>
      <c r="M816" s="263"/>
      <c r="N816" s="265">
        <v>217</v>
      </c>
    </row>
    <row r="817" spans="1:14" x14ac:dyDescent="0.45">
      <c r="A817" s="253" t="str">
        <f t="shared" si="82"/>
        <v>&lt;ct228&gt;0&lt;/ct228&gt;</v>
      </c>
      <c r="B817" s="243" t="s">
        <v>1619</v>
      </c>
      <c r="C817" s="244">
        <f t="shared" si="77"/>
        <v>2</v>
      </c>
      <c r="D817" s="244">
        <f t="shared" si="78"/>
        <v>7</v>
      </c>
      <c r="E817" s="244">
        <f t="shared" si="79"/>
        <v>9</v>
      </c>
      <c r="G817" s="259" t="str">
        <f t="shared" si="80"/>
        <v>&lt;ct228&gt;</v>
      </c>
      <c r="H817" s="260">
        <f>VLOOKUP(N817,BCDTK!$E$9:$L$132,7,0)</f>
        <v>0</v>
      </c>
      <c r="I817" s="261" t="str">
        <f t="shared" si="81"/>
        <v>&lt;/ct228&gt;</v>
      </c>
      <c r="J817" s="262"/>
      <c r="K817" s="262"/>
      <c r="L817" s="262"/>
      <c r="M817" s="263"/>
      <c r="N817" s="265">
        <v>228</v>
      </c>
    </row>
    <row r="818" spans="1:14" x14ac:dyDescent="0.45">
      <c r="A818" s="253" t="str">
        <f t="shared" si="82"/>
        <v>&lt;ct2281&gt;0&lt;/ct2281&gt;</v>
      </c>
      <c r="B818" s="243" t="s">
        <v>1620</v>
      </c>
      <c r="C818" s="244">
        <f t="shared" si="77"/>
        <v>2</v>
      </c>
      <c r="D818" s="244">
        <f t="shared" si="78"/>
        <v>8</v>
      </c>
      <c r="E818" s="244">
        <f t="shared" si="79"/>
        <v>10</v>
      </c>
      <c r="G818" s="259" t="str">
        <f t="shared" si="80"/>
        <v>&lt;ct2281&gt;</v>
      </c>
      <c r="H818" s="260">
        <f>VLOOKUP(N818,BCDTK!$E$9:$L$132,7,0)</f>
        <v>0</v>
      </c>
      <c r="I818" s="261" t="str">
        <f t="shared" si="81"/>
        <v>&lt;/ct2281&gt;</v>
      </c>
      <c r="J818" s="262"/>
      <c r="K818" s="262"/>
      <c r="L818" s="262"/>
      <c r="M818" s="263"/>
      <c r="N818" s="265">
        <v>2281</v>
      </c>
    </row>
    <row r="819" spans="1:14" x14ac:dyDescent="0.45">
      <c r="A819" s="253" t="str">
        <f t="shared" si="82"/>
        <v>&lt;ct2288&gt;0&lt;/ct2288&gt;</v>
      </c>
      <c r="B819" s="243" t="s">
        <v>1621</v>
      </c>
      <c r="C819" s="244">
        <f t="shared" si="77"/>
        <v>2</v>
      </c>
      <c r="D819" s="244">
        <f t="shared" si="78"/>
        <v>8</v>
      </c>
      <c r="E819" s="244">
        <f t="shared" si="79"/>
        <v>10</v>
      </c>
      <c r="G819" s="259" t="str">
        <f t="shared" si="80"/>
        <v>&lt;ct2288&gt;</v>
      </c>
      <c r="H819" s="260">
        <f>VLOOKUP(N819,BCDTK!$E$9:$L$132,7,0)</f>
        <v>0</v>
      </c>
      <c r="I819" s="261" t="str">
        <f t="shared" si="81"/>
        <v>&lt;/ct2288&gt;</v>
      </c>
      <c r="J819" s="262"/>
      <c r="K819" s="262"/>
      <c r="L819" s="262"/>
      <c r="M819" s="263"/>
      <c r="N819" s="265">
        <v>2288</v>
      </c>
    </row>
    <row r="820" spans="1:14" x14ac:dyDescent="0.45">
      <c r="A820" s="253" t="str">
        <f t="shared" si="82"/>
        <v>&lt;ct229&gt;0&lt;/ct229&gt;</v>
      </c>
      <c r="B820" s="243" t="s">
        <v>1622</v>
      </c>
      <c r="C820" s="244">
        <f t="shared" si="77"/>
        <v>2</v>
      </c>
      <c r="D820" s="244">
        <f t="shared" si="78"/>
        <v>7</v>
      </c>
      <c r="E820" s="244">
        <f t="shared" si="79"/>
        <v>9</v>
      </c>
      <c r="G820" s="259" t="str">
        <f t="shared" si="80"/>
        <v>&lt;ct229&gt;</v>
      </c>
      <c r="H820" s="260">
        <f>VLOOKUP(N820,BCDTK!$E$9:$L$132,7,0)</f>
        <v>0</v>
      </c>
      <c r="I820" s="261" t="str">
        <f t="shared" si="81"/>
        <v>&lt;/ct229&gt;</v>
      </c>
      <c r="J820" s="262"/>
      <c r="K820" s="262"/>
      <c r="L820" s="262"/>
      <c r="M820" s="263"/>
      <c r="N820" s="265">
        <v>229</v>
      </c>
    </row>
    <row r="821" spans="1:14" x14ac:dyDescent="0.45">
      <c r="A821" s="253" t="str">
        <f t="shared" si="82"/>
        <v>&lt;ct2291&gt;0&lt;/ct2291&gt;</v>
      </c>
      <c r="B821" s="243" t="s">
        <v>1623</v>
      </c>
      <c r="C821" s="244">
        <f t="shared" si="77"/>
        <v>2</v>
      </c>
      <c r="D821" s="244">
        <f t="shared" si="78"/>
        <v>8</v>
      </c>
      <c r="E821" s="244">
        <f t="shared" si="79"/>
        <v>10</v>
      </c>
      <c r="G821" s="259" t="str">
        <f t="shared" si="80"/>
        <v>&lt;ct2291&gt;</v>
      </c>
      <c r="H821" s="260">
        <f>VLOOKUP(N821,BCDTK!$E$9:$L$132,7,0)</f>
        <v>0</v>
      </c>
      <c r="I821" s="261" t="str">
        <f t="shared" si="81"/>
        <v>&lt;/ct2291&gt;</v>
      </c>
      <c r="J821" s="262"/>
      <c r="K821" s="262"/>
      <c r="L821" s="262"/>
      <c r="M821" s="263"/>
      <c r="N821" s="265">
        <v>2291</v>
      </c>
    </row>
    <row r="822" spans="1:14" x14ac:dyDescent="0.45">
      <c r="A822" s="253" t="str">
        <f t="shared" si="82"/>
        <v>&lt;ct2292&gt;0&lt;/ct2292&gt;</v>
      </c>
      <c r="B822" s="243" t="s">
        <v>1624</v>
      </c>
      <c r="C822" s="244">
        <f t="shared" si="77"/>
        <v>2</v>
      </c>
      <c r="D822" s="244">
        <f t="shared" si="78"/>
        <v>8</v>
      </c>
      <c r="E822" s="244">
        <f t="shared" si="79"/>
        <v>10</v>
      </c>
      <c r="G822" s="259" t="str">
        <f t="shared" si="80"/>
        <v>&lt;ct2292&gt;</v>
      </c>
      <c r="H822" s="260">
        <f>VLOOKUP(N822,BCDTK!$E$9:$L$132,7,0)</f>
        <v>0</v>
      </c>
      <c r="I822" s="261" t="str">
        <f t="shared" si="81"/>
        <v>&lt;/ct2292&gt;</v>
      </c>
      <c r="J822" s="262"/>
      <c r="K822" s="262"/>
      <c r="L822" s="262"/>
      <c r="M822" s="263"/>
      <c r="N822" s="265">
        <v>2292</v>
      </c>
    </row>
    <row r="823" spans="1:14" x14ac:dyDescent="0.45">
      <c r="A823" s="253" t="str">
        <f t="shared" si="82"/>
        <v>&lt;ct2293&gt;0&lt;/ct2293&gt;</v>
      </c>
      <c r="B823" s="243" t="s">
        <v>1625</v>
      </c>
      <c r="C823" s="244">
        <f t="shared" si="77"/>
        <v>2</v>
      </c>
      <c r="D823" s="244">
        <f t="shared" si="78"/>
        <v>8</v>
      </c>
      <c r="E823" s="244">
        <f t="shared" si="79"/>
        <v>10</v>
      </c>
      <c r="G823" s="259" t="str">
        <f t="shared" si="80"/>
        <v>&lt;ct2293&gt;</v>
      </c>
      <c r="H823" s="260">
        <f>VLOOKUP(N823,BCDTK!$E$9:$L$132,7,0)</f>
        <v>0</v>
      </c>
      <c r="I823" s="261" t="str">
        <f t="shared" si="81"/>
        <v>&lt;/ct2293&gt;</v>
      </c>
      <c r="J823" s="262"/>
      <c r="K823" s="262"/>
      <c r="L823" s="262"/>
      <c r="M823" s="263"/>
      <c r="N823" s="265">
        <v>2293</v>
      </c>
    </row>
    <row r="824" spans="1:14" x14ac:dyDescent="0.45">
      <c r="A824" s="253" t="str">
        <f t="shared" si="82"/>
        <v>&lt;ct2294&gt;0&lt;/ct2294&gt;</v>
      </c>
      <c r="B824" s="243" t="s">
        <v>1626</v>
      </c>
      <c r="C824" s="244">
        <f t="shared" si="77"/>
        <v>2</v>
      </c>
      <c r="D824" s="244">
        <f t="shared" si="78"/>
        <v>8</v>
      </c>
      <c r="E824" s="244">
        <f t="shared" si="79"/>
        <v>10</v>
      </c>
      <c r="G824" s="259" t="str">
        <f t="shared" si="80"/>
        <v>&lt;ct2294&gt;</v>
      </c>
      <c r="H824" s="260">
        <f>VLOOKUP(N824,BCDTK!$E$9:$L$132,7,0)</f>
        <v>0</v>
      </c>
      <c r="I824" s="261" t="str">
        <f t="shared" si="81"/>
        <v>&lt;/ct2294&gt;</v>
      </c>
      <c r="J824" s="262"/>
      <c r="K824" s="262"/>
      <c r="L824" s="262"/>
      <c r="M824" s="263"/>
      <c r="N824" s="265">
        <v>2294</v>
      </c>
    </row>
    <row r="825" spans="1:14" x14ac:dyDescent="0.45">
      <c r="A825" s="253" t="str">
        <f t="shared" si="82"/>
        <v>&lt;ct241&gt;0&lt;/ct241&gt;</v>
      </c>
      <c r="B825" s="243" t="s">
        <v>1721</v>
      </c>
      <c r="C825" s="244">
        <f t="shared" si="77"/>
        <v>2</v>
      </c>
      <c r="D825" s="244">
        <f t="shared" si="78"/>
        <v>7</v>
      </c>
      <c r="E825" s="244">
        <f t="shared" si="79"/>
        <v>17</v>
      </c>
      <c r="G825" s="259" t="str">
        <f t="shared" si="80"/>
        <v>&lt;ct241&gt;</v>
      </c>
      <c r="H825" s="260">
        <f>VLOOKUP(N825,BCDTK!$E$9:$L$132,7,0)</f>
        <v>0</v>
      </c>
      <c r="I825" s="261" t="str">
        <f t="shared" si="81"/>
        <v>&lt;/ct241&gt;</v>
      </c>
      <c r="J825" s="262"/>
      <c r="K825" s="262"/>
      <c r="L825" s="262"/>
      <c r="M825" s="263"/>
      <c r="N825" s="265">
        <v>241</v>
      </c>
    </row>
    <row r="826" spans="1:14" x14ac:dyDescent="0.45">
      <c r="A826" s="253" t="str">
        <f t="shared" si="82"/>
        <v>&lt;ct2411&gt;0&lt;/ct2411&gt;</v>
      </c>
      <c r="B826" s="243" t="s">
        <v>1628</v>
      </c>
      <c r="C826" s="244">
        <f t="shared" si="77"/>
        <v>2</v>
      </c>
      <c r="D826" s="244">
        <f t="shared" si="78"/>
        <v>8</v>
      </c>
      <c r="E826" s="244">
        <f t="shared" si="79"/>
        <v>10</v>
      </c>
      <c r="G826" s="259" t="str">
        <f t="shared" si="80"/>
        <v>&lt;ct2411&gt;</v>
      </c>
      <c r="H826" s="260">
        <f>VLOOKUP(N826,BCDTK!$E$9:$L$132,7,0)</f>
        <v>0</v>
      </c>
      <c r="I826" s="261" t="str">
        <f t="shared" si="81"/>
        <v>&lt;/ct2411&gt;</v>
      </c>
      <c r="J826" s="262"/>
      <c r="K826" s="262"/>
      <c r="L826" s="262"/>
      <c r="M826" s="263"/>
      <c r="N826" s="265">
        <v>2411</v>
      </c>
    </row>
    <row r="827" spans="1:14" x14ac:dyDescent="0.45">
      <c r="A827" s="253" t="str">
        <f t="shared" si="82"/>
        <v>&lt;ct2412&gt;0&lt;/ct2412&gt;</v>
      </c>
      <c r="B827" s="243" t="s">
        <v>1722</v>
      </c>
      <c r="C827" s="244">
        <f t="shared" si="77"/>
        <v>2</v>
      </c>
      <c r="D827" s="244">
        <f t="shared" si="78"/>
        <v>8</v>
      </c>
      <c r="E827" s="244">
        <f t="shared" si="79"/>
        <v>18</v>
      </c>
      <c r="G827" s="259" t="str">
        <f t="shared" si="80"/>
        <v>&lt;ct2412&gt;</v>
      </c>
      <c r="H827" s="260">
        <f>VLOOKUP(N827,BCDTK!$E$9:$L$132,7,0)</f>
        <v>0</v>
      </c>
      <c r="I827" s="261" t="str">
        <f t="shared" si="81"/>
        <v>&lt;/ct2412&gt;</v>
      </c>
      <c r="J827" s="262"/>
      <c r="K827" s="262"/>
      <c r="L827" s="262"/>
      <c r="M827" s="263"/>
      <c r="N827" s="265">
        <v>2412</v>
      </c>
    </row>
    <row r="828" spans="1:14" x14ac:dyDescent="0.45">
      <c r="A828" s="253" t="str">
        <f t="shared" si="82"/>
        <v>&lt;ct2413&gt;0&lt;/ct2413&gt;</v>
      </c>
      <c r="B828" s="243" t="s">
        <v>1630</v>
      </c>
      <c r="C828" s="244">
        <f t="shared" si="77"/>
        <v>2</v>
      </c>
      <c r="D828" s="244">
        <f t="shared" si="78"/>
        <v>8</v>
      </c>
      <c r="E828" s="244">
        <f t="shared" si="79"/>
        <v>10</v>
      </c>
      <c r="G828" s="259" t="str">
        <f t="shared" si="80"/>
        <v>&lt;ct2413&gt;</v>
      </c>
      <c r="H828" s="260">
        <f>VLOOKUP(N828,BCDTK!$E$9:$L$132,7,0)</f>
        <v>0</v>
      </c>
      <c r="I828" s="261" t="str">
        <f t="shared" si="81"/>
        <v>&lt;/ct2413&gt;</v>
      </c>
      <c r="J828" s="262"/>
      <c r="K828" s="262"/>
      <c r="L828" s="262"/>
      <c r="M828" s="263"/>
      <c r="N828" s="265">
        <v>2413</v>
      </c>
    </row>
    <row r="829" spans="1:14" x14ac:dyDescent="0.45">
      <c r="A829" s="253" t="str">
        <f t="shared" si="82"/>
        <v>&lt;ct242&gt;22550101&lt;/ct242&gt;</v>
      </c>
      <c r="B829" s="243" t="s">
        <v>1778</v>
      </c>
      <c r="C829" s="244">
        <f t="shared" si="77"/>
        <v>2</v>
      </c>
      <c r="D829" s="244">
        <f t="shared" si="78"/>
        <v>7</v>
      </c>
      <c r="E829" s="244">
        <f t="shared" si="79"/>
        <v>18</v>
      </c>
      <c r="G829" s="259" t="str">
        <f t="shared" si="80"/>
        <v>&lt;ct242&gt;</v>
      </c>
      <c r="H829" s="260">
        <f>VLOOKUP(N829,BCDTK!$E$9:$L$132,7,0)</f>
        <v>22550101</v>
      </c>
      <c r="I829" s="261" t="str">
        <f t="shared" si="81"/>
        <v>&lt;/ct242&gt;</v>
      </c>
      <c r="J829" s="262"/>
      <c r="K829" s="262"/>
      <c r="L829" s="262"/>
      <c r="M829" s="263"/>
      <c r="N829" s="265">
        <v>242</v>
      </c>
    </row>
    <row r="830" spans="1:14" x14ac:dyDescent="0.45">
      <c r="A830" s="253" t="str">
        <f t="shared" si="82"/>
        <v>&lt;ct331&gt;0&lt;/ct331&gt;</v>
      </c>
      <c r="B830" s="243" t="s">
        <v>1632</v>
      </c>
      <c r="C830" s="244">
        <f t="shared" si="77"/>
        <v>2</v>
      </c>
      <c r="D830" s="244">
        <f t="shared" si="78"/>
        <v>7</v>
      </c>
      <c r="E830" s="244">
        <f t="shared" si="79"/>
        <v>9</v>
      </c>
      <c r="G830" s="259" t="str">
        <f t="shared" si="80"/>
        <v>&lt;ct331&gt;</v>
      </c>
      <c r="H830" s="260">
        <f>VLOOKUP(N830,BCDTK!$E$9:$L$132,7,0)</f>
        <v>0</v>
      </c>
      <c r="I830" s="261" t="str">
        <f t="shared" si="81"/>
        <v>&lt;/ct331&gt;</v>
      </c>
      <c r="J830" s="262"/>
      <c r="K830" s="262"/>
      <c r="L830" s="262"/>
      <c r="M830" s="263"/>
      <c r="N830" s="265">
        <v>331</v>
      </c>
    </row>
    <row r="831" spans="1:14" x14ac:dyDescent="0.45">
      <c r="A831" s="253" t="str">
        <f t="shared" si="82"/>
        <v>&lt;ct333&gt;0&lt;/ct333&gt;</v>
      </c>
      <c r="B831" s="243" t="s">
        <v>1633</v>
      </c>
      <c r="C831" s="244">
        <f t="shared" si="77"/>
        <v>2</v>
      </c>
      <c r="D831" s="244">
        <f t="shared" si="78"/>
        <v>7</v>
      </c>
      <c r="E831" s="244">
        <f t="shared" si="79"/>
        <v>9</v>
      </c>
      <c r="G831" s="259" t="str">
        <f t="shared" si="80"/>
        <v>&lt;ct333&gt;</v>
      </c>
      <c r="H831" s="260">
        <f>VLOOKUP(N831,BCDTK!$E$9:$L$132,7,0)</f>
        <v>0</v>
      </c>
      <c r="I831" s="261" t="str">
        <f t="shared" si="81"/>
        <v>&lt;/ct333&gt;</v>
      </c>
      <c r="J831" s="262"/>
      <c r="K831" s="262"/>
      <c r="L831" s="262"/>
      <c r="M831" s="263"/>
      <c r="N831" s="265">
        <v>333</v>
      </c>
    </row>
    <row r="832" spans="1:14" x14ac:dyDescent="0.45">
      <c r="A832" s="253" t="str">
        <f t="shared" si="82"/>
        <v>&lt;ct3331&gt;0&lt;/ct3331&gt;</v>
      </c>
      <c r="B832" s="243" t="s">
        <v>1634</v>
      </c>
      <c r="C832" s="244">
        <f t="shared" si="77"/>
        <v>2</v>
      </c>
      <c r="D832" s="244">
        <f t="shared" si="78"/>
        <v>8</v>
      </c>
      <c r="E832" s="244">
        <f t="shared" si="79"/>
        <v>10</v>
      </c>
      <c r="G832" s="259" t="str">
        <f t="shared" si="80"/>
        <v>&lt;ct3331&gt;</v>
      </c>
      <c r="H832" s="260">
        <f>VLOOKUP(N832,BCDTK!$E$9:$L$132,7,0)</f>
        <v>0</v>
      </c>
      <c r="I832" s="261" t="str">
        <f t="shared" si="81"/>
        <v>&lt;/ct3331&gt;</v>
      </c>
      <c r="J832" s="262"/>
      <c r="K832" s="262"/>
      <c r="L832" s="262"/>
      <c r="M832" s="263"/>
      <c r="N832" s="265">
        <v>3331</v>
      </c>
    </row>
    <row r="833" spans="1:14" x14ac:dyDescent="0.45">
      <c r="A833" s="253" t="str">
        <f t="shared" si="82"/>
        <v>&lt;ct33311&gt;0&lt;/ct33311&gt;</v>
      </c>
      <c r="B833" s="243" t="s">
        <v>1635</v>
      </c>
      <c r="C833" s="244">
        <f t="shared" si="77"/>
        <v>2</v>
      </c>
      <c r="D833" s="244">
        <f t="shared" si="78"/>
        <v>9</v>
      </c>
      <c r="E833" s="244">
        <f t="shared" si="79"/>
        <v>11</v>
      </c>
      <c r="G833" s="259" t="str">
        <f t="shared" si="80"/>
        <v>&lt;ct33311&gt;</v>
      </c>
      <c r="H833" s="260">
        <f>VLOOKUP(N833,BCDTK!$E$9:$L$132,7,0)</f>
        <v>0</v>
      </c>
      <c r="I833" s="261" t="str">
        <f t="shared" si="81"/>
        <v>&lt;/ct33311&gt;</v>
      </c>
      <c r="J833" s="262"/>
      <c r="K833" s="262"/>
      <c r="L833" s="262"/>
      <c r="M833" s="263"/>
      <c r="N833" s="265">
        <v>33311</v>
      </c>
    </row>
    <row r="834" spans="1:14" x14ac:dyDescent="0.45">
      <c r="A834" s="253" t="str">
        <f t="shared" si="82"/>
        <v>&lt;ct33312&gt;0&lt;/ct33312&gt;</v>
      </c>
      <c r="B834" s="243" t="s">
        <v>1636</v>
      </c>
      <c r="C834" s="244">
        <f t="shared" si="77"/>
        <v>2</v>
      </c>
      <c r="D834" s="244">
        <f t="shared" si="78"/>
        <v>9</v>
      </c>
      <c r="E834" s="244">
        <f t="shared" si="79"/>
        <v>11</v>
      </c>
      <c r="G834" s="259" t="str">
        <f t="shared" si="80"/>
        <v>&lt;ct33312&gt;</v>
      </c>
      <c r="H834" s="260">
        <f>VLOOKUP(N834,BCDTK!$E$9:$L$132,7,0)</f>
        <v>0</v>
      </c>
      <c r="I834" s="261" t="str">
        <f t="shared" si="81"/>
        <v>&lt;/ct33312&gt;</v>
      </c>
      <c r="J834" s="262"/>
      <c r="K834" s="262"/>
      <c r="L834" s="262"/>
      <c r="M834" s="263"/>
      <c r="N834" s="265">
        <v>33312</v>
      </c>
    </row>
    <row r="835" spans="1:14" x14ac:dyDescent="0.45">
      <c r="A835" s="253" t="str">
        <f t="shared" si="82"/>
        <v>&lt;ct3332&gt;0&lt;/ct3332&gt;</v>
      </c>
      <c r="B835" s="243" t="s">
        <v>1637</v>
      </c>
      <c r="C835" s="244">
        <f t="shared" si="77"/>
        <v>2</v>
      </c>
      <c r="D835" s="244">
        <f t="shared" si="78"/>
        <v>8</v>
      </c>
      <c r="E835" s="244">
        <f t="shared" si="79"/>
        <v>10</v>
      </c>
      <c r="G835" s="259" t="str">
        <f t="shared" si="80"/>
        <v>&lt;ct3332&gt;</v>
      </c>
      <c r="H835" s="260">
        <f>VLOOKUP(N835,BCDTK!$E$9:$L$132,7,0)</f>
        <v>0</v>
      </c>
      <c r="I835" s="261" t="str">
        <f t="shared" si="81"/>
        <v>&lt;/ct3332&gt;</v>
      </c>
      <c r="J835" s="262"/>
      <c r="K835" s="262"/>
      <c r="L835" s="262"/>
      <c r="M835" s="263"/>
      <c r="N835" s="265">
        <v>3332</v>
      </c>
    </row>
    <row r="836" spans="1:14" x14ac:dyDescent="0.45">
      <c r="A836" s="253" t="str">
        <f t="shared" si="82"/>
        <v>&lt;ct3333&gt;0&lt;/ct3333&gt;</v>
      </c>
      <c r="B836" s="243" t="s">
        <v>1638</v>
      </c>
      <c r="C836" s="244">
        <f t="shared" si="77"/>
        <v>2</v>
      </c>
      <c r="D836" s="244">
        <f t="shared" si="78"/>
        <v>8</v>
      </c>
      <c r="E836" s="244">
        <f t="shared" si="79"/>
        <v>10</v>
      </c>
      <c r="G836" s="259" t="str">
        <f t="shared" si="80"/>
        <v>&lt;ct3333&gt;</v>
      </c>
      <c r="H836" s="260">
        <f>VLOOKUP(N836,BCDTK!$E$9:$L$132,7,0)</f>
        <v>0</v>
      </c>
      <c r="I836" s="261" t="str">
        <f t="shared" si="81"/>
        <v>&lt;/ct3333&gt;</v>
      </c>
      <c r="J836" s="262"/>
      <c r="K836" s="262"/>
      <c r="L836" s="262"/>
      <c r="M836" s="263"/>
      <c r="N836" s="265">
        <v>3333</v>
      </c>
    </row>
    <row r="837" spans="1:14" x14ac:dyDescent="0.45">
      <c r="A837" s="253" t="str">
        <f t="shared" si="82"/>
        <v>&lt;ct3334&gt;0&lt;/ct3334&gt;</v>
      </c>
      <c r="B837" s="243" t="s">
        <v>1639</v>
      </c>
      <c r="C837" s="244">
        <f t="shared" si="77"/>
        <v>2</v>
      </c>
      <c r="D837" s="244">
        <f t="shared" si="78"/>
        <v>8</v>
      </c>
      <c r="E837" s="244">
        <f t="shared" si="79"/>
        <v>10</v>
      </c>
      <c r="G837" s="259" t="str">
        <f t="shared" si="80"/>
        <v>&lt;ct3334&gt;</v>
      </c>
      <c r="H837" s="260">
        <f>VLOOKUP(N837,BCDTK!$E$9:$L$132,7,0)</f>
        <v>0</v>
      </c>
      <c r="I837" s="261" t="str">
        <f t="shared" si="81"/>
        <v>&lt;/ct3334&gt;</v>
      </c>
      <c r="J837" s="262"/>
      <c r="K837" s="262"/>
      <c r="L837" s="262"/>
      <c r="M837" s="263"/>
      <c r="N837" s="265">
        <v>3334</v>
      </c>
    </row>
    <row r="838" spans="1:14" x14ac:dyDescent="0.45">
      <c r="A838" s="253" t="str">
        <f t="shared" si="82"/>
        <v>&lt;ct3335&gt;0&lt;/ct3335&gt;</v>
      </c>
      <c r="B838" s="243" t="s">
        <v>1640</v>
      </c>
      <c r="C838" s="244">
        <f t="shared" si="77"/>
        <v>2</v>
      </c>
      <c r="D838" s="244">
        <f t="shared" si="78"/>
        <v>8</v>
      </c>
      <c r="E838" s="244">
        <f t="shared" si="79"/>
        <v>10</v>
      </c>
      <c r="G838" s="259" t="str">
        <f t="shared" si="80"/>
        <v>&lt;ct3335&gt;</v>
      </c>
      <c r="H838" s="260">
        <f>VLOOKUP(N838,BCDTK!$E$9:$L$132,7,0)</f>
        <v>0</v>
      </c>
      <c r="I838" s="261" t="str">
        <f t="shared" si="81"/>
        <v>&lt;/ct3335&gt;</v>
      </c>
      <c r="J838" s="262"/>
      <c r="K838" s="262"/>
      <c r="L838" s="262"/>
      <c r="M838" s="263"/>
      <c r="N838" s="265">
        <v>3335</v>
      </c>
    </row>
    <row r="839" spans="1:14" x14ac:dyDescent="0.45">
      <c r="A839" s="253" t="str">
        <f t="shared" si="82"/>
        <v>&lt;ct3336&gt;0&lt;/ct3336&gt;</v>
      </c>
      <c r="B839" s="243" t="s">
        <v>1641</v>
      </c>
      <c r="C839" s="244">
        <f t="shared" si="77"/>
        <v>2</v>
      </c>
      <c r="D839" s="244">
        <f t="shared" si="78"/>
        <v>8</v>
      </c>
      <c r="E839" s="244">
        <f t="shared" si="79"/>
        <v>10</v>
      </c>
      <c r="G839" s="259" t="str">
        <f t="shared" si="80"/>
        <v>&lt;ct3336&gt;</v>
      </c>
      <c r="H839" s="260">
        <f>VLOOKUP(N839,BCDTK!$E$9:$L$132,7,0)</f>
        <v>0</v>
      </c>
      <c r="I839" s="261" t="str">
        <f t="shared" si="81"/>
        <v>&lt;/ct3336&gt;</v>
      </c>
      <c r="J839" s="262"/>
      <c r="K839" s="262"/>
      <c r="L839" s="262"/>
      <c r="M839" s="263"/>
      <c r="N839" s="265">
        <v>3336</v>
      </c>
    </row>
    <row r="840" spans="1:14" x14ac:dyDescent="0.45">
      <c r="A840" s="253" t="str">
        <f t="shared" si="82"/>
        <v>&lt;ct3337&gt;0&lt;/ct3337&gt;</v>
      </c>
      <c r="B840" s="243" t="s">
        <v>1642</v>
      </c>
      <c r="C840" s="244">
        <f t="shared" si="77"/>
        <v>2</v>
      </c>
      <c r="D840" s="244">
        <f t="shared" si="78"/>
        <v>8</v>
      </c>
      <c r="E840" s="244">
        <f t="shared" si="79"/>
        <v>10</v>
      </c>
      <c r="G840" s="259" t="str">
        <f t="shared" si="80"/>
        <v>&lt;ct3337&gt;</v>
      </c>
      <c r="H840" s="260">
        <f>VLOOKUP(N840,BCDTK!$E$9:$L$132,7,0)</f>
        <v>0</v>
      </c>
      <c r="I840" s="261" t="str">
        <f t="shared" si="81"/>
        <v>&lt;/ct3337&gt;</v>
      </c>
      <c r="J840" s="262"/>
      <c r="K840" s="262"/>
      <c r="L840" s="262"/>
      <c r="M840" s="263"/>
      <c r="N840" s="265">
        <v>3337</v>
      </c>
    </row>
    <row r="841" spans="1:14" x14ac:dyDescent="0.45">
      <c r="A841" s="253" t="str">
        <f t="shared" si="82"/>
        <v>&lt;ct3338&gt;0&lt;/ct3338&gt;</v>
      </c>
      <c r="B841" s="243" t="s">
        <v>1643</v>
      </c>
      <c r="C841" s="244">
        <f t="shared" si="77"/>
        <v>2</v>
      </c>
      <c r="D841" s="244">
        <f t="shared" si="78"/>
        <v>8</v>
      </c>
      <c r="E841" s="244">
        <f t="shared" si="79"/>
        <v>10</v>
      </c>
      <c r="G841" s="259" t="str">
        <f t="shared" si="80"/>
        <v>&lt;ct3338&gt;</v>
      </c>
      <c r="H841" s="260">
        <f>VLOOKUP(N841,BCDTK!$E$9:$L$132,7,0)</f>
        <v>0</v>
      </c>
      <c r="I841" s="261" t="str">
        <f t="shared" si="81"/>
        <v>&lt;/ct3338&gt;</v>
      </c>
      <c r="J841" s="262"/>
      <c r="K841" s="262"/>
      <c r="L841" s="262"/>
      <c r="M841" s="263"/>
      <c r="N841" s="265">
        <v>3338</v>
      </c>
    </row>
    <row r="842" spans="1:14" x14ac:dyDescent="0.45">
      <c r="A842" s="253" t="str">
        <f t="shared" si="82"/>
        <v>&lt;ct33381&gt;0&lt;/ct33381&gt;</v>
      </c>
      <c r="B842" s="243" t="s">
        <v>1644</v>
      </c>
      <c r="C842" s="244">
        <f t="shared" si="77"/>
        <v>2</v>
      </c>
      <c r="D842" s="244">
        <f t="shared" si="78"/>
        <v>9</v>
      </c>
      <c r="E842" s="244">
        <f t="shared" si="79"/>
        <v>11</v>
      </c>
      <c r="G842" s="259" t="str">
        <f t="shared" si="80"/>
        <v>&lt;ct33381&gt;</v>
      </c>
      <c r="H842" s="260">
        <f>VLOOKUP(N842,BCDTK!$E$9:$L$132,7,0)</f>
        <v>0</v>
      </c>
      <c r="I842" s="261" t="str">
        <f t="shared" si="81"/>
        <v>&lt;/ct33381&gt;</v>
      </c>
      <c r="J842" s="262"/>
      <c r="K842" s="262"/>
      <c r="L842" s="262"/>
      <c r="M842" s="263"/>
      <c r="N842" s="265">
        <v>33381</v>
      </c>
    </row>
    <row r="843" spans="1:14" x14ac:dyDescent="0.45">
      <c r="A843" s="253" t="str">
        <f t="shared" si="82"/>
        <v>&lt;ct33382&gt;0&lt;/ct33382&gt;</v>
      </c>
      <c r="B843" s="243" t="s">
        <v>1645</v>
      </c>
      <c r="C843" s="244">
        <f t="shared" si="77"/>
        <v>2</v>
      </c>
      <c r="D843" s="244">
        <f t="shared" si="78"/>
        <v>9</v>
      </c>
      <c r="E843" s="244">
        <f t="shared" si="79"/>
        <v>11</v>
      </c>
      <c r="G843" s="259" t="str">
        <f t="shared" si="80"/>
        <v>&lt;ct33382&gt;</v>
      </c>
      <c r="H843" s="260">
        <f>VLOOKUP(N843,BCDTK!$E$9:$L$132,7,0)</f>
        <v>0</v>
      </c>
      <c r="I843" s="261" t="str">
        <f t="shared" si="81"/>
        <v>&lt;/ct33382&gt;</v>
      </c>
      <c r="J843" s="262"/>
      <c r="K843" s="262"/>
      <c r="L843" s="262"/>
      <c r="M843" s="263"/>
      <c r="N843" s="265">
        <v>33382</v>
      </c>
    </row>
    <row r="844" spans="1:14" x14ac:dyDescent="0.45">
      <c r="A844" s="253" t="str">
        <f t="shared" si="82"/>
        <v>&lt;ct3339&gt;0&lt;/ct3339&gt;</v>
      </c>
      <c r="B844" s="243" t="s">
        <v>1646</v>
      </c>
      <c r="C844" s="244">
        <f t="shared" si="77"/>
        <v>2</v>
      </c>
      <c r="D844" s="244">
        <f t="shared" si="78"/>
        <v>8</v>
      </c>
      <c r="E844" s="244">
        <f t="shared" si="79"/>
        <v>10</v>
      </c>
      <c r="G844" s="259" t="str">
        <f t="shared" si="80"/>
        <v>&lt;ct3339&gt;</v>
      </c>
      <c r="H844" s="260">
        <f>VLOOKUP(N844,BCDTK!$E$9:$L$132,7,0)</f>
        <v>0</v>
      </c>
      <c r="I844" s="261" t="str">
        <f t="shared" si="81"/>
        <v>&lt;/ct3339&gt;</v>
      </c>
      <c r="J844" s="262"/>
      <c r="K844" s="262"/>
      <c r="L844" s="262"/>
      <c r="M844" s="263"/>
      <c r="N844" s="265">
        <v>3339</v>
      </c>
    </row>
    <row r="845" spans="1:14" x14ac:dyDescent="0.45">
      <c r="A845" s="253" t="str">
        <f t="shared" si="82"/>
        <v>&lt;ct334&gt;0&lt;/ct334&gt;</v>
      </c>
      <c r="B845" s="243" t="s">
        <v>1647</v>
      </c>
      <c r="C845" s="244">
        <f t="shared" si="77"/>
        <v>2</v>
      </c>
      <c r="D845" s="244">
        <f t="shared" si="78"/>
        <v>7</v>
      </c>
      <c r="E845" s="244">
        <f t="shared" si="79"/>
        <v>9</v>
      </c>
      <c r="G845" s="259" t="str">
        <f t="shared" si="80"/>
        <v>&lt;ct334&gt;</v>
      </c>
      <c r="H845" s="260">
        <f>VLOOKUP(N845,BCDTK!$E$9:$L$132,7,0)</f>
        <v>0</v>
      </c>
      <c r="I845" s="261" t="str">
        <f t="shared" si="81"/>
        <v>&lt;/ct334&gt;</v>
      </c>
      <c r="J845" s="262"/>
      <c r="K845" s="262"/>
      <c r="L845" s="262"/>
      <c r="M845" s="263"/>
      <c r="N845" s="265">
        <v>334</v>
      </c>
    </row>
    <row r="846" spans="1:14" x14ac:dyDescent="0.45">
      <c r="A846" s="253" t="str">
        <f t="shared" si="82"/>
        <v>&lt;ct335&gt;0&lt;/ct335&gt;</v>
      </c>
      <c r="B846" s="243" t="s">
        <v>1648</v>
      </c>
      <c r="C846" s="244">
        <f t="shared" si="77"/>
        <v>2</v>
      </c>
      <c r="D846" s="244">
        <f t="shared" si="78"/>
        <v>7</v>
      </c>
      <c r="E846" s="244">
        <f t="shared" si="79"/>
        <v>9</v>
      </c>
      <c r="G846" s="259" t="str">
        <f t="shared" si="80"/>
        <v>&lt;ct335&gt;</v>
      </c>
      <c r="H846" s="260">
        <f>VLOOKUP(N846,BCDTK!$E$9:$L$132,7,0)</f>
        <v>0</v>
      </c>
      <c r="I846" s="261" t="str">
        <f t="shared" si="81"/>
        <v>&lt;/ct335&gt;</v>
      </c>
      <c r="J846" s="262"/>
      <c r="K846" s="262"/>
      <c r="L846" s="262"/>
      <c r="M846" s="263"/>
      <c r="N846" s="265">
        <v>335</v>
      </c>
    </row>
    <row r="847" spans="1:14" x14ac:dyDescent="0.45">
      <c r="A847" s="253" t="str">
        <f t="shared" si="82"/>
        <v>&lt;ct336&gt;0&lt;/ct336&gt;</v>
      </c>
      <c r="B847" s="243" t="s">
        <v>1649</v>
      </c>
      <c r="C847" s="244">
        <f t="shared" si="77"/>
        <v>2</v>
      </c>
      <c r="D847" s="244">
        <f t="shared" si="78"/>
        <v>7</v>
      </c>
      <c r="E847" s="244">
        <f t="shared" si="79"/>
        <v>9</v>
      </c>
      <c r="G847" s="259" t="str">
        <f t="shared" si="80"/>
        <v>&lt;ct336&gt;</v>
      </c>
      <c r="H847" s="260">
        <f>VLOOKUP(N847,BCDTK!$E$9:$L$132,7,0)</f>
        <v>0</v>
      </c>
      <c r="I847" s="261" t="str">
        <f t="shared" si="81"/>
        <v>&lt;/ct336&gt;</v>
      </c>
      <c r="J847" s="262"/>
      <c r="K847" s="262"/>
      <c r="L847" s="262"/>
      <c r="M847" s="263"/>
      <c r="N847" s="265">
        <v>336</v>
      </c>
    </row>
    <row r="848" spans="1:14" x14ac:dyDescent="0.45">
      <c r="A848" s="253" t="str">
        <f t="shared" si="82"/>
        <v>&lt;ct3361&gt;0&lt;/ct3361&gt;</v>
      </c>
      <c r="B848" s="243" t="s">
        <v>1650</v>
      </c>
      <c r="C848" s="244">
        <f t="shared" si="77"/>
        <v>2</v>
      </c>
      <c r="D848" s="244">
        <f t="shared" si="78"/>
        <v>8</v>
      </c>
      <c r="E848" s="244">
        <f t="shared" si="79"/>
        <v>10</v>
      </c>
      <c r="G848" s="259" t="str">
        <f t="shared" si="80"/>
        <v>&lt;ct3361&gt;</v>
      </c>
      <c r="H848" s="260">
        <f>VLOOKUP(N848,BCDTK!$E$9:$L$132,7,0)</f>
        <v>0</v>
      </c>
      <c r="I848" s="261" t="str">
        <f t="shared" si="81"/>
        <v>&lt;/ct3361&gt;</v>
      </c>
      <c r="J848" s="262"/>
      <c r="K848" s="262"/>
      <c r="L848" s="262"/>
      <c r="M848" s="263"/>
      <c r="N848" s="265">
        <v>3361</v>
      </c>
    </row>
    <row r="849" spans="1:14" x14ac:dyDescent="0.45">
      <c r="A849" s="253" t="str">
        <f t="shared" si="82"/>
        <v>&lt;ct3368&gt;0&lt;/ct3368&gt;</v>
      </c>
      <c r="B849" s="243" t="s">
        <v>1651</v>
      </c>
      <c r="C849" s="244">
        <f t="shared" si="77"/>
        <v>2</v>
      </c>
      <c r="D849" s="244">
        <f t="shared" si="78"/>
        <v>8</v>
      </c>
      <c r="E849" s="244">
        <f t="shared" si="79"/>
        <v>10</v>
      </c>
      <c r="G849" s="259" t="str">
        <f t="shared" si="80"/>
        <v>&lt;ct3368&gt;</v>
      </c>
      <c r="H849" s="260">
        <f>VLOOKUP(N849,BCDTK!$E$9:$L$132,7,0)</f>
        <v>0</v>
      </c>
      <c r="I849" s="261" t="str">
        <f t="shared" si="81"/>
        <v>&lt;/ct3368&gt;</v>
      </c>
      <c r="J849" s="262"/>
      <c r="K849" s="262"/>
      <c r="L849" s="262"/>
      <c r="M849" s="263"/>
      <c r="N849" s="265">
        <v>3368</v>
      </c>
    </row>
    <row r="850" spans="1:14" x14ac:dyDescent="0.45">
      <c r="A850" s="253" t="str">
        <f t="shared" si="82"/>
        <v>&lt;ct338&gt;0&lt;/ct338&gt;</v>
      </c>
      <c r="B850" s="243" t="s">
        <v>1652</v>
      </c>
      <c r="C850" s="244">
        <f t="shared" si="77"/>
        <v>2</v>
      </c>
      <c r="D850" s="244">
        <f t="shared" si="78"/>
        <v>7</v>
      </c>
      <c r="E850" s="244">
        <f t="shared" si="79"/>
        <v>9</v>
      </c>
      <c r="G850" s="259" t="str">
        <f t="shared" si="80"/>
        <v>&lt;ct338&gt;</v>
      </c>
      <c r="H850" s="260">
        <f>VLOOKUP(N850,BCDTK!$E$9:$L$132,7,0)</f>
        <v>0</v>
      </c>
      <c r="I850" s="261" t="str">
        <f t="shared" si="81"/>
        <v>&lt;/ct338&gt;</v>
      </c>
      <c r="J850" s="262"/>
      <c r="K850" s="262"/>
      <c r="L850" s="262"/>
      <c r="M850" s="263"/>
      <c r="N850" s="265">
        <v>338</v>
      </c>
    </row>
    <row r="851" spans="1:14" x14ac:dyDescent="0.45">
      <c r="A851" s="253" t="str">
        <f t="shared" si="82"/>
        <v>&lt;ct3381&gt;0&lt;/ct3381&gt;</v>
      </c>
      <c r="B851" s="243" t="s">
        <v>1653</v>
      </c>
      <c r="C851" s="244">
        <f t="shared" si="77"/>
        <v>2</v>
      </c>
      <c r="D851" s="244">
        <f t="shared" si="78"/>
        <v>8</v>
      </c>
      <c r="E851" s="244">
        <f t="shared" si="79"/>
        <v>10</v>
      </c>
      <c r="G851" s="259" t="str">
        <f t="shared" si="80"/>
        <v>&lt;ct3381&gt;</v>
      </c>
      <c r="H851" s="260">
        <f>VLOOKUP(N851,BCDTK!$E$9:$L$132,7,0)</f>
        <v>0</v>
      </c>
      <c r="I851" s="261" t="str">
        <f t="shared" si="81"/>
        <v>&lt;/ct3381&gt;</v>
      </c>
      <c r="J851" s="262"/>
      <c r="K851" s="262"/>
      <c r="L851" s="262"/>
      <c r="M851" s="263"/>
      <c r="N851" s="265">
        <v>3381</v>
      </c>
    </row>
    <row r="852" spans="1:14" x14ac:dyDescent="0.45">
      <c r="A852" s="253" t="str">
        <f t="shared" si="82"/>
        <v>&lt;ct3382&gt;0&lt;/ct3382&gt;</v>
      </c>
      <c r="B852" s="243" t="s">
        <v>1654</v>
      </c>
      <c r="C852" s="244">
        <f t="shared" si="77"/>
        <v>2</v>
      </c>
      <c r="D852" s="244">
        <f t="shared" si="78"/>
        <v>8</v>
      </c>
      <c r="E852" s="244">
        <f t="shared" si="79"/>
        <v>10</v>
      </c>
      <c r="G852" s="259" t="str">
        <f t="shared" si="80"/>
        <v>&lt;ct3382&gt;</v>
      </c>
      <c r="H852" s="260">
        <f>VLOOKUP(N852,BCDTK!$E$9:$L$132,7,0)</f>
        <v>0</v>
      </c>
      <c r="I852" s="261" t="str">
        <f t="shared" si="81"/>
        <v>&lt;/ct3382&gt;</v>
      </c>
      <c r="J852" s="262"/>
      <c r="K852" s="262"/>
      <c r="L852" s="262"/>
      <c r="M852" s="263"/>
      <c r="N852" s="265">
        <v>3382</v>
      </c>
    </row>
    <row r="853" spans="1:14" x14ac:dyDescent="0.45">
      <c r="A853" s="253" t="str">
        <f t="shared" si="82"/>
        <v>&lt;ct3383&gt;0&lt;/ct3383&gt;</v>
      </c>
      <c r="B853" s="243" t="s">
        <v>1655</v>
      </c>
      <c r="C853" s="244">
        <f t="shared" si="77"/>
        <v>2</v>
      </c>
      <c r="D853" s="244">
        <f t="shared" si="78"/>
        <v>8</v>
      </c>
      <c r="E853" s="244">
        <f t="shared" si="79"/>
        <v>10</v>
      </c>
      <c r="G853" s="259" t="str">
        <f t="shared" si="80"/>
        <v>&lt;ct3383&gt;</v>
      </c>
      <c r="H853" s="260">
        <f>VLOOKUP(N853,BCDTK!$E$9:$L$132,7,0)</f>
        <v>0</v>
      </c>
      <c r="I853" s="261" t="str">
        <f t="shared" si="81"/>
        <v>&lt;/ct3383&gt;</v>
      </c>
      <c r="J853" s="262"/>
      <c r="K853" s="262"/>
      <c r="L853" s="262"/>
      <c r="M853" s="263"/>
      <c r="N853" s="265">
        <v>3383</v>
      </c>
    </row>
    <row r="854" spans="1:14" x14ac:dyDescent="0.45">
      <c r="A854" s="253" t="str">
        <f t="shared" si="82"/>
        <v>&lt;ct3384&gt;0&lt;/ct3384&gt;</v>
      </c>
      <c r="B854" s="243" t="s">
        <v>1656</v>
      </c>
      <c r="C854" s="244">
        <f t="shared" si="77"/>
        <v>2</v>
      </c>
      <c r="D854" s="244">
        <f t="shared" si="78"/>
        <v>8</v>
      </c>
      <c r="E854" s="244">
        <f t="shared" si="79"/>
        <v>10</v>
      </c>
      <c r="G854" s="259" t="str">
        <f t="shared" si="80"/>
        <v>&lt;ct3384&gt;</v>
      </c>
      <c r="H854" s="260">
        <f>VLOOKUP(N854,BCDTK!$E$9:$L$132,7,0)</f>
        <v>0</v>
      </c>
      <c r="I854" s="261" t="str">
        <f t="shared" si="81"/>
        <v>&lt;/ct3384&gt;</v>
      </c>
      <c r="J854" s="262"/>
      <c r="K854" s="262"/>
      <c r="L854" s="262"/>
      <c r="M854" s="263"/>
      <c r="N854" s="265">
        <v>3384</v>
      </c>
    </row>
    <row r="855" spans="1:14" x14ac:dyDescent="0.45">
      <c r="A855" s="253" t="str">
        <f t="shared" si="82"/>
        <v>&lt;ct3385&gt;0&lt;/ct3385&gt;</v>
      </c>
      <c r="B855" s="243" t="s">
        <v>1657</v>
      </c>
      <c r="C855" s="244">
        <f t="shared" si="77"/>
        <v>2</v>
      </c>
      <c r="D855" s="244">
        <f t="shared" si="78"/>
        <v>8</v>
      </c>
      <c r="E855" s="244">
        <f t="shared" si="79"/>
        <v>10</v>
      </c>
      <c r="G855" s="259" t="str">
        <f t="shared" si="80"/>
        <v>&lt;ct3385&gt;</v>
      </c>
      <c r="H855" s="260">
        <f>VLOOKUP(N855,BCDTK!$E$9:$L$132,7,0)</f>
        <v>0</v>
      </c>
      <c r="I855" s="261" t="str">
        <f t="shared" si="81"/>
        <v>&lt;/ct3385&gt;</v>
      </c>
      <c r="J855" s="262"/>
      <c r="K855" s="262"/>
      <c r="L855" s="262"/>
      <c r="M855" s="263"/>
      <c r="N855" s="265">
        <v>3385</v>
      </c>
    </row>
    <row r="856" spans="1:14" x14ac:dyDescent="0.45">
      <c r="A856" s="253" t="str">
        <f t="shared" si="82"/>
        <v>&lt;ct3386&gt;0&lt;/ct3386&gt;</v>
      </c>
      <c r="B856" s="243" t="s">
        <v>1658</v>
      </c>
      <c r="C856" s="244">
        <f t="shared" si="77"/>
        <v>2</v>
      </c>
      <c r="D856" s="244">
        <f t="shared" si="78"/>
        <v>8</v>
      </c>
      <c r="E856" s="244">
        <f t="shared" si="79"/>
        <v>10</v>
      </c>
      <c r="G856" s="259" t="str">
        <f t="shared" si="80"/>
        <v>&lt;ct3386&gt;</v>
      </c>
      <c r="H856" s="260">
        <f>VLOOKUP(N856,BCDTK!$E$9:$L$132,7,0)</f>
        <v>0</v>
      </c>
      <c r="I856" s="261" t="str">
        <f t="shared" si="81"/>
        <v>&lt;/ct3386&gt;</v>
      </c>
      <c r="J856" s="262"/>
      <c r="K856" s="262"/>
      <c r="L856" s="262"/>
      <c r="M856" s="263"/>
      <c r="N856" s="265">
        <v>3386</v>
      </c>
    </row>
    <row r="857" spans="1:14" x14ac:dyDescent="0.45">
      <c r="A857" s="253" t="str">
        <f t="shared" si="82"/>
        <v>&lt;ct3387&gt;0&lt;/ct3387&gt;</v>
      </c>
      <c r="B857" s="243" t="s">
        <v>1659</v>
      </c>
      <c r="C857" s="244">
        <f t="shared" ref="C857:C920" si="83">LEN(B857)-LEN(SUBSTITUTE(B857,"&lt;",""))</f>
        <v>2</v>
      </c>
      <c r="D857" s="244">
        <f t="shared" ref="D857:D920" si="84">SEARCH("&gt;",B857)</f>
        <v>8</v>
      </c>
      <c r="E857" s="244">
        <f t="shared" ref="E857:E920" si="85">IFERROR(SEARCH("&lt;/",B857),"")</f>
        <v>10</v>
      </c>
      <c r="G857" s="259" t="str">
        <f t="shared" ref="G857:G920" si="86">LEFT(B857,D857)</f>
        <v>&lt;ct3387&gt;</v>
      </c>
      <c r="H857" s="260">
        <f>VLOOKUP(N857,BCDTK!$E$9:$L$132,7,0)</f>
        <v>0</v>
      </c>
      <c r="I857" s="261" t="str">
        <f t="shared" ref="I857:I920" si="87">IF(C857=2,RIGHT(B857,LEN(B857)-E857+1),"")</f>
        <v>&lt;/ct3387&gt;</v>
      </c>
      <c r="J857" s="262"/>
      <c r="K857" s="262"/>
      <c r="L857" s="262"/>
      <c r="M857" s="263"/>
      <c r="N857" s="265">
        <v>3387</v>
      </c>
    </row>
    <row r="858" spans="1:14" x14ac:dyDescent="0.45">
      <c r="A858" s="253" t="str">
        <f t="shared" si="82"/>
        <v>&lt;ct3388&gt;0&lt;/ct3388&gt;</v>
      </c>
      <c r="B858" s="243" t="s">
        <v>1660</v>
      </c>
      <c r="C858" s="244">
        <f t="shared" si="83"/>
        <v>2</v>
      </c>
      <c r="D858" s="244">
        <f t="shared" si="84"/>
        <v>8</v>
      </c>
      <c r="E858" s="244">
        <f t="shared" si="85"/>
        <v>10</v>
      </c>
      <c r="G858" s="259" t="str">
        <f t="shared" si="86"/>
        <v>&lt;ct3388&gt;</v>
      </c>
      <c r="H858" s="260">
        <f>VLOOKUP(N858,BCDTK!$E$9:$L$132,7,0)</f>
        <v>0</v>
      </c>
      <c r="I858" s="261" t="str">
        <f t="shared" si="87"/>
        <v>&lt;/ct3388&gt;</v>
      </c>
      <c r="J858" s="262"/>
      <c r="K858" s="262"/>
      <c r="L858" s="262"/>
      <c r="M858" s="263"/>
      <c r="N858" s="265">
        <v>3388</v>
      </c>
    </row>
    <row r="859" spans="1:14" x14ac:dyDescent="0.45">
      <c r="A859" s="253" t="str">
        <f t="shared" si="82"/>
        <v>&lt;ct341&gt;0&lt;/ct341&gt;</v>
      </c>
      <c r="B859" s="243" t="s">
        <v>1661</v>
      </c>
      <c r="C859" s="244">
        <f t="shared" si="83"/>
        <v>2</v>
      </c>
      <c r="D859" s="244">
        <f t="shared" si="84"/>
        <v>7</v>
      </c>
      <c r="E859" s="244">
        <f t="shared" si="85"/>
        <v>9</v>
      </c>
      <c r="G859" s="259" t="str">
        <f t="shared" si="86"/>
        <v>&lt;ct341&gt;</v>
      </c>
      <c r="H859" s="260">
        <f>VLOOKUP(N859,BCDTK!$E$9:$L$132,7,0)</f>
        <v>0</v>
      </c>
      <c r="I859" s="261" t="str">
        <f t="shared" si="87"/>
        <v>&lt;/ct341&gt;</v>
      </c>
      <c r="J859" s="262"/>
      <c r="K859" s="262"/>
      <c r="L859" s="262"/>
      <c r="M859" s="263"/>
      <c r="N859" s="265">
        <v>341</v>
      </c>
    </row>
    <row r="860" spans="1:14" x14ac:dyDescent="0.45">
      <c r="A860" s="253" t="str">
        <f t="shared" si="82"/>
        <v>&lt;ct3411&gt;0&lt;/ct3411&gt;</v>
      </c>
      <c r="B860" s="243" t="s">
        <v>1662</v>
      </c>
      <c r="C860" s="244">
        <f t="shared" si="83"/>
        <v>2</v>
      </c>
      <c r="D860" s="244">
        <f t="shared" si="84"/>
        <v>8</v>
      </c>
      <c r="E860" s="244">
        <f t="shared" si="85"/>
        <v>10</v>
      </c>
      <c r="G860" s="259" t="str">
        <f t="shared" si="86"/>
        <v>&lt;ct3411&gt;</v>
      </c>
      <c r="H860" s="260">
        <f>VLOOKUP(N860,BCDTK!$E$9:$L$132,7,0)</f>
        <v>0</v>
      </c>
      <c r="I860" s="261" t="str">
        <f t="shared" si="87"/>
        <v>&lt;/ct3411&gt;</v>
      </c>
      <c r="J860" s="262"/>
      <c r="K860" s="262"/>
      <c r="L860" s="262"/>
      <c r="M860" s="263"/>
      <c r="N860" s="265">
        <v>3411</v>
      </c>
    </row>
    <row r="861" spans="1:14" x14ac:dyDescent="0.45">
      <c r="A861" s="253" t="str">
        <f t="shared" si="82"/>
        <v>&lt;ct3412&gt;0&lt;/ct3412&gt;</v>
      </c>
      <c r="B861" s="243" t="s">
        <v>1663</v>
      </c>
      <c r="C861" s="244">
        <f t="shared" si="83"/>
        <v>2</v>
      </c>
      <c r="D861" s="244">
        <f t="shared" si="84"/>
        <v>8</v>
      </c>
      <c r="E861" s="244">
        <f t="shared" si="85"/>
        <v>10</v>
      </c>
      <c r="G861" s="259" t="str">
        <f t="shared" si="86"/>
        <v>&lt;ct3412&gt;</v>
      </c>
      <c r="H861" s="260">
        <f>VLOOKUP(N861,BCDTK!$E$9:$L$132,7,0)</f>
        <v>0</v>
      </c>
      <c r="I861" s="261" t="str">
        <f t="shared" si="87"/>
        <v>&lt;/ct3412&gt;</v>
      </c>
      <c r="J861" s="262"/>
      <c r="K861" s="262"/>
      <c r="L861" s="262"/>
      <c r="M861" s="263"/>
      <c r="N861" s="265">
        <v>3412</v>
      </c>
    </row>
    <row r="862" spans="1:14" x14ac:dyDescent="0.45">
      <c r="A862" s="253" t="str">
        <f t="shared" si="82"/>
        <v>&lt;ct352&gt;0&lt;/ct352&gt;</v>
      </c>
      <c r="B862" s="243" t="s">
        <v>1664</v>
      </c>
      <c r="C862" s="244">
        <f t="shared" si="83"/>
        <v>2</v>
      </c>
      <c r="D862" s="244">
        <f t="shared" si="84"/>
        <v>7</v>
      </c>
      <c r="E862" s="244">
        <f t="shared" si="85"/>
        <v>9</v>
      </c>
      <c r="G862" s="259" t="str">
        <f t="shared" si="86"/>
        <v>&lt;ct352&gt;</v>
      </c>
      <c r="H862" s="260">
        <f>VLOOKUP(N862,BCDTK!$E$9:$L$132,7,0)</f>
        <v>0</v>
      </c>
      <c r="I862" s="261" t="str">
        <f t="shared" si="87"/>
        <v>&lt;/ct352&gt;</v>
      </c>
      <c r="J862" s="262"/>
      <c r="K862" s="262"/>
      <c r="L862" s="262"/>
      <c r="M862" s="263"/>
      <c r="N862" s="265">
        <v>352</v>
      </c>
    </row>
    <row r="863" spans="1:14" x14ac:dyDescent="0.45">
      <c r="A863" s="253" t="str">
        <f t="shared" si="82"/>
        <v>&lt;ct3521&gt;0&lt;/ct3521&gt;</v>
      </c>
      <c r="B863" s="243" t="s">
        <v>1665</v>
      </c>
      <c r="C863" s="244">
        <f t="shared" si="83"/>
        <v>2</v>
      </c>
      <c r="D863" s="244">
        <f t="shared" si="84"/>
        <v>8</v>
      </c>
      <c r="E863" s="244">
        <f t="shared" si="85"/>
        <v>10</v>
      </c>
      <c r="G863" s="259" t="str">
        <f t="shared" si="86"/>
        <v>&lt;ct3521&gt;</v>
      </c>
      <c r="H863" s="260">
        <f>VLOOKUP(N863,BCDTK!$E$9:$L$132,7,0)</f>
        <v>0</v>
      </c>
      <c r="I863" s="261" t="str">
        <f t="shared" si="87"/>
        <v>&lt;/ct3521&gt;</v>
      </c>
      <c r="J863" s="262"/>
      <c r="K863" s="262"/>
      <c r="L863" s="262"/>
      <c r="M863" s="263"/>
      <c r="N863" s="265">
        <v>3521</v>
      </c>
    </row>
    <row r="864" spans="1:14" x14ac:dyDescent="0.45">
      <c r="A864" s="253" t="str">
        <f t="shared" si="82"/>
        <v>&lt;ct3522&gt;0&lt;/ct3522&gt;</v>
      </c>
      <c r="B864" s="243" t="s">
        <v>1666</v>
      </c>
      <c r="C864" s="244">
        <f t="shared" si="83"/>
        <v>2</v>
      </c>
      <c r="D864" s="244">
        <f t="shared" si="84"/>
        <v>8</v>
      </c>
      <c r="E864" s="244">
        <f t="shared" si="85"/>
        <v>10</v>
      </c>
      <c r="G864" s="259" t="str">
        <f t="shared" si="86"/>
        <v>&lt;ct3522&gt;</v>
      </c>
      <c r="H864" s="260">
        <f>VLOOKUP(N864,BCDTK!$E$9:$L$132,7,0)</f>
        <v>0</v>
      </c>
      <c r="I864" s="261" t="str">
        <f t="shared" si="87"/>
        <v>&lt;/ct3522&gt;</v>
      </c>
      <c r="J864" s="262"/>
      <c r="K864" s="262"/>
      <c r="L864" s="262"/>
      <c r="M864" s="263"/>
      <c r="N864" s="265">
        <v>3522</v>
      </c>
    </row>
    <row r="865" spans="1:14" x14ac:dyDescent="0.45">
      <c r="A865" s="253" t="str">
        <f t="shared" si="82"/>
        <v>&lt;ct3524&gt;0&lt;/ct3524&gt;</v>
      </c>
      <c r="B865" s="243" t="s">
        <v>1667</v>
      </c>
      <c r="C865" s="244">
        <f t="shared" si="83"/>
        <v>2</v>
      </c>
      <c r="D865" s="244">
        <f t="shared" si="84"/>
        <v>8</v>
      </c>
      <c r="E865" s="244">
        <f t="shared" si="85"/>
        <v>10</v>
      </c>
      <c r="G865" s="259" t="str">
        <f t="shared" si="86"/>
        <v>&lt;ct3524&gt;</v>
      </c>
      <c r="H865" s="260">
        <f>VLOOKUP(N865,BCDTK!$E$9:$L$132,7,0)</f>
        <v>0</v>
      </c>
      <c r="I865" s="261" t="str">
        <f t="shared" si="87"/>
        <v>&lt;/ct3524&gt;</v>
      </c>
      <c r="J865" s="262"/>
      <c r="K865" s="262"/>
      <c r="L865" s="262"/>
      <c r="M865" s="263"/>
      <c r="N865" s="265">
        <v>3524</v>
      </c>
    </row>
    <row r="866" spans="1:14" x14ac:dyDescent="0.45">
      <c r="A866" s="253" t="str">
        <f t="shared" si="82"/>
        <v>&lt;ct353&gt;0&lt;/ct353&gt;</v>
      </c>
      <c r="B866" s="243" t="s">
        <v>1668</v>
      </c>
      <c r="C866" s="244">
        <f t="shared" si="83"/>
        <v>2</v>
      </c>
      <c r="D866" s="244">
        <f t="shared" si="84"/>
        <v>7</v>
      </c>
      <c r="E866" s="244">
        <f t="shared" si="85"/>
        <v>9</v>
      </c>
      <c r="G866" s="259" t="str">
        <f t="shared" si="86"/>
        <v>&lt;ct353&gt;</v>
      </c>
      <c r="H866" s="260">
        <f>VLOOKUP(N866,BCDTK!$E$9:$L$132,7,0)</f>
        <v>0</v>
      </c>
      <c r="I866" s="261" t="str">
        <f t="shared" si="87"/>
        <v>&lt;/ct353&gt;</v>
      </c>
      <c r="J866" s="262"/>
      <c r="K866" s="262"/>
      <c r="L866" s="262"/>
      <c r="M866" s="263"/>
      <c r="N866" s="265">
        <v>353</v>
      </c>
    </row>
    <row r="867" spans="1:14" x14ac:dyDescent="0.45">
      <c r="A867" s="253" t="str">
        <f t="shared" si="82"/>
        <v>&lt;ct3531&gt;0&lt;/ct3531&gt;</v>
      </c>
      <c r="B867" s="243" t="s">
        <v>1669</v>
      </c>
      <c r="C867" s="244">
        <f t="shared" si="83"/>
        <v>2</v>
      </c>
      <c r="D867" s="244">
        <f t="shared" si="84"/>
        <v>8</v>
      </c>
      <c r="E867" s="244">
        <f t="shared" si="85"/>
        <v>10</v>
      </c>
      <c r="G867" s="259" t="str">
        <f t="shared" si="86"/>
        <v>&lt;ct3531&gt;</v>
      </c>
      <c r="H867" s="260">
        <f>VLOOKUP(N867,BCDTK!$E$9:$L$132,7,0)</f>
        <v>0</v>
      </c>
      <c r="I867" s="261" t="str">
        <f t="shared" si="87"/>
        <v>&lt;/ct3531&gt;</v>
      </c>
      <c r="J867" s="262"/>
      <c r="K867" s="262"/>
      <c r="L867" s="262"/>
      <c r="M867" s="263"/>
      <c r="N867" s="265">
        <v>3531</v>
      </c>
    </row>
    <row r="868" spans="1:14" x14ac:dyDescent="0.45">
      <c r="A868" s="253" t="str">
        <f t="shared" si="82"/>
        <v>&lt;ct3532&gt;0&lt;/ct3532&gt;</v>
      </c>
      <c r="B868" s="243" t="s">
        <v>1670</v>
      </c>
      <c r="C868" s="244">
        <f t="shared" si="83"/>
        <v>2</v>
      </c>
      <c r="D868" s="244">
        <f t="shared" si="84"/>
        <v>8</v>
      </c>
      <c r="E868" s="244">
        <f t="shared" si="85"/>
        <v>10</v>
      </c>
      <c r="G868" s="259" t="str">
        <f t="shared" si="86"/>
        <v>&lt;ct3532&gt;</v>
      </c>
      <c r="H868" s="260">
        <f>VLOOKUP(N868,BCDTK!$E$9:$L$132,7,0)</f>
        <v>0</v>
      </c>
      <c r="I868" s="261" t="str">
        <f t="shared" si="87"/>
        <v>&lt;/ct3532&gt;</v>
      </c>
      <c r="J868" s="262"/>
      <c r="K868" s="262"/>
      <c r="L868" s="262"/>
      <c r="M868" s="263"/>
      <c r="N868" s="265">
        <v>3532</v>
      </c>
    </row>
    <row r="869" spans="1:14" x14ac:dyDescent="0.45">
      <c r="A869" s="253" t="str">
        <f t="shared" si="82"/>
        <v>&lt;ct3533&gt;0&lt;/ct3533&gt;</v>
      </c>
      <c r="B869" s="243" t="s">
        <v>1671</v>
      </c>
      <c r="C869" s="244">
        <f t="shared" si="83"/>
        <v>2</v>
      </c>
      <c r="D869" s="244">
        <f t="shared" si="84"/>
        <v>8</v>
      </c>
      <c r="E869" s="244">
        <f t="shared" si="85"/>
        <v>10</v>
      </c>
      <c r="G869" s="259" t="str">
        <f t="shared" si="86"/>
        <v>&lt;ct3533&gt;</v>
      </c>
      <c r="H869" s="260">
        <f>VLOOKUP(N869,BCDTK!$E$9:$L$132,7,0)</f>
        <v>0</v>
      </c>
      <c r="I869" s="261" t="str">
        <f t="shared" si="87"/>
        <v>&lt;/ct3533&gt;</v>
      </c>
      <c r="J869" s="262"/>
      <c r="K869" s="262"/>
      <c r="L869" s="262"/>
      <c r="M869" s="263"/>
      <c r="N869" s="265">
        <v>3533</v>
      </c>
    </row>
    <row r="870" spans="1:14" x14ac:dyDescent="0.45">
      <c r="A870" s="253" t="str">
        <f t="shared" si="82"/>
        <v>&lt;ct3534&gt;0&lt;/ct3534&gt;</v>
      </c>
      <c r="B870" s="243" t="s">
        <v>1672</v>
      </c>
      <c r="C870" s="244">
        <f t="shared" si="83"/>
        <v>2</v>
      </c>
      <c r="D870" s="244">
        <f t="shared" si="84"/>
        <v>8</v>
      </c>
      <c r="E870" s="244">
        <f t="shared" si="85"/>
        <v>10</v>
      </c>
      <c r="G870" s="259" t="str">
        <f t="shared" si="86"/>
        <v>&lt;ct3534&gt;</v>
      </c>
      <c r="H870" s="260">
        <f>VLOOKUP(N870,BCDTK!$E$9:$L$132,7,0)</f>
        <v>0</v>
      </c>
      <c r="I870" s="261" t="str">
        <f t="shared" si="87"/>
        <v>&lt;/ct3534&gt;</v>
      </c>
      <c r="J870" s="262"/>
      <c r="K870" s="262"/>
      <c r="L870" s="262"/>
      <c r="M870" s="263"/>
      <c r="N870" s="265">
        <v>3534</v>
      </c>
    </row>
    <row r="871" spans="1:14" x14ac:dyDescent="0.45">
      <c r="A871" s="253" t="str">
        <f t="shared" si="82"/>
        <v>&lt;ct356&gt;0&lt;/ct356&gt;</v>
      </c>
      <c r="B871" s="243" t="s">
        <v>1673</v>
      </c>
      <c r="C871" s="244">
        <f t="shared" si="83"/>
        <v>2</v>
      </c>
      <c r="D871" s="244">
        <f t="shared" si="84"/>
        <v>7</v>
      </c>
      <c r="E871" s="244">
        <f t="shared" si="85"/>
        <v>9</v>
      </c>
      <c r="G871" s="259" t="str">
        <f t="shared" si="86"/>
        <v>&lt;ct356&gt;</v>
      </c>
      <c r="H871" s="260">
        <f>VLOOKUP(N871,BCDTK!$E$9:$L$132,7,0)</f>
        <v>0</v>
      </c>
      <c r="I871" s="261" t="str">
        <f t="shared" si="87"/>
        <v>&lt;/ct356&gt;</v>
      </c>
      <c r="J871" s="262"/>
      <c r="K871" s="262"/>
      <c r="L871" s="262"/>
      <c r="M871" s="263"/>
      <c r="N871" s="265">
        <v>356</v>
      </c>
    </row>
    <row r="872" spans="1:14" x14ac:dyDescent="0.45">
      <c r="A872" s="253" t="str">
        <f t="shared" si="82"/>
        <v>&lt;ct3561&gt;0&lt;/ct3561&gt;</v>
      </c>
      <c r="B872" s="243" t="s">
        <v>1674</v>
      </c>
      <c r="C872" s="244">
        <f t="shared" si="83"/>
        <v>2</v>
      </c>
      <c r="D872" s="244">
        <f t="shared" si="84"/>
        <v>8</v>
      </c>
      <c r="E872" s="244">
        <f t="shared" si="85"/>
        <v>10</v>
      </c>
      <c r="G872" s="259" t="str">
        <f t="shared" si="86"/>
        <v>&lt;ct3561&gt;</v>
      </c>
      <c r="H872" s="260">
        <f>VLOOKUP(N872,BCDTK!$E$9:$L$132,7,0)</f>
        <v>0</v>
      </c>
      <c r="I872" s="261" t="str">
        <f t="shared" si="87"/>
        <v>&lt;/ct3561&gt;</v>
      </c>
      <c r="J872" s="262"/>
      <c r="K872" s="262"/>
      <c r="L872" s="262"/>
      <c r="M872" s="263"/>
      <c r="N872" s="265">
        <v>3561</v>
      </c>
    </row>
    <row r="873" spans="1:14" x14ac:dyDescent="0.45">
      <c r="A873" s="253" t="str">
        <f t="shared" si="82"/>
        <v>&lt;ct3562&gt;0&lt;/ct3562&gt;</v>
      </c>
      <c r="B873" s="243" t="s">
        <v>1675</v>
      </c>
      <c r="C873" s="244">
        <f t="shared" si="83"/>
        <v>2</v>
      </c>
      <c r="D873" s="244">
        <f t="shared" si="84"/>
        <v>8</v>
      </c>
      <c r="E873" s="244">
        <f t="shared" si="85"/>
        <v>10</v>
      </c>
      <c r="G873" s="259" t="str">
        <f t="shared" si="86"/>
        <v>&lt;ct3562&gt;</v>
      </c>
      <c r="H873" s="260">
        <f>VLOOKUP(N873,BCDTK!$E$9:$L$132,7,0)</f>
        <v>0</v>
      </c>
      <c r="I873" s="261" t="str">
        <f t="shared" si="87"/>
        <v>&lt;/ct3562&gt;</v>
      </c>
      <c r="J873" s="262"/>
      <c r="K873" s="262"/>
      <c r="L873" s="262"/>
      <c r="M873" s="263"/>
      <c r="N873" s="265">
        <v>3562</v>
      </c>
    </row>
    <row r="874" spans="1:14" x14ac:dyDescent="0.45">
      <c r="A874" s="253" t="str">
        <f t="shared" si="82"/>
        <v>&lt;ct411&gt;0&lt;/ct411&gt;</v>
      </c>
      <c r="B874" s="243" t="s">
        <v>1525</v>
      </c>
      <c r="C874" s="244">
        <f t="shared" si="83"/>
        <v>2</v>
      </c>
      <c r="D874" s="244">
        <f t="shared" si="84"/>
        <v>7</v>
      </c>
      <c r="E874" s="244">
        <f t="shared" si="85"/>
        <v>9</v>
      </c>
      <c r="G874" s="259" t="str">
        <f t="shared" si="86"/>
        <v>&lt;ct411&gt;</v>
      </c>
      <c r="H874" s="260">
        <f>VLOOKUP(N874,BCDTK!$E$9:$L$132,7,0)</f>
        <v>0</v>
      </c>
      <c r="I874" s="261" t="str">
        <f t="shared" si="87"/>
        <v>&lt;/ct411&gt;</v>
      </c>
      <c r="J874" s="262"/>
      <c r="K874" s="262"/>
      <c r="L874" s="262"/>
      <c r="M874" s="263"/>
      <c r="N874" s="265">
        <v>411</v>
      </c>
    </row>
    <row r="875" spans="1:14" x14ac:dyDescent="0.45">
      <c r="A875" s="253" t="str">
        <f t="shared" si="82"/>
        <v>&lt;ct4111&gt;0&lt;/ct4111&gt;</v>
      </c>
      <c r="B875" s="243" t="s">
        <v>1676</v>
      </c>
      <c r="C875" s="244">
        <f t="shared" si="83"/>
        <v>2</v>
      </c>
      <c r="D875" s="244">
        <f t="shared" si="84"/>
        <v>8</v>
      </c>
      <c r="E875" s="244">
        <f t="shared" si="85"/>
        <v>10</v>
      </c>
      <c r="G875" s="259" t="str">
        <f t="shared" si="86"/>
        <v>&lt;ct4111&gt;</v>
      </c>
      <c r="H875" s="260">
        <f>VLOOKUP(N875,BCDTK!$E$9:$L$132,7,0)</f>
        <v>0</v>
      </c>
      <c r="I875" s="261" t="str">
        <f t="shared" si="87"/>
        <v>&lt;/ct4111&gt;</v>
      </c>
      <c r="J875" s="262"/>
      <c r="K875" s="262"/>
      <c r="L875" s="262"/>
      <c r="M875" s="263"/>
      <c r="N875" s="265">
        <v>4111</v>
      </c>
    </row>
    <row r="876" spans="1:14" x14ac:dyDescent="0.45">
      <c r="A876" s="253" t="str">
        <f t="shared" si="82"/>
        <v>&lt;ct4112&gt;0&lt;/ct4112&gt;</v>
      </c>
      <c r="B876" s="243" t="s">
        <v>1677</v>
      </c>
      <c r="C876" s="244">
        <f t="shared" si="83"/>
        <v>2</v>
      </c>
      <c r="D876" s="244">
        <f t="shared" si="84"/>
        <v>8</v>
      </c>
      <c r="E876" s="244">
        <f t="shared" si="85"/>
        <v>10</v>
      </c>
      <c r="G876" s="259" t="str">
        <f t="shared" si="86"/>
        <v>&lt;ct4112&gt;</v>
      </c>
      <c r="H876" s="260">
        <f>VLOOKUP(N876,BCDTK!$E$9:$L$132,7,0)</f>
        <v>0</v>
      </c>
      <c r="I876" s="261" t="str">
        <f t="shared" si="87"/>
        <v>&lt;/ct4112&gt;</v>
      </c>
      <c r="J876" s="262"/>
      <c r="K876" s="262"/>
      <c r="L876" s="262"/>
      <c r="M876" s="263"/>
      <c r="N876" s="265">
        <v>4112</v>
      </c>
    </row>
    <row r="877" spans="1:14" x14ac:dyDescent="0.45">
      <c r="A877" s="253" t="str">
        <f t="shared" ref="A877:A940" si="88">CONCATENATE(G877,H877,I877)</f>
        <v>&lt;ct4118&gt;0&lt;/ct4118&gt;</v>
      </c>
      <c r="B877" s="243" t="s">
        <v>1678</v>
      </c>
      <c r="C877" s="244">
        <f t="shared" si="83"/>
        <v>2</v>
      </c>
      <c r="D877" s="244">
        <f t="shared" si="84"/>
        <v>8</v>
      </c>
      <c r="E877" s="244">
        <f t="shared" si="85"/>
        <v>10</v>
      </c>
      <c r="G877" s="259" t="str">
        <f t="shared" si="86"/>
        <v>&lt;ct4118&gt;</v>
      </c>
      <c r="H877" s="260">
        <f>VLOOKUP(N877,BCDTK!$E$9:$L$132,7,0)</f>
        <v>0</v>
      </c>
      <c r="I877" s="261" t="str">
        <f t="shared" si="87"/>
        <v>&lt;/ct4118&gt;</v>
      </c>
      <c r="J877" s="262"/>
      <c r="K877" s="262"/>
      <c r="L877" s="262"/>
      <c r="M877" s="263"/>
      <c r="N877" s="265">
        <v>4118</v>
      </c>
    </row>
    <row r="878" spans="1:14" x14ac:dyDescent="0.45">
      <c r="A878" s="253" t="str">
        <f t="shared" si="88"/>
        <v>&lt;ct413&gt;0&lt;/ct413&gt;</v>
      </c>
      <c r="B878" s="243" t="s">
        <v>1500</v>
      </c>
      <c r="C878" s="244">
        <f t="shared" si="83"/>
        <v>2</v>
      </c>
      <c r="D878" s="244">
        <f t="shared" si="84"/>
        <v>7</v>
      </c>
      <c r="E878" s="244">
        <f t="shared" si="85"/>
        <v>9</v>
      </c>
      <c r="G878" s="259" t="str">
        <f t="shared" si="86"/>
        <v>&lt;ct413&gt;</v>
      </c>
      <c r="H878" s="260">
        <f>VLOOKUP(N878,BCDTK!$E$9:$L$132,7,0)</f>
        <v>0</v>
      </c>
      <c r="I878" s="261" t="str">
        <f t="shared" si="87"/>
        <v>&lt;/ct413&gt;</v>
      </c>
      <c r="J878" s="262"/>
      <c r="K878" s="262"/>
      <c r="L878" s="262"/>
      <c r="M878" s="263"/>
      <c r="N878" s="265">
        <v>413</v>
      </c>
    </row>
    <row r="879" spans="1:14" x14ac:dyDescent="0.45">
      <c r="A879" s="253" t="str">
        <f t="shared" si="88"/>
        <v>&lt;ct418&gt;0&lt;/ct418&gt;</v>
      </c>
      <c r="B879" s="243" t="s">
        <v>1679</v>
      </c>
      <c r="C879" s="244">
        <f t="shared" si="83"/>
        <v>2</v>
      </c>
      <c r="D879" s="244">
        <f t="shared" si="84"/>
        <v>7</v>
      </c>
      <c r="E879" s="244">
        <f t="shared" si="85"/>
        <v>9</v>
      </c>
      <c r="G879" s="259" t="str">
        <f t="shared" si="86"/>
        <v>&lt;ct418&gt;</v>
      </c>
      <c r="H879" s="260">
        <f>VLOOKUP(N879,BCDTK!$E$9:$L$132,7,0)</f>
        <v>0</v>
      </c>
      <c r="I879" s="261" t="str">
        <f t="shared" si="87"/>
        <v>&lt;/ct418&gt;</v>
      </c>
      <c r="J879" s="262"/>
      <c r="K879" s="262"/>
      <c r="L879" s="262"/>
      <c r="M879" s="263"/>
      <c r="N879" s="265">
        <v>418</v>
      </c>
    </row>
    <row r="880" spans="1:14" x14ac:dyDescent="0.45">
      <c r="A880" s="253" t="str">
        <f t="shared" si="88"/>
        <v>&lt;ct419&gt;0&lt;/ct419&gt;</v>
      </c>
      <c r="B880" s="243" t="s">
        <v>1680</v>
      </c>
      <c r="C880" s="244">
        <f t="shared" si="83"/>
        <v>2</v>
      </c>
      <c r="D880" s="244">
        <f t="shared" si="84"/>
        <v>7</v>
      </c>
      <c r="E880" s="244">
        <f t="shared" si="85"/>
        <v>9</v>
      </c>
      <c r="G880" s="259" t="str">
        <f t="shared" si="86"/>
        <v>&lt;ct419&gt;</v>
      </c>
      <c r="H880" s="260">
        <f>VLOOKUP(N880,BCDTK!$E$9:$L$132,7,0)</f>
        <v>0</v>
      </c>
      <c r="I880" s="261" t="str">
        <f t="shared" si="87"/>
        <v>&lt;/ct419&gt;</v>
      </c>
      <c r="J880" s="262"/>
      <c r="K880" s="262"/>
      <c r="L880" s="262"/>
      <c r="M880" s="263"/>
      <c r="N880" s="265">
        <v>419</v>
      </c>
    </row>
    <row r="881" spans="1:14" x14ac:dyDescent="0.45">
      <c r="A881" s="253" t="str">
        <f t="shared" si="88"/>
        <v>&lt;ct421&gt;0&lt;/ct421&gt;</v>
      </c>
      <c r="B881" s="243" t="s">
        <v>1736</v>
      </c>
      <c r="C881" s="244">
        <f t="shared" si="83"/>
        <v>2</v>
      </c>
      <c r="D881" s="244">
        <f t="shared" si="84"/>
        <v>7</v>
      </c>
      <c r="E881" s="244">
        <f t="shared" si="85"/>
        <v>18</v>
      </c>
      <c r="G881" s="259" t="str">
        <f t="shared" si="86"/>
        <v>&lt;ct421&gt;</v>
      </c>
      <c r="H881" s="260">
        <f>VLOOKUP(N881,BCDTK!$E$9:$L$132,7,0)</f>
        <v>0</v>
      </c>
      <c r="I881" s="261" t="str">
        <f t="shared" si="87"/>
        <v>&lt;/ct421&gt;</v>
      </c>
      <c r="J881" s="262"/>
      <c r="K881" s="262"/>
      <c r="L881" s="262"/>
      <c r="M881" s="263"/>
      <c r="N881" s="265">
        <v>421</v>
      </c>
    </row>
    <row r="882" spans="1:14" x14ac:dyDescent="0.45">
      <c r="A882" s="253" t="str">
        <f t="shared" si="88"/>
        <v>&lt;ct4211&gt;0&lt;/ct4211&gt;</v>
      </c>
      <c r="B882" s="243" t="s">
        <v>1737</v>
      </c>
      <c r="C882" s="244">
        <f t="shared" si="83"/>
        <v>2</v>
      </c>
      <c r="D882" s="244">
        <f t="shared" si="84"/>
        <v>8</v>
      </c>
      <c r="E882" s="244">
        <f t="shared" si="85"/>
        <v>18</v>
      </c>
      <c r="G882" s="259" t="str">
        <f t="shared" si="86"/>
        <v>&lt;ct4211&gt;</v>
      </c>
      <c r="H882" s="260">
        <f>VLOOKUP(N882,BCDTK!$E$9:$L$132,7,0)</f>
        <v>0</v>
      </c>
      <c r="I882" s="261" t="str">
        <f t="shared" si="87"/>
        <v>&lt;/ct4211&gt;</v>
      </c>
      <c r="J882" s="262"/>
      <c r="K882" s="262"/>
      <c r="L882" s="262"/>
      <c r="M882" s="263"/>
      <c r="N882" s="265">
        <v>4211</v>
      </c>
    </row>
    <row r="883" spans="1:14" x14ac:dyDescent="0.45">
      <c r="A883" s="253" t="str">
        <f t="shared" si="88"/>
        <v>&lt;ct4212&gt;0&lt;/ct4212&gt;</v>
      </c>
      <c r="B883" s="243" t="s">
        <v>1738</v>
      </c>
      <c r="C883" s="244">
        <f t="shared" si="83"/>
        <v>2</v>
      </c>
      <c r="D883" s="244">
        <f t="shared" si="84"/>
        <v>8</v>
      </c>
      <c r="E883" s="244">
        <f t="shared" si="85"/>
        <v>19</v>
      </c>
      <c r="G883" s="259" t="str">
        <f t="shared" si="86"/>
        <v>&lt;ct4212&gt;</v>
      </c>
      <c r="H883" s="260">
        <f>VLOOKUP(N883,BCDTK!$E$9:$L$132,7,0)</f>
        <v>0</v>
      </c>
      <c r="I883" s="261" t="str">
        <f t="shared" si="87"/>
        <v>&lt;/ct4212&gt;</v>
      </c>
      <c r="J883" s="262"/>
      <c r="K883" s="262"/>
      <c r="L883" s="262"/>
      <c r="M883" s="263"/>
      <c r="N883" s="265">
        <v>4212</v>
      </c>
    </row>
    <row r="884" spans="1:14" x14ac:dyDescent="0.45">
      <c r="A884" s="253" t="str">
        <f t="shared" si="88"/>
        <v>&lt;ct511&gt;0&lt;/ct511&gt;</v>
      </c>
      <c r="B884" s="243" t="s">
        <v>1684</v>
      </c>
      <c r="C884" s="244">
        <f t="shared" si="83"/>
        <v>2</v>
      </c>
      <c r="D884" s="244">
        <f t="shared" si="84"/>
        <v>7</v>
      </c>
      <c r="E884" s="244">
        <f t="shared" si="85"/>
        <v>9</v>
      </c>
      <c r="G884" s="259" t="str">
        <f t="shared" si="86"/>
        <v>&lt;ct511&gt;</v>
      </c>
      <c r="H884" s="260">
        <f>VLOOKUP(N884,BCDTK!$E$9:$L$132,7,0)</f>
        <v>0</v>
      </c>
      <c r="I884" s="261" t="str">
        <f t="shared" si="87"/>
        <v>&lt;/ct511&gt;</v>
      </c>
      <c r="J884" s="262"/>
      <c r="K884" s="262"/>
      <c r="L884" s="262"/>
      <c r="M884" s="263"/>
      <c r="N884" s="265">
        <v>511</v>
      </c>
    </row>
    <row r="885" spans="1:14" x14ac:dyDescent="0.45">
      <c r="A885" s="253" t="str">
        <f t="shared" si="88"/>
        <v>&lt;ct5111&gt;0&lt;/ct5111&gt;</v>
      </c>
      <c r="B885" s="243" t="s">
        <v>1685</v>
      </c>
      <c r="C885" s="244">
        <f t="shared" si="83"/>
        <v>2</v>
      </c>
      <c r="D885" s="244">
        <f t="shared" si="84"/>
        <v>8</v>
      </c>
      <c r="E885" s="244">
        <f t="shared" si="85"/>
        <v>10</v>
      </c>
      <c r="G885" s="259" t="str">
        <f t="shared" si="86"/>
        <v>&lt;ct5111&gt;</v>
      </c>
      <c r="H885" s="260">
        <f>VLOOKUP(N885,BCDTK!$E$9:$L$132,7,0)</f>
        <v>0</v>
      </c>
      <c r="I885" s="261" t="str">
        <f t="shared" si="87"/>
        <v>&lt;/ct5111&gt;</v>
      </c>
      <c r="J885" s="262"/>
      <c r="K885" s="262"/>
      <c r="L885" s="262"/>
      <c r="M885" s="263"/>
      <c r="N885" s="265">
        <v>5111</v>
      </c>
    </row>
    <row r="886" spans="1:14" x14ac:dyDescent="0.45">
      <c r="A886" s="253" t="str">
        <f t="shared" si="88"/>
        <v>&lt;ct5112&gt;0&lt;/ct5112&gt;</v>
      </c>
      <c r="B886" s="243" t="s">
        <v>1686</v>
      </c>
      <c r="C886" s="244">
        <f t="shared" si="83"/>
        <v>2</v>
      </c>
      <c r="D886" s="244">
        <f t="shared" si="84"/>
        <v>8</v>
      </c>
      <c r="E886" s="244">
        <f t="shared" si="85"/>
        <v>10</v>
      </c>
      <c r="G886" s="259" t="str">
        <f t="shared" si="86"/>
        <v>&lt;ct5112&gt;</v>
      </c>
      <c r="H886" s="260">
        <f>VLOOKUP(N886,BCDTK!$E$9:$L$132,7,0)</f>
        <v>0</v>
      </c>
      <c r="I886" s="261" t="str">
        <f t="shared" si="87"/>
        <v>&lt;/ct5112&gt;</v>
      </c>
      <c r="J886" s="262"/>
      <c r="K886" s="262"/>
      <c r="L886" s="262"/>
      <c r="M886" s="263"/>
      <c r="N886" s="265">
        <v>5112</v>
      </c>
    </row>
    <row r="887" spans="1:14" x14ac:dyDescent="0.45">
      <c r="A887" s="253" t="str">
        <f t="shared" si="88"/>
        <v>&lt;ct5113&gt;0&lt;/ct5113&gt;</v>
      </c>
      <c r="B887" s="243" t="s">
        <v>1687</v>
      </c>
      <c r="C887" s="244">
        <f t="shared" si="83"/>
        <v>2</v>
      </c>
      <c r="D887" s="244">
        <f t="shared" si="84"/>
        <v>8</v>
      </c>
      <c r="E887" s="244">
        <f t="shared" si="85"/>
        <v>10</v>
      </c>
      <c r="G887" s="259" t="str">
        <f t="shared" si="86"/>
        <v>&lt;ct5113&gt;</v>
      </c>
      <c r="H887" s="260">
        <f>VLOOKUP(N887,BCDTK!$E$9:$L$132,7,0)</f>
        <v>0</v>
      </c>
      <c r="I887" s="261" t="str">
        <f t="shared" si="87"/>
        <v>&lt;/ct5113&gt;</v>
      </c>
      <c r="J887" s="262"/>
      <c r="K887" s="262"/>
      <c r="L887" s="262"/>
      <c r="M887" s="263"/>
      <c r="N887" s="265">
        <v>5113</v>
      </c>
    </row>
    <row r="888" spans="1:14" x14ac:dyDescent="0.45">
      <c r="A888" s="253" t="str">
        <f t="shared" si="88"/>
        <v>&lt;ct5118&gt;0&lt;/ct5118&gt;</v>
      </c>
      <c r="B888" s="243" t="s">
        <v>1688</v>
      </c>
      <c r="C888" s="244">
        <f t="shared" si="83"/>
        <v>2</v>
      </c>
      <c r="D888" s="244">
        <f t="shared" si="84"/>
        <v>8</v>
      </c>
      <c r="E888" s="244">
        <f t="shared" si="85"/>
        <v>10</v>
      </c>
      <c r="G888" s="259" t="str">
        <f t="shared" si="86"/>
        <v>&lt;ct5118&gt;</v>
      </c>
      <c r="H888" s="260">
        <f>VLOOKUP(N888,BCDTK!$E$9:$L$132,7,0)</f>
        <v>0</v>
      </c>
      <c r="I888" s="261" t="str">
        <f t="shared" si="87"/>
        <v>&lt;/ct5118&gt;</v>
      </c>
      <c r="J888" s="262"/>
      <c r="K888" s="262"/>
      <c r="L888" s="262"/>
      <c r="M888" s="263"/>
      <c r="N888" s="265">
        <v>5118</v>
      </c>
    </row>
    <row r="889" spans="1:14" x14ac:dyDescent="0.45">
      <c r="A889" s="253" t="str">
        <f t="shared" si="88"/>
        <v>&lt;ct515&gt;0&lt;/ct515&gt;</v>
      </c>
      <c r="B889" s="243" t="s">
        <v>1689</v>
      </c>
      <c r="C889" s="244">
        <f t="shared" si="83"/>
        <v>2</v>
      </c>
      <c r="D889" s="244">
        <f t="shared" si="84"/>
        <v>7</v>
      </c>
      <c r="E889" s="244">
        <f t="shared" si="85"/>
        <v>9</v>
      </c>
      <c r="G889" s="259" t="str">
        <f t="shared" si="86"/>
        <v>&lt;ct515&gt;</v>
      </c>
      <c r="H889" s="260">
        <f>VLOOKUP(N889,BCDTK!$E$9:$L$132,7,0)</f>
        <v>0</v>
      </c>
      <c r="I889" s="261" t="str">
        <f t="shared" si="87"/>
        <v>&lt;/ct515&gt;</v>
      </c>
      <c r="J889" s="262"/>
      <c r="K889" s="262"/>
      <c r="L889" s="262"/>
      <c r="M889" s="263"/>
      <c r="N889" s="265">
        <v>515</v>
      </c>
    </row>
    <row r="890" spans="1:14" x14ac:dyDescent="0.45">
      <c r="A890" s="253" t="str">
        <f t="shared" si="88"/>
        <v>&lt;ct611&gt;0&lt;/ct611&gt;</v>
      </c>
      <c r="B890" s="243" t="s">
        <v>1690</v>
      </c>
      <c r="C890" s="244">
        <f t="shared" si="83"/>
        <v>2</v>
      </c>
      <c r="D890" s="244">
        <f t="shared" si="84"/>
        <v>7</v>
      </c>
      <c r="E890" s="244">
        <f t="shared" si="85"/>
        <v>9</v>
      </c>
      <c r="G890" s="259" t="str">
        <f t="shared" si="86"/>
        <v>&lt;ct611&gt;</v>
      </c>
      <c r="H890" s="260">
        <f>VLOOKUP(N890,BCDTK!$E$9:$L$132,7,0)</f>
        <v>0</v>
      </c>
      <c r="I890" s="261" t="str">
        <f t="shared" si="87"/>
        <v>&lt;/ct611&gt;</v>
      </c>
      <c r="J890" s="262"/>
      <c r="K890" s="262"/>
      <c r="L890" s="262"/>
      <c r="M890" s="263"/>
      <c r="N890" s="265">
        <v>611</v>
      </c>
    </row>
    <row r="891" spans="1:14" x14ac:dyDescent="0.45">
      <c r="A891" s="253" t="str">
        <f t="shared" si="88"/>
        <v>&lt;ct631&gt;0&lt;/ct631&gt;</v>
      </c>
      <c r="B891" s="243" t="s">
        <v>1691</v>
      </c>
      <c r="C891" s="244">
        <f t="shared" si="83"/>
        <v>2</v>
      </c>
      <c r="D891" s="244">
        <f t="shared" si="84"/>
        <v>7</v>
      </c>
      <c r="E891" s="244">
        <f t="shared" si="85"/>
        <v>9</v>
      </c>
      <c r="G891" s="259" t="str">
        <f t="shared" si="86"/>
        <v>&lt;ct631&gt;</v>
      </c>
      <c r="H891" s="260">
        <f>VLOOKUP(N891,BCDTK!$E$9:$L$132,7,0)</f>
        <v>0</v>
      </c>
      <c r="I891" s="261" t="str">
        <f t="shared" si="87"/>
        <v>&lt;/ct631&gt;</v>
      </c>
      <c r="J891" s="262"/>
      <c r="K891" s="262"/>
      <c r="L891" s="262"/>
      <c r="M891" s="263"/>
      <c r="N891" s="265">
        <v>631</v>
      </c>
    </row>
    <row r="892" spans="1:14" x14ac:dyDescent="0.45">
      <c r="A892" s="253" t="str">
        <f t="shared" si="88"/>
        <v>&lt;ct632&gt;0&lt;/ct632&gt;</v>
      </c>
      <c r="B892" s="243" t="s">
        <v>1692</v>
      </c>
      <c r="C892" s="244">
        <f t="shared" si="83"/>
        <v>2</v>
      </c>
      <c r="D892" s="244">
        <f t="shared" si="84"/>
        <v>7</v>
      </c>
      <c r="E892" s="244">
        <f t="shared" si="85"/>
        <v>9</v>
      </c>
      <c r="G892" s="259" t="str">
        <f t="shared" si="86"/>
        <v>&lt;ct632&gt;</v>
      </c>
      <c r="H892" s="260">
        <f>VLOOKUP(N892,BCDTK!$E$9:$L$132,7,0)</f>
        <v>0</v>
      </c>
      <c r="I892" s="261" t="str">
        <f t="shared" si="87"/>
        <v>&lt;/ct632&gt;</v>
      </c>
      <c r="J892" s="262"/>
      <c r="K892" s="262"/>
      <c r="L892" s="262"/>
      <c r="M892" s="263"/>
      <c r="N892" s="265">
        <v>632</v>
      </c>
    </row>
    <row r="893" spans="1:14" x14ac:dyDescent="0.45">
      <c r="A893" s="253" t="str">
        <f t="shared" si="88"/>
        <v>&lt;ct635&gt;0&lt;/ct635&gt;</v>
      </c>
      <c r="B893" s="243" t="s">
        <v>1693</v>
      </c>
      <c r="C893" s="244">
        <f t="shared" si="83"/>
        <v>2</v>
      </c>
      <c r="D893" s="244">
        <f t="shared" si="84"/>
        <v>7</v>
      </c>
      <c r="E893" s="244">
        <f t="shared" si="85"/>
        <v>9</v>
      </c>
      <c r="G893" s="259" t="str">
        <f t="shared" si="86"/>
        <v>&lt;ct635&gt;</v>
      </c>
      <c r="H893" s="260">
        <f>VLOOKUP(N893,BCDTK!$E$9:$L$132,7,0)</f>
        <v>0</v>
      </c>
      <c r="I893" s="261" t="str">
        <f t="shared" si="87"/>
        <v>&lt;/ct635&gt;</v>
      </c>
      <c r="J893" s="262"/>
      <c r="K893" s="262"/>
      <c r="L893" s="262"/>
      <c r="M893" s="263"/>
      <c r="N893" s="265">
        <v>635</v>
      </c>
    </row>
    <row r="894" spans="1:14" x14ac:dyDescent="0.45">
      <c r="A894" s="253" t="str">
        <f t="shared" si="88"/>
        <v>&lt;ct642&gt;0&lt;/ct642&gt;</v>
      </c>
      <c r="B894" s="243" t="s">
        <v>1694</v>
      </c>
      <c r="C894" s="244">
        <f t="shared" si="83"/>
        <v>2</v>
      </c>
      <c r="D894" s="244">
        <f t="shared" si="84"/>
        <v>7</v>
      </c>
      <c r="E894" s="244">
        <f t="shared" si="85"/>
        <v>9</v>
      </c>
      <c r="G894" s="259" t="str">
        <f t="shared" si="86"/>
        <v>&lt;ct642&gt;</v>
      </c>
      <c r="H894" s="260">
        <f>VLOOKUP(N894,BCDTK!$E$9:$L$132,7,0)</f>
        <v>0</v>
      </c>
      <c r="I894" s="261" t="str">
        <f t="shared" si="87"/>
        <v>&lt;/ct642&gt;</v>
      </c>
      <c r="J894" s="262"/>
      <c r="K894" s="262"/>
      <c r="L894" s="262"/>
      <c r="M894" s="263"/>
      <c r="N894" s="265">
        <v>642</v>
      </c>
    </row>
    <row r="895" spans="1:14" x14ac:dyDescent="0.45">
      <c r="A895" s="253" t="str">
        <f t="shared" si="88"/>
        <v>&lt;ct6421&gt;0&lt;/ct6421&gt;</v>
      </c>
      <c r="B895" s="243" t="s">
        <v>1695</v>
      </c>
      <c r="C895" s="244">
        <f t="shared" si="83"/>
        <v>2</v>
      </c>
      <c r="D895" s="244">
        <f t="shared" si="84"/>
        <v>8</v>
      </c>
      <c r="E895" s="244">
        <f t="shared" si="85"/>
        <v>10</v>
      </c>
      <c r="G895" s="259" t="str">
        <f t="shared" si="86"/>
        <v>&lt;ct6421&gt;</v>
      </c>
      <c r="H895" s="260">
        <f>VLOOKUP(N895,BCDTK!$E$9:$L$132,7,0)</f>
        <v>0</v>
      </c>
      <c r="I895" s="261" t="str">
        <f t="shared" si="87"/>
        <v>&lt;/ct6421&gt;</v>
      </c>
      <c r="J895" s="262"/>
      <c r="K895" s="262"/>
      <c r="L895" s="262"/>
      <c r="M895" s="263"/>
      <c r="N895" s="265">
        <v>6421</v>
      </c>
    </row>
    <row r="896" spans="1:14" x14ac:dyDescent="0.45">
      <c r="A896" s="253" t="str">
        <f t="shared" si="88"/>
        <v>&lt;ct6422&gt;0&lt;/ct6422&gt;</v>
      </c>
      <c r="B896" s="243" t="s">
        <v>1696</v>
      </c>
      <c r="C896" s="244">
        <f t="shared" si="83"/>
        <v>2</v>
      </c>
      <c r="D896" s="244">
        <f t="shared" si="84"/>
        <v>8</v>
      </c>
      <c r="E896" s="244">
        <f t="shared" si="85"/>
        <v>10</v>
      </c>
      <c r="G896" s="259" t="str">
        <f t="shared" si="86"/>
        <v>&lt;ct6422&gt;</v>
      </c>
      <c r="H896" s="260">
        <f>VLOOKUP(N896,BCDTK!$E$9:$L$132,7,0)</f>
        <v>0</v>
      </c>
      <c r="I896" s="261" t="str">
        <f t="shared" si="87"/>
        <v>&lt;/ct6422&gt;</v>
      </c>
      <c r="J896" s="262"/>
      <c r="K896" s="262"/>
      <c r="L896" s="262"/>
      <c r="M896" s="263"/>
      <c r="N896" s="265">
        <v>6422</v>
      </c>
    </row>
    <row r="897" spans="1:14" x14ac:dyDescent="0.45">
      <c r="A897" s="253" t="str">
        <f t="shared" si="88"/>
        <v>&lt;ct711&gt;0&lt;/ct711&gt;</v>
      </c>
      <c r="B897" s="243" t="s">
        <v>1697</v>
      </c>
      <c r="C897" s="244">
        <f t="shared" si="83"/>
        <v>2</v>
      </c>
      <c r="D897" s="244">
        <f t="shared" si="84"/>
        <v>7</v>
      </c>
      <c r="E897" s="244">
        <f t="shared" si="85"/>
        <v>9</v>
      </c>
      <c r="G897" s="259" t="str">
        <f t="shared" si="86"/>
        <v>&lt;ct711&gt;</v>
      </c>
      <c r="H897" s="260">
        <f>VLOOKUP(N897,BCDTK!$E$9:$L$132,7,0)</f>
        <v>0</v>
      </c>
      <c r="I897" s="261" t="str">
        <f t="shared" si="87"/>
        <v>&lt;/ct711&gt;</v>
      </c>
      <c r="J897" s="262"/>
      <c r="K897" s="262"/>
      <c r="L897" s="262"/>
      <c r="M897" s="263"/>
      <c r="N897" s="265">
        <v>711</v>
      </c>
    </row>
    <row r="898" spans="1:14" x14ac:dyDescent="0.45">
      <c r="A898" s="253" t="str">
        <f t="shared" si="88"/>
        <v>&lt;ct811&gt;0&lt;/ct811&gt;</v>
      </c>
      <c r="B898" s="243" t="s">
        <v>1698</v>
      </c>
      <c r="C898" s="244">
        <f t="shared" si="83"/>
        <v>2</v>
      </c>
      <c r="D898" s="244">
        <f t="shared" si="84"/>
        <v>7</v>
      </c>
      <c r="E898" s="244">
        <f t="shared" si="85"/>
        <v>9</v>
      </c>
      <c r="G898" s="259" t="str">
        <f t="shared" si="86"/>
        <v>&lt;ct811&gt;</v>
      </c>
      <c r="H898" s="260">
        <f>VLOOKUP(N898,BCDTK!$E$9:$L$132,7,0)</f>
        <v>0</v>
      </c>
      <c r="I898" s="261" t="str">
        <f t="shared" si="87"/>
        <v>&lt;/ct811&gt;</v>
      </c>
      <c r="J898" s="262"/>
      <c r="K898" s="262"/>
      <c r="L898" s="262"/>
      <c r="M898" s="263"/>
      <c r="N898" s="265">
        <v>811</v>
      </c>
    </row>
    <row r="899" spans="1:14" x14ac:dyDescent="0.45">
      <c r="A899" s="253" t="str">
        <f t="shared" si="88"/>
        <v>&lt;ct821&gt;0&lt;/ct821&gt;</v>
      </c>
      <c r="B899" s="243" t="s">
        <v>1699</v>
      </c>
      <c r="C899" s="244">
        <f t="shared" si="83"/>
        <v>2</v>
      </c>
      <c r="D899" s="244">
        <f t="shared" si="84"/>
        <v>7</v>
      </c>
      <c r="E899" s="244">
        <f t="shared" si="85"/>
        <v>9</v>
      </c>
      <c r="G899" s="259" t="str">
        <f t="shared" si="86"/>
        <v>&lt;ct821&gt;</v>
      </c>
      <c r="H899" s="260">
        <f>VLOOKUP(N899,BCDTK!$E$9:$L$132,7,0)</f>
        <v>0</v>
      </c>
      <c r="I899" s="261" t="str">
        <f t="shared" si="87"/>
        <v>&lt;/ct821&gt;</v>
      </c>
      <c r="J899" s="262"/>
      <c r="K899" s="262"/>
      <c r="L899" s="262"/>
      <c r="M899" s="263"/>
      <c r="N899" s="265">
        <v>821</v>
      </c>
    </row>
    <row r="900" spans="1:14" x14ac:dyDescent="0.45">
      <c r="A900" s="253" t="str">
        <f t="shared" si="88"/>
        <v>&lt;ct911&gt;0&lt;/ct911&gt;</v>
      </c>
      <c r="B900" s="243" t="s">
        <v>1700</v>
      </c>
      <c r="C900" s="244">
        <f t="shared" si="83"/>
        <v>2</v>
      </c>
      <c r="D900" s="244">
        <f t="shared" si="84"/>
        <v>7</v>
      </c>
      <c r="E900" s="244">
        <f t="shared" si="85"/>
        <v>9</v>
      </c>
      <c r="G900" s="259" t="str">
        <f t="shared" si="86"/>
        <v>&lt;ct911&gt;</v>
      </c>
      <c r="H900" s="260">
        <f>VLOOKUP(N900,BCDTK!$E$9:$L$132,7,0)</f>
        <v>0</v>
      </c>
      <c r="I900" s="261" t="str">
        <f t="shared" si="87"/>
        <v>&lt;/ct911&gt;</v>
      </c>
      <c r="J900" s="262"/>
      <c r="K900" s="262"/>
      <c r="L900" s="262"/>
      <c r="M900" s="263"/>
      <c r="N900" s="265">
        <v>911</v>
      </c>
    </row>
    <row r="901" spans="1:14" x14ac:dyDescent="0.45">
      <c r="A901" s="253" t="str">
        <f t="shared" si="88"/>
        <v>&lt;tongCong&gt;806234100&lt;/tongCong&gt;</v>
      </c>
      <c r="B901" s="243" t="s">
        <v>1779</v>
      </c>
      <c r="C901" s="244">
        <f t="shared" si="83"/>
        <v>2</v>
      </c>
      <c r="D901" s="244">
        <f t="shared" si="84"/>
        <v>10</v>
      </c>
      <c r="E901" s="244">
        <f t="shared" si="85"/>
        <v>21</v>
      </c>
      <c r="G901" s="259" t="str">
        <f t="shared" si="86"/>
        <v>&lt;tongCong&gt;</v>
      </c>
      <c r="H901" s="260">
        <f>VLOOKUP(N901,BCDTK!$E$9:$L$132,7,0)</f>
        <v>806234100</v>
      </c>
      <c r="I901" s="261" t="str">
        <f t="shared" si="87"/>
        <v>&lt;/tongCong&gt;</v>
      </c>
      <c r="J901" s="262"/>
      <c r="K901" s="262"/>
      <c r="L901" s="262"/>
      <c r="M901" s="263"/>
      <c r="N901" s="265" t="s">
        <v>1794</v>
      </c>
    </row>
    <row r="902" spans="1:14" x14ac:dyDescent="0.45">
      <c r="A902" s="253" t="str">
        <f t="shared" si="88"/>
        <v>&lt;/No&gt;</v>
      </c>
      <c r="B902" s="243" t="s">
        <v>1702</v>
      </c>
      <c r="C902" s="244">
        <f t="shared" si="83"/>
        <v>1</v>
      </c>
      <c r="D902" s="244">
        <f t="shared" si="84"/>
        <v>5</v>
      </c>
      <c r="E902" s="244">
        <f t="shared" si="85"/>
        <v>1</v>
      </c>
      <c r="G902" s="259" t="str">
        <f t="shared" si="86"/>
        <v>&lt;/No&gt;</v>
      </c>
      <c r="H902" s="260"/>
      <c r="I902" s="261" t="str">
        <f t="shared" si="87"/>
        <v/>
      </c>
      <c r="J902" s="262"/>
      <c r="K902" s="262"/>
      <c r="L902" s="262"/>
      <c r="M902" s="263"/>
      <c r="N902" s="265"/>
    </row>
    <row r="903" spans="1:14" x14ac:dyDescent="0.45">
      <c r="A903" s="253" t="str">
        <f t="shared" si="88"/>
        <v>&lt;Co&gt;</v>
      </c>
      <c r="B903" s="243" t="s">
        <v>1703</v>
      </c>
      <c r="C903" s="244">
        <f t="shared" si="83"/>
        <v>1</v>
      </c>
      <c r="D903" s="244">
        <f t="shared" si="84"/>
        <v>4</v>
      </c>
      <c r="E903" s="244" t="str">
        <f t="shared" si="85"/>
        <v/>
      </c>
      <c r="G903" s="259" t="str">
        <f t="shared" si="86"/>
        <v>&lt;Co&gt;</v>
      </c>
      <c r="H903" s="260"/>
      <c r="I903" s="261" t="str">
        <f t="shared" si="87"/>
        <v/>
      </c>
      <c r="J903" s="262"/>
      <c r="K903" s="262"/>
      <c r="L903" s="262"/>
      <c r="M903" s="263"/>
      <c r="N903" s="265"/>
    </row>
    <row r="904" spans="1:14" x14ac:dyDescent="0.45">
      <c r="A904" s="253" t="str">
        <f t="shared" si="88"/>
        <v>&lt;ct111&gt;0&lt;/ct111&gt;</v>
      </c>
      <c r="B904" s="243" t="s">
        <v>1587</v>
      </c>
      <c r="C904" s="244">
        <f t="shared" si="83"/>
        <v>2</v>
      </c>
      <c r="D904" s="244">
        <f t="shared" si="84"/>
        <v>7</v>
      </c>
      <c r="E904" s="244">
        <f t="shared" si="85"/>
        <v>9</v>
      </c>
      <c r="G904" s="259" t="str">
        <f t="shared" si="86"/>
        <v>&lt;ct111&gt;</v>
      </c>
      <c r="H904" s="260">
        <f>VLOOKUP(N904,BCDTK!$E$9:$L$132,8,0)</f>
        <v>0</v>
      </c>
      <c r="I904" s="261" t="str">
        <f t="shared" si="87"/>
        <v>&lt;/ct111&gt;</v>
      </c>
      <c r="J904" s="262"/>
      <c r="K904" s="262"/>
      <c r="L904" s="262"/>
      <c r="M904" s="263"/>
      <c r="N904" s="265">
        <v>111</v>
      </c>
    </row>
    <row r="905" spans="1:14" x14ac:dyDescent="0.45">
      <c r="A905" s="253" t="str">
        <f t="shared" si="88"/>
        <v>&lt;ct1111&gt;0&lt;/ct1111&gt;</v>
      </c>
      <c r="B905" s="243" t="s">
        <v>1588</v>
      </c>
      <c r="C905" s="244">
        <f t="shared" si="83"/>
        <v>2</v>
      </c>
      <c r="D905" s="244">
        <f t="shared" si="84"/>
        <v>8</v>
      </c>
      <c r="E905" s="244">
        <f t="shared" si="85"/>
        <v>10</v>
      </c>
      <c r="G905" s="259" t="str">
        <f t="shared" si="86"/>
        <v>&lt;ct1111&gt;</v>
      </c>
      <c r="H905" s="260">
        <f>VLOOKUP(N905,BCDTK!$E$9:$L$132,8,0)</f>
        <v>0</v>
      </c>
      <c r="I905" s="261" t="str">
        <f t="shared" si="87"/>
        <v>&lt;/ct1111&gt;</v>
      </c>
      <c r="J905" s="262"/>
      <c r="K905" s="262"/>
      <c r="L905" s="262"/>
      <c r="M905" s="263"/>
      <c r="N905" s="265">
        <v>1111</v>
      </c>
    </row>
    <row r="906" spans="1:14" x14ac:dyDescent="0.45">
      <c r="A906" s="253" t="str">
        <f t="shared" si="88"/>
        <v>&lt;ct1112&gt;0&lt;/ct1112&gt;</v>
      </c>
      <c r="B906" s="243" t="s">
        <v>1589</v>
      </c>
      <c r="C906" s="244">
        <f t="shared" si="83"/>
        <v>2</v>
      </c>
      <c r="D906" s="244">
        <f t="shared" si="84"/>
        <v>8</v>
      </c>
      <c r="E906" s="244">
        <f t="shared" si="85"/>
        <v>10</v>
      </c>
      <c r="G906" s="259" t="str">
        <f t="shared" si="86"/>
        <v>&lt;ct1112&gt;</v>
      </c>
      <c r="H906" s="260">
        <f>VLOOKUP(N906,BCDTK!$E$9:$L$132,8,0)</f>
        <v>0</v>
      </c>
      <c r="I906" s="261" t="str">
        <f t="shared" si="87"/>
        <v>&lt;/ct1112&gt;</v>
      </c>
      <c r="J906" s="262"/>
      <c r="K906" s="262"/>
      <c r="L906" s="262"/>
      <c r="M906" s="263"/>
      <c r="N906" s="265">
        <v>1112</v>
      </c>
    </row>
    <row r="907" spans="1:14" x14ac:dyDescent="0.45">
      <c r="A907" s="253" t="str">
        <f t="shared" si="88"/>
        <v>&lt;ct112&gt;0&lt;/ct112&gt;</v>
      </c>
      <c r="B907" s="243" t="s">
        <v>1590</v>
      </c>
      <c r="C907" s="244">
        <f t="shared" si="83"/>
        <v>2</v>
      </c>
      <c r="D907" s="244">
        <f t="shared" si="84"/>
        <v>7</v>
      </c>
      <c r="E907" s="244">
        <f t="shared" si="85"/>
        <v>9</v>
      </c>
      <c r="G907" s="259" t="str">
        <f t="shared" si="86"/>
        <v>&lt;ct112&gt;</v>
      </c>
      <c r="H907" s="260">
        <f>VLOOKUP(N907,BCDTK!$E$9:$L$132,8,0)</f>
        <v>0</v>
      </c>
      <c r="I907" s="261" t="str">
        <f t="shared" si="87"/>
        <v>&lt;/ct112&gt;</v>
      </c>
      <c r="J907" s="262"/>
      <c r="K907" s="262"/>
      <c r="L907" s="262"/>
      <c r="M907" s="263"/>
      <c r="N907" s="265">
        <v>112</v>
      </c>
    </row>
    <row r="908" spans="1:14" x14ac:dyDescent="0.45">
      <c r="A908" s="253" t="str">
        <f t="shared" si="88"/>
        <v>&lt;ct1121&gt;0&lt;/ct1121&gt;</v>
      </c>
      <c r="B908" s="243" t="s">
        <v>1591</v>
      </c>
      <c r="C908" s="244">
        <f t="shared" si="83"/>
        <v>2</v>
      </c>
      <c r="D908" s="244">
        <f t="shared" si="84"/>
        <v>8</v>
      </c>
      <c r="E908" s="244">
        <f t="shared" si="85"/>
        <v>10</v>
      </c>
      <c r="G908" s="259" t="str">
        <f t="shared" si="86"/>
        <v>&lt;ct1121&gt;</v>
      </c>
      <c r="H908" s="260">
        <f>VLOOKUP(N908,BCDTK!$E$9:$L$132,8,0)</f>
        <v>0</v>
      </c>
      <c r="I908" s="261" t="str">
        <f t="shared" si="87"/>
        <v>&lt;/ct1121&gt;</v>
      </c>
      <c r="J908" s="262"/>
      <c r="K908" s="262"/>
      <c r="L908" s="262"/>
      <c r="M908" s="263"/>
      <c r="N908" s="265">
        <v>1121</v>
      </c>
    </row>
    <row r="909" spans="1:14" x14ac:dyDescent="0.45">
      <c r="A909" s="253" t="str">
        <f t="shared" si="88"/>
        <v>&lt;ct1122&gt;0&lt;/ct1122&gt;</v>
      </c>
      <c r="B909" s="243" t="s">
        <v>1592</v>
      </c>
      <c r="C909" s="244">
        <f t="shared" si="83"/>
        <v>2</v>
      </c>
      <c r="D909" s="244">
        <f t="shared" si="84"/>
        <v>8</v>
      </c>
      <c r="E909" s="244">
        <f t="shared" si="85"/>
        <v>10</v>
      </c>
      <c r="G909" s="259" t="str">
        <f t="shared" si="86"/>
        <v>&lt;ct1122&gt;</v>
      </c>
      <c r="H909" s="260">
        <f>VLOOKUP(N909,BCDTK!$E$9:$L$132,8,0)</f>
        <v>0</v>
      </c>
      <c r="I909" s="261" t="str">
        <f t="shared" si="87"/>
        <v>&lt;/ct1122&gt;</v>
      </c>
      <c r="J909" s="262"/>
      <c r="K909" s="262"/>
      <c r="L909" s="262"/>
      <c r="M909" s="263"/>
      <c r="N909" s="265">
        <v>1122</v>
      </c>
    </row>
    <row r="910" spans="1:14" x14ac:dyDescent="0.45">
      <c r="A910" s="253" t="str">
        <f t="shared" si="88"/>
        <v>&lt;ct121&gt;0&lt;/ct121&gt;</v>
      </c>
      <c r="B910" s="243" t="s">
        <v>1461</v>
      </c>
      <c r="C910" s="244">
        <f t="shared" si="83"/>
        <v>2</v>
      </c>
      <c r="D910" s="244">
        <f t="shared" si="84"/>
        <v>7</v>
      </c>
      <c r="E910" s="244">
        <f t="shared" si="85"/>
        <v>9</v>
      </c>
      <c r="G910" s="259" t="str">
        <f t="shared" si="86"/>
        <v>&lt;ct121&gt;</v>
      </c>
      <c r="H910" s="260">
        <f>VLOOKUP(N910,BCDTK!$E$9:$L$132,8,0)</f>
        <v>0</v>
      </c>
      <c r="I910" s="261" t="str">
        <f t="shared" si="87"/>
        <v>&lt;/ct121&gt;</v>
      </c>
      <c r="J910" s="262"/>
      <c r="K910" s="262"/>
      <c r="L910" s="262"/>
      <c r="M910" s="263"/>
      <c r="N910" s="265">
        <v>121</v>
      </c>
    </row>
    <row r="911" spans="1:14" x14ac:dyDescent="0.45">
      <c r="A911" s="253" t="str">
        <f t="shared" si="88"/>
        <v>&lt;ct128&gt;0&lt;/ct128&gt;</v>
      </c>
      <c r="B911" s="243" t="s">
        <v>1593</v>
      </c>
      <c r="C911" s="244">
        <f t="shared" si="83"/>
        <v>2</v>
      </c>
      <c r="D911" s="244">
        <f t="shared" si="84"/>
        <v>7</v>
      </c>
      <c r="E911" s="244">
        <f t="shared" si="85"/>
        <v>9</v>
      </c>
      <c r="G911" s="259" t="str">
        <f t="shared" si="86"/>
        <v>&lt;ct128&gt;</v>
      </c>
      <c r="H911" s="260">
        <f>VLOOKUP(N911,BCDTK!$E$9:$L$132,8,0)</f>
        <v>0</v>
      </c>
      <c r="I911" s="261" t="str">
        <f t="shared" si="87"/>
        <v>&lt;/ct128&gt;</v>
      </c>
      <c r="J911" s="262"/>
      <c r="K911" s="262"/>
      <c r="L911" s="262"/>
      <c r="M911" s="263"/>
      <c r="N911" s="265">
        <v>128</v>
      </c>
    </row>
    <row r="912" spans="1:14" x14ac:dyDescent="0.45">
      <c r="A912" s="253" t="str">
        <f t="shared" si="88"/>
        <v>&lt;ct1281&gt;0&lt;/ct1281&gt;</v>
      </c>
      <c r="B912" s="243" t="s">
        <v>1594</v>
      </c>
      <c r="C912" s="244">
        <f t="shared" si="83"/>
        <v>2</v>
      </c>
      <c r="D912" s="244">
        <f t="shared" si="84"/>
        <v>8</v>
      </c>
      <c r="E912" s="244">
        <f t="shared" si="85"/>
        <v>10</v>
      </c>
      <c r="G912" s="259" t="str">
        <f t="shared" si="86"/>
        <v>&lt;ct1281&gt;</v>
      </c>
      <c r="H912" s="260">
        <f>VLOOKUP(N912,BCDTK!$E$9:$L$132,8,0)</f>
        <v>0</v>
      </c>
      <c r="I912" s="261" t="str">
        <f t="shared" si="87"/>
        <v>&lt;/ct1281&gt;</v>
      </c>
      <c r="J912" s="262"/>
      <c r="K912" s="262"/>
      <c r="L912" s="262"/>
      <c r="M912" s="263"/>
      <c r="N912" s="265">
        <v>1281</v>
      </c>
    </row>
    <row r="913" spans="1:14" x14ac:dyDescent="0.45">
      <c r="A913" s="253" t="str">
        <f t="shared" si="88"/>
        <v>&lt;ct1288&gt;0&lt;/ct1288&gt;</v>
      </c>
      <c r="B913" s="243" t="s">
        <v>1595</v>
      </c>
      <c r="C913" s="244">
        <f t="shared" si="83"/>
        <v>2</v>
      </c>
      <c r="D913" s="244">
        <f t="shared" si="84"/>
        <v>8</v>
      </c>
      <c r="E913" s="244">
        <f t="shared" si="85"/>
        <v>10</v>
      </c>
      <c r="G913" s="259" t="str">
        <f t="shared" si="86"/>
        <v>&lt;ct1288&gt;</v>
      </c>
      <c r="H913" s="260">
        <f>VLOOKUP(N913,BCDTK!$E$9:$L$132,8,0)</f>
        <v>0</v>
      </c>
      <c r="I913" s="261" t="str">
        <f t="shared" si="87"/>
        <v>&lt;/ct1288&gt;</v>
      </c>
      <c r="J913" s="262"/>
      <c r="K913" s="262"/>
      <c r="L913" s="262"/>
      <c r="M913" s="263"/>
      <c r="N913" s="265">
        <v>1288</v>
      </c>
    </row>
    <row r="914" spans="1:14" x14ac:dyDescent="0.45">
      <c r="A914" s="253" t="str">
        <f t="shared" si="88"/>
        <v>&lt;ct131&gt;0&lt;/ct131&gt;</v>
      </c>
      <c r="B914" s="243" t="s">
        <v>1510</v>
      </c>
      <c r="C914" s="244">
        <f t="shared" si="83"/>
        <v>2</v>
      </c>
      <c r="D914" s="244">
        <f t="shared" si="84"/>
        <v>7</v>
      </c>
      <c r="E914" s="244">
        <f t="shared" si="85"/>
        <v>9</v>
      </c>
      <c r="G914" s="259" t="str">
        <f t="shared" si="86"/>
        <v>&lt;ct131&gt;</v>
      </c>
      <c r="H914" s="260">
        <f>VLOOKUP(N914,BCDTK!$E$9:$L$132,8,0)</f>
        <v>0</v>
      </c>
      <c r="I914" s="261" t="str">
        <f t="shared" si="87"/>
        <v>&lt;/ct131&gt;</v>
      </c>
      <c r="J914" s="262"/>
      <c r="K914" s="262"/>
      <c r="L914" s="262"/>
      <c r="M914" s="263"/>
      <c r="N914" s="265">
        <v>131</v>
      </c>
    </row>
    <row r="915" spans="1:14" x14ac:dyDescent="0.45">
      <c r="A915" s="253" t="str">
        <f t="shared" si="88"/>
        <v>&lt;ct133&gt;0&lt;/ct133&gt;</v>
      </c>
      <c r="B915" s="243" t="s">
        <v>1468</v>
      </c>
      <c r="C915" s="244">
        <f t="shared" si="83"/>
        <v>2</v>
      </c>
      <c r="D915" s="244">
        <f t="shared" si="84"/>
        <v>7</v>
      </c>
      <c r="E915" s="244">
        <f t="shared" si="85"/>
        <v>9</v>
      </c>
      <c r="G915" s="259" t="str">
        <f t="shared" si="86"/>
        <v>&lt;ct133&gt;</v>
      </c>
      <c r="H915" s="260">
        <f>VLOOKUP(N915,BCDTK!$E$9:$L$132,8,0)</f>
        <v>0</v>
      </c>
      <c r="I915" s="261" t="str">
        <f t="shared" si="87"/>
        <v>&lt;/ct133&gt;</v>
      </c>
      <c r="J915" s="262"/>
      <c r="K915" s="262"/>
      <c r="L915" s="262"/>
      <c r="M915" s="263"/>
      <c r="N915" s="265">
        <v>133</v>
      </c>
    </row>
    <row r="916" spans="1:14" x14ac:dyDescent="0.45">
      <c r="A916" s="253" t="str">
        <f t="shared" si="88"/>
        <v>&lt;ct1331&gt;0&lt;/ct1331&gt;</v>
      </c>
      <c r="B916" s="243" t="s">
        <v>1596</v>
      </c>
      <c r="C916" s="244">
        <f t="shared" si="83"/>
        <v>2</v>
      </c>
      <c r="D916" s="244">
        <f t="shared" si="84"/>
        <v>8</v>
      </c>
      <c r="E916" s="244">
        <f t="shared" si="85"/>
        <v>10</v>
      </c>
      <c r="G916" s="259" t="str">
        <f t="shared" si="86"/>
        <v>&lt;ct1331&gt;</v>
      </c>
      <c r="H916" s="260">
        <f>VLOOKUP(N916,BCDTK!$E$9:$L$132,8,0)</f>
        <v>0</v>
      </c>
      <c r="I916" s="261" t="str">
        <f t="shared" si="87"/>
        <v>&lt;/ct1331&gt;</v>
      </c>
      <c r="J916" s="262"/>
      <c r="K916" s="262"/>
      <c r="L916" s="262"/>
      <c r="M916" s="263"/>
      <c r="N916" s="265">
        <v>1331</v>
      </c>
    </row>
    <row r="917" spans="1:14" x14ac:dyDescent="0.45">
      <c r="A917" s="253" t="str">
        <f t="shared" si="88"/>
        <v>&lt;ct1332&gt;0&lt;/ct1332&gt;</v>
      </c>
      <c r="B917" s="243" t="s">
        <v>1597</v>
      </c>
      <c r="C917" s="244">
        <f t="shared" si="83"/>
        <v>2</v>
      </c>
      <c r="D917" s="244">
        <f t="shared" si="84"/>
        <v>8</v>
      </c>
      <c r="E917" s="244">
        <f t="shared" si="85"/>
        <v>10</v>
      </c>
      <c r="G917" s="259" t="str">
        <f t="shared" si="86"/>
        <v>&lt;ct1332&gt;</v>
      </c>
      <c r="H917" s="260">
        <f>VLOOKUP(N917,BCDTK!$E$9:$L$132,8,0)</f>
        <v>0</v>
      </c>
      <c r="I917" s="261" t="str">
        <f t="shared" si="87"/>
        <v>&lt;/ct1332&gt;</v>
      </c>
      <c r="J917" s="262"/>
      <c r="K917" s="262"/>
      <c r="L917" s="262"/>
      <c r="M917" s="263"/>
      <c r="N917" s="265">
        <v>1332</v>
      </c>
    </row>
    <row r="918" spans="1:14" x14ac:dyDescent="0.45">
      <c r="A918" s="253" t="str">
        <f t="shared" si="88"/>
        <v>&lt;ct136&gt;0&lt;/ct136&gt;</v>
      </c>
      <c r="B918" s="243" t="s">
        <v>1471</v>
      </c>
      <c r="C918" s="244">
        <f t="shared" si="83"/>
        <v>2</v>
      </c>
      <c r="D918" s="244">
        <f t="shared" si="84"/>
        <v>7</v>
      </c>
      <c r="E918" s="244">
        <f t="shared" si="85"/>
        <v>9</v>
      </c>
      <c r="G918" s="259" t="str">
        <f t="shared" si="86"/>
        <v>&lt;ct136&gt;</v>
      </c>
      <c r="H918" s="260">
        <f>VLOOKUP(N918,BCDTK!$E$9:$L$132,8,0)</f>
        <v>0</v>
      </c>
      <c r="I918" s="261" t="str">
        <f t="shared" si="87"/>
        <v>&lt;/ct136&gt;</v>
      </c>
      <c r="J918" s="262"/>
      <c r="K918" s="262"/>
      <c r="L918" s="262"/>
      <c r="M918" s="263"/>
      <c r="N918" s="265">
        <v>136</v>
      </c>
    </row>
    <row r="919" spans="1:14" x14ac:dyDescent="0.45">
      <c r="A919" s="253" t="str">
        <f t="shared" si="88"/>
        <v>&lt;ct1361&gt;0&lt;/ct1361&gt;</v>
      </c>
      <c r="B919" s="243" t="s">
        <v>1598</v>
      </c>
      <c r="C919" s="244">
        <f t="shared" si="83"/>
        <v>2</v>
      </c>
      <c r="D919" s="244">
        <f t="shared" si="84"/>
        <v>8</v>
      </c>
      <c r="E919" s="244">
        <f t="shared" si="85"/>
        <v>10</v>
      </c>
      <c r="G919" s="259" t="str">
        <f t="shared" si="86"/>
        <v>&lt;ct1361&gt;</v>
      </c>
      <c r="H919" s="260">
        <f>VLOOKUP(N919,BCDTK!$E$9:$L$132,8,0)</f>
        <v>0</v>
      </c>
      <c r="I919" s="261" t="str">
        <f t="shared" si="87"/>
        <v>&lt;/ct1361&gt;</v>
      </c>
      <c r="J919" s="262"/>
      <c r="K919" s="262"/>
      <c r="L919" s="262"/>
      <c r="M919" s="263"/>
      <c r="N919" s="265">
        <v>1361</v>
      </c>
    </row>
    <row r="920" spans="1:14" x14ac:dyDescent="0.45">
      <c r="A920" s="253" t="str">
        <f t="shared" si="88"/>
        <v>&lt;ct1368&gt;0&lt;/ct1368&gt;</v>
      </c>
      <c r="B920" s="243" t="s">
        <v>1599</v>
      </c>
      <c r="C920" s="244">
        <f t="shared" si="83"/>
        <v>2</v>
      </c>
      <c r="D920" s="244">
        <f t="shared" si="84"/>
        <v>8</v>
      </c>
      <c r="E920" s="244">
        <f t="shared" si="85"/>
        <v>10</v>
      </c>
      <c r="G920" s="259" t="str">
        <f t="shared" si="86"/>
        <v>&lt;ct1368&gt;</v>
      </c>
      <c r="H920" s="260">
        <f>VLOOKUP(N920,BCDTK!$E$9:$L$132,8,0)</f>
        <v>0</v>
      </c>
      <c r="I920" s="261" t="str">
        <f t="shared" si="87"/>
        <v>&lt;/ct1368&gt;</v>
      </c>
      <c r="J920" s="262"/>
      <c r="K920" s="262"/>
      <c r="L920" s="262"/>
      <c r="M920" s="263"/>
      <c r="N920" s="265">
        <v>1368</v>
      </c>
    </row>
    <row r="921" spans="1:14" x14ac:dyDescent="0.45">
      <c r="A921" s="253" t="str">
        <f t="shared" si="88"/>
        <v>&lt;ct138&gt;0&lt;/ct138&gt;</v>
      </c>
      <c r="B921" s="243" t="s">
        <v>1780</v>
      </c>
      <c r="C921" s="244">
        <f t="shared" ref="C921:C984" si="89">LEN(B921)-LEN(SUBSTITUTE(B921,"&lt;",""))</f>
        <v>2</v>
      </c>
      <c r="D921" s="244">
        <f t="shared" ref="D921:D984" si="90">SEARCH("&gt;",B921)</f>
        <v>7</v>
      </c>
      <c r="E921" s="244">
        <f t="shared" ref="E921:E984" si="91">IFERROR(SEARCH("&lt;/",B921),"")</f>
        <v>15</v>
      </c>
      <c r="G921" s="259" t="str">
        <f t="shared" ref="G921:G984" si="92">LEFT(B921,D921)</f>
        <v>&lt;ct138&gt;</v>
      </c>
      <c r="H921" s="260">
        <f>VLOOKUP(N921,BCDTK!$E$9:$L$132,8,0)</f>
        <v>0</v>
      </c>
      <c r="I921" s="261" t="str">
        <f t="shared" ref="I921:I984" si="93">IF(C921=2,RIGHT(B921,LEN(B921)-E921+1),"")</f>
        <v>&lt;/ct138&gt;</v>
      </c>
      <c r="J921" s="262"/>
      <c r="K921" s="262"/>
      <c r="L921" s="262"/>
      <c r="M921" s="263"/>
      <c r="N921" s="265">
        <v>138</v>
      </c>
    </row>
    <row r="922" spans="1:14" x14ac:dyDescent="0.45">
      <c r="A922" s="253" t="str">
        <f t="shared" si="88"/>
        <v>&lt;ct1381&gt;0&lt;/ct1381&gt;</v>
      </c>
      <c r="B922" s="243" t="s">
        <v>1601</v>
      </c>
      <c r="C922" s="244">
        <f t="shared" si="89"/>
        <v>2</v>
      </c>
      <c r="D922" s="244">
        <f t="shared" si="90"/>
        <v>8</v>
      </c>
      <c r="E922" s="244">
        <f t="shared" si="91"/>
        <v>10</v>
      </c>
      <c r="G922" s="259" t="str">
        <f t="shared" si="92"/>
        <v>&lt;ct1381&gt;</v>
      </c>
      <c r="H922" s="260">
        <f>VLOOKUP(N922,BCDTK!$E$9:$L$132,8,0)</f>
        <v>0</v>
      </c>
      <c r="I922" s="261" t="str">
        <f t="shared" si="93"/>
        <v>&lt;/ct1381&gt;</v>
      </c>
      <c r="J922" s="262"/>
      <c r="K922" s="262"/>
      <c r="L922" s="262"/>
      <c r="M922" s="263"/>
      <c r="N922" s="265">
        <v>1381</v>
      </c>
    </row>
    <row r="923" spans="1:14" x14ac:dyDescent="0.45">
      <c r="A923" s="253" t="str">
        <f t="shared" si="88"/>
        <v>&lt;ct1386&gt;0&lt;/ct1386&gt;</v>
      </c>
      <c r="B923" s="243" t="s">
        <v>1602</v>
      </c>
      <c r="C923" s="244">
        <f t="shared" si="89"/>
        <v>2</v>
      </c>
      <c r="D923" s="244">
        <f t="shared" si="90"/>
        <v>8</v>
      </c>
      <c r="E923" s="244">
        <f t="shared" si="91"/>
        <v>10</v>
      </c>
      <c r="G923" s="259" t="str">
        <f t="shared" si="92"/>
        <v>&lt;ct1386&gt;</v>
      </c>
      <c r="H923" s="260">
        <f>VLOOKUP(N923,BCDTK!$E$9:$L$132,8,0)</f>
        <v>0</v>
      </c>
      <c r="I923" s="261" t="str">
        <f t="shared" si="93"/>
        <v>&lt;/ct1386&gt;</v>
      </c>
      <c r="J923" s="262"/>
      <c r="K923" s="262"/>
      <c r="L923" s="262"/>
      <c r="M923" s="263"/>
      <c r="N923" s="265">
        <v>1386</v>
      </c>
    </row>
    <row r="924" spans="1:14" x14ac:dyDescent="0.45">
      <c r="A924" s="253" t="str">
        <f t="shared" si="88"/>
        <v>&lt;ct1388&gt;0&lt;/ct1388&gt;</v>
      </c>
      <c r="B924" s="243" t="s">
        <v>1781</v>
      </c>
      <c r="C924" s="244">
        <f t="shared" si="89"/>
        <v>2</v>
      </c>
      <c r="D924" s="244">
        <f t="shared" si="90"/>
        <v>8</v>
      </c>
      <c r="E924" s="244">
        <f t="shared" si="91"/>
        <v>16</v>
      </c>
      <c r="G924" s="259" t="str">
        <f t="shared" si="92"/>
        <v>&lt;ct1388&gt;</v>
      </c>
      <c r="H924" s="260">
        <f>VLOOKUP(N924,BCDTK!$E$9:$L$132,8,0)</f>
        <v>0</v>
      </c>
      <c r="I924" s="261" t="str">
        <f t="shared" si="93"/>
        <v>&lt;/ct1388&gt;</v>
      </c>
      <c r="J924" s="262"/>
      <c r="K924" s="262"/>
      <c r="L924" s="262"/>
      <c r="M924" s="263"/>
      <c r="N924" s="265">
        <v>1388</v>
      </c>
    </row>
    <row r="925" spans="1:14" x14ac:dyDescent="0.45">
      <c r="A925" s="253" t="str">
        <f t="shared" si="88"/>
        <v>&lt;ct141&gt;0&lt;/ct141&gt;</v>
      </c>
      <c r="B925" s="243" t="s">
        <v>1513</v>
      </c>
      <c r="C925" s="244">
        <f t="shared" si="89"/>
        <v>2</v>
      </c>
      <c r="D925" s="244">
        <f t="shared" si="90"/>
        <v>7</v>
      </c>
      <c r="E925" s="244">
        <f t="shared" si="91"/>
        <v>9</v>
      </c>
      <c r="G925" s="259" t="str">
        <f t="shared" si="92"/>
        <v>&lt;ct141&gt;</v>
      </c>
      <c r="H925" s="260">
        <f>VLOOKUP(N925,BCDTK!$E$9:$L$132,8,0)</f>
        <v>0</v>
      </c>
      <c r="I925" s="261" t="str">
        <f t="shared" si="93"/>
        <v>&lt;/ct141&gt;</v>
      </c>
      <c r="J925" s="262"/>
      <c r="K925" s="262"/>
      <c r="L925" s="262"/>
      <c r="M925" s="263"/>
      <c r="N925" s="265">
        <v>141</v>
      </c>
    </row>
    <row r="926" spans="1:14" x14ac:dyDescent="0.45">
      <c r="A926" s="253" t="str">
        <f t="shared" si="88"/>
        <v>&lt;ct151&gt;0&lt;/ct151&gt;</v>
      </c>
      <c r="B926" s="243" t="s">
        <v>1476</v>
      </c>
      <c r="C926" s="244">
        <f t="shared" si="89"/>
        <v>2</v>
      </c>
      <c r="D926" s="244">
        <f t="shared" si="90"/>
        <v>7</v>
      </c>
      <c r="E926" s="244">
        <f t="shared" si="91"/>
        <v>9</v>
      </c>
      <c r="G926" s="259" t="str">
        <f t="shared" si="92"/>
        <v>&lt;ct151&gt;</v>
      </c>
      <c r="H926" s="260">
        <f>VLOOKUP(N926,BCDTK!$E$9:$L$132,8,0)</f>
        <v>0</v>
      </c>
      <c r="I926" s="261" t="str">
        <f t="shared" si="93"/>
        <v>&lt;/ct151&gt;</v>
      </c>
      <c r="J926" s="262"/>
      <c r="K926" s="262"/>
      <c r="L926" s="262"/>
      <c r="M926" s="263"/>
      <c r="N926" s="265">
        <v>151</v>
      </c>
    </row>
    <row r="927" spans="1:14" x14ac:dyDescent="0.45">
      <c r="A927" s="253" t="str">
        <f t="shared" si="88"/>
        <v>&lt;ct152&gt;0&lt;/ct152&gt;</v>
      </c>
      <c r="B927" s="243" t="s">
        <v>1477</v>
      </c>
      <c r="C927" s="244">
        <f t="shared" si="89"/>
        <v>2</v>
      </c>
      <c r="D927" s="244">
        <f t="shared" si="90"/>
        <v>7</v>
      </c>
      <c r="E927" s="244">
        <f t="shared" si="91"/>
        <v>9</v>
      </c>
      <c r="G927" s="259" t="str">
        <f t="shared" si="92"/>
        <v>&lt;ct152&gt;</v>
      </c>
      <c r="H927" s="260">
        <f>VLOOKUP(N927,BCDTK!$E$9:$L$132,8,0)</f>
        <v>0</v>
      </c>
      <c r="I927" s="261" t="str">
        <f t="shared" si="93"/>
        <v>&lt;/ct152&gt;</v>
      </c>
      <c r="J927" s="262"/>
      <c r="K927" s="262"/>
      <c r="L927" s="262"/>
      <c r="M927" s="263"/>
      <c r="N927" s="265">
        <v>152</v>
      </c>
    </row>
    <row r="928" spans="1:14" x14ac:dyDescent="0.45">
      <c r="A928" s="253" t="str">
        <f t="shared" si="88"/>
        <v>&lt;ct153&gt;0&lt;/ct153&gt;</v>
      </c>
      <c r="B928" s="243" t="s">
        <v>1604</v>
      </c>
      <c r="C928" s="244">
        <f t="shared" si="89"/>
        <v>2</v>
      </c>
      <c r="D928" s="244">
        <f t="shared" si="90"/>
        <v>7</v>
      </c>
      <c r="E928" s="244">
        <f t="shared" si="91"/>
        <v>9</v>
      </c>
      <c r="G928" s="259" t="str">
        <f t="shared" si="92"/>
        <v>&lt;ct153&gt;</v>
      </c>
      <c r="H928" s="260">
        <f>VLOOKUP(N928,BCDTK!$E$9:$L$132,8,0)</f>
        <v>0</v>
      </c>
      <c r="I928" s="261" t="str">
        <f t="shared" si="93"/>
        <v>&lt;/ct153&gt;</v>
      </c>
      <c r="J928" s="262"/>
      <c r="K928" s="262"/>
      <c r="L928" s="262"/>
      <c r="M928" s="263"/>
      <c r="N928" s="265">
        <v>153</v>
      </c>
    </row>
    <row r="929" spans="1:14" x14ac:dyDescent="0.45">
      <c r="A929" s="253" t="str">
        <f t="shared" si="88"/>
        <v>&lt;ct154&gt;0&lt;/ct154&gt;</v>
      </c>
      <c r="B929" s="243" t="s">
        <v>1605</v>
      </c>
      <c r="C929" s="244">
        <f t="shared" si="89"/>
        <v>2</v>
      </c>
      <c r="D929" s="244">
        <f t="shared" si="90"/>
        <v>7</v>
      </c>
      <c r="E929" s="244">
        <f t="shared" si="91"/>
        <v>9</v>
      </c>
      <c r="G929" s="259" t="str">
        <f t="shared" si="92"/>
        <v>&lt;ct154&gt;</v>
      </c>
      <c r="H929" s="260">
        <f>VLOOKUP(N929,BCDTK!$E$9:$L$132,8,0)</f>
        <v>0</v>
      </c>
      <c r="I929" s="261" t="str">
        <f t="shared" si="93"/>
        <v>&lt;/ct154&gt;</v>
      </c>
      <c r="J929" s="262"/>
      <c r="K929" s="262"/>
      <c r="L929" s="262"/>
      <c r="M929" s="263"/>
      <c r="N929" s="265">
        <v>154</v>
      </c>
    </row>
    <row r="930" spans="1:14" x14ac:dyDescent="0.45">
      <c r="A930" s="253" t="str">
        <f t="shared" si="88"/>
        <v>&lt;ct155&gt;0&lt;/ct155&gt;</v>
      </c>
      <c r="B930" s="243" t="s">
        <v>1606</v>
      </c>
      <c r="C930" s="244">
        <f t="shared" si="89"/>
        <v>2</v>
      </c>
      <c r="D930" s="244">
        <f t="shared" si="90"/>
        <v>7</v>
      </c>
      <c r="E930" s="244">
        <f t="shared" si="91"/>
        <v>9</v>
      </c>
      <c r="G930" s="259" t="str">
        <f t="shared" si="92"/>
        <v>&lt;ct155&gt;</v>
      </c>
      <c r="H930" s="260">
        <f>VLOOKUP(N930,BCDTK!$E$9:$L$132,8,0)</f>
        <v>0</v>
      </c>
      <c r="I930" s="261" t="str">
        <f t="shared" si="93"/>
        <v>&lt;/ct155&gt;</v>
      </c>
      <c r="J930" s="262"/>
      <c r="K930" s="262"/>
      <c r="L930" s="262"/>
      <c r="M930" s="263"/>
      <c r="N930" s="265">
        <v>155</v>
      </c>
    </row>
    <row r="931" spans="1:14" x14ac:dyDescent="0.45">
      <c r="A931" s="253" t="str">
        <f t="shared" si="88"/>
        <v>&lt;ct156&gt;0&lt;/ct156&gt;</v>
      </c>
      <c r="B931" s="243" t="s">
        <v>1607</v>
      </c>
      <c r="C931" s="244">
        <f t="shared" si="89"/>
        <v>2</v>
      </c>
      <c r="D931" s="244">
        <f t="shared" si="90"/>
        <v>7</v>
      </c>
      <c r="E931" s="244">
        <f t="shared" si="91"/>
        <v>9</v>
      </c>
      <c r="G931" s="259" t="str">
        <f t="shared" si="92"/>
        <v>&lt;ct156&gt;</v>
      </c>
      <c r="H931" s="260">
        <f>VLOOKUP(N931,BCDTK!$E$9:$L$132,8,0)</f>
        <v>0</v>
      </c>
      <c r="I931" s="261" t="str">
        <f t="shared" si="93"/>
        <v>&lt;/ct156&gt;</v>
      </c>
      <c r="J931" s="262"/>
      <c r="K931" s="262"/>
      <c r="L931" s="262"/>
      <c r="M931" s="263"/>
      <c r="N931" s="265">
        <v>156</v>
      </c>
    </row>
    <row r="932" spans="1:14" x14ac:dyDescent="0.45">
      <c r="A932" s="253" t="str">
        <f t="shared" si="88"/>
        <v>&lt;ct157&gt;0&lt;/ct157&gt;</v>
      </c>
      <c r="B932" s="243" t="s">
        <v>1608</v>
      </c>
      <c r="C932" s="244">
        <f t="shared" si="89"/>
        <v>2</v>
      </c>
      <c r="D932" s="244">
        <f t="shared" si="90"/>
        <v>7</v>
      </c>
      <c r="E932" s="244">
        <f t="shared" si="91"/>
        <v>9</v>
      </c>
      <c r="G932" s="259" t="str">
        <f t="shared" si="92"/>
        <v>&lt;ct157&gt;</v>
      </c>
      <c r="H932" s="260">
        <f>VLOOKUP(N932,BCDTK!$E$9:$L$132,8,0)</f>
        <v>0</v>
      </c>
      <c r="I932" s="261" t="str">
        <f t="shared" si="93"/>
        <v>&lt;/ct157&gt;</v>
      </c>
      <c r="J932" s="262"/>
      <c r="K932" s="262"/>
      <c r="L932" s="262"/>
      <c r="M932" s="263"/>
      <c r="N932" s="265">
        <v>157</v>
      </c>
    </row>
    <row r="933" spans="1:14" x14ac:dyDescent="0.45">
      <c r="A933" s="253" t="str">
        <f t="shared" si="88"/>
        <v>&lt;ct211&gt;0&lt;/ct211&gt;</v>
      </c>
      <c r="B933" s="243" t="s">
        <v>1609</v>
      </c>
      <c r="C933" s="244">
        <f t="shared" si="89"/>
        <v>2</v>
      </c>
      <c r="D933" s="244">
        <f t="shared" si="90"/>
        <v>7</v>
      </c>
      <c r="E933" s="244">
        <f t="shared" si="91"/>
        <v>9</v>
      </c>
      <c r="G933" s="259" t="str">
        <f t="shared" si="92"/>
        <v>&lt;ct211&gt;</v>
      </c>
      <c r="H933" s="260">
        <f>VLOOKUP(N933,BCDTK!$E$9:$L$132,8,0)</f>
        <v>0</v>
      </c>
      <c r="I933" s="261" t="str">
        <f t="shared" si="93"/>
        <v>&lt;/ct211&gt;</v>
      </c>
      <c r="J933" s="262"/>
      <c r="K933" s="262"/>
      <c r="L933" s="262"/>
      <c r="M933" s="263"/>
      <c r="N933" s="265">
        <v>211</v>
      </c>
    </row>
    <row r="934" spans="1:14" x14ac:dyDescent="0.45">
      <c r="A934" s="253" t="str">
        <f t="shared" si="88"/>
        <v>&lt;ct2111&gt;0&lt;/ct2111&gt;</v>
      </c>
      <c r="B934" s="243" t="s">
        <v>1610</v>
      </c>
      <c r="C934" s="244">
        <f t="shared" si="89"/>
        <v>2</v>
      </c>
      <c r="D934" s="244">
        <f t="shared" si="90"/>
        <v>8</v>
      </c>
      <c r="E934" s="244">
        <f t="shared" si="91"/>
        <v>10</v>
      </c>
      <c r="G934" s="259" t="str">
        <f t="shared" si="92"/>
        <v>&lt;ct2111&gt;</v>
      </c>
      <c r="H934" s="260">
        <f>VLOOKUP(N934,BCDTK!$E$9:$L$132,8,0)</f>
        <v>0</v>
      </c>
      <c r="I934" s="261" t="str">
        <f t="shared" si="93"/>
        <v>&lt;/ct2111&gt;</v>
      </c>
      <c r="J934" s="262"/>
      <c r="K934" s="262"/>
      <c r="L934" s="262"/>
      <c r="M934" s="263"/>
      <c r="N934" s="265">
        <v>2111</v>
      </c>
    </row>
    <row r="935" spans="1:14" x14ac:dyDescent="0.45">
      <c r="A935" s="253" t="str">
        <f t="shared" si="88"/>
        <v>&lt;ct2112&gt;0&lt;/ct2112&gt;</v>
      </c>
      <c r="B935" s="243" t="s">
        <v>1611</v>
      </c>
      <c r="C935" s="244">
        <f t="shared" si="89"/>
        <v>2</v>
      </c>
      <c r="D935" s="244">
        <f t="shared" si="90"/>
        <v>8</v>
      </c>
      <c r="E935" s="244">
        <f t="shared" si="91"/>
        <v>10</v>
      </c>
      <c r="G935" s="259" t="str">
        <f t="shared" si="92"/>
        <v>&lt;ct2112&gt;</v>
      </c>
      <c r="H935" s="260">
        <f>VLOOKUP(N935,BCDTK!$E$9:$L$132,8,0)</f>
        <v>0</v>
      </c>
      <c r="I935" s="261" t="str">
        <f t="shared" si="93"/>
        <v>&lt;/ct2112&gt;</v>
      </c>
      <c r="J935" s="262"/>
      <c r="K935" s="262"/>
      <c r="L935" s="262"/>
      <c r="M935" s="263"/>
      <c r="N935" s="265">
        <v>2112</v>
      </c>
    </row>
    <row r="936" spans="1:14" x14ac:dyDescent="0.45">
      <c r="A936" s="253" t="str">
        <f t="shared" si="88"/>
        <v>&lt;ct2113&gt;0&lt;/ct2113&gt;</v>
      </c>
      <c r="B936" s="243" t="s">
        <v>1612</v>
      </c>
      <c r="C936" s="244">
        <f t="shared" si="89"/>
        <v>2</v>
      </c>
      <c r="D936" s="244">
        <f t="shared" si="90"/>
        <v>8</v>
      </c>
      <c r="E936" s="244">
        <f t="shared" si="91"/>
        <v>10</v>
      </c>
      <c r="G936" s="259" t="str">
        <f t="shared" si="92"/>
        <v>&lt;ct2113&gt;</v>
      </c>
      <c r="H936" s="260">
        <f>VLOOKUP(N936,BCDTK!$E$9:$L$132,8,0)</f>
        <v>0</v>
      </c>
      <c r="I936" s="261" t="str">
        <f t="shared" si="93"/>
        <v>&lt;/ct2113&gt;</v>
      </c>
      <c r="J936" s="262"/>
      <c r="K936" s="262"/>
      <c r="L936" s="262"/>
      <c r="M936" s="263"/>
      <c r="N936" s="265">
        <v>2113</v>
      </c>
    </row>
    <row r="937" spans="1:14" x14ac:dyDescent="0.45">
      <c r="A937" s="253" t="str">
        <f t="shared" si="88"/>
        <v>&lt;ct214&gt;10083376&lt;/ct214&gt;</v>
      </c>
      <c r="B937" s="243" t="s">
        <v>1613</v>
      </c>
      <c r="C937" s="244">
        <f t="shared" si="89"/>
        <v>2</v>
      </c>
      <c r="D937" s="244">
        <f t="shared" si="90"/>
        <v>7</v>
      </c>
      <c r="E937" s="244">
        <f t="shared" si="91"/>
        <v>9</v>
      </c>
      <c r="G937" s="259" t="str">
        <f t="shared" si="92"/>
        <v>&lt;ct214&gt;</v>
      </c>
      <c r="H937" s="260">
        <f>VLOOKUP(N937,BCDTK!$E$9:$L$132,8,0)</f>
        <v>10083376</v>
      </c>
      <c r="I937" s="261" t="str">
        <f t="shared" si="93"/>
        <v>&lt;/ct214&gt;</v>
      </c>
      <c r="J937" s="262"/>
      <c r="K937" s="262"/>
      <c r="L937" s="262"/>
      <c r="M937" s="263"/>
      <c r="N937" s="265">
        <v>214</v>
      </c>
    </row>
    <row r="938" spans="1:14" x14ac:dyDescent="0.45">
      <c r="A938" s="253" t="str">
        <f t="shared" si="88"/>
        <v>&lt;ct2141&gt;10083376&lt;/ct2141&gt;</v>
      </c>
      <c r="B938" s="243" t="s">
        <v>1614</v>
      </c>
      <c r="C938" s="244">
        <f t="shared" si="89"/>
        <v>2</v>
      </c>
      <c r="D938" s="244">
        <f t="shared" si="90"/>
        <v>8</v>
      </c>
      <c r="E938" s="244">
        <f t="shared" si="91"/>
        <v>10</v>
      </c>
      <c r="G938" s="259" t="str">
        <f t="shared" si="92"/>
        <v>&lt;ct2141&gt;</v>
      </c>
      <c r="H938" s="260">
        <f>VLOOKUP(N938,BCDTK!$E$9:$L$132,8,0)</f>
        <v>10083376</v>
      </c>
      <c r="I938" s="261" t="str">
        <f t="shared" si="93"/>
        <v>&lt;/ct2141&gt;</v>
      </c>
      <c r="J938" s="262"/>
      <c r="K938" s="262"/>
      <c r="L938" s="262"/>
      <c r="M938" s="263"/>
      <c r="N938" s="265">
        <v>2141</v>
      </c>
    </row>
    <row r="939" spans="1:14" x14ac:dyDescent="0.45">
      <c r="A939" s="253" t="str">
        <f t="shared" si="88"/>
        <v>&lt;ct2142&gt;0&lt;/ct2142&gt;</v>
      </c>
      <c r="B939" s="243" t="s">
        <v>1615</v>
      </c>
      <c r="C939" s="244">
        <f t="shared" si="89"/>
        <v>2</v>
      </c>
      <c r="D939" s="244">
        <f t="shared" si="90"/>
        <v>8</v>
      </c>
      <c r="E939" s="244">
        <f t="shared" si="91"/>
        <v>10</v>
      </c>
      <c r="G939" s="259" t="str">
        <f t="shared" si="92"/>
        <v>&lt;ct2142&gt;</v>
      </c>
      <c r="H939" s="260">
        <f>VLOOKUP(N939,BCDTK!$E$9:$L$132,8,0)</f>
        <v>0</v>
      </c>
      <c r="I939" s="261" t="str">
        <f t="shared" si="93"/>
        <v>&lt;/ct2142&gt;</v>
      </c>
      <c r="J939" s="262"/>
      <c r="K939" s="262"/>
      <c r="L939" s="262"/>
      <c r="M939" s="263"/>
      <c r="N939" s="265">
        <v>2142</v>
      </c>
    </row>
    <row r="940" spans="1:14" x14ac:dyDescent="0.45">
      <c r="A940" s="253" t="str">
        <f t="shared" si="88"/>
        <v>&lt;ct2143&gt;0&lt;/ct2143&gt;</v>
      </c>
      <c r="B940" s="243" t="s">
        <v>1616</v>
      </c>
      <c r="C940" s="244">
        <f t="shared" si="89"/>
        <v>2</v>
      </c>
      <c r="D940" s="244">
        <f t="shared" si="90"/>
        <v>8</v>
      </c>
      <c r="E940" s="244">
        <f t="shared" si="91"/>
        <v>10</v>
      </c>
      <c r="G940" s="259" t="str">
        <f t="shared" si="92"/>
        <v>&lt;ct2143&gt;</v>
      </c>
      <c r="H940" s="260">
        <f>VLOOKUP(N940,BCDTK!$E$9:$L$132,8,0)</f>
        <v>0</v>
      </c>
      <c r="I940" s="261" t="str">
        <f t="shared" si="93"/>
        <v>&lt;/ct2143&gt;</v>
      </c>
      <c r="J940" s="262"/>
      <c r="K940" s="262"/>
      <c r="L940" s="262"/>
      <c r="M940" s="263"/>
      <c r="N940" s="265">
        <v>2143</v>
      </c>
    </row>
    <row r="941" spans="1:14" x14ac:dyDescent="0.45">
      <c r="A941" s="253" t="str">
        <f t="shared" ref="A941:A1004" si="94">CONCATENATE(G941,H941,I941)</f>
        <v>&lt;ct2147&gt;0&lt;/ct2147&gt;</v>
      </c>
      <c r="B941" s="243" t="s">
        <v>1617</v>
      </c>
      <c r="C941" s="244">
        <f t="shared" si="89"/>
        <v>2</v>
      </c>
      <c r="D941" s="244">
        <f t="shared" si="90"/>
        <v>8</v>
      </c>
      <c r="E941" s="244">
        <f t="shared" si="91"/>
        <v>10</v>
      </c>
      <c r="G941" s="259" t="str">
        <f t="shared" si="92"/>
        <v>&lt;ct2147&gt;</v>
      </c>
      <c r="H941" s="260">
        <f>VLOOKUP(N941,BCDTK!$E$9:$L$132,8,0)</f>
        <v>0</v>
      </c>
      <c r="I941" s="261" t="str">
        <f t="shared" si="93"/>
        <v>&lt;/ct2147&gt;</v>
      </c>
      <c r="J941" s="262"/>
      <c r="K941" s="262"/>
      <c r="L941" s="262"/>
      <c r="M941" s="263"/>
      <c r="N941" s="265">
        <v>2147</v>
      </c>
    </row>
    <row r="942" spans="1:14" x14ac:dyDescent="0.45">
      <c r="A942" s="253" t="str">
        <f t="shared" si="94"/>
        <v>&lt;ct217&gt;0&lt;/ct217&gt;</v>
      </c>
      <c r="B942" s="243" t="s">
        <v>1618</v>
      </c>
      <c r="C942" s="244">
        <f t="shared" si="89"/>
        <v>2</v>
      </c>
      <c r="D942" s="244">
        <f t="shared" si="90"/>
        <v>7</v>
      </c>
      <c r="E942" s="244">
        <f t="shared" si="91"/>
        <v>9</v>
      </c>
      <c r="G942" s="259" t="str">
        <f t="shared" si="92"/>
        <v>&lt;ct217&gt;</v>
      </c>
      <c r="H942" s="260">
        <f>VLOOKUP(N942,BCDTK!$E$9:$L$132,8,0)</f>
        <v>0</v>
      </c>
      <c r="I942" s="261" t="str">
        <f t="shared" si="93"/>
        <v>&lt;/ct217&gt;</v>
      </c>
      <c r="J942" s="262"/>
      <c r="K942" s="262"/>
      <c r="L942" s="262"/>
      <c r="M942" s="263"/>
      <c r="N942" s="265">
        <v>217</v>
      </c>
    </row>
    <row r="943" spans="1:14" x14ac:dyDescent="0.45">
      <c r="A943" s="253" t="str">
        <f t="shared" si="94"/>
        <v>&lt;ct228&gt;0&lt;/ct228&gt;</v>
      </c>
      <c r="B943" s="243" t="s">
        <v>1619</v>
      </c>
      <c r="C943" s="244">
        <f t="shared" si="89"/>
        <v>2</v>
      </c>
      <c r="D943" s="244">
        <f t="shared" si="90"/>
        <v>7</v>
      </c>
      <c r="E943" s="244">
        <f t="shared" si="91"/>
        <v>9</v>
      </c>
      <c r="G943" s="259" t="str">
        <f t="shared" si="92"/>
        <v>&lt;ct228&gt;</v>
      </c>
      <c r="H943" s="260">
        <f>VLOOKUP(N943,BCDTK!$E$9:$L$132,8,0)</f>
        <v>0</v>
      </c>
      <c r="I943" s="261" t="str">
        <f t="shared" si="93"/>
        <v>&lt;/ct228&gt;</v>
      </c>
      <c r="J943" s="262"/>
      <c r="K943" s="262"/>
      <c r="L943" s="262"/>
      <c r="M943" s="263"/>
      <c r="N943" s="265">
        <v>228</v>
      </c>
    </row>
    <row r="944" spans="1:14" x14ac:dyDescent="0.45">
      <c r="A944" s="253" t="str">
        <f t="shared" si="94"/>
        <v>&lt;ct2281&gt;0&lt;/ct2281&gt;</v>
      </c>
      <c r="B944" s="243" t="s">
        <v>1620</v>
      </c>
      <c r="C944" s="244">
        <f t="shared" si="89"/>
        <v>2</v>
      </c>
      <c r="D944" s="244">
        <f t="shared" si="90"/>
        <v>8</v>
      </c>
      <c r="E944" s="244">
        <f t="shared" si="91"/>
        <v>10</v>
      </c>
      <c r="G944" s="259" t="str">
        <f t="shared" si="92"/>
        <v>&lt;ct2281&gt;</v>
      </c>
      <c r="H944" s="260">
        <f>VLOOKUP(N944,BCDTK!$E$9:$L$132,8,0)</f>
        <v>0</v>
      </c>
      <c r="I944" s="261" t="str">
        <f t="shared" si="93"/>
        <v>&lt;/ct2281&gt;</v>
      </c>
      <c r="J944" s="262"/>
      <c r="K944" s="262"/>
      <c r="L944" s="262"/>
      <c r="M944" s="263"/>
      <c r="N944" s="265">
        <v>2281</v>
      </c>
    </row>
    <row r="945" spans="1:14" x14ac:dyDescent="0.45">
      <c r="A945" s="253" t="str">
        <f t="shared" si="94"/>
        <v>&lt;ct2288&gt;0&lt;/ct2288&gt;</v>
      </c>
      <c r="B945" s="243" t="s">
        <v>1621</v>
      </c>
      <c r="C945" s="244">
        <f t="shared" si="89"/>
        <v>2</v>
      </c>
      <c r="D945" s="244">
        <f t="shared" si="90"/>
        <v>8</v>
      </c>
      <c r="E945" s="244">
        <f t="shared" si="91"/>
        <v>10</v>
      </c>
      <c r="G945" s="259" t="str">
        <f t="shared" si="92"/>
        <v>&lt;ct2288&gt;</v>
      </c>
      <c r="H945" s="260">
        <f>VLOOKUP(N945,BCDTK!$E$9:$L$132,8,0)</f>
        <v>0</v>
      </c>
      <c r="I945" s="261" t="str">
        <f t="shared" si="93"/>
        <v>&lt;/ct2288&gt;</v>
      </c>
      <c r="J945" s="262"/>
      <c r="K945" s="262"/>
      <c r="L945" s="262"/>
      <c r="M945" s="263"/>
      <c r="N945" s="265">
        <v>2288</v>
      </c>
    </row>
    <row r="946" spans="1:14" x14ac:dyDescent="0.45">
      <c r="A946" s="253" t="str">
        <f t="shared" si="94"/>
        <v>&lt;ct229&gt;0&lt;/ct229&gt;</v>
      </c>
      <c r="B946" s="243" t="s">
        <v>1622</v>
      </c>
      <c r="C946" s="244">
        <f t="shared" si="89"/>
        <v>2</v>
      </c>
      <c r="D946" s="244">
        <f t="shared" si="90"/>
        <v>7</v>
      </c>
      <c r="E946" s="244">
        <f t="shared" si="91"/>
        <v>9</v>
      </c>
      <c r="G946" s="259" t="str">
        <f t="shared" si="92"/>
        <v>&lt;ct229&gt;</v>
      </c>
      <c r="H946" s="260">
        <f>VLOOKUP(N946,BCDTK!$E$9:$L$132,8,0)</f>
        <v>0</v>
      </c>
      <c r="I946" s="261" t="str">
        <f t="shared" si="93"/>
        <v>&lt;/ct229&gt;</v>
      </c>
      <c r="J946" s="262"/>
      <c r="K946" s="262"/>
      <c r="L946" s="262"/>
      <c r="M946" s="263"/>
      <c r="N946" s="265">
        <v>229</v>
      </c>
    </row>
    <row r="947" spans="1:14" x14ac:dyDescent="0.45">
      <c r="A947" s="253" t="str">
        <f t="shared" si="94"/>
        <v>&lt;ct2291&gt;0&lt;/ct2291&gt;</v>
      </c>
      <c r="B947" s="243" t="s">
        <v>1623</v>
      </c>
      <c r="C947" s="244">
        <f t="shared" si="89"/>
        <v>2</v>
      </c>
      <c r="D947" s="244">
        <f t="shared" si="90"/>
        <v>8</v>
      </c>
      <c r="E947" s="244">
        <f t="shared" si="91"/>
        <v>10</v>
      </c>
      <c r="G947" s="259" t="str">
        <f t="shared" si="92"/>
        <v>&lt;ct2291&gt;</v>
      </c>
      <c r="H947" s="260">
        <f>VLOOKUP(N947,BCDTK!$E$9:$L$132,8,0)</f>
        <v>0</v>
      </c>
      <c r="I947" s="261" t="str">
        <f t="shared" si="93"/>
        <v>&lt;/ct2291&gt;</v>
      </c>
      <c r="J947" s="262"/>
      <c r="K947" s="262"/>
      <c r="L947" s="262"/>
      <c r="M947" s="263"/>
      <c r="N947" s="265">
        <v>2291</v>
      </c>
    </row>
    <row r="948" spans="1:14" x14ac:dyDescent="0.45">
      <c r="A948" s="253" t="str">
        <f t="shared" si="94"/>
        <v>&lt;ct2292&gt;0&lt;/ct2292&gt;</v>
      </c>
      <c r="B948" s="243" t="s">
        <v>1624</v>
      </c>
      <c r="C948" s="244">
        <f t="shared" si="89"/>
        <v>2</v>
      </c>
      <c r="D948" s="244">
        <f t="shared" si="90"/>
        <v>8</v>
      </c>
      <c r="E948" s="244">
        <f t="shared" si="91"/>
        <v>10</v>
      </c>
      <c r="G948" s="259" t="str">
        <f t="shared" si="92"/>
        <v>&lt;ct2292&gt;</v>
      </c>
      <c r="H948" s="260">
        <f>VLOOKUP(N948,BCDTK!$E$9:$L$132,8,0)</f>
        <v>0</v>
      </c>
      <c r="I948" s="261" t="str">
        <f t="shared" si="93"/>
        <v>&lt;/ct2292&gt;</v>
      </c>
      <c r="J948" s="262"/>
      <c r="K948" s="262"/>
      <c r="L948" s="262"/>
      <c r="M948" s="263"/>
      <c r="N948" s="265">
        <v>2292</v>
      </c>
    </row>
    <row r="949" spans="1:14" x14ac:dyDescent="0.45">
      <c r="A949" s="253" t="str">
        <f t="shared" si="94"/>
        <v>&lt;ct2293&gt;0&lt;/ct2293&gt;</v>
      </c>
      <c r="B949" s="243" t="s">
        <v>1625</v>
      </c>
      <c r="C949" s="244">
        <f t="shared" si="89"/>
        <v>2</v>
      </c>
      <c r="D949" s="244">
        <f t="shared" si="90"/>
        <v>8</v>
      </c>
      <c r="E949" s="244">
        <f t="shared" si="91"/>
        <v>10</v>
      </c>
      <c r="G949" s="259" t="str">
        <f t="shared" si="92"/>
        <v>&lt;ct2293&gt;</v>
      </c>
      <c r="H949" s="260">
        <f>VLOOKUP(N949,BCDTK!$E$9:$L$132,8,0)</f>
        <v>0</v>
      </c>
      <c r="I949" s="261" t="str">
        <f t="shared" si="93"/>
        <v>&lt;/ct2293&gt;</v>
      </c>
      <c r="J949" s="262"/>
      <c r="K949" s="262"/>
      <c r="L949" s="262"/>
      <c r="M949" s="263"/>
      <c r="N949" s="265">
        <v>2293</v>
      </c>
    </row>
    <row r="950" spans="1:14" x14ac:dyDescent="0.45">
      <c r="A950" s="253" t="str">
        <f t="shared" si="94"/>
        <v>&lt;ct2294&gt;0&lt;/ct2294&gt;</v>
      </c>
      <c r="B950" s="243" t="s">
        <v>1626</v>
      </c>
      <c r="C950" s="244">
        <f t="shared" si="89"/>
        <v>2</v>
      </c>
      <c r="D950" s="244">
        <f t="shared" si="90"/>
        <v>8</v>
      </c>
      <c r="E950" s="244">
        <f t="shared" si="91"/>
        <v>10</v>
      </c>
      <c r="G950" s="259" t="str">
        <f t="shared" si="92"/>
        <v>&lt;ct2294&gt;</v>
      </c>
      <c r="H950" s="260">
        <f>VLOOKUP(N950,BCDTK!$E$9:$L$132,8,0)</f>
        <v>0</v>
      </c>
      <c r="I950" s="261" t="str">
        <f t="shared" si="93"/>
        <v>&lt;/ct2294&gt;</v>
      </c>
      <c r="J950" s="262"/>
      <c r="K950" s="262"/>
      <c r="L950" s="262"/>
      <c r="M950" s="263"/>
      <c r="N950" s="265">
        <v>2294</v>
      </c>
    </row>
    <row r="951" spans="1:14" x14ac:dyDescent="0.45">
      <c r="A951" s="253" t="str">
        <f t="shared" si="94"/>
        <v>&lt;ct241&gt;0&lt;/ct241&gt;</v>
      </c>
      <c r="B951" s="243" t="s">
        <v>1627</v>
      </c>
      <c r="C951" s="244">
        <f t="shared" si="89"/>
        <v>2</v>
      </c>
      <c r="D951" s="244">
        <f t="shared" si="90"/>
        <v>7</v>
      </c>
      <c r="E951" s="244">
        <f t="shared" si="91"/>
        <v>9</v>
      </c>
      <c r="G951" s="259" t="str">
        <f t="shared" si="92"/>
        <v>&lt;ct241&gt;</v>
      </c>
      <c r="H951" s="260">
        <f>VLOOKUP(N951,BCDTK!$E$9:$L$132,8,0)</f>
        <v>0</v>
      </c>
      <c r="I951" s="261" t="str">
        <f t="shared" si="93"/>
        <v>&lt;/ct241&gt;</v>
      </c>
      <c r="J951" s="262"/>
      <c r="K951" s="262"/>
      <c r="L951" s="262"/>
      <c r="M951" s="263"/>
      <c r="N951" s="265">
        <v>241</v>
      </c>
    </row>
    <row r="952" spans="1:14" x14ac:dyDescent="0.45">
      <c r="A952" s="253" t="str">
        <f t="shared" si="94"/>
        <v>&lt;ct2411&gt;0&lt;/ct2411&gt;</v>
      </c>
      <c r="B952" s="243" t="s">
        <v>1628</v>
      </c>
      <c r="C952" s="244">
        <f t="shared" si="89"/>
        <v>2</v>
      </c>
      <c r="D952" s="244">
        <f t="shared" si="90"/>
        <v>8</v>
      </c>
      <c r="E952" s="244">
        <f t="shared" si="91"/>
        <v>10</v>
      </c>
      <c r="G952" s="259" t="str">
        <f t="shared" si="92"/>
        <v>&lt;ct2411&gt;</v>
      </c>
      <c r="H952" s="260">
        <f>VLOOKUP(N952,BCDTK!$E$9:$L$132,8,0)</f>
        <v>0</v>
      </c>
      <c r="I952" s="261" t="str">
        <f t="shared" si="93"/>
        <v>&lt;/ct2411&gt;</v>
      </c>
      <c r="J952" s="262"/>
      <c r="K952" s="262"/>
      <c r="L952" s="262"/>
      <c r="M952" s="263"/>
      <c r="N952" s="265">
        <v>2411</v>
      </c>
    </row>
    <row r="953" spans="1:14" x14ac:dyDescent="0.45">
      <c r="A953" s="253" t="str">
        <f t="shared" si="94"/>
        <v>&lt;ct2412&gt;0&lt;/ct2412&gt;</v>
      </c>
      <c r="B953" s="243" t="s">
        <v>1629</v>
      </c>
      <c r="C953" s="244">
        <f t="shared" si="89"/>
        <v>2</v>
      </c>
      <c r="D953" s="244">
        <f t="shared" si="90"/>
        <v>8</v>
      </c>
      <c r="E953" s="244">
        <f t="shared" si="91"/>
        <v>10</v>
      </c>
      <c r="G953" s="259" t="str">
        <f t="shared" si="92"/>
        <v>&lt;ct2412&gt;</v>
      </c>
      <c r="H953" s="260">
        <f>VLOOKUP(N953,BCDTK!$E$9:$L$132,8,0)</f>
        <v>0</v>
      </c>
      <c r="I953" s="261" t="str">
        <f t="shared" si="93"/>
        <v>&lt;/ct2412&gt;</v>
      </c>
      <c r="J953" s="262"/>
      <c r="K953" s="262"/>
      <c r="L953" s="262"/>
      <c r="M953" s="263"/>
      <c r="N953" s="265">
        <v>2412</v>
      </c>
    </row>
    <row r="954" spans="1:14" x14ac:dyDescent="0.45">
      <c r="A954" s="253" t="str">
        <f t="shared" si="94"/>
        <v>&lt;ct2413&gt;0&lt;/ct2413&gt;</v>
      </c>
      <c r="B954" s="243" t="s">
        <v>1630</v>
      </c>
      <c r="C954" s="244">
        <f t="shared" si="89"/>
        <v>2</v>
      </c>
      <c r="D954" s="244">
        <f t="shared" si="90"/>
        <v>8</v>
      </c>
      <c r="E954" s="244">
        <f t="shared" si="91"/>
        <v>10</v>
      </c>
      <c r="G954" s="259" t="str">
        <f t="shared" si="92"/>
        <v>&lt;ct2413&gt;</v>
      </c>
      <c r="H954" s="260">
        <f>VLOOKUP(N954,BCDTK!$E$9:$L$132,8,0)</f>
        <v>0</v>
      </c>
      <c r="I954" s="261" t="str">
        <f t="shared" si="93"/>
        <v>&lt;/ct2413&gt;</v>
      </c>
      <c r="J954" s="262"/>
      <c r="K954" s="262"/>
      <c r="L954" s="262"/>
      <c r="M954" s="263"/>
      <c r="N954" s="265">
        <v>2413</v>
      </c>
    </row>
    <row r="955" spans="1:14" x14ac:dyDescent="0.45">
      <c r="A955" s="253" t="str">
        <f t="shared" si="94"/>
        <v>&lt;ct242&gt;0&lt;/ct242&gt;</v>
      </c>
      <c r="B955" s="243" t="s">
        <v>1631</v>
      </c>
      <c r="C955" s="244">
        <f t="shared" si="89"/>
        <v>2</v>
      </c>
      <c r="D955" s="244">
        <f t="shared" si="90"/>
        <v>7</v>
      </c>
      <c r="E955" s="244">
        <f t="shared" si="91"/>
        <v>9</v>
      </c>
      <c r="G955" s="259" t="str">
        <f t="shared" si="92"/>
        <v>&lt;ct242&gt;</v>
      </c>
      <c r="H955" s="260">
        <f>VLOOKUP(N955,BCDTK!$E$9:$L$132,8,0)</f>
        <v>0</v>
      </c>
      <c r="I955" s="261" t="str">
        <f t="shared" si="93"/>
        <v>&lt;/ct242&gt;</v>
      </c>
      <c r="J955" s="262"/>
      <c r="K955" s="262"/>
      <c r="L955" s="262"/>
      <c r="M955" s="263"/>
      <c r="N955" s="265">
        <v>242</v>
      </c>
    </row>
    <row r="956" spans="1:14" x14ac:dyDescent="0.45">
      <c r="A956" s="253" t="str">
        <f t="shared" si="94"/>
        <v>&lt;ct331&gt;0&lt;/ct331&gt;</v>
      </c>
      <c r="B956" s="243" t="s">
        <v>1782</v>
      </c>
      <c r="C956" s="244">
        <f t="shared" si="89"/>
        <v>2</v>
      </c>
      <c r="D956" s="244">
        <f t="shared" si="90"/>
        <v>7</v>
      </c>
      <c r="E956" s="244">
        <f t="shared" si="91"/>
        <v>16</v>
      </c>
      <c r="G956" s="259" t="str">
        <f t="shared" si="92"/>
        <v>&lt;ct331&gt;</v>
      </c>
      <c r="H956" s="260">
        <f>VLOOKUP(N956,BCDTK!$E$9:$L$132,8,0)</f>
        <v>0</v>
      </c>
      <c r="I956" s="261" t="str">
        <f t="shared" si="93"/>
        <v>&lt;/ct331&gt;</v>
      </c>
      <c r="J956" s="262"/>
      <c r="K956" s="262"/>
      <c r="L956" s="262"/>
      <c r="M956" s="263"/>
      <c r="N956" s="265">
        <v>331</v>
      </c>
    </row>
    <row r="957" spans="1:14" x14ac:dyDescent="0.45">
      <c r="A957" s="253" t="str">
        <f t="shared" si="94"/>
        <v>&lt;ct333&gt;2035545&lt;/ct333&gt;</v>
      </c>
      <c r="B957" s="243" t="s">
        <v>1783</v>
      </c>
      <c r="C957" s="244">
        <f t="shared" si="89"/>
        <v>2</v>
      </c>
      <c r="D957" s="244">
        <f t="shared" si="90"/>
        <v>7</v>
      </c>
      <c r="E957" s="244">
        <f t="shared" si="91"/>
        <v>16</v>
      </c>
      <c r="G957" s="259" t="str">
        <f t="shared" si="92"/>
        <v>&lt;ct333&gt;</v>
      </c>
      <c r="H957" s="260">
        <f>VLOOKUP(N957,BCDTK!$E$9:$L$132,8,0)</f>
        <v>2035545</v>
      </c>
      <c r="I957" s="261" t="str">
        <f t="shared" si="93"/>
        <v>&lt;/ct333&gt;</v>
      </c>
      <c r="J957" s="262"/>
      <c r="K957" s="262"/>
      <c r="L957" s="262"/>
      <c r="M957" s="263"/>
      <c r="N957" s="265">
        <v>333</v>
      </c>
    </row>
    <row r="958" spans="1:14" x14ac:dyDescent="0.45">
      <c r="A958" s="253" t="str">
        <f t="shared" si="94"/>
        <v>&lt;ct3331&gt;0&lt;/ct3331&gt;</v>
      </c>
      <c r="B958" s="243" t="s">
        <v>1784</v>
      </c>
      <c r="C958" s="244">
        <f t="shared" si="89"/>
        <v>2</v>
      </c>
      <c r="D958" s="244">
        <f t="shared" si="90"/>
        <v>8</v>
      </c>
      <c r="E958" s="244">
        <f t="shared" si="91"/>
        <v>16</v>
      </c>
      <c r="G958" s="259" t="str">
        <f t="shared" si="92"/>
        <v>&lt;ct3331&gt;</v>
      </c>
      <c r="H958" s="260">
        <f>VLOOKUP(N958,BCDTK!$E$9:$L$132,8,0)</f>
        <v>0</v>
      </c>
      <c r="I958" s="261" t="str">
        <f t="shared" si="93"/>
        <v>&lt;/ct3331&gt;</v>
      </c>
      <c r="J958" s="262"/>
      <c r="K958" s="262"/>
      <c r="L958" s="262"/>
      <c r="M958" s="263"/>
      <c r="N958" s="265">
        <v>3331</v>
      </c>
    </row>
    <row r="959" spans="1:14" x14ac:dyDescent="0.45">
      <c r="A959" s="253" t="str">
        <f t="shared" si="94"/>
        <v>&lt;ct33311&gt;0&lt;/ct33311&gt;</v>
      </c>
      <c r="B959" s="243" t="s">
        <v>1785</v>
      </c>
      <c r="C959" s="244">
        <f t="shared" si="89"/>
        <v>2</v>
      </c>
      <c r="D959" s="244">
        <f t="shared" si="90"/>
        <v>9</v>
      </c>
      <c r="E959" s="244">
        <f t="shared" si="91"/>
        <v>17</v>
      </c>
      <c r="G959" s="259" t="str">
        <f t="shared" si="92"/>
        <v>&lt;ct33311&gt;</v>
      </c>
      <c r="H959" s="260">
        <f>VLOOKUP(N959,BCDTK!$E$9:$L$132,8,0)</f>
        <v>0</v>
      </c>
      <c r="I959" s="261" t="str">
        <f t="shared" si="93"/>
        <v>&lt;/ct33311&gt;</v>
      </c>
      <c r="J959" s="262"/>
      <c r="K959" s="262"/>
      <c r="L959" s="262"/>
      <c r="M959" s="263"/>
      <c r="N959" s="265">
        <v>33311</v>
      </c>
    </row>
    <row r="960" spans="1:14" x14ac:dyDescent="0.45">
      <c r="A960" s="253" t="str">
        <f t="shared" si="94"/>
        <v>&lt;ct33312&gt;0&lt;/ct33312&gt;</v>
      </c>
      <c r="B960" s="243" t="s">
        <v>1636</v>
      </c>
      <c r="C960" s="244">
        <f t="shared" si="89"/>
        <v>2</v>
      </c>
      <c r="D960" s="244">
        <f t="shared" si="90"/>
        <v>9</v>
      </c>
      <c r="E960" s="244">
        <f t="shared" si="91"/>
        <v>11</v>
      </c>
      <c r="G960" s="259" t="str">
        <f t="shared" si="92"/>
        <v>&lt;ct33312&gt;</v>
      </c>
      <c r="H960" s="260">
        <f>VLOOKUP(N960,BCDTK!$E$9:$L$132,8,0)</f>
        <v>0</v>
      </c>
      <c r="I960" s="261" t="str">
        <f t="shared" si="93"/>
        <v>&lt;/ct33312&gt;</v>
      </c>
      <c r="J960" s="262"/>
      <c r="K960" s="262"/>
      <c r="L960" s="262"/>
      <c r="M960" s="263"/>
      <c r="N960" s="265">
        <v>33312</v>
      </c>
    </row>
    <row r="961" spans="1:14" x14ac:dyDescent="0.45">
      <c r="A961" s="253" t="str">
        <f t="shared" si="94"/>
        <v>&lt;ct3332&gt;0&lt;/ct3332&gt;</v>
      </c>
      <c r="B961" s="243" t="s">
        <v>1637</v>
      </c>
      <c r="C961" s="244">
        <f t="shared" si="89"/>
        <v>2</v>
      </c>
      <c r="D961" s="244">
        <f t="shared" si="90"/>
        <v>8</v>
      </c>
      <c r="E961" s="244">
        <f t="shared" si="91"/>
        <v>10</v>
      </c>
      <c r="G961" s="259" t="str">
        <f t="shared" si="92"/>
        <v>&lt;ct3332&gt;</v>
      </c>
      <c r="H961" s="260">
        <f>VLOOKUP(N961,BCDTK!$E$9:$L$132,8,0)</f>
        <v>0</v>
      </c>
      <c r="I961" s="261" t="str">
        <f t="shared" si="93"/>
        <v>&lt;/ct3332&gt;</v>
      </c>
      <c r="J961" s="262"/>
      <c r="K961" s="262"/>
      <c r="L961" s="262"/>
      <c r="M961" s="263"/>
      <c r="N961" s="265">
        <v>3332</v>
      </c>
    </row>
    <row r="962" spans="1:14" x14ac:dyDescent="0.45">
      <c r="A962" s="253" t="str">
        <f t="shared" si="94"/>
        <v>&lt;ct3333&gt;0&lt;/ct3333&gt;</v>
      </c>
      <c r="B962" s="243" t="s">
        <v>1638</v>
      </c>
      <c r="C962" s="244">
        <f t="shared" si="89"/>
        <v>2</v>
      </c>
      <c r="D962" s="244">
        <f t="shared" si="90"/>
        <v>8</v>
      </c>
      <c r="E962" s="244">
        <f t="shared" si="91"/>
        <v>10</v>
      </c>
      <c r="G962" s="259" t="str">
        <f t="shared" si="92"/>
        <v>&lt;ct3333&gt;</v>
      </c>
      <c r="H962" s="260">
        <f>VLOOKUP(N962,BCDTK!$E$9:$L$132,8,0)</f>
        <v>0</v>
      </c>
      <c r="I962" s="261" t="str">
        <f t="shared" si="93"/>
        <v>&lt;/ct3333&gt;</v>
      </c>
      <c r="J962" s="262"/>
      <c r="K962" s="262"/>
      <c r="L962" s="262"/>
      <c r="M962" s="263"/>
      <c r="N962" s="265">
        <v>3333</v>
      </c>
    </row>
    <row r="963" spans="1:14" x14ac:dyDescent="0.45">
      <c r="A963" s="253" t="str">
        <f t="shared" si="94"/>
        <v>&lt;ct3334&gt;2035545&lt;/ct3334&gt;</v>
      </c>
      <c r="B963" s="243" t="s">
        <v>1639</v>
      </c>
      <c r="C963" s="244">
        <f t="shared" si="89"/>
        <v>2</v>
      </c>
      <c r="D963" s="244">
        <f t="shared" si="90"/>
        <v>8</v>
      </c>
      <c r="E963" s="244">
        <f t="shared" si="91"/>
        <v>10</v>
      </c>
      <c r="G963" s="259" t="str">
        <f t="shared" si="92"/>
        <v>&lt;ct3334&gt;</v>
      </c>
      <c r="H963" s="260">
        <f>VLOOKUP(N963,BCDTK!$E$9:$L$132,8,0)</f>
        <v>2035545</v>
      </c>
      <c r="I963" s="261" t="str">
        <f t="shared" si="93"/>
        <v>&lt;/ct3334&gt;</v>
      </c>
      <c r="J963" s="262"/>
      <c r="K963" s="262"/>
      <c r="L963" s="262"/>
      <c r="M963" s="263"/>
      <c r="N963" s="265">
        <v>3334</v>
      </c>
    </row>
    <row r="964" spans="1:14" x14ac:dyDescent="0.45">
      <c r="A964" s="253" t="str">
        <f t="shared" si="94"/>
        <v>&lt;ct3335&gt;0&lt;/ct3335&gt;</v>
      </c>
      <c r="B964" s="243" t="s">
        <v>1786</v>
      </c>
      <c r="C964" s="244">
        <f t="shared" si="89"/>
        <v>2</v>
      </c>
      <c r="D964" s="244">
        <f t="shared" si="90"/>
        <v>8</v>
      </c>
      <c r="E964" s="244">
        <f t="shared" si="91"/>
        <v>17</v>
      </c>
      <c r="G964" s="259" t="str">
        <f t="shared" si="92"/>
        <v>&lt;ct3335&gt;</v>
      </c>
      <c r="H964" s="260">
        <f>VLOOKUP(N964,BCDTK!$E$9:$L$132,8,0)</f>
        <v>0</v>
      </c>
      <c r="I964" s="261" t="str">
        <f t="shared" si="93"/>
        <v>&lt;/ct3335&gt;</v>
      </c>
      <c r="J964" s="262"/>
      <c r="K964" s="262"/>
      <c r="L964" s="262"/>
      <c r="M964" s="263"/>
      <c r="N964" s="265">
        <v>3335</v>
      </c>
    </row>
    <row r="965" spans="1:14" x14ac:dyDescent="0.45">
      <c r="A965" s="253" t="str">
        <f t="shared" si="94"/>
        <v>&lt;ct3336&gt;0&lt;/ct3336&gt;</v>
      </c>
      <c r="B965" s="243" t="s">
        <v>1641</v>
      </c>
      <c r="C965" s="244">
        <f t="shared" si="89"/>
        <v>2</v>
      </c>
      <c r="D965" s="244">
        <f t="shared" si="90"/>
        <v>8</v>
      </c>
      <c r="E965" s="244">
        <f t="shared" si="91"/>
        <v>10</v>
      </c>
      <c r="G965" s="259" t="str">
        <f t="shared" si="92"/>
        <v>&lt;ct3336&gt;</v>
      </c>
      <c r="H965" s="260">
        <f>VLOOKUP(N965,BCDTK!$E$9:$L$132,8,0)</f>
        <v>0</v>
      </c>
      <c r="I965" s="261" t="str">
        <f t="shared" si="93"/>
        <v>&lt;/ct3336&gt;</v>
      </c>
      <c r="J965" s="262"/>
      <c r="K965" s="262"/>
      <c r="L965" s="262"/>
      <c r="M965" s="263"/>
      <c r="N965" s="265">
        <v>3336</v>
      </c>
    </row>
    <row r="966" spans="1:14" x14ac:dyDescent="0.45">
      <c r="A966" s="253" t="str">
        <f t="shared" si="94"/>
        <v>&lt;ct3337&gt;0&lt;/ct3337&gt;</v>
      </c>
      <c r="B966" s="243" t="s">
        <v>1642</v>
      </c>
      <c r="C966" s="244">
        <f t="shared" si="89"/>
        <v>2</v>
      </c>
      <c r="D966" s="244">
        <f t="shared" si="90"/>
        <v>8</v>
      </c>
      <c r="E966" s="244">
        <f t="shared" si="91"/>
        <v>10</v>
      </c>
      <c r="G966" s="259" t="str">
        <f t="shared" si="92"/>
        <v>&lt;ct3337&gt;</v>
      </c>
      <c r="H966" s="260">
        <f>VLOOKUP(N966,BCDTK!$E$9:$L$132,8,0)</f>
        <v>0</v>
      </c>
      <c r="I966" s="261" t="str">
        <f t="shared" si="93"/>
        <v>&lt;/ct3337&gt;</v>
      </c>
      <c r="J966" s="262"/>
      <c r="K966" s="262"/>
      <c r="L966" s="262"/>
      <c r="M966" s="263"/>
      <c r="N966" s="265">
        <v>3337</v>
      </c>
    </row>
    <row r="967" spans="1:14" x14ac:dyDescent="0.45">
      <c r="A967" s="253" t="str">
        <f t="shared" si="94"/>
        <v>&lt;ct3338&gt;0&lt;/ct3338&gt;</v>
      </c>
      <c r="B967" s="243" t="s">
        <v>1643</v>
      </c>
      <c r="C967" s="244">
        <f t="shared" si="89"/>
        <v>2</v>
      </c>
      <c r="D967" s="244">
        <f t="shared" si="90"/>
        <v>8</v>
      </c>
      <c r="E967" s="244">
        <f t="shared" si="91"/>
        <v>10</v>
      </c>
      <c r="G967" s="259" t="str">
        <f t="shared" si="92"/>
        <v>&lt;ct3338&gt;</v>
      </c>
      <c r="H967" s="260">
        <f>VLOOKUP(N967,BCDTK!$E$9:$L$132,8,0)</f>
        <v>0</v>
      </c>
      <c r="I967" s="261" t="str">
        <f t="shared" si="93"/>
        <v>&lt;/ct3338&gt;</v>
      </c>
      <c r="J967" s="262"/>
      <c r="K967" s="262"/>
      <c r="L967" s="262"/>
      <c r="M967" s="263"/>
      <c r="N967" s="265">
        <v>3338</v>
      </c>
    </row>
    <row r="968" spans="1:14" x14ac:dyDescent="0.45">
      <c r="A968" s="253" t="str">
        <f t="shared" si="94"/>
        <v>&lt;ct33381&gt;0&lt;/ct33381&gt;</v>
      </c>
      <c r="B968" s="243" t="s">
        <v>1644</v>
      </c>
      <c r="C968" s="244">
        <f t="shared" si="89"/>
        <v>2</v>
      </c>
      <c r="D968" s="244">
        <f t="shared" si="90"/>
        <v>9</v>
      </c>
      <c r="E968" s="244">
        <f t="shared" si="91"/>
        <v>11</v>
      </c>
      <c r="G968" s="259" t="str">
        <f t="shared" si="92"/>
        <v>&lt;ct33381&gt;</v>
      </c>
      <c r="H968" s="260">
        <f>VLOOKUP(N968,BCDTK!$E$9:$L$132,8,0)</f>
        <v>0</v>
      </c>
      <c r="I968" s="261" t="str">
        <f t="shared" si="93"/>
        <v>&lt;/ct33381&gt;</v>
      </c>
      <c r="J968" s="262"/>
      <c r="K968" s="262"/>
      <c r="L968" s="262"/>
      <c r="M968" s="263"/>
      <c r="N968" s="265">
        <v>33381</v>
      </c>
    </row>
    <row r="969" spans="1:14" x14ac:dyDescent="0.45">
      <c r="A969" s="253" t="str">
        <f t="shared" si="94"/>
        <v>&lt;ct33382&gt;0&lt;/ct33382&gt;</v>
      </c>
      <c r="B969" s="243" t="s">
        <v>1645</v>
      </c>
      <c r="C969" s="244">
        <f t="shared" si="89"/>
        <v>2</v>
      </c>
      <c r="D969" s="244">
        <f t="shared" si="90"/>
        <v>9</v>
      </c>
      <c r="E969" s="244">
        <f t="shared" si="91"/>
        <v>11</v>
      </c>
      <c r="G969" s="259" t="str">
        <f t="shared" si="92"/>
        <v>&lt;ct33382&gt;</v>
      </c>
      <c r="H969" s="260">
        <f>VLOOKUP(N969,BCDTK!$E$9:$L$132,8,0)</f>
        <v>0</v>
      </c>
      <c r="I969" s="261" t="str">
        <f t="shared" si="93"/>
        <v>&lt;/ct33382&gt;</v>
      </c>
      <c r="J969" s="262"/>
      <c r="K969" s="262"/>
      <c r="L969" s="262"/>
      <c r="M969" s="263"/>
      <c r="N969" s="265">
        <v>33382</v>
      </c>
    </row>
    <row r="970" spans="1:14" x14ac:dyDescent="0.45">
      <c r="A970" s="253" t="str">
        <f t="shared" si="94"/>
        <v>&lt;ct3339&gt;0&lt;/ct3339&gt;</v>
      </c>
      <c r="B970" s="243" t="s">
        <v>1646</v>
      </c>
      <c r="C970" s="244">
        <f t="shared" si="89"/>
        <v>2</v>
      </c>
      <c r="D970" s="244">
        <f t="shared" si="90"/>
        <v>8</v>
      </c>
      <c r="E970" s="244">
        <f t="shared" si="91"/>
        <v>10</v>
      </c>
      <c r="G970" s="259" t="str">
        <f t="shared" si="92"/>
        <v>&lt;ct3339&gt;</v>
      </c>
      <c r="H970" s="260">
        <f>VLOOKUP(N970,BCDTK!$E$9:$L$132,8,0)</f>
        <v>0</v>
      </c>
      <c r="I970" s="261" t="str">
        <f t="shared" si="93"/>
        <v>&lt;/ct3339&gt;</v>
      </c>
      <c r="J970" s="262"/>
      <c r="K970" s="262"/>
      <c r="L970" s="262"/>
      <c r="M970" s="263"/>
      <c r="N970" s="265">
        <v>3339</v>
      </c>
    </row>
    <row r="971" spans="1:14" x14ac:dyDescent="0.45">
      <c r="A971" s="253" t="str">
        <f t="shared" si="94"/>
        <v>&lt;ct334&gt;0&lt;/ct334&gt;</v>
      </c>
      <c r="B971" s="243" t="s">
        <v>1787</v>
      </c>
      <c r="C971" s="244">
        <f t="shared" si="89"/>
        <v>2</v>
      </c>
      <c r="D971" s="244">
        <f t="shared" si="90"/>
        <v>7</v>
      </c>
      <c r="E971" s="244">
        <f t="shared" si="91"/>
        <v>16</v>
      </c>
      <c r="G971" s="259" t="str">
        <f t="shared" si="92"/>
        <v>&lt;ct334&gt;</v>
      </c>
      <c r="H971" s="260">
        <f>VLOOKUP(N971,BCDTK!$E$9:$L$132,8,0)</f>
        <v>0</v>
      </c>
      <c r="I971" s="261" t="str">
        <f t="shared" si="93"/>
        <v>&lt;/ct334&gt;</v>
      </c>
      <c r="J971" s="262"/>
      <c r="K971" s="262"/>
      <c r="L971" s="262"/>
      <c r="M971" s="263"/>
      <c r="N971" s="265">
        <v>334</v>
      </c>
    </row>
    <row r="972" spans="1:14" x14ac:dyDescent="0.45">
      <c r="A972" s="253" t="str">
        <f t="shared" si="94"/>
        <v>&lt;ct335&gt;0&lt;/ct335&gt;</v>
      </c>
      <c r="B972" s="243" t="s">
        <v>1648</v>
      </c>
      <c r="C972" s="244">
        <f t="shared" si="89"/>
        <v>2</v>
      </c>
      <c r="D972" s="244">
        <f t="shared" si="90"/>
        <v>7</v>
      </c>
      <c r="E972" s="244">
        <f t="shared" si="91"/>
        <v>9</v>
      </c>
      <c r="G972" s="259" t="str">
        <f t="shared" si="92"/>
        <v>&lt;ct335&gt;</v>
      </c>
      <c r="H972" s="260">
        <f>VLOOKUP(N972,BCDTK!$E$9:$L$132,8,0)</f>
        <v>0</v>
      </c>
      <c r="I972" s="261" t="str">
        <f t="shared" si="93"/>
        <v>&lt;/ct335&gt;</v>
      </c>
      <c r="J972" s="262"/>
      <c r="K972" s="262"/>
      <c r="L972" s="262"/>
      <c r="M972" s="263"/>
      <c r="N972" s="265">
        <v>335</v>
      </c>
    </row>
    <row r="973" spans="1:14" x14ac:dyDescent="0.45">
      <c r="A973" s="253" t="str">
        <f t="shared" si="94"/>
        <v>&lt;ct336&gt;0&lt;/ct336&gt;</v>
      </c>
      <c r="B973" s="243" t="s">
        <v>1649</v>
      </c>
      <c r="C973" s="244">
        <f t="shared" si="89"/>
        <v>2</v>
      </c>
      <c r="D973" s="244">
        <f t="shared" si="90"/>
        <v>7</v>
      </c>
      <c r="E973" s="244">
        <f t="shared" si="91"/>
        <v>9</v>
      </c>
      <c r="G973" s="259" t="str">
        <f t="shared" si="92"/>
        <v>&lt;ct336&gt;</v>
      </c>
      <c r="H973" s="260">
        <f>VLOOKUP(N973,BCDTK!$E$9:$L$132,8,0)</f>
        <v>0</v>
      </c>
      <c r="I973" s="261" t="str">
        <f t="shared" si="93"/>
        <v>&lt;/ct336&gt;</v>
      </c>
      <c r="J973" s="262"/>
      <c r="K973" s="262"/>
      <c r="L973" s="262"/>
      <c r="M973" s="263"/>
      <c r="N973" s="265">
        <v>336</v>
      </c>
    </row>
    <row r="974" spans="1:14" x14ac:dyDescent="0.45">
      <c r="A974" s="253" t="str">
        <f t="shared" si="94"/>
        <v>&lt;ct3361&gt;0&lt;/ct3361&gt;</v>
      </c>
      <c r="B974" s="243" t="s">
        <v>1650</v>
      </c>
      <c r="C974" s="244">
        <f t="shared" si="89"/>
        <v>2</v>
      </c>
      <c r="D974" s="244">
        <f t="shared" si="90"/>
        <v>8</v>
      </c>
      <c r="E974" s="244">
        <f t="shared" si="91"/>
        <v>10</v>
      </c>
      <c r="G974" s="259" t="str">
        <f t="shared" si="92"/>
        <v>&lt;ct3361&gt;</v>
      </c>
      <c r="H974" s="260">
        <f>VLOOKUP(N974,BCDTK!$E$9:$L$132,8,0)</f>
        <v>0</v>
      </c>
      <c r="I974" s="261" t="str">
        <f t="shared" si="93"/>
        <v>&lt;/ct3361&gt;</v>
      </c>
      <c r="J974" s="262"/>
      <c r="K974" s="262"/>
      <c r="L974" s="262"/>
      <c r="M974" s="263"/>
      <c r="N974" s="265">
        <v>3361</v>
      </c>
    </row>
    <row r="975" spans="1:14" x14ac:dyDescent="0.45">
      <c r="A975" s="253" t="str">
        <f t="shared" si="94"/>
        <v>&lt;ct3368&gt;0&lt;/ct3368&gt;</v>
      </c>
      <c r="B975" s="243" t="s">
        <v>1651</v>
      </c>
      <c r="C975" s="244">
        <f t="shared" si="89"/>
        <v>2</v>
      </c>
      <c r="D975" s="244">
        <f t="shared" si="90"/>
        <v>8</v>
      </c>
      <c r="E975" s="244">
        <f t="shared" si="91"/>
        <v>10</v>
      </c>
      <c r="G975" s="259" t="str">
        <f t="shared" si="92"/>
        <v>&lt;ct3368&gt;</v>
      </c>
      <c r="H975" s="260">
        <f>VLOOKUP(N975,BCDTK!$E$9:$L$132,8,0)</f>
        <v>0</v>
      </c>
      <c r="I975" s="261" t="str">
        <f t="shared" si="93"/>
        <v>&lt;/ct3368&gt;</v>
      </c>
      <c r="J975" s="262"/>
      <c r="K975" s="262"/>
      <c r="L975" s="262"/>
      <c r="M975" s="263"/>
      <c r="N975" s="265">
        <v>3368</v>
      </c>
    </row>
    <row r="976" spans="1:14" x14ac:dyDescent="0.45">
      <c r="A976" s="253" t="str">
        <f t="shared" si="94"/>
        <v>&lt;ct338&gt;0&lt;/ct338&gt;</v>
      </c>
      <c r="B976" s="243" t="s">
        <v>1788</v>
      </c>
      <c r="C976" s="244">
        <f t="shared" si="89"/>
        <v>2</v>
      </c>
      <c r="D976" s="244">
        <f t="shared" si="90"/>
        <v>7</v>
      </c>
      <c r="E976" s="244">
        <f t="shared" si="91"/>
        <v>18</v>
      </c>
      <c r="G976" s="259" t="str">
        <f t="shared" si="92"/>
        <v>&lt;ct338&gt;</v>
      </c>
      <c r="H976" s="260">
        <f>VLOOKUP(N976,BCDTK!$E$9:$L$132,8,0)</f>
        <v>0</v>
      </c>
      <c r="I976" s="261" t="str">
        <f t="shared" si="93"/>
        <v>&lt;/ct338&gt;</v>
      </c>
      <c r="J976" s="262"/>
      <c r="K976" s="262"/>
      <c r="L976" s="262"/>
      <c r="M976" s="263"/>
      <c r="N976" s="265">
        <v>338</v>
      </c>
    </row>
    <row r="977" spans="1:14" x14ac:dyDescent="0.45">
      <c r="A977" s="253" t="str">
        <f t="shared" si="94"/>
        <v>&lt;ct3381&gt;0&lt;/ct3381&gt;</v>
      </c>
      <c r="B977" s="243" t="s">
        <v>1653</v>
      </c>
      <c r="C977" s="244">
        <f t="shared" si="89"/>
        <v>2</v>
      </c>
      <c r="D977" s="244">
        <f t="shared" si="90"/>
        <v>8</v>
      </c>
      <c r="E977" s="244">
        <f t="shared" si="91"/>
        <v>10</v>
      </c>
      <c r="G977" s="259" t="str">
        <f t="shared" si="92"/>
        <v>&lt;ct3381&gt;</v>
      </c>
      <c r="H977" s="260">
        <f>VLOOKUP(N977,BCDTK!$E$9:$L$132,8,0)</f>
        <v>0</v>
      </c>
      <c r="I977" s="261" t="str">
        <f t="shared" si="93"/>
        <v>&lt;/ct3381&gt;</v>
      </c>
      <c r="J977" s="262"/>
      <c r="K977" s="262"/>
      <c r="L977" s="262"/>
      <c r="M977" s="263"/>
      <c r="N977" s="265">
        <v>3381</v>
      </c>
    </row>
    <row r="978" spans="1:14" x14ac:dyDescent="0.45">
      <c r="A978" s="253" t="str">
        <f t="shared" si="94"/>
        <v>&lt;ct3382&gt;0&lt;/ct3382&gt;</v>
      </c>
      <c r="B978" s="243" t="s">
        <v>1654</v>
      </c>
      <c r="C978" s="244">
        <f t="shared" si="89"/>
        <v>2</v>
      </c>
      <c r="D978" s="244">
        <f t="shared" si="90"/>
        <v>8</v>
      </c>
      <c r="E978" s="244">
        <f t="shared" si="91"/>
        <v>10</v>
      </c>
      <c r="G978" s="259" t="str">
        <f t="shared" si="92"/>
        <v>&lt;ct3382&gt;</v>
      </c>
      <c r="H978" s="260">
        <f>VLOOKUP(N978,BCDTK!$E$9:$L$132,8,0)</f>
        <v>0</v>
      </c>
      <c r="I978" s="261" t="str">
        <f t="shared" si="93"/>
        <v>&lt;/ct3382&gt;</v>
      </c>
      <c r="J978" s="262"/>
      <c r="K978" s="262"/>
      <c r="L978" s="262"/>
      <c r="M978" s="263"/>
      <c r="N978" s="265">
        <v>3382</v>
      </c>
    </row>
    <row r="979" spans="1:14" x14ac:dyDescent="0.45">
      <c r="A979" s="253" t="str">
        <f t="shared" si="94"/>
        <v>&lt;ct3383&gt;0&lt;/ct3383&gt;</v>
      </c>
      <c r="B979" s="243" t="s">
        <v>1655</v>
      </c>
      <c r="C979" s="244">
        <f t="shared" si="89"/>
        <v>2</v>
      </c>
      <c r="D979" s="244">
        <f t="shared" si="90"/>
        <v>8</v>
      </c>
      <c r="E979" s="244">
        <f t="shared" si="91"/>
        <v>10</v>
      </c>
      <c r="G979" s="259" t="str">
        <f t="shared" si="92"/>
        <v>&lt;ct3383&gt;</v>
      </c>
      <c r="H979" s="260">
        <f>VLOOKUP(N979,BCDTK!$E$9:$L$132,8,0)</f>
        <v>0</v>
      </c>
      <c r="I979" s="261" t="str">
        <f t="shared" si="93"/>
        <v>&lt;/ct3383&gt;</v>
      </c>
      <c r="J979" s="262"/>
      <c r="K979" s="262"/>
      <c r="L979" s="262"/>
      <c r="M979" s="263"/>
      <c r="N979" s="265">
        <v>3383</v>
      </c>
    </row>
    <row r="980" spans="1:14" x14ac:dyDescent="0.45">
      <c r="A980" s="253" t="str">
        <f t="shared" si="94"/>
        <v>&lt;ct3384&gt;0&lt;/ct3384&gt;</v>
      </c>
      <c r="B980" s="243" t="s">
        <v>1656</v>
      </c>
      <c r="C980" s="244">
        <f t="shared" si="89"/>
        <v>2</v>
      </c>
      <c r="D980" s="244">
        <f t="shared" si="90"/>
        <v>8</v>
      </c>
      <c r="E980" s="244">
        <f t="shared" si="91"/>
        <v>10</v>
      </c>
      <c r="G980" s="259" t="str">
        <f t="shared" si="92"/>
        <v>&lt;ct3384&gt;</v>
      </c>
      <c r="H980" s="260">
        <f>VLOOKUP(N980,BCDTK!$E$9:$L$132,8,0)</f>
        <v>0</v>
      </c>
      <c r="I980" s="261" t="str">
        <f t="shared" si="93"/>
        <v>&lt;/ct3384&gt;</v>
      </c>
      <c r="J980" s="262"/>
      <c r="K980" s="262"/>
      <c r="L980" s="262"/>
      <c r="M980" s="263"/>
      <c r="N980" s="265">
        <v>3384</v>
      </c>
    </row>
    <row r="981" spans="1:14" x14ac:dyDescent="0.45">
      <c r="A981" s="253" t="str">
        <f t="shared" si="94"/>
        <v>&lt;ct3385&gt;0&lt;/ct3385&gt;</v>
      </c>
      <c r="B981" s="243" t="s">
        <v>1657</v>
      </c>
      <c r="C981" s="244">
        <f t="shared" si="89"/>
        <v>2</v>
      </c>
      <c r="D981" s="244">
        <f t="shared" si="90"/>
        <v>8</v>
      </c>
      <c r="E981" s="244">
        <f t="shared" si="91"/>
        <v>10</v>
      </c>
      <c r="G981" s="259" t="str">
        <f t="shared" si="92"/>
        <v>&lt;ct3385&gt;</v>
      </c>
      <c r="H981" s="260">
        <f>VLOOKUP(N981,BCDTK!$E$9:$L$132,8,0)</f>
        <v>0</v>
      </c>
      <c r="I981" s="261" t="str">
        <f t="shared" si="93"/>
        <v>&lt;/ct3385&gt;</v>
      </c>
      <c r="J981" s="262"/>
      <c r="K981" s="262"/>
      <c r="L981" s="262"/>
      <c r="M981" s="263"/>
      <c r="N981" s="265">
        <v>3385</v>
      </c>
    </row>
    <row r="982" spans="1:14" x14ac:dyDescent="0.45">
      <c r="A982" s="253" t="str">
        <f t="shared" si="94"/>
        <v>&lt;ct3386&gt;0&lt;/ct3386&gt;</v>
      </c>
      <c r="B982" s="243" t="s">
        <v>1658</v>
      </c>
      <c r="C982" s="244">
        <f t="shared" si="89"/>
        <v>2</v>
      </c>
      <c r="D982" s="244">
        <f t="shared" si="90"/>
        <v>8</v>
      </c>
      <c r="E982" s="244">
        <f t="shared" si="91"/>
        <v>10</v>
      </c>
      <c r="G982" s="259" t="str">
        <f t="shared" si="92"/>
        <v>&lt;ct3386&gt;</v>
      </c>
      <c r="H982" s="260">
        <f>VLOOKUP(N982,BCDTK!$E$9:$L$132,8,0)</f>
        <v>0</v>
      </c>
      <c r="I982" s="261" t="str">
        <f t="shared" si="93"/>
        <v>&lt;/ct3386&gt;</v>
      </c>
      <c r="J982" s="262"/>
      <c r="K982" s="262"/>
      <c r="L982" s="262"/>
      <c r="M982" s="263"/>
      <c r="N982" s="265">
        <v>3386</v>
      </c>
    </row>
    <row r="983" spans="1:14" x14ac:dyDescent="0.45">
      <c r="A983" s="253" t="str">
        <f t="shared" si="94"/>
        <v>&lt;ct3387&gt;0&lt;/ct3387&gt;</v>
      </c>
      <c r="B983" s="243" t="s">
        <v>1789</v>
      </c>
      <c r="C983" s="244">
        <f t="shared" si="89"/>
        <v>2</v>
      </c>
      <c r="D983" s="244">
        <f t="shared" si="90"/>
        <v>8</v>
      </c>
      <c r="E983" s="244">
        <f t="shared" si="91"/>
        <v>18</v>
      </c>
      <c r="G983" s="259" t="str">
        <f t="shared" si="92"/>
        <v>&lt;ct3387&gt;</v>
      </c>
      <c r="H983" s="260">
        <f>VLOOKUP(N983,BCDTK!$E$9:$L$132,8,0)</f>
        <v>0</v>
      </c>
      <c r="I983" s="261" t="str">
        <f t="shared" si="93"/>
        <v>&lt;/ct3387&gt;</v>
      </c>
      <c r="J983" s="262"/>
      <c r="K983" s="262"/>
      <c r="L983" s="262"/>
      <c r="M983" s="263"/>
      <c r="N983" s="265">
        <v>3387</v>
      </c>
    </row>
    <row r="984" spans="1:14" x14ac:dyDescent="0.45">
      <c r="A984" s="253" t="str">
        <f t="shared" si="94"/>
        <v>&lt;ct3388&gt;0&lt;/ct3388&gt;</v>
      </c>
      <c r="B984" s="243" t="s">
        <v>1790</v>
      </c>
      <c r="C984" s="244">
        <f t="shared" si="89"/>
        <v>2</v>
      </c>
      <c r="D984" s="244">
        <f t="shared" si="90"/>
        <v>8</v>
      </c>
      <c r="E984" s="244">
        <f t="shared" si="91"/>
        <v>19</v>
      </c>
      <c r="G984" s="259" t="str">
        <f t="shared" si="92"/>
        <v>&lt;ct3388&gt;</v>
      </c>
      <c r="H984" s="260">
        <f>VLOOKUP(N984,BCDTK!$E$9:$L$132,8,0)</f>
        <v>0</v>
      </c>
      <c r="I984" s="261" t="str">
        <f t="shared" si="93"/>
        <v>&lt;/ct3388&gt;</v>
      </c>
      <c r="J984" s="262"/>
      <c r="K984" s="262"/>
      <c r="L984" s="262"/>
      <c r="M984" s="263"/>
      <c r="N984" s="265">
        <v>3388</v>
      </c>
    </row>
    <row r="985" spans="1:14" x14ac:dyDescent="0.45">
      <c r="A985" s="253" t="str">
        <f t="shared" si="94"/>
        <v>&lt;ct341&gt;285973000&lt;/ct341&gt;</v>
      </c>
      <c r="B985" s="243" t="s">
        <v>1767</v>
      </c>
      <c r="C985" s="244">
        <f t="shared" ref="C985:C1032" si="95">LEN(B985)-LEN(SUBSTITUTE(B985,"&lt;",""))</f>
        <v>2</v>
      </c>
      <c r="D985" s="244">
        <f t="shared" ref="D985:D1028" si="96">SEARCH("&gt;",B985)</f>
        <v>7</v>
      </c>
      <c r="E985" s="244">
        <f t="shared" ref="E985:E1028" si="97">IFERROR(SEARCH("&lt;/",B985),"")</f>
        <v>17</v>
      </c>
      <c r="G985" s="259" t="str">
        <f t="shared" ref="G985:G1028" si="98">LEFT(B985,D985)</f>
        <v>&lt;ct341&gt;</v>
      </c>
      <c r="H985" s="260">
        <f>VLOOKUP(N985,BCDTK!$E$9:$L$132,8,0)</f>
        <v>285973000</v>
      </c>
      <c r="I985" s="261" t="str">
        <f t="shared" ref="I985:I1028" si="99">IF(C985=2,RIGHT(B985,LEN(B985)-E985+1),"")</f>
        <v>&lt;/ct341&gt;</v>
      </c>
      <c r="J985" s="262"/>
      <c r="K985" s="262"/>
      <c r="L985" s="262"/>
      <c r="M985" s="263"/>
      <c r="N985" s="265">
        <v>341</v>
      </c>
    </row>
    <row r="986" spans="1:14" x14ac:dyDescent="0.45">
      <c r="A986" s="253" t="str">
        <f t="shared" si="94"/>
        <v>&lt;ct3411&gt;285973000&lt;/ct3411&gt;</v>
      </c>
      <c r="B986" s="243" t="s">
        <v>1768</v>
      </c>
      <c r="C986" s="244">
        <f t="shared" si="95"/>
        <v>2</v>
      </c>
      <c r="D986" s="244">
        <f t="shared" si="96"/>
        <v>8</v>
      </c>
      <c r="E986" s="244">
        <f t="shared" si="97"/>
        <v>18</v>
      </c>
      <c r="G986" s="259" t="str">
        <f t="shared" si="98"/>
        <v>&lt;ct3411&gt;</v>
      </c>
      <c r="H986" s="260">
        <f>VLOOKUP(N986,BCDTK!$E$9:$L$132,8,0)</f>
        <v>285973000</v>
      </c>
      <c r="I986" s="261" t="str">
        <f t="shared" si="99"/>
        <v>&lt;/ct3411&gt;</v>
      </c>
      <c r="J986" s="262"/>
      <c r="K986" s="262"/>
      <c r="L986" s="262"/>
      <c r="M986" s="263"/>
      <c r="N986" s="265">
        <v>3411</v>
      </c>
    </row>
    <row r="987" spans="1:14" x14ac:dyDescent="0.45">
      <c r="A987" s="253" t="str">
        <f t="shared" si="94"/>
        <v>&lt;ct3412&gt;0&lt;/ct3412&gt;</v>
      </c>
      <c r="B987" s="243" t="s">
        <v>1663</v>
      </c>
      <c r="C987" s="244">
        <f t="shared" si="95"/>
        <v>2</v>
      </c>
      <c r="D987" s="244">
        <f t="shared" si="96"/>
        <v>8</v>
      </c>
      <c r="E987" s="244">
        <f t="shared" si="97"/>
        <v>10</v>
      </c>
      <c r="G987" s="259" t="str">
        <f t="shared" si="98"/>
        <v>&lt;ct3412&gt;</v>
      </c>
      <c r="H987" s="260">
        <f>VLOOKUP(N987,BCDTK!$E$9:$L$132,8,0)</f>
        <v>0</v>
      </c>
      <c r="I987" s="261" t="str">
        <f t="shared" si="99"/>
        <v>&lt;/ct3412&gt;</v>
      </c>
      <c r="J987" s="262"/>
      <c r="K987" s="262"/>
      <c r="L987" s="262"/>
      <c r="M987" s="263"/>
      <c r="N987" s="265">
        <v>3412</v>
      </c>
    </row>
    <row r="988" spans="1:14" x14ac:dyDescent="0.45">
      <c r="A988" s="253" t="str">
        <f t="shared" si="94"/>
        <v>&lt;ct352&gt;0&lt;/ct352&gt;</v>
      </c>
      <c r="B988" s="243" t="s">
        <v>1664</v>
      </c>
      <c r="C988" s="244">
        <f t="shared" si="95"/>
        <v>2</v>
      </c>
      <c r="D988" s="244">
        <f t="shared" si="96"/>
        <v>7</v>
      </c>
      <c r="E988" s="244">
        <f t="shared" si="97"/>
        <v>9</v>
      </c>
      <c r="G988" s="259" t="str">
        <f t="shared" si="98"/>
        <v>&lt;ct352&gt;</v>
      </c>
      <c r="H988" s="260">
        <f>VLOOKUP(N988,BCDTK!$E$9:$L$132,8,0)</f>
        <v>0</v>
      </c>
      <c r="I988" s="261" t="str">
        <f t="shared" si="99"/>
        <v>&lt;/ct352&gt;</v>
      </c>
      <c r="J988" s="262"/>
      <c r="K988" s="262"/>
      <c r="L988" s="262"/>
      <c r="M988" s="263"/>
      <c r="N988" s="265">
        <v>352</v>
      </c>
    </row>
    <row r="989" spans="1:14" x14ac:dyDescent="0.45">
      <c r="A989" s="253" t="str">
        <f t="shared" si="94"/>
        <v>&lt;ct3521&gt;0&lt;/ct3521&gt;</v>
      </c>
      <c r="B989" s="243" t="s">
        <v>1665</v>
      </c>
      <c r="C989" s="244">
        <f t="shared" si="95"/>
        <v>2</v>
      </c>
      <c r="D989" s="244">
        <f t="shared" si="96"/>
        <v>8</v>
      </c>
      <c r="E989" s="244">
        <f t="shared" si="97"/>
        <v>10</v>
      </c>
      <c r="G989" s="259" t="str">
        <f t="shared" si="98"/>
        <v>&lt;ct3521&gt;</v>
      </c>
      <c r="H989" s="260">
        <f>VLOOKUP(N989,BCDTK!$E$9:$L$132,8,0)</f>
        <v>0</v>
      </c>
      <c r="I989" s="261" t="str">
        <f t="shared" si="99"/>
        <v>&lt;/ct3521&gt;</v>
      </c>
      <c r="J989" s="262"/>
      <c r="K989" s="262"/>
      <c r="L989" s="262"/>
      <c r="M989" s="263"/>
      <c r="N989" s="265">
        <v>3521</v>
      </c>
    </row>
    <row r="990" spans="1:14" x14ac:dyDescent="0.45">
      <c r="A990" s="253" t="str">
        <f t="shared" si="94"/>
        <v>&lt;ct3522&gt;0&lt;/ct3522&gt;</v>
      </c>
      <c r="B990" s="243" t="s">
        <v>1666</v>
      </c>
      <c r="C990" s="244">
        <f t="shared" si="95"/>
        <v>2</v>
      </c>
      <c r="D990" s="244">
        <f t="shared" si="96"/>
        <v>8</v>
      </c>
      <c r="E990" s="244">
        <f t="shared" si="97"/>
        <v>10</v>
      </c>
      <c r="G990" s="259" t="str">
        <f t="shared" si="98"/>
        <v>&lt;ct3522&gt;</v>
      </c>
      <c r="H990" s="260">
        <f>VLOOKUP(N990,BCDTK!$E$9:$L$132,8,0)</f>
        <v>0</v>
      </c>
      <c r="I990" s="261" t="str">
        <f t="shared" si="99"/>
        <v>&lt;/ct3522&gt;</v>
      </c>
      <c r="J990" s="262"/>
      <c r="K990" s="262"/>
      <c r="L990" s="262"/>
      <c r="M990" s="263"/>
      <c r="N990" s="265">
        <v>3522</v>
      </c>
    </row>
    <row r="991" spans="1:14" x14ac:dyDescent="0.45">
      <c r="A991" s="253" t="str">
        <f t="shared" si="94"/>
        <v>&lt;ct3524&gt;0&lt;/ct3524&gt;</v>
      </c>
      <c r="B991" s="243" t="s">
        <v>1667</v>
      </c>
      <c r="C991" s="244">
        <f t="shared" si="95"/>
        <v>2</v>
      </c>
      <c r="D991" s="244">
        <f t="shared" si="96"/>
        <v>8</v>
      </c>
      <c r="E991" s="244">
        <f t="shared" si="97"/>
        <v>10</v>
      </c>
      <c r="G991" s="259" t="str">
        <f t="shared" si="98"/>
        <v>&lt;ct3524&gt;</v>
      </c>
      <c r="H991" s="260">
        <f>VLOOKUP(N991,BCDTK!$E$9:$L$132,8,0)</f>
        <v>0</v>
      </c>
      <c r="I991" s="261" t="str">
        <f t="shared" si="99"/>
        <v>&lt;/ct3524&gt;</v>
      </c>
      <c r="J991" s="262"/>
      <c r="K991" s="262"/>
      <c r="L991" s="262"/>
      <c r="M991" s="263"/>
      <c r="N991" s="265">
        <v>3524</v>
      </c>
    </row>
    <row r="992" spans="1:14" x14ac:dyDescent="0.45">
      <c r="A992" s="253" t="str">
        <f t="shared" si="94"/>
        <v>&lt;ct353&gt;0&lt;/ct353&gt;</v>
      </c>
      <c r="B992" s="243" t="s">
        <v>1668</v>
      </c>
      <c r="C992" s="244">
        <f t="shared" si="95"/>
        <v>2</v>
      </c>
      <c r="D992" s="244">
        <f t="shared" si="96"/>
        <v>7</v>
      </c>
      <c r="E992" s="244">
        <f t="shared" si="97"/>
        <v>9</v>
      </c>
      <c r="G992" s="259" t="str">
        <f t="shared" si="98"/>
        <v>&lt;ct353&gt;</v>
      </c>
      <c r="H992" s="260">
        <f>VLOOKUP(N992,BCDTK!$E$9:$L$132,8,0)</f>
        <v>0</v>
      </c>
      <c r="I992" s="261" t="str">
        <f t="shared" si="99"/>
        <v>&lt;/ct353&gt;</v>
      </c>
      <c r="J992" s="262"/>
      <c r="K992" s="262"/>
      <c r="L992" s="262"/>
      <c r="M992" s="263"/>
      <c r="N992" s="265">
        <v>353</v>
      </c>
    </row>
    <row r="993" spans="1:14" x14ac:dyDescent="0.45">
      <c r="A993" s="253" t="str">
        <f t="shared" si="94"/>
        <v>&lt;ct3531&gt;0&lt;/ct3531&gt;</v>
      </c>
      <c r="B993" s="243" t="s">
        <v>1669</v>
      </c>
      <c r="C993" s="244">
        <f t="shared" si="95"/>
        <v>2</v>
      </c>
      <c r="D993" s="244">
        <f t="shared" si="96"/>
        <v>8</v>
      </c>
      <c r="E993" s="244">
        <f t="shared" si="97"/>
        <v>10</v>
      </c>
      <c r="G993" s="259" t="str">
        <f t="shared" si="98"/>
        <v>&lt;ct3531&gt;</v>
      </c>
      <c r="H993" s="260">
        <f>VLOOKUP(N993,BCDTK!$E$9:$L$132,8,0)</f>
        <v>0</v>
      </c>
      <c r="I993" s="261" t="str">
        <f t="shared" si="99"/>
        <v>&lt;/ct3531&gt;</v>
      </c>
      <c r="J993" s="262"/>
      <c r="K993" s="262"/>
      <c r="L993" s="262"/>
      <c r="M993" s="263"/>
      <c r="N993" s="265">
        <v>3531</v>
      </c>
    </row>
    <row r="994" spans="1:14" x14ac:dyDescent="0.45">
      <c r="A994" s="253" t="str">
        <f t="shared" si="94"/>
        <v>&lt;ct3532&gt;0&lt;/ct3532&gt;</v>
      </c>
      <c r="B994" s="243" t="s">
        <v>1670</v>
      </c>
      <c r="C994" s="244">
        <f t="shared" si="95"/>
        <v>2</v>
      </c>
      <c r="D994" s="244">
        <f t="shared" si="96"/>
        <v>8</v>
      </c>
      <c r="E994" s="244">
        <f t="shared" si="97"/>
        <v>10</v>
      </c>
      <c r="G994" s="259" t="str">
        <f t="shared" si="98"/>
        <v>&lt;ct3532&gt;</v>
      </c>
      <c r="H994" s="260">
        <f>VLOOKUP(N994,BCDTK!$E$9:$L$132,8,0)</f>
        <v>0</v>
      </c>
      <c r="I994" s="261" t="str">
        <f t="shared" si="99"/>
        <v>&lt;/ct3532&gt;</v>
      </c>
      <c r="J994" s="262"/>
      <c r="K994" s="262"/>
      <c r="L994" s="262"/>
      <c r="M994" s="263"/>
      <c r="N994" s="265">
        <v>3532</v>
      </c>
    </row>
    <row r="995" spans="1:14" x14ac:dyDescent="0.45">
      <c r="A995" s="253" t="str">
        <f t="shared" si="94"/>
        <v>&lt;ct3533&gt;0&lt;/ct3533&gt;</v>
      </c>
      <c r="B995" s="243" t="s">
        <v>1671</v>
      </c>
      <c r="C995" s="244">
        <f t="shared" si="95"/>
        <v>2</v>
      </c>
      <c r="D995" s="244">
        <f t="shared" si="96"/>
        <v>8</v>
      </c>
      <c r="E995" s="244">
        <f t="shared" si="97"/>
        <v>10</v>
      </c>
      <c r="G995" s="259" t="str">
        <f t="shared" si="98"/>
        <v>&lt;ct3533&gt;</v>
      </c>
      <c r="H995" s="260">
        <f>VLOOKUP(N995,BCDTK!$E$9:$L$132,8,0)</f>
        <v>0</v>
      </c>
      <c r="I995" s="261" t="str">
        <f t="shared" si="99"/>
        <v>&lt;/ct3533&gt;</v>
      </c>
      <c r="J995" s="262"/>
      <c r="K995" s="262"/>
      <c r="L995" s="262"/>
      <c r="M995" s="263"/>
      <c r="N995" s="265">
        <v>3533</v>
      </c>
    </row>
    <row r="996" spans="1:14" x14ac:dyDescent="0.45">
      <c r="A996" s="253" t="str">
        <f t="shared" si="94"/>
        <v>&lt;ct3534&gt;0&lt;/ct3534&gt;</v>
      </c>
      <c r="B996" s="243" t="s">
        <v>1672</v>
      </c>
      <c r="C996" s="244">
        <f t="shared" si="95"/>
        <v>2</v>
      </c>
      <c r="D996" s="244">
        <f t="shared" si="96"/>
        <v>8</v>
      </c>
      <c r="E996" s="244">
        <f t="shared" si="97"/>
        <v>10</v>
      </c>
      <c r="G996" s="259" t="str">
        <f t="shared" si="98"/>
        <v>&lt;ct3534&gt;</v>
      </c>
      <c r="H996" s="260">
        <f>VLOOKUP(N996,BCDTK!$E$9:$L$132,8,0)</f>
        <v>0</v>
      </c>
      <c r="I996" s="261" t="str">
        <f t="shared" si="99"/>
        <v>&lt;/ct3534&gt;</v>
      </c>
      <c r="J996" s="262"/>
      <c r="K996" s="262"/>
      <c r="L996" s="262"/>
      <c r="M996" s="263"/>
      <c r="N996" s="265">
        <v>3534</v>
      </c>
    </row>
    <row r="997" spans="1:14" x14ac:dyDescent="0.45">
      <c r="A997" s="253" t="str">
        <f t="shared" si="94"/>
        <v>&lt;ct356&gt;0&lt;/ct356&gt;</v>
      </c>
      <c r="B997" s="243" t="s">
        <v>1673</v>
      </c>
      <c r="C997" s="244">
        <f t="shared" si="95"/>
        <v>2</v>
      </c>
      <c r="D997" s="244">
        <f t="shared" si="96"/>
        <v>7</v>
      </c>
      <c r="E997" s="244">
        <f t="shared" si="97"/>
        <v>9</v>
      </c>
      <c r="G997" s="259" t="str">
        <f t="shared" si="98"/>
        <v>&lt;ct356&gt;</v>
      </c>
      <c r="H997" s="260">
        <f>VLOOKUP(N997,BCDTK!$E$9:$L$132,8,0)</f>
        <v>0</v>
      </c>
      <c r="I997" s="261" t="str">
        <f t="shared" si="99"/>
        <v>&lt;/ct356&gt;</v>
      </c>
      <c r="J997" s="262"/>
      <c r="K997" s="262"/>
      <c r="L997" s="262"/>
      <c r="M997" s="263"/>
      <c r="N997" s="265">
        <v>356</v>
      </c>
    </row>
    <row r="998" spans="1:14" x14ac:dyDescent="0.45">
      <c r="A998" s="253" t="str">
        <f t="shared" si="94"/>
        <v>&lt;ct3561&gt;0&lt;/ct3561&gt;</v>
      </c>
      <c r="B998" s="243" t="s">
        <v>1674</v>
      </c>
      <c r="C998" s="244">
        <f t="shared" si="95"/>
        <v>2</v>
      </c>
      <c r="D998" s="244">
        <f t="shared" si="96"/>
        <v>8</v>
      </c>
      <c r="E998" s="244">
        <f t="shared" si="97"/>
        <v>10</v>
      </c>
      <c r="G998" s="259" t="str">
        <f t="shared" si="98"/>
        <v>&lt;ct3561&gt;</v>
      </c>
      <c r="H998" s="260">
        <f>VLOOKUP(N998,BCDTK!$E$9:$L$132,8,0)</f>
        <v>0</v>
      </c>
      <c r="I998" s="261" t="str">
        <f t="shared" si="99"/>
        <v>&lt;/ct3561&gt;</v>
      </c>
      <c r="J998" s="262"/>
      <c r="K998" s="262"/>
      <c r="L998" s="262"/>
      <c r="M998" s="263"/>
      <c r="N998" s="265">
        <v>3561</v>
      </c>
    </row>
    <row r="999" spans="1:14" x14ac:dyDescent="0.45">
      <c r="A999" s="253" t="str">
        <f t="shared" si="94"/>
        <v>&lt;ct3562&gt;0&lt;/ct3562&gt;</v>
      </c>
      <c r="B999" s="243" t="s">
        <v>1675</v>
      </c>
      <c r="C999" s="244">
        <f t="shared" si="95"/>
        <v>2</v>
      </c>
      <c r="D999" s="244">
        <f t="shared" si="96"/>
        <v>8</v>
      </c>
      <c r="E999" s="244">
        <f t="shared" si="97"/>
        <v>10</v>
      </c>
      <c r="G999" s="259" t="str">
        <f t="shared" si="98"/>
        <v>&lt;ct3562&gt;</v>
      </c>
      <c r="H999" s="260">
        <f>VLOOKUP(N999,BCDTK!$E$9:$L$132,8,0)</f>
        <v>0</v>
      </c>
      <c r="I999" s="261" t="str">
        <f t="shared" si="99"/>
        <v>&lt;/ct3562&gt;</v>
      </c>
      <c r="J999" s="262"/>
      <c r="K999" s="262"/>
      <c r="L999" s="262"/>
      <c r="M999" s="263"/>
      <c r="N999" s="265">
        <v>3562</v>
      </c>
    </row>
    <row r="1000" spans="1:14" x14ac:dyDescent="0.45">
      <c r="A1000" s="253" t="str">
        <f t="shared" si="94"/>
        <v>&lt;ct411&gt;500000000&lt;/ct411&gt;</v>
      </c>
      <c r="B1000" s="243" t="s">
        <v>1498</v>
      </c>
      <c r="C1000" s="244">
        <f t="shared" si="95"/>
        <v>2</v>
      </c>
      <c r="D1000" s="244">
        <f t="shared" si="96"/>
        <v>7</v>
      </c>
      <c r="E1000" s="244">
        <f t="shared" si="97"/>
        <v>18</v>
      </c>
      <c r="G1000" s="259" t="str">
        <f t="shared" si="98"/>
        <v>&lt;ct411&gt;</v>
      </c>
      <c r="H1000" s="260">
        <f>VLOOKUP(N1000,BCDTK!$E$9:$L$132,8,0)</f>
        <v>500000000</v>
      </c>
      <c r="I1000" s="261" t="str">
        <f t="shared" si="99"/>
        <v>&lt;/ct411&gt;</v>
      </c>
      <c r="J1000" s="262"/>
      <c r="K1000" s="262"/>
      <c r="L1000" s="262"/>
      <c r="M1000" s="263"/>
      <c r="N1000" s="265">
        <v>411</v>
      </c>
    </row>
    <row r="1001" spans="1:14" x14ac:dyDescent="0.45">
      <c r="A1001" s="253" t="str">
        <f t="shared" si="94"/>
        <v>&lt;ct4111&gt;500000000&lt;/ct4111&gt;</v>
      </c>
      <c r="B1001" s="243" t="s">
        <v>1769</v>
      </c>
      <c r="C1001" s="244">
        <f t="shared" si="95"/>
        <v>2</v>
      </c>
      <c r="D1001" s="244">
        <f t="shared" si="96"/>
        <v>8</v>
      </c>
      <c r="E1001" s="244">
        <f t="shared" si="97"/>
        <v>19</v>
      </c>
      <c r="G1001" s="259" t="str">
        <f t="shared" si="98"/>
        <v>&lt;ct4111&gt;</v>
      </c>
      <c r="H1001" s="260">
        <f>VLOOKUP(N1001,BCDTK!$E$9:$L$132,8,0)</f>
        <v>500000000</v>
      </c>
      <c r="I1001" s="261" t="str">
        <f t="shared" si="99"/>
        <v>&lt;/ct4111&gt;</v>
      </c>
      <c r="J1001" s="262"/>
      <c r="K1001" s="262"/>
      <c r="L1001" s="262"/>
      <c r="M1001" s="263"/>
      <c r="N1001" s="265">
        <v>4111</v>
      </c>
    </row>
    <row r="1002" spans="1:14" x14ac:dyDescent="0.45">
      <c r="A1002" s="253" t="str">
        <f t="shared" si="94"/>
        <v>&lt;ct4112&gt;0&lt;/ct4112&gt;</v>
      </c>
      <c r="B1002" s="243" t="s">
        <v>1677</v>
      </c>
      <c r="C1002" s="244">
        <f t="shared" si="95"/>
        <v>2</v>
      </c>
      <c r="D1002" s="244">
        <f t="shared" si="96"/>
        <v>8</v>
      </c>
      <c r="E1002" s="244">
        <f t="shared" si="97"/>
        <v>10</v>
      </c>
      <c r="G1002" s="259" t="str">
        <f t="shared" si="98"/>
        <v>&lt;ct4112&gt;</v>
      </c>
      <c r="H1002" s="260">
        <f>VLOOKUP(N1002,BCDTK!$E$9:$L$132,8,0)</f>
        <v>0</v>
      </c>
      <c r="I1002" s="261" t="str">
        <f t="shared" si="99"/>
        <v>&lt;/ct4112&gt;</v>
      </c>
      <c r="J1002" s="262"/>
      <c r="K1002" s="262"/>
      <c r="L1002" s="262"/>
      <c r="M1002" s="263"/>
      <c r="N1002" s="265">
        <v>4112</v>
      </c>
    </row>
    <row r="1003" spans="1:14" x14ac:dyDescent="0.45">
      <c r="A1003" s="253" t="str">
        <f t="shared" si="94"/>
        <v>&lt;ct4118&gt;0&lt;/ct4118&gt;</v>
      </c>
      <c r="B1003" s="243" t="s">
        <v>1678</v>
      </c>
      <c r="C1003" s="244">
        <f t="shared" si="95"/>
        <v>2</v>
      </c>
      <c r="D1003" s="244">
        <f t="shared" si="96"/>
        <v>8</v>
      </c>
      <c r="E1003" s="244">
        <f t="shared" si="97"/>
        <v>10</v>
      </c>
      <c r="G1003" s="259" t="str">
        <f t="shared" si="98"/>
        <v>&lt;ct4118&gt;</v>
      </c>
      <c r="H1003" s="260">
        <f>VLOOKUP(N1003,BCDTK!$E$9:$L$132,8,0)</f>
        <v>0</v>
      </c>
      <c r="I1003" s="261" t="str">
        <f t="shared" si="99"/>
        <v>&lt;/ct4118&gt;</v>
      </c>
      <c r="J1003" s="262"/>
      <c r="K1003" s="262"/>
      <c r="L1003" s="262"/>
      <c r="M1003" s="263"/>
      <c r="N1003" s="265">
        <v>4118</v>
      </c>
    </row>
    <row r="1004" spans="1:14" x14ac:dyDescent="0.45">
      <c r="A1004" s="253" t="str">
        <f t="shared" si="94"/>
        <v>&lt;ct413&gt;0&lt;/ct413&gt;</v>
      </c>
      <c r="B1004" s="243" t="s">
        <v>1500</v>
      </c>
      <c r="C1004" s="244">
        <f t="shared" si="95"/>
        <v>2</v>
      </c>
      <c r="D1004" s="244">
        <f t="shared" si="96"/>
        <v>7</v>
      </c>
      <c r="E1004" s="244">
        <f t="shared" si="97"/>
        <v>9</v>
      </c>
      <c r="G1004" s="259" t="str">
        <f t="shared" si="98"/>
        <v>&lt;ct413&gt;</v>
      </c>
      <c r="H1004" s="260">
        <f>VLOOKUP(N1004,BCDTK!$E$9:$L$132,8,0)</f>
        <v>0</v>
      </c>
      <c r="I1004" s="261" t="str">
        <f t="shared" si="99"/>
        <v>&lt;/ct413&gt;</v>
      </c>
      <c r="J1004" s="262"/>
      <c r="K1004" s="262"/>
      <c r="L1004" s="262"/>
      <c r="M1004" s="263"/>
      <c r="N1004" s="265">
        <v>413</v>
      </c>
    </row>
    <row r="1005" spans="1:14" x14ac:dyDescent="0.45">
      <c r="A1005" s="253" t="str">
        <f t="shared" ref="A1005:A1032" si="100">CONCATENATE(G1005,H1005,I1005)</f>
        <v>&lt;ct418&gt;0&lt;/ct418&gt;</v>
      </c>
      <c r="B1005" s="243" t="s">
        <v>1679</v>
      </c>
      <c r="C1005" s="244">
        <f t="shared" si="95"/>
        <v>2</v>
      </c>
      <c r="D1005" s="244">
        <f t="shared" si="96"/>
        <v>7</v>
      </c>
      <c r="E1005" s="244">
        <f t="shared" si="97"/>
        <v>9</v>
      </c>
      <c r="G1005" s="259" t="str">
        <f t="shared" si="98"/>
        <v>&lt;ct418&gt;</v>
      </c>
      <c r="H1005" s="260">
        <f>VLOOKUP(N1005,BCDTK!$E$9:$L$132,8,0)</f>
        <v>0</v>
      </c>
      <c r="I1005" s="261" t="str">
        <f t="shared" si="99"/>
        <v>&lt;/ct418&gt;</v>
      </c>
      <c r="J1005" s="262"/>
      <c r="K1005" s="262"/>
      <c r="L1005" s="262"/>
      <c r="M1005" s="263"/>
      <c r="N1005" s="265">
        <v>418</v>
      </c>
    </row>
    <row r="1006" spans="1:14" x14ac:dyDescent="0.45">
      <c r="A1006" s="253" t="str">
        <f t="shared" si="100"/>
        <v>&lt;ct419&gt;0&lt;/ct419&gt;</v>
      </c>
      <c r="B1006" s="243" t="s">
        <v>1680</v>
      </c>
      <c r="C1006" s="244">
        <f t="shared" si="95"/>
        <v>2</v>
      </c>
      <c r="D1006" s="244">
        <f t="shared" si="96"/>
        <v>7</v>
      </c>
      <c r="E1006" s="244">
        <f t="shared" si="97"/>
        <v>9</v>
      </c>
      <c r="G1006" s="259" t="str">
        <f t="shared" si="98"/>
        <v>&lt;ct419&gt;</v>
      </c>
      <c r="H1006" s="260">
        <f>VLOOKUP(N1006,BCDTK!$E$9:$L$132,8,0)</f>
        <v>0</v>
      </c>
      <c r="I1006" s="261" t="str">
        <f t="shared" si="99"/>
        <v>&lt;/ct419&gt;</v>
      </c>
      <c r="J1006" s="262"/>
      <c r="K1006" s="262"/>
      <c r="L1006" s="262"/>
      <c r="M1006" s="263"/>
      <c r="N1006" s="265">
        <v>419</v>
      </c>
    </row>
    <row r="1007" spans="1:14" x14ac:dyDescent="0.45">
      <c r="A1007" s="253" t="str">
        <f t="shared" si="100"/>
        <v>&lt;ct421&gt;8142179&lt;/ct421&gt;</v>
      </c>
      <c r="B1007" s="243" t="s">
        <v>1681</v>
      </c>
      <c r="C1007" s="244">
        <f t="shared" si="95"/>
        <v>2</v>
      </c>
      <c r="D1007" s="244">
        <f t="shared" si="96"/>
        <v>7</v>
      </c>
      <c r="E1007" s="244">
        <f t="shared" si="97"/>
        <v>9</v>
      </c>
      <c r="G1007" s="259" t="str">
        <f t="shared" si="98"/>
        <v>&lt;ct421&gt;</v>
      </c>
      <c r="H1007" s="260">
        <f>VLOOKUP(N1007,BCDTK!$E$9:$L$132,8,0)</f>
        <v>8142179</v>
      </c>
      <c r="I1007" s="261" t="str">
        <f t="shared" si="99"/>
        <v>&lt;/ct421&gt;</v>
      </c>
      <c r="J1007" s="262"/>
      <c r="K1007" s="262"/>
      <c r="L1007" s="262"/>
      <c r="M1007" s="263"/>
      <c r="N1007" s="265">
        <v>421</v>
      </c>
    </row>
    <row r="1008" spans="1:14" x14ac:dyDescent="0.45">
      <c r="A1008" s="253" t="str">
        <f t="shared" si="100"/>
        <v>&lt;ct4211&gt;0&lt;/ct4211&gt;</v>
      </c>
      <c r="B1008" s="243" t="s">
        <v>1682</v>
      </c>
      <c r="C1008" s="244">
        <f t="shared" si="95"/>
        <v>2</v>
      </c>
      <c r="D1008" s="244">
        <f t="shared" si="96"/>
        <v>8</v>
      </c>
      <c r="E1008" s="244">
        <f t="shared" si="97"/>
        <v>10</v>
      </c>
      <c r="G1008" s="259" t="str">
        <f t="shared" si="98"/>
        <v>&lt;ct4211&gt;</v>
      </c>
      <c r="H1008" s="260">
        <f>VLOOKUP(N1008,BCDTK!$E$9:$L$132,8,0)</f>
        <v>0</v>
      </c>
      <c r="I1008" s="261" t="str">
        <f t="shared" si="99"/>
        <v>&lt;/ct4211&gt;</v>
      </c>
      <c r="J1008" s="262"/>
      <c r="K1008" s="262"/>
      <c r="L1008" s="262"/>
      <c r="M1008" s="263"/>
      <c r="N1008" s="265">
        <v>4211</v>
      </c>
    </row>
    <row r="1009" spans="1:14" x14ac:dyDescent="0.45">
      <c r="A1009" s="253" t="str">
        <f t="shared" si="100"/>
        <v>&lt;ct4212&gt;8142179&lt;/ct4212&gt;</v>
      </c>
      <c r="B1009" s="243" t="s">
        <v>1683</v>
      </c>
      <c r="C1009" s="244">
        <f t="shared" si="95"/>
        <v>2</v>
      </c>
      <c r="D1009" s="244">
        <f t="shared" si="96"/>
        <v>8</v>
      </c>
      <c r="E1009" s="244">
        <f t="shared" si="97"/>
        <v>10</v>
      </c>
      <c r="G1009" s="259" t="str">
        <f t="shared" si="98"/>
        <v>&lt;ct4212&gt;</v>
      </c>
      <c r="H1009" s="260">
        <f>VLOOKUP(N1009,BCDTK!$E$9:$L$132,8,0)</f>
        <v>8142179</v>
      </c>
      <c r="I1009" s="261" t="str">
        <f t="shared" si="99"/>
        <v>&lt;/ct4212&gt;</v>
      </c>
      <c r="J1009" s="262"/>
      <c r="K1009" s="262"/>
      <c r="L1009" s="262"/>
      <c r="M1009" s="263"/>
      <c r="N1009" s="265">
        <v>4212</v>
      </c>
    </row>
    <row r="1010" spans="1:14" x14ac:dyDescent="0.45">
      <c r="A1010" s="253" t="str">
        <f t="shared" si="100"/>
        <v>&lt;ct511&gt;0&lt;/ct511&gt;</v>
      </c>
      <c r="B1010" s="243" t="s">
        <v>1684</v>
      </c>
      <c r="C1010" s="244">
        <f t="shared" si="95"/>
        <v>2</v>
      </c>
      <c r="D1010" s="244">
        <f t="shared" si="96"/>
        <v>7</v>
      </c>
      <c r="E1010" s="244">
        <f t="shared" si="97"/>
        <v>9</v>
      </c>
      <c r="G1010" s="259" t="str">
        <f t="shared" si="98"/>
        <v>&lt;ct511&gt;</v>
      </c>
      <c r="H1010" s="260">
        <f>VLOOKUP(N1010,BCDTK!$E$9:$L$132,8,0)</f>
        <v>0</v>
      </c>
      <c r="I1010" s="261" t="str">
        <f t="shared" si="99"/>
        <v>&lt;/ct511&gt;</v>
      </c>
      <c r="J1010" s="262"/>
      <c r="K1010" s="262"/>
      <c r="L1010" s="262"/>
      <c r="M1010" s="263"/>
      <c r="N1010" s="265">
        <v>511</v>
      </c>
    </row>
    <row r="1011" spans="1:14" x14ac:dyDescent="0.45">
      <c r="A1011" s="253" t="str">
        <f t="shared" si="100"/>
        <v>&lt;ct5111&gt;0&lt;/ct5111&gt;</v>
      </c>
      <c r="B1011" s="243" t="s">
        <v>1685</v>
      </c>
      <c r="C1011" s="244">
        <f t="shared" si="95"/>
        <v>2</v>
      </c>
      <c r="D1011" s="244">
        <f t="shared" si="96"/>
        <v>8</v>
      </c>
      <c r="E1011" s="244">
        <f t="shared" si="97"/>
        <v>10</v>
      </c>
      <c r="G1011" s="259" t="str">
        <f t="shared" si="98"/>
        <v>&lt;ct5111&gt;</v>
      </c>
      <c r="H1011" s="260">
        <f>VLOOKUP(N1011,BCDTK!$E$9:$L$132,8,0)</f>
        <v>0</v>
      </c>
      <c r="I1011" s="261" t="str">
        <f t="shared" si="99"/>
        <v>&lt;/ct5111&gt;</v>
      </c>
      <c r="J1011" s="262"/>
      <c r="K1011" s="262"/>
      <c r="L1011" s="262"/>
      <c r="M1011" s="263"/>
      <c r="N1011" s="265">
        <v>5111</v>
      </c>
    </row>
    <row r="1012" spans="1:14" x14ac:dyDescent="0.45">
      <c r="A1012" s="253" t="str">
        <f t="shared" si="100"/>
        <v>&lt;ct5112&gt;0&lt;/ct5112&gt;</v>
      </c>
      <c r="B1012" s="243" t="s">
        <v>1686</v>
      </c>
      <c r="C1012" s="244">
        <f t="shared" si="95"/>
        <v>2</v>
      </c>
      <c r="D1012" s="244">
        <f t="shared" si="96"/>
        <v>8</v>
      </c>
      <c r="E1012" s="244">
        <f t="shared" si="97"/>
        <v>10</v>
      </c>
      <c r="G1012" s="259" t="str">
        <f t="shared" si="98"/>
        <v>&lt;ct5112&gt;</v>
      </c>
      <c r="H1012" s="260">
        <f>VLOOKUP(N1012,BCDTK!$E$9:$L$132,8,0)</f>
        <v>0</v>
      </c>
      <c r="I1012" s="261" t="str">
        <f t="shared" si="99"/>
        <v>&lt;/ct5112&gt;</v>
      </c>
      <c r="J1012" s="262"/>
      <c r="K1012" s="262"/>
      <c r="L1012" s="262"/>
      <c r="M1012" s="263"/>
      <c r="N1012" s="265">
        <v>5112</v>
      </c>
    </row>
    <row r="1013" spans="1:14" x14ac:dyDescent="0.45">
      <c r="A1013" s="253" t="str">
        <f t="shared" si="100"/>
        <v>&lt;ct5113&gt;0&lt;/ct5113&gt;</v>
      </c>
      <c r="B1013" s="243" t="s">
        <v>1687</v>
      </c>
      <c r="C1013" s="244">
        <f t="shared" si="95"/>
        <v>2</v>
      </c>
      <c r="D1013" s="244">
        <f t="shared" si="96"/>
        <v>8</v>
      </c>
      <c r="E1013" s="244">
        <f t="shared" si="97"/>
        <v>10</v>
      </c>
      <c r="G1013" s="259" t="str">
        <f t="shared" si="98"/>
        <v>&lt;ct5113&gt;</v>
      </c>
      <c r="H1013" s="260">
        <f>VLOOKUP(N1013,BCDTK!$E$9:$L$132,8,0)</f>
        <v>0</v>
      </c>
      <c r="I1013" s="261" t="str">
        <f t="shared" si="99"/>
        <v>&lt;/ct5113&gt;</v>
      </c>
      <c r="J1013" s="262"/>
      <c r="K1013" s="262"/>
      <c r="L1013" s="262"/>
      <c r="M1013" s="263"/>
      <c r="N1013" s="265">
        <v>5113</v>
      </c>
    </row>
    <row r="1014" spans="1:14" x14ac:dyDescent="0.45">
      <c r="A1014" s="253" t="str">
        <f t="shared" si="100"/>
        <v>&lt;ct5118&gt;0&lt;/ct5118&gt;</v>
      </c>
      <c r="B1014" s="243" t="s">
        <v>1688</v>
      </c>
      <c r="C1014" s="244">
        <f t="shared" si="95"/>
        <v>2</v>
      </c>
      <c r="D1014" s="244">
        <f t="shared" si="96"/>
        <v>8</v>
      </c>
      <c r="E1014" s="244">
        <f t="shared" si="97"/>
        <v>10</v>
      </c>
      <c r="G1014" s="259" t="str">
        <f t="shared" si="98"/>
        <v>&lt;ct5118&gt;</v>
      </c>
      <c r="H1014" s="260">
        <f>VLOOKUP(N1014,BCDTK!$E$9:$L$132,8,0)</f>
        <v>0</v>
      </c>
      <c r="I1014" s="261" t="str">
        <f t="shared" si="99"/>
        <v>&lt;/ct5118&gt;</v>
      </c>
      <c r="J1014" s="262"/>
      <c r="K1014" s="262"/>
      <c r="L1014" s="262"/>
      <c r="M1014" s="263"/>
      <c r="N1014" s="265">
        <v>5118</v>
      </c>
    </row>
    <row r="1015" spans="1:14" x14ac:dyDescent="0.45">
      <c r="A1015" s="253" t="str">
        <f t="shared" si="100"/>
        <v>&lt;ct515&gt;0&lt;/ct515&gt;</v>
      </c>
      <c r="B1015" s="243" t="s">
        <v>1689</v>
      </c>
      <c r="C1015" s="244">
        <f t="shared" si="95"/>
        <v>2</v>
      </c>
      <c r="D1015" s="244">
        <f t="shared" si="96"/>
        <v>7</v>
      </c>
      <c r="E1015" s="244">
        <f t="shared" si="97"/>
        <v>9</v>
      </c>
      <c r="G1015" s="259" t="str">
        <f t="shared" si="98"/>
        <v>&lt;ct515&gt;</v>
      </c>
      <c r="H1015" s="260">
        <f>VLOOKUP(N1015,BCDTK!$E$9:$L$132,8,0)</f>
        <v>0</v>
      </c>
      <c r="I1015" s="261" t="str">
        <f t="shared" si="99"/>
        <v>&lt;/ct515&gt;</v>
      </c>
      <c r="J1015" s="262"/>
      <c r="K1015" s="262"/>
      <c r="L1015" s="262"/>
      <c r="M1015" s="263"/>
      <c r="N1015" s="265">
        <v>515</v>
      </c>
    </row>
    <row r="1016" spans="1:14" x14ac:dyDescent="0.45">
      <c r="A1016" s="253" t="str">
        <f t="shared" si="100"/>
        <v>&lt;ct611&gt;0&lt;/ct611&gt;</v>
      </c>
      <c r="B1016" s="243" t="s">
        <v>1690</v>
      </c>
      <c r="C1016" s="244">
        <f t="shared" si="95"/>
        <v>2</v>
      </c>
      <c r="D1016" s="244">
        <f t="shared" si="96"/>
        <v>7</v>
      </c>
      <c r="E1016" s="244">
        <f t="shared" si="97"/>
        <v>9</v>
      </c>
      <c r="G1016" s="259" t="str">
        <f t="shared" si="98"/>
        <v>&lt;ct611&gt;</v>
      </c>
      <c r="H1016" s="260">
        <f>VLOOKUP(N1016,BCDTK!$E$9:$L$132,8,0)</f>
        <v>0</v>
      </c>
      <c r="I1016" s="261" t="str">
        <f t="shared" si="99"/>
        <v>&lt;/ct611&gt;</v>
      </c>
      <c r="J1016" s="262"/>
      <c r="K1016" s="262"/>
      <c r="L1016" s="262"/>
      <c r="M1016" s="263"/>
      <c r="N1016" s="265">
        <v>611</v>
      </c>
    </row>
    <row r="1017" spans="1:14" x14ac:dyDescent="0.45">
      <c r="A1017" s="253" t="str">
        <f t="shared" si="100"/>
        <v>&lt;ct631&gt;0&lt;/ct631&gt;</v>
      </c>
      <c r="B1017" s="243" t="s">
        <v>1691</v>
      </c>
      <c r="C1017" s="244">
        <f t="shared" si="95"/>
        <v>2</v>
      </c>
      <c r="D1017" s="244">
        <f t="shared" si="96"/>
        <v>7</v>
      </c>
      <c r="E1017" s="244">
        <f t="shared" si="97"/>
        <v>9</v>
      </c>
      <c r="G1017" s="259" t="str">
        <f t="shared" si="98"/>
        <v>&lt;ct631&gt;</v>
      </c>
      <c r="H1017" s="260">
        <f>VLOOKUP(N1017,BCDTK!$E$9:$L$132,8,0)</f>
        <v>0</v>
      </c>
      <c r="I1017" s="261" t="str">
        <f t="shared" si="99"/>
        <v>&lt;/ct631&gt;</v>
      </c>
      <c r="J1017" s="262"/>
      <c r="K1017" s="262"/>
      <c r="L1017" s="262"/>
      <c r="M1017" s="263"/>
      <c r="N1017" s="265">
        <v>631</v>
      </c>
    </row>
    <row r="1018" spans="1:14" x14ac:dyDescent="0.45">
      <c r="A1018" s="253" t="str">
        <f t="shared" si="100"/>
        <v>&lt;ct632&gt;0&lt;/ct632&gt;</v>
      </c>
      <c r="B1018" s="243" t="s">
        <v>1692</v>
      </c>
      <c r="C1018" s="244">
        <f t="shared" si="95"/>
        <v>2</v>
      </c>
      <c r="D1018" s="244">
        <f t="shared" si="96"/>
        <v>7</v>
      </c>
      <c r="E1018" s="244">
        <f t="shared" si="97"/>
        <v>9</v>
      </c>
      <c r="G1018" s="259" t="str">
        <f t="shared" si="98"/>
        <v>&lt;ct632&gt;</v>
      </c>
      <c r="H1018" s="260">
        <f>VLOOKUP(N1018,BCDTK!$E$9:$L$132,8,0)</f>
        <v>0</v>
      </c>
      <c r="I1018" s="261" t="str">
        <f t="shared" si="99"/>
        <v>&lt;/ct632&gt;</v>
      </c>
      <c r="J1018" s="262"/>
      <c r="K1018" s="262"/>
      <c r="L1018" s="262"/>
      <c r="M1018" s="263"/>
      <c r="N1018" s="265">
        <v>632</v>
      </c>
    </row>
    <row r="1019" spans="1:14" x14ac:dyDescent="0.45">
      <c r="A1019" s="253" t="str">
        <f t="shared" si="100"/>
        <v>&lt;ct635&gt;0&lt;/ct635&gt;</v>
      </c>
      <c r="B1019" s="243" t="s">
        <v>1693</v>
      </c>
      <c r="C1019" s="244">
        <f t="shared" si="95"/>
        <v>2</v>
      </c>
      <c r="D1019" s="244">
        <f t="shared" si="96"/>
        <v>7</v>
      </c>
      <c r="E1019" s="244">
        <f t="shared" si="97"/>
        <v>9</v>
      </c>
      <c r="G1019" s="259" t="str">
        <f t="shared" si="98"/>
        <v>&lt;ct635&gt;</v>
      </c>
      <c r="H1019" s="260">
        <f>VLOOKUP(N1019,BCDTK!$E$9:$L$132,8,0)</f>
        <v>0</v>
      </c>
      <c r="I1019" s="261" t="str">
        <f t="shared" si="99"/>
        <v>&lt;/ct635&gt;</v>
      </c>
      <c r="J1019" s="262"/>
      <c r="K1019" s="262"/>
      <c r="L1019" s="262"/>
      <c r="M1019" s="263"/>
      <c r="N1019" s="265">
        <v>635</v>
      </c>
    </row>
    <row r="1020" spans="1:14" x14ac:dyDescent="0.45">
      <c r="A1020" s="253" t="str">
        <f t="shared" si="100"/>
        <v>&lt;ct642&gt;0&lt;/ct642&gt;</v>
      </c>
      <c r="B1020" s="243" t="s">
        <v>1694</v>
      </c>
      <c r="C1020" s="244">
        <f t="shared" si="95"/>
        <v>2</v>
      </c>
      <c r="D1020" s="244">
        <f t="shared" si="96"/>
        <v>7</v>
      </c>
      <c r="E1020" s="244">
        <f t="shared" si="97"/>
        <v>9</v>
      </c>
      <c r="G1020" s="259" t="str">
        <f t="shared" si="98"/>
        <v>&lt;ct642&gt;</v>
      </c>
      <c r="H1020" s="260">
        <f>VLOOKUP(N1020,BCDTK!$E$9:$L$132,8,0)</f>
        <v>0</v>
      </c>
      <c r="I1020" s="261" t="str">
        <f t="shared" si="99"/>
        <v>&lt;/ct642&gt;</v>
      </c>
      <c r="J1020" s="262"/>
      <c r="K1020" s="262"/>
      <c r="L1020" s="262"/>
      <c r="M1020" s="263"/>
      <c r="N1020" s="265">
        <v>642</v>
      </c>
    </row>
    <row r="1021" spans="1:14" x14ac:dyDescent="0.45">
      <c r="A1021" s="253" t="str">
        <f t="shared" si="100"/>
        <v>&lt;ct6421&gt;0&lt;/ct6421&gt;</v>
      </c>
      <c r="B1021" s="243" t="s">
        <v>1695</v>
      </c>
      <c r="C1021" s="244">
        <f t="shared" si="95"/>
        <v>2</v>
      </c>
      <c r="D1021" s="244">
        <f t="shared" si="96"/>
        <v>8</v>
      </c>
      <c r="E1021" s="244">
        <f t="shared" si="97"/>
        <v>10</v>
      </c>
      <c r="G1021" s="259" t="str">
        <f t="shared" si="98"/>
        <v>&lt;ct6421&gt;</v>
      </c>
      <c r="H1021" s="260">
        <f>VLOOKUP(N1021,BCDTK!$E$9:$L$132,8,0)</f>
        <v>0</v>
      </c>
      <c r="I1021" s="261" t="str">
        <f t="shared" si="99"/>
        <v>&lt;/ct6421&gt;</v>
      </c>
      <c r="J1021" s="262"/>
      <c r="K1021" s="262"/>
      <c r="L1021" s="262"/>
      <c r="M1021" s="263"/>
      <c r="N1021" s="265">
        <v>6421</v>
      </c>
    </row>
    <row r="1022" spans="1:14" x14ac:dyDescent="0.45">
      <c r="A1022" s="253" t="str">
        <f t="shared" si="100"/>
        <v>&lt;ct6422&gt;0&lt;/ct6422&gt;</v>
      </c>
      <c r="B1022" s="243" t="s">
        <v>1696</v>
      </c>
      <c r="C1022" s="244">
        <f t="shared" si="95"/>
        <v>2</v>
      </c>
      <c r="D1022" s="244">
        <f t="shared" si="96"/>
        <v>8</v>
      </c>
      <c r="E1022" s="244">
        <f t="shared" si="97"/>
        <v>10</v>
      </c>
      <c r="G1022" s="259" t="str">
        <f t="shared" si="98"/>
        <v>&lt;ct6422&gt;</v>
      </c>
      <c r="H1022" s="260">
        <f>VLOOKUP(N1022,BCDTK!$E$9:$L$132,8,0)</f>
        <v>0</v>
      </c>
      <c r="I1022" s="261" t="str">
        <f t="shared" si="99"/>
        <v>&lt;/ct6422&gt;</v>
      </c>
      <c r="J1022" s="262"/>
      <c r="K1022" s="262"/>
      <c r="L1022" s="262"/>
      <c r="M1022" s="263"/>
      <c r="N1022" s="265">
        <v>6422</v>
      </c>
    </row>
    <row r="1023" spans="1:14" x14ac:dyDescent="0.45">
      <c r="A1023" s="253" t="str">
        <f t="shared" si="100"/>
        <v>&lt;ct711&gt;0&lt;/ct711&gt;</v>
      </c>
      <c r="B1023" s="243" t="s">
        <v>1697</v>
      </c>
      <c r="C1023" s="244">
        <f t="shared" si="95"/>
        <v>2</v>
      </c>
      <c r="D1023" s="244">
        <f t="shared" si="96"/>
        <v>7</v>
      </c>
      <c r="E1023" s="244">
        <f t="shared" si="97"/>
        <v>9</v>
      </c>
      <c r="G1023" s="259" t="str">
        <f t="shared" si="98"/>
        <v>&lt;ct711&gt;</v>
      </c>
      <c r="H1023" s="260">
        <f>VLOOKUP(N1023,BCDTK!$E$9:$L$132,8,0)</f>
        <v>0</v>
      </c>
      <c r="I1023" s="261" t="str">
        <f t="shared" si="99"/>
        <v>&lt;/ct711&gt;</v>
      </c>
      <c r="J1023" s="262"/>
      <c r="K1023" s="262"/>
      <c r="L1023" s="262"/>
      <c r="M1023" s="263"/>
      <c r="N1023" s="265">
        <v>711</v>
      </c>
    </row>
    <row r="1024" spans="1:14" x14ac:dyDescent="0.45">
      <c r="A1024" s="253" t="str">
        <f t="shared" si="100"/>
        <v>&lt;ct811&gt;0&lt;/ct811&gt;</v>
      </c>
      <c r="B1024" s="243" t="s">
        <v>1698</v>
      </c>
      <c r="C1024" s="244">
        <f t="shared" si="95"/>
        <v>2</v>
      </c>
      <c r="D1024" s="244">
        <f t="shared" si="96"/>
        <v>7</v>
      </c>
      <c r="E1024" s="244">
        <f t="shared" si="97"/>
        <v>9</v>
      </c>
      <c r="G1024" s="259" t="str">
        <f t="shared" si="98"/>
        <v>&lt;ct811&gt;</v>
      </c>
      <c r="H1024" s="260">
        <f>VLOOKUP(N1024,BCDTK!$E$9:$L$132,8,0)</f>
        <v>0</v>
      </c>
      <c r="I1024" s="261" t="str">
        <f t="shared" si="99"/>
        <v>&lt;/ct811&gt;</v>
      </c>
      <c r="J1024" s="262"/>
      <c r="K1024" s="262"/>
      <c r="L1024" s="262"/>
      <c r="M1024" s="263"/>
      <c r="N1024" s="265">
        <v>811</v>
      </c>
    </row>
    <row r="1025" spans="1:14" x14ac:dyDescent="0.45">
      <c r="A1025" s="253" t="str">
        <f t="shared" si="100"/>
        <v>&lt;ct821&gt;0&lt;/ct821&gt;</v>
      </c>
      <c r="B1025" s="243" t="s">
        <v>1699</v>
      </c>
      <c r="C1025" s="244">
        <f t="shared" si="95"/>
        <v>2</v>
      </c>
      <c r="D1025" s="244">
        <f t="shared" si="96"/>
        <v>7</v>
      </c>
      <c r="E1025" s="244">
        <f t="shared" si="97"/>
        <v>9</v>
      </c>
      <c r="G1025" s="259" t="str">
        <f t="shared" si="98"/>
        <v>&lt;ct821&gt;</v>
      </c>
      <c r="H1025" s="260">
        <f>VLOOKUP(N1025,BCDTK!$E$9:$L$132,8,0)</f>
        <v>0</v>
      </c>
      <c r="I1025" s="261" t="str">
        <f t="shared" si="99"/>
        <v>&lt;/ct821&gt;</v>
      </c>
      <c r="J1025" s="262"/>
      <c r="K1025" s="262"/>
      <c r="L1025" s="262"/>
      <c r="M1025" s="263"/>
      <c r="N1025" s="265">
        <v>821</v>
      </c>
    </row>
    <row r="1026" spans="1:14" x14ac:dyDescent="0.45">
      <c r="A1026" s="253" t="str">
        <f t="shared" si="100"/>
        <v>&lt;ct911&gt;0&lt;/ct911&gt;</v>
      </c>
      <c r="B1026" s="243" t="s">
        <v>1700</v>
      </c>
      <c r="C1026" s="244">
        <f t="shared" si="95"/>
        <v>2</v>
      </c>
      <c r="D1026" s="244">
        <f t="shared" si="96"/>
        <v>7</v>
      </c>
      <c r="E1026" s="244">
        <f t="shared" si="97"/>
        <v>9</v>
      </c>
      <c r="G1026" s="259" t="str">
        <f t="shared" si="98"/>
        <v>&lt;ct911&gt;</v>
      </c>
      <c r="H1026" s="260">
        <f>VLOOKUP(N1026,BCDTK!$E$9:$L$132,8,0)</f>
        <v>0</v>
      </c>
      <c r="I1026" s="261" t="str">
        <f t="shared" si="99"/>
        <v>&lt;/ct911&gt;</v>
      </c>
      <c r="J1026" s="262"/>
      <c r="K1026" s="262"/>
      <c r="L1026" s="262"/>
      <c r="M1026" s="263"/>
      <c r="N1026" s="265">
        <v>911</v>
      </c>
    </row>
    <row r="1027" spans="1:14" x14ac:dyDescent="0.45">
      <c r="A1027" s="253" t="str">
        <f t="shared" si="100"/>
        <v>&lt;tongCong&gt;806234100&lt;/tongCong&gt;</v>
      </c>
      <c r="B1027" s="243" t="s">
        <v>1779</v>
      </c>
      <c r="C1027" s="244">
        <f t="shared" si="95"/>
        <v>2</v>
      </c>
      <c r="D1027" s="244">
        <f t="shared" si="96"/>
        <v>10</v>
      </c>
      <c r="E1027" s="244">
        <f t="shared" si="97"/>
        <v>21</v>
      </c>
      <c r="G1027" s="259" t="str">
        <f t="shared" si="98"/>
        <v>&lt;tongCong&gt;</v>
      </c>
      <c r="H1027" s="260">
        <f>VLOOKUP(N1027,BCDTK!$E$9:$L$132,8,0)</f>
        <v>806234100</v>
      </c>
      <c r="I1027" s="261" t="str">
        <f t="shared" si="99"/>
        <v>&lt;/tongCong&gt;</v>
      </c>
      <c r="J1027" s="262"/>
      <c r="K1027" s="262"/>
      <c r="L1027" s="262"/>
      <c r="M1027" s="263"/>
      <c r="N1027" s="265" t="s">
        <v>1794</v>
      </c>
    </row>
    <row r="1028" spans="1:14" x14ac:dyDescent="0.45">
      <c r="A1028" s="253" t="str">
        <f t="shared" si="100"/>
        <v>&lt;/Co&gt;</v>
      </c>
      <c r="B1028" s="243" t="s">
        <v>1704</v>
      </c>
      <c r="C1028" s="244">
        <f t="shared" si="95"/>
        <v>1</v>
      </c>
      <c r="D1028" s="244">
        <f t="shared" si="96"/>
        <v>5</v>
      </c>
      <c r="E1028" s="244">
        <f t="shared" si="97"/>
        <v>1</v>
      </c>
      <c r="G1028" s="259" t="str">
        <f t="shared" si="98"/>
        <v>&lt;/Co&gt;</v>
      </c>
      <c r="H1028" s="260"/>
      <c r="I1028" s="261" t="str">
        <f t="shared" si="99"/>
        <v/>
      </c>
      <c r="J1028" s="262"/>
      <c r="K1028" s="262"/>
      <c r="L1028" s="262"/>
      <c r="M1028" s="263"/>
      <c r="N1028" s="265"/>
    </row>
    <row r="1029" spans="1:14" x14ac:dyDescent="0.45">
      <c r="A1029" s="253" t="str">
        <f t="shared" si="100"/>
        <v>&lt;/SoDuCuoiKy&gt;</v>
      </c>
      <c r="B1029" s="243" t="s">
        <v>1791</v>
      </c>
      <c r="C1029" s="244">
        <f t="shared" si="95"/>
        <v>1</v>
      </c>
      <c r="D1029" s="244">
        <f t="shared" ref="D1029:D1032" si="101">SEARCH("&gt;",B1029)</f>
        <v>13</v>
      </c>
      <c r="E1029" s="244">
        <f t="shared" ref="E1029:E1032" si="102">IFERROR(SEARCH("&lt;/",B1029),"")</f>
        <v>1</v>
      </c>
      <c r="G1029" s="259" t="str">
        <f t="shared" ref="G1029:G1032" si="103">LEFT(B1029,D1029)</f>
        <v>&lt;/SoDuCuoiKy&gt;</v>
      </c>
      <c r="H1029" s="260"/>
      <c r="I1029" s="261" t="str">
        <f t="shared" ref="I1029:I1034" si="104">IF(C1029=2,RIGHT(B1029,LEN(B1029)-E1029+1),"")</f>
        <v/>
      </c>
      <c r="J1029" s="262"/>
      <c r="K1029" s="262"/>
      <c r="L1029" s="262"/>
      <c r="M1029" s="263"/>
      <c r="N1029" s="258"/>
    </row>
    <row r="1030" spans="1:14" x14ac:dyDescent="0.45">
      <c r="A1030" s="253" t="str">
        <f t="shared" si="100"/>
        <v>&lt;/PL_CDTK&gt;&lt;/PLuc&gt;</v>
      </c>
      <c r="B1030" s="243" t="s">
        <v>1792</v>
      </c>
      <c r="C1030" s="244">
        <f t="shared" si="95"/>
        <v>2</v>
      </c>
      <c r="D1030" s="244">
        <f t="shared" si="101"/>
        <v>10</v>
      </c>
      <c r="E1030" s="244">
        <f t="shared" si="102"/>
        <v>1</v>
      </c>
      <c r="G1030" s="259" t="str">
        <f>B1030</f>
        <v>&lt;/PL_CDTK&gt;&lt;/PLuc&gt;</v>
      </c>
      <c r="H1030" s="260"/>
      <c r="I1030" s="261"/>
      <c r="J1030" s="262"/>
      <c r="K1030" s="262"/>
      <c r="L1030" s="262"/>
      <c r="M1030" s="263"/>
      <c r="N1030" s="264"/>
    </row>
    <row r="1031" spans="1:14" x14ac:dyDescent="0.45">
      <c r="A1031" s="253" t="str">
        <f t="shared" si="100"/>
        <v>&lt;/HSoKhaiThue&gt;</v>
      </c>
      <c r="B1031" s="243" t="s">
        <v>1793</v>
      </c>
      <c r="C1031" s="244">
        <f t="shared" si="95"/>
        <v>1</v>
      </c>
      <c r="D1031" s="244">
        <f t="shared" si="101"/>
        <v>14</v>
      </c>
      <c r="E1031" s="244">
        <f t="shared" si="102"/>
        <v>1</v>
      </c>
      <c r="G1031" s="259" t="str">
        <f t="shared" si="103"/>
        <v>&lt;/HSoKhaiThue&gt;</v>
      </c>
      <c r="H1031" s="260"/>
      <c r="I1031" s="261" t="str">
        <f t="shared" si="104"/>
        <v/>
      </c>
      <c r="J1031" s="262"/>
      <c r="K1031" s="262"/>
      <c r="L1031" s="262"/>
      <c r="M1031" s="263"/>
      <c r="N1031" s="264"/>
    </row>
    <row r="1032" spans="1:14" x14ac:dyDescent="0.45">
      <c r="A1032" s="253" t="str">
        <f t="shared" si="100"/>
        <v>&lt;/HSoThueDTu&gt;</v>
      </c>
      <c r="B1032" s="243" t="s">
        <v>1352</v>
      </c>
      <c r="C1032" s="244">
        <f t="shared" si="95"/>
        <v>1</v>
      </c>
      <c r="D1032" s="244">
        <f t="shared" si="101"/>
        <v>13</v>
      </c>
      <c r="E1032" s="244">
        <f t="shared" si="102"/>
        <v>1</v>
      </c>
      <c r="G1032" s="259" t="str">
        <f t="shared" si="103"/>
        <v>&lt;/HSoThueDTu&gt;</v>
      </c>
      <c r="H1032" s="260"/>
      <c r="I1032" s="261" t="str">
        <f t="shared" si="104"/>
        <v/>
      </c>
      <c r="J1032" s="262"/>
      <c r="K1032" s="262"/>
      <c r="L1032" s="262"/>
      <c r="M1032" s="263"/>
      <c r="N1032" s="264"/>
    </row>
    <row r="1033" spans="1:14" x14ac:dyDescent="0.45">
      <c r="A1033" s="253"/>
      <c r="B1033" s="243"/>
      <c r="G1033" s="248"/>
      <c r="H1033" s="251"/>
      <c r="I1033" s="246" t="str">
        <f t="shared" si="104"/>
        <v/>
      </c>
      <c r="J1033" s="245"/>
      <c r="K1033" s="245"/>
      <c r="L1033" s="245"/>
      <c r="M1033" s="247"/>
    </row>
    <row r="1034" spans="1:14" x14ac:dyDescent="0.45">
      <c r="A1034" s="253"/>
      <c r="B1034" s="243"/>
      <c r="G1034" s="248"/>
      <c r="H1034" s="251"/>
      <c r="I1034" s="246" t="str">
        <f t="shared" si="104"/>
        <v/>
      </c>
      <c r="J1034" s="245"/>
      <c r="K1034" s="245"/>
      <c r="L1034" s="245"/>
      <c r="M1034" s="247"/>
    </row>
  </sheetData>
  <autoFilter ref="A2:O2" xr:uid="{00000000-0009-0000-0000-000010000000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xmlCode1">
    <tabColor theme="1"/>
  </sheetPr>
  <dimension ref="A2:O1103"/>
  <sheetViews>
    <sheetView topLeftCell="B241" zoomScaleNormal="100" workbookViewId="0">
      <selection activeCell="H217" sqref="H217:H263"/>
    </sheetView>
  </sheetViews>
  <sheetFormatPr defaultRowHeight="14.25" x14ac:dyDescent="0.45"/>
  <cols>
    <col min="1" max="1" width="108.265625" bestFit="1" customWidth="1"/>
    <col min="2" max="2" width="48.265625" style="241" customWidth="1"/>
    <col min="3" max="6" width="9.265625" style="244" customWidth="1"/>
    <col min="7" max="7" width="29" style="244" customWidth="1"/>
    <col min="8" max="8" width="47.59765625" style="250" customWidth="1"/>
    <col min="9" max="9" width="18.73046875" style="244" customWidth="1"/>
    <col min="10" max="12" width="9.265625" style="244" customWidth="1"/>
    <col min="13" max="13" width="9.265625" style="241" customWidth="1"/>
    <col min="15" max="15" width="21.3984375" customWidth="1"/>
  </cols>
  <sheetData>
    <row r="2" spans="1:13" x14ac:dyDescent="0.45">
      <c r="A2" s="9" t="s">
        <v>1797</v>
      </c>
      <c r="B2" s="241" t="s">
        <v>1795</v>
      </c>
      <c r="G2" s="244" t="s">
        <v>1796</v>
      </c>
    </row>
    <row r="3" spans="1:13" x14ac:dyDescent="0.45">
      <c r="A3" s="253" t="str">
        <f>CONCATENATE(G3,H3,I3)</f>
        <v>&lt;?xml version="1.0" encoding="UTF-8"?&gt;</v>
      </c>
      <c r="B3" s="450" t="s">
        <v>1353</v>
      </c>
      <c r="G3" s="249" t="str">
        <f>B3</f>
        <v>&lt;?xml version="1.0" encoding="UTF-8"?&gt;</v>
      </c>
      <c r="H3" s="251"/>
      <c r="I3" s="246"/>
      <c r="J3" s="245"/>
      <c r="K3" s="245"/>
      <c r="L3" s="245"/>
      <c r="M3" s="247"/>
    </row>
    <row r="4" spans="1:13" x14ac:dyDescent="0.45">
      <c r="A4" s="253" t="str">
        <f t="shared" ref="A4:A67" si="0">CONCATENATE(G4,H4,I4)</f>
        <v>&lt;HSoThueDTu xmlns:xsi="http://www.w3.org/2001/XMLSchema-instance" xmlns="http://kekhaithue.gdt.gov.vn/TKhaiThue"&gt;</v>
      </c>
      <c r="B4" s="450" t="s">
        <v>1354</v>
      </c>
      <c r="G4" s="249" t="str">
        <f>B4</f>
        <v>&lt;HSoThueDTu xmlns:xsi="http://www.w3.org/2001/XMLSchema-instance" xmlns="http://kekhaithue.gdt.gov.vn/TKhaiThue"&gt;</v>
      </c>
      <c r="H4" s="251"/>
      <c r="I4" s="246"/>
      <c r="J4" s="245"/>
      <c r="K4" s="245"/>
      <c r="L4" s="245"/>
      <c r="M4" s="247"/>
    </row>
    <row r="5" spans="1:13" x14ac:dyDescent="0.45">
      <c r="A5" s="253" t="str">
        <f t="shared" si="0"/>
        <v>&lt;HSoKhaiThue&gt;</v>
      </c>
      <c r="B5" s="450" t="s">
        <v>4375</v>
      </c>
      <c r="G5" s="249" t="str">
        <f t="shared" ref="G5:G22" si="1">B5</f>
        <v>&lt;HSoKhaiThue&gt;</v>
      </c>
      <c r="H5" s="251"/>
      <c r="I5" s="246"/>
      <c r="J5" s="245"/>
      <c r="K5" s="245"/>
      <c r="L5" s="245"/>
      <c r="M5" s="247"/>
    </row>
    <row r="6" spans="1:13" x14ac:dyDescent="0.45">
      <c r="A6" s="253" t="str">
        <f t="shared" si="0"/>
        <v>&lt;TTinChung&gt;</v>
      </c>
      <c r="B6" s="450" t="s">
        <v>4376</v>
      </c>
      <c r="G6" s="249" t="str">
        <f t="shared" si="1"/>
        <v>&lt;TTinChung&gt;</v>
      </c>
      <c r="H6" s="251"/>
      <c r="I6" s="246"/>
      <c r="J6" s="245"/>
      <c r="K6" s="245"/>
      <c r="L6" s="245"/>
      <c r="M6" s="247"/>
    </row>
    <row r="7" spans="1:13" x14ac:dyDescent="0.45">
      <c r="A7" s="253" t="str">
        <f t="shared" si="0"/>
        <v>&lt;TTinDVu&gt;</v>
      </c>
      <c r="B7" s="450" t="s">
        <v>4377</v>
      </c>
      <c r="G7" s="249" t="str">
        <f t="shared" si="1"/>
        <v>&lt;TTinDVu&gt;</v>
      </c>
      <c r="H7" s="251"/>
      <c r="I7" s="246"/>
      <c r="J7" s="245"/>
      <c r="K7" s="245"/>
      <c r="L7" s="245"/>
      <c r="M7" s="247"/>
    </row>
    <row r="8" spans="1:13" x14ac:dyDescent="0.45">
      <c r="A8" s="253" t="str">
        <f t="shared" si="0"/>
        <v>&lt;maDVu&gt;HTKK&lt;/maDVu&gt;</v>
      </c>
      <c r="B8" s="450" t="s">
        <v>4378</v>
      </c>
      <c r="G8" s="249" t="str">
        <f t="shared" si="1"/>
        <v>&lt;maDVu&gt;HTKK&lt;/maDVu&gt;</v>
      </c>
      <c r="H8" s="251"/>
      <c r="I8" s="246"/>
      <c r="J8" s="245"/>
      <c r="K8" s="245"/>
      <c r="L8" s="245"/>
      <c r="M8" s="247"/>
    </row>
    <row r="9" spans="1:13" x14ac:dyDescent="0.45">
      <c r="A9" s="253" t="str">
        <f t="shared" si="0"/>
        <v>&lt;tenDVu&gt;HỖ TRỢ KÊ KHAI THUẾ&lt;/tenDVu&gt;</v>
      </c>
      <c r="B9" s="450" t="s">
        <v>4379</v>
      </c>
      <c r="G9" s="249" t="str">
        <f t="shared" si="1"/>
        <v>&lt;tenDVu&gt;HỖ TRỢ KÊ KHAI THUẾ&lt;/tenDVu&gt;</v>
      </c>
      <c r="H9" s="251"/>
      <c r="I9" s="246"/>
      <c r="J9" s="245"/>
      <c r="K9" s="245"/>
      <c r="L9" s="245"/>
      <c r="M9" s="247"/>
    </row>
    <row r="10" spans="1:13" x14ac:dyDescent="0.45">
      <c r="A10" s="253" t="str">
        <f t="shared" si="0"/>
        <v>&lt;pbanDVu&gt;4.7.3&lt;/pbanDVu&gt;</v>
      </c>
      <c r="B10" s="450" t="s">
        <v>4380</v>
      </c>
      <c r="G10" s="249" t="str">
        <f t="shared" si="1"/>
        <v>&lt;pbanDVu&gt;4.7.3&lt;/pbanDVu&gt;</v>
      </c>
      <c r="H10" s="251"/>
      <c r="I10" s="246"/>
      <c r="J10" s="245"/>
      <c r="K10" s="245"/>
      <c r="L10" s="245"/>
      <c r="M10" s="247"/>
    </row>
    <row r="11" spans="1:13" x14ac:dyDescent="0.45">
      <c r="A11" s="253" t="str">
        <f t="shared" si="0"/>
        <v>&lt;ttinNhaCCapDVu&gt;FE5365B24719F8D42951331CCD74D2DD&lt;/ttinNhaCCapDVu&gt;</v>
      </c>
      <c r="B11" s="450" t="s">
        <v>4540</v>
      </c>
      <c r="G11" s="249" t="str">
        <f t="shared" si="1"/>
        <v>&lt;ttinNhaCCapDVu&gt;FE5365B24719F8D42951331CCD74D2DD&lt;/ttinNhaCCapDVu&gt;</v>
      </c>
      <c r="H11" s="251"/>
      <c r="I11" s="246"/>
      <c r="J11" s="245"/>
      <c r="K11" s="245"/>
      <c r="L11" s="245"/>
      <c r="M11" s="247"/>
    </row>
    <row r="12" spans="1:13" x14ac:dyDescent="0.45">
      <c r="A12" s="253" t="str">
        <f t="shared" si="0"/>
        <v>&lt;/TTinDVu&gt;</v>
      </c>
      <c r="B12" s="450" t="s">
        <v>4381</v>
      </c>
      <c r="G12" s="249" t="str">
        <f t="shared" si="1"/>
        <v>&lt;/TTinDVu&gt;</v>
      </c>
      <c r="H12" s="251"/>
      <c r="I12" s="246"/>
      <c r="J12" s="245"/>
      <c r="K12" s="245"/>
      <c r="L12" s="245"/>
      <c r="M12" s="247"/>
    </row>
    <row r="13" spans="1:13" x14ac:dyDescent="0.45">
      <c r="A13" s="253" t="str">
        <f t="shared" si="0"/>
        <v>&lt;TTinTKhaiThue&gt;</v>
      </c>
      <c r="B13" s="450" t="s">
        <v>4382</v>
      </c>
      <c r="G13" s="249" t="str">
        <f t="shared" si="1"/>
        <v>&lt;TTinTKhaiThue&gt;</v>
      </c>
      <c r="H13" s="251"/>
      <c r="I13" s="246"/>
      <c r="J13" s="245"/>
      <c r="K13" s="245"/>
      <c r="L13" s="245"/>
      <c r="M13" s="247"/>
    </row>
    <row r="14" spans="1:13" x14ac:dyDescent="0.45">
      <c r="A14" s="253" t="str">
        <f t="shared" si="0"/>
        <v>&lt;TKhaiThue&gt;</v>
      </c>
      <c r="B14" s="450" t="s">
        <v>4383</v>
      </c>
      <c r="G14" s="249" t="str">
        <f t="shared" si="1"/>
        <v>&lt;TKhaiThue&gt;</v>
      </c>
      <c r="H14" s="251"/>
      <c r="I14" s="246"/>
      <c r="J14" s="245"/>
      <c r="K14" s="245"/>
      <c r="L14" s="245"/>
      <c r="M14" s="247"/>
    </row>
    <row r="15" spans="1:13" x14ac:dyDescent="0.45">
      <c r="A15" s="253" t="str">
        <f t="shared" si="0"/>
        <v>&lt;maTKhai&gt;683&lt;/maTKhai&gt;</v>
      </c>
      <c r="B15" s="450" t="s">
        <v>4384</v>
      </c>
      <c r="G15" s="249" t="str">
        <f t="shared" si="1"/>
        <v>&lt;maTKhai&gt;683&lt;/maTKhai&gt;</v>
      </c>
      <c r="H15" s="251"/>
      <c r="I15" s="246"/>
      <c r="J15" s="245"/>
      <c r="K15" s="245"/>
      <c r="L15" s="245"/>
      <c r="M15" s="247"/>
    </row>
    <row r="16" spans="1:13" x14ac:dyDescent="0.45">
      <c r="A16" s="253" t="str">
        <f t="shared" si="0"/>
        <v>&lt;tenTKhai&gt;Bộ báo cáo tài chính (B01a - DNN)(TT133/2016/TT-BTC)&lt;/tenTKhai&gt;</v>
      </c>
      <c r="B16" s="450" t="s">
        <v>4385</v>
      </c>
      <c r="G16" s="249" t="str">
        <f t="shared" si="1"/>
        <v>&lt;tenTKhai&gt;Bộ báo cáo tài chính (B01a - DNN)(TT133/2016/TT-BTC)&lt;/tenTKhai&gt;</v>
      </c>
      <c r="H16" s="251"/>
      <c r="I16" s="246"/>
      <c r="J16" s="245"/>
      <c r="K16" s="245"/>
      <c r="L16" s="245"/>
      <c r="M16" s="247"/>
    </row>
    <row r="17" spans="1:13" x14ac:dyDescent="0.45">
      <c r="A17" s="253" t="str">
        <f t="shared" si="0"/>
        <v>&lt;moTaBMau&gt;(Ban hành theo Thông tư số 133/2016/TT-BTC ngày 26/8/2016 của Bộ Tài chính)&lt;/moTaBMau&gt;</v>
      </c>
      <c r="B17" s="450" t="s">
        <v>4386</v>
      </c>
      <c r="G17" s="249" t="str">
        <f t="shared" si="1"/>
        <v>&lt;moTaBMau&gt;(Ban hành theo Thông tư số 133/2016/TT-BTC ngày 26/8/2016 của Bộ Tài chính)&lt;/moTaBMau&gt;</v>
      </c>
      <c r="H17" s="251"/>
      <c r="I17" s="246"/>
      <c r="J17" s="245"/>
      <c r="K17" s="245"/>
      <c r="L17" s="245"/>
      <c r="M17" s="247"/>
    </row>
    <row r="18" spans="1:13" x14ac:dyDescent="0.45">
      <c r="A18" s="253" t="str">
        <f t="shared" si="0"/>
        <v>&lt;pbanTKhaiXML&gt;2.3.2&lt;/pbanTKhaiXML&gt;</v>
      </c>
      <c r="B18" s="450" t="s">
        <v>4387</v>
      </c>
      <c r="G18" s="249" t="str">
        <f t="shared" si="1"/>
        <v>&lt;pbanTKhaiXML&gt;2.3.2&lt;/pbanTKhaiXML&gt;</v>
      </c>
      <c r="H18" s="251"/>
      <c r="I18" s="246"/>
      <c r="J18" s="245"/>
      <c r="K18" s="245"/>
      <c r="L18" s="245"/>
      <c r="M18" s="247"/>
    </row>
    <row r="19" spans="1:13" x14ac:dyDescent="0.45">
      <c r="A19" s="253" t="str">
        <f t="shared" si="0"/>
        <v>&lt;loaiTKhai&gt;C&lt;/loaiTKhai&gt;</v>
      </c>
      <c r="B19" s="450" t="s">
        <v>4388</v>
      </c>
      <c r="G19" s="249" t="str">
        <f t="shared" si="1"/>
        <v>&lt;loaiTKhai&gt;C&lt;/loaiTKhai&gt;</v>
      </c>
      <c r="H19" s="251"/>
      <c r="I19" s="246"/>
      <c r="J19" s="245"/>
      <c r="K19" s="245"/>
      <c r="L19" s="245"/>
      <c r="M19" s="247"/>
    </row>
    <row r="20" spans="1:13" x14ac:dyDescent="0.45">
      <c r="A20" s="253" t="str">
        <f t="shared" si="0"/>
        <v>&lt;soLan&gt;0&lt;/soLan&gt;</v>
      </c>
      <c r="B20" s="450" t="s">
        <v>4389</v>
      </c>
      <c r="G20" s="249" t="str">
        <f t="shared" si="1"/>
        <v>&lt;soLan&gt;0&lt;/soLan&gt;</v>
      </c>
      <c r="H20" s="251"/>
      <c r="I20" s="246"/>
      <c r="J20" s="245"/>
      <c r="K20" s="245"/>
      <c r="L20" s="245"/>
      <c r="M20" s="247"/>
    </row>
    <row r="21" spans="1:13" x14ac:dyDescent="0.45">
      <c r="A21" s="253" t="str">
        <f t="shared" si="0"/>
        <v>&lt;KyKKhaiThue&gt;</v>
      </c>
      <c r="B21" s="450" t="s">
        <v>4390</v>
      </c>
      <c r="G21" s="249" t="str">
        <f t="shared" si="1"/>
        <v>&lt;KyKKhaiThue&gt;</v>
      </c>
      <c r="H21" s="251"/>
      <c r="I21" s="246"/>
      <c r="J21" s="245"/>
      <c r="K21" s="245"/>
      <c r="L21" s="245"/>
      <c r="M21" s="247"/>
    </row>
    <row r="22" spans="1:13" x14ac:dyDescent="0.45">
      <c r="A22" s="253" t="str">
        <f t="shared" si="0"/>
        <v>&lt;kieuKy&gt;Y&lt;/kieuKy&gt;</v>
      </c>
      <c r="B22" s="450" t="s">
        <v>4391</v>
      </c>
      <c r="G22" s="249" t="str">
        <f t="shared" si="1"/>
        <v>&lt;kieuKy&gt;Y&lt;/kieuKy&gt;</v>
      </c>
      <c r="H22" s="251"/>
      <c r="I22" s="246"/>
      <c r="J22" s="245"/>
      <c r="K22" s="245"/>
      <c r="L22" s="245"/>
      <c r="M22" s="247"/>
    </row>
    <row r="23" spans="1:13" x14ac:dyDescent="0.45">
      <c r="A23" s="253" t="str">
        <f t="shared" si="0"/>
        <v>&lt;kyKKhai&gt;2024&lt;/kyKKhai&gt;</v>
      </c>
      <c r="B23" s="450" t="s">
        <v>4367</v>
      </c>
      <c r="C23" s="244">
        <f>LEN(B23)-LEN(SUBSTITUTE(B23,"&lt;",""))</f>
        <v>2</v>
      </c>
      <c r="D23" s="244">
        <f>SEARCH("&gt;",B23)</f>
        <v>9</v>
      </c>
      <c r="E23" s="244">
        <f>IFERROR(SEARCH("&lt;/",B23),"")</f>
        <v>14</v>
      </c>
      <c r="G23" s="248" t="str">
        <f>LEFT(B23,D23)</f>
        <v>&lt;kyKKhai&gt;</v>
      </c>
      <c r="H23" s="251">
        <f>MAIN!D6</f>
        <v>2024</v>
      </c>
      <c r="I23" s="246" t="str">
        <f>IF(C23=2,RIGHT(B23,LEN(B23)-E23+1),"")</f>
        <v>&lt;/kyKKhai&gt;</v>
      </c>
      <c r="J23" s="245"/>
      <c r="K23" s="245"/>
      <c r="L23" s="245"/>
      <c r="M23" s="247"/>
    </row>
    <row r="24" spans="1:13" x14ac:dyDescent="0.45">
      <c r="A24" s="253" t="str">
        <f t="shared" si="0"/>
        <v>&lt;kyKKhaiTuNgay&gt;01/01/2024&lt;/kyKKhaiTuNgay&gt;</v>
      </c>
      <c r="B24" s="450" t="s">
        <v>4368</v>
      </c>
      <c r="C24" s="244">
        <f t="shared" ref="C24:C87" si="2">LEN(B24)-LEN(SUBSTITUTE(B24,"&lt;",""))</f>
        <v>2</v>
      </c>
      <c r="D24" s="244">
        <f t="shared" ref="D24:D87" si="3">SEARCH("&gt;",B24)</f>
        <v>15</v>
      </c>
      <c r="E24" s="244">
        <f t="shared" ref="E24:E87" si="4">IFERROR(SEARCH("&lt;/",B24),"")</f>
        <v>26</v>
      </c>
      <c r="G24" s="248" t="str">
        <f t="shared" ref="G24:G87" si="5">LEFT(B24,D24)</f>
        <v>&lt;kyKKhaiTuNgay&gt;</v>
      </c>
      <c r="H24" s="251" t="str">
        <f>TEXT(MAIN!D14,"dd/mm/yyyy")</f>
        <v>01/01/2024</v>
      </c>
      <c r="I24" s="246" t="str">
        <f t="shared" ref="I24:I87" si="6">IF(C24=2,RIGHT(B24,LEN(B24)-E24+1),"")</f>
        <v>&lt;/kyKKhaiTuNgay&gt;</v>
      </c>
      <c r="J24" s="245"/>
      <c r="K24" s="245"/>
      <c r="L24" s="245"/>
      <c r="M24" s="247"/>
    </row>
    <row r="25" spans="1:13" x14ac:dyDescent="0.45">
      <c r="A25" s="253" t="str">
        <f t="shared" si="0"/>
        <v>&lt;kyKKhaiDenNgay&gt;31/12/2024&lt;/kyKKhaiDenNgay&gt;</v>
      </c>
      <c r="B25" s="450" t="s">
        <v>4369</v>
      </c>
      <c r="C25" s="244">
        <f t="shared" si="2"/>
        <v>2</v>
      </c>
      <c r="D25" s="244">
        <f t="shared" si="3"/>
        <v>16</v>
      </c>
      <c r="E25" s="244">
        <f t="shared" si="4"/>
        <v>27</v>
      </c>
      <c r="G25" s="248" t="str">
        <f t="shared" si="5"/>
        <v>&lt;kyKKhaiDenNgay&gt;</v>
      </c>
      <c r="H25" s="251" t="str">
        <f>TEXT(MAIN!D15,"dd/mm/yyyy")</f>
        <v>31/12/2024</v>
      </c>
      <c r="I25" s="246" t="str">
        <f t="shared" si="6"/>
        <v>&lt;/kyKKhaiDenNgay&gt;</v>
      </c>
      <c r="J25" s="245"/>
      <c r="K25" s="245"/>
      <c r="L25" s="245"/>
      <c r="M25" s="247"/>
    </row>
    <row r="26" spans="1:13" x14ac:dyDescent="0.45">
      <c r="A26" s="253" t="str">
        <f t="shared" si="0"/>
        <v>&lt;kyKKhaiTuThang /&gt;</v>
      </c>
      <c r="B26" s="450" t="s">
        <v>4392</v>
      </c>
      <c r="C26" s="244">
        <f t="shared" si="2"/>
        <v>1</v>
      </c>
      <c r="D26" s="244">
        <f t="shared" si="3"/>
        <v>18</v>
      </c>
      <c r="E26" s="244" t="str">
        <f t="shared" si="4"/>
        <v/>
      </c>
      <c r="G26" s="248" t="str">
        <f t="shared" si="5"/>
        <v>&lt;kyKKhaiTuThang /&gt;</v>
      </c>
      <c r="H26" s="251"/>
      <c r="I26" s="246" t="str">
        <f t="shared" si="6"/>
        <v/>
      </c>
      <c r="J26" s="245"/>
      <c r="K26" s="245"/>
      <c r="L26" s="245"/>
      <c r="M26" s="247"/>
    </row>
    <row r="27" spans="1:13" x14ac:dyDescent="0.45">
      <c r="A27" s="253" t="str">
        <f t="shared" si="0"/>
        <v>&lt;kyKKhaiDenThang /&gt;</v>
      </c>
      <c r="B27" s="450" t="s">
        <v>4393</v>
      </c>
      <c r="C27" s="244">
        <f t="shared" si="2"/>
        <v>1</v>
      </c>
      <c r="D27" s="244">
        <f t="shared" si="3"/>
        <v>19</v>
      </c>
      <c r="E27" s="244" t="str">
        <f t="shared" si="4"/>
        <v/>
      </c>
      <c r="G27" s="248" t="str">
        <f t="shared" si="5"/>
        <v>&lt;kyKKhaiDenThang /&gt;</v>
      </c>
      <c r="H27" s="251"/>
      <c r="I27" s="246" t="str">
        <f t="shared" si="6"/>
        <v/>
      </c>
      <c r="J27" s="245"/>
      <c r="K27" s="245"/>
      <c r="L27" s="245"/>
      <c r="M27" s="247"/>
    </row>
    <row r="28" spans="1:13" x14ac:dyDescent="0.45">
      <c r="A28" s="253" t="str">
        <f t="shared" si="0"/>
        <v>&lt;/KyKKhaiThue&gt;</v>
      </c>
      <c r="B28" s="450" t="s">
        <v>1375</v>
      </c>
      <c r="C28" s="244">
        <f t="shared" si="2"/>
        <v>1</v>
      </c>
      <c r="D28" s="244">
        <f t="shared" si="3"/>
        <v>14</v>
      </c>
      <c r="E28" s="244">
        <f t="shared" si="4"/>
        <v>1</v>
      </c>
      <c r="G28" s="248" t="str">
        <f t="shared" si="5"/>
        <v>&lt;/KyKKhaiThue&gt;</v>
      </c>
      <c r="H28" s="251"/>
      <c r="I28" s="246" t="str">
        <f t="shared" si="6"/>
        <v/>
      </c>
      <c r="J28" s="245"/>
      <c r="K28" s="245"/>
      <c r="L28" s="245"/>
      <c r="M28" s="247"/>
    </row>
    <row r="29" spans="1:13" x14ac:dyDescent="0.45">
      <c r="A29" s="253" t="str">
        <f t="shared" si="0"/>
        <v>&lt;maCQTNoiNop&gt;10127&lt;/maCQTNoiNop&gt;</v>
      </c>
      <c r="B29" s="450" t="s">
        <v>4370</v>
      </c>
      <c r="C29" s="244">
        <f t="shared" si="2"/>
        <v>2</v>
      </c>
      <c r="D29" s="244">
        <f t="shared" si="3"/>
        <v>13</v>
      </c>
      <c r="E29" s="244">
        <f t="shared" si="4"/>
        <v>19</v>
      </c>
      <c r="G29" s="248" t="str">
        <f t="shared" si="5"/>
        <v>&lt;maCQTNoiNop&gt;</v>
      </c>
      <c r="H29" s="251" t="str">
        <f>MAIN!D13</f>
        <v>10127</v>
      </c>
      <c r="I29" s="246" t="str">
        <f t="shared" si="6"/>
        <v>&lt;/maCQTNoiNop&gt;</v>
      </c>
      <c r="J29" s="245"/>
      <c r="K29" s="245"/>
      <c r="L29" s="245"/>
      <c r="M29" s="247"/>
    </row>
    <row r="30" spans="1:13" x14ac:dyDescent="0.45">
      <c r="A30" s="253" t="str">
        <f t="shared" si="0"/>
        <v>&lt;tenCQTNoiNop&gt;Chi cục thuế Quận Hà Đông&lt;/tenCQTNoiNop&gt;</v>
      </c>
      <c r="B30" s="450" t="s">
        <v>4394</v>
      </c>
      <c r="C30" s="244">
        <f t="shared" si="2"/>
        <v>2</v>
      </c>
      <c r="D30" s="244">
        <f t="shared" si="3"/>
        <v>14</v>
      </c>
      <c r="E30" s="244">
        <f t="shared" si="4"/>
        <v>40</v>
      </c>
      <c r="G30" s="248" t="str">
        <f t="shared" si="5"/>
        <v>&lt;tenCQTNoiNop&gt;</v>
      </c>
      <c r="H30" s="251" t="str">
        <f>MAIN!D12</f>
        <v>Chi cục thuế Quận Hà Đông</v>
      </c>
      <c r="I30" s="246" t="str">
        <f t="shared" si="6"/>
        <v>&lt;/tenCQTNoiNop&gt;</v>
      </c>
      <c r="J30" s="245"/>
      <c r="K30" s="245"/>
      <c r="L30" s="245"/>
      <c r="M30" s="247"/>
    </row>
    <row r="31" spans="1:13" x14ac:dyDescent="0.45">
      <c r="A31" s="253" t="str">
        <f t="shared" ca="1" si="0"/>
        <v>&lt;ngayLapTKhai&gt;2025-10-12&lt;/ngayLapTKhai&gt;</v>
      </c>
      <c r="B31" s="450" t="s">
        <v>4538</v>
      </c>
      <c r="C31" s="244">
        <f t="shared" si="2"/>
        <v>2</v>
      </c>
      <c r="D31" s="244">
        <f t="shared" si="3"/>
        <v>14</v>
      </c>
      <c r="E31" s="244">
        <f t="shared" si="4"/>
        <v>25</v>
      </c>
      <c r="G31" s="248" t="str">
        <f t="shared" si="5"/>
        <v>&lt;ngayLapTKhai&gt;</v>
      </c>
      <c r="H31" s="251" t="str">
        <f ca="1">TEXT(MAIN!D16,"yyyy-mm-dd")</f>
        <v>2025-10-12</v>
      </c>
      <c r="I31" s="246" t="str">
        <f t="shared" si="6"/>
        <v>&lt;/ngayLapTKhai&gt;</v>
      </c>
      <c r="J31" s="245"/>
      <c r="K31" s="245"/>
      <c r="L31" s="245"/>
      <c r="M31" s="247"/>
    </row>
    <row r="32" spans="1:13" x14ac:dyDescent="0.45">
      <c r="A32" s="253" t="str">
        <f t="shared" si="0"/>
        <v>&lt;GiaHan&gt;</v>
      </c>
      <c r="B32" s="450" t="s">
        <v>1376</v>
      </c>
      <c r="C32" s="244">
        <f t="shared" si="2"/>
        <v>1</v>
      </c>
      <c r="D32" s="244">
        <f t="shared" si="3"/>
        <v>8</v>
      </c>
      <c r="E32" s="244" t="str">
        <f t="shared" si="4"/>
        <v/>
      </c>
      <c r="G32" s="248" t="str">
        <f t="shared" si="5"/>
        <v>&lt;GiaHan&gt;</v>
      </c>
      <c r="H32" s="251"/>
      <c r="I32" s="246" t="str">
        <f t="shared" si="6"/>
        <v/>
      </c>
      <c r="J32" s="245"/>
      <c r="K32" s="245"/>
      <c r="L32" s="245"/>
      <c r="M32" s="247"/>
    </row>
    <row r="33" spans="1:13" x14ac:dyDescent="0.45">
      <c r="A33" s="253" t="str">
        <f t="shared" si="0"/>
        <v>&lt;maLyDoGiaHan&gt;</v>
      </c>
      <c r="B33" s="450" t="s">
        <v>4395</v>
      </c>
      <c r="C33" s="244">
        <f t="shared" si="2"/>
        <v>1</v>
      </c>
      <c r="D33" s="244">
        <f t="shared" si="3"/>
        <v>14</v>
      </c>
      <c r="E33" s="244" t="str">
        <f t="shared" si="4"/>
        <v/>
      </c>
      <c r="G33" s="248" t="str">
        <f t="shared" si="5"/>
        <v>&lt;maLyDoGiaHan&gt;</v>
      </c>
      <c r="H33" s="251"/>
      <c r="I33" s="246" t="str">
        <f t="shared" si="6"/>
        <v/>
      </c>
      <c r="J33" s="245"/>
      <c r="K33" s="245"/>
      <c r="L33" s="245"/>
      <c r="M33" s="247"/>
    </row>
    <row r="34" spans="1:13" x14ac:dyDescent="0.45">
      <c r="A34" s="253" t="str">
        <f t="shared" si="0"/>
        <v>&lt;/maLyDoGiaHan&gt;</v>
      </c>
      <c r="B34" s="450" t="s">
        <v>4396</v>
      </c>
      <c r="C34" s="244">
        <f t="shared" si="2"/>
        <v>1</v>
      </c>
      <c r="D34" s="244">
        <f t="shared" si="3"/>
        <v>15</v>
      </c>
      <c r="E34" s="244">
        <f t="shared" si="4"/>
        <v>1</v>
      </c>
      <c r="G34" s="248" t="str">
        <f t="shared" si="5"/>
        <v>&lt;/maLyDoGiaHan&gt;</v>
      </c>
      <c r="H34" s="251"/>
      <c r="I34" s="246" t="str">
        <f t="shared" si="6"/>
        <v/>
      </c>
      <c r="J34" s="245"/>
      <c r="K34" s="245"/>
      <c r="L34" s="245"/>
      <c r="M34" s="247"/>
    </row>
    <row r="35" spans="1:13" x14ac:dyDescent="0.45">
      <c r="A35" s="253" t="str">
        <f t="shared" si="0"/>
        <v>&lt;lyDoGiaHan&gt;</v>
      </c>
      <c r="B35" s="450" t="s">
        <v>4397</v>
      </c>
      <c r="C35" s="244">
        <f t="shared" si="2"/>
        <v>1</v>
      </c>
      <c r="D35" s="244">
        <f t="shared" si="3"/>
        <v>12</v>
      </c>
      <c r="E35" s="244" t="str">
        <f t="shared" si="4"/>
        <v/>
      </c>
      <c r="G35" s="248" t="str">
        <f t="shared" si="5"/>
        <v>&lt;lyDoGiaHan&gt;</v>
      </c>
      <c r="H35" s="251"/>
      <c r="I35" s="246" t="str">
        <f t="shared" si="6"/>
        <v/>
      </c>
      <c r="J35" s="245"/>
      <c r="K35" s="245"/>
      <c r="L35" s="245"/>
      <c r="M35" s="247"/>
    </row>
    <row r="36" spans="1:13" x14ac:dyDescent="0.45">
      <c r="A36" s="253" t="str">
        <f t="shared" si="0"/>
        <v>&lt;/lyDoGiaHan&gt;</v>
      </c>
      <c r="B36" s="450" t="s">
        <v>4398</v>
      </c>
      <c r="C36" s="244">
        <f t="shared" si="2"/>
        <v>1</v>
      </c>
      <c r="D36" s="244">
        <f t="shared" si="3"/>
        <v>13</v>
      </c>
      <c r="E36" s="244">
        <f t="shared" si="4"/>
        <v>1</v>
      </c>
      <c r="G36" s="248" t="str">
        <f t="shared" si="5"/>
        <v>&lt;/lyDoGiaHan&gt;</v>
      </c>
      <c r="H36" s="251"/>
      <c r="I36" s="246" t="str">
        <f t="shared" si="6"/>
        <v/>
      </c>
      <c r="J36" s="245"/>
      <c r="K36" s="245"/>
      <c r="L36" s="245"/>
      <c r="M36" s="247"/>
    </row>
    <row r="37" spans="1:13" x14ac:dyDescent="0.45">
      <c r="A37" s="253" t="str">
        <f t="shared" si="0"/>
        <v>&lt;/GiaHan&gt;</v>
      </c>
      <c r="B37" s="450" t="s">
        <v>1379</v>
      </c>
      <c r="C37" s="244">
        <f t="shared" si="2"/>
        <v>1</v>
      </c>
      <c r="D37" s="244">
        <f t="shared" si="3"/>
        <v>9</v>
      </c>
      <c r="E37" s="244">
        <f t="shared" si="4"/>
        <v>1</v>
      </c>
      <c r="G37" s="248" t="str">
        <f t="shared" si="5"/>
        <v>&lt;/GiaHan&gt;</v>
      </c>
      <c r="H37" s="251"/>
      <c r="I37" s="246" t="str">
        <f t="shared" si="6"/>
        <v/>
      </c>
      <c r="J37" s="245"/>
      <c r="K37" s="245"/>
      <c r="L37" s="245"/>
      <c r="M37" s="247"/>
    </row>
    <row r="38" spans="1:13" x14ac:dyDescent="0.45">
      <c r="A38" s="253" t="str">
        <f t="shared" si="0"/>
        <v>&lt;nguoiKy&gt;</v>
      </c>
      <c r="B38" s="450" t="s">
        <v>4399</v>
      </c>
      <c r="C38" s="244">
        <f t="shared" si="2"/>
        <v>1</v>
      </c>
      <c r="D38" s="244">
        <f t="shared" si="3"/>
        <v>9</v>
      </c>
      <c r="E38" s="244" t="str">
        <f t="shared" si="4"/>
        <v/>
      </c>
      <c r="G38" s="248" t="str">
        <f t="shared" si="5"/>
        <v>&lt;nguoiKy&gt;</v>
      </c>
      <c r="H38" s="251"/>
      <c r="I38" s="246" t="str">
        <f t="shared" si="6"/>
        <v/>
      </c>
      <c r="J38" s="245"/>
      <c r="K38" s="245"/>
      <c r="L38" s="245"/>
      <c r="M38" s="247"/>
    </row>
    <row r="39" spans="1:13" x14ac:dyDescent="0.45">
      <c r="A39" s="253" t="str">
        <f t="shared" si="0"/>
        <v>&lt;/nguoiKy&gt;</v>
      </c>
      <c r="B39" s="450" t="s">
        <v>4400</v>
      </c>
      <c r="C39" s="244">
        <f t="shared" si="2"/>
        <v>1</v>
      </c>
      <c r="D39" s="244">
        <f t="shared" si="3"/>
        <v>10</v>
      </c>
      <c r="E39" s="244">
        <f t="shared" si="4"/>
        <v>1</v>
      </c>
      <c r="G39" s="248" t="str">
        <f t="shared" si="5"/>
        <v>&lt;/nguoiKy&gt;</v>
      </c>
      <c r="H39" s="251"/>
      <c r="I39" s="246" t="str">
        <f t="shared" si="6"/>
        <v/>
      </c>
      <c r="J39" s="245"/>
      <c r="K39" s="245"/>
      <c r="L39" s="245"/>
      <c r="M39" s="247"/>
    </row>
    <row r="40" spans="1:13" x14ac:dyDescent="0.45">
      <c r="A40" s="253" t="str">
        <f t="shared" ca="1" si="0"/>
        <v>&lt;ngayKy&gt;2025-10-12&lt;/ngayKy&gt;</v>
      </c>
      <c r="B40" s="450" t="s">
        <v>4539</v>
      </c>
      <c r="C40" s="244">
        <f t="shared" si="2"/>
        <v>2</v>
      </c>
      <c r="D40" s="244">
        <f t="shared" si="3"/>
        <v>8</v>
      </c>
      <c r="E40" s="244">
        <f t="shared" si="4"/>
        <v>19</v>
      </c>
      <c r="G40" s="248" t="str">
        <f t="shared" si="5"/>
        <v>&lt;ngayKy&gt;</v>
      </c>
      <c r="H40" s="251" t="str">
        <f ca="1">H31</f>
        <v>2025-10-12</v>
      </c>
      <c r="I40" s="246" t="str">
        <f t="shared" si="6"/>
        <v>&lt;/ngayKy&gt;</v>
      </c>
      <c r="J40" s="245"/>
      <c r="K40" s="245"/>
      <c r="L40" s="245"/>
      <c r="M40" s="247"/>
    </row>
    <row r="41" spans="1:13" x14ac:dyDescent="0.45">
      <c r="A41" s="253" t="str">
        <f t="shared" si="0"/>
        <v>&lt;nganhNgheKD&gt;</v>
      </c>
      <c r="B41" s="450" t="s">
        <v>4401</v>
      </c>
      <c r="C41" s="244">
        <f t="shared" si="2"/>
        <v>1</v>
      </c>
      <c r="D41" s="244">
        <f t="shared" si="3"/>
        <v>13</v>
      </c>
      <c r="E41" s="244" t="str">
        <f t="shared" si="4"/>
        <v/>
      </c>
      <c r="G41" s="248" t="str">
        <f t="shared" si="5"/>
        <v>&lt;nganhNgheKD&gt;</v>
      </c>
      <c r="H41" s="251"/>
      <c r="I41" s="246" t="str">
        <f t="shared" si="6"/>
        <v/>
      </c>
      <c r="J41" s="245"/>
      <c r="K41" s="245"/>
      <c r="L41" s="245"/>
      <c r="M41" s="247"/>
    </row>
    <row r="42" spans="1:13" x14ac:dyDescent="0.45">
      <c r="A42" s="253" t="str">
        <f t="shared" si="0"/>
        <v>&lt;/nganhNgheKD&gt;</v>
      </c>
      <c r="B42" s="450" t="s">
        <v>4402</v>
      </c>
      <c r="C42" s="244">
        <f t="shared" si="2"/>
        <v>1</v>
      </c>
      <c r="D42" s="244">
        <f t="shared" si="3"/>
        <v>14</v>
      </c>
      <c r="E42" s="244">
        <f t="shared" si="4"/>
        <v>1</v>
      </c>
      <c r="G42" s="248" t="str">
        <f t="shared" si="5"/>
        <v>&lt;/nganhNgheKD&gt;</v>
      </c>
      <c r="H42" s="251"/>
      <c r="I42" s="246" t="str">
        <f t="shared" si="6"/>
        <v/>
      </c>
      <c r="J42" s="245"/>
      <c r="K42" s="245"/>
      <c r="L42" s="245"/>
      <c r="M42" s="247"/>
    </row>
    <row r="43" spans="1:13" x14ac:dyDescent="0.45">
      <c r="A43" s="253" t="str">
        <f t="shared" si="0"/>
        <v>&lt;/TKhaiThue&gt;</v>
      </c>
      <c r="B43" s="450" t="s">
        <v>1382</v>
      </c>
      <c r="C43" s="244">
        <f t="shared" si="2"/>
        <v>1</v>
      </c>
      <c r="D43" s="244">
        <f t="shared" si="3"/>
        <v>12</v>
      </c>
      <c r="E43" s="244">
        <f t="shared" si="4"/>
        <v>1</v>
      </c>
      <c r="G43" s="248" t="str">
        <f t="shared" si="5"/>
        <v>&lt;/TKhaiThue&gt;</v>
      </c>
      <c r="H43" s="251"/>
      <c r="I43" s="246" t="str">
        <f t="shared" si="6"/>
        <v/>
      </c>
      <c r="J43" s="245"/>
      <c r="K43" s="245"/>
      <c r="L43" s="245"/>
      <c r="M43" s="247"/>
    </row>
    <row r="44" spans="1:13" x14ac:dyDescent="0.45">
      <c r="A44" s="253" t="str">
        <f t="shared" si="0"/>
        <v>&lt;NNT&gt;</v>
      </c>
      <c r="B44" s="450" t="s">
        <v>1383</v>
      </c>
      <c r="C44" s="244">
        <f t="shared" si="2"/>
        <v>1</v>
      </c>
      <c r="D44" s="244">
        <f t="shared" si="3"/>
        <v>5</v>
      </c>
      <c r="E44" s="244" t="str">
        <f t="shared" si="4"/>
        <v/>
      </c>
      <c r="G44" s="248" t="str">
        <f t="shared" si="5"/>
        <v>&lt;NNT&gt;</v>
      </c>
      <c r="H44" s="251"/>
      <c r="I44" s="246" t="str">
        <f t="shared" si="6"/>
        <v/>
      </c>
      <c r="J44" s="245"/>
      <c r="K44" s="245"/>
      <c r="L44" s="245"/>
      <c r="M44" s="247"/>
    </row>
    <row r="45" spans="1:13" x14ac:dyDescent="0.45">
      <c r="A45" s="253" t="str">
        <f t="shared" si="0"/>
        <v>&lt;mst&gt;0110350102&lt;/mst&gt;</v>
      </c>
      <c r="B45" s="450" t="s">
        <v>4371</v>
      </c>
      <c r="C45" s="244">
        <f t="shared" si="2"/>
        <v>2</v>
      </c>
      <c r="D45" s="244">
        <f t="shared" si="3"/>
        <v>5</v>
      </c>
      <c r="E45" s="244">
        <f t="shared" si="4"/>
        <v>16</v>
      </c>
      <c r="G45" s="248" t="str">
        <f t="shared" si="5"/>
        <v>&lt;mst&gt;</v>
      </c>
      <c r="H45" s="251" t="str">
        <f>MAIN!D8</f>
        <v>0110350102</v>
      </c>
      <c r="I45" s="246" t="str">
        <f t="shared" si="6"/>
        <v>&lt;/mst&gt;</v>
      </c>
      <c r="J45" s="245"/>
      <c r="K45" s="245"/>
      <c r="L45" s="245"/>
      <c r="M45" s="247"/>
    </row>
    <row r="46" spans="1:13" x14ac:dyDescent="0.45">
      <c r="A46" s="253" t="str">
        <f t="shared" si="0"/>
        <v>&lt;tenNNT&gt;Công ty TNHH phát triển công nghệ thực phẩm YABEI&lt;/tenNNT&gt;</v>
      </c>
      <c r="B46" s="450" t="s">
        <v>4541</v>
      </c>
      <c r="C46" s="244">
        <f t="shared" si="2"/>
        <v>2</v>
      </c>
      <c r="D46" s="244">
        <f t="shared" si="3"/>
        <v>8</v>
      </c>
      <c r="E46" s="244">
        <f t="shared" si="4"/>
        <v>61</v>
      </c>
      <c r="G46" s="248" t="str">
        <f t="shared" si="5"/>
        <v>&lt;tenNNT&gt;</v>
      </c>
      <c r="H46" s="251" t="str">
        <f>MAIN!D7</f>
        <v>Công ty TNHH phát triển công nghệ thực phẩm YABEI</v>
      </c>
      <c r="I46" s="246" t="str">
        <f t="shared" si="6"/>
        <v>&lt;/tenNNT&gt;</v>
      </c>
      <c r="J46" s="245"/>
      <c r="K46" s="245"/>
      <c r="L46" s="245"/>
      <c r="M46" s="247"/>
    </row>
    <row r="47" spans="1:13" x14ac:dyDescent="0.45">
      <c r="A47" s="253" t="str">
        <f t="shared" si="0"/>
        <v>&lt;dchiNNT&gt;Biệt thự J03.L14, Khu An Phú Shop Villa - KĐT Dương Nội&lt;/dchiNNT&gt;</v>
      </c>
      <c r="B47" s="450" t="s">
        <v>4372</v>
      </c>
      <c r="C47" s="244">
        <f t="shared" si="2"/>
        <v>2</v>
      </c>
      <c r="D47" s="244">
        <f t="shared" si="3"/>
        <v>9</v>
      </c>
      <c r="E47" s="244">
        <f t="shared" si="4"/>
        <v>59</v>
      </c>
      <c r="G47" s="248" t="str">
        <f t="shared" si="5"/>
        <v>&lt;dchiNNT&gt;</v>
      </c>
      <c r="H47" s="251" t="str">
        <f>MAIN!D9</f>
        <v>Biệt thự J03.L14, Khu An Phú Shop Villa - KĐT Dương Nội</v>
      </c>
      <c r="I47" s="246" t="str">
        <f t="shared" si="6"/>
        <v>&lt;/dchiNNT&gt;</v>
      </c>
      <c r="J47" s="245"/>
      <c r="K47" s="245"/>
      <c r="L47" s="245"/>
      <c r="M47" s="247"/>
    </row>
    <row r="48" spans="1:13" x14ac:dyDescent="0.45">
      <c r="A48" s="253" t="str">
        <f t="shared" si="0"/>
        <v>&lt;phuongXa&gt;</v>
      </c>
      <c r="B48" s="450" t="s">
        <v>4403</v>
      </c>
      <c r="C48" s="244">
        <f t="shared" si="2"/>
        <v>1</v>
      </c>
      <c r="D48" s="244">
        <f t="shared" si="3"/>
        <v>10</v>
      </c>
      <c r="E48" s="244" t="str">
        <f t="shared" si="4"/>
        <v/>
      </c>
      <c r="G48" s="248" t="str">
        <f t="shared" si="5"/>
        <v>&lt;phuongXa&gt;</v>
      </c>
      <c r="H48" s="251"/>
      <c r="I48" s="246" t="str">
        <f t="shared" si="6"/>
        <v/>
      </c>
      <c r="J48" s="245"/>
      <c r="K48" s="245"/>
      <c r="L48" s="245"/>
      <c r="M48" s="247"/>
    </row>
    <row r="49" spans="1:13" x14ac:dyDescent="0.45">
      <c r="A49" s="253" t="str">
        <f t="shared" si="0"/>
        <v>&lt;/phuongXa&gt;</v>
      </c>
      <c r="B49" s="450" t="s">
        <v>4404</v>
      </c>
      <c r="C49" s="244">
        <f t="shared" si="2"/>
        <v>1</v>
      </c>
      <c r="D49" s="244">
        <f t="shared" si="3"/>
        <v>11</v>
      </c>
      <c r="E49" s="244">
        <f t="shared" si="4"/>
        <v>1</v>
      </c>
      <c r="G49" s="248" t="str">
        <f t="shared" si="5"/>
        <v>&lt;/phuongXa&gt;</v>
      </c>
      <c r="H49" s="251"/>
      <c r="I49" s="246" t="str">
        <f t="shared" si="6"/>
        <v/>
      </c>
      <c r="J49" s="245"/>
      <c r="K49" s="245"/>
      <c r="L49" s="245"/>
      <c r="M49" s="247"/>
    </row>
    <row r="50" spans="1:13" x14ac:dyDescent="0.45">
      <c r="A50" s="253" t="str">
        <f t="shared" si="0"/>
        <v>&lt;maHuyenNNT&gt;</v>
      </c>
      <c r="B50" s="450" t="s">
        <v>4405</v>
      </c>
      <c r="C50" s="244">
        <f t="shared" si="2"/>
        <v>1</v>
      </c>
      <c r="D50" s="244">
        <f t="shared" si="3"/>
        <v>12</v>
      </c>
      <c r="E50" s="244" t="str">
        <f t="shared" si="4"/>
        <v/>
      </c>
      <c r="G50" s="248" t="str">
        <f t="shared" si="5"/>
        <v>&lt;maHuyenNNT&gt;</v>
      </c>
      <c r="H50" s="251"/>
      <c r="I50" s="246" t="str">
        <f t="shared" si="6"/>
        <v/>
      </c>
      <c r="J50" s="245"/>
      <c r="K50" s="245"/>
      <c r="L50" s="245"/>
      <c r="M50" s="247"/>
    </row>
    <row r="51" spans="1:13" x14ac:dyDescent="0.45">
      <c r="A51" s="253" t="str">
        <f t="shared" si="0"/>
        <v>&lt;/maHuyenNNT&gt;</v>
      </c>
      <c r="B51" s="450" t="s">
        <v>4406</v>
      </c>
      <c r="C51" s="244">
        <f t="shared" si="2"/>
        <v>1</v>
      </c>
      <c r="D51" s="244">
        <f t="shared" si="3"/>
        <v>13</v>
      </c>
      <c r="E51" s="244">
        <f t="shared" si="4"/>
        <v>1</v>
      </c>
      <c r="G51" s="248" t="str">
        <f t="shared" si="5"/>
        <v>&lt;/maHuyenNNT&gt;</v>
      </c>
      <c r="H51" s="251"/>
      <c r="I51" s="246" t="str">
        <f t="shared" si="6"/>
        <v/>
      </c>
      <c r="J51" s="245"/>
      <c r="K51" s="245"/>
      <c r="L51" s="245"/>
      <c r="M51" s="247"/>
    </row>
    <row r="52" spans="1:13" x14ac:dyDescent="0.45">
      <c r="A52" s="253" t="str">
        <f t="shared" si="0"/>
        <v>&lt;tenHuyenNNT&gt;Hà Đông&lt;/tenHuyenNNT&gt;</v>
      </c>
      <c r="B52" s="450" t="s">
        <v>4373</v>
      </c>
      <c r="C52" s="244">
        <f t="shared" si="2"/>
        <v>2</v>
      </c>
      <c r="D52" s="244">
        <f t="shared" si="3"/>
        <v>13</v>
      </c>
      <c r="E52" s="244">
        <f t="shared" si="4"/>
        <v>21</v>
      </c>
      <c r="G52" s="248" t="str">
        <f t="shared" si="5"/>
        <v>&lt;tenHuyenNNT&gt;</v>
      </c>
      <c r="H52" s="251" t="str">
        <f>MAIN!D10</f>
        <v>Hà Đông</v>
      </c>
      <c r="I52" s="246" t="str">
        <f t="shared" si="6"/>
        <v>&lt;/tenHuyenNNT&gt;</v>
      </c>
      <c r="J52" s="245"/>
      <c r="K52" s="245"/>
      <c r="L52" s="245"/>
      <c r="M52" s="247"/>
    </row>
    <row r="53" spans="1:13" x14ac:dyDescent="0.45">
      <c r="A53" s="253" t="str">
        <f t="shared" si="0"/>
        <v>&lt;maTinhNNT&gt;</v>
      </c>
      <c r="B53" s="450" t="s">
        <v>4407</v>
      </c>
      <c r="C53" s="244">
        <f t="shared" si="2"/>
        <v>1</v>
      </c>
      <c r="D53" s="244">
        <f t="shared" si="3"/>
        <v>11</v>
      </c>
      <c r="E53" s="244" t="str">
        <f t="shared" si="4"/>
        <v/>
      </c>
      <c r="G53" s="248" t="str">
        <f t="shared" si="5"/>
        <v>&lt;maTinhNNT&gt;</v>
      </c>
      <c r="H53" s="251"/>
      <c r="I53" s="246" t="str">
        <f t="shared" si="6"/>
        <v/>
      </c>
      <c r="J53" s="245"/>
      <c r="K53" s="245"/>
      <c r="L53" s="245"/>
      <c r="M53" s="247"/>
    </row>
    <row r="54" spans="1:13" x14ac:dyDescent="0.45">
      <c r="A54" s="253" t="str">
        <f t="shared" si="0"/>
        <v>&lt;/maTinhNNT&gt;</v>
      </c>
      <c r="B54" s="450" t="s">
        <v>4408</v>
      </c>
      <c r="C54" s="244">
        <f t="shared" si="2"/>
        <v>1</v>
      </c>
      <c r="D54" s="244">
        <f t="shared" si="3"/>
        <v>12</v>
      </c>
      <c r="E54" s="244">
        <f t="shared" si="4"/>
        <v>1</v>
      </c>
      <c r="G54" s="248" t="str">
        <f t="shared" si="5"/>
        <v>&lt;/maTinhNNT&gt;</v>
      </c>
      <c r="H54" s="251"/>
      <c r="I54" s="246" t="str">
        <f t="shared" si="6"/>
        <v/>
      </c>
      <c r="J54" s="245"/>
      <c r="K54" s="245"/>
      <c r="L54" s="245"/>
      <c r="M54" s="247"/>
    </row>
    <row r="55" spans="1:13" x14ac:dyDescent="0.45">
      <c r="A55" s="253" t="str">
        <f t="shared" si="0"/>
        <v>&lt;tenTinhNNT&gt;Hà Nội&lt;/tenTinhNNT&gt;</v>
      </c>
      <c r="B55" s="241" t="s">
        <v>4374</v>
      </c>
      <c r="C55" s="244">
        <f t="shared" si="2"/>
        <v>2</v>
      </c>
      <c r="D55" s="244">
        <f t="shared" si="3"/>
        <v>12</v>
      </c>
      <c r="E55" s="244">
        <f t="shared" si="4"/>
        <v>19</v>
      </c>
      <c r="G55" s="248" t="str">
        <f t="shared" si="5"/>
        <v>&lt;tenTinhNNT&gt;</v>
      </c>
      <c r="H55" s="251" t="str">
        <f>MAIN!D11</f>
        <v>Hà Nội</v>
      </c>
      <c r="I55" s="246" t="str">
        <f t="shared" si="6"/>
        <v>&lt;/tenTinhNNT&gt;</v>
      </c>
      <c r="J55" s="245"/>
      <c r="K55" s="245"/>
      <c r="L55" s="245"/>
      <c r="M55" s="247"/>
    </row>
    <row r="56" spans="1:13" x14ac:dyDescent="0.45">
      <c r="A56" s="253" t="str">
        <f t="shared" si="0"/>
        <v>&lt;dthoaiNNT&gt;</v>
      </c>
      <c r="B56" s="241" t="s">
        <v>4409</v>
      </c>
      <c r="C56" s="244">
        <f t="shared" si="2"/>
        <v>1</v>
      </c>
      <c r="D56" s="244">
        <f t="shared" si="3"/>
        <v>11</v>
      </c>
      <c r="E56" s="244" t="str">
        <f t="shared" si="4"/>
        <v/>
      </c>
      <c r="G56" s="248" t="str">
        <f t="shared" si="5"/>
        <v>&lt;dthoaiNNT&gt;</v>
      </c>
      <c r="H56" s="251"/>
      <c r="I56" s="246" t="str">
        <f t="shared" si="6"/>
        <v/>
      </c>
      <c r="J56" s="245"/>
      <c r="K56" s="245"/>
      <c r="L56" s="245"/>
      <c r="M56" s="247"/>
    </row>
    <row r="57" spans="1:13" x14ac:dyDescent="0.45">
      <c r="A57" s="253" t="str">
        <f t="shared" si="0"/>
        <v>&lt;/dthoaiNNT&gt;</v>
      </c>
      <c r="B57" s="241" t="s">
        <v>4410</v>
      </c>
      <c r="C57" s="244">
        <f t="shared" si="2"/>
        <v>1</v>
      </c>
      <c r="D57" s="244">
        <f t="shared" si="3"/>
        <v>12</v>
      </c>
      <c r="E57" s="244">
        <f t="shared" si="4"/>
        <v>1</v>
      </c>
      <c r="G57" s="248" t="str">
        <f t="shared" si="5"/>
        <v>&lt;/dthoaiNNT&gt;</v>
      </c>
      <c r="H57" s="251"/>
      <c r="I57" s="246" t="str">
        <f t="shared" si="6"/>
        <v/>
      </c>
      <c r="J57" s="245"/>
      <c r="K57" s="245"/>
      <c r="L57" s="245"/>
      <c r="M57" s="247"/>
    </row>
    <row r="58" spans="1:13" x14ac:dyDescent="0.45">
      <c r="A58" s="253" t="str">
        <f t="shared" si="0"/>
        <v>&lt;faxNNT&gt;</v>
      </c>
      <c r="B58" s="241" t="s">
        <v>4411</v>
      </c>
      <c r="C58" s="244">
        <f t="shared" si="2"/>
        <v>1</v>
      </c>
      <c r="D58" s="244">
        <f t="shared" si="3"/>
        <v>8</v>
      </c>
      <c r="E58" s="244" t="str">
        <f t="shared" si="4"/>
        <v/>
      </c>
      <c r="G58" s="248" t="str">
        <f t="shared" si="5"/>
        <v>&lt;faxNNT&gt;</v>
      </c>
      <c r="H58" s="251"/>
      <c r="I58" s="246" t="str">
        <f t="shared" si="6"/>
        <v/>
      </c>
      <c r="J58" s="245"/>
      <c r="K58" s="245"/>
      <c r="L58" s="245"/>
      <c r="M58" s="247"/>
    </row>
    <row r="59" spans="1:13" x14ac:dyDescent="0.45">
      <c r="A59" s="253" t="str">
        <f t="shared" si="0"/>
        <v>&lt;/faxNNT&gt;</v>
      </c>
      <c r="B59" s="241" t="s">
        <v>4412</v>
      </c>
      <c r="C59" s="244">
        <f t="shared" si="2"/>
        <v>1</v>
      </c>
      <c r="D59" s="244">
        <f t="shared" si="3"/>
        <v>9</v>
      </c>
      <c r="E59" s="244">
        <f t="shared" si="4"/>
        <v>1</v>
      </c>
      <c r="G59" s="248" t="str">
        <f t="shared" si="5"/>
        <v>&lt;/faxNNT&gt;</v>
      </c>
      <c r="H59" s="251"/>
      <c r="I59" s="246" t="str">
        <f t="shared" si="6"/>
        <v/>
      </c>
      <c r="J59" s="245"/>
      <c r="K59" s="245"/>
      <c r="L59" s="245"/>
      <c r="M59" s="247"/>
    </row>
    <row r="60" spans="1:13" x14ac:dyDescent="0.45">
      <c r="A60" s="253" t="str">
        <f t="shared" si="0"/>
        <v>&lt;emailNNT&gt;</v>
      </c>
      <c r="B60" s="241" t="s">
        <v>4413</v>
      </c>
      <c r="C60" s="244">
        <f t="shared" si="2"/>
        <v>1</v>
      </c>
      <c r="D60" s="244">
        <f t="shared" si="3"/>
        <v>10</v>
      </c>
      <c r="E60" s="244" t="str">
        <f t="shared" si="4"/>
        <v/>
      </c>
      <c r="G60" s="248" t="str">
        <f t="shared" si="5"/>
        <v>&lt;emailNNT&gt;</v>
      </c>
      <c r="H60" s="251"/>
      <c r="I60" s="246" t="str">
        <f t="shared" si="6"/>
        <v/>
      </c>
      <c r="J60" s="245"/>
      <c r="K60" s="245"/>
      <c r="L60" s="245"/>
      <c r="M60" s="247"/>
    </row>
    <row r="61" spans="1:13" x14ac:dyDescent="0.45">
      <c r="A61" s="253" t="str">
        <f t="shared" si="0"/>
        <v>&lt;/emailNNT&gt;</v>
      </c>
      <c r="B61" s="241" t="s">
        <v>4414</v>
      </c>
      <c r="C61" s="244">
        <f t="shared" si="2"/>
        <v>1</v>
      </c>
      <c r="D61" s="244">
        <f t="shared" si="3"/>
        <v>11</v>
      </c>
      <c r="E61" s="244">
        <f t="shared" si="4"/>
        <v>1</v>
      </c>
      <c r="G61" s="248" t="str">
        <f t="shared" si="5"/>
        <v>&lt;/emailNNT&gt;</v>
      </c>
      <c r="H61" s="251"/>
      <c r="I61" s="246" t="str">
        <f t="shared" si="6"/>
        <v/>
      </c>
      <c r="J61" s="245"/>
      <c r="K61" s="245"/>
      <c r="L61" s="245"/>
      <c r="M61" s="247"/>
    </row>
    <row r="62" spans="1:13" x14ac:dyDescent="0.45">
      <c r="A62" s="253" t="str">
        <f t="shared" si="0"/>
        <v>&lt;/NNT&gt;</v>
      </c>
      <c r="B62" s="241" t="s">
        <v>1390</v>
      </c>
      <c r="C62" s="244">
        <f t="shared" si="2"/>
        <v>1</v>
      </c>
      <c r="D62" s="244">
        <f t="shared" si="3"/>
        <v>6</v>
      </c>
      <c r="E62" s="244">
        <f t="shared" si="4"/>
        <v>1</v>
      </c>
      <c r="G62" s="248" t="str">
        <f t="shared" si="5"/>
        <v>&lt;/NNT&gt;</v>
      </c>
      <c r="H62" s="251"/>
      <c r="I62" s="246" t="str">
        <f t="shared" si="6"/>
        <v/>
      </c>
      <c r="J62" s="245"/>
      <c r="K62" s="245"/>
      <c r="L62" s="245"/>
      <c r="M62" s="247"/>
    </row>
    <row r="63" spans="1:13" x14ac:dyDescent="0.45">
      <c r="A63" s="253" t="str">
        <f t="shared" si="0"/>
        <v>&lt;/TTinTKhaiThue&gt;</v>
      </c>
      <c r="B63" s="241" t="s">
        <v>1391</v>
      </c>
      <c r="C63" s="244">
        <f t="shared" si="2"/>
        <v>1</v>
      </c>
      <c r="D63" s="244">
        <f t="shared" si="3"/>
        <v>16</v>
      </c>
      <c r="E63" s="244">
        <f t="shared" si="4"/>
        <v>1</v>
      </c>
      <c r="G63" s="248" t="str">
        <f t="shared" si="5"/>
        <v>&lt;/TTinTKhaiThue&gt;</v>
      </c>
      <c r="H63" s="251"/>
      <c r="I63" s="246" t="str">
        <f t="shared" si="6"/>
        <v/>
      </c>
      <c r="J63" s="245"/>
      <c r="K63" s="245"/>
      <c r="L63" s="245"/>
      <c r="M63" s="247"/>
    </row>
    <row r="64" spans="1:13" x14ac:dyDescent="0.45">
      <c r="A64" s="253" t="str">
        <f t="shared" si="0"/>
        <v>&lt;/TTinChung&gt;</v>
      </c>
      <c r="B64" s="241" t="s">
        <v>1392</v>
      </c>
      <c r="C64" s="244">
        <f t="shared" si="2"/>
        <v>1</v>
      </c>
      <c r="D64" s="244">
        <f t="shared" si="3"/>
        <v>12</v>
      </c>
      <c r="E64" s="244">
        <f t="shared" si="4"/>
        <v>1</v>
      </c>
      <c r="G64" s="248" t="str">
        <f t="shared" si="5"/>
        <v>&lt;/TTinChung&gt;</v>
      </c>
      <c r="H64" s="251"/>
      <c r="I64" s="246" t="str">
        <f t="shared" si="6"/>
        <v/>
      </c>
      <c r="J64" s="245"/>
      <c r="K64" s="245"/>
      <c r="L64" s="245"/>
      <c r="M64" s="247"/>
    </row>
    <row r="65" spans="1:13" x14ac:dyDescent="0.45">
      <c r="A65" s="253" t="str">
        <f t="shared" si="0"/>
        <v>&lt;CTieuTKhaiChinh&gt;</v>
      </c>
      <c r="B65" s="241" t="s">
        <v>1393</v>
      </c>
      <c r="C65" s="244">
        <f t="shared" si="2"/>
        <v>1</v>
      </c>
      <c r="D65" s="244">
        <f t="shared" si="3"/>
        <v>17</v>
      </c>
      <c r="E65" s="244" t="str">
        <f t="shared" si="4"/>
        <v/>
      </c>
      <c r="G65" s="248" t="str">
        <f t="shared" si="5"/>
        <v>&lt;CTieuTKhaiChinh&gt;</v>
      </c>
      <c r="H65" s="251"/>
      <c r="I65" s="246" t="str">
        <f t="shared" si="6"/>
        <v/>
      </c>
      <c r="J65" s="245"/>
      <c r="K65" s="245"/>
      <c r="L65" s="245"/>
      <c r="M65" s="247"/>
    </row>
    <row r="66" spans="1:13" x14ac:dyDescent="0.45">
      <c r="A66" s="253" t="str">
        <f t="shared" si="0"/>
        <v>&lt;bctcDaKiemToan&gt;0&lt;/bctcDaKiemToan&gt;</v>
      </c>
      <c r="B66" s="241" t="s">
        <v>4415</v>
      </c>
      <c r="C66" s="244">
        <f t="shared" si="2"/>
        <v>2</v>
      </c>
      <c r="D66" s="244">
        <f t="shared" si="3"/>
        <v>16</v>
      </c>
      <c r="E66" s="244">
        <f t="shared" si="4"/>
        <v>18</v>
      </c>
      <c r="G66" s="248" t="str">
        <f t="shared" si="5"/>
        <v>&lt;bctcDaKiemToan&gt;</v>
      </c>
      <c r="H66" s="251">
        <v>0</v>
      </c>
      <c r="I66" s="246" t="str">
        <f t="shared" si="6"/>
        <v>&lt;/bctcDaKiemToan&gt;</v>
      </c>
      <c r="J66" s="245"/>
      <c r="K66" s="245"/>
      <c r="L66" s="245"/>
      <c r="M66" s="247"/>
    </row>
    <row r="67" spans="1:13" x14ac:dyDescent="0.45">
      <c r="A67" s="253" t="str">
        <f t="shared" si="0"/>
        <v>&lt;maYKienKToan&gt;</v>
      </c>
      <c r="B67" s="241" t="s">
        <v>4416</v>
      </c>
      <c r="C67" s="244">
        <f t="shared" si="2"/>
        <v>1</v>
      </c>
      <c r="D67" s="244">
        <f t="shared" si="3"/>
        <v>14</v>
      </c>
      <c r="E67" s="244" t="str">
        <f t="shared" si="4"/>
        <v/>
      </c>
      <c r="G67" s="248" t="str">
        <f t="shared" si="5"/>
        <v>&lt;maYKienKToan&gt;</v>
      </c>
      <c r="H67" s="251"/>
      <c r="I67" s="246" t="str">
        <f t="shared" si="6"/>
        <v/>
      </c>
      <c r="J67" s="245"/>
      <c r="K67" s="245"/>
      <c r="L67" s="245"/>
      <c r="M67" s="247"/>
    </row>
    <row r="68" spans="1:13" x14ac:dyDescent="0.45">
      <c r="A68" s="253" t="str">
        <f t="shared" ref="A68:A131" si="7">CONCATENATE(G68,H68,I68)</f>
        <v>&lt;/maYKienKToan&gt;</v>
      </c>
      <c r="B68" s="241" t="s">
        <v>4417</v>
      </c>
      <c r="C68" s="244">
        <f t="shared" si="2"/>
        <v>1</v>
      </c>
      <c r="D68" s="244">
        <f t="shared" si="3"/>
        <v>15</v>
      </c>
      <c r="E68" s="244">
        <f t="shared" si="4"/>
        <v>1</v>
      </c>
      <c r="G68" s="248" t="str">
        <f t="shared" si="5"/>
        <v>&lt;/maYKienKToan&gt;</v>
      </c>
      <c r="H68" s="251"/>
      <c r="I68" s="246" t="str">
        <f t="shared" si="6"/>
        <v/>
      </c>
      <c r="J68" s="245"/>
      <c r="K68" s="245"/>
      <c r="L68" s="245"/>
      <c r="M68" s="247"/>
    </row>
    <row r="69" spans="1:13" x14ac:dyDescent="0.45">
      <c r="A69" s="253" t="str">
        <f t="shared" si="7"/>
        <v>&lt;tenYKienKToan&gt;</v>
      </c>
      <c r="B69" s="241" t="s">
        <v>4418</v>
      </c>
      <c r="C69" s="244">
        <f t="shared" si="2"/>
        <v>1</v>
      </c>
      <c r="D69" s="244">
        <f t="shared" si="3"/>
        <v>15</v>
      </c>
      <c r="E69" s="244" t="str">
        <f t="shared" si="4"/>
        <v/>
      </c>
      <c r="G69" s="248" t="str">
        <f t="shared" si="5"/>
        <v>&lt;tenYKienKToan&gt;</v>
      </c>
      <c r="H69" s="251"/>
      <c r="I69" s="246" t="str">
        <f t="shared" si="6"/>
        <v/>
      </c>
      <c r="J69" s="245"/>
      <c r="K69" s="245"/>
      <c r="L69" s="245"/>
      <c r="M69" s="247"/>
    </row>
    <row r="70" spans="1:13" x14ac:dyDescent="0.45">
      <c r="A70" s="253" t="str">
        <f t="shared" si="7"/>
        <v>&lt;/tenYKienKToan&gt;</v>
      </c>
      <c r="B70" s="241" t="s">
        <v>4419</v>
      </c>
      <c r="C70" s="244">
        <f t="shared" si="2"/>
        <v>1</v>
      </c>
      <c r="D70" s="244">
        <f t="shared" si="3"/>
        <v>16</v>
      </c>
      <c r="E70" s="244">
        <f t="shared" si="4"/>
        <v>1</v>
      </c>
      <c r="G70" s="248" t="str">
        <f t="shared" si="5"/>
        <v>&lt;/tenYKienKToan&gt;</v>
      </c>
      <c r="H70" s="251"/>
      <c r="I70" s="246" t="str">
        <f t="shared" si="6"/>
        <v/>
      </c>
      <c r="J70" s="245"/>
      <c r="K70" s="245"/>
      <c r="L70" s="245"/>
      <c r="M70" s="247"/>
    </row>
    <row r="71" spans="1:13" x14ac:dyDescent="0.45">
      <c r="A71" s="253" t="str">
        <f t="shared" si="7"/>
        <v>&lt;ThuyetMinh&gt;</v>
      </c>
      <c r="B71" s="241" t="s">
        <v>1397</v>
      </c>
      <c r="C71" s="244">
        <f t="shared" si="2"/>
        <v>1</v>
      </c>
      <c r="D71" s="244">
        <f t="shared" si="3"/>
        <v>12</v>
      </c>
      <c r="E71" s="244" t="str">
        <f t="shared" si="4"/>
        <v/>
      </c>
      <c r="G71" s="248" t="str">
        <f t="shared" si="5"/>
        <v>&lt;ThuyetMinh&gt;</v>
      </c>
      <c r="H71" s="251"/>
      <c r="I71" s="246" t="str">
        <f t="shared" si="6"/>
        <v/>
      </c>
      <c r="J71" s="245"/>
      <c r="K71" s="245"/>
      <c r="L71" s="245"/>
      <c r="M71" s="247"/>
    </row>
    <row r="72" spans="1:13" x14ac:dyDescent="0.45">
      <c r="A72" s="253" t="str">
        <f t="shared" si="7"/>
        <v>&lt;ct110&gt;</v>
      </c>
      <c r="B72" s="241" t="s">
        <v>4420</v>
      </c>
      <c r="C72" s="244">
        <f t="shared" si="2"/>
        <v>1</v>
      </c>
      <c r="D72" s="244">
        <f t="shared" si="3"/>
        <v>7</v>
      </c>
      <c r="E72" s="244" t="str">
        <f t="shared" si="4"/>
        <v/>
      </c>
      <c r="G72" s="248" t="str">
        <f t="shared" si="5"/>
        <v>&lt;ct110&gt;</v>
      </c>
      <c r="H72" s="251"/>
      <c r="I72" s="246" t="str">
        <f t="shared" si="6"/>
        <v/>
      </c>
      <c r="J72" s="245"/>
      <c r="K72" s="245"/>
      <c r="L72" s="245"/>
      <c r="M72" s="247"/>
    </row>
    <row r="73" spans="1:13" x14ac:dyDescent="0.45">
      <c r="A73" s="253" t="str">
        <f t="shared" si="7"/>
        <v>&lt;/ct110&gt;</v>
      </c>
      <c r="B73" s="241" t="s">
        <v>4421</v>
      </c>
      <c r="C73" s="244">
        <f t="shared" si="2"/>
        <v>1</v>
      </c>
      <c r="D73" s="244">
        <f t="shared" si="3"/>
        <v>8</v>
      </c>
      <c r="E73" s="244">
        <f t="shared" si="4"/>
        <v>1</v>
      </c>
      <c r="G73" s="248" t="str">
        <f t="shared" si="5"/>
        <v>&lt;/ct110&gt;</v>
      </c>
      <c r="H73" s="251"/>
      <c r="I73" s="246" t="str">
        <f t="shared" si="6"/>
        <v/>
      </c>
      <c r="J73" s="245"/>
      <c r="K73" s="245"/>
      <c r="L73" s="245"/>
      <c r="M73" s="247"/>
    </row>
    <row r="74" spans="1:13" x14ac:dyDescent="0.45">
      <c r="A74" s="253" t="str">
        <f t="shared" si="7"/>
        <v>&lt;ct120&gt;</v>
      </c>
      <c r="B74" s="241" t="s">
        <v>4422</v>
      </c>
      <c r="C74" s="244">
        <f t="shared" si="2"/>
        <v>1</v>
      </c>
      <c r="D74" s="244">
        <f t="shared" si="3"/>
        <v>7</v>
      </c>
      <c r="E74" s="244" t="str">
        <f t="shared" si="4"/>
        <v/>
      </c>
      <c r="G74" s="248" t="str">
        <f t="shared" si="5"/>
        <v>&lt;ct120&gt;</v>
      </c>
      <c r="H74" s="251"/>
      <c r="I74" s="246" t="str">
        <f t="shared" si="6"/>
        <v/>
      </c>
      <c r="J74" s="245"/>
      <c r="K74" s="245"/>
      <c r="L74" s="245"/>
      <c r="M74" s="247"/>
    </row>
    <row r="75" spans="1:13" x14ac:dyDescent="0.45">
      <c r="A75" s="253" t="str">
        <f t="shared" si="7"/>
        <v>&lt;/ct120&gt;</v>
      </c>
      <c r="B75" s="241" t="s">
        <v>4423</v>
      </c>
      <c r="C75" s="244">
        <f t="shared" si="2"/>
        <v>1</v>
      </c>
      <c r="D75" s="244">
        <f t="shared" si="3"/>
        <v>8</v>
      </c>
      <c r="E75" s="244">
        <f t="shared" si="4"/>
        <v>1</v>
      </c>
      <c r="G75" s="248" t="str">
        <f t="shared" si="5"/>
        <v>&lt;/ct120&gt;</v>
      </c>
      <c r="H75" s="251"/>
      <c r="I75" s="246" t="str">
        <f t="shared" si="6"/>
        <v/>
      </c>
      <c r="J75" s="245"/>
      <c r="K75" s="245"/>
      <c r="L75" s="245"/>
      <c r="M75" s="247"/>
    </row>
    <row r="76" spans="1:13" x14ac:dyDescent="0.45">
      <c r="A76" s="253" t="str">
        <f t="shared" si="7"/>
        <v>&lt;ct121&gt;</v>
      </c>
      <c r="B76" s="241" t="s">
        <v>4424</v>
      </c>
      <c r="C76" s="244">
        <f t="shared" si="2"/>
        <v>1</v>
      </c>
      <c r="D76" s="244">
        <f t="shared" si="3"/>
        <v>7</v>
      </c>
      <c r="E76" s="244" t="str">
        <f t="shared" si="4"/>
        <v/>
      </c>
      <c r="G76" s="248" t="str">
        <f t="shared" si="5"/>
        <v>&lt;ct121&gt;</v>
      </c>
      <c r="H76" s="251"/>
      <c r="I76" s="246" t="str">
        <f t="shared" si="6"/>
        <v/>
      </c>
      <c r="J76" s="245"/>
      <c r="K76" s="245"/>
      <c r="L76" s="245"/>
      <c r="M76" s="247"/>
    </row>
    <row r="77" spans="1:13" x14ac:dyDescent="0.45">
      <c r="A77" s="253" t="str">
        <f t="shared" si="7"/>
        <v>&lt;/ct121&gt;</v>
      </c>
      <c r="B77" s="241" t="s">
        <v>4425</v>
      </c>
      <c r="C77" s="244">
        <f t="shared" si="2"/>
        <v>1</v>
      </c>
      <c r="D77" s="244">
        <f t="shared" si="3"/>
        <v>8</v>
      </c>
      <c r="E77" s="244">
        <f t="shared" si="4"/>
        <v>1</v>
      </c>
      <c r="G77" s="248" t="str">
        <f t="shared" si="5"/>
        <v>&lt;/ct121&gt;</v>
      </c>
      <c r="H77" s="251"/>
      <c r="I77" s="246" t="str">
        <f t="shared" si="6"/>
        <v/>
      </c>
      <c r="J77" s="245"/>
      <c r="K77" s="245"/>
      <c r="L77" s="245"/>
      <c r="M77" s="247"/>
    </row>
    <row r="78" spans="1:13" x14ac:dyDescent="0.45">
      <c r="A78" s="253" t="str">
        <f t="shared" si="7"/>
        <v>&lt;ct122&gt;</v>
      </c>
      <c r="B78" s="241" t="s">
        <v>4426</v>
      </c>
      <c r="C78" s="244">
        <f t="shared" si="2"/>
        <v>1</v>
      </c>
      <c r="D78" s="244">
        <f t="shared" si="3"/>
        <v>7</v>
      </c>
      <c r="E78" s="244" t="str">
        <f t="shared" si="4"/>
        <v/>
      </c>
      <c r="G78" s="248" t="str">
        <f t="shared" si="5"/>
        <v>&lt;ct122&gt;</v>
      </c>
      <c r="H78" s="251"/>
      <c r="I78" s="246" t="str">
        <f t="shared" si="6"/>
        <v/>
      </c>
      <c r="J78" s="245"/>
      <c r="K78" s="245"/>
      <c r="L78" s="245"/>
      <c r="M78" s="247"/>
    </row>
    <row r="79" spans="1:13" x14ac:dyDescent="0.45">
      <c r="A79" s="253" t="str">
        <f t="shared" si="7"/>
        <v>&lt;/ct122&gt;</v>
      </c>
      <c r="B79" s="241" t="s">
        <v>4427</v>
      </c>
      <c r="C79" s="244">
        <f t="shared" si="2"/>
        <v>1</v>
      </c>
      <c r="D79" s="244">
        <f t="shared" si="3"/>
        <v>8</v>
      </c>
      <c r="E79" s="244">
        <f t="shared" si="4"/>
        <v>1</v>
      </c>
      <c r="G79" s="248" t="str">
        <f t="shared" si="5"/>
        <v>&lt;/ct122&gt;</v>
      </c>
      <c r="H79" s="251"/>
      <c r="I79" s="246" t="str">
        <f t="shared" si="6"/>
        <v/>
      </c>
      <c r="J79" s="245"/>
      <c r="K79" s="245"/>
      <c r="L79" s="245"/>
      <c r="M79" s="247"/>
    </row>
    <row r="80" spans="1:13" x14ac:dyDescent="0.45">
      <c r="A80" s="253" t="str">
        <f t="shared" si="7"/>
        <v>&lt;ct123&gt;</v>
      </c>
      <c r="B80" s="241" t="s">
        <v>4428</v>
      </c>
      <c r="C80" s="244">
        <f t="shared" si="2"/>
        <v>1</v>
      </c>
      <c r="D80" s="244">
        <f t="shared" si="3"/>
        <v>7</v>
      </c>
      <c r="E80" s="244" t="str">
        <f t="shared" si="4"/>
        <v/>
      </c>
      <c r="G80" s="248" t="str">
        <f t="shared" si="5"/>
        <v>&lt;ct123&gt;</v>
      </c>
      <c r="H80" s="251"/>
      <c r="I80" s="246" t="str">
        <f t="shared" si="6"/>
        <v/>
      </c>
      <c r="J80" s="245"/>
      <c r="K80" s="245"/>
      <c r="L80" s="245"/>
      <c r="M80" s="247"/>
    </row>
    <row r="81" spans="1:13" x14ac:dyDescent="0.45">
      <c r="A81" s="253" t="str">
        <f t="shared" si="7"/>
        <v>&lt;/ct123&gt;</v>
      </c>
      <c r="B81" s="241" t="s">
        <v>4429</v>
      </c>
      <c r="C81" s="244">
        <f t="shared" si="2"/>
        <v>1</v>
      </c>
      <c r="D81" s="244">
        <f t="shared" si="3"/>
        <v>8</v>
      </c>
      <c r="E81" s="244">
        <f t="shared" si="4"/>
        <v>1</v>
      </c>
      <c r="G81" s="248" t="str">
        <f t="shared" si="5"/>
        <v>&lt;/ct123&gt;</v>
      </c>
      <c r="H81" s="251"/>
      <c r="I81" s="246" t="str">
        <f t="shared" si="6"/>
        <v/>
      </c>
      <c r="J81" s="245"/>
      <c r="K81" s="245"/>
      <c r="L81" s="245"/>
      <c r="M81" s="247"/>
    </row>
    <row r="82" spans="1:13" x14ac:dyDescent="0.45">
      <c r="A82" s="253" t="str">
        <f t="shared" si="7"/>
        <v>&lt;ct124&gt;</v>
      </c>
      <c r="B82" s="241" t="s">
        <v>4430</v>
      </c>
      <c r="C82" s="244">
        <f t="shared" si="2"/>
        <v>1</v>
      </c>
      <c r="D82" s="244">
        <f t="shared" si="3"/>
        <v>7</v>
      </c>
      <c r="E82" s="244" t="str">
        <f t="shared" si="4"/>
        <v/>
      </c>
      <c r="G82" s="248" t="str">
        <f t="shared" si="5"/>
        <v>&lt;ct124&gt;</v>
      </c>
      <c r="H82" s="251"/>
      <c r="I82" s="246" t="str">
        <f t="shared" si="6"/>
        <v/>
      </c>
      <c r="J82" s="245"/>
      <c r="K82" s="245"/>
      <c r="L82" s="245"/>
      <c r="M82" s="247"/>
    </row>
    <row r="83" spans="1:13" x14ac:dyDescent="0.45">
      <c r="A83" s="253" t="str">
        <f t="shared" si="7"/>
        <v>&lt;/ct124&gt;</v>
      </c>
      <c r="B83" s="241" t="s">
        <v>4431</v>
      </c>
      <c r="C83" s="244">
        <f t="shared" si="2"/>
        <v>1</v>
      </c>
      <c r="D83" s="244">
        <f t="shared" si="3"/>
        <v>8</v>
      </c>
      <c r="E83" s="244">
        <f t="shared" si="4"/>
        <v>1</v>
      </c>
      <c r="G83" s="248" t="str">
        <f t="shared" si="5"/>
        <v>&lt;/ct124&gt;</v>
      </c>
      <c r="H83" s="251"/>
      <c r="I83" s="246" t="str">
        <f t="shared" si="6"/>
        <v/>
      </c>
      <c r="J83" s="245"/>
      <c r="K83" s="245"/>
      <c r="L83" s="245"/>
      <c r="M83" s="247"/>
    </row>
    <row r="84" spans="1:13" x14ac:dyDescent="0.45">
      <c r="A84" s="253" t="str">
        <f t="shared" si="7"/>
        <v>&lt;ct130&gt;</v>
      </c>
      <c r="B84" s="241" t="s">
        <v>4432</v>
      </c>
      <c r="C84" s="244">
        <f t="shared" si="2"/>
        <v>1</v>
      </c>
      <c r="D84" s="244">
        <f t="shared" si="3"/>
        <v>7</v>
      </c>
      <c r="E84" s="244" t="str">
        <f t="shared" si="4"/>
        <v/>
      </c>
      <c r="G84" s="248" t="str">
        <f t="shared" si="5"/>
        <v>&lt;ct130&gt;</v>
      </c>
      <c r="H84" s="251"/>
      <c r="I84" s="246" t="str">
        <f t="shared" si="6"/>
        <v/>
      </c>
      <c r="J84" s="245"/>
      <c r="K84" s="245"/>
      <c r="L84" s="245"/>
      <c r="M84" s="247"/>
    </row>
    <row r="85" spans="1:13" x14ac:dyDescent="0.45">
      <c r="A85" s="253" t="str">
        <f t="shared" si="7"/>
        <v>&lt;/ct130&gt;</v>
      </c>
      <c r="B85" s="241" t="s">
        <v>4433</v>
      </c>
      <c r="C85" s="244">
        <f t="shared" si="2"/>
        <v>1</v>
      </c>
      <c r="D85" s="244">
        <f t="shared" si="3"/>
        <v>8</v>
      </c>
      <c r="E85" s="244">
        <f t="shared" si="4"/>
        <v>1</v>
      </c>
      <c r="G85" s="248" t="str">
        <f t="shared" si="5"/>
        <v>&lt;/ct130&gt;</v>
      </c>
      <c r="H85" s="251"/>
      <c r="I85" s="246" t="str">
        <f t="shared" si="6"/>
        <v/>
      </c>
      <c r="J85" s="245"/>
      <c r="K85" s="245"/>
      <c r="L85" s="245"/>
      <c r="M85" s="247"/>
    </row>
    <row r="86" spans="1:13" x14ac:dyDescent="0.45">
      <c r="A86" s="253" t="str">
        <f t="shared" si="7"/>
        <v>&lt;ct131&gt;</v>
      </c>
      <c r="B86" s="241" t="s">
        <v>4434</v>
      </c>
      <c r="C86" s="244">
        <f t="shared" si="2"/>
        <v>1</v>
      </c>
      <c r="D86" s="244">
        <f t="shared" si="3"/>
        <v>7</v>
      </c>
      <c r="E86" s="244" t="str">
        <f t="shared" si="4"/>
        <v/>
      </c>
      <c r="G86" s="248" t="str">
        <f t="shared" si="5"/>
        <v>&lt;ct131&gt;</v>
      </c>
      <c r="H86" s="251"/>
      <c r="I86" s="246" t="str">
        <f t="shared" si="6"/>
        <v/>
      </c>
      <c r="J86" s="245"/>
      <c r="K86" s="245"/>
      <c r="L86" s="245"/>
      <c r="M86" s="247"/>
    </row>
    <row r="87" spans="1:13" x14ac:dyDescent="0.45">
      <c r="A87" s="253" t="str">
        <f t="shared" si="7"/>
        <v>&lt;/ct131&gt;</v>
      </c>
      <c r="B87" s="241" t="s">
        <v>4435</v>
      </c>
      <c r="C87" s="244">
        <f t="shared" si="2"/>
        <v>1</v>
      </c>
      <c r="D87" s="244">
        <f t="shared" si="3"/>
        <v>8</v>
      </c>
      <c r="E87" s="244">
        <f t="shared" si="4"/>
        <v>1</v>
      </c>
      <c r="G87" s="248" t="str">
        <f t="shared" si="5"/>
        <v>&lt;/ct131&gt;</v>
      </c>
      <c r="H87" s="251"/>
      <c r="I87" s="246" t="str">
        <f t="shared" si="6"/>
        <v/>
      </c>
      <c r="J87" s="245"/>
      <c r="K87" s="245"/>
      <c r="L87" s="245"/>
      <c r="M87" s="247"/>
    </row>
    <row r="88" spans="1:13" x14ac:dyDescent="0.45">
      <c r="A88" s="253" t="str">
        <f t="shared" si="7"/>
        <v>&lt;ct132&gt;</v>
      </c>
      <c r="B88" s="241" t="s">
        <v>4436</v>
      </c>
      <c r="C88" s="244">
        <f t="shared" ref="C88:C151" si="8">LEN(B88)-LEN(SUBSTITUTE(B88,"&lt;",""))</f>
        <v>1</v>
      </c>
      <c r="D88" s="244">
        <f t="shared" ref="D88:D151" si="9">SEARCH("&gt;",B88)</f>
        <v>7</v>
      </c>
      <c r="E88" s="244" t="str">
        <f t="shared" ref="E88:E151" si="10">IFERROR(SEARCH("&lt;/",B88),"")</f>
        <v/>
      </c>
      <c r="G88" s="248" t="str">
        <f t="shared" ref="G88:G151" si="11">LEFT(B88,D88)</f>
        <v>&lt;ct132&gt;</v>
      </c>
      <c r="H88" s="251"/>
      <c r="I88" s="246" t="str">
        <f t="shared" ref="I88:I151" si="12">IF(C88=2,RIGHT(B88,LEN(B88)-E88+1),"")</f>
        <v/>
      </c>
      <c r="J88" s="245"/>
      <c r="K88" s="245"/>
      <c r="L88" s="245"/>
      <c r="M88" s="247"/>
    </row>
    <row r="89" spans="1:13" x14ac:dyDescent="0.45">
      <c r="A89" s="253" t="str">
        <f t="shared" si="7"/>
        <v>&lt;/ct132&gt;</v>
      </c>
      <c r="B89" s="241" t="s">
        <v>4437</v>
      </c>
      <c r="C89" s="244">
        <f t="shared" si="8"/>
        <v>1</v>
      </c>
      <c r="D89" s="244">
        <f t="shared" si="9"/>
        <v>8</v>
      </c>
      <c r="E89" s="244">
        <f t="shared" si="10"/>
        <v>1</v>
      </c>
      <c r="G89" s="248" t="str">
        <f t="shared" si="11"/>
        <v>&lt;/ct132&gt;</v>
      </c>
      <c r="H89" s="251"/>
      <c r="I89" s="246" t="str">
        <f t="shared" si="12"/>
        <v/>
      </c>
      <c r="J89" s="245"/>
      <c r="K89" s="245"/>
      <c r="L89" s="245"/>
      <c r="M89" s="247"/>
    </row>
    <row r="90" spans="1:13" x14ac:dyDescent="0.45">
      <c r="A90" s="253" t="str">
        <f t="shared" si="7"/>
        <v>&lt;ct133&gt;</v>
      </c>
      <c r="B90" s="241" t="s">
        <v>4438</v>
      </c>
      <c r="C90" s="244">
        <f t="shared" si="8"/>
        <v>1</v>
      </c>
      <c r="D90" s="244">
        <f t="shared" si="9"/>
        <v>7</v>
      </c>
      <c r="E90" s="244" t="str">
        <f t="shared" si="10"/>
        <v/>
      </c>
      <c r="G90" s="248" t="str">
        <f t="shared" si="11"/>
        <v>&lt;ct133&gt;</v>
      </c>
      <c r="H90" s="251"/>
      <c r="I90" s="246" t="str">
        <f t="shared" si="12"/>
        <v/>
      </c>
      <c r="J90" s="245"/>
      <c r="K90" s="245"/>
      <c r="L90" s="245"/>
      <c r="M90" s="247"/>
    </row>
    <row r="91" spans="1:13" x14ac:dyDescent="0.45">
      <c r="A91" s="253" t="str">
        <f t="shared" si="7"/>
        <v>&lt;/ct133&gt;</v>
      </c>
      <c r="B91" s="241" t="s">
        <v>4439</v>
      </c>
      <c r="C91" s="244">
        <f t="shared" si="8"/>
        <v>1</v>
      </c>
      <c r="D91" s="244">
        <f t="shared" si="9"/>
        <v>8</v>
      </c>
      <c r="E91" s="244">
        <f t="shared" si="10"/>
        <v>1</v>
      </c>
      <c r="G91" s="248" t="str">
        <f t="shared" si="11"/>
        <v>&lt;/ct133&gt;</v>
      </c>
      <c r="H91" s="251"/>
      <c r="I91" s="246" t="str">
        <f t="shared" si="12"/>
        <v/>
      </c>
      <c r="J91" s="245"/>
      <c r="K91" s="245"/>
      <c r="L91" s="245"/>
      <c r="M91" s="247"/>
    </row>
    <row r="92" spans="1:13" x14ac:dyDescent="0.45">
      <c r="A92" s="253" t="str">
        <f t="shared" si="7"/>
        <v>&lt;ct134&gt;</v>
      </c>
      <c r="B92" s="241" t="s">
        <v>4440</v>
      </c>
      <c r="C92" s="244">
        <f t="shared" si="8"/>
        <v>1</v>
      </c>
      <c r="D92" s="244">
        <f t="shared" si="9"/>
        <v>7</v>
      </c>
      <c r="E92" s="244" t="str">
        <f t="shared" si="10"/>
        <v/>
      </c>
      <c r="G92" s="248" t="str">
        <f t="shared" si="11"/>
        <v>&lt;ct134&gt;</v>
      </c>
      <c r="H92" s="251"/>
      <c r="I92" s="246" t="str">
        <f t="shared" si="12"/>
        <v/>
      </c>
      <c r="J92" s="245"/>
      <c r="K92" s="245"/>
      <c r="L92" s="245"/>
      <c r="M92" s="247"/>
    </row>
    <row r="93" spans="1:13" x14ac:dyDescent="0.45">
      <c r="A93" s="253" t="str">
        <f t="shared" si="7"/>
        <v>&lt;/ct134&gt;</v>
      </c>
      <c r="B93" s="241" t="s">
        <v>4441</v>
      </c>
      <c r="C93" s="244">
        <f t="shared" si="8"/>
        <v>1</v>
      </c>
      <c r="D93" s="244">
        <f t="shared" si="9"/>
        <v>8</v>
      </c>
      <c r="E93" s="244">
        <f t="shared" si="10"/>
        <v>1</v>
      </c>
      <c r="G93" s="248" t="str">
        <f t="shared" si="11"/>
        <v>&lt;/ct134&gt;</v>
      </c>
      <c r="H93" s="251"/>
      <c r="I93" s="246" t="str">
        <f t="shared" si="12"/>
        <v/>
      </c>
      <c r="J93" s="245"/>
      <c r="K93" s="245"/>
      <c r="L93" s="245"/>
      <c r="M93" s="247"/>
    </row>
    <row r="94" spans="1:13" x14ac:dyDescent="0.45">
      <c r="A94" s="253" t="str">
        <f t="shared" si="7"/>
        <v>&lt;ct135&gt;</v>
      </c>
      <c r="B94" s="241" t="s">
        <v>4442</v>
      </c>
      <c r="C94" s="244">
        <f t="shared" si="8"/>
        <v>1</v>
      </c>
      <c r="D94" s="244">
        <f t="shared" si="9"/>
        <v>7</v>
      </c>
      <c r="E94" s="244" t="str">
        <f t="shared" si="10"/>
        <v/>
      </c>
      <c r="G94" s="248" t="str">
        <f t="shared" si="11"/>
        <v>&lt;ct135&gt;</v>
      </c>
      <c r="H94" s="251"/>
      <c r="I94" s="246" t="str">
        <f t="shared" si="12"/>
        <v/>
      </c>
      <c r="J94" s="245"/>
      <c r="K94" s="245"/>
      <c r="L94" s="245"/>
      <c r="M94" s="247"/>
    </row>
    <row r="95" spans="1:13" x14ac:dyDescent="0.45">
      <c r="A95" s="253" t="str">
        <f t="shared" si="7"/>
        <v>&lt;/ct135&gt;</v>
      </c>
      <c r="B95" s="241" t="s">
        <v>4443</v>
      </c>
      <c r="C95" s="244">
        <f t="shared" si="8"/>
        <v>1</v>
      </c>
      <c r="D95" s="244">
        <f t="shared" si="9"/>
        <v>8</v>
      </c>
      <c r="E95" s="244">
        <f t="shared" si="10"/>
        <v>1</v>
      </c>
      <c r="G95" s="248" t="str">
        <f t="shared" si="11"/>
        <v>&lt;/ct135&gt;</v>
      </c>
      <c r="H95" s="251"/>
      <c r="I95" s="246" t="str">
        <f t="shared" si="12"/>
        <v/>
      </c>
      <c r="J95" s="245"/>
      <c r="K95" s="245"/>
      <c r="L95" s="245"/>
      <c r="M95" s="247"/>
    </row>
    <row r="96" spans="1:13" x14ac:dyDescent="0.45">
      <c r="A96" s="253" t="str">
        <f t="shared" si="7"/>
        <v>&lt;ct136&gt;</v>
      </c>
      <c r="B96" s="241" t="s">
        <v>4444</v>
      </c>
      <c r="C96" s="244">
        <f t="shared" si="8"/>
        <v>1</v>
      </c>
      <c r="D96" s="244">
        <f t="shared" si="9"/>
        <v>7</v>
      </c>
      <c r="E96" s="244" t="str">
        <f t="shared" si="10"/>
        <v/>
      </c>
      <c r="G96" s="248" t="str">
        <f t="shared" si="11"/>
        <v>&lt;ct136&gt;</v>
      </c>
      <c r="H96" s="251"/>
      <c r="I96" s="246" t="str">
        <f t="shared" si="12"/>
        <v/>
      </c>
      <c r="J96" s="245"/>
      <c r="K96" s="245"/>
      <c r="L96" s="245"/>
      <c r="M96" s="247"/>
    </row>
    <row r="97" spans="1:13" x14ac:dyDescent="0.45">
      <c r="A97" s="253" t="str">
        <f t="shared" si="7"/>
        <v>&lt;/ct136&gt;</v>
      </c>
      <c r="B97" s="241" t="s">
        <v>4445</v>
      </c>
      <c r="C97" s="244">
        <f t="shared" si="8"/>
        <v>1</v>
      </c>
      <c r="D97" s="244">
        <f t="shared" si="9"/>
        <v>8</v>
      </c>
      <c r="E97" s="244">
        <f t="shared" si="10"/>
        <v>1</v>
      </c>
      <c r="G97" s="248" t="str">
        <f t="shared" si="11"/>
        <v>&lt;/ct136&gt;</v>
      </c>
      <c r="H97" s="251"/>
      <c r="I97" s="246" t="str">
        <f t="shared" si="12"/>
        <v/>
      </c>
      <c r="J97" s="245"/>
      <c r="K97" s="245"/>
      <c r="L97" s="245"/>
      <c r="M97" s="247"/>
    </row>
    <row r="98" spans="1:13" x14ac:dyDescent="0.45">
      <c r="A98" s="253" t="str">
        <f t="shared" si="7"/>
        <v>&lt;ct140&gt;</v>
      </c>
      <c r="B98" s="241" t="s">
        <v>4446</v>
      </c>
      <c r="C98" s="244">
        <f t="shared" si="8"/>
        <v>1</v>
      </c>
      <c r="D98" s="244">
        <f t="shared" si="9"/>
        <v>7</v>
      </c>
      <c r="E98" s="244" t="str">
        <f t="shared" si="10"/>
        <v/>
      </c>
      <c r="G98" s="248" t="str">
        <f t="shared" si="11"/>
        <v>&lt;ct140&gt;</v>
      </c>
      <c r="H98" s="251"/>
      <c r="I98" s="246" t="str">
        <f t="shared" si="12"/>
        <v/>
      </c>
      <c r="J98" s="245"/>
      <c r="K98" s="245"/>
      <c r="L98" s="245"/>
      <c r="M98" s="247"/>
    </row>
    <row r="99" spans="1:13" x14ac:dyDescent="0.45">
      <c r="A99" s="253" t="str">
        <f t="shared" si="7"/>
        <v>&lt;/ct140&gt;</v>
      </c>
      <c r="B99" s="241" t="s">
        <v>4447</v>
      </c>
      <c r="C99" s="244">
        <f t="shared" si="8"/>
        <v>1</v>
      </c>
      <c r="D99" s="244">
        <f t="shared" si="9"/>
        <v>8</v>
      </c>
      <c r="E99" s="244">
        <f t="shared" si="10"/>
        <v>1</v>
      </c>
      <c r="G99" s="248" t="str">
        <f t="shared" si="11"/>
        <v>&lt;/ct140&gt;</v>
      </c>
      <c r="H99" s="251"/>
      <c r="I99" s="246" t="str">
        <f t="shared" si="12"/>
        <v/>
      </c>
      <c r="J99" s="245"/>
      <c r="K99" s="245"/>
      <c r="L99" s="245"/>
      <c r="M99" s="247"/>
    </row>
    <row r="100" spans="1:13" x14ac:dyDescent="0.45">
      <c r="A100" s="253" t="str">
        <f t="shared" si="7"/>
        <v>&lt;ct141&gt;</v>
      </c>
      <c r="B100" s="241" t="s">
        <v>4448</v>
      </c>
      <c r="C100" s="244">
        <f t="shared" si="8"/>
        <v>1</v>
      </c>
      <c r="D100" s="244">
        <f t="shared" si="9"/>
        <v>7</v>
      </c>
      <c r="E100" s="244" t="str">
        <f t="shared" si="10"/>
        <v/>
      </c>
      <c r="G100" s="248" t="str">
        <f t="shared" si="11"/>
        <v>&lt;ct141&gt;</v>
      </c>
      <c r="H100" s="251"/>
      <c r="I100" s="246" t="str">
        <f t="shared" si="12"/>
        <v/>
      </c>
      <c r="J100" s="245"/>
      <c r="K100" s="245"/>
      <c r="L100" s="245"/>
      <c r="M100" s="247"/>
    </row>
    <row r="101" spans="1:13" x14ac:dyDescent="0.45">
      <c r="A101" s="253" t="str">
        <f t="shared" si="7"/>
        <v>&lt;/ct141&gt;</v>
      </c>
      <c r="B101" s="241" t="s">
        <v>4449</v>
      </c>
      <c r="C101" s="244">
        <f t="shared" si="8"/>
        <v>1</v>
      </c>
      <c r="D101" s="244">
        <f t="shared" si="9"/>
        <v>8</v>
      </c>
      <c r="E101" s="244">
        <f t="shared" si="10"/>
        <v>1</v>
      </c>
      <c r="G101" s="248" t="str">
        <f t="shared" si="11"/>
        <v>&lt;/ct141&gt;</v>
      </c>
      <c r="H101" s="251"/>
      <c r="I101" s="246" t="str">
        <f t="shared" si="12"/>
        <v/>
      </c>
      <c r="J101" s="245"/>
      <c r="K101" s="245"/>
      <c r="L101" s="245"/>
      <c r="M101" s="247"/>
    </row>
    <row r="102" spans="1:13" x14ac:dyDescent="0.45">
      <c r="A102" s="253" t="str">
        <f t="shared" si="7"/>
        <v>&lt;ct142&gt;</v>
      </c>
      <c r="B102" s="241" t="s">
        <v>4450</v>
      </c>
      <c r="C102" s="244">
        <f t="shared" si="8"/>
        <v>1</v>
      </c>
      <c r="D102" s="244">
        <f t="shared" si="9"/>
        <v>7</v>
      </c>
      <c r="E102" s="244" t="str">
        <f t="shared" si="10"/>
        <v/>
      </c>
      <c r="G102" s="248" t="str">
        <f t="shared" si="11"/>
        <v>&lt;ct142&gt;</v>
      </c>
      <c r="H102" s="251"/>
      <c r="I102" s="246" t="str">
        <f t="shared" si="12"/>
        <v/>
      </c>
      <c r="J102" s="245"/>
      <c r="K102" s="245"/>
      <c r="L102" s="245"/>
      <c r="M102" s="247"/>
    </row>
    <row r="103" spans="1:13" x14ac:dyDescent="0.45">
      <c r="A103" s="253" t="str">
        <f t="shared" si="7"/>
        <v>&lt;/ct142&gt;</v>
      </c>
      <c r="B103" s="241" t="s">
        <v>4451</v>
      </c>
      <c r="C103" s="244">
        <f t="shared" si="8"/>
        <v>1</v>
      </c>
      <c r="D103" s="244">
        <f t="shared" si="9"/>
        <v>8</v>
      </c>
      <c r="E103" s="244">
        <f t="shared" si="10"/>
        <v>1</v>
      </c>
      <c r="G103" s="248" t="str">
        <f t="shared" si="11"/>
        <v>&lt;/ct142&gt;</v>
      </c>
      <c r="H103" s="251"/>
      <c r="I103" s="246" t="str">
        <f t="shared" si="12"/>
        <v/>
      </c>
      <c r="J103" s="245"/>
      <c r="K103" s="245"/>
      <c r="L103" s="245"/>
      <c r="M103" s="247"/>
    </row>
    <row r="104" spans="1:13" x14ac:dyDescent="0.45">
      <c r="A104" s="253" t="str">
        <f t="shared" si="7"/>
        <v>&lt;ct150&gt;</v>
      </c>
      <c r="B104" s="241" t="s">
        <v>4452</v>
      </c>
      <c r="C104" s="244">
        <f t="shared" si="8"/>
        <v>1</v>
      </c>
      <c r="D104" s="244">
        <f t="shared" si="9"/>
        <v>7</v>
      </c>
      <c r="E104" s="244" t="str">
        <f t="shared" si="10"/>
        <v/>
      </c>
      <c r="G104" s="248" t="str">
        <f t="shared" si="11"/>
        <v>&lt;ct150&gt;</v>
      </c>
      <c r="H104" s="251"/>
      <c r="I104" s="246" t="str">
        <f t="shared" si="12"/>
        <v/>
      </c>
      <c r="J104" s="245"/>
      <c r="K104" s="245"/>
      <c r="L104" s="245"/>
      <c r="M104" s="247"/>
    </row>
    <row r="105" spans="1:13" x14ac:dyDescent="0.45">
      <c r="A105" s="253" t="str">
        <f t="shared" si="7"/>
        <v>&lt;/ct150&gt;</v>
      </c>
      <c r="B105" s="241" t="s">
        <v>4453</v>
      </c>
      <c r="C105" s="244">
        <f t="shared" si="8"/>
        <v>1</v>
      </c>
      <c r="D105" s="244">
        <f t="shared" si="9"/>
        <v>8</v>
      </c>
      <c r="E105" s="244">
        <f t="shared" si="10"/>
        <v>1</v>
      </c>
      <c r="G105" s="248" t="str">
        <f t="shared" si="11"/>
        <v>&lt;/ct150&gt;</v>
      </c>
      <c r="H105" s="251"/>
      <c r="I105" s="246" t="str">
        <f t="shared" si="12"/>
        <v/>
      </c>
      <c r="J105" s="245"/>
      <c r="K105" s="245"/>
      <c r="L105" s="245"/>
      <c r="M105" s="247"/>
    </row>
    <row r="106" spans="1:13" x14ac:dyDescent="0.45">
      <c r="A106" s="253" t="str">
        <f t="shared" si="7"/>
        <v>&lt;ct151&gt;</v>
      </c>
      <c r="B106" s="241" t="s">
        <v>4454</v>
      </c>
      <c r="C106" s="244">
        <f t="shared" si="8"/>
        <v>1</v>
      </c>
      <c r="D106" s="244">
        <f t="shared" si="9"/>
        <v>7</v>
      </c>
      <c r="E106" s="244" t="str">
        <f t="shared" si="10"/>
        <v/>
      </c>
      <c r="G106" s="248" t="str">
        <f t="shared" si="11"/>
        <v>&lt;ct151&gt;</v>
      </c>
      <c r="H106" s="251"/>
      <c r="I106" s="246" t="str">
        <f t="shared" si="12"/>
        <v/>
      </c>
      <c r="J106" s="245"/>
      <c r="K106" s="245"/>
      <c r="L106" s="245"/>
      <c r="M106" s="247"/>
    </row>
    <row r="107" spans="1:13" x14ac:dyDescent="0.45">
      <c r="A107" s="253" t="str">
        <f t="shared" si="7"/>
        <v>&lt;/ct151&gt;</v>
      </c>
      <c r="B107" s="241" t="s">
        <v>4455</v>
      </c>
      <c r="C107" s="244">
        <f t="shared" si="8"/>
        <v>1</v>
      </c>
      <c r="D107" s="244">
        <f t="shared" si="9"/>
        <v>8</v>
      </c>
      <c r="E107" s="244">
        <f t="shared" si="10"/>
        <v>1</v>
      </c>
      <c r="G107" s="248" t="str">
        <f t="shared" si="11"/>
        <v>&lt;/ct151&gt;</v>
      </c>
      <c r="H107" s="251"/>
      <c r="I107" s="246" t="str">
        <f t="shared" si="12"/>
        <v/>
      </c>
      <c r="J107" s="245"/>
      <c r="K107" s="245"/>
      <c r="L107" s="245"/>
      <c r="M107" s="247"/>
    </row>
    <row r="108" spans="1:13" x14ac:dyDescent="0.45">
      <c r="A108" s="253" t="str">
        <f t="shared" si="7"/>
        <v>&lt;ct152&gt;</v>
      </c>
      <c r="B108" s="450" t="s">
        <v>4456</v>
      </c>
      <c r="C108" s="244">
        <f t="shared" si="8"/>
        <v>1</v>
      </c>
      <c r="D108" s="244">
        <f t="shared" si="9"/>
        <v>7</v>
      </c>
      <c r="E108" s="244" t="str">
        <f t="shared" si="10"/>
        <v/>
      </c>
      <c r="G108" s="248" t="str">
        <f t="shared" si="11"/>
        <v>&lt;ct152&gt;</v>
      </c>
      <c r="H108" s="251"/>
      <c r="I108" s="246" t="str">
        <f t="shared" si="12"/>
        <v/>
      </c>
      <c r="J108" s="245"/>
      <c r="K108" s="245"/>
      <c r="L108" s="245"/>
      <c r="M108" s="247"/>
    </row>
    <row r="109" spans="1:13" x14ac:dyDescent="0.45">
      <c r="A109" s="253" t="str">
        <f t="shared" si="7"/>
        <v>&lt;/ct152&gt;</v>
      </c>
      <c r="B109" s="450" t="s">
        <v>4457</v>
      </c>
      <c r="C109" s="244">
        <f t="shared" si="8"/>
        <v>1</v>
      </c>
      <c r="D109" s="244">
        <f t="shared" si="9"/>
        <v>8</v>
      </c>
      <c r="E109" s="244">
        <f t="shared" si="10"/>
        <v>1</v>
      </c>
      <c r="G109" s="248" t="str">
        <f t="shared" si="11"/>
        <v>&lt;/ct152&gt;</v>
      </c>
      <c r="H109" s="251"/>
      <c r="I109" s="246" t="str">
        <f t="shared" si="12"/>
        <v/>
      </c>
      <c r="J109" s="245"/>
      <c r="K109" s="245"/>
      <c r="L109" s="245"/>
      <c r="M109" s="247"/>
    </row>
    <row r="110" spans="1:13" x14ac:dyDescent="0.45">
      <c r="A110" s="253" t="str">
        <f t="shared" si="7"/>
        <v>&lt;ct160&gt;</v>
      </c>
      <c r="B110" s="450" t="s">
        <v>4458</v>
      </c>
      <c r="C110" s="244">
        <f t="shared" si="8"/>
        <v>1</v>
      </c>
      <c r="D110" s="244">
        <f t="shared" si="9"/>
        <v>7</v>
      </c>
      <c r="E110" s="244" t="str">
        <f t="shared" si="10"/>
        <v/>
      </c>
      <c r="G110" s="248" t="str">
        <f t="shared" si="11"/>
        <v>&lt;ct160&gt;</v>
      </c>
      <c r="H110" s="251"/>
      <c r="I110" s="246" t="str">
        <f t="shared" si="12"/>
        <v/>
      </c>
      <c r="J110" s="245"/>
      <c r="K110" s="245"/>
      <c r="L110" s="245"/>
      <c r="M110" s="247"/>
    </row>
    <row r="111" spans="1:13" x14ac:dyDescent="0.45">
      <c r="A111" s="253" t="str">
        <f t="shared" si="7"/>
        <v>&lt;/ct160&gt;</v>
      </c>
      <c r="B111" s="450" t="s">
        <v>4459</v>
      </c>
      <c r="C111" s="244">
        <f t="shared" si="8"/>
        <v>1</v>
      </c>
      <c r="D111" s="244">
        <f t="shared" si="9"/>
        <v>8</v>
      </c>
      <c r="E111" s="244">
        <f t="shared" si="10"/>
        <v>1</v>
      </c>
      <c r="G111" s="248" t="str">
        <f t="shared" si="11"/>
        <v>&lt;/ct160&gt;</v>
      </c>
      <c r="H111" s="251"/>
      <c r="I111" s="246" t="str">
        <f t="shared" si="12"/>
        <v/>
      </c>
      <c r="J111" s="245"/>
      <c r="K111" s="245"/>
      <c r="L111" s="245"/>
      <c r="M111" s="247"/>
    </row>
    <row r="112" spans="1:13" x14ac:dyDescent="0.45">
      <c r="A112" s="253" t="str">
        <f t="shared" si="7"/>
        <v>&lt;ct161&gt;</v>
      </c>
      <c r="B112" s="450" t="s">
        <v>4460</v>
      </c>
      <c r="C112" s="244">
        <f t="shared" si="8"/>
        <v>1</v>
      </c>
      <c r="D112" s="244">
        <f t="shared" si="9"/>
        <v>7</v>
      </c>
      <c r="E112" s="244" t="str">
        <f t="shared" si="10"/>
        <v/>
      </c>
      <c r="G112" s="248" t="str">
        <f t="shared" si="11"/>
        <v>&lt;ct161&gt;</v>
      </c>
      <c r="H112" s="251"/>
      <c r="I112" s="246" t="str">
        <f t="shared" si="12"/>
        <v/>
      </c>
      <c r="J112" s="245"/>
      <c r="K112" s="245"/>
      <c r="L112" s="245"/>
      <c r="M112" s="247"/>
    </row>
    <row r="113" spans="1:13" x14ac:dyDescent="0.45">
      <c r="A113" s="253" t="str">
        <f t="shared" si="7"/>
        <v>&lt;/ct161&gt;</v>
      </c>
      <c r="B113" s="450" t="s">
        <v>4461</v>
      </c>
      <c r="C113" s="244">
        <f t="shared" si="8"/>
        <v>1</v>
      </c>
      <c r="D113" s="244">
        <f t="shared" si="9"/>
        <v>8</v>
      </c>
      <c r="E113" s="244">
        <f t="shared" si="10"/>
        <v>1</v>
      </c>
      <c r="G113" s="248" t="str">
        <f t="shared" si="11"/>
        <v>&lt;/ct161&gt;</v>
      </c>
      <c r="H113" s="251"/>
      <c r="I113" s="246" t="str">
        <f t="shared" si="12"/>
        <v/>
      </c>
      <c r="J113" s="245"/>
      <c r="K113" s="245"/>
      <c r="L113" s="245"/>
      <c r="M113" s="247"/>
    </row>
    <row r="114" spans="1:13" x14ac:dyDescent="0.45">
      <c r="A114" s="253" t="str">
        <f t="shared" si="7"/>
        <v>&lt;ct162&gt;</v>
      </c>
      <c r="B114" s="450" t="s">
        <v>4462</v>
      </c>
      <c r="C114" s="244">
        <f t="shared" si="8"/>
        <v>1</v>
      </c>
      <c r="D114" s="244">
        <f t="shared" si="9"/>
        <v>7</v>
      </c>
      <c r="E114" s="244" t="str">
        <f t="shared" si="10"/>
        <v/>
      </c>
      <c r="G114" s="248" t="str">
        <f t="shared" si="11"/>
        <v>&lt;ct162&gt;</v>
      </c>
      <c r="H114" s="251"/>
      <c r="I114" s="246" t="str">
        <f t="shared" si="12"/>
        <v/>
      </c>
      <c r="J114" s="245"/>
      <c r="K114" s="245"/>
      <c r="L114" s="245"/>
      <c r="M114" s="247"/>
    </row>
    <row r="115" spans="1:13" x14ac:dyDescent="0.45">
      <c r="A115" s="253" t="str">
        <f t="shared" si="7"/>
        <v>&lt;/ct162&gt;</v>
      </c>
      <c r="B115" s="450" t="s">
        <v>4463</v>
      </c>
      <c r="C115" s="244">
        <f t="shared" si="8"/>
        <v>1</v>
      </c>
      <c r="D115" s="244">
        <f t="shared" si="9"/>
        <v>8</v>
      </c>
      <c r="E115" s="244">
        <f t="shared" si="10"/>
        <v>1</v>
      </c>
      <c r="G115" s="248" t="str">
        <f t="shared" si="11"/>
        <v>&lt;/ct162&gt;</v>
      </c>
      <c r="H115" s="251"/>
      <c r="I115" s="246" t="str">
        <f t="shared" si="12"/>
        <v/>
      </c>
      <c r="J115" s="245"/>
      <c r="K115" s="245"/>
      <c r="L115" s="245"/>
      <c r="M115" s="247"/>
    </row>
    <row r="116" spans="1:13" x14ac:dyDescent="0.45">
      <c r="A116" s="253" t="str">
        <f t="shared" si="7"/>
        <v>&lt;ct170&gt;</v>
      </c>
      <c r="B116" s="450" t="s">
        <v>4464</v>
      </c>
      <c r="C116" s="244">
        <f t="shared" si="8"/>
        <v>1</v>
      </c>
      <c r="D116" s="244">
        <f t="shared" si="9"/>
        <v>7</v>
      </c>
      <c r="E116" s="244" t="str">
        <f t="shared" si="10"/>
        <v/>
      </c>
      <c r="G116" s="248" t="str">
        <f t="shared" si="11"/>
        <v>&lt;ct170&gt;</v>
      </c>
      <c r="H116" s="251"/>
      <c r="I116" s="246" t="str">
        <f t="shared" si="12"/>
        <v/>
      </c>
      <c r="J116" s="245"/>
      <c r="K116" s="245"/>
      <c r="L116" s="245"/>
      <c r="M116" s="247"/>
    </row>
    <row r="117" spans="1:13" x14ac:dyDescent="0.45">
      <c r="A117" s="253" t="str">
        <f t="shared" si="7"/>
        <v>&lt;/ct170&gt;</v>
      </c>
      <c r="B117" s="450" t="s">
        <v>4465</v>
      </c>
      <c r="C117" s="244">
        <f t="shared" si="8"/>
        <v>1</v>
      </c>
      <c r="D117" s="244">
        <f t="shared" si="9"/>
        <v>8</v>
      </c>
      <c r="E117" s="244">
        <f t="shared" si="10"/>
        <v>1</v>
      </c>
      <c r="G117" s="248" t="str">
        <f t="shared" si="11"/>
        <v>&lt;/ct170&gt;</v>
      </c>
      <c r="H117" s="251"/>
      <c r="I117" s="246" t="str">
        <f t="shared" si="12"/>
        <v/>
      </c>
      <c r="J117" s="245"/>
      <c r="K117" s="245"/>
      <c r="L117" s="245"/>
      <c r="M117" s="247"/>
    </row>
    <row r="118" spans="1:13" x14ac:dyDescent="0.45">
      <c r="A118" s="253" t="str">
        <f t="shared" si="7"/>
        <v>&lt;ct180&gt;</v>
      </c>
      <c r="B118" s="450" t="s">
        <v>4466</v>
      </c>
      <c r="C118" s="244">
        <f t="shared" si="8"/>
        <v>1</v>
      </c>
      <c r="D118" s="244">
        <f t="shared" si="9"/>
        <v>7</v>
      </c>
      <c r="E118" s="244" t="str">
        <f t="shared" si="10"/>
        <v/>
      </c>
      <c r="G118" s="248" t="str">
        <f t="shared" si="11"/>
        <v>&lt;ct180&gt;</v>
      </c>
      <c r="H118" s="251"/>
      <c r="I118" s="246" t="str">
        <f t="shared" si="12"/>
        <v/>
      </c>
      <c r="J118" s="245"/>
      <c r="K118" s="245"/>
      <c r="L118" s="245"/>
      <c r="M118" s="247"/>
    </row>
    <row r="119" spans="1:13" x14ac:dyDescent="0.45">
      <c r="A119" s="253" t="str">
        <f t="shared" si="7"/>
        <v>&lt;/ct180&gt;</v>
      </c>
      <c r="B119" s="450" t="s">
        <v>4467</v>
      </c>
      <c r="C119" s="244">
        <f t="shared" si="8"/>
        <v>1</v>
      </c>
      <c r="D119" s="244">
        <f t="shared" si="9"/>
        <v>8</v>
      </c>
      <c r="E119" s="244">
        <f t="shared" si="10"/>
        <v>1</v>
      </c>
      <c r="G119" s="248" t="str">
        <f t="shared" si="11"/>
        <v>&lt;/ct180&gt;</v>
      </c>
      <c r="H119" s="251"/>
      <c r="I119" s="246" t="str">
        <f t="shared" si="12"/>
        <v/>
      </c>
      <c r="J119" s="245"/>
      <c r="K119" s="245"/>
      <c r="L119" s="245"/>
      <c r="M119" s="247"/>
    </row>
    <row r="120" spans="1:13" x14ac:dyDescent="0.45">
      <c r="A120" s="253" t="str">
        <f t="shared" si="7"/>
        <v>&lt;ct181&gt;</v>
      </c>
      <c r="B120" s="450" t="s">
        <v>4468</v>
      </c>
      <c r="C120" s="244">
        <f t="shared" si="8"/>
        <v>1</v>
      </c>
      <c r="D120" s="244">
        <f t="shared" si="9"/>
        <v>7</v>
      </c>
      <c r="E120" s="244" t="str">
        <f t="shared" si="10"/>
        <v/>
      </c>
      <c r="G120" s="248" t="str">
        <f t="shared" si="11"/>
        <v>&lt;ct181&gt;</v>
      </c>
      <c r="H120" s="251"/>
      <c r="I120" s="246" t="str">
        <f t="shared" si="12"/>
        <v/>
      </c>
      <c r="J120" s="245"/>
      <c r="K120" s="245"/>
      <c r="L120" s="245"/>
      <c r="M120" s="247"/>
    </row>
    <row r="121" spans="1:13" x14ac:dyDescent="0.45">
      <c r="A121" s="253" t="str">
        <f t="shared" si="7"/>
        <v>&lt;/ct181&gt;</v>
      </c>
      <c r="B121" s="450" t="s">
        <v>4469</v>
      </c>
      <c r="C121" s="244">
        <f t="shared" si="8"/>
        <v>1</v>
      </c>
      <c r="D121" s="244">
        <f t="shared" si="9"/>
        <v>8</v>
      </c>
      <c r="E121" s="244">
        <f t="shared" si="10"/>
        <v>1</v>
      </c>
      <c r="G121" s="248" t="str">
        <f t="shared" si="11"/>
        <v>&lt;/ct181&gt;</v>
      </c>
      <c r="H121" s="251"/>
      <c r="I121" s="246" t="str">
        <f t="shared" si="12"/>
        <v/>
      </c>
      <c r="J121" s="245"/>
      <c r="K121" s="245"/>
      <c r="L121" s="245"/>
      <c r="M121" s="247"/>
    </row>
    <row r="122" spans="1:13" x14ac:dyDescent="0.45">
      <c r="A122" s="253" t="str">
        <f t="shared" si="7"/>
        <v>&lt;ct182&gt;</v>
      </c>
      <c r="B122" s="450" t="s">
        <v>4470</v>
      </c>
      <c r="C122" s="244">
        <f t="shared" si="8"/>
        <v>1</v>
      </c>
      <c r="D122" s="244">
        <f t="shared" si="9"/>
        <v>7</v>
      </c>
      <c r="E122" s="244" t="str">
        <f t="shared" si="10"/>
        <v/>
      </c>
      <c r="G122" s="248" t="str">
        <f t="shared" si="11"/>
        <v>&lt;ct182&gt;</v>
      </c>
      <c r="H122" s="251"/>
      <c r="I122" s="246" t="str">
        <f t="shared" si="12"/>
        <v/>
      </c>
      <c r="J122" s="245"/>
      <c r="K122" s="245"/>
      <c r="L122" s="245"/>
      <c r="M122" s="247"/>
    </row>
    <row r="123" spans="1:13" x14ac:dyDescent="0.45">
      <c r="A123" s="253" t="str">
        <f t="shared" si="7"/>
        <v>&lt;/ct182&gt;</v>
      </c>
      <c r="B123" s="450" t="s">
        <v>4471</v>
      </c>
      <c r="C123" s="244">
        <f t="shared" si="8"/>
        <v>1</v>
      </c>
      <c r="D123" s="244">
        <f t="shared" si="9"/>
        <v>8</v>
      </c>
      <c r="E123" s="244">
        <f t="shared" si="10"/>
        <v>1</v>
      </c>
      <c r="G123" s="248" t="str">
        <f t="shared" si="11"/>
        <v>&lt;/ct182&gt;</v>
      </c>
      <c r="H123" s="251"/>
      <c r="I123" s="246" t="str">
        <f t="shared" si="12"/>
        <v/>
      </c>
      <c r="J123" s="245"/>
      <c r="K123" s="245"/>
      <c r="L123" s="245"/>
      <c r="M123" s="247"/>
    </row>
    <row r="124" spans="1:13" x14ac:dyDescent="0.45">
      <c r="A124" s="253" t="str">
        <f t="shared" si="7"/>
        <v>&lt;ct200&gt;</v>
      </c>
      <c r="B124" s="450" t="s">
        <v>4472</v>
      </c>
      <c r="C124" s="244">
        <f t="shared" si="8"/>
        <v>1</v>
      </c>
      <c r="D124" s="244">
        <f t="shared" si="9"/>
        <v>7</v>
      </c>
      <c r="E124" s="244" t="str">
        <f t="shared" si="10"/>
        <v/>
      </c>
      <c r="G124" s="248" t="str">
        <f t="shared" si="11"/>
        <v>&lt;ct200&gt;</v>
      </c>
      <c r="H124" s="251"/>
      <c r="I124" s="246" t="str">
        <f t="shared" si="12"/>
        <v/>
      </c>
      <c r="J124" s="245"/>
      <c r="K124" s="245"/>
      <c r="L124" s="245"/>
      <c r="M124" s="247"/>
    </row>
    <row r="125" spans="1:13" x14ac:dyDescent="0.45">
      <c r="A125" s="253" t="str">
        <f t="shared" si="7"/>
        <v>&lt;/ct200&gt;</v>
      </c>
      <c r="B125" s="450" t="s">
        <v>4473</v>
      </c>
      <c r="C125" s="244">
        <f t="shared" si="8"/>
        <v>1</v>
      </c>
      <c r="D125" s="244">
        <f t="shared" si="9"/>
        <v>8</v>
      </c>
      <c r="E125" s="244">
        <f t="shared" si="10"/>
        <v>1</v>
      </c>
      <c r="G125" s="248" t="str">
        <f t="shared" si="11"/>
        <v>&lt;/ct200&gt;</v>
      </c>
      <c r="H125" s="251"/>
      <c r="I125" s="246" t="str">
        <f t="shared" si="12"/>
        <v/>
      </c>
      <c r="J125" s="245"/>
      <c r="K125" s="245"/>
      <c r="L125" s="245"/>
      <c r="M125" s="247"/>
    </row>
    <row r="126" spans="1:13" x14ac:dyDescent="0.45">
      <c r="A126" s="253" t="str">
        <f t="shared" si="7"/>
        <v>&lt;ct300&gt;</v>
      </c>
      <c r="B126" s="450" t="s">
        <v>4474</v>
      </c>
      <c r="C126" s="244">
        <f t="shared" si="8"/>
        <v>1</v>
      </c>
      <c r="D126" s="244">
        <f t="shared" si="9"/>
        <v>7</v>
      </c>
      <c r="E126" s="244" t="str">
        <f t="shared" si="10"/>
        <v/>
      </c>
      <c r="G126" s="248" t="str">
        <f t="shared" si="11"/>
        <v>&lt;ct300&gt;</v>
      </c>
      <c r="H126" s="251"/>
      <c r="I126" s="246" t="str">
        <f t="shared" si="12"/>
        <v/>
      </c>
      <c r="J126" s="245"/>
      <c r="K126" s="245"/>
      <c r="L126" s="245"/>
      <c r="M126" s="247"/>
    </row>
    <row r="127" spans="1:13" x14ac:dyDescent="0.45">
      <c r="A127" s="253" t="str">
        <f t="shared" si="7"/>
        <v>&lt;/ct300&gt;</v>
      </c>
      <c r="B127" s="450" t="s">
        <v>4475</v>
      </c>
      <c r="C127" s="244">
        <f t="shared" si="8"/>
        <v>1</v>
      </c>
      <c r="D127" s="244">
        <f t="shared" si="9"/>
        <v>8</v>
      </c>
      <c r="E127" s="244">
        <f t="shared" si="10"/>
        <v>1</v>
      </c>
      <c r="G127" s="248" t="str">
        <f t="shared" si="11"/>
        <v>&lt;/ct300&gt;</v>
      </c>
      <c r="H127" s="251"/>
      <c r="I127" s="246" t="str">
        <f t="shared" si="12"/>
        <v/>
      </c>
      <c r="J127" s="245"/>
      <c r="K127" s="245"/>
      <c r="L127" s="245"/>
      <c r="M127" s="247"/>
    </row>
    <row r="128" spans="1:13" x14ac:dyDescent="0.45">
      <c r="A128" s="253" t="str">
        <f t="shared" si="7"/>
        <v>&lt;ct311&gt;</v>
      </c>
      <c r="B128" s="450" t="s">
        <v>4476</v>
      </c>
      <c r="C128" s="244">
        <f t="shared" si="8"/>
        <v>1</v>
      </c>
      <c r="D128" s="244">
        <f t="shared" si="9"/>
        <v>7</v>
      </c>
      <c r="E128" s="244" t="str">
        <f t="shared" si="10"/>
        <v/>
      </c>
      <c r="G128" s="248" t="str">
        <f t="shared" si="11"/>
        <v>&lt;ct311&gt;</v>
      </c>
      <c r="H128" s="251"/>
      <c r="I128" s="246" t="str">
        <f t="shared" si="12"/>
        <v/>
      </c>
      <c r="J128" s="245"/>
      <c r="K128" s="245"/>
      <c r="L128" s="245"/>
      <c r="M128" s="247"/>
    </row>
    <row r="129" spans="1:13" x14ac:dyDescent="0.45">
      <c r="A129" s="253" t="str">
        <f t="shared" si="7"/>
        <v>&lt;/ct311&gt;</v>
      </c>
      <c r="B129" s="450" t="s">
        <v>4477</v>
      </c>
      <c r="C129" s="244">
        <f t="shared" si="8"/>
        <v>1</v>
      </c>
      <c r="D129" s="244">
        <f t="shared" si="9"/>
        <v>8</v>
      </c>
      <c r="E129" s="244">
        <f t="shared" si="10"/>
        <v>1</v>
      </c>
      <c r="G129" s="248" t="str">
        <f t="shared" si="11"/>
        <v>&lt;/ct311&gt;</v>
      </c>
      <c r="H129" s="251"/>
      <c r="I129" s="246" t="str">
        <f t="shared" si="12"/>
        <v/>
      </c>
      <c r="J129" s="245"/>
      <c r="K129" s="245"/>
      <c r="L129" s="245"/>
      <c r="M129" s="247"/>
    </row>
    <row r="130" spans="1:13" x14ac:dyDescent="0.45">
      <c r="A130" s="253" t="str">
        <f t="shared" si="7"/>
        <v>&lt;ct312&gt;</v>
      </c>
      <c r="B130" s="450" t="s">
        <v>4478</v>
      </c>
      <c r="C130" s="244">
        <f t="shared" si="8"/>
        <v>1</v>
      </c>
      <c r="D130" s="244">
        <f t="shared" si="9"/>
        <v>7</v>
      </c>
      <c r="E130" s="244" t="str">
        <f t="shared" si="10"/>
        <v/>
      </c>
      <c r="G130" s="248" t="str">
        <f t="shared" si="11"/>
        <v>&lt;ct312&gt;</v>
      </c>
      <c r="H130" s="251"/>
      <c r="I130" s="246" t="str">
        <f t="shared" si="12"/>
        <v/>
      </c>
      <c r="J130" s="245"/>
      <c r="K130" s="245"/>
      <c r="L130" s="245"/>
      <c r="M130" s="247"/>
    </row>
    <row r="131" spans="1:13" x14ac:dyDescent="0.45">
      <c r="A131" s="253" t="str">
        <f t="shared" si="7"/>
        <v>&lt;/ct312&gt;</v>
      </c>
      <c r="B131" s="450" t="s">
        <v>4479</v>
      </c>
      <c r="C131" s="244">
        <f t="shared" si="8"/>
        <v>1</v>
      </c>
      <c r="D131" s="244">
        <f t="shared" si="9"/>
        <v>8</v>
      </c>
      <c r="E131" s="244">
        <f t="shared" si="10"/>
        <v>1</v>
      </c>
      <c r="G131" s="248" t="str">
        <f t="shared" si="11"/>
        <v>&lt;/ct312&gt;</v>
      </c>
      <c r="H131" s="251"/>
      <c r="I131" s="246" t="str">
        <f t="shared" si="12"/>
        <v/>
      </c>
      <c r="J131" s="245"/>
      <c r="K131" s="245"/>
      <c r="L131" s="245"/>
      <c r="M131" s="247"/>
    </row>
    <row r="132" spans="1:13" x14ac:dyDescent="0.45">
      <c r="A132" s="253" t="str">
        <f t="shared" ref="A132:A195" si="13">CONCATENATE(G132,H132,I132)</f>
        <v>&lt;ct313&gt;</v>
      </c>
      <c r="B132" s="450" t="s">
        <v>4480</v>
      </c>
      <c r="C132" s="244">
        <f t="shared" si="8"/>
        <v>1</v>
      </c>
      <c r="D132" s="244">
        <f t="shared" si="9"/>
        <v>7</v>
      </c>
      <c r="E132" s="244" t="str">
        <f t="shared" si="10"/>
        <v/>
      </c>
      <c r="G132" s="248" t="str">
        <f t="shared" si="11"/>
        <v>&lt;ct313&gt;</v>
      </c>
      <c r="H132" s="251"/>
      <c r="I132" s="246" t="str">
        <f t="shared" si="12"/>
        <v/>
      </c>
      <c r="J132" s="245"/>
      <c r="K132" s="245"/>
      <c r="L132" s="245"/>
      <c r="M132" s="247"/>
    </row>
    <row r="133" spans="1:13" x14ac:dyDescent="0.45">
      <c r="A133" s="253" t="str">
        <f t="shared" si="13"/>
        <v>&lt;/ct313&gt;</v>
      </c>
      <c r="B133" s="450" t="s">
        <v>4481</v>
      </c>
      <c r="C133" s="244">
        <f t="shared" si="8"/>
        <v>1</v>
      </c>
      <c r="D133" s="244">
        <f t="shared" si="9"/>
        <v>8</v>
      </c>
      <c r="E133" s="244">
        <f t="shared" si="10"/>
        <v>1</v>
      </c>
      <c r="G133" s="248" t="str">
        <f t="shared" si="11"/>
        <v>&lt;/ct313&gt;</v>
      </c>
      <c r="H133" s="251"/>
      <c r="I133" s="246" t="str">
        <f t="shared" si="12"/>
        <v/>
      </c>
      <c r="J133" s="245"/>
      <c r="K133" s="245"/>
      <c r="L133" s="245"/>
      <c r="M133" s="247"/>
    </row>
    <row r="134" spans="1:13" x14ac:dyDescent="0.45">
      <c r="A134" s="253" t="str">
        <f t="shared" si="13"/>
        <v>&lt;ct314&gt;</v>
      </c>
      <c r="B134" s="450" t="s">
        <v>4482</v>
      </c>
      <c r="C134" s="244">
        <f t="shared" si="8"/>
        <v>1</v>
      </c>
      <c r="D134" s="244">
        <f t="shared" si="9"/>
        <v>7</v>
      </c>
      <c r="E134" s="244" t="str">
        <f t="shared" si="10"/>
        <v/>
      </c>
      <c r="G134" s="248" t="str">
        <f t="shared" si="11"/>
        <v>&lt;ct314&gt;</v>
      </c>
      <c r="H134" s="251"/>
      <c r="I134" s="246" t="str">
        <f t="shared" si="12"/>
        <v/>
      </c>
      <c r="J134" s="245"/>
      <c r="K134" s="245"/>
      <c r="L134" s="245"/>
      <c r="M134" s="247"/>
    </row>
    <row r="135" spans="1:13" x14ac:dyDescent="0.45">
      <c r="A135" s="253" t="str">
        <f t="shared" si="13"/>
        <v>&lt;/ct314&gt;</v>
      </c>
      <c r="B135" s="450" t="s">
        <v>4483</v>
      </c>
      <c r="C135" s="244">
        <f t="shared" si="8"/>
        <v>1</v>
      </c>
      <c r="D135" s="244">
        <f t="shared" si="9"/>
        <v>8</v>
      </c>
      <c r="E135" s="244">
        <f t="shared" si="10"/>
        <v>1</v>
      </c>
      <c r="G135" s="248" t="str">
        <f t="shared" si="11"/>
        <v>&lt;/ct314&gt;</v>
      </c>
      <c r="H135" s="251"/>
      <c r="I135" s="246" t="str">
        <f t="shared" si="12"/>
        <v/>
      </c>
      <c r="J135" s="245"/>
      <c r="K135" s="245"/>
      <c r="L135" s="245"/>
      <c r="M135" s="247"/>
    </row>
    <row r="136" spans="1:13" x14ac:dyDescent="0.45">
      <c r="A136" s="253" t="str">
        <f t="shared" si="13"/>
        <v>&lt;ct315&gt;</v>
      </c>
      <c r="B136" s="450" t="s">
        <v>4484</v>
      </c>
      <c r="C136" s="244">
        <f t="shared" si="8"/>
        <v>1</v>
      </c>
      <c r="D136" s="244">
        <f t="shared" si="9"/>
        <v>7</v>
      </c>
      <c r="E136" s="244" t="str">
        <f t="shared" si="10"/>
        <v/>
      </c>
      <c r="G136" s="248" t="str">
        <f t="shared" si="11"/>
        <v>&lt;ct315&gt;</v>
      </c>
      <c r="H136" s="251"/>
      <c r="I136" s="246" t="str">
        <f t="shared" si="12"/>
        <v/>
      </c>
      <c r="J136" s="245"/>
      <c r="K136" s="245"/>
      <c r="L136" s="245"/>
      <c r="M136" s="247"/>
    </row>
    <row r="137" spans="1:13" x14ac:dyDescent="0.45">
      <c r="A137" s="253" t="str">
        <f t="shared" si="13"/>
        <v>&lt;/ct315&gt;</v>
      </c>
      <c r="B137" s="450" t="s">
        <v>4485</v>
      </c>
      <c r="C137" s="244">
        <f t="shared" si="8"/>
        <v>1</v>
      </c>
      <c r="D137" s="244">
        <f t="shared" si="9"/>
        <v>8</v>
      </c>
      <c r="E137" s="244">
        <f t="shared" si="10"/>
        <v>1</v>
      </c>
      <c r="G137" s="248" t="str">
        <f t="shared" si="11"/>
        <v>&lt;/ct315&gt;</v>
      </c>
      <c r="H137" s="251"/>
      <c r="I137" s="246" t="str">
        <f t="shared" si="12"/>
        <v/>
      </c>
      <c r="J137" s="245"/>
      <c r="K137" s="245"/>
      <c r="L137" s="245"/>
      <c r="M137" s="247"/>
    </row>
    <row r="138" spans="1:13" x14ac:dyDescent="0.45">
      <c r="A138" s="253" t="str">
        <f t="shared" si="13"/>
        <v>&lt;ct316&gt;</v>
      </c>
      <c r="B138" s="450" t="s">
        <v>4486</v>
      </c>
      <c r="C138" s="244">
        <f t="shared" si="8"/>
        <v>1</v>
      </c>
      <c r="D138" s="244">
        <f t="shared" si="9"/>
        <v>7</v>
      </c>
      <c r="E138" s="244" t="str">
        <f t="shared" si="10"/>
        <v/>
      </c>
      <c r="G138" s="248" t="str">
        <f t="shared" si="11"/>
        <v>&lt;ct316&gt;</v>
      </c>
      <c r="H138" s="251"/>
      <c r="I138" s="246" t="str">
        <f t="shared" si="12"/>
        <v/>
      </c>
      <c r="J138" s="245"/>
      <c r="K138" s="245"/>
      <c r="L138" s="245"/>
      <c r="M138" s="247"/>
    </row>
    <row r="139" spans="1:13" x14ac:dyDescent="0.45">
      <c r="A139" s="253" t="str">
        <f t="shared" si="13"/>
        <v>&lt;/ct316&gt;</v>
      </c>
      <c r="B139" s="450" t="s">
        <v>4487</v>
      </c>
      <c r="C139" s="244">
        <f t="shared" si="8"/>
        <v>1</v>
      </c>
      <c r="D139" s="244">
        <f t="shared" si="9"/>
        <v>8</v>
      </c>
      <c r="E139" s="244">
        <f t="shared" si="10"/>
        <v>1</v>
      </c>
      <c r="G139" s="248" t="str">
        <f t="shared" si="11"/>
        <v>&lt;/ct316&gt;</v>
      </c>
      <c r="H139" s="251"/>
      <c r="I139" s="246" t="str">
        <f t="shared" si="12"/>
        <v/>
      </c>
      <c r="J139" s="245"/>
      <c r="K139" s="245"/>
      <c r="L139" s="245"/>
      <c r="M139" s="247"/>
    </row>
    <row r="140" spans="1:13" x14ac:dyDescent="0.45">
      <c r="A140" s="253" t="str">
        <f t="shared" si="13"/>
        <v>&lt;ct317&gt;</v>
      </c>
      <c r="B140" s="450" t="s">
        <v>4488</v>
      </c>
      <c r="C140" s="244">
        <f t="shared" si="8"/>
        <v>1</v>
      </c>
      <c r="D140" s="244">
        <f t="shared" si="9"/>
        <v>7</v>
      </c>
      <c r="E140" s="244" t="str">
        <f t="shared" si="10"/>
        <v/>
      </c>
      <c r="G140" s="248" t="str">
        <f t="shared" si="11"/>
        <v>&lt;ct317&gt;</v>
      </c>
      <c r="H140" s="251"/>
      <c r="I140" s="246" t="str">
        <f t="shared" si="12"/>
        <v/>
      </c>
      <c r="J140" s="245"/>
      <c r="K140" s="245"/>
      <c r="L140" s="245"/>
      <c r="M140" s="247"/>
    </row>
    <row r="141" spans="1:13" x14ac:dyDescent="0.45">
      <c r="A141" s="253" t="str">
        <f t="shared" si="13"/>
        <v>&lt;/ct317&gt;</v>
      </c>
      <c r="B141" s="450" t="s">
        <v>4489</v>
      </c>
      <c r="C141" s="244">
        <f t="shared" si="8"/>
        <v>1</v>
      </c>
      <c r="D141" s="244">
        <f t="shared" si="9"/>
        <v>8</v>
      </c>
      <c r="E141" s="244">
        <f t="shared" si="10"/>
        <v>1</v>
      </c>
      <c r="G141" s="248" t="str">
        <f t="shared" si="11"/>
        <v>&lt;/ct317&gt;</v>
      </c>
      <c r="H141" s="251"/>
      <c r="I141" s="246" t="str">
        <f t="shared" si="12"/>
        <v/>
      </c>
      <c r="J141" s="245"/>
      <c r="K141" s="245"/>
      <c r="L141" s="245"/>
      <c r="M141" s="247"/>
    </row>
    <row r="142" spans="1:13" x14ac:dyDescent="0.45">
      <c r="A142" s="253" t="str">
        <f t="shared" si="13"/>
        <v>&lt;ct318&gt;</v>
      </c>
      <c r="B142" s="450" t="s">
        <v>4490</v>
      </c>
      <c r="C142" s="244">
        <f t="shared" si="8"/>
        <v>1</v>
      </c>
      <c r="D142" s="244">
        <f t="shared" si="9"/>
        <v>7</v>
      </c>
      <c r="E142" s="244" t="str">
        <f t="shared" si="10"/>
        <v/>
      </c>
      <c r="G142" s="248" t="str">
        <f t="shared" si="11"/>
        <v>&lt;ct318&gt;</v>
      </c>
      <c r="H142" s="251"/>
      <c r="I142" s="246" t="str">
        <f t="shared" si="12"/>
        <v/>
      </c>
      <c r="J142" s="245"/>
      <c r="K142" s="245"/>
      <c r="L142" s="245"/>
      <c r="M142" s="247"/>
    </row>
    <row r="143" spans="1:13" x14ac:dyDescent="0.45">
      <c r="A143" s="253" t="str">
        <f t="shared" si="13"/>
        <v>&lt;/ct318&gt;</v>
      </c>
      <c r="B143" s="450" t="s">
        <v>4491</v>
      </c>
      <c r="C143" s="244">
        <f t="shared" si="8"/>
        <v>1</v>
      </c>
      <c r="D143" s="244">
        <f t="shared" si="9"/>
        <v>8</v>
      </c>
      <c r="E143" s="244">
        <f t="shared" si="10"/>
        <v>1</v>
      </c>
      <c r="G143" s="248" t="str">
        <f t="shared" si="11"/>
        <v>&lt;/ct318&gt;</v>
      </c>
      <c r="H143" s="251"/>
      <c r="I143" s="246" t="str">
        <f t="shared" si="12"/>
        <v/>
      </c>
      <c r="J143" s="245"/>
      <c r="K143" s="245"/>
      <c r="L143" s="245"/>
      <c r="M143" s="247"/>
    </row>
    <row r="144" spans="1:13" x14ac:dyDescent="0.45">
      <c r="A144" s="253" t="str">
        <f t="shared" si="13"/>
        <v>&lt;ct319&gt;</v>
      </c>
      <c r="B144" s="450" t="s">
        <v>4492</v>
      </c>
      <c r="C144" s="244">
        <f t="shared" si="8"/>
        <v>1</v>
      </c>
      <c r="D144" s="244">
        <f t="shared" si="9"/>
        <v>7</v>
      </c>
      <c r="E144" s="244" t="str">
        <f t="shared" si="10"/>
        <v/>
      </c>
      <c r="G144" s="248" t="str">
        <f t="shared" si="11"/>
        <v>&lt;ct319&gt;</v>
      </c>
      <c r="H144" s="251"/>
      <c r="I144" s="246" t="str">
        <f t="shared" si="12"/>
        <v/>
      </c>
      <c r="J144" s="245"/>
      <c r="K144" s="245"/>
      <c r="L144" s="245"/>
      <c r="M144" s="247"/>
    </row>
    <row r="145" spans="1:13" x14ac:dyDescent="0.45">
      <c r="A145" s="253" t="str">
        <f t="shared" si="13"/>
        <v>&lt;/ct319&gt;</v>
      </c>
      <c r="B145" s="450" t="s">
        <v>4493</v>
      </c>
      <c r="C145" s="244">
        <f t="shared" si="8"/>
        <v>1</v>
      </c>
      <c r="D145" s="244">
        <f t="shared" si="9"/>
        <v>8</v>
      </c>
      <c r="E145" s="244">
        <f t="shared" si="10"/>
        <v>1</v>
      </c>
      <c r="G145" s="248" t="str">
        <f t="shared" si="11"/>
        <v>&lt;/ct319&gt;</v>
      </c>
      <c r="H145" s="251"/>
      <c r="I145" s="246" t="str">
        <f t="shared" si="12"/>
        <v/>
      </c>
      <c r="J145" s="245"/>
      <c r="K145" s="245"/>
      <c r="L145" s="245"/>
      <c r="M145" s="247"/>
    </row>
    <row r="146" spans="1:13" x14ac:dyDescent="0.45">
      <c r="A146" s="253" t="str">
        <f t="shared" si="13"/>
        <v>&lt;ct320&gt;</v>
      </c>
      <c r="B146" s="450" t="s">
        <v>4494</v>
      </c>
      <c r="C146" s="244">
        <f t="shared" si="8"/>
        <v>1</v>
      </c>
      <c r="D146" s="244">
        <f t="shared" si="9"/>
        <v>7</v>
      </c>
      <c r="E146" s="244" t="str">
        <f t="shared" si="10"/>
        <v/>
      </c>
      <c r="G146" s="248" t="str">
        <f t="shared" si="11"/>
        <v>&lt;ct320&gt;</v>
      </c>
      <c r="H146" s="251"/>
      <c r="I146" s="246" t="str">
        <f t="shared" si="12"/>
        <v/>
      </c>
      <c r="J146" s="245"/>
      <c r="K146" s="245"/>
      <c r="L146" s="245"/>
      <c r="M146" s="247"/>
    </row>
    <row r="147" spans="1:13" x14ac:dyDescent="0.45">
      <c r="A147" s="253" t="str">
        <f t="shared" si="13"/>
        <v>&lt;/ct320&gt;</v>
      </c>
      <c r="B147" s="450" t="s">
        <v>4495</v>
      </c>
      <c r="C147" s="244">
        <f t="shared" si="8"/>
        <v>1</v>
      </c>
      <c r="D147" s="244">
        <f t="shared" si="9"/>
        <v>8</v>
      </c>
      <c r="E147" s="244">
        <f t="shared" si="10"/>
        <v>1</v>
      </c>
      <c r="G147" s="248" t="str">
        <f t="shared" si="11"/>
        <v>&lt;/ct320&gt;</v>
      </c>
      <c r="H147" s="251"/>
      <c r="I147" s="246" t="str">
        <f t="shared" si="12"/>
        <v/>
      </c>
      <c r="J147" s="245"/>
      <c r="K147" s="245"/>
      <c r="L147" s="245"/>
      <c r="M147" s="247"/>
    </row>
    <row r="148" spans="1:13" x14ac:dyDescent="0.45">
      <c r="A148" s="253" t="str">
        <f t="shared" si="13"/>
        <v>&lt;ct400&gt;</v>
      </c>
      <c r="B148" s="450" t="s">
        <v>4496</v>
      </c>
      <c r="C148" s="244">
        <f t="shared" si="8"/>
        <v>1</v>
      </c>
      <c r="D148" s="244">
        <f t="shared" si="9"/>
        <v>7</v>
      </c>
      <c r="E148" s="244" t="str">
        <f t="shared" si="10"/>
        <v/>
      </c>
      <c r="G148" s="248" t="str">
        <f t="shared" si="11"/>
        <v>&lt;ct400&gt;</v>
      </c>
      <c r="H148" s="251"/>
      <c r="I148" s="246" t="str">
        <f t="shared" si="12"/>
        <v/>
      </c>
      <c r="J148" s="245"/>
      <c r="K148" s="245"/>
      <c r="L148" s="245"/>
      <c r="M148" s="247"/>
    </row>
    <row r="149" spans="1:13" x14ac:dyDescent="0.45">
      <c r="A149" s="253" t="str">
        <f t="shared" si="13"/>
        <v>&lt;/ct400&gt;</v>
      </c>
      <c r="B149" s="450" t="s">
        <v>4497</v>
      </c>
      <c r="C149" s="244">
        <f t="shared" si="8"/>
        <v>1</v>
      </c>
      <c r="D149" s="244">
        <f t="shared" si="9"/>
        <v>8</v>
      </c>
      <c r="E149" s="244">
        <f t="shared" si="10"/>
        <v>1</v>
      </c>
      <c r="G149" s="248" t="str">
        <f t="shared" si="11"/>
        <v>&lt;/ct400&gt;</v>
      </c>
      <c r="H149" s="251"/>
      <c r="I149" s="246" t="str">
        <f t="shared" si="12"/>
        <v/>
      </c>
      <c r="J149" s="245"/>
      <c r="K149" s="245"/>
      <c r="L149" s="245"/>
      <c r="M149" s="247"/>
    </row>
    <row r="150" spans="1:13" x14ac:dyDescent="0.45">
      <c r="A150" s="253" t="str">
        <f t="shared" si="13"/>
        <v>&lt;ct411&gt;</v>
      </c>
      <c r="B150" s="450" t="s">
        <v>4498</v>
      </c>
      <c r="C150" s="244">
        <f t="shared" si="8"/>
        <v>1</v>
      </c>
      <c r="D150" s="244">
        <f t="shared" si="9"/>
        <v>7</v>
      </c>
      <c r="E150" s="244" t="str">
        <f t="shared" si="10"/>
        <v/>
      </c>
      <c r="G150" s="248" t="str">
        <f t="shared" si="11"/>
        <v>&lt;ct411&gt;</v>
      </c>
      <c r="H150" s="251"/>
      <c r="I150" s="246" t="str">
        <f t="shared" si="12"/>
        <v/>
      </c>
      <c r="J150" s="245"/>
      <c r="K150" s="245"/>
      <c r="L150" s="245"/>
      <c r="M150" s="247"/>
    </row>
    <row r="151" spans="1:13" x14ac:dyDescent="0.45">
      <c r="A151" s="253" t="str">
        <f t="shared" si="13"/>
        <v>&lt;/ct411&gt;</v>
      </c>
      <c r="B151" s="450" t="s">
        <v>4499</v>
      </c>
      <c r="C151" s="244">
        <f t="shared" si="8"/>
        <v>1</v>
      </c>
      <c r="D151" s="244">
        <f t="shared" si="9"/>
        <v>8</v>
      </c>
      <c r="E151" s="244">
        <f t="shared" si="10"/>
        <v>1</v>
      </c>
      <c r="G151" s="248" t="str">
        <f t="shared" si="11"/>
        <v>&lt;/ct411&gt;</v>
      </c>
      <c r="H151" s="251"/>
      <c r="I151" s="246" t="str">
        <f t="shared" si="12"/>
        <v/>
      </c>
      <c r="J151" s="245"/>
      <c r="K151" s="245"/>
      <c r="L151" s="245"/>
      <c r="M151" s="247"/>
    </row>
    <row r="152" spans="1:13" x14ac:dyDescent="0.45">
      <c r="A152" s="253" t="str">
        <f t="shared" si="13"/>
        <v>&lt;ct412&gt;</v>
      </c>
      <c r="B152" s="450" t="s">
        <v>4500</v>
      </c>
      <c r="C152" s="244">
        <f t="shared" ref="C152:C215" si="14">LEN(B152)-LEN(SUBSTITUTE(B152,"&lt;",""))</f>
        <v>1</v>
      </c>
      <c r="D152" s="244">
        <f t="shared" ref="D152:D215" si="15">SEARCH("&gt;",B152)</f>
        <v>7</v>
      </c>
      <c r="E152" s="244" t="str">
        <f t="shared" ref="E152:E215" si="16">IFERROR(SEARCH("&lt;/",B152),"")</f>
        <v/>
      </c>
      <c r="G152" s="248" t="str">
        <f t="shared" ref="G152:G215" si="17">LEFT(B152,D152)</f>
        <v>&lt;ct412&gt;</v>
      </c>
      <c r="H152" s="251"/>
      <c r="I152" s="246" t="str">
        <f t="shared" ref="I152:I215" si="18">IF(C152=2,RIGHT(B152,LEN(B152)-E152+1),"")</f>
        <v/>
      </c>
      <c r="J152" s="245"/>
      <c r="K152" s="245"/>
      <c r="L152" s="245"/>
      <c r="M152" s="247"/>
    </row>
    <row r="153" spans="1:13" x14ac:dyDescent="0.45">
      <c r="A153" s="253" t="str">
        <f t="shared" si="13"/>
        <v>&lt;/ct412&gt;</v>
      </c>
      <c r="B153" s="450" t="s">
        <v>4501</v>
      </c>
      <c r="C153" s="244">
        <f t="shared" si="14"/>
        <v>1</v>
      </c>
      <c r="D153" s="244">
        <f t="shared" si="15"/>
        <v>8</v>
      </c>
      <c r="E153" s="244">
        <f t="shared" si="16"/>
        <v>1</v>
      </c>
      <c r="G153" s="248" t="str">
        <f t="shared" si="17"/>
        <v>&lt;/ct412&gt;</v>
      </c>
      <c r="H153" s="251"/>
      <c r="I153" s="246" t="str">
        <f t="shared" si="18"/>
        <v/>
      </c>
      <c r="J153" s="245"/>
      <c r="K153" s="245"/>
      <c r="L153" s="245"/>
      <c r="M153" s="247"/>
    </row>
    <row r="154" spans="1:13" x14ac:dyDescent="0.45">
      <c r="A154" s="253" t="str">
        <f t="shared" si="13"/>
        <v>&lt;ct413&gt;</v>
      </c>
      <c r="B154" s="450" t="s">
        <v>4502</v>
      </c>
      <c r="C154" s="244">
        <f t="shared" si="14"/>
        <v>1</v>
      </c>
      <c r="D154" s="244">
        <f t="shared" si="15"/>
        <v>7</v>
      </c>
      <c r="E154" s="244" t="str">
        <f t="shared" si="16"/>
        <v/>
      </c>
      <c r="G154" s="248" t="str">
        <f t="shared" si="17"/>
        <v>&lt;ct413&gt;</v>
      </c>
      <c r="H154" s="251"/>
      <c r="I154" s="246" t="str">
        <f t="shared" si="18"/>
        <v/>
      </c>
      <c r="J154" s="245"/>
      <c r="K154" s="245"/>
      <c r="L154" s="245"/>
      <c r="M154" s="247"/>
    </row>
    <row r="155" spans="1:13" x14ac:dyDescent="0.45">
      <c r="A155" s="253" t="str">
        <f t="shared" si="13"/>
        <v>&lt;/ct413&gt;</v>
      </c>
      <c r="B155" s="450" t="s">
        <v>4503</v>
      </c>
      <c r="C155" s="244">
        <f t="shared" si="14"/>
        <v>1</v>
      </c>
      <c r="D155" s="244">
        <f t="shared" si="15"/>
        <v>8</v>
      </c>
      <c r="E155" s="244">
        <f t="shared" si="16"/>
        <v>1</v>
      </c>
      <c r="G155" s="248" t="str">
        <f t="shared" si="17"/>
        <v>&lt;/ct413&gt;</v>
      </c>
      <c r="H155" s="251"/>
      <c r="I155" s="246" t="str">
        <f t="shared" si="18"/>
        <v/>
      </c>
      <c r="J155" s="245"/>
      <c r="K155" s="245"/>
      <c r="L155" s="245"/>
      <c r="M155" s="247"/>
    </row>
    <row r="156" spans="1:13" x14ac:dyDescent="0.45">
      <c r="A156" s="253" t="str">
        <f t="shared" si="13"/>
        <v>&lt;ct414&gt;</v>
      </c>
      <c r="B156" s="450" t="s">
        <v>4504</v>
      </c>
      <c r="C156" s="244">
        <f t="shared" si="14"/>
        <v>1</v>
      </c>
      <c r="D156" s="244">
        <f t="shared" si="15"/>
        <v>7</v>
      </c>
      <c r="E156" s="244" t="str">
        <f t="shared" si="16"/>
        <v/>
      </c>
      <c r="G156" s="248" t="str">
        <f t="shared" si="17"/>
        <v>&lt;ct414&gt;</v>
      </c>
      <c r="H156" s="251"/>
      <c r="I156" s="246" t="str">
        <f t="shared" si="18"/>
        <v/>
      </c>
      <c r="J156" s="245"/>
      <c r="K156" s="245"/>
      <c r="L156" s="245"/>
      <c r="M156" s="247"/>
    </row>
    <row r="157" spans="1:13" x14ac:dyDescent="0.45">
      <c r="A157" s="253" t="str">
        <f t="shared" si="13"/>
        <v>&lt;/ct414&gt;</v>
      </c>
      <c r="B157" s="450" t="s">
        <v>4505</v>
      </c>
      <c r="C157" s="244">
        <f t="shared" si="14"/>
        <v>1</v>
      </c>
      <c r="D157" s="244">
        <f t="shared" si="15"/>
        <v>8</v>
      </c>
      <c r="E157" s="244">
        <f t="shared" si="16"/>
        <v>1</v>
      </c>
      <c r="G157" s="248" t="str">
        <f t="shared" si="17"/>
        <v>&lt;/ct414&gt;</v>
      </c>
      <c r="H157" s="251"/>
      <c r="I157" s="246" t="str">
        <f t="shared" si="18"/>
        <v/>
      </c>
      <c r="J157" s="245"/>
      <c r="K157" s="245"/>
      <c r="L157" s="245"/>
      <c r="M157" s="247"/>
    </row>
    <row r="158" spans="1:13" x14ac:dyDescent="0.45">
      <c r="A158" s="253" t="str">
        <f t="shared" si="13"/>
        <v>&lt;ct415&gt;</v>
      </c>
      <c r="B158" s="450" t="s">
        <v>4506</v>
      </c>
      <c r="C158" s="244">
        <f t="shared" si="14"/>
        <v>1</v>
      </c>
      <c r="D158" s="244">
        <f t="shared" si="15"/>
        <v>7</v>
      </c>
      <c r="E158" s="244" t="str">
        <f t="shared" si="16"/>
        <v/>
      </c>
      <c r="G158" s="248" t="str">
        <f t="shared" si="17"/>
        <v>&lt;ct415&gt;</v>
      </c>
      <c r="H158" s="251"/>
      <c r="I158" s="246" t="str">
        <f t="shared" si="18"/>
        <v/>
      </c>
      <c r="J158" s="245"/>
      <c r="K158" s="245"/>
      <c r="L158" s="245"/>
      <c r="M158" s="247"/>
    </row>
    <row r="159" spans="1:13" x14ac:dyDescent="0.45">
      <c r="A159" s="253" t="str">
        <f t="shared" si="13"/>
        <v>&lt;/ct415&gt;</v>
      </c>
      <c r="B159" s="450" t="s">
        <v>4507</v>
      </c>
      <c r="C159" s="244">
        <f t="shared" si="14"/>
        <v>1</v>
      </c>
      <c r="D159" s="244">
        <f t="shared" si="15"/>
        <v>8</v>
      </c>
      <c r="E159" s="244">
        <f t="shared" si="16"/>
        <v>1</v>
      </c>
      <c r="G159" s="248" t="str">
        <f t="shared" si="17"/>
        <v>&lt;/ct415&gt;</v>
      </c>
      <c r="H159" s="251"/>
      <c r="I159" s="246" t="str">
        <f t="shared" si="18"/>
        <v/>
      </c>
      <c r="J159" s="245"/>
      <c r="K159" s="245"/>
      <c r="L159" s="245"/>
      <c r="M159" s="247"/>
    </row>
    <row r="160" spans="1:13" x14ac:dyDescent="0.45">
      <c r="A160" s="253" t="str">
        <f t="shared" si="13"/>
        <v>&lt;ct416&gt;</v>
      </c>
      <c r="B160" s="450" t="s">
        <v>4508</v>
      </c>
      <c r="C160" s="244">
        <f t="shared" si="14"/>
        <v>1</v>
      </c>
      <c r="D160" s="244">
        <f t="shared" si="15"/>
        <v>7</v>
      </c>
      <c r="E160" s="244" t="str">
        <f t="shared" si="16"/>
        <v/>
      </c>
      <c r="G160" s="248" t="str">
        <f t="shared" si="17"/>
        <v>&lt;ct416&gt;</v>
      </c>
      <c r="H160" s="251"/>
      <c r="I160" s="246" t="str">
        <f t="shared" si="18"/>
        <v/>
      </c>
      <c r="J160" s="245"/>
      <c r="K160" s="245"/>
      <c r="L160" s="245"/>
      <c r="M160" s="247"/>
    </row>
    <row r="161" spans="1:14" x14ac:dyDescent="0.45">
      <c r="A161" s="253" t="str">
        <f t="shared" si="13"/>
        <v>&lt;/ct416&gt;</v>
      </c>
      <c r="B161" s="450" t="s">
        <v>4509</v>
      </c>
      <c r="C161" s="244">
        <f t="shared" si="14"/>
        <v>1</v>
      </c>
      <c r="D161" s="244">
        <f t="shared" si="15"/>
        <v>8</v>
      </c>
      <c r="E161" s="244">
        <f t="shared" si="16"/>
        <v>1</v>
      </c>
      <c r="G161" s="248" t="str">
        <f t="shared" si="17"/>
        <v>&lt;/ct416&gt;</v>
      </c>
      <c r="H161" s="251"/>
      <c r="I161" s="246" t="str">
        <f t="shared" si="18"/>
        <v/>
      </c>
      <c r="J161" s="245"/>
      <c r="K161" s="245"/>
      <c r="L161" s="245"/>
      <c r="M161" s="247"/>
    </row>
    <row r="162" spans="1:14" x14ac:dyDescent="0.45">
      <c r="A162" s="253" t="str">
        <f t="shared" si="13"/>
        <v>&lt;ct417&gt;</v>
      </c>
      <c r="B162" s="450" t="s">
        <v>4510</v>
      </c>
      <c r="C162" s="244">
        <f t="shared" si="14"/>
        <v>1</v>
      </c>
      <c r="D162" s="244">
        <f t="shared" si="15"/>
        <v>7</v>
      </c>
      <c r="E162" s="244" t="str">
        <f t="shared" si="16"/>
        <v/>
      </c>
      <c r="G162" s="248" t="str">
        <f t="shared" si="17"/>
        <v>&lt;ct417&gt;</v>
      </c>
      <c r="H162" s="251"/>
      <c r="I162" s="246" t="str">
        <f t="shared" si="18"/>
        <v/>
      </c>
      <c r="J162" s="245"/>
      <c r="K162" s="245"/>
      <c r="L162" s="245"/>
      <c r="M162" s="247"/>
    </row>
    <row r="163" spans="1:14" x14ac:dyDescent="0.45">
      <c r="A163" s="253" t="str">
        <f t="shared" si="13"/>
        <v>&lt;/ct417&gt;</v>
      </c>
      <c r="B163" s="450" t="s">
        <v>4511</v>
      </c>
      <c r="C163" s="244">
        <f t="shared" si="14"/>
        <v>1</v>
      </c>
      <c r="D163" s="244">
        <f t="shared" si="15"/>
        <v>8</v>
      </c>
      <c r="E163" s="244">
        <f t="shared" si="16"/>
        <v>1</v>
      </c>
      <c r="G163" s="248" t="str">
        <f t="shared" si="17"/>
        <v>&lt;/ct417&gt;</v>
      </c>
      <c r="H163" s="251"/>
      <c r="I163" s="246" t="str">
        <f t="shared" si="18"/>
        <v/>
      </c>
      <c r="J163" s="245"/>
      <c r="K163" s="245"/>
      <c r="L163" s="245"/>
      <c r="M163" s="247"/>
    </row>
    <row r="164" spans="1:14" x14ac:dyDescent="0.45">
      <c r="A164" s="253" t="str">
        <f t="shared" si="13"/>
        <v>&lt;ct500&gt;</v>
      </c>
      <c r="B164" s="450" t="s">
        <v>4512</v>
      </c>
      <c r="C164" s="244">
        <f t="shared" si="14"/>
        <v>1</v>
      </c>
      <c r="D164" s="244">
        <f t="shared" si="15"/>
        <v>7</v>
      </c>
      <c r="E164" s="244" t="str">
        <f t="shared" si="16"/>
        <v/>
      </c>
      <c r="G164" s="248" t="str">
        <f t="shared" si="17"/>
        <v>&lt;ct500&gt;</v>
      </c>
      <c r="H164" s="251"/>
      <c r="I164" s="246" t="str">
        <f t="shared" si="18"/>
        <v/>
      </c>
      <c r="J164" s="245"/>
      <c r="K164" s="245"/>
      <c r="L164" s="245"/>
      <c r="M164" s="247"/>
    </row>
    <row r="165" spans="1:14" x14ac:dyDescent="0.45">
      <c r="A165" s="253" t="str">
        <f t="shared" si="13"/>
        <v>&lt;/ct500&gt;</v>
      </c>
      <c r="B165" s="450" t="s">
        <v>4513</v>
      </c>
      <c r="C165" s="244">
        <f t="shared" si="14"/>
        <v>1</v>
      </c>
      <c r="D165" s="244">
        <f t="shared" si="15"/>
        <v>8</v>
      </c>
      <c r="E165" s="244">
        <f t="shared" si="16"/>
        <v>1</v>
      </c>
      <c r="G165" s="248" t="str">
        <f t="shared" si="17"/>
        <v>&lt;/ct500&gt;</v>
      </c>
      <c r="H165" s="251"/>
      <c r="I165" s="246" t="str">
        <f t="shared" si="18"/>
        <v/>
      </c>
      <c r="J165" s="245"/>
      <c r="K165" s="245"/>
      <c r="L165" s="245"/>
      <c r="M165" s="247"/>
    </row>
    <row r="166" spans="1:14" x14ac:dyDescent="0.45">
      <c r="A166" s="253" t="str">
        <f t="shared" si="13"/>
        <v>&lt;/ThuyetMinh&gt;</v>
      </c>
      <c r="B166" s="450" t="s">
        <v>1445</v>
      </c>
      <c r="C166" s="244">
        <f t="shared" si="14"/>
        <v>1</v>
      </c>
      <c r="D166" s="244">
        <f t="shared" si="15"/>
        <v>13</v>
      </c>
      <c r="E166" s="244">
        <f t="shared" si="16"/>
        <v>1</v>
      </c>
      <c r="G166" s="248" t="str">
        <f t="shared" si="17"/>
        <v>&lt;/ThuyetMinh&gt;</v>
      </c>
      <c r="H166" s="251"/>
      <c r="I166" s="246" t="str">
        <f t="shared" si="18"/>
        <v/>
      </c>
      <c r="J166" s="245"/>
      <c r="K166" s="245"/>
      <c r="L166" s="245"/>
      <c r="M166" s="247"/>
    </row>
    <row r="167" spans="1:14" x14ac:dyDescent="0.45">
      <c r="A167" s="253" t="str">
        <f t="shared" si="13"/>
        <v>&lt;SoCuoiNam&gt;</v>
      </c>
      <c r="B167" s="450" t="s">
        <v>1458</v>
      </c>
      <c r="C167" s="244">
        <f t="shared" si="14"/>
        <v>1</v>
      </c>
      <c r="D167" s="244">
        <f t="shared" si="15"/>
        <v>11</v>
      </c>
      <c r="E167" s="244" t="str">
        <f t="shared" si="16"/>
        <v/>
      </c>
      <c r="G167" s="248" t="str">
        <f t="shared" si="17"/>
        <v>&lt;SoCuoiNam&gt;</v>
      </c>
      <c r="H167" s="251"/>
      <c r="I167" s="246" t="str">
        <f t="shared" si="18"/>
        <v/>
      </c>
      <c r="J167" s="245"/>
      <c r="K167" s="245"/>
      <c r="L167" s="245"/>
      <c r="M167" s="247"/>
    </row>
    <row r="168" spans="1:14" x14ac:dyDescent="0.45">
      <c r="A168" s="253" t="str">
        <f t="shared" ca="1" si="13"/>
        <v>&lt;ct110&gt;297268550&lt;/ct110&gt;</v>
      </c>
      <c r="B168" s="450" t="s">
        <v>4542</v>
      </c>
      <c r="C168" s="244">
        <f t="shared" si="14"/>
        <v>2</v>
      </c>
      <c r="D168" s="244">
        <f t="shared" si="15"/>
        <v>7</v>
      </c>
      <c r="E168" s="244">
        <f t="shared" si="16"/>
        <v>15</v>
      </c>
      <c r="G168" s="248" t="str">
        <f t="shared" si="17"/>
        <v>&lt;ct110&gt;</v>
      </c>
      <c r="H168" s="251">
        <f ca="1">VLOOKUP(N168,BaoCaoTHTC!$C$7:$F$700,3,0)</f>
        <v>297268550</v>
      </c>
      <c r="I168" s="246" t="str">
        <f t="shared" si="18"/>
        <v>&lt;/ct110&gt;</v>
      </c>
      <c r="J168" s="245"/>
      <c r="K168" s="245"/>
      <c r="L168" s="245"/>
      <c r="M168" s="247"/>
      <c r="N168">
        <v>110</v>
      </c>
    </row>
    <row r="169" spans="1:14" x14ac:dyDescent="0.45">
      <c r="A169" s="253" t="str">
        <f t="shared" ca="1" si="13"/>
        <v>&lt;ct120&gt;0&lt;/ct120&gt;</v>
      </c>
      <c r="B169" s="450" t="s">
        <v>1460</v>
      </c>
      <c r="C169" s="244">
        <f t="shared" si="14"/>
        <v>2</v>
      </c>
      <c r="D169" s="244">
        <f t="shared" si="15"/>
        <v>7</v>
      </c>
      <c r="E169" s="244">
        <f t="shared" si="16"/>
        <v>9</v>
      </c>
      <c r="G169" s="248" t="str">
        <f t="shared" si="17"/>
        <v>&lt;ct120&gt;</v>
      </c>
      <c r="H169" s="251">
        <f ca="1">VLOOKUP(N169,BaoCaoTHTC!$C$7:$F$700,3,0)</f>
        <v>0</v>
      </c>
      <c r="I169" s="246" t="str">
        <f t="shared" si="18"/>
        <v>&lt;/ct120&gt;</v>
      </c>
      <c r="J169" s="245"/>
      <c r="K169" s="245"/>
      <c r="L169" s="245"/>
      <c r="M169" s="247"/>
      <c r="N169">
        <v>120</v>
      </c>
    </row>
    <row r="170" spans="1:14" x14ac:dyDescent="0.45">
      <c r="A170" s="253" t="str">
        <f t="shared" ca="1" si="13"/>
        <v>&lt;ct121&gt;0&lt;/ct121&gt;</v>
      </c>
      <c r="B170" s="450" t="s">
        <v>1461</v>
      </c>
      <c r="C170" s="244">
        <f t="shared" si="14"/>
        <v>2</v>
      </c>
      <c r="D170" s="244">
        <f t="shared" si="15"/>
        <v>7</v>
      </c>
      <c r="E170" s="244">
        <f t="shared" si="16"/>
        <v>9</v>
      </c>
      <c r="G170" s="248" t="str">
        <f t="shared" si="17"/>
        <v>&lt;ct121&gt;</v>
      </c>
      <c r="H170" s="251">
        <f ca="1">VLOOKUP(N170,BaoCaoTHTC!$C$7:$F$700,3,0)</f>
        <v>0</v>
      </c>
      <c r="I170" s="246" t="str">
        <f t="shared" si="18"/>
        <v>&lt;/ct121&gt;</v>
      </c>
      <c r="J170" s="245"/>
      <c r="K170" s="245"/>
      <c r="L170" s="245"/>
      <c r="M170" s="247"/>
      <c r="N170">
        <v>121</v>
      </c>
    </row>
    <row r="171" spans="1:14" x14ac:dyDescent="0.45">
      <c r="A171" s="253" t="str">
        <f t="shared" ca="1" si="13"/>
        <v>&lt;ct122&gt;0&lt;/ct122&gt;</v>
      </c>
      <c r="B171" s="450" t="s">
        <v>1462</v>
      </c>
      <c r="C171" s="244">
        <f t="shared" si="14"/>
        <v>2</v>
      </c>
      <c r="D171" s="244">
        <f t="shared" si="15"/>
        <v>7</v>
      </c>
      <c r="E171" s="244">
        <f t="shared" si="16"/>
        <v>9</v>
      </c>
      <c r="G171" s="248" t="str">
        <f t="shared" si="17"/>
        <v>&lt;ct122&gt;</v>
      </c>
      <c r="H171" s="251">
        <f ca="1">VLOOKUP(N171,BaoCaoTHTC!$C$7:$F$700,3,0)</f>
        <v>0</v>
      </c>
      <c r="I171" s="246" t="str">
        <f t="shared" si="18"/>
        <v>&lt;/ct122&gt;</v>
      </c>
      <c r="J171" s="245"/>
      <c r="K171" s="245"/>
      <c r="L171" s="245"/>
      <c r="M171" s="247"/>
      <c r="N171">
        <v>122</v>
      </c>
    </row>
    <row r="172" spans="1:14" x14ac:dyDescent="0.45">
      <c r="A172" s="253" t="str">
        <f t="shared" ca="1" si="13"/>
        <v>&lt;ct123&gt;0&lt;/ct123&gt;</v>
      </c>
      <c r="B172" s="450" t="s">
        <v>1463</v>
      </c>
      <c r="C172" s="244">
        <f t="shared" si="14"/>
        <v>2</v>
      </c>
      <c r="D172" s="244">
        <f t="shared" si="15"/>
        <v>7</v>
      </c>
      <c r="E172" s="244">
        <f t="shared" si="16"/>
        <v>9</v>
      </c>
      <c r="G172" s="248" t="str">
        <f t="shared" si="17"/>
        <v>&lt;ct123&gt;</v>
      </c>
      <c r="H172" s="251">
        <f ca="1">VLOOKUP(N172,BaoCaoTHTC!$C$7:$F$700,3,0)</f>
        <v>0</v>
      </c>
      <c r="I172" s="246" t="str">
        <f t="shared" si="18"/>
        <v>&lt;/ct123&gt;</v>
      </c>
      <c r="J172" s="245"/>
      <c r="K172" s="245"/>
      <c r="L172" s="245"/>
      <c r="M172" s="247"/>
      <c r="N172">
        <v>123</v>
      </c>
    </row>
    <row r="173" spans="1:14" x14ac:dyDescent="0.45">
      <c r="A173" s="253" t="str">
        <f t="shared" ca="1" si="13"/>
        <v>&lt;ct124&gt;0&lt;/ct124&gt;</v>
      </c>
      <c r="B173" s="450" t="s">
        <v>1464</v>
      </c>
      <c r="C173" s="244">
        <f t="shared" si="14"/>
        <v>2</v>
      </c>
      <c r="D173" s="244">
        <f t="shared" si="15"/>
        <v>7</v>
      </c>
      <c r="E173" s="244">
        <f t="shared" si="16"/>
        <v>9</v>
      </c>
      <c r="G173" s="248" t="str">
        <f t="shared" si="17"/>
        <v>&lt;ct124&gt;</v>
      </c>
      <c r="H173" s="251">
        <f ca="1">VLOOKUP(N173,BaoCaoTHTC!$C$7:$F$700,3,0)</f>
        <v>0</v>
      </c>
      <c r="I173" s="246" t="str">
        <f t="shared" si="18"/>
        <v>&lt;/ct124&gt;</v>
      </c>
      <c r="J173" s="245"/>
      <c r="K173" s="245"/>
      <c r="L173" s="245"/>
      <c r="M173" s="247"/>
      <c r="N173">
        <v>124</v>
      </c>
    </row>
    <row r="174" spans="1:14" x14ac:dyDescent="0.45">
      <c r="A174" s="253" t="str">
        <f t="shared" ca="1" si="13"/>
        <v>&lt;ct130&gt;23880000&lt;/ct130&gt;</v>
      </c>
      <c r="B174" s="450" t="s">
        <v>1509</v>
      </c>
      <c r="C174" s="244">
        <f t="shared" si="14"/>
        <v>2</v>
      </c>
      <c r="D174" s="244">
        <f t="shared" si="15"/>
        <v>7</v>
      </c>
      <c r="E174" s="244">
        <f t="shared" si="16"/>
        <v>9</v>
      </c>
      <c r="G174" s="248" t="str">
        <f t="shared" si="17"/>
        <v>&lt;ct130&gt;</v>
      </c>
      <c r="H174" s="251">
        <f ca="1">VLOOKUP(N174,BaoCaoTHTC!$C$7:$F$700,3,0)</f>
        <v>23880000</v>
      </c>
      <c r="I174" s="246" t="str">
        <f t="shared" si="18"/>
        <v>&lt;/ct130&gt;</v>
      </c>
      <c r="J174" s="245"/>
      <c r="K174" s="245"/>
      <c r="L174" s="245"/>
      <c r="M174" s="247"/>
      <c r="N174">
        <v>130</v>
      </c>
    </row>
    <row r="175" spans="1:14" x14ac:dyDescent="0.45">
      <c r="A175" s="253" t="str">
        <f t="shared" ca="1" si="13"/>
        <v>&lt;ct131&gt;23880000&lt;/ct131&gt;</v>
      </c>
      <c r="B175" s="450" t="s">
        <v>1510</v>
      </c>
      <c r="C175" s="244">
        <f t="shared" si="14"/>
        <v>2</v>
      </c>
      <c r="D175" s="244">
        <f t="shared" si="15"/>
        <v>7</v>
      </c>
      <c r="E175" s="244">
        <f t="shared" si="16"/>
        <v>9</v>
      </c>
      <c r="G175" s="248" t="str">
        <f t="shared" si="17"/>
        <v>&lt;ct131&gt;</v>
      </c>
      <c r="H175" s="251">
        <f ca="1">VLOOKUP(N175,BaoCaoTHTC!$C$7:$F$700,3,0)</f>
        <v>23880000</v>
      </c>
      <c r="I175" s="246" t="str">
        <f t="shared" si="18"/>
        <v>&lt;/ct131&gt;</v>
      </c>
      <c r="J175" s="245"/>
      <c r="K175" s="245"/>
      <c r="L175" s="245"/>
      <c r="M175" s="247"/>
      <c r="N175">
        <v>131</v>
      </c>
    </row>
    <row r="176" spans="1:14" x14ac:dyDescent="0.45">
      <c r="A176" s="253" t="str">
        <f t="shared" ca="1" si="13"/>
        <v>&lt;ct132&gt;0&lt;/ct132&gt;</v>
      </c>
      <c r="B176" s="450" t="s">
        <v>1467</v>
      </c>
      <c r="C176" s="244">
        <f t="shared" si="14"/>
        <v>2</v>
      </c>
      <c r="D176" s="244">
        <f t="shared" si="15"/>
        <v>7</v>
      </c>
      <c r="E176" s="244">
        <f t="shared" si="16"/>
        <v>9</v>
      </c>
      <c r="G176" s="248" t="str">
        <f t="shared" si="17"/>
        <v>&lt;ct132&gt;</v>
      </c>
      <c r="H176" s="251">
        <f ca="1">VLOOKUP(N176,BaoCaoTHTC!$C$7:$F$700,3,0)</f>
        <v>0</v>
      </c>
      <c r="I176" s="246" t="str">
        <f t="shared" si="18"/>
        <v>&lt;/ct132&gt;</v>
      </c>
      <c r="J176" s="245"/>
      <c r="K176" s="245"/>
      <c r="L176" s="245"/>
      <c r="M176" s="247"/>
      <c r="N176">
        <v>132</v>
      </c>
    </row>
    <row r="177" spans="1:14" x14ac:dyDescent="0.45">
      <c r="A177" s="253" t="str">
        <f t="shared" ca="1" si="13"/>
        <v>&lt;ct133&gt;0&lt;/ct133&gt;</v>
      </c>
      <c r="B177" s="450" t="s">
        <v>1468</v>
      </c>
      <c r="C177" s="244">
        <f t="shared" si="14"/>
        <v>2</v>
      </c>
      <c r="D177" s="244">
        <f t="shared" si="15"/>
        <v>7</v>
      </c>
      <c r="E177" s="244">
        <f t="shared" si="16"/>
        <v>9</v>
      </c>
      <c r="G177" s="248" t="str">
        <f t="shared" si="17"/>
        <v>&lt;ct133&gt;</v>
      </c>
      <c r="H177" s="251">
        <f ca="1">VLOOKUP(N177,BaoCaoTHTC!$C$7:$F$700,3,0)</f>
        <v>0</v>
      </c>
      <c r="I177" s="246" t="str">
        <f t="shared" si="18"/>
        <v>&lt;/ct133&gt;</v>
      </c>
      <c r="J177" s="245"/>
      <c r="K177" s="245"/>
      <c r="L177" s="245"/>
      <c r="M177" s="247"/>
      <c r="N177">
        <v>133</v>
      </c>
    </row>
    <row r="178" spans="1:14" x14ac:dyDescent="0.45">
      <c r="A178" s="253" t="str">
        <f t="shared" ca="1" si="13"/>
        <v>&lt;ct134&gt;0&lt;/ct134&gt;</v>
      </c>
      <c r="B178" s="450" t="s">
        <v>1511</v>
      </c>
      <c r="C178" s="244">
        <f t="shared" si="14"/>
        <v>2</v>
      </c>
      <c r="D178" s="244">
        <f t="shared" si="15"/>
        <v>7</v>
      </c>
      <c r="E178" s="244">
        <f t="shared" si="16"/>
        <v>9</v>
      </c>
      <c r="G178" s="248" t="str">
        <f t="shared" si="17"/>
        <v>&lt;ct134&gt;</v>
      </c>
      <c r="H178" s="251">
        <f ca="1">VLOOKUP(N178,BaoCaoTHTC!$C$7:$F$700,3,0)</f>
        <v>0</v>
      </c>
      <c r="I178" s="246" t="str">
        <f t="shared" si="18"/>
        <v>&lt;/ct134&gt;</v>
      </c>
      <c r="J178" s="245"/>
      <c r="K178" s="245"/>
      <c r="L178" s="245"/>
      <c r="M178" s="247"/>
      <c r="N178">
        <v>134</v>
      </c>
    </row>
    <row r="179" spans="1:14" x14ac:dyDescent="0.45">
      <c r="A179" s="253" t="str">
        <f t="shared" ca="1" si="13"/>
        <v>&lt;ct135&gt;0&lt;/ct135&gt;</v>
      </c>
      <c r="B179" s="450" t="s">
        <v>1470</v>
      </c>
      <c r="C179" s="244">
        <f t="shared" si="14"/>
        <v>2</v>
      </c>
      <c r="D179" s="244">
        <f t="shared" si="15"/>
        <v>7</v>
      </c>
      <c r="E179" s="244">
        <f t="shared" si="16"/>
        <v>9</v>
      </c>
      <c r="G179" s="248" t="str">
        <f t="shared" si="17"/>
        <v>&lt;ct135&gt;</v>
      </c>
      <c r="H179" s="251">
        <f ca="1">VLOOKUP(N179,BaoCaoTHTC!$C$7:$F$700,3,0)</f>
        <v>0</v>
      </c>
      <c r="I179" s="246" t="str">
        <f t="shared" si="18"/>
        <v>&lt;/ct135&gt;</v>
      </c>
      <c r="J179" s="245"/>
      <c r="K179" s="245"/>
      <c r="L179" s="245"/>
      <c r="M179" s="247"/>
      <c r="N179">
        <v>135</v>
      </c>
    </row>
    <row r="180" spans="1:14" x14ac:dyDescent="0.45">
      <c r="A180" s="253" t="str">
        <f t="shared" ca="1" si="13"/>
        <v>&lt;ct136&gt;0&lt;/ct136&gt;</v>
      </c>
      <c r="B180" s="450" t="s">
        <v>1471</v>
      </c>
      <c r="C180" s="244">
        <f t="shared" si="14"/>
        <v>2</v>
      </c>
      <c r="D180" s="244">
        <f t="shared" si="15"/>
        <v>7</v>
      </c>
      <c r="E180" s="244">
        <f t="shared" si="16"/>
        <v>9</v>
      </c>
      <c r="G180" s="248" t="str">
        <f t="shared" si="17"/>
        <v>&lt;ct136&gt;</v>
      </c>
      <c r="H180" s="251">
        <f ca="1">VLOOKUP(N180,BaoCaoTHTC!$C$7:$F$700,3,0)</f>
        <v>0</v>
      </c>
      <c r="I180" s="246" t="str">
        <f t="shared" si="18"/>
        <v>&lt;/ct136&gt;</v>
      </c>
      <c r="J180" s="245"/>
      <c r="K180" s="245"/>
      <c r="L180" s="245"/>
      <c r="M180" s="247"/>
      <c r="N180">
        <v>136</v>
      </c>
    </row>
    <row r="181" spans="1:14" x14ac:dyDescent="0.45">
      <c r="A181" s="253" t="str">
        <f t="shared" ca="1" si="13"/>
        <v>&lt;ct140&gt;0&lt;/ct140&gt;</v>
      </c>
      <c r="B181" s="450" t="s">
        <v>1512</v>
      </c>
      <c r="C181" s="244">
        <f t="shared" si="14"/>
        <v>2</v>
      </c>
      <c r="D181" s="244">
        <f t="shared" si="15"/>
        <v>7</v>
      </c>
      <c r="E181" s="244">
        <f t="shared" si="16"/>
        <v>9</v>
      </c>
      <c r="G181" s="248" t="str">
        <f t="shared" si="17"/>
        <v>&lt;ct140&gt;</v>
      </c>
      <c r="H181" s="251">
        <f ca="1">VLOOKUP(N181,BaoCaoTHTC!$C$7:$F$700,3,0)</f>
        <v>0</v>
      </c>
      <c r="I181" s="246" t="str">
        <f t="shared" si="18"/>
        <v>&lt;/ct140&gt;</v>
      </c>
      <c r="J181" s="245"/>
      <c r="K181" s="245"/>
      <c r="L181" s="245"/>
      <c r="M181" s="247"/>
      <c r="N181">
        <v>140</v>
      </c>
    </row>
    <row r="182" spans="1:14" x14ac:dyDescent="0.45">
      <c r="A182" s="253" t="str">
        <f t="shared" ca="1" si="13"/>
        <v>&lt;ct141&gt;0&lt;/ct141&gt;</v>
      </c>
      <c r="B182" s="450" t="s">
        <v>1513</v>
      </c>
      <c r="C182" s="244">
        <f t="shared" si="14"/>
        <v>2</v>
      </c>
      <c r="D182" s="244">
        <f t="shared" si="15"/>
        <v>7</v>
      </c>
      <c r="E182" s="244">
        <f t="shared" si="16"/>
        <v>9</v>
      </c>
      <c r="G182" s="248" t="str">
        <f t="shared" si="17"/>
        <v>&lt;ct141&gt;</v>
      </c>
      <c r="H182" s="251">
        <f ca="1">VLOOKUP(N182,BaoCaoTHTC!$C$7:$F$700,3,0)</f>
        <v>0</v>
      </c>
      <c r="I182" s="246" t="str">
        <f t="shared" si="18"/>
        <v>&lt;/ct141&gt;</v>
      </c>
      <c r="J182" s="245"/>
      <c r="K182" s="245"/>
      <c r="L182" s="245"/>
      <c r="M182" s="247"/>
      <c r="N182">
        <v>141</v>
      </c>
    </row>
    <row r="183" spans="1:14" x14ac:dyDescent="0.45">
      <c r="A183" s="253" t="str">
        <f t="shared" ca="1" si="13"/>
        <v>&lt;ct142&gt;0&lt;/ct142&gt;</v>
      </c>
      <c r="B183" s="450" t="s">
        <v>1474</v>
      </c>
      <c r="C183" s="244">
        <f t="shared" si="14"/>
        <v>2</v>
      </c>
      <c r="D183" s="244">
        <f t="shared" si="15"/>
        <v>7</v>
      </c>
      <c r="E183" s="244">
        <f t="shared" si="16"/>
        <v>9</v>
      </c>
      <c r="G183" s="248" t="str">
        <f t="shared" si="17"/>
        <v>&lt;ct142&gt;</v>
      </c>
      <c r="H183" s="251">
        <f ca="1">VLOOKUP(N183,BaoCaoTHTC!$C$7:$F$700,3,0)</f>
        <v>0</v>
      </c>
      <c r="I183" s="246" t="str">
        <f t="shared" si="18"/>
        <v>&lt;/ct142&gt;</v>
      </c>
      <c r="J183" s="245"/>
      <c r="K183" s="245"/>
      <c r="L183" s="245"/>
      <c r="M183" s="247"/>
      <c r="N183">
        <v>142</v>
      </c>
    </row>
    <row r="184" spans="1:14" x14ac:dyDescent="0.45">
      <c r="A184" s="253" t="str">
        <f t="shared" ca="1" si="13"/>
        <v>&lt;ct150&gt;413418442&lt;/ct150&gt;</v>
      </c>
      <c r="B184" s="450" t="s">
        <v>1475</v>
      </c>
      <c r="C184" s="244">
        <f t="shared" si="14"/>
        <v>2</v>
      </c>
      <c r="D184" s="244">
        <f t="shared" si="15"/>
        <v>7</v>
      </c>
      <c r="E184" s="244">
        <f t="shared" si="16"/>
        <v>9</v>
      </c>
      <c r="G184" s="248" t="str">
        <f t="shared" si="17"/>
        <v>&lt;ct150&gt;</v>
      </c>
      <c r="H184" s="251">
        <f ca="1">VLOOKUP(N184,BaoCaoTHTC!$C$7:$F$700,3,0)</f>
        <v>413418442</v>
      </c>
      <c r="I184" s="246" t="str">
        <f t="shared" si="18"/>
        <v>&lt;/ct150&gt;</v>
      </c>
      <c r="J184" s="245"/>
      <c r="K184" s="245"/>
      <c r="L184" s="245"/>
      <c r="M184" s="247"/>
      <c r="N184">
        <v>150</v>
      </c>
    </row>
    <row r="185" spans="1:14" x14ac:dyDescent="0.45">
      <c r="A185" s="253" t="str">
        <f t="shared" ca="1" si="13"/>
        <v>&lt;ct151&gt;423501818&lt;/ct151&gt;</v>
      </c>
      <c r="B185" s="450" t="s">
        <v>1476</v>
      </c>
      <c r="C185" s="244">
        <f t="shared" si="14"/>
        <v>2</v>
      </c>
      <c r="D185" s="244">
        <f t="shared" si="15"/>
        <v>7</v>
      </c>
      <c r="E185" s="244">
        <f t="shared" si="16"/>
        <v>9</v>
      </c>
      <c r="G185" s="248" t="str">
        <f t="shared" si="17"/>
        <v>&lt;ct151&gt;</v>
      </c>
      <c r="H185" s="251">
        <f ca="1">VLOOKUP(N185,BaoCaoTHTC!$C$7:$F$700,3,0)</f>
        <v>423501818</v>
      </c>
      <c r="I185" s="246" t="str">
        <f t="shared" si="18"/>
        <v>&lt;/ct151&gt;</v>
      </c>
      <c r="J185" s="245"/>
      <c r="K185" s="245"/>
      <c r="L185" s="245"/>
      <c r="M185" s="247"/>
      <c r="N185">
        <v>151</v>
      </c>
    </row>
    <row r="186" spans="1:14" x14ac:dyDescent="0.45">
      <c r="A186" s="253" t="str">
        <f t="shared" ca="1" si="13"/>
        <v>&lt;ct152&gt;-10083376&lt;/ct152&gt;</v>
      </c>
      <c r="B186" s="450" t="s">
        <v>1477</v>
      </c>
      <c r="C186" s="244">
        <f t="shared" si="14"/>
        <v>2</v>
      </c>
      <c r="D186" s="244">
        <f t="shared" si="15"/>
        <v>7</v>
      </c>
      <c r="E186" s="244">
        <f t="shared" si="16"/>
        <v>9</v>
      </c>
      <c r="G186" s="248" t="str">
        <f t="shared" si="17"/>
        <v>&lt;ct152&gt;</v>
      </c>
      <c r="H186" s="251">
        <f ca="1">VLOOKUP(N186,BaoCaoTHTC!$C$7:$F$700,3,0)</f>
        <v>-10083376</v>
      </c>
      <c r="I186" s="246" t="str">
        <f t="shared" si="18"/>
        <v>&lt;/ct152&gt;</v>
      </c>
      <c r="J186" s="245"/>
      <c r="K186" s="245"/>
      <c r="L186" s="245"/>
      <c r="M186" s="247"/>
      <c r="N186">
        <v>152</v>
      </c>
    </row>
    <row r="187" spans="1:14" x14ac:dyDescent="0.45">
      <c r="A187" s="253" t="str">
        <f t="shared" ca="1" si="13"/>
        <v>&lt;ct160&gt;0&lt;/ct160&gt;</v>
      </c>
      <c r="B187" s="450" t="s">
        <v>1478</v>
      </c>
      <c r="C187" s="244">
        <f t="shared" si="14"/>
        <v>2</v>
      </c>
      <c r="D187" s="244">
        <f t="shared" si="15"/>
        <v>7</v>
      </c>
      <c r="E187" s="244">
        <f t="shared" si="16"/>
        <v>9</v>
      </c>
      <c r="G187" s="248" t="str">
        <f t="shared" si="17"/>
        <v>&lt;ct160&gt;</v>
      </c>
      <c r="H187" s="251">
        <f ca="1">VLOOKUP(N187,BaoCaoTHTC!$C$7:$F$700,3,0)</f>
        <v>0</v>
      </c>
      <c r="I187" s="246" t="str">
        <f t="shared" si="18"/>
        <v>&lt;/ct160&gt;</v>
      </c>
      <c r="J187" s="245"/>
      <c r="K187" s="245"/>
      <c r="L187" s="245"/>
      <c r="M187" s="247"/>
      <c r="N187">
        <v>160</v>
      </c>
    </row>
    <row r="188" spans="1:14" x14ac:dyDescent="0.45">
      <c r="A188" s="253" t="str">
        <f t="shared" ca="1" si="13"/>
        <v>&lt;ct161&gt;0&lt;/ct161&gt;</v>
      </c>
      <c r="B188" s="450" t="s">
        <v>1479</v>
      </c>
      <c r="C188" s="244">
        <f t="shared" si="14"/>
        <v>2</v>
      </c>
      <c r="D188" s="244">
        <f t="shared" si="15"/>
        <v>7</v>
      </c>
      <c r="E188" s="244">
        <f t="shared" si="16"/>
        <v>9</v>
      </c>
      <c r="G188" s="248" t="str">
        <f t="shared" si="17"/>
        <v>&lt;ct161&gt;</v>
      </c>
      <c r="H188" s="251">
        <f ca="1">VLOOKUP(N188,BaoCaoTHTC!$C$7:$F$700,3,0)</f>
        <v>0</v>
      </c>
      <c r="I188" s="246" t="str">
        <f t="shared" si="18"/>
        <v>&lt;/ct161&gt;</v>
      </c>
      <c r="J188" s="245"/>
      <c r="K188" s="245"/>
      <c r="L188" s="245"/>
      <c r="M188" s="247"/>
      <c r="N188">
        <v>161</v>
      </c>
    </row>
    <row r="189" spans="1:14" x14ac:dyDescent="0.45">
      <c r="A189" s="253" t="str">
        <f t="shared" ca="1" si="13"/>
        <v>&lt;ct162&gt;0&lt;/ct162&gt;</v>
      </c>
      <c r="B189" s="450" t="s">
        <v>1480</v>
      </c>
      <c r="C189" s="244">
        <f t="shared" si="14"/>
        <v>2</v>
      </c>
      <c r="D189" s="244">
        <f t="shared" si="15"/>
        <v>7</v>
      </c>
      <c r="E189" s="244">
        <f t="shared" si="16"/>
        <v>9</v>
      </c>
      <c r="G189" s="248" t="str">
        <f t="shared" si="17"/>
        <v>&lt;ct162&gt;</v>
      </c>
      <c r="H189" s="251">
        <f ca="1">VLOOKUP(N189,BaoCaoTHTC!$C$7:$F$700,3,0)</f>
        <v>0</v>
      </c>
      <c r="I189" s="246" t="str">
        <f t="shared" si="18"/>
        <v>&lt;/ct162&gt;</v>
      </c>
      <c r="J189" s="245"/>
      <c r="K189" s="245"/>
      <c r="L189" s="245"/>
      <c r="M189" s="247"/>
      <c r="N189">
        <v>162</v>
      </c>
    </row>
    <row r="190" spans="1:14" x14ac:dyDescent="0.45">
      <c r="A190" s="253" t="str">
        <f t="shared" ca="1" si="13"/>
        <v>&lt;ct170&gt;0&lt;/ct170&gt;</v>
      </c>
      <c r="B190" s="450" t="s">
        <v>1514</v>
      </c>
      <c r="C190" s="244">
        <f t="shared" si="14"/>
        <v>2</v>
      </c>
      <c r="D190" s="244">
        <f t="shared" si="15"/>
        <v>7</v>
      </c>
      <c r="E190" s="244">
        <f t="shared" si="16"/>
        <v>9</v>
      </c>
      <c r="G190" s="248" t="str">
        <f t="shared" si="17"/>
        <v>&lt;ct170&gt;</v>
      </c>
      <c r="H190" s="251">
        <f ca="1">VLOOKUP(N190,BaoCaoTHTC!$C$7:$F$700,3,0)</f>
        <v>0</v>
      </c>
      <c r="I190" s="246" t="str">
        <f t="shared" si="18"/>
        <v>&lt;/ct170&gt;</v>
      </c>
      <c r="J190" s="245"/>
      <c r="K190" s="245"/>
      <c r="L190" s="245"/>
      <c r="M190" s="247"/>
      <c r="N190">
        <v>170</v>
      </c>
    </row>
    <row r="191" spans="1:14" x14ac:dyDescent="0.45">
      <c r="A191" s="253" t="str">
        <f t="shared" ca="1" si="13"/>
        <v>&lt;ct180&gt;61583732&lt;/ct180&gt;</v>
      </c>
      <c r="B191" s="450" t="s">
        <v>1515</v>
      </c>
      <c r="C191" s="244">
        <f t="shared" si="14"/>
        <v>2</v>
      </c>
      <c r="D191" s="244">
        <f t="shared" si="15"/>
        <v>7</v>
      </c>
      <c r="E191" s="244">
        <f t="shared" si="16"/>
        <v>9</v>
      </c>
      <c r="G191" s="248" t="str">
        <f t="shared" si="17"/>
        <v>&lt;ct180&gt;</v>
      </c>
      <c r="H191" s="251">
        <f ca="1">VLOOKUP(N191,BaoCaoTHTC!$C$7:$F$700,3,0)</f>
        <v>61583732</v>
      </c>
      <c r="I191" s="246" t="str">
        <f t="shared" si="18"/>
        <v>&lt;/ct180&gt;</v>
      </c>
      <c r="J191" s="245"/>
      <c r="K191" s="245"/>
      <c r="L191" s="245"/>
      <c r="M191" s="247"/>
      <c r="N191">
        <v>180</v>
      </c>
    </row>
    <row r="192" spans="1:14" x14ac:dyDescent="0.45">
      <c r="A192" s="253" t="str">
        <f t="shared" ca="1" si="13"/>
        <v>&lt;ct181&gt;39033631&lt;/ct181&gt;</v>
      </c>
      <c r="B192" s="450" t="s">
        <v>1483</v>
      </c>
      <c r="C192" s="244">
        <f t="shared" si="14"/>
        <v>2</v>
      </c>
      <c r="D192" s="244">
        <f t="shared" si="15"/>
        <v>7</v>
      </c>
      <c r="E192" s="244">
        <f t="shared" si="16"/>
        <v>9</v>
      </c>
      <c r="G192" s="248" t="str">
        <f t="shared" si="17"/>
        <v>&lt;ct181&gt;</v>
      </c>
      <c r="H192" s="251">
        <f ca="1">VLOOKUP(N192,BaoCaoTHTC!$C$7:$F$700,3,0)</f>
        <v>39033631</v>
      </c>
      <c r="I192" s="246" t="str">
        <f t="shared" si="18"/>
        <v>&lt;/ct181&gt;</v>
      </c>
      <c r="J192" s="245"/>
      <c r="K192" s="245"/>
      <c r="L192" s="245"/>
      <c r="M192" s="247"/>
      <c r="N192">
        <v>181</v>
      </c>
    </row>
    <row r="193" spans="1:14" x14ac:dyDescent="0.45">
      <c r="A193" s="253" t="str">
        <f t="shared" ca="1" si="13"/>
        <v>&lt;ct182&gt;22550101&lt;/ct182&gt;</v>
      </c>
      <c r="B193" s="450" t="s">
        <v>1516</v>
      </c>
      <c r="C193" s="244">
        <f t="shared" si="14"/>
        <v>2</v>
      </c>
      <c r="D193" s="244">
        <f t="shared" si="15"/>
        <v>7</v>
      </c>
      <c r="E193" s="244">
        <f t="shared" si="16"/>
        <v>9</v>
      </c>
      <c r="G193" s="248" t="str">
        <f t="shared" si="17"/>
        <v>&lt;ct182&gt;</v>
      </c>
      <c r="H193" s="251">
        <f ca="1">VLOOKUP(N193,BaoCaoTHTC!$C$7:$F$700,3,0)</f>
        <v>22550101</v>
      </c>
      <c r="I193" s="246" t="str">
        <f t="shared" si="18"/>
        <v>&lt;/ct182&gt;</v>
      </c>
      <c r="J193" s="245"/>
      <c r="K193" s="245"/>
      <c r="L193" s="245"/>
      <c r="M193" s="247"/>
      <c r="N193">
        <v>182</v>
      </c>
    </row>
    <row r="194" spans="1:14" x14ac:dyDescent="0.45">
      <c r="A194" s="253" t="str">
        <f t="shared" ca="1" si="13"/>
        <v>&lt;ct200&gt;796150724&lt;/ct200&gt;</v>
      </c>
      <c r="B194" s="450" t="s">
        <v>4543</v>
      </c>
      <c r="C194" s="244">
        <f t="shared" si="14"/>
        <v>2</v>
      </c>
      <c r="D194" s="244">
        <f t="shared" si="15"/>
        <v>7</v>
      </c>
      <c r="E194" s="244">
        <f t="shared" si="16"/>
        <v>15</v>
      </c>
      <c r="G194" s="248" t="str">
        <f t="shared" si="17"/>
        <v>&lt;ct200&gt;</v>
      </c>
      <c r="H194" s="251">
        <f ca="1">VLOOKUP(N194,BaoCaoTHTC!$C$7:$F$700,3,0)</f>
        <v>796150724</v>
      </c>
      <c r="I194" s="246" t="str">
        <f t="shared" si="18"/>
        <v>&lt;/ct200&gt;</v>
      </c>
      <c r="J194" s="245"/>
      <c r="K194" s="245"/>
      <c r="L194" s="245"/>
      <c r="M194" s="247"/>
      <c r="N194">
        <v>200</v>
      </c>
    </row>
    <row r="195" spans="1:14" x14ac:dyDescent="0.45">
      <c r="A195" s="253" t="str">
        <f t="shared" ca="1" si="13"/>
        <v>&lt;ct300&gt;288008545&lt;/ct300&gt;</v>
      </c>
      <c r="B195" s="450" t="s">
        <v>1518</v>
      </c>
      <c r="C195" s="244">
        <f t="shared" si="14"/>
        <v>2</v>
      </c>
      <c r="D195" s="244">
        <f t="shared" si="15"/>
        <v>7</v>
      </c>
      <c r="E195" s="244">
        <f t="shared" si="16"/>
        <v>9</v>
      </c>
      <c r="G195" s="248" t="str">
        <f t="shared" si="17"/>
        <v>&lt;ct300&gt;</v>
      </c>
      <c r="H195" s="251">
        <f ca="1">VLOOKUP(N195,BaoCaoTHTC!$C$7:$F$700,3,0)</f>
        <v>288008545</v>
      </c>
      <c r="I195" s="246" t="str">
        <f t="shared" si="18"/>
        <v>&lt;/ct300&gt;</v>
      </c>
      <c r="J195" s="245"/>
      <c r="K195" s="245"/>
      <c r="L195" s="245"/>
      <c r="M195" s="247"/>
      <c r="N195">
        <v>300</v>
      </c>
    </row>
    <row r="196" spans="1:14" x14ac:dyDescent="0.45">
      <c r="A196" s="253" t="str">
        <f t="shared" ref="A196:A259" ca="1" si="19">CONCATENATE(G196,H196,I196)</f>
        <v>&lt;ct311&gt;0&lt;/ct311&gt;</v>
      </c>
      <c r="B196" s="450" t="s">
        <v>1519</v>
      </c>
      <c r="C196" s="244">
        <f t="shared" si="14"/>
        <v>2</v>
      </c>
      <c r="D196" s="244">
        <f t="shared" si="15"/>
        <v>7</v>
      </c>
      <c r="E196" s="244">
        <f t="shared" si="16"/>
        <v>9</v>
      </c>
      <c r="G196" s="248" t="str">
        <f t="shared" si="17"/>
        <v>&lt;ct311&gt;</v>
      </c>
      <c r="H196" s="251">
        <f ca="1">VLOOKUP(N196,BaoCaoTHTC!$C$7:$F$700,3,0)</f>
        <v>0</v>
      </c>
      <c r="I196" s="246" t="str">
        <f t="shared" si="18"/>
        <v>&lt;/ct311&gt;</v>
      </c>
      <c r="J196" s="245"/>
      <c r="K196" s="245"/>
      <c r="L196" s="245"/>
      <c r="M196" s="247"/>
      <c r="N196">
        <v>311</v>
      </c>
    </row>
    <row r="197" spans="1:14" x14ac:dyDescent="0.45">
      <c r="A197" s="253" t="str">
        <f t="shared" ca="1" si="19"/>
        <v>&lt;ct312&gt;0&lt;/ct312&gt;</v>
      </c>
      <c r="B197" s="450" t="s">
        <v>1488</v>
      </c>
      <c r="C197" s="244">
        <f t="shared" si="14"/>
        <v>2</v>
      </c>
      <c r="D197" s="244">
        <f t="shared" si="15"/>
        <v>7</v>
      </c>
      <c r="E197" s="244">
        <f t="shared" si="16"/>
        <v>9</v>
      </c>
      <c r="G197" s="248" t="str">
        <f t="shared" si="17"/>
        <v>&lt;ct312&gt;</v>
      </c>
      <c r="H197" s="251">
        <f ca="1">VLOOKUP(N197,BaoCaoTHTC!$C$7:$F$700,3,0)</f>
        <v>0</v>
      </c>
      <c r="I197" s="246" t="str">
        <f t="shared" si="18"/>
        <v>&lt;/ct312&gt;</v>
      </c>
      <c r="J197" s="245"/>
      <c r="K197" s="245"/>
      <c r="L197" s="245"/>
      <c r="M197" s="247"/>
      <c r="N197">
        <v>312</v>
      </c>
    </row>
    <row r="198" spans="1:14" x14ac:dyDescent="0.45">
      <c r="A198" s="253" t="str">
        <f t="shared" ca="1" si="19"/>
        <v>&lt;ct313&gt;2035545&lt;/ct313&gt;</v>
      </c>
      <c r="B198" s="450" t="s">
        <v>1520</v>
      </c>
      <c r="C198" s="244">
        <f t="shared" si="14"/>
        <v>2</v>
      </c>
      <c r="D198" s="244">
        <f t="shared" si="15"/>
        <v>7</v>
      </c>
      <c r="E198" s="244">
        <f t="shared" si="16"/>
        <v>9</v>
      </c>
      <c r="G198" s="248" t="str">
        <f t="shared" si="17"/>
        <v>&lt;ct313&gt;</v>
      </c>
      <c r="H198" s="251">
        <f ca="1">VLOOKUP(N198,BaoCaoTHTC!$C$7:$F$700,3,0)</f>
        <v>2035545</v>
      </c>
      <c r="I198" s="246" t="str">
        <f t="shared" si="18"/>
        <v>&lt;/ct313&gt;</v>
      </c>
      <c r="J198" s="245"/>
      <c r="K198" s="245"/>
      <c r="L198" s="245"/>
      <c r="M198" s="247"/>
      <c r="N198">
        <v>313</v>
      </c>
    </row>
    <row r="199" spans="1:14" x14ac:dyDescent="0.45">
      <c r="A199" s="253" t="str">
        <f t="shared" ca="1" si="19"/>
        <v>&lt;ct314&gt;0&lt;/ct314&gt;</v>
      </c>
      <c r="B199" s="450" t="s">
        <v>1521</v>
      </c>
      <c r="C199" s="244">
        <f t="shared" si="14"/>
        <v>2</v>
      </c>
      <c r="D199" s="244">
        <f t="shared" si="15"/>
        <v>7</v>
      </c>
      <c r="E199" s="244">
        <f t="shared" si="16"/>
        <v>9</v>
      </c>
      <c r="G199" s="248" t="str">
        <f t="shared" si="17"/>
        <v>&lt;ct314&gt;</v>
      </c>
      <c r="H199" s="251">
        <f ca="1">VLOOKUP(N199,BaoCaoTHTC!$C$7:$F$700,3,0)</f>
        <v>0</v>
      </c>
      <c r="I199" s="246" t="str">
        <f t="shared" si="18"/>
        <v>&lt;/ct314&gt;</v>
      </c>
      <c r="J199" s="245"/>
      <c r="K199" s="245"/>
      <c r="L199" s="245"/>
      <c r="M199" s="247"/>
      <c r="N199">
        <v>314</v>
      </c>
    </row>
    <row r="200" spans="1:14" x14ac:dyDescent="0.45">
      <c r="A200" s="253" t="str">
        <f t="shared" ca="1" si="19"/>
        <v>&lt;ct315&gt;0&lt;/ct315&gt;</v>
      </c>
      <c r="B200" s="450" t="s">
        <v>1522</v>
      </c>
      <c r="C200" s="244">
        <f t="shared" si="14"/>
        <v>2</v>
      </c>
      <c r="D200" s="244">
        <f t="shared" si="15"/>
        <v>7</v>
      </c>
      <c r="E200" s="244">
        <f t="shared" si="16"/>
        <v>9</v>
      </c>
      <c r="G200" s="248" t="str">
        <f t="shared" si="17"/>
        <v>&lt;ct315&gt;</v>
      </c>
      <c r="H200" s="251">
        <f ca="1">VLOOKUP(N200,BaoCaoTHTC!$C$7:$F$700,3,0)</f>
        <v>0</v>
      </c>
      <c r="I200" s="246" t="str">
        <f t="shared" si="18"/>
        <v>&lt;/ct315&gt;</v>
      </c>
      <c r="J200" s="245"/>
      <c r="K200" s="245"/>
      <c r="L200" s="245"/>
      <c r="M200" s="247"/>
      <c r="N200">
        <v>315</v>
      </c>
    </row>
    <row r="201" spans="1:14" x14ac:dyDescent="0.45">
      <c r="A201" s="253" t="str">
        <f t="shared" ca="1" si="19"/>
        <v>&lt;ct316&gt;285973000&lt;/ct316&gt;</v>
      </c>
      <c r="B201" s="450" t="s">
        <v>1523</v>
      </c>
      <c r="C201" s="244">
        <f t="shared" si="14"/>
        <v>2</v>
      </c>
      <c r="D201" s="244">
        <f t="shared" si="15"/>
        <v>7</v>
      </c>
      <c r="E201" s="244">
        <f t="shared" si="16"/>
        <v>9</v>
      </c>
      <c r="G201" s="248" t="str">
        <f t="shared" si="17"/>
        <v>&lt;ct316&gt;</v>
      </c>
      <c r="H201" s="251">
        <f ca="1">VLOOKUP(N201,BaoCaoTHTC!$C$7:$F$700,3,0)</f>
        <v>285973000</v>
      </c>
      <c r="I201" s="246" t="str">
        <f t="shared" si="18"/>
        <v>&lt;/ct316&gt;</v>
      </c>
      <c r="J201" s="245"/>
      <c r="K201" s="245"/>
      <c r="L201" s="245"/>
      <c r="M201" s="247"/>
      <c r="N201">
        <v>316</v>
      </c>
    </row>
    <row r="202" spans="1:14" x14ac:dyDescent="0.45">
      <c r="A202" s="253" t="str">
        <f t="shared" ca="1" si="19"/>
        <v>&lt;ct317&gt;0&lt;/ct317&gt;</v>
      </c>
      <c r="B202" s="450" t="s">
        <v>1493</v>
      </c>
      <c r="C202" s="244">
        <f t="shared" si="14"/>
        <v>2</v>
      </c>
      <c r="D202" s="244">
        <f t="shared" si="15"/>
        <v>7</v>
      </c>
      <c r="E202" s="244">
        <f t="shared" si="16"/>
        <v>9</v>
      </c>
      <c r="G202" s="248" t="str">
        <f t="shared" si="17"/>
        <v>&lt;ct317&gt;</v>
      </c>
      <c r="H202" s="251">
        <f ca="1">VLOOKUP(N202,BaoCaoTHTC!$C$7:$F$700,3,0)</f>
        <v>0</v>
      </c>
      <c r="I202" s="246" t="str">
        <f t="shared" si="18"/>
        <v>&lt;/ct317&gt;</v>
      </c>
      <c r="J202" s="245"/>
      <c r="K202" s="245"/>
      <c r="L202" s="245"/>
      <c r="M202" s="247"/>
      <c r="N202">
        <v>317</v>
      </c>
    </row>
    <row r="203" spans="1:14" x14ac:dyDescent="0.45">
      <c r="A203" s="253" t="str">
        <f t="shared" ca="1" si="19"/>
        <v>&lt;ct318&gt;0&lt;/ct318&gt;</v>
      </c>
      <c r="B203" s="450" t="s">
        <v>1494</v>
      </c>
      <c r="C203" s="244">
        <f t="shared" si="14"/>
        <v>2</v>
      </c>
      <c r="D203" s="244">
        <f t="shared" si="15"/>
        <v>7</v>
      </c>
      <c r="E203" s="244">
        <f t="shared" si="16"/>
        <v>9</v>
      </c>
      <c r="G203" s="248" t="str">
        <f t="shared" si="17"/>
        <v>&lt;ct318&gt;</v>
      </c>
      <c r="H203" s="251">
        <f ca="1">VLOOKUP(N203,BaoCaoTHTC!$C$7:$F$700,3,0)</f>
        <v>0</v>
      </c>
      <c r="I203" s="246" t="str">
        <f t="shared" si="18"/>
        <v>&lt;/ct318&gt;</v>
      </c>
      <c r="J203" s="245"/>
      <c r="K203" s="245"/>
      <c r="L203" s="245"/>
      <c r="M203" s="247"/>
      <c r="N203">
        <v>318</v>
      </c>
    </row>
    <row r="204" spans="1:14" x14ac:dyDescent="0.45">
      <c r="A204" s="253" t="str">
        <f t="shared" ca="1" si="19"/>
        <v>&lt;ct319&gt;0&lt;/ct319&gt;</v>
      </c>
      <c r="B204" s="450" t="s">
        <v>1495</v>
      </c>
      <c r="C204" s="244">
        <f t="shared" si="14"/>
        <v>2</v>
      </c>
      <c r="D204" s="244">
        <f t="shared" si="15"/>
        <v>7</v>
      </c>
      <c r="E204" s="244">
        <f t="shared" si="16"/>
        <v>9</v>
      </c>
      <c r="G204" s="248" t="str">
        <f t="shared" si="17"/>
        <v>&lt;ct319&gt;</v>
      </c>
      <c r="H204" s="251">
        <f ca="1">VLOOKUP(N204,BaoCaoTHTC!$C$7:$F$700,3,0)</f>
        <v>0</v>
      </c>
      <c r="I204" s="246" t="str">
        <f t="shared" si="18"/>
        <v>&lt;/ct319&gt;</v>
      </c>
      <c r="J204" s="245"/>
      <c r="K204" s="245"/>
      <c r="L204" s="245"/>
      <c r="M204" s="247"/>
      <c r="N204">
        <v>319</v>
      </c>
    </row>
    <row r="205" spans="1:14" x14ac:dyDescent="0.45">
      <c r="A205" s="253" t="str">
        <f t="shared" ca="1" si="19"/>
        <v>&lt;ct320&gt;0&lt;/ct320&gt;</v>
      </c>
      <c r="B205" s="450" t="s">
        <v>1496</v>
      </c>
      <c r="C205" s="244">
        <f t="shared" si="14"/>
        <v>2</v>
      </c>
      <c r="D205" s="244">
        <f t="shared" si="15"/>
        <v>7</v>
      </c>
      <c r="E205" s="244">
        <f t="shared" si="16"/>
        <v>9</v>
      </c>
      <c r="G205" s="248" t="str">
        <f t="shared" si="17"/>
        <v>&lt;ct320&gt;</v>
      </c>
      <c r="H205" s="251">
        <f ca="1">VLOOKUP(N205,BaoCaoTHTC!$C$7:$F$700,3,0)</f>
        <v>0</v>
      </c>
      <c r="I205" s="246" t="str">
        <f t="shared" si="18"/>
        <v>&lt;/ct320&gt;</v>
      </c>
      <c r="J205" s="245"/>
      <c r="K205" s="245"/>
      <c r="L205" s="245"/>
      <c r="M205" s="247"/>
      <c r="N205">
        <v>320</v>
      </c>
    </row>
    <row r="206" spans="1:14" x14ac:dyDescent="0.45">
      <c r="A206" s="253" t="str">
        <f t="shared" ca="1" si="19"/>
        <v>&lt;ct400&gt;508142179&lt;/ct400&gt;</v>
      </c>
      <c r="B206" s="450" t="s">
        <v>4544</v>
      </c>
      <c r="C206" s="244">
        <f t="shared" si="14"/>
        <v>2</v>
      </c>
      <c r="D206" s="244">
        <f t="shared" si="15"/>
        <v>7</v>
      </c>
      <c r="E206" s="244">
        <f t="shared" si="16"/>
        <v>15</v>
      </c>
      <c r="G206" s="248" t="str">
        <f t="shared" si="17"/>
        <v>&lt;ct400&gt;</v>
      </c>
      <c r="H206" s="251">
        <f ca="1">VLOOKUP(N206,BaoCaoTHTC!$C$7:$F$700,3,0)</f>
        <v>508142179</v>
      </c>
      <c r="I206" s="246" t="str">
        <f t="shared" si="18"/>
        <v>&lt;/ct400&gt;</v>
      </c>
      <c r="J206" s="245"/>
      <c r="K206" s="245"/>
      <c r="L206" s="245"/>
      <c r="M206" s="247"/>
      <c r="N206">
        <v>400</v>
      </c>
    </row>
    <row r="207" spans="1:14" x14ac:dyDescent="0.45">
      <c r="A207" s="253" t="str">
        <f t="shared" ca="1" si="19"/>
        <v>&lt;ct411&gt;500000000&lt;/ct411&gt;</v>
      </c>
      <c r="B207" s="450" t="s">
        <v>4545</v>
      </c>
      <c r="C207" s="244">
        <f t="shared" si="14"/>
        <v>2</v>
      </c>
      <c r="D207" s="244">
        <f t="shared" si="15"/>
        <v>7</v>
      </c>
      <c r="E207" s="244">
        <f t="shared" si="16"/>
        <v>15</v>
      </c>
      <c r="G207" s="248" t="str">
        <f t="shared" si="17"/>
        <v>&lt;ct411&gt;</v>
      </c>
      <c r="H207" s="251">
        <f ca="1">VLOOKUP(N207,BaoCaoTHTC!$C$7:$F$700,3,0)</f>
        <v>500000000</v>
      </c>
      <c r="I207" s="246" t="str">
        <f t="shared" si="18"/>
        <v>&lt;/ct411&gt;</v>
      </c>
      <c r="J207" s="245"/>
      <c r="K207" s="245"/>
      <c r="L207" s="245"/>
      <c r="M207" s="247"/>
      <c r="N207">
        <v>411</v>
      </c>
    </row>
    <row r="208" spans="1:14" x14ac:dyDescent="0.45">
      <c r="A208" s="253" t="str">
        <f t="shared" ca="1" si="19"/>
        <v>&lt;ct412&gt;0&lt;/ct412&gt;</v>
      </c>
      <c r="B208" s="450" t="s">
        <v>1499</v>
      </c>
      <c r="C208" s="244">
        <f t="shared" si="14"/>
        <v>2</v>
      </c>
      <c r="D208" s="244">
        <f t="shared" si="15"/>
        <v>7</v>
      </c>
      <c r="E208" s="244">
        <f t="shared" si="16"/>
        <v>9</v>
      </c>
      <c r="G208" s="248" t="str">
        <f t="shared" si="17"/>
        <v>&lt;ct412&gt;</v>
      </c>
      <c r="H208" s="251">
        <f ca="1">VLOOKUP(N208,BaoCaoTHTC!$C$7:$F$700,3,0)</f>
        <v>0</v>
      </c>
      <c r="I208" s="246" t="str">
        <f t="shared" si="18"/>
        <v>&lt;/ct412&gt;</v>
      </c>
      <c r="J208" s="245"/>
      <c r="K208" s="245"/>
      <c r="L208" s="245"/>
      <c r="M208" s="247"/>
      <c r="N208">
        <v>412</v>
      </c>
    </row>
    <row r="209" spans="1:14" x14ac:dyDescent="0.45">
      <c r="A209" s="253" t="str">
        <f t="shared" ca="1" si="19"/>
        <v>&lt;ct413&gt;0&lt;/ct413&gt;</v>
      </c>
      <c r="B209" s="450" t="s">
        <v>1500</v>
      </c>
      <c r="C209" s="244">
        <f t="shared" si="14"/>
        <v>2</v>
      </c>
      <c r="D209" s="244">
        <f t="shared" si="15"/>
        <v>7</v>
      </c>
      <c r="E209" s="244">
        <f t="shared" si="16"/>
        <v>9</v>
      </c>
      <c r="G209" s="248" t="str">
        <f t="shared" si="17"/>
        <v>&lt;ct413&gt;</v>
      </c>
      <c r="H209" s="251">
        <f ca="1">VLOOKUP(N209,BaoCaoTHTC!$C$7:$F$700,3,0)</f>
        <v>0</v>
      </c>
      <c r="I209" s="246" t="str">
        <f t="shared" si="18"/>
        <v>&lt;/ct413&gt;</v>
      </c>
      <c r="J209" s="245"/>
      <c r="K209" s="245"/>
      <c r="L209" s="245"/>
      <c r="M209" s="247"/>
      <c r="N209">
        <v>413</v>
      </c>
    </row>
    <row r="210" spans="1:14" x14ac:dyDescent="0.45">
      <c r="A210" s="253" t="str">
        <f t="shared" ca="1" si="19"/>
        <v>&lt;ct414&gt;0&lt;/ct414&gt;</v>
      </c>
      <c r="B210" s="450" t="s">
        <v>1501</v>
      </c>
      <c r="C210" s="244">
        <f t="shared" si="14"/>
        <v>2</v>
      </c>
      <c r="D210" s="244">
        <f t="shared" si="15"/>
        <v>7</v>
      </c>
      <c r="E210" s="244">
        <f t="shared" si="16"/>
        <v>9</v>
      </c>
      <c r="G210" s="248" t="str">
        <f t="shared" si="17"/>
        <v>&lt;ct414&gt;</v>
      </c>
      <c r="H210" s="251">
        <f ca="1">VLOOKUP(N210,BaoCaoTHTC!$C$7:$F$700,3,0)</f>
        <v>0</v>
      </c>
      <c r="I210" s="246" t="str">
        <f t="shared" si="18"/>
        <v>&lt;/ct414&gt;</v>
      </c>
      <c r="J210" s="245"/>
      <c r="K210" s="245"/>
      <c r="L210" s="245"/>
      <c r="M210" s="247"/>
      <c r="N210">
        <v>414</v>
      </c>
    </row>
    <row r="211" spans="1:14" x14ac:dyDescent="0.45">
      <c r="A211" s="253" t="str">
        <f t="shared" ca="1" si="19"/>
        <v>&lt;ct415&gt;0&lt;/ct415&gt;</v>
      </c>
      <c r="B211" s="450" t="s">
        <v>1502</v>
      </c>
      <c r="C211" s="244">
        <f t="shared" si="14"/>
        <v>2</v>
      </c>
      <c r="D211" s="244">
        <f t="shared" si="15"/>
        <v>7</v>
      </c>
      <c r="E211" s="244">
        <f t="shared" si="16"/>
        <v>9</v>
      </c>
      <c r="G211" s="248" t="str">
        <f t="shared" si="17"/>
        <v>&lt;ct415&gt;</v>
      </c>
      <c r="H211" s="251">
        <f ca="1">VLOOKUP(N211,BaoCaoTHTC!$C$7:$F$700,3,0)</f>
        <v>0</v>
      </c>
      <c r="I211" s="246" t="str">
        <f t="shared" si="18"/>
        <v>&lt;/ct415&gt;</v>
      </c>
      <c r="J211" s="245"/>
      <c r="K211" s="245"/>
      <c r="L211" s="245"/>
      <c r="M211" s="247"/>
      <c r="N211">
        <v>415</v>
      </c>
    </row>
    <row r="212" spans="1:14" x14ac:dyDescent="0.45">
      <c r="A212" s="253" t="str">
        <f t="shared" ca="1" si="19"/>
        <v>&lt;ct416&gt;0&lt;/ct416&gt;</v>
      </c>
      <c r="B212" s="450" t="s">
        <v>1503</v>
      </c>
      <c r="C212" s="244">
        <f t="shared" si="14"/>
        <v>2</v>
      </c>
      <c r="D212" s="244">
        <f t="shared" si="15"/>
        <v>7</v>
      </c>
      <c r="E212" s="244">
        <f t="shared" si="16"/>
        <v>9</v>
      </c>
      <c r="G212" s="248" t="str">
        <f t="shared" si="17"/>
        <v>&lt;ct416&gt;</v>
      </c>
      <c r="H212" s="251">
        <f ca="1">VLOOKUP(N212,BaoCaoTHTC!$C$7:$F$700,3,0)</f>
        <v>0</v>
      </c>
      <c r="I212" s="246" t="str">
        <f t="shared" si="18"/>
        <v>&lt;/ct416&gt;</v>
      </c>
      <c r="J212" s="245"/>
      <c r="K212" s="245"/>
      <c r="L212" s="245"/>
      <c r="M212" s="247"/>
      <c r="N212">
        <v>416</v>
      </c>
    </row>
    <row r="213" spans="1:14" x14ac:dyDescent="0.45">
      <c r="A213" s="253" t="str">
        <f t="shared" ca="1" si="19"/>
        <v>&lt;ct417&gt;8142179&lt;/ct417&gt;</v>
      </c>
      <c r="B213" s="450" t="s">
        <v>1526</v>
      </c>
      <c r="C213" s="244">
        <f t="shared" si="14"/>
        <v>2</v>
      </c>
      <c r="D213" s="244">
        <f t="shared" si="15"/>
        <v>7</v>
      </c>
      <c r="E213" s="244">
        <f t="shared" si="16"/>
        <v>9</v>
      </c>
      <c r="G213" s="248" t="str">
        <f t="shared" si="17"/>
        <v>&lt;ct417&gt;</v>
      </c>
      <c r="H213" s="251">
        <f ca="1">VLOOKUP(N213,BaoCaoTHTC!$C$7:$F$700,3,0)</f>
        <v>8142179</v>
      </c>
      <c r="I213" s="246" t="str">
        <f t="shared" si="18"/>
        <v>&lt;/ct417&gt;</v>
      </c>
      <c r="J213" s="245"/>
      <c r="K213" s="245"/>
      <c r="L213" s="245"/>
      <c r="M213" s="247"/>
      <c r="N213">
        <v>417</v>
      </c>
    </row>
    <row r="214" spans="1:14" x14ac:dyDescent="0.45">
      <c r="A214" s="253" t="str">
        <f t="shared" ca="1" si="19"/>
        <v>&lt;ct500&gt;796150724&lt;/ct500&gt;</v>
      </c>
      <c r="B214" s="450" t="s">
        <v>4546</v>
      </c>
      <c r="C214" s="244">
        <f t="shared" si="14"/>
        <v>2</v>
      </c>
      <c r="D214" s="244">
        <f t="shared" si="15"/>
        <v>7</v>
      </c>
      <c r="E214" s="244">
        <f t="shared" si="16"/>
        <v>15</v>
      </c>
      <c r="G214" s="248" t="str">
        <f t="shared" si="17"/>
        <v>&lt;ct500&gt;</v>
      </c>
      <c r="H214" s="251">
        <f ca="1">VLOOKUP(N214,BaoCaoTHTC!$C$7:$F$700,3,0)</f>
        <v>796150724</v>
      </c>
      <c r="I214" s="246" t="str">
        <f t="shared" si="18"/>
        <v>&lt;/ct500&gt;</v>
      </c>
      <c r="J214" s="245"/>
      <c r="K214" s="245"/>
      <c r="L214" s="245"/>
      <c r="M214" s="247"/>
      <c r="N214">
        <v>500</v>
      </c>
    </row>
    <row r="215" spans="1:14" x14ac:dyDescent="0.45">
      <c r="A215" s="253" t="str">
        <f t="shared" si="19"/>
        <v>&lt;/SoCuoiNam&gt;</v>
      </c>
      <c r="B215" s="450" t="s">
        <v>1506</v>
      </c>
      <c r="C215" s="244">
        <f t="shared" si="14"/>
        <v>1</v>
      </c>
      <c r="D215" s="244">
        <f t="shared" si="15"/>
        <v>12</v>
      </c>
      <c r="E215" s="244">
        <f t="shared" si="16"/>
        <v>1</v>
      </c>
      <c r="G215" s="248" t="str">
        <f t="shared" si="17"/>
        <v>&lt;/SoCuoiNam&gt;</v>
      </c>
      <c r="H215" s="251"/>
      <c r="I215" s="246" t="str">
        <f t="shared" si="18"/>
        <v/>
      </c>
      <c r="J215" s="245"/>
      <c r="K215" s="245"/>
      <c r="L215" s="245"/>
      <c r="M215" s="247"/>
    </row>
    <row r="216" spans="1:14" x14ac:dyDescent="0.45">
      <c r="A216" s="253" t="str">
        <f t="shared" si="19"/>
        <v>&lt;SoDauNam&gt;</v>
      </c>
      <c r="B216" s="450" t="s">
        <v>1507</v>
      </c>
      <c r="C216" s="244">
        <f t="shared" ref="C216:C280" si="20">LEN(B216)-LEN(SUBSTITUTE(B216,"&lt;",""))</f>
        <v>1</v>
      </c>
      <c r="D216" s="244">
        <f t="shared" ref="D216:D280" si="21">SEARCH("&gt;",B216)</f>
        <v>10</v>
      </c>
      <c r="E216" s="244" t="str">
        <f t="shared" ref="E216:E280" si="22">IFERROR(SEARCH("&lt;/",B216),"")</f>
        <v/>
      </c>
      <c r="G216" s="248" t="str">
        <f t="shared" ref="G216:G280" si="23">LEFT(B216,D216)</f>
        <v>&lt;SoDauNam&gt;</v>
      </c>
      <c r="H216" s="251"/>
      <c r="I216" s="246" t="str">
        <f t="shared" ref="I216:I280" si="24">IF(C216=2,RIGHT(B216,LEN(B216)-E216+1),"")</f>
        <v/>
      </c>
      <c r="J216" s="245"/>
      <c r="K216" s="245"/>
      <c r="L216" s="245"/>
      <c r="M216" s="247"/>
    </row>
    <row r="217" spans="1:14" x14ac:dyDescent="0.45">
      <c r="A217" s="253" t="str">
        <f t="shared" ca="1" si="19"/>
        <v>&lt;ct110&gt;440114931&lt;/ct110&gt;</v>
      </c>
      <c r="B217" s="450" t="s">
        <v>1508</v>
      </c>
      <c r="C217" s="244">
        <f t="shared" si="20"/>
        <v>2</v>
      </c>
      <c r="D217" s="244">
        <f t="shared" si="21"/>
        <v>7</v>
      </c>
      <c r="E217" s="244">
        <f t="shared" si="22"/>
        <v>9</v>
      </c>
      <c r="G217" s="248" t="str">
        <f t="shared" si="23"/>
        <v>&lt;ct110&gt;</v>
      </c>
      <c r="H217" s="251">
        <f ca="1">VLOOKUP(N217,BaoCaoTHTC!$C$7:$F$700,4,0)</f>
        <v>440114931</v>
      </c>
      <c r="I217" s="246" t="str">
        <f t="shared" si="24"/>
        <v>&lt;/ct110&gt;</v>
      </c>
      <c r="J217" s="245"/>
      <c r="K217" s="245"/>
      <c r="L217" s="245"/>
      <c r="M217" s="247"/>
      <c r="N217">
        <v>110</v>
      </c>
    </row>
    <row r="218" spans="1:14" x14ac:dyDescent="0.45">
      <c r="A218" s="253" t="str">
        <f t="shared" ca="1" si="19"/>
        <v>&lt;ct120&gt;0&lt;/ct120&gt;</v>
      </c>
      <c r="B218" s="450" t="s">
        <v>1460</v>
      </c>
      <c r="C218" s="244">
        <f t="shared" si="20"/>
        <v>2</v>
      </c>
      <c r="D218" s="244">
        <f t="shared" si="21"/>
        <v>7</v>
      </c>
      <c r="E218" s="244">
        <f t="shared" si="22"/>
        <v>9</v>
      </c>
      <c r="G218" s="248" t="str">
        <f t="shared" si="23"/>
        <v>&lt;ct120&gt;</v>
      </c>
      <c r="H218" s="251">
        <f ca="1">VLOOKUP(N218,BaoCaoTHTC!$C$7:$F$700,4,0)</f>
        <v>0</v>
      </c>
      <c r="I218" s="246" t="str">
        <f t="shared" si="24"/>
        <v>&lt;/ct120&gt;</v>
      </c>
      <c r="J218" s="245"/>
      <c r="K218" s="245"/>
      <c r="L218" s="245"/>
      <c r="M218" s="247"/>
      <c r="N218">
        <v>120</v>
      </c>
    </row>
    <row r="219" spans="1:14" x14ac:dyDescent="0.45">
      <c r="A219" s="253" t="str">
        <f t="shared" ca="1" si="19"/>
        <v>&lt;ct121&gt;0&lt;/ct121&gt;</v>
      </c>
      <c r="B219" s="450" t="s">
        <v>1461</v>
      </c>
      <c r="C219" s="244">
        <f t="shared" si="20"/>
        <v>2</v>
      </c>
      <c r="D219" s="244">
        <f t="shared" si="21"/>
        <v>7</v>
      </c>
      <c r="E219" s="244">
        <f t="shared" si="22"/>
        <v>9</v>
      </c>
      <c r="G219" s="248" t="str">
        <f t="shared" si="23"/>
        <v>&lt;ct121&gt;</v>
      </c>
      <c r="H219" s="251">
        <f ca="1">VLOOKUP(N219,BaoCaoTHTC!$C$7:$F$700,4,0)</f>
        <v>0</v>
      </c>
      <c r="I219" s="246" t="str">
        <f t="shared" si="24"/>
        <v>&lt;/ct121&gt;</v>
      </c>
      <c r="J219" s="245"/>
      <c r="K219" s="245"/>
      <c r="L219" s="245"/>
      <c r="M219" s="247"/>
      <c r="N219">
        <v>121</v>
      </c>
    </row>
    <row r="220" spans="1:14" x14ac:dyDescent="0.45">
      <c r="A220" s="253" t="str">
        <f t="shared" ca="1" si="19"/>
        <v>&lt;ct122&gt;0&lt;/ct122&gt;</v>
      </c>
      <c r="B220" s="450" t="s">
        <v>1462</v>
      </c>
      <c r="C220" s="244">
        <f t="shared" si="20"/>
        <v>2</v>
      </c>
      <c r="D220" s="244">
        <f t="shared" si="21"/>
        <v>7</v>
      </c>
      <c r="E220" s="244">
        <f t="shared" si="22"/>
        <v>9</v>
      </c>
      <c r="G220" s="248" t="str">
        <f t="shared" si="23"/>
        <v>&lt;ct122&gt;</v>
      </c>
      <c r="H220" s="251">
        <f ca="1">VLOOKUP(N220,BaoCaoTHTC!$C$7:$F$700,4,0)</f>
        <v>0</v>
      </c>
      <c r="I220" s="246" t="str">
        <f t="shared" si="24"/>
        <v>&lt;/ct122&gt;</v>
      </c>
      <c r="J220" s="245"/>
      <c r="K220" s="245"/>
      <c r="L220" s="245"/>
      <c r="M220" s="247"/>
      <c r="N220">
        <v>122</v>
      </c>
    </row>
    <row r="221" spans="1:14" x14ac:dyDescent="0.45">
      <c r="A221" s="253" t="str">
        <f t="shared" ca="1" si="19"/>
        <v>&lt;ct123&gt;0&lt;/ct123&gt;</v>
      </c>
      <c r="B221" s="450" t="s">
        <v>1463</v>
      </c>
      <c r="C221" s="244">
        <f t="shared" si="20"/>
        <v>2</v>
      </c>
      <c r="D221" s="244">
        <f t="shared" si="21"/>
        <v>7</v>
      </c>
      <c r="E221" s="244">
        <f t="shared" si="22"/>
        <v>9</v>
      </c>
      <c r="G221" s="248" t="str">
        <f t="shared" si="23"/>
        <v>&lt;ct123&gt;</v>
      </c>
      <c r="H221" s="251">
        <f ca="1">VLOOKUP(N221,BaoCaoTHTC!$C$7:$F$700,4,0)</f>
        <v>0</v>
      </c>
      <c r="I221" s="246" t="str">
        <f t="shared" si="24"/>
        <v>&lt;/ct123&gt;</v>
      </c>
      <c r="J221" s="245"/>
      <c r="K221" s="245"/>
      <c r="L221" s="245"/>
      <c r="M221" s="247"/>
      <c r="N221">
        <v>123</v>
      </c>
    </row>
    <row r="222" spans="1:14" x14ac:dyDescent="0.45">
      <c r="A222" s="253" t="str">
        <f t="shared" ca="1" si="19"/>
        <v>&lt;ct124&gt;0&lt;/ct124&gt;</v>
      </c>
      <c r="B222" s="450" t="s">
        <v>1464</v>
      </c>
      <c r="C222" s="244">
        <f t="shared" si="20"/>
        <v>2</v>
      </c>
      <c r="D222" s="244">
        <f t="shared" si="21"/>
        <v>7</v>
      </c>
      <c r="E222" s="244">
        <f t="shared" si="22"/>
        <v>9</v>
      </c>
      <c r="G222" s="248" t="str">
        <f t="shared" si="23"/>
        <v>&lt;ct124&gt;</v>
      </c>
      <c r="H222" s="251">
        <f ca="1">VLOOKUP(N222,BaoCaoTHTC!$C$7:$F$700,4,0)</f>
        <v>0</v>
      </c>
      <c r="I222" s="246" t="str">
        <f t="shared" si="24"/>
        <v>&lt;/ct124&gt;</v>
      </c>
      <c r="J222" s="245"/>
      <c r="K222" s="245"/>
      <c r="L222" s="245"/>
      <c r="M222" s="247"/>
      <c r="N222">
        <v>124</v>
      </c>
    </row>
    <row r="223" spans="1:14" x14ac:dyDescent="0.45">
      <c r="A223" s="253" t="str">
        <f t="shared" ca="1" si="19"/>
        <v>&lt;ct130&gt;22680000&lt;/ct130&gt;</v>
      </c>
      <c r="B223" s="450" t="s">
        <v>1509</v>
      </c>
      <c r="C223" s="244">
        <f t="shared" si="20"/>
        <v>2</v>
      </c>
      <c r="D223" s="244">
        <f t="shared" si="21"/>
        <v>7</v>
      </c>
      <c r="E223" s="244">
        <f t="shared" si="22"/>
        <v>9</v>
      </c>
      <c r="G223" s="248" t="str">
        <f t="shared" si="23"/>
        <v>&lt;ct130&gt;</v>
      </c>
      <c r="H223" s="251">
        <f ca="1">VLOOKUP(N223,BaoCaoTHTC!$C$7:$F$700,4,0)</f>
        <v>22680000</v>
      </c>
      <c r="I223" s="246" t="str">
        <f t="shared" si="24"/>
        <v>&lt;/ct130&gt;</v>
      </c>
      <c r="J223" s="245"/>
      <c r="K223" s="245"/>
      <c r="L223" s="245"/>
      <c r="M223" s="247"/>
      <c r="N223">
        <v>130</v>
      </c>
    </row>
    <row r="224" spans="1:14" x14ac:dyDescent="0.45">
      <c r="A224" s="253" t="str">
        <f t="shared" ca="1" si="19"/>
        <v>&lt;ct131&gt;22680000&lt;/ct131&gt;</v>
      </c>
      <c r="B224" s="450" t="s">
        <v>1510</v>
      </c>
      <c r="C224" s="244">
        <f t="shared" si="20"/>
        <v>2</v>
      </c>
      <c r="D224" s="244">
        <f t="shared" si="21"/>
        <v>7</v>
      </c>
      <c r="E224" s="244">
        <f t="shared" si="22"/>
        <v>9</v>
      </c>
      <c r="G224" s="248" t="str">
        <f t="shared" si="23"/>
        <v>&lt;ct131&gt;</v>
      </c>
      <c r="H224" s="251">
        <f ca="1">VLOOKUP(N224,BaoCaoTHTC!$C$7:$F$700,4,0)</f>
        <v>22680000</v>
      </c>
      <c r="I224" s="246" t="str">
        <f t="shared" si="24"/>
        <v>&lt;/ct131&gt;</v>
      </c>
      <c r="J224" s="245"/>
      <c r="K224" s="245"/>
      <c r="L224" s="245"/>
      <c r="M224" s="247"/>
      <c r="N224">
        <v>131</v>
      </c>
    </row>
    <row r="225" spans="1:14" x14ac:dyDescent="0.45">
      <c r="A225" s="253" t="str">
        <f t="shared" ca="1" si="19"/>
        <v>&lt;ct132&gt;0&lt;/ct132&gt;</v>
      </c>
      <c r="B225" s="450" t="s">
        <v>1467</v>
      </c>
      <c r="C225" s="244">
        <f t="shared" si="20"/>
        <v>2</v>
      </c>
      <c r="D225" s="244">
        <f t="shared" si="21"/>
        <v>7</v>
      </c>
      <c r="E225" s="244">
        <f t="shared" si="22"/>
        <v>9</v>
      </c>
      <c r="G225" s="248" t="str">
        <f t="shared" si="23"/>
        <v>&lt;ct132&gt;</v>
      </c>
      <c r="H225" s="251">
        <f ca="1">VLOOKUP(N225,BaoCaoTHTC!$C$7:$F$700,4,0)</f>
        <v>0</v>
      </c>
      <c r="I225" s="246" t="str">
        <f t="shared" si="24"/>
        <v>&lt;/ct132&gt;</v>
      </c>
      <c r="J225" s="245"/>
      <c r="K225" s="245"/>
      <c r="L225" s="245"/>
      <c r="M225" s="247"/>
      <c r="N225">
        <v>132</v>
      </c>
    </row>
    <row r="226" spans="1:14" x14ac:dyDescent="0.45">
      <c r="A226" s="253" t="str">
        <f t="shared" ca="1" si="19"/>
        <v>&lt;ct133&gt;0&lt;/ct133&gt;</v>
      </c>
      <c r="B226" s="450" t="s">
        <v>1468</v>
      </c>
      <c r="C226" s="244">
        <f t="shared" si="20"/>
        <v>2</v>
      </c>
      <c r="D226" s="244">
        <f t="shared" si="21"/>
        <v>7</v>
      </c>
      <c r="E226" s="244">
        <f t="shared" si="22"/>
        <v>9</v>
      </c>
      <c r="G226" s="248" t="str">
        <f t="shared" si="23"/>
        <v>&lt;ct133&gt;</v>
      </c>
      <c r="H226" s="251">
        <f ca="1">VLOOKUP(N226,BaoCaoTHTC!$C$7:$F$700,4,0)</f>
        <v>0</v>
      </c>
      <c r="I226" s="246" t="str">
        <f t="shared" si="24"/>
        <v>&lt;/ct133&gt;</v>
      </c>
      <c r="J226" s="245"/>
      <c r="K226" s="245"/>
      <c r="L226" s="245"/>
      <c r="M226" s="247"/>
      <c r="N226">
        <v>133</v>
      </c>
    </row>
    <row r="227" spans="1:14" x14ac:dyDescent="0.45">
      <c r="A227" s="253" t="str">
        <f t="shared" ca="1" si="19"/>
        <v>&lt;ct134&gt;0&lt;/ct134&gt;</v>
      </c>
      <c r="B227" s="450" t="s">
        <v>1511</v>
      </c>
      <c r="C227" s="244">
        <f t="shared" si="20"/>
        <v>2</v>
      </c>
      <c r="D227" s="244">
        <f t="shared" si="21"/>
        <v>7</v>
      </c>
      <c r="E227" s="244">
        <f t="shared" si="22"/>
        <v>9</v>
      </c>
      <c r="G227" s="248" t="str">
        <f t="shared" si="23"/>
        <v>&lt;ct134&gt;</v>
      </c>
      <c r="H227" s="251">
        <f ca="1">VLOOKUP(N227,BaoCaoTHTC!$C$7:$F$700,4,0)</f>
        <v>0</v>
      </c>
      <c r="I227" s="246" t="str">
        <f t="shared" si="24"/>
        <v>&lt;/ct134&gt;</v>
      </c>
      <c r="J227" s="245"/>
      <c r="K227" s="245"/>
      <c r="L227" s="245"/>
      <c r="M227" s="247"/>
      <c r="N227">
        <v>134</v>
      </c>
    </row>
    <row r="228" spans="1:14" x14ac:dyDescent="0.45">
      <c r="A228" s="253" t="str">
        <f t="shared" ca="1" si="19"/>
        <v>&lt;ct135&gt;0&lt;/ct135&gt;</v>
      </c>
      <c r="B228" s="450" t="s">
        <v>1470</v>
      </c>
      <c r="C228" s="244">
        <f t="shared" si="20"/>
        <v>2</v>
      </c>
      <c r="D228" s="244">
        <f t="shared" si="21"/>
        <v>7</v>
      </c>
      <c r="E228" s="244">
        <f t="shared" si="22"/>
        <v>9</v>
      </c>
      <c r="G228" s="248" t="str">
        <f t="shared" si="23"/>
        <v>&lt;ct135&gt;</v>
      </c>
      <c r="H228" s="251">
        <f ca="1">VLOOKUP(N228,BaoCaoTHTC!$C$7:$F$700,4,0)</f>
        <v>0</v>
      </c>
      <c r="I228" s="246" t="str">
        <f t="shared" si="24"/>
        <v>&lt;/ct135&gt;</v>
      </c>
      <c r="J228" s="245"/>
      <c r="K228" s="245"/>
      <c r="L228" s="245"/>
      <c r="M228" s="247"/>
      <c r="N228">
        <v>135</v>
      </c>
    </row>
    <row r="229" spans="1:14" x14ac:dyDescent="0.45">
      <c r="A229" s="253" t="str">
        <f t="shared" ca="1" si="19"/>
        <v>&lt;ct136&gt;0&lt;/ct136&gt;</v>
      </c>
      <c r="B229" s="450" t="s">
        <v>1471</v>
      </c>
      <c r="C229" s="244">
        <f t="shared" si="20"/>
        <v>2</v>
      </c>
      <c r="D229" s="244">
        <f t="shared" si="21"/>
        <v>7</v>
      </c>
      <c r="E229" s="244">
        <f t="shared" si="22"/>
        <v>9</v>
      </c>
      <c r="G229" s="248" t="str">
        <f t="shared" si="23"/>
        <v>&lt;ct136&gt;</v>
      </c>
      <c r="H229" s="251">
        <f ca="1">VLOOKUP(N229,BaoCaoTHTC!$C$7:$F$700,4,0)</f>
        <v>0</v>
      </c>
      <c r="I229" s="246" t="str">
        <f t="shared" si="24"/>
        <v>&lt;/ct136&gt;</v>
      </c>
      <c r="J229" s="245"/>
      <c r="K229" s="245"/>
      <c r="L229" s="245"/>
      <c r="M229" s="247"/>
      <c r="N229">
        <v>136</v>
      </c>
    </row>
    <row r="230" spans="1:14" x14ac:dyDescent="0.45">
      <c r="A230" s="253" t="str">
        <f t="shared" ca="1" si="19"/>
        <v>&lt;ct140&gt;0&lt;/ct140&gt;</v>
      </c>
      <c r="B230" s="450" t="s">
        <v>1512</v>
      </c>
      <c r="C230" s="244">
        <f t="shared" si="20"/>
        <v>2</v>
      </c>
      <c r="D230" s="244">
        <f t="shared" si="21"/>
        <v>7</v>
      </c>
      <c r="E230" s="244">
        <f t="shared" si="22"/>
        <v>9</v>
      </c>
      <c r="G230" s="248" t="str">
        <f t="shared" si="23"/>
        <v>&lt;ct140&gt;</v>
      </c>
      <c r="H230" s="251">
        <f ca="1">VLOOKUP(N230,BaoCaoTHTC!$C$7:$F$700,4,0)</f>
        <v>0</v>
      </c>
      <c r="I230" s="246" t="str">
        <f t="shared" si="24"/>
        <v>&lt;/ct140&gt;</v>
      </c>
      <c r="J230" s="245"/>
      <c r="K230" s="245"/>
      <c r="L230" s="245"/>
      <c r="M230" s="247"/>
      <c r="N230">
        <v>140</v>
      </c>
    </row>
    <row r="231" spans="1:14" x14ac:dyDescent="0.45">
      <c r="A231" s="253" t="str">
        <f t="shared" ca="1" si="19"/>
        <v>&lt;ct141&gt;0&lt;/ct141&gt;</v>
      </c>
      <c r="B231" s="450" t="s">
        <v>1513</v>
      </c>
      <c r="C231" s="244">
        <f t="shared" si="20"/>
        <v>2</v>
      </c>
      <c r="D231" s="244">
        <f t="shared" si="21"/>
        <v>7</v>
      </c>
      <c r="E231" s="244">
        <f t="shared" si="22"/>
        <v>9</v>
      </c>
      <c r="G231" s="248" t="str">
        <f t="shared" si="23"/>
        <v>&lt;ct141&gt;</v>
      </c>
      <c r="H231" s="251">
        <f ca="1">VLOOKUP(N231,BaoCaoTHTC!$C$7:$F$700,4,0)</f>
        <v>0</v>
      </c>
      <c r="I231" s="246" t="str">
        <f t="shared" si="24"/>
        <v>&lt;/ct141&gt;</v>
      </c>
      <c r="J231" s="245"/>
      <c r="K231" s="245"/>
      <c r="L231" s="245"/>
      <c r="M231" s="247"/>
      <c r="N231">
        <v>141</v>
      </c>
    </row>
    <row r="232" spans="1:14" x14ac:dyDescent="0.45">
      <c r="A232" s="253" t="str">
        <f t="shared" ca="1" si="19"/>
        <v>&lt;ct142&gt;0&lt;/ct142&gt;</v>
      </c>
      <c r="B232" s="450" t="s">
        <v>1474</v>
      </c>
      <c r="C232" s="244">
        <f t="shared" si="20"/>
        <v>2</v>
      </c>
      <c r="D232" s="244">
        <f t="shared" si="21"/>
        <v>7</v>
      </c>
      <c r="E232" s="244">
        <f t="shared" si="22"/>
        <v>9</v>
      </c>
      <c r="G232" s="248" t="str">
        <f t="shared" si="23"/>
        <v>&lt;ct142&gt;</v>
      </c>
      <c r="H232" s="251">
        <f ca="1">VLOOKUP(N232,BaoCaoTHTC!$C$7:$F$700,4,0)</f>
        <v>0</v>
      </c>
      <c r="I232" s="246" t="str">
        <f t="shared" si="24"/>
        <v>&lt;/ct142&gt;</v>
      </c>
      <c r="J232" s="245"/>
      <c r="K232" s="245"/>
      <c r="L232" s="245"/>
      <c r="M232" s="247"/>
      <c r="N232">
        <v>142</v>
      </c>
    </row>
    <row r="233" spans="1:14" x14ac:dyDescent="0.45">
      <c r="A233" s="253" t="str">
        <f t="shared" ca="1" si="19"/>
        <v>&lt;ct150&gt;0&lt;/ct150&gt;</v>
      </c>
      <c r="B233" s="450" t="s">
        <v>1475</v>
      </c>
      <c r="C233" s="244">
        <f t="shared" si="20"/>
        <v>2</v>
      </c>
      <c r="D233" s="244">
        <f t="shared" si="21"/>
        <v>7</v>
      </c>
      <c r="E233" s="244">
        <f t="shared" si="22"/>
        <v>9</v>
      </c>
      <c r="G233" s="248" t="str">
        <f t="shared" si="23"/>
        <v>&lt;ct150&gt;</v>
      </c>
      <c r="H233" s="251">
        <f ca="1">VLOOKUP(N233,BaoCaoTHTC!$C$7:$F$700,4,0)</f>
        <v>0</v>
      </c>
      <c r="I233" s="246" t="str">
        <f t="shared" si="24"/>
        <v>&lt;/ct150&gt;</v>
      </c>
      <c r="J233" s="245"/>
      <c r="K233" s="245"/>
      <c r="L233" s="245"/>
      <c r="M233" s="247"/>
      <c r="N233">
        <v>150</v>
      </c>
    </row>
    <row r="234" spans="1:14" x14ac:dyDescent="0.45">
      <c r="A234" s="253" t="str">
        <f t="shared" ca="1" si="19"/>
        <v>&lt;ct151&gt;0&lt;/ct151&gt;</v>
      </c>
      <c r="B234" s="450" t="s">
        <v>1476</v>
      </c>
      <c r="C234" s="244">
        <f t="shared" si="20"/>
        <v>2</v>
      </c>
      <c r="D234" s="244">
        <f t="shared" si="21"/>
        <v>7</v>
      </c>
      <c r="E234" s="244">
        <f t="shared" si="22"/>
        <v>9</v>
      </c>
      <c r="G234" s="248" t="str">
        <f t="shared" si="23"/>
        <v>&lt;ct151&gt;</v>
      </c>
      <c r="H234" s="251">
        <f ca="1">VLOOKUP(N234,BaoCaoTHTC!$C$7:$F$700,4,0)</f>
        <v>0</v>
      </c>
      <c r="I234" s="246" t="str">
        <f t="shared" si="24"/>
        <v>&lt;/ct151&gt;</v>
      </c>
      <c r="J234" s="245"/>
      <c r="K234" s="245"/>
      <c r="L234" s="245"/>
      <c r="M234" s="247"/>
      <c r="N234">
        <v>151</v>
      </c>
    </row>
    <row r="235" spans="1:14" x14ac:dyDescent="0.45">
      <c r="A235" s="253" t="str">
        <f t="shared" ca="1" si="19"/>
        <v>&lt;ct152&gt;0&lt;/ct152&gt;</v>
      </c>
      <c r="B235" s="450" t="s">
        <v>1477</v>
      </c>
      <c r="C235" s="244">
        <f t="shared" si="20"/>
        <v>2</v>
      </c>
      <c r="D235" s="244">
        <f t="shared" si="21"/>
        <v>7</v>
      </c>
      <c r="E235" s="244">
        <f t="shared" si="22"/>
        <v>9</v>
      </c>
      <c r="G235" s="248" t="str">
        <f t="shared" si="23"/>
        <v>&lt;ct152&gt;</v>
      </c>
      <c r="H235" s="251">
        <f ca="1">VLOOKUP(N235,BaoCaoTHTC!$C$7:$F$700,4,0)</f>
        <v>0</v>
      </c>
      <c r="I235" s="246" t="str">
        <f t="shared" si="24"/>
        <v>&lt;/ct152&gt;</v>
      </c>
      <c r="J235" s="245"/>
      <c r="K235" s="245"/>
      <c r="L235" s="245"/>
      <c r="M235" s="247"/>
      <c r="N235">
        <v>152</v>
      </c>
    </row>
    <row r="236" spans="1:14" x14ac:dyDescent="0.45">
      <c r="A236" s="253" t="str">
        <f t="shared" ca="1" si="19"/>
        <v>&lt;ct160&gt;0&lt;/ct160&gt;</v>
      </c>
      <c r="B236" s="450" t="s">
        <v>1478</v>
      </c>
      <c r="C236" s="244">
        <f t="shared" si="20"/>
        <v>2</v>
      </c>
      <c r="D236" s="244">
        <f t="shared" si="21"/>
        <v>7</v>
      </c>
      <c r="E236" s="244">
        <f t="shared" si="22"/>
        <v>9</v>
      </c>
      <c r="G236" s="248" t="str">
        <f t="shared" si="23"/>
        <v>&lt;ct160&gt;</v>
      </c>
      <c r="H236" s="251">
        <f ca="1">VLOOKUP(N236,BaoCaoTHTC!$C$7:$F$700,4,0)</f>
        <v>0</v>
      </c>
      <c r="I236" s="246" t="str">
        <f t="shared" si="24"/>
        <v>&lt;/ct160&gt;</v>
      </c>
      <c r="J236" s="245"/>
      <c r="K236" s="245"/>
      <c r="L236" s="245"/>
      <c r="M236" s="247"/>
      <c r="N236">
        <v>160</v>
      </c>
    </row>
    <row r="237" spans="1:14" x14ac:dyDescent="0.45">
      <c r="A237" s="253" t="str">
        <f t="shared" ca="1" si="19"/>
        <v>&lt;ct161&gt;0&lt;/ct161&gt;</v>
      </c>
      <c r="B237" s="450" t="s">
        <v>1479</v>
      </c>
      <c r="C237" s="244">
        <f t="shared" si="20"/>
        <v>2</v>
      </c>
      <c r="D237" s="244">
        <f t="shared" si="21"/>
        <v>7</v>
      </c>
      <c r="E237" s="244">
        <f t="shared" si="22"/>
        <v>9</v>
      </c>
      <c r="G237" s="248" t="str">
        <f t="shared" si="23"/>
        <v>&lt;ct161&gt;</v>
      </c>
      <c r="H237" s="251">
        <f ca="1">VLOOKUP(N237,BaoCaoTHTC!$C$7:$F$700,4,0)</f>
        <v>0</v>
      </c>
      <c r="I237" s="246" t="str">
        <f t="shared" si="24"/>
        <v>&lt;/ct161&gt;</v>
      </c>
      <c r="J237" s="245"/>
      <c r="K237" s="245"/>
      <c r="L237" s="245"/>
      <c r="M237" s="247"/>
      <c r="N237">
        <v>161</v>
      </c>
    </row>
    <row r="238" spans="1:14" x14ac:dyDescent="0.45">
      <c r="A238" s="253" t="str">
        <f t="shared" ca="1" si="19"/>
        <v>&lt;ct162&gt;0&lt;/ct162&gt;</v>
      </c>
      <c r="B238" s="450" t="s">
        <v>1480</v>
      </c>
      <c r="C238" s="244">
        <f t="shared" si="20"/>
        <v>2</v>
      </c>
      <c r="D238" s="244">
        <f t="shared" si="21"/>
        <v>7</v>
      </c>
      <c r="E238" s="244">
        <f t="shared" si="22"/>
        <v>9</v>
      </c>
      <c r="G238" s="248" t="str">
        <f t="shared" si="23"/>
        <v>&lt;ct162&gt;</v>
      </c>
      <c r="H238" s="251">
        <f ca="1">VLOOKUP(N238,BaoCaoTHTC!$C$7:$F$700,4,0)</f>
        <v>0</v>
      </c>
      <c r="I238" s="246" t="str">
        <f t="shared" si="24"/>
        <v>&lt;/ct162&gt;</v>
      </c>
      <c r="J238" s="245"/>
      <c r="K238" s="245"/>
      <c r="L238" s="245"/>
      <c r="M238" s="247"/>
      <c r="N238">
        <v>162</v>
      </c>
    </row>
    <row r="239" spans="1:14" x14ac:dyDescent="0.45">
      <c r="A239" s="253" t="str">
        <f t="shared" ca="1" si="19"/>
        <v>&lt;ct170&gt;0&lt;/ct170&gt;</v>
      </c>
      <c r="B239" s="450" t="s">
        <v>1514</v>
      </c>
      <c r="C239" s="244">
        <f t="shared" si="20"/>
        <v>2</v>
      </c>
      <c r="D239" s="244">
        <f t="shared" si="21"/>
        <v>7</v>
      </c>
      <c r="E239" s="244">
        <f t="shared" si="22"/>
        <v>9</v>
      </c>
      <c r="G239" s="248" t="str">
        <f t="shared" si="23"/>
        <v>&lt;ct170&gt;</v>
      </c>
      <c r="H239" s="251">
        <f ca="1">VLOOKUP(N239,BaoCaoTHTC!$C$7:$F$700,4,0)</f>
        <v>0</v>
      </c>
      <c r="I239" s="246" t="str">
        <f t="shared" si="24"/>
        <v>&lt;/ct170&gt;</v>
      </c>
      <c r="J239" s="245"/>
      <c r="K239" s="245"/>
      <c r="L239" s="245"/>
      <c r="M239" s="247"/>
      <c r="N239">
        <v>170</v>
      </c>
    </row>
    <row r="240" spans="1:14" x14ac:dyDescent="0.45">
      <c r="A240" s="253" t="str">
        <f t="shared" ca="1" si="19"/>
        <v>&lt;ct180&gt;34900050&lt;/ct180&gt;</v>
      </c>
      <c r="B240" s="450" t="s">
        <v>1515</v>
      </c>
      <c r="C240" s="244">
        <f t="shared" si="20"/>
        <v>2</v>
      </c>
      <c r="D240" s="244">
        <f t="shared" si="21"/>
        <v>7</v>
      </c>
      <c r="E240" s="244">
        <f t="shared" si="22"/>
        <v>9</v>
      </c>
      <c r="G240" s="248" t="str">
        <f t="shared" si="23"/>
        <v>&lt;ct180&gt;</v>
      </c>
      <c r="H240" s="251">
        <f ca="1">VLOOKUP(N240,BaoCaoTHTC!$C$7:$F$700,4,0)</f>
        <v>34900050</v>
      </c>
      <c r="I240" s="246" t="str">
        <f t="shared" si="24"/>
        <v>&lt;/ct180&gt;</v>
      </c>
      <c r="J240" s="245"/>
      <c r="K240" s="245"/>
      <c r="L240" s="245"/>
      <c r="M240" s="247"/>
      <c r="N240">
        <v>180</v>
      </c>
    </row>
    <row r="241" spans="1:14" x14ac:dyDescent="0.45">
      <c r="A241" s="253" t="str">
        <f t="shared" ca="1" si="19"/>
        <v>&lt;ct181&gt;0&lt;/ct181&gt;</v>
      </c>
      <c r="B241" s="450" t="s">
        <v>1483</v>
      </c>
      <c r="C241" s="244">
        <f t="shared" si="20"/>
        <v>2</v>
      </c>
      <c r="D241" s="244">
        <f t="shared" si="21"/>
        <v>7</v>
      </c>
      <c r="E241" s="244">
        <f t="shared" si="22"/>
        <v>9</v>
      </c>
      <c r="G241" s="248" t="str">
        <f t="shared" si="23"/>
        <v>&lt;ct181&gt;</v>
      </c>
      <c r="H241" s="251">
        <f ca="1">VLOOKUP(N241,BaoCaoTHTC!$C$7:$F$700,4,0)</f>
        <v>0</v>
      </c>
      <c r="I241" s="246" t="str">
        <f t="shared" si="24"/>
        <v>&lt;/ct181&gt;</v>
      </c>
      <c r="J241" s="245"/>
      <c r="K241" s="245"/>
      <c r="L241" s="245"/>
      <c r="M241" s="247"/>
      <c r="N241">
        <v>181</v>
      </c>
    </row>
    <row r="242" spans="1:14" x14ac:dyDescent="0.45">
      <c r="A242" s="253" t="str">
        <f t="shared" ca="1" si="19"/>
        <v>&lt;ct182&gt;34900050&lt;/ct182&gt;</v>
      </c>
      <c r="B242" s="450" t="s">
        <v>1516</v>
      </c>
      <c r="C242" s="244">
        <f t="shared" si="20"/>
        <v>2</v>
      </c>
      <c r="D242" s="244">
        <f t="shared" si="21"/>
        <v>7</v>
      </c>
      <c r="E242" s="244">
        <f t="shared" si="22"/>
        <v>9</v>
      </c>
      <c r="G242" s="248" t="str">
        <f t="shared" si="23"/>
        <v>&lt;ct182&gt;</v>
      </c>
      <c r="H242" s="251">
        <f ca="1">VLOOKUP(N242,BaoCaoTHTC!$C$7:$F$700,4,0)</f>
        <v>34900050</v>
      </c>
      <c r="I242" s="246" t="str">
        <f t="shared" si="24"/>
        <v>&lt;/ct182&gt;</v>
      </c>
      <c r="J242" s="245"/>
      <c r="K242" s="245"/>
      <c r="L242" s="245"/>
      <c r="M242" s="247"/>
      <c r="N242">
        <v>182</v>
      </c>
    </row>
    <row r="243" spans="1:14" x14ac:dyDescent="0.45">
      <c r="A243" s="253" t="str">
        <f t="shared" ca="1" si="19"/>
        <v>&lt;ct200&gt;497694981&lt;/ct200&gt;</v>
      </c>
      <c r="B243" s="450" t="s">
        <v>1517</v>
      </c>
      <c r="C243" s="244">
        <f t="shared" si="20"/>
        <v>2</v>
      </c>
      <c r="D243" s="244">
        <f t="shared" si="21"/>
        <v>7</v>
      </c>
      <c r="E243" s="244">
        <f t="shared" si="22"/>
        <v>9</v>
      </c>
      <c r="G243" s="248" t="str">
        <f t="shared" si="23"/>
        <v>&lt;ct200&gt;</v>
      </c>
      <c r="H243" s="251">
        <f ca="1">VLOOKUP(N243,BaoCaoTHTC!$C$7:$F$700,4,0)</f>
        <v>497694981</v>
      </c>
      <c r="I243" s="246" t="str">
        <f t="shared" si="24"/>
        <v>&lt;/ct200&gt;</v>
      </c>
      <c r="J243" s="245"/>
      <c r="K243" s="245"/>
      <c r="L243" s="245"/>
      <c r="M243" s="247"/>
      <c r="N243">
        <v>200</v>
      </c>
    </row>
    <row r="244" spans="1:14" x14ac:dyDescent="0.45">
      <c r="A244" s="253" t="str">
        <f t="shared" ca="1" si="19"/>
        <v>&lt;ct300&gt;5015463&lt;/ct300&gt;</v>
      </c>
      <c r="B244" s="450" t="s">
        <v>1518</v>
      </c>
      <c r="C244" s="244">
        <f t="shared" si="20"/>
        <v>2</v>
      </c>
      <c r="D244" s="244">
        <f t="shared" si="21"/>
        <v>7</v>
      </c>
      <c r="E244" s="244">
        <f t="shared" si="22"/>
        <v>9</v>
      </c>
      <c r="G244" s="248" t="str">
        <f t="shared" si="23"/>
        <v>&lt;ct300&gt;</v>
      </c>
      <c r="H244" s="251">
        <f ca="1">VLOOKUP(N244,BaoCaoTHTC!$C$7:$F$700,4,0)</f>
        <v>5015463</v>
      </c>
      <c r="I244" s="246" t="str">
        <f t="shared" si="24"/>
        <v>&lt;/ct300&gt;</v>
      </c>
      <c r="J244" s="245"/>
      <c r="K244" s="245"/>
      <c r="L244" s="245"/>
      <c r="M244" s="247"/>
      <c r="N244">
        <v>300</v>
      </c>
    </row>
    <row r="245" spans="1:14" x14ac:dyDescent="0.45">
      <c r="A245" s="253" t="str">
        <f t="shared" ca="1" si="19"/>
        <v>&lt;ct311&gt;0&lt;/ct311&gt;</v>
      </c>
      <c r="B245" s="450" t="s">
        <v>1519</v>
      </c>
      <c r="C245" s="244">
        <f t="shared" si="20"/>
        <v>2</v>
      </c>
      <c r="D245" s="244">
        <f t="shared" si="21"/>
        <v>7</v>
      </c>
      <c r="E245" s="244">
        <f t="shared" si="22"/>
        <v>9</v>
      </c>
      <c r="G245" s="248" t="str">
        <f t="shared" si="23"/>
        <v>&lt;ct311&gt;</v>
      </c>
      <c r="H245" s="251">
        <f ca="1">VLOOKUP(N245,BaoCaoTHTC!$C$7:$F$700,4,0)</f>
        <v>0</v>
      </c>
      <c r="I245" s="246" t="str">
        <f t="shared" si="24"/>
        <v>&lt;/ct311&gt;</v>
      </c>
      <c r="J245" s="245"/>
      <c r="K245" s="245"/>
      <c r="L245" s="245"/>
      <c r="M245" s="247"/>
      <c r="N245">
        <v>311</v>
      </c>
    </row>
    <row r="246" spans="1:14" x14ac:dyDescent="0.45">
      <c r="A246" s="253" t="str">
        <f t="shared" ca="1" si="19"/>
        <v>&lt;ct312&gt;0&lt;/ct312&gt;</v>
      </c>
      <c r="B246" s="450" t="s">
        <v>1488</v>
      </c>
      <c r="C246" s="244">
        <f t="shared" si="20"/>
        <v>2</v>
      </c>
      <c r="D246" s="244">
        <f t="shared" si="21"/>
        <v>7</v>
      </c>
      <c r="E246" s="244">
        <f t="shared" si="22"/>
        <v>9</v>
      </c>
      <c r="G246" s="248" t="str">
        <f t="shared" si="23"/>
        <v>&lt;ct312&gt;</v>
      </c>
      <c r="H246" s="251">
        <f ca="1">VLOOKUP(N246,BaoCaoTHTC!$C$7:$F$700,4,0)</f>
        <v>0</v>
      </c>
      <c r="I246" s="246" t="str">
        <f t="shared" si="24"/>
        <v>&lt;/ct312&gt;</v>
      </c>
      <c r="J246" s="245"/>
      <c r="K246" s="245"/>
      <c r="L246" s="245"/>
      <c r="M246" s="247"/>
      <c r="N246">
        <v>312</v>
      </c>
    </row>
    <row r="247" spans="1:14" x14ac:dyDescent="0.45">
      <c r="A247" s="253" t="str">
        <f t="shared" ca="1" si="19"/>
        <v>&lt;ct313&gt;5015463&lt;/ct313&gt;</v>
      </c>
      <c r="B247" s="450" t="s">
        <v>1520</v>
      </c>
      <c r="C247" s="244">
        <f t="shared" si="20"/>
        <v>2</v>
      </c>
      <c r="D247" s="244">
        <f t="shared" si="21"/>
        <v>7</v>
      </c>
      <c r="E247" s="244">
        <f t="shared" si="22"/>
        <v>9</v>
      </c>
      <c r="G247" s="248" t="str">
        <f t="shared" si="23"/>
        <v>&lt;ct313&gt;</v>
      </c>
      <c r="H247" s="251">
        <f ca="1">VLOOKUP(N247,BaoCaoTHTC!$C$7:$F$700,4,0)</f>
        <v>5015463</v>
      </c>
      <c r="I247" s="246" t="str">
        <f t="shared" si="24"/>
        <v>&lt;/ct313&gt;</v>
      </c>
      <c r="J247" s="245"/>
      <c r="K247" s="245"/>
      <c r="L247" s="245"/>
      <c r="M247" s="247"/>
      <c r="N247">
        <v>313</v>
      </c>
    </row>
    <row r="248" spans="1:14" x14ac:dyDescent="0.45">
      <c r="A248" s="253" t="str">
        <f t="shared" ca="1" si="19"/>
        <v>&lt;ct314&gt;0&lt;/ct314&gt;</v>
      </c>
      <c r="B248" s="450" t="s">
        <v>1521</v>
      </c>
      <c r="C248" s="244">
        <f t="shared" si="20"/>
        <v>2</v>
      </c>
      <c r="D248" s="244">
        <f t="shared" si="21"/>
        <v>7</v>
      </c>
      <c r="E248" s="244">
        <f t="shared" si="22"/>
        <v>9</v>
      </c>
      <c r="G248" s="248" t="str">
        <f t="shared" si="23"/>
        <v>&lt;ct314&gt;</v>
      </c>
      <c r="H248" s="251">
        <f ca="1">VLOOKUP(N248,BaoCaoTHTC!$C$7:$F$700,4,0)</f>
        <v>0</v>
      </c>
      <c r="I248" s="246" t="str">
        <f t="shared" si="24"/>
        <v>&lt;/ct314&gt;</v>
      </c>
      <c r="J248" s="245"/>
      <c r="K248" s="245"/>
      <c r="L248" s="245"/>
      <c r="M248" s="247"/>
      <c r="N248">
        <v>314</v>
      </c>
    </row>
    <row r="249" spans="1:14" x14ac:dyDescent="0.45">
      <c r="A249" s="253" t="str">
        <f t="shared" ca="1" si="19"/>
        <v>&lt;ct315&gt;0&lt;/ct315&gt;</v>
      </c>
      <c r="B249" s="450" t="s">
        <v>1522</v>
      </c>
      <c r="C249" s="244">
        <f t="shared" si="20"/>
        <v>2</v>
      </c>
      <c r="D249" s="244">
        <f t="shared" si="21"/>
        <v>7</v>
      </c>
      <c r="E249" s="244">
        <f t="shared" si="22"/>
        <v>9</v>
      </c>
      <c r="G249" s="248" t="str">
        <f t="shared" si="23"/>
        <v>&lt;ct315&gt;</v>
      </c>
      <c r="H249" s="251">
        <f ca="1">VLOOKUP(N249,BaoCaoTHTC!$C$7:$F$700,4,0)</f>
        <v>0</v>
      </c>
      <c r="I249" s="246" t="str">
        <f t="shared" si="24"/>
        <v>&lt;/ct315&gt;</v>
      </c>
      <c r="J249" s="245"/>
      <c r="K249" s="245"/>
      <c r="L249" s="245"/>
      <c r="M249" s="247"/>
      <c r="N249">
        <v>315</v>
      </c>
    </row>
    <row r="250" spans="1:14" x14ac:dyDescent="0.45">
      <c r="A250" s="253" t="str">
        <f t="shared" ca="1" si="19"/>
        <v>&lt;ct316&gt;0&lt;/ct316&gt;</v>
      </c>
      <c r="B250" s="450" t="s">
        <v>1523</v>
      </c>
      <c r="C250" s="244">
        <f t="shared" si="20"/>
        <v>2</v>
      </c>
      <c r="D250" s="244">
        <f t="shared" si="21"/>
        <v>7</v>
      </c>
      <c r="E250" s="244">
        <f t="shared" si="22"/>
        <v>9</v>
      </c>
      <c r="G250" s="248" t="str">
        <f t="shared" si="23"/>
        <v>&lt;ct316&gt;</v>
      </c>
      <c r="H250" s="251">
        <f ca="1">VLOOKUP(N250,BaoCaoTHTC!$C$7:$F$700,4,0)</f>
        <v>0</v>
      </c>
      <c r="I250" s="246" t="str">
        <f t="shared" si="24"/>
        <v>&lt;/ct316&gt;</v>
      </c>
      <c r="J250" s="245"/>
      <c r="K250" s="245"/>
      <c r="L250" s="245"/>
      <c r="M250" s="247"/>
      <c r="N250">
        <v>316</v>
      </c>
    </row>
    <row r="251" spans="1:14" x14ac:dyDescent="0.45">
      <c r="A251" s="253" t="str">
        <f t="shared" ca="1" si="19"/>
        <v>&lt;ct317&gt;0&lt;/ct317&gt;</v>
      </c>
      <c r="B251" s="450" t="s">
        <v>1493</v>
      </c>
      <c r="C251" s="244">
        <f t="shared" si="20"/>
        <v>2</v>
      </c>
      <c r="D251" s="244">
        <f t="shared" si="21"/>
        <v>7</v>
      </c>
      <c r="E251" s="244">
        <f t="shared" si="22"/>
        <v>9</v>
      </c>
      <c r="G251" s="248" t="str">
        <f t="shared" si="23"/>
        <v>&lt;ct317&gt;</v>
      </c>
      <c r="H251" s="251">
        <f ca="1">VLOOKUP(N251,BaoCaoTHTC!$C$7:$F$700,4,0)</f>
        <v>0</v>
      </c>
      <c r="I251" s="246" t="str">
        <f t="shared" si="24"/>
        <v>&lt;/ct317&gt;</v>
      </c>
      <c r="J251" s="245"/>
      <c r="K251" s="245"/>
      <c r="L251" s="245"/>
      <c r="M251" s="247"/>
      <c r="N251">
        <v>317</v>
      </c>
    </row>
    <row r="252" spans="1:14" x14ac:dyDescent="0.45">
      <c r="A252" s="253" t="str">
        <f t="shared" ca="1" si="19"/>
        <v>&lt;ct318&gt;0&lt;/ct318&gt;</v>
      </c>
      <c r="B252" s="450" t="s">
        <v>1494</v>
      </c>
      <c r="C252" s="244">
        <f t="shared" si="20"/>
        <v>2</v>
      </c>
      <c r="D252" s="244">
        <f t="shared" si="21"/>
        <v>7</v>
      </c>
      <c r="E252" s="244">
        <f t="shared" si="22"/>
        <v>9</v>
      </c>
      <c r="G252" s="248" t="str">
        <f t="shared" si="23"/>
        <v>&lt;ct318&gt;</v>
      </c>
      <c r="H252" s="251">
        <f ca="1">VLOOKUP(N252,BaoCaoTHTC!$C$7:$F$700,4,0)</f>
        <v>0</v>
      </c>
      <c r="I252" s="246" t="str">
        <f t="shared" si="24"/>
        <v>&lt;/ct318&gt;</v>
      </c>
      <c r="J252" s="245"/>
      <c r="K252" s="245"/>
      <c r="L252" s="245"/>
      <c r="M252" s="247"/>
      <c r="N252">
        <v>318</v>
      </c>
    </row>
    <row r="253" spans="1:14" x14ac:dyDescent="0.45">
      <c r="A253" s="253" t="str">
        <f t="shared" ca="1" si="19"/>
        <v>&lt;ct319&gt;0&lt;/ct319&gt;</v>
      </c>
      <c r="B253" s="450" t="s">
        <v>1495</v>
      </c>
      <c r="C253" s="244">
        <f t="shared" si="20"/>
        <v>2</v>
      </c>
      <c r="D253" s="244">
        <f t="shared" si="21"/>
        <v>7</v>
      </c>
      <c r="E253" s="244">
        <f t="shared" si="22"/>
        <v>9</v>
      </c>
      <c r="G253" s="248" t="str">
        <f t="shared" si="23"/>
        <v>&lt;ct319&gt;</v>
      </c>
      <c r="H253" s="251">
        <f ca="1">VLOOKUP(N253,BaoCaoTHTC!$C$7:$F$700,4,0)</f>
        <v>0</v>
      </c>
      <c r="I253" s="246" t="str">
        <f t="shared" si="24"/>
        <v>&lt;/ct319&gt;</v>
      </c>
      <c r="J253" s="245"/>
      <c r="K253" s="245"/>
      <c r="L253" s="245"/>
      <c r="M253" s="247"/>
      <c r="N253">
        <v>319</v>
      </c>
    </row>
    <row r="254" spans="1:14" x14ac:dyDescent="0.45">
      <c r="A254" s="253" t="str">
        <f t="shared" ca="1" si="19"/>
        <v>&lt;ct320&gt;0&lt;/ct320&gt;</v>
      </c>
      <c r="B254" s="450" t="s">
        <v>1496</v>
      </c>
      <c r="C254" s="244">
        <f t="shared" si="20"/>
        <v>2</v>
      </c>
      <c r="D254" s="244">
        <f t="shared" si="21"/>
        <v>7</v>
      </c>
      <c r="E254" s="244">
        <f t="shared" si="22"/>
        <v>9</v>
      </c>
      <c r="G254" s="248" t="str">
        <f t="shared" si="23"/>
        <v>&lt;ct320&gt;</v>
      </c>
      <c r="H254" s="251">
        <f ca="1">VLOOKUP(N254,BaoCaoTHTC!$C$7:$F$700,4,0)</f>
        <v>0</v>
      </c>
      <c r="I254" s="246" t="str">
        <f t="shared" si="24"/>
        <v>&lt;/ct320&gt;</v>
      </c>
      <c r="J254" s="245"/>
      <c r="K254" s="245"/>
      <c r="L254" s="245"/>
      <c r="M254" s="247"/>
      <c r="N254">
        <v>320</v>
      </c>
    </row>
    <row r="255" spans="1:14" x14ac:dyDescent="0.45">
      <c r="A255" s="253" t="str">
        <f t="shared" ca="1" si="19"/>
        <v>&lt;ct400&gt;492679518&lt;/ct400&gt;</v>
      </c>
      <c r="B255" s="450" t="s">
        <v>1524</v>
      </c>
      <c r="C255" s="244">
        <f t="shared" si="20"/>
        <v>2</v>
      </c>
      <c r="D255" s="244">
        <f t="shared" si="21"/>
        <v>7</v>
      </c>
      <c r="E255" s="244">
        <f t="shared" si="22"/>
        <v>9</v>
      </c>
      <c r="G255" s="248" t="str">
        <f t="shared" si="23"/>
        <v>&lt;ct400&gt;</v>
      </c>
      <c r="H255" s="251">
        <f ca="1">VLOOKUP(N255,BaoCaoTHTC!$C$7:$F$700,4,0)</f>
        <v>492679518</v>
      </c>
      <c r="I255" s="246" t="str">
        <f t="shared" si="24"/>
        <v>&lt;/ct400&gt;</v>
      </c>
      <c r="J255" s="245"/>
      <c r="K255" s="245"/>
      <c r="L255" s="245"/>
      <c r="M255" s="247"/>
      <c r="N255">
        <v>400</v>
      </c>
    </row>
    <row r="256" spans="1:14" x14ac:dyDescent="0.45">
      <c r="A256" s="253" t="str">
        <f t="shared" ca="1" si="19"/>
        <v>&lt;ct411&gt;500000000&lt;/ct411&gt;</v>
      </c>
      <c r="B256" s="450" t="s">
        <v>1525</v>
      </c>
      <c r="C256" s="244">
        <f t="shared" si="20"/>
        <v>2</v>
      </c>
      <c r="D256" s="244">
        <f t="shared" si="21"/>
        <v>7</v>
      </c>
      <c r="E256" s="244">
        <f t="shared" si="22"/>
        <v>9</v>
      </c>
      <c r="G256" s="248" t="str">
        <f t="shared" si="23"/>
        <v>&lt;ct411&gt;</v>
      </c>
      <c r="H256" s="251">
        <f ca="1">VLOOKUP(N256,BaoCaoTHTC!$C$7:$F$700,4,0)</f>
        <v>500000000</v>
      </c>
      <c r="I256" s="246" t="str">
        <f t="shared" si="24"/>
        <v>&lt;/ct411&gt;</v>
      </c>
      <c r="J256" s="245"/>
      <c r="K256" s="245"/>
      <c r="L256" s="245"/>
      <c r="M256" s="247"/>
      <c r="N256">
        <v>411</v>
      </c>
    </row>
    <row r="257" spans="1:14" x14ac:dyDescent="0.45">
      <c r="A257" s="253" t="str">
        <f t="shared" ca="1" si="19"/>
        <v>&lt;ct412&gt;0&lt;/ct412&gt;</v>
      </c>
      <c r="B257" s="450" t="s">
        <v>1499</v>
      </c>
      <c r="C257" s="244">
        <f t="shared" si="20"/>
        <v>2</v>
      </c>
      <c r="D257" s="244">
        <f t="shared" si="21"/>
        <v>7</v>
      </c>
      <c r="E257" s="244">
        <f t="shared" si="22"/>
        <v>9</v>
      </c>
      <c r="G257" s="248" t="str">
        <f t="shared" si="23"/>
        <v>&lt;ct412&gt;</v>
      </c>
      <c r="H257" s="251">
        <f ca="1">VLOOKUP(N257,BaoCaoTHTC!$C$7:$F$700,4,0)</f>
        <v>0</v>
      </c>
      <c r="I257" s="246" t="str">
        <f t="shared" si="24"/>
        <v>&lt;/ct412&gt;</v>
      </c>
      <c r="J257" s="245"/>
      <c r="K257" s="245"/>
      <c r="L257" s="245"/>
      <c r="M257" s="247"/>
      <c r="N257">
        <v>412</v>
      </c>
    </row>
    <row r="258" spans="1:14" x14ac:dyDescent="0.45">
      <c r="A258" s="253" t="str">
        <f t="shared" ca="1" si="19"/>
        <v>&lt;ct413&gt;0&lt;/ct413&gt;</v>
      </c>
      <c r="B258" s="450" t="s">
        <v>1500</v>
      </c>
      <c r="C258" s="244">
        <f t="shared" si="20"/>
        <v>2</v>
      </c>
      <c r="D258" s="244">
        <f t="shared" si="21"/>
        <v>7</v>
      </c>
      <c r="E258" s="244">
        <f t="shared" si="22"/>
        <v>9</v>
      </c>
      <c r="G258" s="248" t="str">
        <f t="shared" si="23"/>
        <v>&lt;ct413&gt;</v>
      </c>
      <c r="H258" s="251">
        <f ca="1">VLOOKUP(N258,BaoCaoTHTC!$C$7:$F$700,4,0)</f>
        <v>0</v>
      </c>
      <c r="I258" s="246" t="str">
        <f t="shared" si="24"/>
        <v>&lt;/ct413&gt;</v>
      </c>
      <c r="J258" s="245"/>
      <c r="K258" s="245"/>
      <c r="L258" s="245"/>
      <c r="M258" s="247"/>
      <c r="N258">
        <v>413</v>
      </c>
    </row>
    <row r="259" spans="1:14" x14ac:dyDescent="0.45">
      <c r="A259" s="253" t="str">
        <f t="shared" ca="1" si="19"/>
        <v>&lt;ct414&gt;0&lt;/ct414&gt;</v>
      </c>
      <c r="B259" s="450" t="s">
        <v>1501</v>
      </c>
      <c r="C259" s="244">
        <f t="shared" si="20"/>
        <v>2</v>
      </c>
      <c r="D259" s="244">
        <f t="shared" si="21"/>
        <v>7</v>
      </c>
      <c r="E259" s="244">
        <f t="shared" si="22"/>
        <v>9</v>
      </c>
      <c r="G259" s="248" t="str">
        <f t="shared" si="23"/>
        <v>&lt;ct414&gt;</v>
      </c>
      <c r="H259" s="251">
        <f ca="1">VLOOKUP(N259,BaoCaoTHTC!$C$7:$F$700,4,0)</f>
        <v>0</v>
      </c>
      <c r="I259" s="246" t="str">
        <f t="shared" si="24"/>
        <v>&lt;/ct414&gt;</v>
      </c>
      <c r="J259" s="245"/>
      <c r="K259" s="245"/>
      <c r="L259" s="245"/>
      <c r="M259" s="247"/>
      <c r="N259">
        <v>414</v>
      </c>
    </row>
    <row r="260" spans="1:14" x14ac:dyDescent="0.45">
      <c r="A260" s="253" t="str">
        <f t="shared" ref="A260:A323" ca="1" si="25">CONCATENATE(G260,H260,I260)</f>
        <v>&lt;ct415&gt;0&lt;/ct415&gt;</v>
      </c>
      <c r="B260" s="450" t="s">
        <v>1502</v>
      </c>
      <c r="C260" s="244">
        <f t="shared" si="20"/>
        <v>2</v>
      </c>
      <c r="D260" s="244">
        <f t="shared" si="21"/>
        <v>7</v>
      </c>
      <c r="E260" s="244">
        <f t="shared" si="22"/>
        <v>9</v>
      </c>
      <c r="G260" s="248" t="str">
        <f t="shared" si="23"/>
        <v>&lt;ct415&gt;</v>
      </c>
      <c r="H260" s="251">
        <f ca="1">VLOOKUP(N260,BaoCaoTHTC!$C$7:$F$700,4,0)</f>
        <v>0</v>
      </c>
      <c r="I260" s="246" t="str">
        <f t="shared" si="24"/>
        <v>&lt;/ct415&gt;</v>
      </c>
      <c r="J260" s="245"/>
      <c r="K260" s="245"/>
      <c r="L260" s="245"/>
      <c r="M260" s="247"/>
      <c r="N260">
        <v>415</v>
      </c>
    </row>
    <row r="261" spans="1:14" x14ac:dyDescent="0.45">
      <c r="A261" s="253" t="str">
        <f t="shared" ca="1" si="25"/>
        <v>&lt;ct416&gt;0&lt;/ct416&gt;</v>
      </c>
      <c r="B261" s="450" t="s">
        <v>1503</v>
      </c>
      <c r="C261" s="244">
        <f t="shared" si="20"/>
        <v>2</v>
      </c>
      <c r="D261" s="244">
        <f t="shared" si="21"/>
        <v>7</v>
      </c>
      <c r="E261" s="244">
        <f t="shared" si="22"/>
        <v>9</v>
      </c>
      <c r="G261" s="248" t="str">
        <f t="shared" si="23"/>
        <v>&lt;ct416&gt;</v>
      </c>
      <c r="H261" s="251">
        <f ca="1">VLOOKUP(N261,BaoCaoTHTC!$C$7:$F$700,4,0)</f>
        <v>0</v>
      </c>
      <c r="I261" s="246" t="str">
        <f t="shared" si="24"/>
        <v>&lt;/ct416&gt;</v>
      </c>
      <c r="J261" s="245"/>
      <c r="K261" s="245"/>
      <c r="L261" s="245"/>
      <c r="M261" s="247"/>
      <c r="N261">
        <v>416</v>
      </c>
    </row>
    <row r="262" spans="1:14" x14ac:dyDescent="0.45">
      <c r="A262" s="253" t="str">
        <f t="shared" ca="1" si="25"/>
        <v>&lt;ct417&gt;-7320482&lt;/ct417&gt;</v>
      </c>
      <c r="B262" s="450" t="s">
        <v>1526</v>
      </c>
      <c r="C262" s="244">
        <f t="shared" si="20"/>
        <v>2</v>
      </c>
      <c r="D262" s="244">
        <f t="shared" si="21"/>
        <v>7</v>
      </c>
      <c r="E262" s="244">
        <f t="shared" si="22"/>
        <v>9</v>
      </c>
      <c r="G262" s="248" t="str">
        <f t="shared" si="23"/>
        <v>&lt;ct417&gt;</v>
      </c>
      <c r="H262" s="251">
        <f ca="1">VLOOKUP(N262,BaoCaoTHTC!$C$7:$F$700,4,0)</f>
        <v>-7320482</v>
      </c>
      <c r="I262" s="246" t="str">
        <f t="shared" si="24"/>
        <v>&lt;/ct417&gt;</v>
      </c>
      <c r="J262" s="245"/>
      <c r="K262" s="245"/>
      <c r="L262" s="245"/>
      <c r="M262" s="247"/>
      <c r="N262">
        <v>417</v>
      </c>
    </row>
    <row r="263" spans="1:14" x14ac:dyDescent="0.45">
      <c r="A263" s="253" t="str">
        <f t="shared" ca="1" si="25"/>
        <v>&lt;ct500&gt;497694981&lt;/ct500&gt;</v>
      </c>
      <c r="B263" s="450" t="s">
        <v>1527</v>
      </c>
      <c r="C263" s="244">
        <f t="shared" si="20"/>
        <v>2</v>
      </c>
      <c r="D263" s="244">
        <f t="shared" si="21"/>
        <v>7</v>
      </c>
      <c r="E263" s="244">
        <f t="shared" si="22"/>
        <v>9</v>
      </c>
      <c r="G263" s="248" t="str">
        <f t="shared" si="23"/>
        <v>&lt;ct500&gt;</v>
      </c>
      <c r="H263" s="251">
        <f ca="1">VLOOKUP(N263,BaoCaoTHTC!$C$7:$F$700,4,0)</f>
        <v>497694981</v>
      </c>
      <c r="I263" s="246" t="str">
        <f t="shared" si="24"/>
        <v>&lt;/ct500&gt;</v>
      </c>
      <c r="J263" s="245"/>
      <c r="K263" s="245"/>
      <c r="L263" s="245"/>
      <c r="M263" s="247"/>
      <c r="N263">
        <v>500</v>
      </c>
    </row>
    <row r="264" spans="1:14" x14ac:dyDescent="0.45">
      <c r="A264" s="253" t="str">
        <f t="shared" si="25"/>
        <v>&lt;/SoDauNam&gt;</v>
      </c>
      <c r="B264" s="450" t="s">
        <v>1528</v>
      </c>
      <c r="C264" s="244">
        <f t="shared" si="20"/>
        <v>1</v>
      </c>
      <c r="D264" s="244">
        <f t="shared" si="21"/>
        <v>11</v>
      </c>
      <c r="E264" s="244">
        <f t="shared" si="22"/>
        <v>1</v>
      </c>
      <c r="G264" s="248" t="str">
        <f t="shared" si="23"/>
        <v>&lt;/SoDauNam&gt;</v>
      </c>
      <c r="H264" s="251"/>
      <c r="I264" s="246" t="str">
        <f t="shared" si="24"/>
        <v/>
      </c>
      <c r="J264" s="245"/>
      <c r="K264" s="245"/>
      <c r="L264" s="245"/>
      <c r="M264" s="247"/>
    </row>
    <row r="265" spans="1:14" x14ac:dyDescent="0.45">
      <c r="A265" s="253" t="str">
        <f t="shared" si="25"/>
        <v>&lt;nguoiLapBieu&gt;</v>
      </c>
      <c r="B265" s="450" t="s">
        <v>4514</v>
      </c>
      <c r="C265" s="244">
        <f t="shared" si="20"/>
        <v>1</v>
      </c>
      <c r="D265" s="244">
        <f t="shared" si="21"/>
        <v>14</v>
      </c>
      <c r="E265" s="244" t="str">
        <f t="shared" si="22"/>
        <v/>
      </c>
      <c r="G265" s="248" t="str">
        <f t="shared" si="23"/>
        <v>&lt;nguoiLapBieu&gt;</v>
      </c>
      <c r="H265" s="251"/>
      <c r="I265" s="246" t="str">
        <f t="shared" si="24"/>
        <v/>
      </c>
      <c r="J265" s="245"/>
      <c r="K265" s="245"/>
      <c r="L265" s="245"/>
      <c r="M265" s="247"/>
    </row>
    <row r="266" spans="1:14" x14ac:dyDescent="0.45">
      <c r="A266" s="253" t="str">
        <f t="shared" si="25"/>
        <v>&lt;/nguoiLapBieu&gt;</v>
      </c>
      <c r="B266" s="450" t="s">
        <v>4515</v>
      </c>
      <c r="C266" s="244">
        <f t="shared" si="20"/>
        <v>1</v>
      </c>
      <c r="D266" s="244">
        <f t="shared" si="21"/>
        <v>15</v>
      </c>
      <c r="E266" s="244">
        <f t="shared" si="22"/>
        <v>1</v>
      </c>
      <c r="G266" s="248" t="str">
        <f t="shared" si="23"/>
        <v>&lt;/nguoiLapBieu&gt;</v>
      </c>
      <c r="H266" s="251"/>
      <c r="I266" s="246" t="str">
        <f t="shared" si="24"/>
        <v/>
      </c>
      <c r="J266" s="245"/>
      <c r="K266" s="245"/>
      <c r="L266" s="245"/>
      <c r="M266" s="247"/>
    </row>
    <row r="267" spans="1:14" x14ac:dyDescent="0.45">
      <c r="A267" s="253" t="str">
        <f t="shared" si="25"/>
        <v>&lt;keToanTruong&gt;</v>
      </c>
      <c r="B267" s="450" t="s">
        <v>4516</v>
      </c>
      <c r="C267" s="244">
        <f t="shared" si="20"/>
        <v>1</v>
      </c>
      <c r="D267" s="244">
        <f t="shared" si="21"/>
        <v>14</v>
      </c>
      <c r="E267" s="244" t="str">
        <f t="shared" si="22"/>
        <v/>
      </c>
      <c r="G267" s="248" t="str">
        <f>B267</f>
        <v>&lt;keToanTruong&gt;</v>
      </c>
      <c r="H267" s="251"/>
      <c r="I267" s="246"/>
      <c r="J267" s="245"/>
      <c r="K267" s="245"/>
      <c r="L267" s="245"/>
      <c r="M267" s="247"/>
    </row>
    <row r="268" spans="1:14" x14ac:dyDescent="0.45">
      <c r="A268" s="253" t="str">
        <f t="shared" si="25"/>
        <v>&lt;/keToanTruong&gt;</v>
      </c>
      <c r="B268" s="450" t="s">
        <v>4517</v>
      </c>
      <c r="C268" s="244">
        <f t="shared" si="20"/>
        <v>1</v>
      </c>
      <c r="D268" s="244">
        <f t="shared" si="21"/>
        <v>15</v>
      </c>
      <c r="E268" s="244">
        <f t="shared" si="22"/>
        <v>1</v>
      </c>
      <c r="G268" s="248" t="str">
        <f t="shared" si="23"/>
        <v>&lt;/keToanTruong&gt;</v>
      </c>
      <c r="H268" s="251"/>
      <c r="I268" s="246" t="str">
        <f t="shared" si="24"/>
        <v/>
      </c>
      <c r="J268" s="245"/>
      <c r="K268" s="245"/>
      <c r="L268" s="245"/>
      <c r="M268" s="247"/>
    </row>
    <row r="269" spans="1:14" x14ac:dyDescent="0.45">
      <c r="A269" s="253" t="str">
        <f t="shared" ca="1" si="25"/>
        <v>&lt;ngayLap&gt;2025-10-12&lt;/ngayLap&gt;</v>
      </c>
      <c r="B269" s="450" t="s">
        <v>4547</v>
      </c>
      <c r="C269" s="244">
        <f t="shared" si="20"/>
        <v>2</v>
      </c>
      <c r="D269" s="244">
        <f t="shared" si="21"/>
        <v>9</v>
      </c>
      <c r="E269" s="244">
        <f t="shared" si="22"/>
        <v>20</v>
      </c>
      <c r="G269" s="248" t="str">
        <f t="shared" si="23"/>
        <v>&lt;ngayLap&gt;</v>
      </c>
      <c r="H269" s="251" t="str">
        <f ca="1">TEXT(MAIN!D16,"yyyy-mm-dd")</f>
        <v>2025-10-12</v>
      </c>
      <c r="I269" s="246" t="str">
        <f t="shared" si="24"/>
        <v>&lt;/ngayLap&gt;</v>
      </c>
      <c r="J269" s="245"/>
      <c r="K269" s="245"/>
      <c r="L269" s="245"/>
      <c r="M269" s="247"/>
    </row>
    <row r="270" spans="1:14" x14ac:dyDescent="0.45">
      <c r="A270" s="253" t="str">
        <f t="shared" si="25"/>
        <v>&lt;nguoiDaiDienTheoPhapLuat&gt;</v>
      </c>
      <c r="B270" s="450" t="s">
        <v>4548</v>
      </c>
      <c r="C270" s="244">
        <f t="shared" si="20"/>
        <v>1</v>
      </c>
      <c r="D270" s="244">
        <f t="shared" si="21"/>
        <v>26</v>
      </c>
      <c r="E270" s="244" t="str">
        <f t="shared" si="22"/>
        <v/>
      </c>
      <c r="G270" s="254" t="str">
        <f t="shared" si="23"/>
        <v>&lt;nguoiDaiDienTheoPhapLuat&gt;</v>
      </c>
      <c r="H270" s="260"/>
      <c r="I270" s="255" t="str">
        <f t="shared" si="24"/>
        <v/>
      </c>
      <c r="J270" s="256"/>
      <c r="K270" s="256"/>
      <c r="L270" s="256"/>
      <c r="M270" s="257"/>
    </row>
    <row r="271" spans="1:14" x14ac:dyDescent="0.45">
      <c r="A271" s="253" t="str">
        <f t="shared" si="25"/>
        <v>&lt;/nguoiDaiDienTheoPhapLuat&gt;</v>
      </c>
      <c r="B271" s="450" t="s">
        <v>4549</v>
      </c>
      <c r="C271" s="244">
        <f t="shared" si="20"/>
        <v>1</v>
      </c>
      <c r="D271" s="244">
        <f t="shared" si="21"/>
        <v>27</v>
      </c>
      <c r="E271" s="244">
        <f t="shared" si="22"/>
        <v>1</v>
      </c>
      <c r="G271" s="259" t="str">
        <f t="shared" si="23"/>
        <v>&lt;/nguoiDaiDienTheoPhapLuat&gt;</v>
      </c>
      <c r="H271" s="260"/>
      <c r="I271" s="261" t="str">
        <f t="shared" si="24"/>
        <v/>
      </c>
      <c r="J271" s="262"/>
      <c r="K271" s="262"/>
      <c r="L271" s="262"/>
      <c r="M271" s="263"/>
    </row>
    <row r="272" spans="1:14" x14ac:dyDescent="0.45">
      <c r="A272" s="253" t="str">
        <f t="shared" si="25"/>
        <v>&lt;/CTieuTKhaiChinh&gt;</v>
      </c>
      <c r="B272" s="450" t="s">
        <v>1533</v>
      </c>
      <c r="C272" s="244">
        <f t="shared" si="20"/>
        <v>1</v>
      </c>
      <c r="D272" s="244">
        <f t="shared" si="21"/>
        <v>18</v>
      </c>
      <c r="E272" s="244">
        <f t="shared" si="22"/>
        <v>1</v>
      </c>
      <c r="G272" s="259" t="str">
        <f t="shared" si="23"/>
        <v>&lt;/CTieuTKhaiChinh&gt;</v>
      </c>
      <c r="H272" s="260"/>
      <c r="I272" s="261" t="str">
        <f t="shared" si="24"/>
        <v/>
      </c>
      <c r="J272" s="262"/>
      <c r="K272" s="262"/>
      <c r="L272" s="262"/>
      <c r="M272" s="263"/>
    </row>
    <row r="273" spans="1:13" x14ac:dyDescent="0.45">
      <c r="A273" s="253" t="str">
        <f t="shared" si="25"/>
        <v>&lt;PLuc&gt;</v>
      </c>
      <c r="B273" s="450" t="s">
        <v>1534</v>
      </c>
      <c r="C273" s="244">
        <f t="shared" si="20"/>
        <v>1</v>
      </c>
      <c r="D273" s="244">
        <f t="shared" si="21"/>
        <v>6</v>
      </c>
      <c r="E273" s="244" t="str">
        <f t="shared" si="22"/>
        <v/>
      </c>
      <c r="G273" s="259" t="str">
        <f t="shared" si="23"/>
        <v>&lt;PLuc&gt;</v>
      </c>
      <c r="H273" s="260"/>
      <c r="I273" s="261" t="str">
        <f t="shared" si="24"/>
        <v/>
      </c>
      <c r="J273" s="262"/>
      <c r="K273" s="262"/>
      <c r="L273" s="262"/>
      <c r="M273" s="263"/>
    </row>
    <row r="274" spans="1:13" x14ac:dyDescent="0.45">
      <c r="A274" s="253" t="str">
        <f t="shared" si="25"/>
        <v>&lt;PL_KQHDSXKD&gt;</v>
      </c>
      <c r="B274" s="450" t="s">
        <v>1535</v>
      </c>
      <c r="C274" s="244">
        <f t="shared" si="20"/>
        <v>1</v>
      </c>
      <c r="D274" s="244">
        <f t="shared" si="21"/>
        <v>13</v>
      </c>
      <c r="E274" s="244" t="str">
        <f t="shared" si="22"/>
        <v/>
      </c>
      <c r="G274" s="259" t="str">
        <f t="shared" si="23"/>
        <v>&lt;PL_KQHDSXKD&gt;</v>
      </c>
      <c r="H274" s="260"/>
      <c r="I274" s="261" t="str">
        <f t="shared" si="24"/>
        <v/>
      </c>
      <c r="J274" s="262"/>
      <c r="K274" s="262"/>
      <c r="L274" s="262"/>
      <c r="M274" s="263"/>
    </row>
    <row r="275" spans="1:13" x14ac:dyDescent="0.45">
      <c r="A275" s="253" t="str">
        <f t="shared" si="25"/>
        <v>&lt;ThuyetMinh&gt;</v>
      </c>
      <c r="B275" s="450" t="s">
        <v>1397</v>
      </c>
      <c r="C275" s="244">
        <f t="shared" si="20"/>
        <v>1</v>
      </c>
      <c r="D275" s="244">
        <f t="shared" si="21"/>
        <v>12</v>
      </c>
      <c r="E275" s="244" t="str">
        <f t="shared" si="22"/>
        <v/>
      </c>
      <c r="G275" s="259" t="str">
        <f t="shared" si="23"/>
        <v>&lt;ThuyetMinh&gt;</v>
      </c>
      <c r="H275" s="260"/>
      <c r="I275" s="261" t="str">
        <f t="shared" si="24"/>
        <v/>
      </c>
      <c r="J275" s="262"/>
      <c r="K275" s="262"/>
      <c r="L275" s="262"/>
      <c r="M275" s="263"/>
    </row>
    <row r="276" spans="1:13" x14ac:dyDescent="0.45">
      <c r="A276" s="253" t="str">
        <f t="shared" si="25"/>
        <v>&lt;ct01 /&gt;</v>
      </c>
      <c r="B276" s="450" t="s">
        <v>4518</v>
      </c>
      <c r="C276" s="244">
        <f t="shared" si="20"/>
        <v>1</v>
      </c>
      <c r="D276" s="244">
        <f t="shared" si="21"/>
        <v>8</v>
      </c>
      <c r="E276" s="244" t="str">
        <f t="shared" si="22"/>
        <v/>
      </c>
      <c r="G276" s="259" t="str">
        <f t="shared" si="23"/>
        <v>&lt;ct01 /&gt;</v>
      </c>
      <c r="H276" s="260"/>
      <c r="I276" s="261" t="str">
        <f t="shared" si="24"/>
        <v/>
      </c>
      <c r="J276" s="262"/>
      <c r="K276" s="262"/>
      <c r="L276" s="262"/>
      <c r="M276" s="263"/>
    </row>
    <row r="277" spans="1:13" x14ac:dyDescent="0.45">
      <c r="A277" s="253" t="str">
        <f t="shared" si="25"/>
        <v>&lt;ct02 /&gt;</v>
      </c>
      <c r="B277" s="450" t="s">
        <v>4519</v>
      </c>
      <c r="C277" s="244">
        <f t="shared" si="20"/>
        <v>1</v>
      </c>
      <c r="D277" s="244">
        <f t="shared" si="21"/>
        <v>8</v>
      </c>
      <c r="E277" s="244" t="str">
        <f t="shared" si="22"/>
        <v/>
      </c>
      <c r="G277" s="259" t="str">
        <f t="shared" si="23"/>
        <v>&lt;ct02 /&gt;</v>
      </c>
      <c r="H277" s="260"/>
      <c r="I277" s="261" t="str">
        <f t="shared" si="24"/>
        <v/>
      </c>
      <c r="J277" s="262"/>
      <c r="K277" s="262"/>
      <c r="L277" s="262"/>
      <c r="M277" s="263"/>
    </row>
    <row r="278" spans="1:13" x14ac:dyDescent="0.45">
      <c r="A278" s="253" t="str">
        <f t="shared" si="25"/>
        <v>&lt;ct10 /&gt;</v>
      </c>
      <c r="B278" s="450" t="s">
        <v>4520</v>
      </c>
      <c r="C278" s="244">
        <f t="shared" si="20"/>
        <v>1</v>
      </c>
      <c r="D278" s="244">
        <f t="shared" si="21"/>
        <v>8</v>
      </c>
      <c r="E278" s="244" t="str">
        <f t="shared" si="22"/>
        <v/>
      </c>
      <c r="G278" s="259" t="str">
        <f t="shared" si="23"/>
        <v>&lt;ct10 /&gt;</v>
      </c>
      <c r="H278" s="260"/>
      <c r="I278" s="261" t="str">
        <f t="shared" si="24"/>
        <v/>
      </c>
      <c r="J278" s="262"/>
      <c r="K278" s="262"/>
      <c r="L278" s="262"/>
      <c r="M278" s="263"/>
    </row>
    <row r="279" spans="1:13" x14ac:dyDescent="0.45">
      <c r="A279" s="253" t="str">
        <f t="shared" si="25"/>
        <v>&lt;ct11 /&gt;</v>
      </c>
      <c r="B279" s="450" t="s">
        <v>4521</v>
      </c>
      <c r="C279" s="244">
        <f t="shared" si="20"/>
        <v>1</v>
      </c>
      <c r="D279" s="244">
        <f t="shared" si="21"/>
        <v>8</v>
      </c>
      <c r="E279" s="244" t="str">
        <f t="shared" si="22"/>
        <v/>
      </c>
      <c r="G279" s="259" t="str">
        <f t="shared" si="23"/>
        <v>&lt;ct11 /&gt;</v>
      </c>
      <c r="H279" s="260"/>
      <c r="I279" s="261" t="str">
        <f t="shared" si="24"/>
        <v/>
      </c>
      <c r="J279" s="262"/>
      <c r="K279" s="262"/>
      <c r="L279" s="262"/>
      <c r="M279" s="263"/>
    </row>
    <row r="280" spans="1:13" x14ac:dyDescent="0.45">
      <c r="A280" s="253" t="str">
        <f t="shared" si="25"/>
        <v>&lt;ct20 /&gt;</v>
      </c>
      <c r="B280" s="450" t="s">
        <v>4522</v>
      </c>
      <c r="C280" s="244">
        <f t="shared" si="20"/>
        <v>1</v>
      </c>
      <c r="D280" s="244">
        <f t="shared" si="21"/>
        <v>8</v>
      </c>
      <c r="E280" s="244" t="str">
        <f t="shared" si="22"/>
        <v/>
      </c>
      <c r="G280" s="259" t="str">
        <f t="shared" si="23"/>
        <v>&lt;ct20 /&gt;</v>
      </c>
      <c r="H280" s="260"/>
      <c r="I280" s="261" t="str">
        <f t="shared" si="24"/>
        <v/>
      </c>
      <c r="J280" s="262"/>
      <c r="K280" s="262"/>
      <c r="L280" s="262"/>
      <c r="M280" s="263"/>
    </row>
    <row r="281" spans="1:13" x14ac:dyDescent="0.45">
      <c r="A281" s="253" t="str">
        <f t="shared" si="25"/>
        <v>&lt;ct21 /&gt;</v>
      </c>
      <c r="B281" s="450" t="s">
        <v>4523</v>
      </c>
      <c r="C281" s="244">
        <f t="shared" ref="C281:C328" si="26">LEN(B281)-LEN(SUBSTITUTE(B281,"&lt;",""))</f>
        <v>1</v>
      </c>
      <c r="D281" s="244">
        <f t="shared" ref="D281:D328" si="27">SEARCH("&gt;",B281)</f>
        <v>8</v>
      </c>
      <c r="E281" s="244" t="str">
        <f t="shared" ref="E281:E328" si="28">IFERROR(SEARCH("&lt;/",B281),"")</f>
        <v/>
      </c>
      <c r="G281" s="259" t="str">
        <f t="shared" ref="G281:G328" si="29">LEFT(B281,D281)</f>
        <v>&lt;ct21 /&gt;</v>
      </c>
      <c r="H281" s="260"/>
      <c r="I281" s="261" t="str">
        <f t="shared" ref="I281:I328" si="30">IF(C281=2,RIGHT(B281,LEN(B281)-E281+1),"")</f>
        <v/>
      </c>
      <c r="J281" s="262"/>
      <c r="K281" s="262"/>
      <c r="L281" s="262"/>
      <c r="M281" s="263"/>
    </row>
    <row r="282" spans="1:13" x14ac:dyDescent="0.45">
      <c r="A282" s="253" t="str">
        <f t="shared" si="25"/>
        <v>&lt;ct22 /&gt;</v>
      </c>
      <c r="B282" s="450" t="s">
        <v>4524</v>
      </c>
      <c r="C282" s="244">
        <f t="shared" si="26"/>
        <v>1</v>
      </c>
      <c r="D282" s="244">
        <f t="shared" si="27"/>
        <v>8</v>
      </c>
      <c r="E282" s="244" t="str">
        <f t="shared" si="28"/>
        <v/>
      </c>
      <c r="G282" s="259" t="str">
        <f t="shared" si="29"/>
        <v>&lt;ct22 /&gt;</v>
      </c>
      <c r="H282" s="260"/>
      <c r="I282" s="261" t="str">
        <f t="shared" si="30"/>
        <v/>
      </c>
      <c r="J282" s="262"/>
      <c r="K282" s="262"/>
      <c r="L282" s="262"/>
      <c r="M282" s="263"/>
    </row>
    <row r="283" spans="1:13" x14ac:dyDescent="0.45">
      <c r="A283" s="253" t="str">
        <f t="shared" si="25"/>
        <v>&lt;ct23 /&gt;</v>
      </c>
      <c r="B283" s="450" t="s">
        <v>4525</v>
      </c>
      <c r="C283" s="244">
        <f t="shared" si="26"/>
        <v>1</v>
      </c>
      <c r="D283" s="244">
        <f t="shared" si="27"/>
        <v>8</v>
      </c>
      <c r="E283" s="244" t="str">
        <f t="shared" si="28"/>
        <v/>
      </c>
      <c r="G283" s="259" t="str">
        <f t="shared" si="29"/>
        <v>&lt;ct23 /&gt;</v>
      </c>
      <c r="H283" s="260"/>
      <c r="I283" s="261" t="str">
        <f t="shared" si="30"/>
        <v/>
      </c>
      <c r="J283" s="262"/>
      <c r="K283" s="262"/>
      <c r="L283" s="262"/>
      <c r="M283" s="263"/>
    </row>
    <row r="284" spans="1:13" x14ac:dyDescent="0.45">
      <c r="A284" s="253" t="str">
        <f t="shared" si="25"/>
        <v>&lt;ct24 /&gt;</v>
      </c>
      <c r="B284" s="450" t="s">
        <v>4526</v>
      </c>
      <c r="C284" s="244">
        <f t="shared" si="26"/>
        <v>1</v>
      </c>
      <c r="D284" s="244">
        <f t="shared" si="27"/>
        <v>8</v>
      </c>
      <c r="E284" s="244" t="str">
        <f t="shared" si="28"/>
        <v/>
      </c>
      <c r="G284" s="259" t="str">
        <f t="shared" si="29"/>
        <v>&lt;ct24 /&gt;</v>
      </c>
      <c r="H284" s="260"/>
      <c r="I284" s="261" t="str">
        <f t="shared" si="30"/>
        <v/>
      </c>
      <c r="J284" s="262"/>
      <c r="K284" s="262"/>
      <c r="L284" s="262"/>
      <c r="M284" s="263"/>
    </row>
    <row r="285" spans="1:13" x14ac:dyDescent="0.45">
      <c r="A285" s="253" t="str">
        <f t="shared" si="25"/>
        <v>&lt;ct30 /&gt;</v>
      </c>
      <c r="B285" s="450" t="s">
        <v>4527</v>
      </c>
      <c r="C285" s="244">
        <f t="shared" si="26"/>
        <v>1</v>
      </c>
      <c r="D285" s="244">
        <f t="shared" si="27"/>
        <v>8</v>
      </c>
      <c r="E285" s="244" t="str">
        <f t="shared" si="28"/>
        <v/>
      </c>
      <c r="G285" s="259" t="str">
        <f t="shared" si="29"/>
        <v>&lt;ct30 /&gt;</v>
      </c>
      <c r="H285" s="260"/>
      <c r="I285" s="261" t="str">
        <f t="shared" si="30"/>
        <v/>
      </c>
      <c r="J285" s="262"/>
      <c r="K285" s="262"/>
      <c r="L285" s="262"/>
      <c r="M285" s="263"/>
    </row>
    <row r="286" spans="1:13" x14ac:dyDescent="0.45">
      <c r="A286" s="253" t="str">
        <f t="shared" si="25"/>
        <v>&lt;ct31 /&gt;</v>
      </c>
      <c r="B286" s="450" t="s">
        <v>4528</v>
      </c>
      <c r="C286" s="244">
        <f t="shared" si="26"/>
        <v>1</v>
      </c>
      <c r="D286" s="244">
        <f t="shared" si="27"/>
        <v>8</v>
      </c>
      <c r="E286" s="244" t="str">
        <f t="shared" si="28"/>
        <v/>
      </c>
      <c r="G286" s="259" t="str">
        <f t="shared" si="29"/>
        <v>&lt;ct31 /&gt;</v>
      </c>
      <c r="H286" s="260"/>
      <c r="I286" s="261" t="str">
        <f t="shared" si="30"/>
        <v/>
      </c>
      <c r="J286" s="262"/>
      <c r="K286" s="262"/>
      <c r="L286" s="262"/>
      <c r="M286" s="263"/>
    </row>
    <row r="287" spans="1:13" x14ac:dyDescent="0.45">
      <c r="A287" s="253" t="str">
        <f t="shared" si="25"/>
        <v>&lt;ct32 /&gt;</v>
      </c>
      <c r="B287" s="450" t="s">
        <v>4529</v>
      </c>
      <c r="C287" s="244">
        <f t="shared" si="26"/>
        <v>1</v>
      </c>
      <c r="D287" s="244">
        <f t="shared" si="27"/>
        <v>8</v>
      </c>
      <c r="E287" s="244" t="str">
        <f t="shared" si="28"/>
        <v/>
      </c>
      <c r="G287" s="259" t="str">
        <f t="shared" si="29"/>
        <v>&lt;ct32 /&gt;</v>
      </c>
      <c r="H287" s="260"/>
      <c r="I287" s="261" t="str">
        <f t="shared" si="30"/>
        <v/>
      </c>
      <c r="J287" s="262"/>
      <c r="K287" s="262"/>
      <c r="L287" s="262"/>
      <c r="M287" s="263"/>
    </row>
    <row r="288" spans="1:13" x14ac:dyDescent="0.45">
      <c r="A288" s="253" t="str">
        <f t="shared" si="25"/>
        <v>&lt;ct40 /&gt;</v>
      </c>
      <c r="B288" s="450" t="s">
        <v>4530</v>
      </c>
      <c r="C288" s="244">
        <f t="shared" si="26"/>
        <v>1</v>
      </c>
      <c r="D288" s="244">
        <f t="shared" si="27"/>
        <v>8</v>
      </c>
      <c r="E288" s="244" t="str">
        <f t="shared" si="28"/>
        <v/>
      </c>
      <c r="G288" s="259" t="str">
        <f t="shared" si="29"/>
        <v>&lt;ct40 /&gt;</v>
      </c>
      <c r="H288" s="260"/>
      <c r="I288" s="261" t="str">
        <f t="shared" si="30"/>
        <v/>
      </c>
      <c r="J288" s="262"/>
      <c r="K288" s="262"/>
      <c r="L288" s="262"/>
      <c r="M288" s="263"/>
    </row>
    <row r="289" spans="1:14" x14ac:dyDescent="0.45">
      <c r="A289" s="253" t="str">
        <f t="shared" si="25"/>
        <v>&lt;ct50 /&gt;</v>
      </c>
      <c r="B289" s="450" t="s">
        <v>4531</v>
      </c>
      <c r="C289" s="244">
        <f t="shared" si="26"/>
        <v>1</v>
      </c>
      <c r="D289" s="244">
        <f t="shared" si="27"/>
        <v>8</v>
      </c>
      <c r="E289" s="244" t="str">
        <f t="shared" si="28"/>
        <v/>
      </c>
      <c r="G289" s="259" t="str">
        <f t="shared" si="29"/>
        <v>&lt;ct50 /&gt;</v>
      </c>
      <c r="H289" s="260"/>
      <c r="I289" s="261" t="str">
        <f t="shared" si="30"/>
        <v/>
      </c>
      <c r="J289" s="262"/>
      <c r="K289" s="262"/>
      <c r="L289" s="262"/>
      <c r="M289" s="263"/>
    </row>
    <row r="290" spans="1:14" x14ac:dyDescent="0.45">
      <c r="A290" s="253" t="str">
        <f t="shared" si="25"/>
        <v>&lt;ct51 /&gt;</v>
      </c>
      <c r="B290" s="450" t="s">
        <v>4532</v>
      </c>
      <c r="C290" s="244">
        <f t="shared" si="26"/>
        <v>1</v>
      </c>
      <c r="D290" s="244">
        <f t="shared" si="27"/>
        <v>8</v>
      </c>
      <c r="E290" s="244" t="str">
        <f t="shared" si="28"/>
        <v/>
      </c>
      <c r="G290" s="259" t="str">
        <f t="shared" si="29"/>
        <v>&lt;ct51 /&gt;</v>
      </c>
      <c r="H290" s="260"/>
      <c r="I290" s="261" t="str">
        <f t="shared" si="30"/>
        <v/>
      </c>
      <c r="J290" s="262"/>
      <c r="K290" s="262"/>
      <c r="L290" s="262"/>
      <c r="M290" s="263"/>
    </row>
    <row r="291" spans="1:14" x14ac:dyDescent="0.45">
      <c r="A291" s="253" t="str">
        <f t="shared" si="25"/>
        <v>&lt;ct60 /&gt;</v>
      </c>
      <c r="B291" s="450" t="s">
        <v>4533</v>
      </c>
      <c r="C291" s="244">
        <f t="shared" si="26"/>
        <v>1</v>
      </c>
      <c r="D291" s="244">
        <f t="shared" si="27"/>
        <v>8</v>
      </c>
      <c r="E291" s="244" t="str">
        <f t="shared" si="28"/>
        <v/>
      </c>
      <c r="G291" s="259" t="str">
        <f t="shared" si="29"/>
        <v>&lt;ct60 /&gt;</v>
      </c>
      <c r="H291" s="260"/>
      <c r="I291" s="261" t="str">
        <f t="shared" si="30"/>
        <v/>
      </c>
      <c r="J291" s="262"/>
      <c r="K291" s="262"/>
      <c r="L291" s="262"/>
      <c r="M291" s="263"/>
    </row>
    <row r="292" spans="1:14" x14ac:dyDescent="0.45">
      <c r="A292" s="253" t="str">
        <f t="shared" si="25"/>
        <v>&lt;/ThuyetMinh&gt;</v>
      </c>
      <c r="B292" s="450" t="s">
        <v>1445</v>
      </c>
      <c r="C292" s="244">
        <f t="shared" si="26"/>
        <v>1</v>
      </c>
      <c r="D292" s="244">
        <f t="shared" si="27"/>
        <v>13</v>
      </c>
      <c r="E292" s="244">
        <f t="shared" si="28"/>
        <v>1</v>
      </c>
      <c r="G292" s="259" t="str">
        <f t="shared" si="29"/>
        <v>&lt;/ThuyetMinh&gt;</v>
      </c>
      <c r="H292" s="260"/>
      <c r="I292" s="261" t="str">
        <f t="shared" si="30"/>
        <v/>
      </c>
      <c r="J292" s="262"/>
      <c r="K292" s="262"/>
      <c r="L292" s="262"/>
      <c r="M292" s="263"/>
    </row>
    <row r="293" spans="1:14" x14ac:dyDescent="0.45">
      <c r="A293" s="253" t="str">
        <f t="shared" si="25"/>
        <v>&lt;NamNay&gt;</v>
      </c>
      <c r="B293" s="450" t="s">
        <v>1552</v>
      </c>
      <c r="C293" s="244">
        <f t="shared" si="26"/>
        <v>1</v>
      </c>
      <c r="D293" s="244">
        <f t="shared" si="27"/>
        <v>8</v>
      </c>
      <c r="E293" s="244" t="str">
        <f t="shared" si="28"/>
        <v/>
      </c>
      <c r="G293" s="259" t="str">
        <f t="shared" si="29"/>
        <v>&lt;NamNay&gt;</v>
      </c>
      <c r="H293" s="260"/>
      <c r="I293" s="261" t="str">
        <f t="shared" si="30"/>
        <v/>
      </c>
      <c r="J293" s="262"/>
      <c r="K293" s="262"/>
      <c r="L293" s="262"/>
      <c r="M293" s="263"/>
      <c r="N293">
        <v>1</v>
      </c>
    </row>
    <row r="294" spans="1:14" x14ac:dyDescent="0.45">
      <c r="A294" s="253" t="str">
        <f t="shared" si="25"/>
        <v>&lt;ct01&gt;244520964&lt;/ct01&gt;</v>
      </c>
      <c r="B294" s="450" t="s">
        <v>1571</v>
      </c>
      <c r="C294" s="244">
        <f t="shared" si="26"/>
        <v>2</v>
      </c>
      <c r="D294" s="244">
        <f t="shared" si="27"/>
        <v>6</v>
      </c>
      <c r="E294" s="244">
        <f t="shared" si="28"/>
        <v>8</v>
      </c>
      <c r="G294" s="259" t="str">
        <f t="shared" si="29"/>
        <v>&lt;ct01&gt;</v>
      </c>
      <c r="H294" s="260">
        <f>VLOOKUP(N293,BCKQKD!$E$9:$H$24,3,0)</f>
        <v>244520964</v>
      </c>
      <c r="I294" s="261" t="str">
        <f t="shared" si="30"/>
        <v>&lt;/ct01&gt;</v>
      </c>
      <c r="J294" s="262"/>
      <c r="K294" s="262"/>
      <c r="L294" s="262"/>
      <c r="M294" s="263"/>
      <c r="N294">
        <v>2</v>
      </c>
    </row>
    <row r="295" spans="1:14" x14ac:dyDescent="0.45">
      <c r="A295" s="253" t="str">
        <f t="shared" si="25"/>
        <v>&lt;ct02&gt;0&lt;/ct02&gt;</v>
      </c>
      <c r="B295" s="450" t="s">
        <v>1554</v>
      </c>
      <c r="C295" s="244">
        <f t="shared" si="26"/>
        <v>2</v>
      </c>
      <c r="D295" s="244">
        <f t="shared" si="27"/>
        <v>6</v>
      </c>
      <c r="E295" s="244">
        <f t="shared" si="28"/>
        <v>8</v>
      </c>
      <c r="G295" s="259" t="str">
        <f t="shared" si="29"/>
        <v>&lt;ct02&gt;</v>
      </c>
      <c r="H295" s="260">
        <f>VLOOKUP(N294,BCKQKD!$E$9:$H$24,3,0)</f>
        <v>0</v>
      </c>
      <c r="I295" s="261" t="str">
        <f t="shared" si="30"/>
        <v>&lt;/ct02&gt;</v>
      </c>
      <c r="J295" s="262"/>
      <c r="K295" s="262"/>
      <c r="L295" s="262"/>
      <c r="M295" s="263"/>
      <c r="N295">
        <v>10</v>
      </c>
    </row>
    <row r="296" spans="1:14" x14ac:dyDescent="0.45">
      <c r="A296" s="253" t="str">
        <f t="shared" si="25"/>
        <v>&lt;ct10&gt;244520964&lt;/ct10&gt;</v>
      </c>
      <c r="B296" s="450" t="s">
        <v>1572</v>
      </c>
      <c r="C296" s="244">
        <f t="shared" si="26"/>
        <v>2</v>
      </c>
      <c r="D296" s="244">
        <f t="shared" si="27"/>
        <v>6</v>
      </c>
      <c r="E296" s="244">
        <f t="shared" si="28"/>
        <v>8</v>
      </c>
      <c r="G296" s="259" t="str">
        <f t="shared" si="29"/>
        <v>&lt;ct10&gt;</v>
      </c>
      <c r="H296" s="260">
        <f>VLOOKUP(N295,BCKQKD!$E$9:$H$24,3,0)</f>
        <v>244520964</v>
      </c>
      <c r="I296" s="261" t="str">
        <f t="shared" si="30"/>
        <v>&lt;/ct10&gt;</v>
      </c>
      <c r="J296" s="262"/>
      <c r="K296" s="262"/>
      <c r="L296" s="262"/>
      <c r="M296" s="263"/>
      <c r="N296">
        <v>11</v>
      </c>
    </row>
    <row r="297" spans="1:14" x14ac:dyDescent="0.45">
      <c r="A297" s="253" t="str">
        <f t="shared" si="25"/>
        <v>&lt;ct11&gt;183572894&lt;/ct11&gt;</v>
      </c>
      <c r="B297" s="450" t="s">
        <v>1573</v>
      </c>
      <c r="C297" s="244">
        <f t="shared" si="26"/>
        <v>2</v>
      </c>
      <c r="D297" s="244">
        <f t="shared" si="27"/>
        <v>6</v>
      </c>
      <c r="E297" s="244">
        <f t="shared" si="28"/>
        <v>8</v>
      </c>
      <c r="G297" s="259" t="str">
        <f t="shared" si="29"/>
        <v>&lt;ct11&gt;</v>
      </c>
      <c r="H297" s="260">
        <f>VLOOKUP(N296,BCKQKD!$E$9:$H$24,3,0)</f>
        <v>183572894</v>
      </c>
      <c r="I297" s="261" t="str">
        <f t="shared" si="30"/>
        <v>&lt;/ct11&gt;</v>
      </c>
      <c r="J297" s="262"/>
      <c r="K297" s="262"/>
      <c r="L297" s="262"/>
      <c r="M297" s="263"/>
      <c r="N297">
        <v>20</v>
      </c>
    </row>
    <row r="298" spans="1:14" x14ac:dyDescent="0.45">
      <c r="A298" s="253" t="str">
        <f t="shared" si="25"/>
        <v>&lt;ct20&gt;60948070&lt;/ct20&gt;</v>
      </c>
      <c r="B298" s="450" t="s">
        <v>1574</v>
      </c>
      <c r="C298" s="244">
        <f t="shared" si="26"/>
        <v>2</v>
      </c>
      <c r="D298" s="244">
        <f t="shared" si="27"/>
        <v>6</v>
      </c>
      <c r="E298" s="244">
        <f t="shared" si="28"/>
        <v>8</v>
      </c>
      <c r="G298" s="259" t="str">
        <f t="shared" si="29"/>
        <v>&lt;ct20&gt;</v>
      </c>
      <c r="H298" s="260">
        <f>VLOOKUP(N297,BCKQKD!$E$9:$H$24,3,0)</f>
        <v>60948070</v>
      </c>
      <c r="I298" s="261" t="str">
        <f t="shared" si="30"/>
        <v>&lt;/ct20&gt;</v>
      </c>
      <c r="J298" s="262"/>
      <c r="K298" s="262"/>
      <c r="L298" s="262"/>
      <c r="M298" s="263"/>
      <c r="N298">
        <v>21</v>
      </c>
    </row>
    <row r="299" spans="1:14" x14ac:dyDescent="0.45">
      <c r="A299" s="253" t="str">
        <f t="shared" si="25"/>
        <v>&lt;ct21&gt;161&lt;/ct21&gt;</v>
      </c>
      <c r="B299" s="450" t="s">
        <v>1575</v>
      </c>
      <c r="C299" s="244">
        <f t="shared" si="26"/>
        <v>2</v>
      </c>
      <c r="D299" s="244">
        <f t="shared" si="27"/>
        <v>6</v>
      </c>
      <c r="E299" s="244">
        <f t="shared" si="28"/>
        <v>8</v>
      </c>
      <c r="G299" s="259" t="str">
        <f t="shared" si="29"/>
        <v>&lt;ct21&gt;</v>
      </c>
      <c r="H299" s="260">
        <f>VLOOKUP(N298,BCKQKD!$E$9:$H$24,3,0)</f>
        <v>161</v>
      </c>
      <c r="I299" s="261" t="str">
        <f t="shared" si="30"/>
        <v>&lt;/ct21&gt;</v>
      </c>
      <c r="J299" s="262"/>
      <c r="K299" s="262"/>
      <c r="L299" s="262"/>
      <c r="M299" s="263"/>
      <c r="N299">
        <v>22</v>
      </c>
    </row>
    <row r="300" spans="1:14" x14ac:dyDescent="0.45">
      <c r="A300" s="253" t="str">
        <f t="shared" si="25"/>
        <v>&lt;ct22&gt;2573376&lt;/ct22&gt;</v>
      </c>
      <c r="B300" s="450" t="s">
        <v>1576</v>
      </c>
      <c r="C300" s="244">
        <f t="shared" si="26"/>
        <v>2</v>
      </c>
      <c r="D300" s="244">
        <f t="shared" si="27"/>
        <v>6</v>
      </c>
      <c r="E300" s="244">
        <f t="shared" si="28"/>
        <v>8</v>
      </c>
      <c r="G300" s="259" t="str">
        <f t="shared" si="29"/>
        <v>&lt;ct22&gt;</v>
      </c>
      <c r="H300" s="260">
        <f>VLOOKUP(N299,BCKQKD!$E$9:$H$24,3,0)</f>
        <v>2573376</v>
      </c>
      <c r="I300" s="261" t="str">
        <f t="shared" si="30"/>
        <v>&lt;/ct22&gt;</v>
      </c>
      <c r="J300" s="262"/>
      <c r="K300" s="262"/>
      <c r="L300" s="262"/>
      <c r="M300" s="263"/>
      <c r="N300">
        <v>23</v>
      </c>
    </row>
    <row r="301" spans="1:14" x14ac:dyDescent="0.45">
      <c r="A301" s="253" t="str">
        <f t="shared" si="25"/>
        <v>&lt;ct23&gt;0&lt;/ct23&gt;</v>
      </c>
      <c r="B301" s="450" t="s">
        <v>1560</v>
      </c>
      <c r="C301" s="244">
        <f t="shared" si="26"/>
        <v>2</v>
      </c>
      <c r="D301" s="244">
        <f t="shared" si="27"/>
        <v>6</v>
      </c>
      <c r="E301" s="244">
        <f t="shared" si="28"/>
        <v>8</v>
      </c>
      <c r="G301" s="259" t="str">
        <f t="shared" si="29"/>
        <v>&lt;ct23&gt;</v>
      </c>
      <c r="H301" s="260">
        <f>VLOOKUP(N300,BCKQKD!$E$9:$H$24,3,0)</f>
        <v>0</v>
      </c>
      <c r="I301" s="261" t="str">
        <f t="shared" si="30"/>
        <v>&lt;/ct23&gt;</v>
      </c>
      <c r="J301" s="262"/>
      <c r="K301" s="262"/>
      <c r="L301" s="262"/>
      <c r="M301" s="263"/>
      <c r="N301">
        <v>24</v>
      </c>
    </row>
    <row r="302" spans="1:14" x14ac:dyDescent="0.45">
      <c r="A302" s="253" t="str">
        <f t="shared" si="25"/>
        <v>&lt;ct24&gt;46432205&lt;/ct24&gt;</v>
      </c>
      <c r="B302" s="450" t="s">
        <v>1577</v>
      </c>
      <c r="C302" s="244">
        <f t="shared" si="26"/>
        <v>2</v>
      </c>
      <c r="D302" s="244">
        <f t="shared" si="27"/>
        <v>6</v>
      </c>
      <c r="E302" s="244">
        <f t="shared" si="28"/>
        <v>8</v>
      </c>
      <c r="G302" s="259" t="str">
        <f t="shared" si="29"/>
        <v>&lt;ct24&gt;</v>
      </c>
      <c r="H302" s="260">
        <f>VLOOKUP(N301,BCKQKD!$E$9:$H$24,3,0)</f>
        <v>46432205</v>
      </c>
      <c r="I302" s="261" t="str">
        <f t="shared" si="30"/>
        <v>&lt;/ct24&gt;</v>
      </c>
      <c r="J302" s="262"/>
      <c r="K302" s="262"/>
      <c r="L302" s="262"/>
      <c r="M302" s="263"/>
      <c r="N302">
        <v>30</v>
      </c>
    </row>
    <row r="303" spans="1:14" x14ac:dyDescent="0.45">
      <c r="A303" s="253" t="str">
        <f t="shared" si="25"/>
        <v>&lt;ct30&gt;11942650&lt;/ct30&gt;</v>
      </c>
      <c r="B303" s="450" t="s">
        <v>1578</v>
      </c>
      <c r="C303" s="244">
        <f t="shared" si="26"/>
        <v>2</v>
      </c>
      <c r="D303" s="244">
        <f t="shared" si="27"/>
        <v>6</v>
      </c>
      <c r="E303" s="244">
        <f t="shared" si="28"/>
        <v>8</v>
      </c>
      <c r="G303" s="259" t="str">
        <f t="shared" si="29"/>
        <v>&lt;ct30&gt;</v>
      </c>
      <c r="H303" s="260">
        <f>VLOOKUP(N302,BCKQKD!$E$9:$H$24,3,0)</f>
        <v>11942650</v>
      </c>
      <c r="I303" s="261" t="str">
        <f t="shared" si="30"/>
        <v>&lt;/ct30&gt;</v>
      </c>
      <c r="J303" s="262"/>
      <c r="K303" s="262"/>
      <c r="L303" s="262"/>
      <c r="M303" s="263"/>
      <c r="N303">
        <v>31</v>
      </c>
    </row>
    <row r="304" spans="1:14" x14ac:dyDescent="0.45">
      <c r="A304" s="253" t="str">
        <f t="shared" si="25"/>
        <v>&lt;ct31&gt;5555556&lt;/ct31&gt;</v>
      </c>
      <c r="B304" s="450" t="s">
        <v>1563</v>
      </c>
      <c r="C304" s="244">
        <f t="shared" si="26"/>
        <v>2</v>
      </c>
      <c r="D304" s="244">
        <f t="shared" si="27"/>
        <v>6</v>
      </c>
      <c r="E304" s="244">
        <f t="shared" si="28"/>
        <v>8</v>
      </c>
      <c r="G304" s="259" t="str">
        <f t="shared" si="29"/>
        <v>&lt;ct31&gt;</v>
      </c>
      <c r="H304" s="260">
        <f>VLOOKUP(N303,BCKQKD!$E$9:$H$24,3,0)</f>
        <v>5555556</v>
      </c>
      <c r="I304" s="261" t="str">
        <f t="shared" si="30"/>
        <v>&lt;/ct31&gt;</v>
      </c>
      <c r="J304" s="262"/>
      <c r="K304" s="262"/>
      <c r="L304" s="262"/>
      <c r="M304" s="263"/>
      <c r="N304">
        <v>32</v>
      </c>
    </row>
    <row r="305" spans="1:14" x14ac:dyDescent="0.45">
      <c r="A305" s="253" t="str">
        <f t="shared" si="25"/>
        <v>&lt;ct32&gt;7540197&lt;/ct32&gt;</v>
      </c>
      <c r="B305" s="450" t="s">
        <v>1579</v>
      </c>
      <c r="C305" s="244">
        <f t="shared" si="26"/>
        <v>2</v>
      </c>
      <c r="D305" s="244">
        <f t="shared" si="27"/>
        <v>6</v>
      </c>
      <c r="E305" s="244">
        <f t="shared" si="28"/>
        <v>8</v>
      </c>
      <c r="G305" s="259" t="str">
        <f t="shared" si="29"/>
        <v>&lt;ct32&gt;</v>
      </c>
      <c r="H305" s="260">
        <f>VLOOKUP(N304,BCKQKD!$E$9:$H$24,3,0)</f>
        <v>7540197</v>
      </c>
      <c r="I305" s="261" t="str">
        <f t="shared" si="30"/>
        <v>&lt;/ct32&gt;</v>
      </c>
      <c r="J305" s="262"/>
      <c r="K305" s="262"/>
      <c r="L305" s="262"/>
      <c r="M305" s="263"/>
      <c r="N305">
        <v>40</v>
      </c>
    </row>
    <row r="306" spans="1:14" x14ac:dyDescent="0.45">
      <c r="A306" s="253" t="str">
        <f t="shared" si="25"/>
        <v>&lt;ct40&gt;-1984641&lt;/ct40&gt;</v>
      </c>
      <c r="B306" s="450" t="s">
        <v>1580</v>
      </c>
      <c r="C306" s="244">
        <f t="shared" si="26"/>
        <v>2</v>
      </c>
      <c r="D306" s="244">
        <f t="shared" si="27"/>
        <v>6</v>
      </c>
      <c r="E306" s="244">
        <f t="shared" si="28"/>
        <v>8</v>
      </c>
      <c r="G306" s="259" t="str">
        <f t="shared" si="29"/>
        <v>&lt;ct40&gt;</v>
      </c>
      <c r="H306" s="260">
        <f>VLOOKUP(N305,BCKQKD!$E$9:$H$24,3,0)</f>
        <v>-1984641</v>
      </c>
      <c r="I306" s="261" t="str">
        <f t="shared" si="30"/>
        <v>&lt;/ct40&gt;</v>
      </c>
      <c r="J306" s="262"/>
      <c r="K306" s="262"/>
      <c r="L306" s="262"/>
      <c r="M306" s="263"/>
      <c r="N306">
        <v>50</v>
      </c>
    </row>
    <row r="307" spans="1:14" x14ac:dyDescent="0.45">
      <c r="A307" s="253" t="str">
        <f t="shared" si="25"/>
        <v>&lt;ct50&gt;9958009&lt;/ct50&gt;</v>
      </c>
      <c r="B307" s="450" t="s">
        <v>1581</v>
      </c>
      <c r="C307" s="244">
        <f t="shared" si="26"/>
        <v>2</v>
      </c>
      <c r="D307" s="244">
        <f t="shared" si="27"/>
        <v>6</v>
      </c>
      <c r="E307" s="244">
        <f t="shared" si="28"/>
        <v>8</v>
      </c>
      <c r="G307" s="259" t="str">
        <f t="shared" si="29"/>
        <v>&lt;ct50&gt;</v>
      </c>
      <c r="H307" s="260">
        <f>VLOOKUP(N306,BCKQKD!$E$9:$H$24,3,0)</f>
        <v>9958009</v>
      </c>
      <c r="I307" s="261" t="str">
        <f t="shared" si="30"/>
        <v>&lt;/ct50&gt;</v>
      </c>
      <c r="J307" s="262"/>
      <c r="K307" s="262"/>
      <c r="L307" s="262"/>
      <c r="M307" s="263"/>
      <c r="N307">
        <v>51</v>
      </c>
    </row>
    <row r="308" spans="1:14" x14ac:dyDescent="0.45">
      <c r="A308" s="253" t="str">
        <f t="shared" si="25"/>
        <v>&lt;ct51&gt;2035545&lt;/ct51&gt;</v>
      </c>
      <c r="B308" s="450" t="s">
        <v>1567</v>
      </c>
      <c r="C308" s="244">
        <f t="shared" si="26"/>
        <v>2</v>
      </c>
      <c r="D308" s="244">
        <f t="shared" si="27"/>
        <v>6</v>
      </c>
      <c r="E308" s="244">
        <f t="shared" si="28"/>
        <v>8</v>
      </c>
      <c r="G308" s="259" t="str">
        <f t="shared" si="29"/>
        <v>&lt;ct51&gt;</v>
      </c>
      <c r="H308" s="260">
        <f>VLOOKUP(N307,BCKQKD!$E$9:$H$24,3,0)</f>
        <v>2035545</v>
      </c>
      <c r="I308" s="261" t="str">
        <f t="shared" si="30"/>
        <v>&lt;/ct51&gt;</v>
      </c>
      <c r="J308" s="262"/>
      <c r="K308" s="262"/>
      <c r="L308" s="262"/>
      <c r="M308" s="263"/>
      <c r="N308">
        <v>60</v>
      </c>
    </row>
    <row r="309" spans="1:14" x14ac:dyDescent="0.45">
      <c r="A309" s="253" t="str">
        <f t="shared" si="25"/>
        <v>&lt;ct60&gt;7922464&lt;/ct60&gt;</v>
      </c>
      <c r="B309" s="450" t="s">
        <v>1582</v>
      </c>
      <c r="C309" s="244">
        <f t="shared" si="26"/>
        <v>2</v>
      </c>
      <c r="D309" s="244">
        <f t="shared" si="27"/>
        <v>6</v>
      </c>
      <c r="E309" s="244">
        <f t="shared" si="28"/>
        <v>8</v>
      </c>
      <c r="G309" s="259" t="str">
        <f t="shared" si="29"/>
        <v>&lt;ct60&gt;</v>
      </c>
      <c r="H309" s="260">
        <f>VLOOKUP(N308,BCKQKD!$E$9:$H$24,3,0)</f>
        <v>7922464</v>
      </c>
      <c r="I309" s="261" t="str">
        <f t="shared" si="30"/>
        <v>&lt;/ct60&gt;</v>
      </c>
      <c r="J309" s="262"/>
      <c r="K309" s="262"/>
      <c r="L309" s="262"/>
      <c r="M309" s="263"/>
    </row>
    <row r="310" spans="1:14" x14ac:dyDescent="0.45">
      <c r="A310" s="253" t="str">
        <f t="shared" si="25"/>
        <v>&lt;/NamNay&gt;</v>
      </c>
      <c r="B310" s="450" t="s">
        <v>1569</v>
      </c>
      <c r="C310" s="244">
        <f t="shared" si="26"/>
        <v>1</v>
      </c>
      <c r="D310" s="244">
        <f t="shared" si="27"/>
        <v>9</v>
      </c>
      <c r="E310" s="244">
        <f t="shared" si="28"/>
        <v>1</v>
      </c>
      <c r="G310" s="259" t="str">
        <f t="shared" si="29"/>
        <v>&lt;/NamNay&gt;</v>
      </c>
      <c r="H310" s="260"/>
      <c r="I310" s="261" t="str">
        <f t="shared" si="30"/>
        <v/>
      </c>
      <c r="J310" s="262"/>
      <c r="K310" s="262"/>
      <c r="L310" s="262"/>
      <c r="M310" s="263"/>
    </row>
    <row r="311" spans="1:14" x14ac:dyDescent="0.45">
      <c r="A311" s="253" t="str">
        <f t="shared" si="25"/>
        <v>&lt;NamTruoc&gt;</v>
      </c>
      <c r="B311" s="450" t="s">
        <v>1570</v>
      </c>
      <c r="C311" s="244">
        <f t="shared" si="26"/>
        <v>1</v>
      </c>
      <c r="D311" s="244">
        <f t="shared" si="27"/>
        <v>10</v>
      </c>
      <c r="E311" s="244" t="str">
        <f t="shared" si="28"/>
        <v/>
      </c>
      <c r="G311" s="259" t="str">
        <f t="shared" si="29"/>
        <v>&lt;NamTruoc&gt;</v>
      </c>
      <c r="H311" s="260"/>
      <c r="I311" s="261" t="str">
        <f t="shared" si="30"/>
        <v/>
      </c>
      <c r="J311" s="262"/>
      <c r="K311" s="262"/>
      <c r="L311" s="262"/>
      <c r="M311" s="263"/>
      <c r="N311">
        <v>1</v>
      </c>
    </row>
    <row r="312" spans="1:14" x14ac:dyDescent="0.45">
      <c r="A312" s="253" t="str">
        <f t="shared" si="25"/>
        <v>&lt;ct01&gt;0&lt;/ct01&gt;</v>
      </c>
      <c r="B312" s="450" t="s">
        <v>1571</v>
      </c>
      <c r="C312" s="244">
        <f t="shared" si="26"/>
        <v>2</v>
      </c>
      <c r="D312" s="244">
        <f t="shared" si="27"/>
        <v>6</v>
      </c>
      <c r="E312" s="244">
        <f t="shared" si="28"/>
        <v>8</v>
      </c>
      <c r="G312" s="259" t="str">
        <f t="shared" si="29"/>
        <v>&lt;ct01&gt;</v>
      </c>
      <c r="H312" s="260">
        <f>VLOOKUP(N311,BCKQKD!$E$9:$H$24,4,0)</f>
        <v>0</v>
      </c>
      <c r="I312" s="261" t="str">
        <f t="shared" si="30"/>
        <v>&lt;/ct01&gt;</v>
      </c>
      <c r="J312" s="262"/>
      <c r="K312" s="262"/>
      <c r="L312" s="262"/>
      <c r="M312" s="263"/>
      <c r="N312">
        <v>2</v>
      </c>
    </row>
    <row r="313" spans="1:14" x14ac:dyDescent="0.45">
      <c r="A313" s="253" t="str">
        <f t="shared" si="25"/>
        <v>&lt;ct02&gt;0&lt;/ct02&gt;</v>
      </c>
      <c r="B313" s="450" t="s">
        <v>1554</v>
      </c>
      <c r="C313" s="244">
        <f t="shared" si="26"/>
        <v>2</v>
      </c>
      <c r="D313" s="244">
        <f t="shared" si="27"/>
        <v>6</v>
      </c>
      <c r="E313" s="244">
        <f t="shared" si="28"/>
        <v>8</v>
      </c>
      <c r="G313" s="259" t="str">
        <f t="shared" si="29"/>
        <v>&lt;ct02&gt;</v>
      </c>
      <c r="H313" s="260">
        <f>VLOOKUP(N312,BCKQKD!$E$9:$H$24,4,0)</f>
        <v>0</v>
      </c>
      <c r="I313" s="261" t="str">
        <f t="shared" si="30"/>
        <v>&lt;/ct02&gt;</v>
      </c>
      <c r="J313" s="262"/>
      <c r="K313" s="262"/>
      <c r="L313" s="262"/>
      <c r="M313" s="263"/>
      <c r="N313">
        <v>10</v>
      </c>
    </row>
    <row r="314" spans="1:14" x14ac:dyDescent="0.45">
      <c r="A314" s="253" t="str">
        <f t="shared" si="25"/>
        <v>&lt;ct10&gt;0&lt;/ct10&gt;</v>
      </c>
      <c r="B314" s="450" t="s">
        <v>1572</v>
      </c>
      <c r="C314" s="244">
        <f t="shared" si="26"/>
        <v>2</v>
      </c>
      <c r="D314" s="244">
        <f t="shared" si="27"/>
        <v>6</v>
      </c>
      <c r="E314" s="244">
        <f t="shared" si="28"/>
        <v>8</v>
      </c>
      <c r="G314" s="259" t="str">
        <f t="shared" si="29"/>
        <v>&lt;ct10&gt;</v>
      </c>
      <c r="H314" s="260">
        <f>VLOOKUP(N313,BCKQKD!$E$9:$H$24,4,0)</f>
        <v>0</v>
      </c>
      <c r="I314" s="261" t="str">
        <f t="shared" si="30"/>
        <v>&lt;/ct10&gt;</v>
      </c>
      <c r="J314" s="262"/>
      <c r="K314" s="262"/>
      <c r="L314" s="262"/>
      <c r="M314" s="263"/>
      <c r="N314">
        <v>11</v>
      </c>
    </row>
    <row r="315" spans="1:14" x14ac:dyDescent="0.45">
      <c r="A315" s="253" t="str">
        <f t="shared" si="25"/>
        <v>&lt;ct11&gt;0&lt;/ct11&gt;</v>
      </c>
      <c r="B315" s="450" t="s">
        <v>1573</v>
      </c>
      <c r="C315" s="244">
        <f t="shared" si="26"/>
        <v>2</v>
      </c>
      <c r="D315" s="244">
        <f t="shared" si="27"/>
        <v>6</v>
      </c>
      <c r="E315" s="244">
        <f t="shared" si="28"/>
        <v>8</v>
      </c>
      <c r="G315" s="259" t="str">
        <f t="shared" si="29"/>
        <v>&lt;ct11&gt;</v>
      </c>
      <c r="H315" s="260">
        <f>VLOOKUP(N314,BCKQKD!$E$9:$H$24,4,0)</f>
        <v>0</v>
      </c>
      <c r="I315" s="261" t="str">
        <f t="shared" si="30"/>
        <v>&lt;/ct11&gt;</v>
      </c>
      <c r="J315" s="262"/>
      <c r="K315" s="262"/>
      <c r="L315" s="262"/>
      <c r="M315" s="263"/>
      <c r="N315">
        <v>20</v>
      </c>
    </row>
    <row r="316" spans="1:14" x14ac:dyDescent="0.45">
      <c r="A316" s="253" t="str">
        <f t="shared" si="25"/>
        <v>&lt;ct20&gt;0&lt;/ct20&gt;</v>
      </c>
      <c r="B316" s="450" t="s">
        <v>1574</v>
      </c>
      <c r="C316" s="244">
        <f t="shared" si="26"/>
        <v>2</v>
      </c>
      <c r="D316" s="244">
        <f t="shared" si="27"/>
        <v>6</v>
      </c>
      <c r="E316" s="244">
        <f t="shared" si="28"/>
        <v>8</v>
      </c>
      <c r="G316" s="259" t="str">
        <f t="shared" si="29"/>
        <v>&lt;ct20&gt;</v>
      </c>
      <c r="H316" s="260">
        <f>VLOOKUP(N315,BCKQKD!$E$9:$H$24,4,0)</f>
        <v>0</v>
      </c>
      <c r="I316" s="261" t="str">
        <f t="shared" si="30"/>
        <v>&lt;/ct20&gt;</v>
      </c>
      <c r="J316" s="262"/>
      <c r="K316" s="262"/>
      <c r="L316" s="262"/>
      <c r="M316" s="263"/>
      <c r="N316">
        <v>21</v>
      </c>
    </row>
    <row r="317" spans="1:14" x14ac:dyDescent="0.45">
      <c r="A317" s="253" t="str">
        <f t="shared" si="25"/>
        <v>&lt;ct21&gt;0&lt;/ct21&gt;</v>
      </c>
      <c r="B317" s="450" t="s">
        <v>1575</v>
      </c>
      <c r="C317" s="244">
        <f t="shared" si="26"/>
        <v>2</v>
      </c>
      <c r="D317" s="244">
        <f t="shared" si="27"/>
        <v>6</v>
      </c>
      <c r="E317" s="244">
        <f t="shared" si="28"/>
        <v>8</v>
      </c>
      <c r="G317" s="259" t="str">
        <f t="shared" si="29"/>
        <v>&lt;ct21&gt;</v>
      </c>
      <c r="H317" s="260">
        <f>VLOOKUP(N316,BCKQKD!$E$9:$H$24,4,0)</f>
        <v>0</v>
      </c>
      <c r="I317" s="261" t="str">
        <f t="shared" si="30"/>
        <v>&lt;/ct21&gt;</v>
      </c>
      <c r="J317" s="262"/>
      <c r="K317" s="262"/>
      <c r="L317" s="262"/>
      <c r="M317" s="263"/>
      <c r="N317">
        <v>22</v>
      </c>
    </row>
    <row r="318" spans="1:14" x14ac:dyDescent="0.45">
      <c r="A318" s="253" t="str">
        <f t="shared" si="25"/>
        <v>&lt;ct22&gt;0&lt;/ct22&gt;</v>
      </c>
      <c r="B318" s="450" t="s">
        <v>1576</v>
      </c>
      <c r="C318" s="244">
        <f t="shared" si="26"/>
        <v>2</v>
      </c>
      <c r="D318" s="244">
        <f t="shared" si="27"/>
        <v>6</v>
      </c>
      <c r="E318" s="244">
        <f t="shared" si="28"/>
        <v>8</v>
      </c>
      <c r="G318" s="259" t="str">
        <f t="shared" si="29"/>
        <v>&lt;ct22&gt;</v>
      </c>
      <c r="H318" s="260">
        <f>VLOOKUP(N317,BCKQKD!$E$9:$H$24,4,0)</f>
        <v>0</v>
      </c>
      <c r="I318" s="261" t="str">
        <f t="shared" si="30"/>
        <v>&lt;/ct22&gt;</v>
      </c>
      <c r="J318" s="262"/>
      <c r="K318" s="262"/>
      <c r="L318" s="262"/>
      <c r="M318" s="263"/>
      <c r="N318">
        <v>23</v>
      </c>
    </row>
    <row r="319" spans="1:14" x14ac:dyDescent="0.45">
      <c r="A319" s="253" t="str">
        <f t="shared" si="25"/>
        <v>&lt;ct23&gt;0&lt;/ct23&gt;</v>
      </c>
      <c r="B319" s="450" t="s">
        <v>1560</v>
      </c>
      <c r="C319" s="244">
        <f t="shared" si="26"/>
        <v>2</v>
      </c>
      <c r="D319" s="244">
        <f t="shared" si="27"/>
        <v>6</v>
      </c>
      <c r="E319" s="244">
        <f t="shared" si="28"/>
        <v>8</v>
      </c>
      <c r="G319" s="259" t="str">
        <f t="shared" si="29"/>
        <v>&lt;ct23&gt;</v>
      </c>
      <c r="H319" s="260">
        <f>VLOOKUP(N318,BCKQKD!$E$9:$H$24,4,0)</f>
        <v>0</v>
      </c>
      <c r="I319" s="261" t="str">
        <f t="shared" si="30"/>
        <v>&lt;/ct23&gt;</v>
      </c>
      <c r="J319" s="262"/>
      <c r="K319" s="262"/>
      <c r="L319" s="262"/>
      <c r="M319" s="263"/>
      <c r="N319">
        <v>24</v>
      </c>
    </row>
    <row r="320" spans="1:14" x14ac:dyDescent="0.45">
      <c r="A320" s="253" t="str">
        <f t="shared" si="25"/>
        <v>&lt;ct24&gt;0&lt;/ct24&gt;</v>
      </c>
      <c r="B320" s="450" t="s">
        <v>1577</v>
      </c>
      <c r="C320" s="244">
        <f t="shared" si="26"/>
        <v>2</v>
      </c>
      <c r="D320" s="244">
        <f t="shared" si="27"/>
        <v>6</v>
      </c>
      <c r="E320" s="244">
        <f t="shared" si="28"/>
        <v>8</v>
      </c>
      <c r="G320" s="259" t="str">
        <f t="shared" si="29"/>
        <v>&lt;ct24&gt;</v>
      </c>
      <c r="H320" s="260">
        <f>VLOOKUP(N319,BCKQKD!$E$9:$H$24,4,0)</f>
        <v>0</v>
      </c>
      <c r="I320" s="261" t="str">
        <f t="shared" si="30"/>
        <v>&lt;/ct24&gt;</v>
      </c>
      <c r="J320" s="262"/>
      <c r="K320" s="262"/>
      <c r="L320" s="262"/>
      <c r="M320" s="263"/>
      <c r="N320">
        <v>30</v>
      </c>
    </row>
    <row r="321" spans="1:15" x14ac:dyDescent="0.45">
      <c r="A321" s="253" t="str">
        <f t="shared" si="25"/>
        <v>&lt;ct30&gt;0&lt;/ct30&gt;</v>
      </c>
      <c r="B321" s="450" t="s">
        <v>1578</v>
      </c>
      <c r="C321" s="244">
        <f t="shared" si="26"/>
        <v>2</v>
      </c>
      <c r="D321" s="244">
        <f t="shared" si="27"/>
        <v>6</v>
      </c>
      <c r="E321" s="244">
        <f t="shared" si="28"/>
        <v>8</v>
      </c>
      <c r="G321" s="259" t="str">
        <f t="shared" si="29"/>
        <v>&lt;ct30&gt;</v>
      </c>
      <c r="H321" s="260">
        <f>VLOOKUP(N320,BCKQKD!$E$9:$H$24,4,0)</f>
        <v>0</v>
      </c>
      <c r="I321" s="261" t="str">
        <f t="shared" si="30"/>
        <v>&lt;/ct30&gt;</v>
      </c>
      <c r="J321" s="262"/>
      <c r="K321" s="262"/>
      <c r="L321" s="262"/>
      <c r="M321" s="263"/>
      <c r="N321">
        <v>31</v>
      </c>
    </row>
    <row r="322" spans="1:15" x14ac:dyDescent="0.45">
      <c r="A322" s="253" t="str">
        <f t="shared" si="25"/>
        <v>&lt;ct31&gt;0&lt;/ct31&gt;</v>
      </c>
      <c r="B322" s="450" t="s">
        <v>1563</v>
      </c>
      <c r="C322" s="244">
        <f t="shared" si="26"/>
        <v>2</v>
      </c>
      <c r="D322" s="244">
        <f t="shared" si="27"/>
        <v>6</v>
      </c>
      <c r="E322" s="244">
        <f t="shared" si="28"/>
        <v>8</v>
      </c>
      <c r="G322" s="259" t="str">
        <f t="shared" si="29"/>
        <v>&lt;ct31&gt;</v>
      </c>
      <c r="H322" s="260">
        <f>VLOOKUP(N321,BCKQKD!$E$9:$H$24,4,0)</f>
        <v>0</v>
      </c>
      <c r="I322" s="261" t="str">
        <f t="shared" si="30"/>
        <v>&lt;/ct31&gt;</v>
      </c>
      <c r="J322" s="262"/>
      <c r="K322" s="262"/>
      <c r="L322" s="262"/>
      <c r="M322" s="263"/>
      <c r="N322">
        <v>32</v>
      </c>
    </row>
    <row r="323" spans="1:15" x14ac:dyDescent="0.45">
      <c r="A323" s="253" t="str">
        <f t="shared" si="25"/>
        <v>&lt;ct32&gt;0&lt;/ct32&gt;</v>
      </c>
      <c r="B323" s="450" t="s">
        <v>1579</v>
      </c>
      <c r="C323" s="244">
        <f t="shared" si="26"/>
        <v>2</v>
      </c>
      <c r="D323" s="244">
        <f t="shared" si="27"/>
        <v>6</v>
      </c>
      <c r="E323" s="244">
        <f t="shared" si="28"/>
        <v>8</v>
      </c>
      <c r="G323" s="259" t="str">
        <f t="shared" si="29"/>
        <v>&lt;ct32&gt;</v>
      </c>
      <c r="H323" s="260">
        <f>VLOOKUP(N322,BCKQKD!$E$9:$H$24,4,0)</f>
        <v>0</v>
      </c>
      <c r="I323" s="261" t="str">
        <f t="shared" si="30"/>
        <v>&lt;/ct32&gt;</v>
      </c>
      <c r="J323" s="262"/>
      <c r="K323" s="262"/>
      <c r="L323" s="262"/>
      <c r="M323" s="263"/>
      <c r="N323">
        <v>40</v>
      </c>
    </row>
    <row r="324" spans="1:15" x14ac:dyDescent="0.45">
      <c r="A324" s="253" t="str">
        <f t="shared" ref="A324:A387" si="31">CONCATENATE(G324,H324,I324)</f>
        <v>&lt;ct40&gt;0&lt;/ct40&gt;</v>
      </c>
      <c r="B324" s="450" t="s">
        <v>1580</v>
      </c>
      <c r="C324" s="244">
        <f t="shared" si="26"/>
        <v>2</v>
      </c>
      <c r="D324" s="244">
        <f t="shared" si="27"/>
        <v>6</v>
      </c>
      <c r="E324" s="244">
        <f t="shared" si="28"/>
        <v>8</v>
      </c>
      <c r="G324" s="259" t="str">
        <f t="shared" si="29"/>
        <v>&lt;ct40&gt;</v>
      </c>
      <c r="H324" s="260">
        <f>VLOOKUP(N323,BCKQKD!$E$9:$H$24,4,0)</f>
        <v>0</v>
      </c>
      <c r="I324" s="261" t="str">
        <f t="shared" si="30"/>
        <v>&lt;/ct40&gt;</v>
      </c>
      <c r="J324" s="262"/>
      <c r="K324" s="262"/>
      <c r="L324" s="262"/>
      <c r="M324" s="263"/>
      <c r="N324">
        <v>50</v>
      </c>
    </row>
    <row r="325" spans="1:15" x14ac:dyDescent="0.45">
      <c r="A325" s="253" t="str">
        <f t="shared" si="31"/>
        <v>&lt;ct50&gt;0&lt;/ct50&gt;</v>
      </c>
      <c r="B325" s="450" t="s">
        <v>1581</v>
      </c>
      <c r="C325" s="244">
        <f t="shared" si="26"/>
        <v>2</v>
      </c>
      <c r="D325" s="244">
        <f t="shared" si="27"/>
        <v>6</v>
      </c>
      <c r="E325" s="244">
        <f t="shared" si="28"/>
        <v>8</v>
      </c>
      <c r="G325" s="259" t="str">
        <f t="shared" si="29"/>
        <v>&lt;ct50&gt;</v>
      </c>
      <c r="H325" s="260">
        <f>VLOOKUP(N324,BCKQKD!$E$9:$H$24,4,0)</f>
        <v>0</v>
      </c>
      <c r="I325" s="261" t="str">
        <f t="shared" si="30"/>
        <v>&lt;/ct50&gt;</v>
      </c>
      <c r="J325" s="262"/>
      <c r="K325" s="262"/>
      <c r="L325" s="262"/>
      <c r="M325" s="263"/>
      <c r="N325">
        <v>51</v>
      </c>
    </row>
    <row r="326" spans="1:15" x14ac:dyDescent="0.45">
      <c r="A326" s="253" t="str">
        <f t="shared" si="31"/>
        <v>&lt;ct51&gt;0&lt;/ct51&gt;</v>
      </c>
      <c r="B326" s="450" t="s">
        <v>1567</v>
      </c>
      <c r="C326" s="244">
        <f t="shared" si="26"/>
        <v>2</v>
      </c>
      <c r="D326" s="244">
        <f t="shared" si="27"/>
        <v>6</v>
      </c>
      <c r="E326" s="244">
        <f t="shared" si="28"/>
        <v>8</v>
      </c>
      <c r="G326" s="259" t="str">
        <f t="shared" si="29"/>
        <v>&lt;ct51&gt;</v>
      </c>
      <c r="H326" s="260">
        <f>VLOOKUP(N325,BCKQKD!$E$9:$H$24,4,0)</f>
        <v>0</v>
      </c>
      <c r="I326" s="261" t="str">
        <f t="shared" si="30"/>
        <v>&lt;/ct51&gt;</v>
      </c>
      <c r="J326" s="262"/>
      <c r="K326" s="262"/>
      <c r="L326" s="262"/>
      <c r="M326" s="263"/>
      <c r="N326">
        <v>60</v>
      </c>
    </row>
    <row r="327" spans="1:15" x14ac:dyDescent="0.45">
      <c r="A327" s="253" t="str">
        <f t="shared" si="31"/>
        <v>&lt;ct60&gt;0&lt;/ct60&gt;</v>
      </c>
      <c r="B327" s="450" t="s">
        <v>1582</v>
      </c>
      <c r="C327" s="244">
        <f t="shared" si="26"/>
        <v>2</v>
      </c>
      <c r="D327" s="244">
        <f t="shared" si="27"/>
        <v>6</v>
      </c>
      <c r="E327" s="244">
        <f t="shared" si="28"/>
        <v>8</v>
      </c>
      <c r="G327" s="259" t="str">
        <f t="shared" si="29"/>
        <v>&lt;ct60&gt;</v>
      </c>
      <c r="H327" s="260">
        <f>VLOOKUP(N326,BCKQKD!$E$9:$H$24,4,0)</f>
        <v>0</v>
      </c>
      <c r="I327" s="261" t="str">
        <f t="shared" si="30"/>
        <v>&lt;/ct60&gt;</v>
      </c>
      <c r="J327" s="262"/>
      <c r="K327" s="262"/>
      <c r="L327" s="262"/>
      <c r="M327" s="263"/>
    </row>
    <row r="328" spans="1:15" x14ac:dyDescent="0.45">
      <c r="A328" s="253" t="str">
        <f t="shared" si="31"/>
        <v>&lt;/NamTruoc&gt;</v>
      </c>
      <c r="B328" s="450" t="s">
        <v>1583</v>
      </c>
      <c r="C328" s="244">
        <f t="shared" si="26"/>
        <v>1</v>
      </c>
      <c r="D328" s="244">
        <f t="shared" si="27"/>
        <v>11</v>
      </c>
      <c r="E328" s="244">
        <f t="shared" si="28"/>
        <v>1</v>
      </c>
      <c r="G328" s="259" t="str">
        <f t="shared" si="29"/>
        <v>&lt;/NamTruoc&gt;</v>
      </c>
      <c r="H328" s="260"/>
      <c r="I328" s="261" t="str">
        <f t="shared" si="30"/>
        <v/>
      </c>
      <c r="J328" s="262"/>
      <c r="K328" s="262"/>
      <c r="L328" s="262"/>
      <c r="M328" s="263"/>
    </row>
    <row r="329" spans="1:15" x14ac:dyDescent="0.45">
      <c r="A329" s="253" t="str">
        <f t="shared" si="31"/>
        <v>&lt;/PL_KQHDSXKD&gt;</v>
      </c>
      <c r="B329" s="450" t="s">
        <v>4534</v>
      </c>
      <c r="C329" s="244">
        <f t="shared" ref="C329:C392" si="32">LEN(B329)-LEN(SUBSTITUTE(B329,"&lt;",""))</f>
        <v>1</v>
      </c>
      <c r="D329" s="244">
        <f t="shared" ref="D329:D392" si="33">SEARCH("&gt;",B329)</f>
        <v>14</v>
      </c>
      <c r="E329" s="244">
        <f t="shared" ref="E329:E392" si="34">IFERROR(SEARCH("&lt;/",B329),"")</f>
        <v>1</v>
      </c>
      <c r="G329" s="259" t="str">
        <f t="shared" ref="G329:G392" si="35">LEFT(B329,D329)</f>
        <v>&lt;/PL_KQHDSXKD&gt;</v>
      </c>
      <c r="H329" s="260"/>
      <c r="I329" s="261" t="str">
        <f t="shared" ref="I329:I392" si="36">IF(C329=2,RIGHT(B329,LEN(B329)-E329+1),"")</f>
        <v/>
      </c>
      <c r="J329" s="262"/>
      <c r="K329" s="262"/>
      <c r="L329" s="262"/>
      <c r="M329" s="263"/>
      <c r="N329" s="265"/>
    </row>
    <row r="330" spans="1:15" x14ac:dyDescent="0.45">
      <c r="A330" s="253" t="str">
        <f t="shared" si="31"/>
        <v>&lt;PL_CDTK&gt;</v>
      </c>
      <c r="B330" s="450" t="s">
        <v>4535</v>
      </c>
      <c r="C330" s="244">
        <f t="shared" si="32"/>
        <v>1</v>
      </c>
      <c r="D330" s="244">
        <f t="shared" si="33"/>
        <v>9</v>
      </c>
      <c r="E330" s="244" t="str">
        <f t="shared" si="34"/>
        <v/>
      </c>
      <c r="G330" s="259" t="str">
        <f t="shared" si="35"/>
        <v>&lt;PL_CDTK&gt;</v>
      </c>
      <c r="H330" s="260"/>
      <c r="I330" s="261" t="str">
        <f t="shared" si="36"/>
        <v/>
      </c>
      <c r="J330" s="262"/>
      <c r="K330" s="262"/>
      <c r="L330" s="262"/>
      <c r="M330" s="263"/>
      <c r="N330" s="265"/>
    </row>
    <row r="331" spans="1:15" x14ac:dyDescent="0.45">
      <c r="A331" s="253" t="str">
        <f t="shared" si="31"/>
        <v>&lt;SoDuDauKy&gt;</v>
      </c>
      <c r="B331" s="450" t="s">
        <v>1585</v>
      </c>
      <c r="C331" s="244">
        <f t="shared" si="32"/>
        <v>1</v>
      </c>
      <c r="D331" s="244">
        <f t="shared" si="33"/>
        <v>11</v>
      </c>
      <c r="E331" s="244" t="str">
        <f t="shared" si="34"/>
        <v/>
      </c>
      <c r="G331" s="259" t="str">
        <f t="shared" si="35"/>
        <v>&lt;SoDuDauKy&gt;</v>
      </c>
      <c r="H331" s="260"/>
      <c r="I331" s="261" t="str">
        <f t="shared" si="36"/>
        <v/>
      </c>
      <c r="J331" s="262"/>
      <c r="K331" s="262"/>
      <c r="L331" s="262"/>
      <c r="M331" s="263"/>
      <c r="N331" s="265"/>
    </row>
    <row r="332" spans="1:15" x14ac:dyDescent="0.45">
      <c r="A332" s="253" t="str">
        <f t="shared" si="31"/>
        <v>&lt;No&gt;</v>
      </c>
      <c r="B332" s="450" t="s">
        <v>1586</v>
      </c>
      <c r="C332" s="244">
        <f t="shared" si="32"/>
        <v>1</v>
      </c>
      <c r="D332" s="244">
        <f t="shared" si="33"/>
        <v>4</v>
      </c>
      <c r="E332" s="244" t="str">
        <f t="shared" si="34"/>
        <v/>
      </c>
      <c r="G332" s="259" t="str">
        <f t="shared" si="35"/>
        <v>&lt;No&gt;</v>
      </c>
      <c r="H332" s="260"/>
      <c r="I332" s="261" t="str">
        <f t="shared" si="36"/>
        <v/>
      </c>
      <c r="J332" s="262"/>
      <c r="K332" s="262"/>
      <c r="L332" s="262"/>
      <c r="M332" s="263"/>
      <c r="N332" s="265"/>
    </row>
    <row r="333" spans="1:15" x14ac:dyDescent="0.45">
      <c r="A333" s="253" t="str">
        <f t="shared" si="31"/>
        <v>&lt;ct111&gt;439885419&lt;/ct111&gt;</v>
      </c>
      <c r="B333" s="450" t="s">
        <v>1587</v>
      </c>
      <c r="C333" s="244">
        <f t="shared" si="32"/>
        <v>2</v>
      </c>
      <c r="D333" s="244">
        <f t="shared" si="33"/>
        <v>7</v>
      </c>
      <c r="E333" s="244">
        <f t="shared" si="34"/>
        <v>9</v>
      </c>
      <c r="G333" s="259" t="str">
        <f t="shared" si="35"/>
        <v>&lt;ct111&gt;</v>
      </c>
      <c r="H333" s="260">
        <f>VLOOKUP(O333,BCDTK!$E$9:$L$132,3,0)</f>
        <v>439885419</v>
      </c>
      <c r="I333" s="261" t="str">
        <f t="shared" si="36"/>
        <v>&lt;/ct111&gt;</v>
      </c>
      <c r="J333" s="262"/>
      <c r="K333" s="262"/>
      <c r="L333" s="262"/>
      <c r="M333" s="263"/>
      <c r="N333" s="265"/>
      <c r="O333" s="265">
        <v>111</v>
      </c>
    </row>
    <row r="334" spans="1:15" x14ac:dyDescent="0.45">
      <c r="A334" s="253" t="str">
        <f t="shared" si="31"/>
        <v>&lt;ct1111&gt;439885419&lt;/ct1111&gt;</v>
      </c>
      <c r="B334" s="450" t="s">
        <v>1588</v>
      </c>
      <c r="C334" s="244">
        <f t="shared" si="32"/>
        <v>2</v>
      </c>
      <c r="D334" s="244">
        <f t="shared" si="33"/>
        <v>8</v>
      </c>
      <c r="E334" s="244">
        <f t="shared" si="34"/>
        <v>10</v>
      </c>
      <c r="G334" s="259" t="str">
        <f t="shared" si="35"/>
        <v>&lt;ct1111&gt;</v>
      </c>
      <c r="H334" s="260">
        <f>VLOOKUP(O334,BCDTK!$E$9:$L$132,3,0)</f>
        <v>439885419</v>
      </c>
      <c r="I334" s="261" t="str">
        <f t="shared" si="36"/>
        <v>&lt;/ct1111&gt;</v>
      </c>
      <c r="J334" s="262"/>
      <c r="K334" s="262"/>
      <c r="L334" s="262"/>
      <c r="M334" s="263"/>
      <c r="N334" s="265"/>
      <c r="O334" s="265">
        <v>1111</v>
      </c>
    </row>
    <row r="335" spans="1:15" x14ac:dyDescent="0.45">
      <c r="A335" s="253" t="str">
        <f t="shared" si="31"/>
        <v>&lt;ct1112&gt;0&lt;/ct1112&gt;</v>
      </c>
      <c r="B335" s="450" t="s">
        <v>1589</v>
      </c>
      <c r="C335" s="244">
        <f t="shared" si="32"/>
        <v>2</v>
      </c>
      <c r="D335" s="244">
        <f t="shared" si="33"/>
        <v>8</v>
      </c>
      <c r="E335" s="244">
        <f t="shared" si="34"/>
        <v>10</v>
      </c>
      <c r="G335" s="259" t="str">
        <f t="shared" si="35"/>
        <v>&lt;ct1112&gt;</v>
      </c>
      <c r="H335" s="260">
        <f>VLOOKUP(O335,BCDTK!$E$9:$L$132,3,0)</f>
        <v>0</v>
      </c>
      <c r="I335" s="261" t="str">
        <f t="shared" si="36"/>
        <v>&lt;/ct1112&gt;</v>
      </c>
      <c r="J335" s="262"/>
      <c r="K335" s="262"/>
      <c r="L335" s="262"/>
      <c r="M335" s="263"/>
      <c r="N335" s="265"/>
      <c r="O335" s="265">
        <v>1112</v>
      </c>
    </row>
    <row r="336" spans="1:15" x14ac:dyDescent="0.45">
      <c r="A336" s="253" t="str">
        <f t="shared" si="31"/>
        <v>&lt;ct112&gt;229512&lt;/ct112&gt;</v>
      </c>
      <c r="B336" s="450" t="s">
        <v>1590</v>
      </c>
      <c r="C336" s="244">
        <f t="shared" si="32"/>
        <v>2</v>
      </c>
      <c r="D336" s="244">
        <f t="shared" si="33"/>
        <v>7</v>
      </c>
      <c r="E336" s="244">
        <f t="shared" si="34"/>
        <v>9</v>
      </c>
      <c r="G336" s="259" t="str">
        <f t="shared" si="35"/>
        <v>&lt;ct112&gt;</v>
      </c>
      <c r="H336" s="260">
        <f>VLOOKUP(O336,BCDTK!$E$9:$L$132,3,0)</f>
        <v>229512</v>
      </c>
      <c r="I336" s="261" t="str">
        <f t="shared" si="36"/>
        <v>&lt;/ct112&gt;</v>
      </c>
      <c r="J336" s="262"/>
      <c r="K336" s="262"/>
      <c r="L336" s="262"/>
      <c r="M336" s="263"/>
      <c r="N336" s="265"/>
      <c r="O336" s="265">
        <v>112</v>
      </c>
    </row>
    <row r="337" spans="1:15" x14ac:dyDescent="0.45">
      <c r="A337" s="253" t="str">
        <f t="shared" si="31"/>
        <v>&lt;ct1121&gt;229512&lt;/ct1121&gt;</v>
      </c>
      <c r="B337" s="450" t="s">
        <v>1591</v>
      </c>
      <c r="C337" s="244">
        <f t="shared" si="32"/>
        <v>2</v>
      </c>
      <c r="D337" s="244">
        <f t="shared" si="33"/>
        <v>8</v>
      </c>
      <c r="E337" s="244">
        <f t="shared" si="34"/>
        <v>10</v>
      </c>
      <c r="G337" s="259" t="str">
        <f t="shared" si="35"/>
        <v>&lt;ct1121&gt;</v>
      </c>
      <c r="H337" s="260">
        <f>VLOOKUP(O337,BCDTK!$E$9:$L$132,3,0)</f>
        <v>229512</v>
      </c>
      <c r="I337" s="261" t="str">
        <f t="shared" si="36"/>
        <v>&lt;/ct1121&gt;</v>
      </c>
      <c r="J337" s="262"/>
      <c r="K337" s="262"/>
      <c r="L337" s="262"/>
      <c r="M337" s="263"/>
      <c r="N337" s="265"/>
      <c r="O337" s="265">
        <v>1121</v>
      </c>
    </row>
    <row r="338" spans="1:15" x14ac:dyDescent="0.45">
      <c r="A338" s="253" t="str">
        <f t="shared" si="31"/>
        <v>&lt;ct1122&gt;0&lt;/ct1122&gt;</v>
      </c>
      <c r="B338" s="450" t="s">
        <v>1592</v>
      </c>
      <c r="C338" s="244">
        <f t="shared" si="32"/>
        <v>2</v>
      </c>
      <c r="D338" s="244">
        <f t="shared" si="33"/>
        <v>8</v>
      </c>
      <c r="E338" s="244">
        <f t="shared" si="34"/>
        <v>10</v>
      </c>
      <c r="G338" s="259" t="str">
        <f t="shared" si="35"/>
        <v>&lt;ct1122&gt;</v>
      </c>
      <c r="H338" s="260">
        <f>VLOOKUP(O338,BCDTK!$E$9:$L$132,3,0)</f>
        <v>0</v>
      </c>
      <c r="I338" s="261" t="str">
        <f t="shared" si="36"/>
        <v>&lt;/ct1122&gt;</v>
      </c>
      <c r="J338" s="262"/>
      <c r="K338" s="262"/>
      <c r="L338" s="262"/>
      <c r="M338" s="263"/>
      <c r="N338" s="265"/>
      <c r="O338" s="265">
        <v>1122</v>
      </c>
    </row>
    <row r="339" spans="1:15" x14ac:dyDescent="0.45">
      <c r="A339" s="253" t="str">
        <f t="shared" si="31"/>
        <v>&lt;ct121&gt;0&lt;/ct121&gt;</v>
      </c>
      <c r="B339" s="450" t="s">
        <v>1461</v>
      </c>
      <c r="C339" s="244">
        <f t="shared" si="32"/>
        <v>2</v>
      </c>
      <c r="D339" s="244">
        <f t="shared" si="33"/>
        <v>7</v>
      </c>
      <c r="E339" s="244">
        <f t="shared" si="34"/>
        <v>9</v>
      </c>
      <c r="G339" s="259" t="str">
        <f t="shared" si="35"/>
        <v>&lt;ct121&gt;</v>
      </c>
      <c r="H339" s="260">
        <f>VLOOKUP(O339,BCDTK!$E$9:$L$132,3,0)</f>
        <v>0</v>
      </c>
      <c r="I339" s="261" t="str">
        <f t="shared" si="36"/>
        <v>&lt;/ct121&gt;</v>
      </c>
      <c r="J339" s="262"/>
      <c r="K339" s="262"/>
      <c r="L339" s="262"/>
      <c r="M339" s="263"/>
      <c r="N339" s="265"/>
      <c r="O339" s="265">
        <v>121</v>
      </c>
    </row>
    <row r="340" spans="1:15" x14ac:dyDescent="0.45">
      <c r="A340" s="253" t="str">
        <f t="shared" si="31"/>
        <v>&lt;ct128&gt;0&lt;/ct128&gt;</v>
      </c>
      <c r="B340" s="450" t="s">
        <v>1593</v>
      </c>
      <c r="C340" s="244">
        <f t="shared" si="32"/>
        <v>2</v>
      </c>
      <c r="D340" s="244">
        <f t="shared" si="33"/>
        <v>7</v>
      </c>
      <c r="E340" s="244">
        <f t="shared" si="34"/>
        <v>9</v>
      </c>
      <c r="G340" s="259" t="str">
        <f t="shared" si="35"/>
        <v>&lt;ct128&gt;</v>
      </c>
      <c r="H340" s="260">
        <f>VLOOKUP(O340,BCDTK!$E$9:$L$132,3,0)</f>
        <v>0</v>
      </c>
      <c r="I340" s="261" t="str">
        <f t="shared" si="36"/>
        <v>&lt;/ct128&gt;</v>
      </c>
      <c r="J340" s="262"/>
      <c r="K340" s="262"/>
      <c r="L340" s="262"/>
      <c r="M340" s="263"/>
      <c r="N340" s="265"/>
      <c r="O340" s="265">
        <v>128</v>
      </c>
    </row>
    <row r="341" spans="1:15" x14ac:dyDescent="0.45">
      <c r="A341" s="253" t="str">
        <f t="shared" si="31"/>
        <v>&lt;ct1281&gt;0&lt;/ct1281&gt;</v>
      </c>
      <c r="B341" s="450" t="s">
        <v>1594</v>
      </c>
      <c r="C341" s="244">
        <f t="shared" si="32"/>
        <v>2</v>
      </c>
      <c r="D341" s="244">
        <f t="shared" si="33"/>
        <v>8</v>
      </c>
      <c r="E341" s="244">
        <f t="shared" si="34"/>
        <v>10</v>
      </c>
      <c r="G341" s="259" t="str">
        <f t="shared" si="35"/>
        <v>&lt;ct1281&gt;</v>
      </c>
      <c r="H341" s="260">
        <f>VLOOKUP(O341,BCDTK!$E$9:$L$132,3,0)</f>
        <v>0</v>
      </c>
      <c r="I341" s="261" t="str">
        <f t="shared" si="36"/>
        <v>&lt;/ct1281&gt;</v>
      </c>
      <c r="J341" s="262"/>
      <c r="K341" s="262"/>
      <c r="L341" s="262"/>
      <c r="M341" s="263"/>
      <c r="N341" s="265"/>
      <c r="O341" s="265">
        <v>1281</v>
      </c>
    </row>
    <row r="342" spans="1:15" x14ac:dyDescent="0.45">
      <c r="A342" s="253" t="str">
        <f t="shared" si="31"/>
        <v>&lt;ct1288&gt;0&lt;/ct1288&gt;</v>
      </c>
      <c r="B342" s="450" t="s">
        <v>1595</v>
      </c>
      <c r="C342" s="244">
        <f t="shared" si="32"/>
        <v>2</v>
      </c>
      <c r="D342" s="244">
        <f t="shared" si="33"/>
        <v>8</v>
      </c>
      <c r="E342" s="244">
        <f t="shared" si="34"/>
        <v>10</v>
      </c>
      <c r="G342" s="259" t="str">
        <f t="shared" si="35"/>
        <v>&lt;ct1288&gt;</v>
      </c>
      <c r="H342" s="260">
        <f>VLOOKUP(O342,BCDTK!$E$9:$L$132,3,0)</f>
        <v>0</v>
      </c>
      <c r="I342" s="261" t="str">
        <f t="shared" si="36"/>
        <v>&lt;/ct1288&gt;</v>
      </c>
      <c r="J342" s="262"/>
      <c r="K342" s="262"/>
      <c r="L342" s="262"/>
      <c r="M342" s="263"/>
      <c r="N342" s="265"/>
      <c r="O342" s="265">
        <v>1288</v>
      </c>
    </row>
    <row r="343" spans="1:15" x14ac:dyDescent="0.45">
      <c r="A343" s="253" t="str">
        <f t="shared" si="31"/>
        <v>&lt;ct131&gt;22680000&lt;/ct131&gt;</v>
      </c>
      <c r="B343" s="450" t="s">
        <v>1510</v>
      </c>
      <c r="C343" s="244">
        <f t="shared" si="32"/>
        <v>2</v>
      </c>
      <c r="D343" s="244">
        <f t="shared" si="33"/>
        <v>7</v>
      </c>
      <c r="E343" s="244">
        <f t="shared" si="34"/>
        <v>9</v>
      </c>
      <c r="G343" s="259" t="str">
        <f t="shared" si="35"/>
        <v>&lt;ct131&gt;</v>
      </c>
      <c r="H343" s="260">
        <f>VLOOKUP(O343,BCDTK!$E$9:$L$132,3,0)</f>
        <v>22680000</v>
      </c>
      <c r="I343" s="261" t="str">
        <f t="shared" si="36"/>
        <v>&lt;/ct131&gt;</v>
      </c>
      <c r="J343" s="262"/>
      <c r="K343" s="262"/>
      <c r="L343" s="262"/>
      <c r="M343" s="263"/>
      <c r="N343" s="265"/>
      <c r="O343" s="265">
        <v>131</v>
      </c>
    </row>
    <row r="344" spans="1:15" x14ac:dyDescent="0.45">
      <c r="A344" s="253" t="str">
        <f t="shared" si="31"/>
        <v>&lt;ct133&gt;0&lt;/ct133&gt;</v>
      </c>
      <c r="B344" s="450" t="s">
        <v>1468</v>
      </c>
      <c r="C344" s="244">
        <f t="shared" si="32"/>
        <v>2</v>
      </c>
      <c r="D344" s="244">
        <f t="shared" si="33"/>
        <v>7</v>
      </c>
      <c r="E344" s="244">
        <f t="shared" si="34"/>
        <v>9</v>
      </c>
      <c r="G344" s="259" t="str">
        <f t="shared" si="35"/>
        <v>&lt;ct133&gt;</v>
      </c>
      <c r="H344" s="260">
        <f>VLOOKUP(O344,BCDTK!$E$9:$L$132,3,0)</f>
        <v>0</v>
      </c>
      <c r="I344" s="261" t="str">
        <f t="shared" si="36"/>
        <v>&lt;/ct133&gt;</v>
      </c>
      <c r="J344" s="262"/>
      <c r="K344" s="262"/>
      <c r="L344" s="262"/>
      <c r="M344" s="263"/>
      <c r="N344" s="265"/>
      <c r="O344" s="265">
        <v>133</v>
      </c>
    </row>
    <row r="345" spans="1:15" x14ac:dyDescent="0.45">
      <c r="A345" s="253" t="str">
        <f t="shared" si="31"/>
        <v>&lt;ct1331&gt;0&lt;/ct1331&gt;</v>
      </c>
      <c r="B345" s="450" t="s">
        <v>1596</v>
      </c>
      <c r="C345" s="244">
        <f t="shared" si="32"/>
        <v>2</v>
      </c>
      <c r="D345" s="244">
        <f t="shared" si="33"/>
        <v>8</v>
      </c>
      <c r="E345" s="244">
        <f t="shared" si="34"/>
        <v>10</v>
      </c>
      <c r="G345" s="259" t="str">
        <f t="shared" si="35"/>
        <v>&lt;ct1331&gt;</v>
      </c>
      <c r="H345" s="260">
        <f>VLOOKUP(O345,BCDTK!$E$9:$L$132,3,0)</f>
        <v>0</v>
      </c>
      <c r="I345" s="261" t="str">
        <f t="shared" si="36"/>
        <v>&lt;/ct1331&gt;</v>
      </c>
      <c r="J345" s="262"/>
      <c r="K345" s="262"/>
      <c r="L345" s="262"/>
      <c r="M345" s="263"/>
      <c r="N345" s="265"/>
      <c r="O345" s="265">
        <v>1331</v>
      </c>
    </row>
    <row r="346" spans="1:15" x14ac:dyDescent="0.45">
      <c r="A346" s="253" t="str">
        <f t="shared" si="31"/>
        <v>&lt;ct1332&gt;0&lt;/ct1332&gt;</v>
      </c>
      <c r="B346" s="450" t="s">
        <v>1597</v>
      </c>
      <c r="C346" s="244">
        <f t="shared" si="32"/>
        <v>2</v>
      </c>
      <c r="D346" s="244">
        <f t="shared" si="33"/>
        <v>8</v>
      </c>
      <c r="E346" s="244">
        <f t="shared" si="34"/>
        <v>10</v>
      </c>
      <c r="G346" s="259" t="str">
        <f t="shared" si="35"/>
        <v>&lt;ct1332&gt;</v>
      </c>
      <c r="H346" s="260">
        <f>VLOOKUP(O346,BCDTK!$E$9:$L$132,3,0)</f>
        <v>0</v>
      </c>
      <c r="I346" s="261" t="str">
        <f t="shared" si="36"/>
        <v>&lt;/ct1332&gt;</v>
      </c>
      <c r="J346" s="262"/>
      <c r="K346" s="262"/>
      <c r="L346" s="262"/>
      <c r="M346" s="263"/>
      <c r="N346" s="265"/>
      <c r="O346" s="265">
        <v>1332</v>
      </c>
    </row>
    <row r="347" spans="1:15" x14ac:dyDescent="0.45">
      <c r="A347" s="253" t="str">
        <f t="shared" si="31"/>
        <v>&lt;ct136&gt;0&lt;/ct136&gt;</v>
      </c>
      <c r="B347" s="450" t="s">
        <v>1471</v>
      </c>
      <c r="C347" s="244">
        <f t="shared" si="32"/>
        <v>2</v>
      </c>
      <c r="D347" s="244">
        <f t="shared" si="33"/>
        <v>7</v>
      </c>
      <c r="E347" s="244">
        <f t="shared" si="34"/>
        <v>9</v>
      </c>
      <c r="G347" s="259" t="str">
        <f t="shared" si="35"/>
        <v>&lt;ct136&gt;</v>
      </c>
      <c r="H347" s="260">
        <f>VLOOKUP(O347,BCDTK!$E$9:$L$132,3,0)</f>
        <v>0</v>
      </c>
      <c r="I347" s="261" t="str">
        <f t="shared" si="36"/>
        <v>&lt;/ct136&gt;</v>
      </c>
      <c r="J347" s="262"/>
      <c r="K347" s="262"/>
      <c r="L347" s="262"/>
      <c r="M347" s="263"/>
      <c r="N347" s="265"/>
      <c r="O347" s="265">
        <v>136</v>
      </c>
    </row>
    <row r="348" spans="1:15" x14ac:dyDescent="0.45">
      <c r="A348" s="253" t="str">
        <f t="shared" si="31"/>
        <v>&lt;ct1361&gt;0&lt;/ct1361&gt;</v>
      </c>
      <c r="B348" s="450" t="s">
        <v>1598</v>
      </c>
      <c r="C348" s="244">
        <f t="shared" si="32"/>
        <v>2</v>
      </c>
      <c r="D348" s="244">
        <f t="shared" si="33"/>
        <v>8</v>
      </c>
      <c r="E348" s="244">
        <f t="shared" si="34"/>
        <v>10</v>
      </c>
      <c r="G348" s="259" t="str">
        <f t="shared" si="35"/>
        <v>&lt;ct1361&gt;</v>
      </c>
      <c r="H348" s="260">
        <f>VLOOKUP(O348,BCDTK!$E$9:$L$132,3,0)</f>
        <v>0</v>
      </c>
      <c r="I348" s="261" t="str">
        <f t="shared" si="36"/>
        <v>&lt;/ct1361&gt;</v>
      </c>
      <c r="J348" s="262"/>
      <c r="K348" s="262"/>
      <c r="L348" s="262"/>
      <c r="M348" s="263"/>
      <c r="N348" s="265"/>
      <c r="O348" s="265">
        <v>1361</v>
      </c>
    </row>
    <row r="349" spans="1:15" x14ac:dyDescent="0.45">
      <c r="A349" s="253" t="str">
        <f t="shared" si="31"/>
        <v>&lt;ct1368&gt;0&lt;/ct1368&gt;</v>
      </c>
      <c r="B349" s="450" t="s">
        <v>1599</v>
      </c>
      <c r="C349" s="244">
        <f t="shared" si="32"/>
        <v>2</v>
      </c>
      <c r="D349" s="244">
        <f t="shared" si="33"/>
        <v>8</v>
      </c>
      <c r="E349" s="244">
        <f t="shared" si="34"/>
        <v>10</v>
      </c>
      <c r="G349" s="259" t="str">
        <f t="shared" si="35"/>
        <v>&lt;ct1368&gt;</v>
      </c>
      <c r="H349" s="260">
        <f>VLOOKUP(O349,BCDTK!$E$9:$L$132,3,0)</f>
        <v>0</v>
      </c>
      <c r="I349" s="261" t="str">
        <f t="shared" si="36"/>
        <v>&lt;/ct1368&gt;</v>
      </c>
      <c r="J349" s="262"/>
      <c r="K349" s="262"/>
      <c r="L349" s="262"/>
      <c r="M349" s="263"/>
      <c r="N349" s="265"/>
      <c r="O349" s="265">
        <v>1368</v>
      </c>
    </row>
    <row r="350" spans="1:15" x14ac:dyDescent="0.45">
      <c r="A350" s="253" t="str">
        <f t="shared" si="31"/>
        <v>&lt;ct138&gt;0&lt;/ct138&gt;</v>
      </c>
      <c r="B350" s="450" t="s">
        <v>1600</v>
      </c>
      <c r="C350" s="244">
        <f t="shared" si="32"/>
        <v>2</v>
      </c>
      <c r="D350" s="244">
        <f t="shared" si="33"/>
        <v>7</v>
      </c>
      <c r="E350" s="244">
        <f t="shared" si="34"/>
        <v>9</v>
      </c>
      <c r="G350" s="259" t="str">
        <f t="shared" si="35"/>
        <v>&lt;ct138&gt;</v>
      </c>
      <c r="H350" s="260">
        <f>VLOOKUP(O350,BCDTK!$E$9:$L$132,3,0)</f>
        <v>0</v>
      </c>
      <c r="I350" s="261" t="str">
        <f t="shared" si="36"/>
        <v>&lt;/ct138&gt;</v>
      </c>
      <c r="J350" s="262"/>
      <c r="K350" s="262"/>
      <c r="L350" s="262"/>
      <c r="M350" s="263"/>
      <c r="N350" s="265"/>
      <c r="O350" s="265">
        <v>138</v>
      </c>
    </row>
    <row r="351" spans="1:15" x14ac:dyDescent="0.45">
      <c r="A351" s="253" t="str">
        <f t="shared" si="31"/>
        <v>&lt;ct1381&gt;0&lt;/ct1381&gt;</v>
      </c>
      <c r="B351" s="450" t="s">
        <v>1601</v>
      </c>
      <c r="C351" s="244">
        <f t="shared" si="32"/>
        <v>2</v>
      </c>
      <c r="D351" s="244">
        <f t="shared" si="33"/>
        <v>8</v>
      </c>
      <c r="E351" s="244">
        <f t="shared" si="34"/>
        <v>10</v>
      </c>
      <c r="G351" s="259" t="str">
        <f t="shared" si="35"/>
        <v>&lt;ct1381&gt;</v>
      </c>
      <c r="H351" s="260">
        <f>VLOOKUP(O351,BCDTK!$E$9:$L$132,3,0)</f>
        <v>0</v>
      </c>
      <c r="I351" s="261" t="str">
        <f t="shared" si="36"/>
        <v>&lt;/ct1381&gt;</v>
      </c>
      <c r="J351" s="262"/>
      <c r="K351" s="262"/>
      <c r="L351" s="262"/>
      <c r="M351" s="263"/>
      <c r="N351" s="265"/>
      <c r="O351" s="265">
        <v>1381</v>
      </c>
    </row>
    <row r="352" spans="1:15" x14ac:dyDescent="0.45">
      <c r="A352" s="253" t="str">
        <f t="shared" si="31"/>
        <v>&lt;ct1386&gt;0&lt;/ct1386&gt;</v>
      </c>
      <c r="B352" s="450" t="s">
        <v>1602</v>
      </c>
      <c r="C352" s="244">
        <f t="shared" si="32"/>
        <v>2</v>
      </c>
      <c r="D352" s="244">
        <f t="shared" si="33"/>
        <v>8</v>
      </c>
      <c r="E352" s="244">
        <f t="shared" si="34"/>
        <v>10</v>
      </c>
      <c r="G352" s="259" t="str">
        <f t="shared" si="35"/>
        <v>&lt;ct1386&gt;</v>
      </c>
      <c r="H352" s="260">
        <f>VLOOKUP(O352,BCDTK!$E$9:$L$132,3,0)</f>
        <v>0</v>
      </c>
      <c r="I352" s="261" t="str">
        <f t="shared" si="36"/>
        <v>&lt;/ct1386&gt;</v>
      </c>
      <c r="J352" s="262"/>
      <c r="K352" s="262"/>
      <c r="L352" s="262"/>
      <c r="M352" s="263"/>
      <c r="N352" s="265"/>
      <c r="O352" s="265">
        <v>1386</v>
      </c>
    </row>
    <row r="353" spans="1:15" x14ac:dyDescent="0.45">
      <c r="A353" s="253" t="str">
        <f t="shared" si="31"/>
        <v>&lt;ct1388&gt;0&lt;/ct1388&gt;</v>
      </c>
      <c r="B353" s="450" t="s">
        <v>1603</v>
      </c>
      <c r="C353" s="244">
        <f t="shared" si="32"/>
        <v>2</v>
      </c>
      <c r="D353" s="244">
        <f t="shared" si="33"/>
        <v>8</v>
      </c>
      <c r="E353" s="244">
        <f t="shared" si="34"/>
        <v>10</v>
      </c>
      <c r="G353" s="259" t="str">
        <f t="shared" si="35"/>
        <v>&lt;ct1388&gt;</v>
      </c>
      <c r="H353" s="260">
        <f>VLOOKUP(O353,BCDTK!$E$9:$L$132,3,0)</f>
        <v>0</v>
      </c>
      <c r="I353" s="261" t="str">
        <f t="shared" si="36"/>
        <v>&lt;/ct1388&gt;</v>
      </c>
      <c r="J353" s="262"/>
      <c r="K353" s="262"/>
      <c r="L353" s="262"/>
      <c r="M353" s="263"/>
      <c r="N353" s="265"/>
      <c r="O353" s="265">
        <v>1388</v>
      </c>
    </row>
    <row r="354" spans="1:15" x14ac:dyDescent="0.45">
      <c r="A354" s="253" t="str">
        <f t="shared" si="31"/>
        <v>&lt;ct141&gt;0&lt;/ct141&gt;</v>
      </c>
      <c r="B354" s="450" t="s">
        <v>1513</v>
      </c>
      <c r="C354" s="244">
        <f t="shared" si="32"/>
        <v>2</v>
      </c>
      <c r="D354" s="244">
        <f t="shared" si="33"/>
        <v>7</v>
      </c>
      <c r="E354" s="244">
        <f t="shared" si="34"/>
        <v>9</v>
      </c>
      <c r="G354" s="259" t="str">
        <f t="shared" si="35"/>
        <v>&lt;ct141&gt;</v>
      </c>
      <c r="H354" s="260">
        <f>VLOOKUP(O354,BCDTK!$E$9:$L$132,3,0)</f>
        <v>0</v>
      </c>
      <c r="I354" s="261" t="str">
        <f t="shared" si="36"/>
        <v>&lt;/ct141&gt;</v>
      </c>
      <c r="J354" s="262"/>
      <c r="K354" s="262"/>
      <c r="L354" s="262"/>
      <c r="M354" s="263"/>
      <c r="N354" s="265"/>
      <c r="O354" s="265">
        <v>141</v>
      </c>
    </row>
    <row r="355" spans="1:15" x14ac:dyDescent="0.45">
      <c r="A355" s="253" t="str">
        <f t="shared" si="31"/>
        <v>&lt;ct151&gt;0&lt;/ct151&gt;</v>
      </c>
      <c r="B355" s="450" t="s">
        <v>1476</v>
      </c>
      <c r="C355" s="244">
        <f t="shared" si="32"/>
        <v>2</v>
      </c>
      <c r="D355" s="244">
        <f t="shared" si="33"/>
        <v>7</v>
      </c>
      <c r="E355" s="244">
        <f t="shared" si="34"/>
        <v>9</v>
      </c>
      <c r="G355" s="259" t="str">
        <f t="shared" si="35"/>
        <v>&lt;ct151&gt;</v>
      </c>
      <c r="H355" s="260">
        <f>VLOOKUP(O355,BCDTK!$E$9:$L$132,3,0)</f>
        <v>0</v>
      </c>
      <c r="I355" s="261" t="str">
        <f t="shared" si="36"/>
        <v>&lt;/ct151&gt;</v>
      </c>
      <c r="J355" s="262"/>
      <c r="K355" s="262"/>
      <c r="L355" s="262"/>
      <c r="M355" s="263"/>
      <c r="N355" s="265"/>
      <c r="O355" s="265">
        <v>151</v>
      </c>
    </row>
    <row r="356" spans="1:15" x14ac:dyDescent="0.45">
      <c r="A356" s="253" t="str">
        <f t="shared" si="31"/>
        <v>&lt;ct152&gt;0&lt;/ct152&gt;</v>
      </c>
      <c r="B356" s="450" t="s">
        <v>1477</v>
      </c>
      <c r="C356" s="244">
        <f t="shared" si="32"/>
        <v>2</v>
      </c>
      <c r="D356" s="244">
        <f t="shared" si="33"/>
        <v>7</v>
      </c>
      <c r="E356" s="244">
        <f t="shared" si="34"/>
        <v>9</v>
      </c>
      <c r="G356" s="259" t="str">
        <f t="shared" si="35"/>
        <v>&lt;ct152&gt;</v>
      </c>
      <c r="H356" s="260">
        <f>VLOOKUP(O356,BCDTK!$E$9:$L$132,3,0)</f>
        <v>0</v>
      </c>
      <c r="I356" s="261" t="str">
        <f t="shared" si="36"/>
        <v>&lt;/ct152&gt;</v>
      </c>
      <c r="J356" s="262"/>
      <c r="K356" s="262"/>
      <c r="L356" s="262"/>
      <c r="M356" s="263"/>
      <c r="N356" s="265"/>
      <c r="O356" s="265">
        <v>152</v>
      </c>
    </row>
    <row r="357" spans="1:15" x14ac:dyDescent="0.45">
      <c r="A357" s="253" t="str">
        <f t="shared" si="31"/>
        <v>&lt;ct153&gt;0&lt;/ct153&gt;</v>
      </c>
      <c r="B357" s="450" t="s">
        <v>1604</v>
      </c>
      <c r="C357" s="244">
        <f t="shared" si="32"/>
        <v>2</v>
      </c>
      <c r="D357" s="244">
        <f t="shared" si="33"/>
        <v>7</v>
      </c>
      <c r="E357" s="244">
        <f t="shared" si="34"/>
        <v>9</v>
      </c>
      <c r="G357" s="259" t="str">
        <f t="shared" si="35"/>
        <v>&lt;ct153&gt;</v>
      </c>
      <c r="H357" s="260">
        <f>VLOOKUP(O357,BCDTK!$E$9:$L$132,3,0)</f>
        <v>0</v>
      </c>
      <c r="I357" s="261" t="str">
        <f t="shared" si="36"/>
        <v>&lt;/ct153&gt;</v>
      </c>
      <c r="J357" s="262"/>
      <c r="K357" s="262"/>
      <c r="L357" s="262"/>
      <c r="M357" s="263"/>
      <c r="N357" s="265"/>
      <c r="O357" s="265">
        <v>153</v>
      </c>
    </row>
    <row r="358" spans="1:15" x14ac:dyDescent="0.45">
      <c r="A358" s="253" t="str">
        <f t="shared" si="31"/>
        <v>&lt;ct154&gt;0&lt;/ct154&gt;</v>
      </c>
      <c r="B358" s="450" t="s">
        <v>1605</v>
      </c>
      <c r="C358" s="244">
        <f t="shared" si="32"/>
        <v>2</v>
      </c>
      <c r="D358" s="244">
        <f t="shared" si="33"/>
        <v>7</v>
      </c>
      <c r="E358" s="244">
        <f t="shared" si="34"/>
        <v>9</v>
      </c>
      <c r="G358" s="259" t="str">
        <f t="shared" si="35"/>
        <v>&lt;ct154&gt;</v>
      </c>
      <c r="H358" s="260">
        <f>VLOOKUP(O358,BCDTK!$E$9:$L$132,3,0)</f>
        <v>0</v>
      </c>
      <c r="I358" s="261" t="str">
        <f t="shared" si="36"/>
        <v>&lt;/ct154&gt;</v>
      </c>
      <c r="J358" s="262"/>
      <c r="K358" s="262"/>
      <c r="L358" s="262"/>
      <c r="M358" s="263"/>
      <c r="N358" s="265"/>
      <c r="O358" s="265">
        <v>154</v>
      </c>
    </row>
    <row r="359" spans="1:15" x14ac:dyDescent="0.45">
      <c r="A359" s="253" t="str">
        <f t="shared" si="31"/>
        <v>&lt;ct155&gt;0&lt;/ct155&gt;</v>
      </c>
      <c r="B359" s="450" t="s">
        <v>1606</v>
      </c>
      <c r="C359" s="244">
        <f t="shared" si="32"/>
        <v>2</v>
      </c>
      <c r="D359" s="244">
        <f t="shared" si="33"/>
        <v>7</v>
      </c>
      <c r="E359" s="244">
        <f t="shared" si="34"/>
        <v>9</v>
      </c>
      <c r="G359" s="259" t="str">
        <f t="shared" si="35"/>
        <v>&lt;ct155&gt;</v>
      </c>
      <c r="H359" s="260">
        <f>VLOOKUP(O359,BCDTK!$E$9:$L$132,3,0)</f>
        <v>0</v>
      </c>
      <c r="I359" s="261" t="str">
        <f t="shared" si="36"/>
        <v>&lt;/ct155&gt;</v>
      </c>
      <c r="J359" s="262"/>
      <c r="K359" s="262"/>
      <c r="L359" s="262"/>
      <c r="M359" s="263"/>
      <c r="N359" s="265"/>
      <c r="O359" s="265">
        <v>155</v>
      </c>
    </row>
    <row r="360" spans="1:15" x14ac:dyDescent="0.45">
      <c r="A360" s="253" t="str">
        <f t="shared" si="31"/>
        <v>&lt;ct156&gt;0&lt;/ct156&gt;</v>
      </c>
      <c r="B360" s="450" t="s">
        <v>1607</v>
      </c>
      <c r="C360" s="244">
        <f t="shared" si="32"/>
        <v>2</v>
      </c>
      <c r="D360" s="244">
        <f t="shared" si="33"/>
        <v>7</v>
      </c>
      <c r="E360" s="244">
        <f t="shared" si="34"/>
        <v>9</v>
      </c>
      <c r="G360" s="259" t="str">
        <f t="shared" si="35"/>
        <v>&lt;ct156&gt;</v>
      </c>
      <c r="H360" s="260">
        <f>VLOOKUP(O360,BCDTK!$E$9:$L$132,3,0)</f>
        <v>0</v>
      </c>
      <c r="I360" s="261" t="str">
        <f t="shared" si="36"/>
        <v>&lt;/ct156&gt;</v>
      </c>
      <c r="J360" s="262"/>
      <c r="K360" s="262"/>
      <c r="L360" s="262"/>
      <c r="M360" s="263"/>
      <c r="N360" s="265"/>
      <c r="O360" s="265">
        <v>156</v>
      </c>
    </row>
    <row r="361" spans="1:15" x14ac:dyDescent="0.45">
      <c r="A361" s="253" t="str">
        <f t="shared" si="31"/>
        <v>&lt;ct157&gt;0&lt;/ct157&gt;</v>
      </c>
      <c r="B361" s="450" t="s">
        <v>1608</v>
      </c>
      <c r="C361" s="244">
        <f t="shared" si="32"/>
        <v>2</v>
      </c>
      <c r="D361" s="244">
        <f t="shared" si="33"/>
        <v>7</v>
      </c>
      <c r="E361" s="244">
        <f t="shared" si="34"/>
        <v>9</v>
      </c>
      <c r="G361" s="259" t="str">
        <f t="shared" si="35"/>
        <v>&lt;ct157&gt;</v>
      </c>
      <c r="H361" s="260">
        <f>VLOOKUP(O361,BCDTK!$E$9:$L$132,3,0)</f>
        <v>0</v>
      </c>
      <c r="I361" s="261" t="str">
        <f t="shared" si="36"/>
        <v>&lt;/ct157&gt;</v>
      </c>
      <c r="J361" s="262"/>
      <c r="K361" s="262"/>
      <c r="L361" s="262"/>
      <c r="M361" s="263"/>
      <c r="N361" s="265"/>
      <c r="O361" s="265">
        <v>157</v>
      </c>
    </row>
    <row r="362" spans="1:15" x14ac:dyDescent="0.45">
      <c r="A362" s="253" t="str">
        <f t="shared" si="31"/>
        <v>&lt;ct211&gt;0&lt;/ct211&gt;</v>
      </c>
      <c r="B362" s="450" t="s">
        <v>1609</v>
      </c>
      <c r="C362" s="244">
        <f t="shared" si="32"/>
        <v>2</v>
      </c>
      <c r="D362" s="244">
        <f t="shared" si="33"/>
        <v>7</v>
      </c>
      <c r="E362" s="244">
        <f t="shared" si="34"/>
        <v>9</v>
      </c>
      <c r="G362" s="259" t="str">
        <f t="shared" si="35"/>
        <v>&lt;ct211&gt;</v>
      </c>
      <c r="H362" s="260">
        <f>VLOOKUP(O362,BCDTK!$E$9:$L$132,3,0)</f>
        <v>0</v>
      </c>
      <c r="I362" s="261" t="str">
        <f t="shared" si="36"/>
        <v>&lt;/ct211&gt;</v>
      </c>
      <c r="J362" s="262"/>
      <c r="K362" s="262"/>
      <c r="L362" s="262"/>
      <c r="M362" s="263"/>
      <c r="N362" s="265"/>
      <c r="O362" s="265">
        <v>211</v>
      </c>
    </row>
    <row r="363" spans="1:15" x14ac:dyDescent="0.45">
      <c r="A363" s="253" t="str">
        <f t="shared" si="31"/>
        <v>&lt;ct2111&gt;0&lt;/ct2111&gt;</v>
      </c>
      <c r="B363" s="450" t="s">
        <v>1610</v>
      </c>
      <c r="C363" s="244">
        <f t="shared" si="32"/>
        <v>2</v>
      </c>
      <c r="D363" s="244">
        <f t="shared" si="33"/>
        <v>8</v>
      </c>
      <c r="E363" s="244">
        <f t="shared" si="34"/>
        <v>10</v>
      </c>
      <c r="G363" s="259" t="str">
        <f t="shared" si="35"/>
        <v>&lt;ct2111&gt;</v>
      </c>
      <c r="H363" s="260">
        <f>VLOOKUP(O363,BCDTK!$E$9:$L$132,3,0)</f>
        <v>0</v>
      </c>
      <c r="I363" s="261" t="str">
        <f t="shared" si="36"/>
        <v>&lt;/ct2111&gt;</v>
      </c>
      <c r="J363" s="262"/>
      <c r="K363" s="262"/>
      <c r="L363" s="262"/>
      <c r="M363" s="263"/>
      <c r="N363" s="265"/>
      <c r="O363" s="265">
        <v>2111</v>
      </c>
    </row>
    <row r="364" spans="1:15" x14ac:dyDescent="0.45">
      <c r="A364" s="253" t="str">
        <f t="shared" si="31"/>
        <v>&lt;ct2112&gt;0&lt;/ct2112&gt;</v>
      </c>
      <c r="B364" s="450" t="s">
        <v>1611</v>
      </c>
      <c r="C364" s="244">
        <f t="shared" si="32"/>
        <v>2</v>
      </c>
      <c r="D364" s="244">
        <f t="shared" si="33"/>
        <v>8</v>
      </c>
      <c r="E364" s="244">
        <f t="shared" si="34"/>
        <v>10</v>
      </c>
      <c r="G364" s="259" t="str">
        <f t="shared" si="35"/>
        <v>&lt;ct2112&gt;</v>
      </c>
      <c r="H364" s="260">
        <f>VLOOKUP(O364,BCDTK!$E$9:$L$132,3,0)</f>
        <v>0</v>
      </c>
      <c r="I364" s="261" t="str">
        <f t="shared" si="36"/>
        <v>&lt;/ct2112&gt;</v>
      </c>
      <c r="J364" s="262"/>
      <c r="K364" s="262"/>
      <c r="L364" s="262"/>
      <c r="M364" s="263"/>
      <c r="N364" s="265"/>
      <c r="O364" s="265">
        <v>2112</v>
      </c>
    </row>
    <row r="365" spans="1:15" x14ac:dyDescent="0.45">
      <c r="A365" s="253" t="str">
        <f t="shared" si="31"/>
        <v>&lt;ct2113&gt;0&lt;/ct2113&gt;</v>
      </c>
      <c r="B365" s="450" t="s">
        <v>1612</v>
      </c>
      <c r="C365" s="244">
        <f t="shared" si="32"/>
        <v>2</v>
      </c>
      <c r="D365" s="244">
        <f t="shared" si="33"/>
        <v>8</v>
      </c>
      <c r="E365" s="244">
        <f t="shared" si="34"/>
        <v>10</v>
      </c>
      <c r="G365" s="259" t="str">
        <f t="shared" si="35"/>
        <v>&lt;ct2113&gt;</v>
      </c>
      <c r="H365" s="260">
        <f>VLOOKUP(O365,BCDTK!$E$9:$L$132,3,0)</f>
        <v>0</v>
      </c>
      <c r="I365" s="261" t="str">
        <f t="shared" si="36"/>
        <v>&lt;/ct2113&gt;</v>
      </c>
      <c r="J365" s="262"/>
      <c r="K365" s="262"/>
      <c r="L365" s="262"/>
      <c r="M365" s="263"/>
      <c r="N365" s="265"/>
      <c r="O365" s="265">
        <v>2113</v>
      </c>
    </row>
    <row r="366" spans="1:15" x14ac:dyDescent="0.45">
      <c r="A366" s="253" t="str">
        <f t="shared" si="31"/>
        <v>&lt;ct214&gt;0&lt;/ct214&gt;</v>
      </c>
      <c r="B366" s="450" t="s">
        <v>1613</v>
      </c>
      <c r="C366" s="244">
        <f t="shared" si="32"/>
        <v>2</v>
      </c>
      <c r="D366" s="244">
        <f t="shared" si="33"/>
        <v>7</v>
      </c>
      <c r="E366" s="244">
        <f t="shared" si="34"/>
        <v>9</v>
      </c>
      <c r="G366" s="259" t="str">
        <f t="shared" si="35"/>
        <v>&lt;ct214&gt;</v>
      </c>
      <c r="H366" s="260">
        <f>VLOOKUP(O366,BCDTK!$E$9:$L$132,3,0)</f>
        <v>0</v>
      </c>
      <c r="I366" s="261" t="str">
        <f t="shared" si="36"/>
        <v>&lt;/ct214&gt;</v>
      </c>
      <c r="J366" s="262"/>
      <c r="K366" s="262"/>
      <c r="L366" s="262"/>
      <c r="M366" s="263"/>
      <c r="N366" s="265"/>
      <c r="O366" s="265">
        <v>214</v>
      </c>
    </row>
    <row r="367" spans="1:15" x14ac:dyDescent="0.45">
      <c r="A367" s="253" t="str">
        <f t="shared" si="31"/>
        <v>&lt;ct2141&gt;0&lt;/ct2141&gt;</v>
      </c>
      <c r="B367" s="450" t="s">
        <v>1614</v>
      </c>
      <c r="C367" s="244">
        <f t="shared" si="32"/>
        <v>2</v>
      </c>
      <c r="D367" s="244">
        <f t="shared" si="33"/>
        <v>8</v>
      </c>
      <c r="E367" s="244">
        <f t="shared" si="34"/>
        <v>10</v>
      </c>
      <c r="G367" s="259" t="str">
        <f t="shared" si="35"/>
        <v>&lt;ct2141&gt;</v>
      </c>
      <c r="H367" s="260">
        <f>VLOOKUP(O367,BCDTK!$E$9:$L$132,3,0)</f>
        <v>0</v>
      </c>
      <c r="I367" s="261" t="str">
        <f t="shared" si="36"/>
        <v>&lt;/ct2141&gt;</v>
      </c>
      <c r="J367" s="262"/>
      <c r="K367" s="262"/>
      <c r="L367" s="262"/>
      <c r="M367" s="263"/>
      <c r="N367" s="265"/>
      <c r="O367" s="265">
        <v>2141</v>
      </c>
    </row>
    <row r="368" spans="1:15" x14ac:dyDescent="0.45">
      <c r="A368" s="253" t="str">
        <f t="shared" si="31"/>
        <v>&lt;ct2142&gt;0&lt;/ct2142&gt;</v>
      </c>
      <c r="B368" s="450" t="s">
        <v>1615</v>
      </c>
      <c r="C368" s="244">
        <f t="shared" si="32"/>
        <v>2</v>
      </c>
      <c r="D368" s="244">
        <f t="shared" si="33"/>
        <v>8</v>
      </c>
      <c r="E368" s="244">
        <f t="shared" si="34"/>
        <v>10</v>
      </c>
      <c r="G368" s="259" t="str">
        <f t="shared" si="35"/>
        <v>&lt;ct2142&gt;</v>
      </c>
      <c r="H368" s="260">
        <f>VLOOKUP(O368,BCDTK!$E$9:$L$132,3,0)</f>
        <v>0</v>
      </c>
      <c r="I368" s="261" t="str">
        <f t="shared" si="36"/>
        <v>&lt;/ct2142&gt;</v>
      </c>
      <c r="J368" s="262"/>
      <c r="K368" s="262"/>
      <c r="L368" s="262"/>
      <c r="M368" s="263"/>
      <c r="N368" s="265"/>
      <c r="O368" s="265">
        <v>2142</v>
      </c>
    </row>
    <row r="369" spans="1:15" x14ac:dyDescent="0.45">
      <c r="A369" s="253" t="str">
        <f t="shared" si="31"/>
        <v>&lt;ct2143&gt;0&lt;/ct2143&gt;</v>
      </c>
      <c r="B369" s="450" t="s">
        <v>1616</v>
      </c>
      <c r="C369" s="244">
        <f t="shared" si="32"/>
        <v>2</v>
      </c>
      <c r="D369" s="244">
        <f t="shared" si="33"/>
        <v>8</v>
      </c>
      <c r="E369" s="244">
        <f t="shared" si="34"/>
        <v>10</v>
      </c>
      <c r="G369" s="259" t="str">
        <f t="shared" si="35"/>
        <v>&lt;ct2143&gt;</v>
      </c>
      <c r="H369" s="260">
        <f>VLOOKUP(O369,BCDTK!$E$9:$L$132,3,0)</f>
        <v>0</v>
      </c>
      <c r="I369" s="261" t="str">
        <f t="shared" si="36"/>
        <v>&lt;/ct2143&gt;</v>
      </c>
      <c r="J369" s="262"/>
      <c r="K369" s="262"/>
      <c r="L369" s="262"/>
      <c r="M369" s="263"/>
      <c r="N369" s="265"/>
      <c r="O369" s="265">
        <v>2143</v>
      </c>
    </row>
    <row r="370" spans="1:15" x14ac:dyDescent="0.45">
      <c r="A370" s="253" t="str">
        <f t="shared" si="31"/>
        <v>&lt;ct2147&gt;0&lt;/ct2147&gt;</v>
      </c>
      <c r="B370" s="450" t="s">
        <v>1617</v>
      </c>
      <c r="C370" s="244">
        <f t="shared" si="32"/>
        <v>2</v>
      </c>
      <c r="D370" s="244">
        <f t="shared" si="33"/>
        <v>8</v>
      </c>
      <c r="E370" s="244">
        <f t="shared" si="34"/>
        <v>10</v>
      </c>
      <c r="G370" s="259" t="str">
        <f t="shared" si="35"/>
        <v>&lt;ct2147&gt;</v>
      </c>
      <c r="H370" s="260">
        <f>VLOOKUP(O370,BCDTK!$E$9:$L$132,3,0)</f>
        <v>0</v>
      </c>
      <c r="I370" s="261" t="str">
        <f t="shared" si="36"/>
        <v>&lt;/ct2147&gt;</v>
      </c>
      <c r="J370" s="262"/>
      <c r="K370" s="262"/>
      <c r="L370" s="262"/>
      <c r="M370" s="263"/>
      <c r="N370" s="265"/>
      <c r="O370" s="265">
        <v>2147</v>
      </c>
    </row>
    <row r="371" spans="1:15" x14ac:dyDescent="0.45">
      <c r="A371" s="253" t="str">
        <f t="shared" si="31"/>
        <v>&lt;ct217&gt;0&lt;/ct217&gt;</v>
      </c>
      <c r="B371" s="450" t="s">
        <v>1618</v>
      </c>
      <c r="C371" s="244">
        <f t="shared" si="32"/>
        <v>2</v>
      </c>
      <c r="D371" s="244">
        <f t="shared" si="33"/>
        <v>7</v>
      </c>
      <c r="E371" s="244">
        <f t="shared" si="34"/>
        <v>9</v>
      </c>
      <c r="G371" s="259" t="str">
        <f t="shared" si="35"/>
        <v>&lt;ct217&gt;</v>
      </c>
      <c r="H371" s="260">
        <f>VLOOKUP(O371,BCDTK!$E$9:$L$132,3,0)</f>
        <v>0</v>
      </c>
      <c r="I371" s="261" t="str">
        <f t="shared" si="36"/>
        <v>&lt;/ct217&gt;</v>
      </c>
      <c r="J371" s="262"/>
      <c r="K371" s="262"/>
      <c r="L371" s="262"/>
      <c r="M371" s="263"/>
      <c r="N371" s="265"/>
      <c r="O371" s="265">
        <v>217</v>
      </c>
    </row>
    <row r="372" spans="1:15" x14ac:dyDescent="0.45">
      <c r="A372" s="253" t="str">
        <f t="shared" si="31"/>
        <v>&lt;ct228&gt;0&lt;/ct228&gt;</v>
      </c>
      <c r="B372" s="450" t="s">
        <v>1619</v>
      </c>
      <c r="C372" s="244">
        <f t="shared" si="32"/>
        <v>2</v>
      </c>
      <c r="D372" s="244">
        <f t="shared" si="33"/>
        <v>7</v>
      </c>
      <c r="E372" s="244">
        <f t="shared" si="34"/>
        <v>9</v>
      </c>
      <c r="G372" s="259" t="str">
        <f t="shared" si="35"/>
        <v>&lt;ct228&gt;</v>
      </c>
      <c r="H372" s="260">
        <f>VLOOKUP(O372,BCDTK!$E$9:$L$132,3,0)</f>
        <v>0</v>
      </c>
      <c r="I372" s="261" t="str">
        <f t="shared" si="36"/>
        <v>&lt;/ct228&gt;</v>
      </c>
      <c r="J372" s="262"/>
      <c r="K372" s="262"/>
      <c r="L372" s="262"/>
      <c r="M372" s="263"/>
      <c r="N372" s="265"/>
      <c r="O372" s="265">
        <v>228</v>
      </c>
    </row>
    <row r="373" spans="1:15" x14ac:dyDescent="0.45">
      <c r="A373" s="253" t="str">
        <f t="shared" si="31"/>
        <v>&lt;ct2281&gt;0&lt;/ct2281&gt;</v>
      </c>
      <c r="B373" s="450" t="s">
        <v>1620</v>
      </c>
      <c r="C373" s="244">
        <f t="shared" si="32"/>
        <v>2</v>
      </c>
      <c r="D373" s="244">
        <f t="shared" si="33"/>
        <v>8</v>
      </c>
      <c r="E373" s="244">
        <f t="shared" si="34"/>
        <v>10</v>
      </c>
      <c r="G373" s="259" t="str">
        <f t="shared" si="35"/>
        <v>&lt;ct2281&gt;</v>
      </c>
      <c r="H373" s="260">
        <f>VLOOKUP(O373,BCDTK!$E$9:$L$132,3,0)</f>
        <v>0</v>
      </c>
      <c r="I373" s="261" t="str">
        <f t="shared" si="36"/>
        <v>&lt;/ct2281&gt;</v>
      </c>
      <c r="J373" s="262"/>
      <c r="K373" s="262"/>
      <c r="L373" s="262"/>
      <c r="M373" s="263"/>
      <c r="N373" s="265"/>
      <c r="O373" s="265">
        <v>2281</v>
      </c>
    </row>
    <row r="374" spans="1:15" x14ac:dyDescent="0.45">
      <c r="A374" s="253" t="str">
        <f t="shared" si="31"/>
        <v>&lt;ct2288&gt;0&lt;/ct2288&gt;</v>
      </c>
      <c r="B374" s="450" t="s">
        <v>1621</v>
      </c>
      <c r="C374" s="244">
        <f t="shared" si="32"/>
        <v>2</v>
      </c>
      <c r="D374" s="244">
        <f t="shared" si="33"/>
        <v>8</v>
      </c>
      <c r="E374" s="244">
        <f t="shared" si="34"/>
        <v>10</v>
      </c>
      <c r="G374" s="259" t="str">
        <f t="shared" si="35"/>
        <v>&lt;ct2288&gt;</v>
      </c>
      <c r="H374" s="260">
        <f>VLOOKUP(O374,BCDTK!$E$9:$L$132,3,0)</f>
        <v>0</v>
      </c>
      <c r="I374" s="261" t="str">
        <f t="shared" si="36"/>
        <v>&lt;/ct2288&gt;</v>
      </c>
      <c r="J374" s="262"/>
      <c r="K374" s="262"/>
      <c r="L374" s="262"/>
      <c r="M374" s="263"/>
      <c r="N374" s="265"/>
      <c r="O374" s="265">
        <v>2288</v>
      </c>
    </row>
    <row r="375" spans="1:15" x14ac:dyDescent="0.45">
      <c r="A375" s="253" t="str">
        <f t="shared" si="31"/>
        <v>&lt;ct229&gt;0&lt;/ct229&gt;</v>
      </c>
      <c r="B375" s="450" t="s">
        <v>1622</v>
      </c>
      <c r="C375" s="244">
        <f t="shared" si="32"/>
        <v>2</v>
      </c>
      <c r="D375" s="244">
        <f t="shared" si="33"/>
        <v>7</v>
      </c>
      <c r="E375" s="244">
        <f t="shared" si="34"/>
        <v>9</v>
      </c>
      <c r="G375" s="259" t="str">
        <f t="shared" si="35"/>
        <v>&lt;ct229&gt;</v>
      </c>
      <c r="H375" s="260">
        <f>VLOOKUP(O375,BCDTK!$E$9:$L$132,3,0)</f>
        <v>0</v>
      </c>
      <c r="I375" s="261" t="str">
        <f t="shared" si="36"/>
        <v>&lt;/ct229&gt;</v>
      </c>
      <c r="J375" s="262"/>
      <c r="K375" s="262"/>
      <c r="L375" s="262"/>
      <c r="M375" s="263"/>
      <c r="N375" s="265"/>
      <c r="O375" s="265">
        <v>229</v>
      </c>
    </row>
    <row r="376" spans="1:15" x14ac:dyDescent="0.45">
      <c r="A376" s="253" t="str">
        <f t="shared" si="31"/>
        <v>&lt;ct2291&gt;0&lt;/ct2291&gt;</v>
      </c>
      <c r="B376" s="450" t="s">
        <v>1623</v>
      </c>
      <c r="C376" s="244">
        <f t="shared" si="32"/>
        <v>2</v>
      </c>
      <c r="D376" s="244">
        <f t="shared" si="33"/>
        <v>8</v>
      </c>
      <c r="E376" s="244">
        <f t="shared" si="34"/>
        <v>10</v>
      </c>
      <c r="G376" s="259" t="str">
        <f t="shared" si="35"/>
        <v>&lt;ct2291&gt;</v>
      </c>
      <c r="H376" s="260">
        <f>VLOOKUP(O376,BCDTK!$E$9:$L$132,3,0)</f>
        <v>0</v>
      </c>
      <c r="I376" s="261" t="str">
        <f t="shared" si="36"/>
        <v>&lt;/ct2291&gt;</v>
      </c>
      <c r="J376" s="262"/>
      <c r="K376" s="262"/>
      <c r="L376" s="262"/>
      <c r="M376" s="263"/>
      <c r="N376" s="265"/>
      <c r="O376" s="265">
        <v>2291</v>
      </c>
    </row>
    <row r="377" spans="1:15" x14ac:dyDescent="0.45">
      <c r="A377" s="253" t="str">
        <f t="shared" si="31"/>
        <v>&lt;ct2292&gt;0&lt;/ct2292&gt;</v>
      </c>
      <c r="B377" s="450" t="s">
        <v>1624</v>
      </c>
      <c r="C377" s="244">
        <f t="shared" si="32"/>
        <v>2</v>
      </c>
      <c r="D377" s="244">
        <f t="shared" si="33"/>
        <v>8</v>
      </c>
      <c r="E377" s="244">
        <f t="shared" si="34"/>
        <v>10</v>
      </c>
      <c r="G377" s="259" t="str">
        <f t="shared" si="35"/>
        <v>&lt;ct2292&gt;</v>
      </c>
      <c r="H377" s="260">
        <f>VLOOKUP(O377,BCDTK!$E$9:$L$132,3,0)</f>
        <v>0</v>
      </c>
      <c r="I377" s="261" t="str">
        <f t="shared" si="36"/>
        <v>&lt;/ct2292&gt;</v>
      </c>
      <c r="J377" s="262"/>
      <c r="K377" s="262"/>
      <c r="L377" s="262"/>
      <c r="M377" s="263"/>
      <c r="N377" s="265"/>
      <c r="O377" s="265">
        <v>2292</v>
      </c>
    </row>
    <row r="378" spans="1:15" x14ac:dyDescent="0.45">
      <c r="A378" s="253" t="str">
        <f t="shared" si="31"/>
        <v>&lt;ct2293&gt;0&lt;/ct2293&gt;</v>
      </c>
      <c r="B378" s="450" t="s">
        <v>1625</v>
      </c>
      <c r="C378" s="244">
        <f t="shared" si="32"/>
        <v>2</v>
      </c>
      <c r="D378" s="244">
        <f t="shared" si="33"/>
        <v>8</v>
      </c>
      <c r="E378" s="244">
        <f t="shared" si="34"/>
        <v>10</v>
      </c>
      <c r="G378" s="259" t="str">
        <f t="shared" si="35"/>
        <v>&lt;ct2293&gt;</v>
      </c>
      <c r="H378" s="260">
        <f>VLOOKUP(O378,BCDTK!$E$9:$L$132,3,0)</f>
        <v>0</v>
      </c>
      <c r="I378" s="261" t="str">
        <f t="shared" si="36"/>
        <v>&lt;/ct2293&gt;</v>
      </c>
      <c r="J378" s="262"/>
      <c r="K378" s="262"/>
      <c r="L378" s="262"/>
      <c r="M378" s="263"/>
      <c r="N378" s="265"/>
      <c r="O378" s="265">
        <v>2293</v>
      </c>
    </row>
    <row r="379" spans="1:15" x14ac:dyDescent="0.45">
      <c r="A379" s="253" t="str">
        <f t="shared" si="31"/>
        <v>&lt;ct2294&gt;0&lt;/ct2294&gt;</v>
      </c>
      <c r="B379" s="450" t="s">
        <v>1626</v>
      </c>
      <c r="C379" s="244">
        <f t="shared" si="32"/>
        <v>2</v>
      </c>
      <c r="D379" s="244">
        <f t="shared" si="33"/>
        <v>8</v>
      </c>
      <c r="E379" s="244">
        <f t="shared" si="34"/>
        <v>10</v>
      </c>
      <c r="G379" s="259" t="str">
        <f t="shared" si="35"/>
        <v>&lt;ct2294&gt;</v>
      </c>
      <c r="H379" s="260">
        <f>VLOOKUP(O379,BCDTK!$E$9:$L$132,3,0)</f>
        <v>0</v>
      </c>
      <c r="I379" s="261" t="str">
        <f t="shared" si="36"/>
        <v>&lt;/ct2294&gt;</v>
      </c>
      <c r="J379" s="262"/>
      <c r="K379" s="262"/>
      <c r="L379" s="262"/>
      <c r="M379" s="263"/>
      <c r="N379" s="265"/>
      <c r="O379" s="265">
        <v>2294</v>
      </c>
    </row>
    <row r="380" spans="1:15" x14ac:dyDescent="0.45">
      <c r="A380" s="253" t="str">
        <f t="shared" si="31"/>
        <v>&lt;ct241&gt;0&lt;/ct241&gt;</v>
      </c>
      <c r="B380" s="450" t="s">
        <v>1627</v>
      </c>
      <c r="C380" s="244">
        <f t="shared" si="32"/>
        <v>2</v>
      </c>
      <c r="D380" s="244">
        <f t="shared" si="33"/>
        <v>7</v>
      </c>
      <c r="E380" s="244">
        <f t="shared" si="34"/>
        <v>9</v>
      </c>
      <c r="G380" s="259" t="str">
        <f t="shared" si="35"/>
        <v>&lt;ct241&gt;</v>
      </c>
      <c r="H380" s="260">
        <f>VLOOKUP(O380,BCDTK!$E$9:$L$132,3,0)</f>
        <v>0</v>
      </c>
      <c r="I380" s="261" t="str">
        <f t="shared" si="36"/>
        <v>&lt;/ct241&gt;</v>
      </c>
      <c r="J380" s="262"/>
      <c r="K380" s="262"/>
      <c r="L380" s="262"/>
      <c r="M380" s="263"/>
      <c r="N380" s="265"/>
      <c r="O380" s="265">
        <v>241</v>
      </c>
    </row>
    <row r="381" spans="1:15" x14ac:dyDescent="0.45">
      <c r="A381" s="253" t="str">
        <f t="shared" si="31"/>
        <v>&lt;ct2411&gt;0&lt;/ct2411&gt;</v>
      </c>
      <c r="B381" s="450" t="s">
        <v>1628</v>
      </c>
      <c r="C381" s="244">
        <f t="shared" si="32"/>
        <v>2</v>
      </c>
      <c r="D381" s="244">
        <f t="shared" si="33"/>
        <v>8</v>
      </c>
      <c r="E381" s="244">
        <f t="shared" si="34"/>
        <v>10</v>
      </c>
      <c r="G381" s="259" t="str">
        <f t="shared" si="35"/>
        <v>&lt;ct2411&gt;</v>
      </c>
      <c r="H381" s="260">
        <f>VLOOKUP(O381,BCDTK!$E$9:$L$132,3,0)</f>
        <v>0</v>
      </c>
      <c r="I381" s="261" t="str">
        <f t="shared" si="36"/>
        <v>&lt;/ct2411&gt;</v>
      </c>
      <c r="J381" s="262"/>
      <c r="K381" s="262"/>
      <c r="L381" s="262"/>
      <c r="M381" s="263"/>
      <c r="N381" s="265"/>
      <c r="O381" s="265">
        <v>2411</v>
      </c>
    </row>
    <row r="382" spans="1:15" x14ac:dyDescent="0.45">
      <c r="A382" s="253" t="str">
        <f t="shared" si="31"/>
        <v>&lt;ct2412&gt;0&lt;/ct2412&gt;</v>
      </c>
      <c r="B382" s="450" t="s">
        <v>1629</v>
      </c>
      <c r="C382" s="244">
        <f t="shared" si="32"/>
        <v>2</v>
      </c>
      <c r="D382" s="244">
        <f t="shared" si="33"/>
        <v>8</v>
      </c>
      <c r="E382" s="244">
        <f t="shared" si="34"/>
        <v>10</v>
      </c>
      <c r="G382" s="259" t="str">
        <f t="shared" si="35"/>
        <v>&lt;ct2412&gt;</v>
      </c>
      <c r="H382" s="260">
        <f>VLOOKUP(O382,BCDTK!$E$9:$L$132,3,0)</f>
        <v>0</v>
      </c>
      <c r="I382" s="261" t="str">
        <f t="shared" si="36"/>
        <v>&lt;/ct2412&gt;</v>
      </c>
      <c r="J382" s="262"/>
      <c r="K382" s="262"/>
      <c r="L382" s="262"/>
      <c r="M382" s="263"/>
      <c r="N382" s="265"/>
      <c r="O382" s="265">
        <v>2412</v>
      </c>
    </row>
    <row r="383" spans="1:15" x14ac:dyDescent="0.45">
      <c r="A383" s="253" t="str">
        <f t="shared" si="31"/>
        <v>&lt;ct2413&gt;0&lt;/ct2413&gt;</v>
      </c>
      <c r="B383" s="450" t="s">
        <v>1630</v>
      </c>
      <c r="C383" s="244">
        <f t="shared" si="32"/>
        <v>2</v>
      </c>
      <c r="D383" s="244">
        <f t="shared" si="33"/>
        <v>8</v>
      </c>
      <c r="E383" s="244">
        <f t="shared" si="34"/>
        <v>10</v>
      </c>
      <c r="G383" s="259" t="str">
        <f t="shared" si="35"/>
        <v>&lt;ct2413&gt;</v>
      </c>
      <c r="H383" s="260">
        <f>VLOOKUP(O383,BCDTK!$E$9:$L$132,3,0)</f>
        <v>0</v>
      </c>
      <c r="I383" s="261" t="str">
        <f t="shared" si="36"/>
        <v>&lt;/ct2413&gt;</v>
      </c>
      <c r="J383" s="262"/>
      <c r="K383" s="262"/>
      <c r="L383" s="262"/>
      <c r="M383" s="263"/>
      <c r="N383" s="265"/>
      <c r="O383" s="265">
        <v>2413</v>
      </c>
    </row>
    <row r="384" spans="1:15" x14ac:dyDescent="0.45">
      <c r="A384" s="253" t="str">
        <f t="shared" si="31"/>
        <v>&lt;ct242&gt;34900050&lt;/ct242&gt;</v>
      </c>
      <c r="B384" s="450" t="s">
        <v>1631</v>
      </c>
      <c r="C384" s="244">
        <f t="shared" si="32"/>
        <v>2</v>
      </c>
      <c r="D384" s="244">
        <f t="shared" si="33"/>
        <v>7</v>
      </c>
      <c r="E384" s="244">
        <f t="shared" si="34"/>
        <v>9</v>
      </c>
      <c r="G384" s="259" t="str">
        <f t="shared" si="35"/>
        <v>&lt;ct242&gt;</v>
      </c>
      <c r="H384" s="260">
        <f>VLOOKUP(O384,BCDTK!$E$9:$L$132,3,0)</f>
        <v>34900050</v>
      </c>
      <c r="I384" s="261" t="str">
        <f t="shared" si="36"/>
        <v>&lt;/ct242&gt;</v>
      </c>
      <c r="J384" s="262"/>
      <c r="K384" s="262"/>
      <c r="L384" s="262"/>
      <c r="M384" s="263"/>
      <c r="N384" s="265"/>
      <c r="O384" s="265">
        <v>242</v>
      </c>
    </row>
    <row r="385" spans="1:15" x14ac:dyDescent="0.45">
      <c r="A385" s="253" t="str">
        <f t="shared" si="31"/>
        <v>&lt;ct331&gt;0&lt;/ct331&gt;</v>
      </c>
      <c r="B385" s="450" t="s">
        <v>1632</v>
      </c>
      <c r="C385" s="244">
        <f t="shared" si="32"/>
        <v>2</v>
      </c>
      <c r="D385" s="244">
        <f t="shared" si="33"/>
        <v>7</v>
      </c>
      <c r="E385" s="244">
        <f t="shared" si="34"/>
        <v>9</v>
      </c>
      <c r="G385" s="259" t="str">
        <f t="shared" si="35"/>
        <v>&lt;ct331&gt;</v>
      </c>
      <c r="H385" s="260">
        <f>VLOOKUP(O385,BCDTK!$E$9:$L$132,3,0)</f>
        <v>0</v>
      </c>
      <c r="I385" s="261" t="str">
        <f t="shared" si="36"/>
        <v>&lt;/ct331&gt;</v>
      </c>
      <c r="J385" s="262"/>
      <c r="K385" s="262"/>
      <c r="L385" s="262"/>
      <c r="M385" s="263"/>
      <c r="N385" s="265"/>
      <c r="O385" s="265">
        <v>331</v>
      </c>
    </row>
    <row r="386" spans="1:15" x14ac:dyDescent="0.45">
      <c r="A386" s="253" t="str">
        <f t="shared" si="31"/>
        <v>&lt;ct333&gt;0&lt;/ct333&gt;</v>
      </c>
      <c r="B386" s="450" t="s">
        <v>1633</v>
      </c>
      <c r="C386" s="244">
        <f t="shared" si="32"/>
        <v>2</v>
      </c>
      <c r="D386" s="244">
        <f t="shared" si="33"/>
        <v>7</v>
      </c>
      <c r="E386" s="244">
        <f t="shared" si="34"/>
        <v>9</v>
      </c>
      <c r="G386" s="259" t="str">
        <f t="shared" si="35"/>
        <v>&lt;ct333&gt;</v>
      </c>
      <c r="H386" s="260">
        <f>VLOOKUP(O386,BCDTK!$E$9:$L$132,3,0)</f>
        <v>0</v>
      </c>
      <c r="I386" s="261" t="str">
        <f t="shared" si="36"/>
        <v>&lt;/ct333&gt;</v>
      </c>
      <c r="J386" s="262"/>
      <c r="K386" s="262"/>
      <c r="L386" s="262"/>
      <c r="M386" s="263"/>
      <c r="N386" s="265"/>
      <c r="O386" s="265">
        <v>333</v>
      </c>
    </row>
    <row r="387" spans="1:15" x14ac:dyDescent="0.45">
      <c r="A387" s="253" t="str">
        <f t="shared" si="31"/>
        <v>&lt;ct3331&gt;0&lt;/ct3331&gt;</v>
      </c>
      <c r="B387" s="450" t="s">
        <v>1634</v>
      </c>
      <c r="C387" s="244">
        <f t="shared" si="32"/>
        <v>2</v>
      </c>
      <c r="D387" s="244">
        <f t="shared" si="33"/>
        <v>8</v>
      </c>
      <c r="E387" s="244">
        <f t="shared" si="34"/>
        <v>10</v>
      </c>
      <c r="G387" s="259" t="str">
        <f t="shared" si="35"/>
        <v>&lt;ct3331&gt;</v>
      </c>
      <c r="H387" s="260">
        <f>VLOOKUP(O387,BCDTK!$E$9:$L$132,3,0)</f>
        <v>0</v>
      </c>
      <c r="I387" s="261" t="str">
        <f t="shared" si="36"/>
        <v>&lt;/ct3331&gt;</v>
      </c>
      <c r="J387" s="262"/>
      <c r="K387" s="262"/>
      <c r="L387" s="262"/>
      <c r="M387" s="263"/>
      <c r="N387" s="265"/>
      <c r="O387" s="265">
        <v>3331</v>
      </c>
    </row>
    <row r="388" spans="1:15" x14ac:dyDescent="0.45">
      <c r="A388" s="253" t="str">
        <f t="shared" ref="A388:A451" si="37">CONCATENATE(G388,H388,I388)</f>
        <v>&lt;ct33311&gt;0&lt;/ct33311&gt;</v>
      </c>
      <c r="B388" s="450" t="s">
        <v>1635</v>
      </c>
      <c r="C388" s="244">
        <f t="shared" si="32"/>
        <v>2</v>
      </c>
      <c r="D388" s="244">
        <f t="shared" si="33"/>
        <v>9</v>
      </c>
      <c r="E388" s="244">
        <f t="shared" si="34"/>
        <v>11</v>
      </c>
      <c r="G388" s="259" t="str">
        <f t="shared" si="35"/>
        <v>&lt;ct33311&gt;</v>
      </c>
      <c r="H388" s="260">
        <f>VLOOKUP(O388,BCDTK!$E$9:$L$132,3,0)</f>
        <v>0</v>
      </c>
      <c r="I388" s="261" t="str">
        <f t="shared" si="36"/>
        <v>&lt;/ct33311&gt;</v>
      </c>
      <c r="J388" s="262"/>
      <c r="K388" s="262"/>
      <c r="L388" s="262"/>
      <c r="M388" s="263"/>
      <c r="N388" s="265"/>
      <c r="O388" s="265">
        <v>33311</v>
      </c>
    </row>
    <row r="389" spans="1:15" x14ac:dyDescent="0.45">
      <c r="A389" s="253" t="str">
        <f t="shared" si="37"/>
        <v>&lt;ct33312&gt;0&lt;/ct33312&gt;</v>
      </c>
      <c r="B389" s="450" t="s">
        <v>1636</v>
      </c>
      <c r="C389" s="244">
        <f t="shared" si="32"/>
        <v>2</v>
      </c>
      <c r="D389" s="244">
        <f t="shared" si="33"/>
        <v>9</v>
      </c>
      <c r="E389" s="244">
        <f t="shared" si="34"/>
        <v>11</v>
      </c>
      <c r="G389" s="259" t="str">
        <f t="shared" si="35"/>
        <v>&lt;ct33312&gt;</v>
      </c>
      <c r="H389" s="260">
        <f>VLOOKUP(O389,BCDTK!$E$9:$L$132,3,0)</f>
        <v>0</v>
      </c>
      <c r="I389" s="261" t="str">
        <f t="shared" si="36"/>
        <v>&lt;/ct33312&gt;</v>
      </c>
      <c r="J389" s="262"/>
      <c r="K389" s="262"/>
      <c r="L389" s="262"/>
      <c r="M389" s="263"/>
      <c r="N389" s="265"/>
      <c r="O389" s="265">
        <v>33312</v>
      </c>
    </row>
    <row r="390" spans="1:15" x14ac:dyDescent="0.45">
      <c r="A390" s="253" t="str">
        <f t="shared" si="37"/>
        <v>&lt;ct3332&gt;0&lt;/ct3332&gt;</v>
      </c>
      <c r="B390" s="450" t="s">
        <v>1637</v>
      </c>
      <c r="C390" s="244">
        <f t="shared" si="32"/>
        <v>2</v>
      </c>
      <c r="D390" s="244">
        <f t="shared" si="33"/>
        <v>8</v>
      </c>
      <c r="E390" s="244">
        <f t="shared" si="34"/>
        <v>10</v>
      </c>
      <c r="G390" s="259" t="str">
        <f t="shared" si="35"/>
        <v>&lt;ct3332&gt;</v>
      </c>
      <c r="H390" s="260">
        <f>VLOOKUP(O390,BCDTK!$E$9:$L$132,3,0)</f>
        <v>0</v>
      </c>
      <c r="I390" s="261" t="str">
        <f t="shared" si="36"/>
        <v>&lt;/ct3332&gt;</v>
      </c>
      <c r="J390" s="262"/>
      <c r="K390" s="262"/>
      <c r="L390" s="262"/>
      <c r="M390" s="263"/>
      <c r="N390" s="265"/>
      <c r="O390" s="265">
        <v>3332</v>
      </c>
    </row>
    <row r="391" spans="1:15" x14ac:dyDescent="0.45">
      <c r="A391" s="253" t="str">
        <f t="shared" si="37"/>
        <v>&lt;ct3333&gt;0&lt;/ct3333&gt;</v>
      </c>
      <c r="B391" s="450" t="s">
        <v>1638</v>
      </c>
      <c r="C391" s="244">
        <f t="shared" si="32"/>
        <v>2</v>
      </c>
      <c r="D391" s="244">
        <f t="shared" si="33"/>
        <v>8</v>
      </c>
      <c r="E391" s="244">
        <f t="shared" si="34"/>
        <v>10</v>
      </c>
      <c r="G391" s="259" t="str">
        <f t="shared" si="35"/>
        <v>&lt;ct3333&gt;</v>
      </c>
      <c r="H391" s="260">
        <f>VLOOKUP(O391,BCDTK!$E$9:$L$132,3,0)</f>
        <v>0</v>
      </c>
      <c r="I391" s="261" t="str">
        <f t="shared" si="36"/>
        <v>&lt;/ct3333&gt;</v>
      </c>
      <c r="J391" s="262"/>
      <c r="K391" s="262"/>
      <c r="L391" s="262"/>
      <c r="M391" s="263"/>
      <c r="N391" s="265"/>
      <c r="O391" s="265">
        <v>3333</v>
      </c>
    </row>
    <row r="392" spans="1:15" x14ac:dyDescent="0.45">
      <c r="A392" s="253" t="str">
        <f t="shared" si="37"/>
        <v>&lt;ct3334&gt;0&lt;/ct3334&gt;</v>
      </c>
      <c r="B392" s="450" t="s">
        <v>1639</v>
      </c>
      <c r="C392" s="244">
        <f t="shared" si="32"/>
        <v>2</v>
      </c>
      <c r="D392" s="244">
        <f t="shared" si="33"/>
        <v>8</v>
      </c>
      <c r="E392" s="244">
        <f t="shared" si="34"/>
        <v>10</v>
      </c>
      <c r="G392" s="259" t="str">
        <f t="shared" si="35"/>
        <v>&lt;ct3334&gt;</v>
      </c>
      <c r="H392" s="260">
        <f>VLOOKUP(O392,BCDTK!$E$9:$L$132,3,0)</f>
        <v>0</v>
      </c>
      <c r="I392" s="261" t="str">
        <f t="shared" si="36"/>
        <v>&lt;/ct3334&gt;</v>
      </c>
      <c r="J392" s="262"/>
      <c r="K392" s="262"/>
      <c r="L392" s="262"/>
      <c r="M392" s="263"/>
      <c r="N392" s="265"/>
      <c r="O392" s="265">
        <v>3334</v>
      </c>
    </row>
    <row r="393" spans="1:15" x14ac:dyDescent="0.45">
      <c r="A393" s="253" t="str">
        <f t="shared" si="37"/>
        <v>&lt;ct3335&gt;0&lt;/ct3335&gt;</v>
      </c>
      <c r="B393" s="450" t="s">
        <v>1640</v>
      </c>
      <c r="C393" s="244">
        <f t="shared" ref="C393:C456" si="38">LEN(B393)-LEN(SUBSTITUTE(B393,"&lt;",""))</f>
        <v>2</v>
      </c>
      <c r="D393" s="244">
        <f t="shared" ref="D393:D456" si="39">SEARCH("&gt;",B393)</f>
        <v>8</v>
      </c>
      <c r="E393" s="244">
        <f t="shared" ref="E393:E456" si="40">IFERROR(SEARCH("&lt;/",B393),"")</f>
        <v>10</v>
      </c>
      <c r="G393" s="259" t="str">
        <f t="shared" ref="G393:G456" si="41">LEFT(B393,D393)</f>
        <v>&lt;ct3335&gt;</v>
      </c>
      <c r="H393" s="260">
        <f>VLOOKUP(O393,BCDTK!$E$9:$L$132,3,0)</f>
        <v>0</v>
      </c>
      <c r="I393" s="261" t="str">
        <f t="shared" ref="I393:I456" si="42">IF(C393=2,RIGHT(B393,LEN(B393)-E393+1),"")</f>
        <v>&lt;/ct3335&gt;</v>
      </c>
      <c r="J393" s="262"/>
      <c r="K393" s="262"/>
      <c r="L393" s="262"/>
      <c r="M393" s="263"/>
      <c r="N393" s="265"/>
      <c r="O393" s="265">
        <v>3335</v>
      </c>
    </row>
    <row r="394" spans="1:15" x14ac:dyDescent="0.45">
      <c r="A394" s="253" t="str">
        <f t="shared" si="37"/>
        <v>&lt;ct3336&gt;0&lt;/ct3336&gt;</v>
      </c>
      <c r="B394" s="450" t="s">
        <v>1641</v>
      </c>
      <c r="C394" s="244">
        <f t="shared" si="38"/>
        <v>2</v>
      </c>
      <c r="D394" s="244">
        <f t="shared" si="39"/>
        <v>8</v>
      </c>
      <c r="E394" s="244">
        <f t="shared" si="40"/>
        <v>10</v>
      </c>
      <c r="G394" s="259" t="str">
        <f t="shared" si="41"/>
        <v>&lt;ct3336&gt;</v>
      </c>
      <c r="H394" s="260">
        <f>VLOOKUP(O394,BCDTK!$E$9:$L$132,3,0)</f>
        <v>0</v>
      </c>
      <c r="I394" s="261" t="str">
        <f t="shared" si="42"/>
        <v>&lt;/ct3336&gt;</v>
      </c>
      <c r="J394" s="262"/>
      <c r="K394" s="262"/>
      <c r="L394" s="262"/>
      <c r="M394" s="263"/>
      <c r="N394" s="265"/>
      <c r="O394" s="265">
        <v>3336</v>
      </c>
    </row>
    <row r="395" spans="1:15" x14ac:dyDescent="0.45">
      <c r="A395" s="253" t="str">
        <f t="shared" si="37"/>
        <v>&lt;ct3337&gt;0&lt;/ct3337&gt;</v>
      </c>
      <c r="B395" s="450" t="s">
        <v>1642</v>
      </c>
      <c r="C395" s="244">
        <f t="shared" si="38"/>
        <v>2</v>
      </c>
      <c r="D395" s="244">
        <f t="shared" si="39"/>
        <v>8</v>
      </c>
      <c r="E395" s="244">
        <f t="shared" si="40"/>
        <v>10</v>
      </c>
      <c r="G395" s="259" t="str">
        <f t="shared" si="41"/>
        <v>&lt;ct3337&gt;</v>
      </c>
      <c r="H395" s="260">
        <f>VLOOKUP(O395,BCDTK!$E$9:$L$132,3,0)</f>
        <v>0</v>
      </c>
      <c r="I395" s="261" t="str">
        <f t="shared" si="42"/>
        <v>&lt;/ct3337&gt;</v>
      </c>
      <c r="J395" s="262"/>
      <c r="K395" s="262"/>
      <c r="L395" s="262"/>
      <c r="M395" s="263"/>
      <c r="N395" s="265"/>
      <c r="O395" s="265">
        <v>3337</v>
      </c>
    </row>
    <row r="396" spans="1:15" x14ac:dyDescent="0.45">
      <c r="A396" s="253" t="str">
        <f t="shared" si="37"/>
        <v>&lt;ct3338&gt;0&lt;/ct3338&gt;</v>
      </c>
      <c r="B396" s="450" t="s">
        <v>1643</v>
      </c>
      <c r="C396" s="244">
        <f t="shared" si="38"/>
        <v>2</v>
      </c>
      <c r="D396" s="244">
        <f t="shared" si="39"/>
        <v>8</v>
      </c>
      <c r="E396" s="244">
        <f t="shared" si="40"/>
        <v>10</v>
      </c>
      <c r="G396" s="259" t="str">
        <f t="shared" si="41"/>
        <v>&lt;ct3338&gt;</v>
      </c>
      <c r="H396" s="260">
        <f>VLOOKUP(O396,BCDTK!$E$9:$L$132,3,0)</f>
        <v>0</v>
      </c>
      <c r="I396" s="261" t="str">
        <f t="shared" si="42"/>
        <v>&lt;/ct3338&gt;</v>
      </c>
      <c r="J396" s="262"/>
      <c r="K396" s="262"/>
      <c r="L396" s="262"/>
      <c r="M396" s="263"/>
      <c r="N396" s="265"/>
      <c r="O396" s="265">
        <v>3338</v>
      </c>
    </row>
    <row r="397" spans="1:15" x14ac:dyDescent="0.45">
      <c r="A397" s="253" t="str">
        <f t="shared" si="37"/>
        <v>&lt;ct33381&gt;0&lt;/ct33381&gt;</v>
      </c>
      <c r="B397" s="450" t="s">
        <v>1644</v>
      </c>
      <c r="C397" s="244">
        <f t="shared" si="38"/>
        <v>2</v>
      </c>
      <c r="D397" s="244">
        <f t="shared" si="39"/>
        <v>9</v>
      </c>
      <c r="E397" s="244">
        <f t="shared" si="40"/>
        <v>11</v>
      </c>
      <c r="G397" s="259" t="str">
        <f t="shared" si="41"/>
        <v>&lt;ct33381&gt;</v>
      </c>
      <c r="H397" s="260">
        <f>VLOOKUP(O397,BCDTK!$E$9:$L$132,3,0)</f>
        <v>0</v>
      </c>
      <c r="I397" s="261" t="str">
        <f t="shared" si="42"/>
        <v>&lt;/ct33381&gt;</v>
      </c>
      <c r="J397" s="262"/>
      <c r="K397" s="262"/>
      <c r="L397" s="262"/>
      <c r="M397" s="263"/>
      <c r="N397" s="265"/>
      <c r="O397" s="265">
        <v>33381</v>
      </c>
    </row>
    <row r="398" spans="1:15" x14ac:dyDescent="0.45">
      <c r="A398" s="253" t="str">
        <f t="shared" si="37"/>
        <v>&lt;ct33382&gt;0&lt;/ct33382&gt;</v>
      </c>
      <c r="B398" s="450" t="s">
        <v>1645</v>
      </c>
      <c r="C398" s="244">
        <f t="shared" si="38"/>
        <v>2</v>
      </c>
      <c r="D398" s="244">
        <f t="shared" si="39"/>
        <v>9</v>
      </c>
      <c r="E398" s="244">
        <f t="shared" si="40"/>
        <v>11</v>
      </c>
      <c r="G398" s="259" t="str">
        <f t="shared" si="41"/>
        <v>&lt;ct33382&gt;</v>
      </c>
      <c r="H398" s="260">
        <f>VLOOKUP(O398,BCDTK!$E$9:$L$132,3,0)</f>
        <v>0</v>
      </c>
      <c r="I398" s="261" t="str">
        <f t="shared" si="42"/>
        <v>&lt;/ct33382&gt;</v>
      </c>
      <c r="J398" s="262"/>
      <c r="K398" s="262"/>
      <c r="L398" s="262"/>
      <c r="M398" s="263"/>
      <c r="N398" s="265"/>
      <c r="O398" s="265">
        <v>33382</v>
      </c>
    </row>
    <row r="399" spans="1:15" x14ac:dyDescent="0.45">
      <c r="A399" s="253" t="str">
        <f t="shared" si="37"/>
        <v>&lt;ct3339&gt;0&lt;/ct3339&gt;</v>
      </c>
      <c r="B399" s="450" t="s">
        <v>1646</v>
      </c>
      <c r="C399" s="244">
        <f t="shared" si="38"/>
        <v>2</v>
      </c>
      <c r="D399" s="244">
        <f t="shared" si="39"/>
        <v>8</v>
      </c>
      <c r="E399" s="244">
        <f t="shared" si="40"/>
        <v>10</v>
      </c>
      <c r="G399" s="259" t="str">
        <f t="shared" si="41"/>
        <v>&lt;ct3339&gt;</v>
      </c>
      <c r="H399" s="260">
        <f>VLOOKUP(O399,BCDTK!$E$9:$L$132,3,0)</f>
        <v>0</v>
      </c>
      <c r="I399" s="261" t="str">
        <f t="shared" si="42"/>
        <v>&lt;/ct3339&gt;</v>
      </c>
      <c r="J399" s="262"/>
      <c r="K399" s="262"/>
      <c r="L399" s="262"/>
      <c r="M399" s="263"/>
      <c r="N399" s="265"/>
      <c r="O399" s="265">
        <v>3339</v>
      </c>
    </row>
    <row r="400" spans="1:15" x14ac:dyDescent="0.45">
      <c r="A400" s="253" t="str">
        <f t="shared" si="37"/>
        <v>&lt;ct334&gt;0&lt;/ct334&gt;</v>
      </c>
      <c r="B400" s="450" t="s">
        <v>1647</v>
      </c>
      <c r="C400" s="244">
        <f t="shared" si="38"/>
        <v>2</v>
      </c>
      <c r="D400" s="244">
        <f t="shared" si="39"/>
        <v>7</v>
      </c>
      <c r="E400" s="244">
        <f t="shared" si="40"/>
        <v>9</v>
      </c>
      <c r="G400" s="259" t="str">
        <f t="shared" si="41"/>
        <v>&lt;ct334&gt;</v>
      </c>
      <c r="H400" s="260">
        <f>VLOOKUP(O400,BCDTK!$E$9:$L$132,3,0)</f>
        <v>0</v>
      </c>
      <c r="I400" s="261" t="str">
        <f t="shared" si="42"/>
        <v>&lt;/ct334&gt;</v>
      </c>
      <c r="J400" s="262"/>
      <c r="K400" s="262"/>
      <c r="L400" s="262"/>
      <c r="M400" s="263"/>
      <c r="N400" s="265"/>
      <c r="O400" s="265">
        <v>334</v>
      </c>
    </row>
    <row r="401" spans="1:15" x14ac:dyDescent="0.45">
      <c r="A401" s="253" t="str">
        <f t="shared" si="37"/>
        <v>&lt;ct335&gt;0&lt;/ct335&gt;</v>
      </c>
      <c r="B401" s="450" t="s">
        <v>1648</v>
      </c>
      <c r="C401" s="244">
        <f t="shared" si="38"/>
        <v>2</v>
      </c>
      <c r="D401" s="244">
        <f t="shared" si="39"/>
        <v>7</v>
      </c>
      <c r="E401" s="244">
        <f t="shared" si="40"/>
        <v>9</v>
      </c>
      <c r="G401" s="259" t="str">
        <f t="shared" si="41"/>
        <v>&lt;ct335&gt;</v>
      </c>
      <c r="H401" s="260">
        <f>VLOOKUP(O401,BCDTK!$E$9:$L$132,3,0)</f>
        <v>0</v>
      </c>
      <c r="I401" s="261" t="str">
        <f t="shared" si="42"/>
        <v>&lt;/ct335&gt;</v>
      </c>
      <c r="J401" s="262"/>
      <c r="K401" s="262"/>
      <c r="L401" s="262"/>
      <c r="M401" s="263"/>
      <c r="N401" s="265"/>
      <c r="O401" s="265">
        <v>335</v>
      </c>
    </row>
    <row r="402" spans="1:15" x14ac:dyDescent="0.45">
      <c r="A402" s="253" t="str">
        <f t="shared" si="37"/>
        <v>&lt;ct336&gt;0&lt;/ct336&gt;</v>
      </c>
      <c r="B402" s="450" t="s">
        <v>1649</v>
      </c>
      <c r="C402" s="244">
        <f t="shared" si="38"/>
        <v>2</v>
      </c>
      <c r="D402" s="244">
        <f t="shared" si="39"/>
        <v>7</v>
      </c>
      <c r="E402" s="244">
        <f t="shared" si="40"/>
        <v>9</v>
      </c>
      <c r="G402" s="259" t="str">
        <f t="shared" si="41"/>
        <v>&lt;ct336&gt;</v>
      </c>
      <c r="H402" s="260">
        <f>VLOOKUP(O402,BCDTK!$E$9:$L$132,3,0)</f>
        <v>0</v>
      </c>
      <c r="I402" s="261" t="str">
        <f t="shared" si="42"/>
        <v>&lt;/ct336&gt;</v>
      </c>
      <c r="J402" s="262"/>
      <c r="K402" s="262"/>
      <c r="L402" s="262"/>
      <c r="M402" s="263"/>
      <c r="N402" s="265"/>
      <c r="O402" s="265">
        <v>336</v>
      </c>
    </row>
    <row r="403" spans="1:15" x14ac:dyDescent="0.45">
      <c r="A403" s="253" t="str">
        <f t="shared" si="37"/>
        <v>&lt;ct3361&gt;0&lt;/ct3361&gt;</v>
      </c>
      <c r="B403" s="450" t="s">
        <v>1650</v>
      </c>
      <c r="C403" s="244">
        <f t="shared" si="38"/>
        <v>2</v>
      </c>
      <c r="D403" s="244">
        <f t="shared" si="39"/>
        <v>8</v>
      </c>
      <c r="E403" s="244">
        <f t="shared" si="40"/>
        <v>10</v>
      </c>
      <c r="G403" s="259" t="str">
        <f t="shared" si="41"/>
        <v>&lt;ct3361&gt;</v>
      </c>
      <c r="H403" s="260">
        <f>VLOOKUP(O403,BCDTK!$E$9:$L$132,3,0)</f>
        <v>0</v>
      </c>
      <c r="I403" s="261" t="str">
        <f t="shared" si="42"/>
        <v>&lt;/ct3361&gt;</v>
      </c>
      <c r="J403" s="262"/>
      <c r="K403" s="262"/>
      <c r="L403" s="262"/>
      <c r="M403" s="263"/>
      <c r="N403" s="265"/>
      <c r="O403" s="265">
        <v>3361</v>
      </c>
    </row>
    <row r="404" spans="1:15" x14ac:dyDescent="0.45">
      <c r="A404" s="253" t="str">
        <f t="shared" si="37"/>
        <v>&lt;ct3368&gt;0&lt;/ct3368&gt;</v>
      </c>
      <c r="B404" s="450" t="s">
        <v>1651</v>
      </c>
      <c r="C404" s="244">
        <f t="shared" si="38"/>
        <v>2</v>
      </c>
      <c r="D404" s="244">
        <f t="shared" si="39"/>
        <v>8</v>
      </c>
      <c r="E404" s="244">
        <f t="shared" si="40"/>
        <v>10</v>
      </c>
      <c r="G404" s="259" t="str">
        <f t="shared" si="41"/>
        <v>&lt;ct3368&gt;</v>
      </c>
      <c r="H404" s="260">
        <f>VLOOKUP(O404,BCDTK!$E$9:$L$132,3,0)</f>
        <v>0</v>
      </c>
      <c r="I404" s="261" t="str">
        <f t="shared" si="42"/>
        <v>&lt;/ct3368&gt;</v>
      </c>
      <c r="J404" s="262"/>
      <c r="K404" s="262"/>
      <c r="L404" s="262"/>
      <c r="M404" s="263"/>
      <c r="N404" s="265"/>
      <c r="O404" s="265">
        <v>3368</v>
      </c>
    </row>
    <row r="405" spans="1:15" x14ac:dyDescent="0.45">
      <c r="A405" s="253" t="str">
        <f t="shared" si="37"/>
        <v>&lt;ct338&gt;0&lt;/ct338&gt;</v>
      </c>
      <c r="B405" s="450" t="s">
        <v>1652</v>
      </c>
      <c r="C405" s="244">
        <f t="shared" si="38"/>
        <v>2</v>
      </c>
      <c r="D405" s="244">
        <f t="shared" si="39"/>
        <v>7</v>
      </c>
      <c r="E405" s="244">
        <f t="shared" si="40"/>
        <v>9</v>
      </c>
      <c r="G405" s="259" t="str">
        <f t="shared" si="41"/>
        <v>&lt;ct338&gt;</v>
      </c>
      <c r="H405" s="260">
        <f>VLOOKUP(O405,BCDTK!$E$9:$L$132,3,0)</f>
        <v>0</v>
      </c>
      <c r="I405" s="261" t="str">
        <f t="shared" si="42"/>
        <v>&lt;/ct338&gt;</v>
      </c>
      <c r="J405" s="262"/>
      <c r="K405" s="262"/>
      <c r="L405" s="262"/>
      <c r="M405" s="263"/>
      <c r="N405" s="265"/>
      <c r="O405" s="265">
        <v>338</v>
      </c>
    </row>
    <row r="406" spans="1:15" x14ac:dyDescent="0.45">
      <c r="A406" s="253" t="str">
        <f t="shared" si="37"/>
        <v>&lt;ct3381&gt;0&lt;/ct3381&gt;</v>
      </c>
      <c r="B406" s="450" t="s">
        <v>1653</v>
      </c>
      <c r="C406" s="244">
        <f t="shared" si="38"/>
        <v>2</v>
      </c>
      <c r="D406" s="244">
        <f t="shared" si="39"/>
        <v>8</v>
      </c>
      <c r="E406" s="244">
        <f t="shared" si="40"/>
        <v>10</v>
      </c>
      <c r="G406" s="259" t="str">
        <f t="shared" si="41"/>
        <v>&lt;ct3381&gt;</v>
      </c>
      <c r="H406" s="260">
        <f>VLOOKUP(O406,BCDTK!$E$9:$L$132,3,0)</f>
        <v>0</v>
      </c>
      <c r="I406" s="261" t="str">
        <f t="shared" si="42"/>
        <v>&lt;/ct3381&gt;</v>
      </c>
      <c r="J406" s="262"/>
      <c r="K406" s="262"/>
      <c r="L406" s="262"/>
      <c r="M406" s="263"/>
      <c r="N406" s="265"/>
      <c r="O406" s="265">
        <v>3381</v>
      </c>
    </row>
    <row r="407" spans="1:15" x14ac:dyDescent="0.45">
      <c r="A407" s="253" t="str">
        <f t="shared" si="37"/>
        <v>&lt;ct3382&gt;0&lt;/ct3382&gt;</v>
      </c>
      <c r="B407" s="450" t="s">
        <v>1654</v>
      </c>
      <c r="C407" s="244">
        <f t="shared" si="38"/>
        <v>2</v>
      </c>
      <c r="D407" s="244">
        <f t="shared" si="39"/>
        <v>8</v>
      </c>
      <c r="E407" s="244">
        <f t="shared" si="40"/>
        <v>10</v>
      </c>
      <c r="G407" s="259" t="str">
        <f t="shared" si="41"/>
        <v>&lt;ct3382&gt;</v>
      </c>
      <c r="H407" s="260">
        <f>VLOOKUP(O407,BCDTK!$E$9:$L$132,3,0)</f>
        <v>0</v>
      </c>
      <c r="I407" s="261" t="str">
        <f t="shared" si="42"/>
        <v>&lt;/ct3382&gt;</v>
      </c>
      <c r="J407" s="262"/>
      <c r="K407" s="262"/>
      <c r="L407" s="262"/>
      <c r="M407" s="263"/>
      <c r="N407" s="265"/>
      <c r="O407" s="265">
        <v>3382</v>
      </c>
    </row>
    <row r="408" spans="1:15" x14ac:dyDescent="0.45">
      <c r="A408" s="253" t="str">
        <f t="shared" si="37"/>
        <v>&lt;ct3383&gt;0&lt;/ct3383&gt;</v>
      </c>
      <c r="B408" s="450" t="s">
        <v>1655</v>
      </c>
      <c r="C408" s="244">
        <f t="shared" si="38"/>
        <v>2</v>
      </c>
      <c r="D408" s="244">
        <f t="shared" si="39"/>
        <v>8</v>
      </c>
      <c r="E408" s="244">
        <f t="shared" si="40"/>
        <v>10</v>
      </c>
      <c r="G408" s="259" t="str">
        <f t="shared" si="41"/>
        <v>&lt;ct3383&gt;</v>
      </c>
      <c r="H408" s="260">
        <f>VLOOKUP(O408,BCDTK!$E$9:$L$132,3,0)</f>
        <v>0</v>
      </c>
      <c r="I408" s="261" t="str">
        <f t="shared" si="42"/>
        <v>&lt;/ct3383&gt;</v>
      </c>
      <c r="J408" s="262"/>
      <c r="K408" s="262"/>
      <c r="L408" s="262"/>
      <c r="M408" s="263"/>
      <c r="N408" s="265"/>
      <c r="O408" s="265">
        <v>3383</v>
      </c>
    </row>
    <row r="409" spans="1:15" x14ac:dyDescent="0.45">
      <c r="A409" s="253" t="str">
        <f t="shared" si="37"/>
        <v>&lt;ct3384&gt;0&lt;/ct3384&gt;</v>
      </c>
      <c r="B409" s="450" t="s">
        <v>1656</v>
      </c>
      <c r="C409" s="244">
        <f t="shared" si="38"/>
        <v>2</v>
      </c>
      <c r="D409" s="244">
        <f t="shared" si="39"/>
        <v>8</v>
      </c>
      <c r="E409" s="244">
        <f t="shared" si="40"/>
        <v>10</v>
      </c>
      <c r="G409" s="259" t="str">
        <f t="shared" si="41"/>
        <v>&lt;ct3384&gt;</v>
      </c>
      <c r="H409" s="260">
        <f>VLOOKUP(O409,BCDTK!$E$9:$L$132,3,0)</f>
        <v>0</v>
      </c>
      <c r="I409" s="261" t="str">
        <f t="shared" si="42"/>
        <v>&lt;/ct3384&gt;</v>
      </c>
      <c r="J409" s="262"/>
      <c r="K409" s="262"/>
      <c r="L409" s="262"/>
      <c r="M409" s="263"/>
      <c r="N409" s="265"/>
      <c r="O409" s="265">
        <v>3384</v>
      </c>
    </row>
    <row r="410" spans="1:15" x14ac:dyDescent="0.45">
      <c r="A410" s="253" t="str">
        <f t="shared" si="37"/>
        <v>&lt;ct3385&gt;0&lt;/ct3385&gt;</v>
      </c>
      <c r="B410" s="450" t="s">
        <v>1657</v>
      </c>
      <c r="C410" s="244">
        <f t="shared" si="38"/>
        <v>2</v>
      </c>
      <c r="D410" s="244">
        <f t="shared" si="39"/>
        <v>8</v>
      </c>
      <c r="E410" s="244">
        <f t="shared" si="40"/>
        <v>10</v>
      </c>
      <c r="G410" s="259" t="str">
        <f t="shared" si="41"/>
        <v>&lt;ct3385&gt;</v>
      </c>
      <c r="H410" s="260">
        <f>VLOOKUP(O410,BCDTK!$E$9:$L$132,3,0)</f>
        <v>0</v>
      </c>
      <c r="I410" s="261" t="str">
        <f t="shared" si="42"/>
        <v>&lt;/ct3385&gt;</v>
      </c>
      <c r="J410" s="262"/>
      <c r="K410" s="262"/>
      <c r="L410" s="262"/>
      <c r="M410" s="263"/>
      <c r="N410" s="265"/>
      <c r="O410" s="265">
        <v>3385</v>
      </c>
    </row>
    <row r="411" spans="1:15" x14ac:dyDescent="0.45">
      <c r="A411" s="253" t="str">
        <f t="shared" si="37"/>
        <v>&lt;ct3386&gt;0&lt;/ct3386&gt;</v>
      </c>
      <c r="B411" s="450" t="s">
        <v>1658</v>
      </c>
      <c r="C411" s="244">
        <f t="shared" si="38"/>
        <v>2</v>
      </c>
      <c r="D411" s="244">
        <f t="shared" si="39"/>
        <v>8</v>
      </c>
      <c r="E411" s="244">
        <f t="shared" si="40"/>
        <v>10</v>
      </c>
      <c r="G411" s="259" t="str">
        <f t="shared" si="41"/>
        <v>&lt;ct3386&gt;</v>
      </c>
      <c r="H411" s="260">
        <f>VLOOKUP(O411,BCDTK!$E$9:$L$132,3,0)</f>
        <v>0</v>
      </c>
      <c r="I411" s="261" t="str">
        <f t="shared" si="42"/>
        <v>&lt;/ct3386&gt;</v>
      </c>
      <c r="J411" s="262"/>
      <c r="K411" s="262"/>
      <c r="L411" s="262"/>
      <c r="M411" s="263"/>
      <c r="N411" s="265"/>
      <c r="O411" s="265">
        <v>3386</v>
      </c>
    </row>
    <row r="412" spans="1:15" x14ac:dyDescent="0.45">
      <c r="A412" s="253" t="str">
        <f t="shared" si="37"/>
        <v>&lt;ct3387&gt;0&lt;/ct3387&gt;</v>
      </c>
      <c r="B412" s="450" t="s">
        <v>1659</v>
      </c>
      <c r="C412" s="244">
        <f t="shared" si="38"/>
        <v>2</v>
      </c>
      <c r="D412" s="244">
        <f t="shared" si="39"/>
        <v>8</v>
      </c>
      <c r="E412" s="244">
        <f t="shared" si="40"/>
        <v>10</v>
      </c>
      <c r="G412" s="259" t="str">
        <f t="shared" si="41"/>
        <v>&lt;ct3387&gt;</v>
      </c>
      <c r="H412" s="260">
        <f>VLOOKUP(O412,BCDTK!$E$9:$L$132,3,0)</f>
        <v>0</v>
      </c>
      <c r="I412" s="261" t="str">
        <f t="shared" si="42"/>
        <v>&lt;/ct3387&gt;</v>
      </c>
      <c r="J412" s="262"/>
      <c r="K412" s="262"/>
      <c r="L412" s="262"/>
      <c r="M412" s="263"/>
      <c r="N412" s="265"/>
      <c r="O412" s="265">
        <v>3387</v>
      </c>
    </row>
    <row r="413" spans="1:15" x14ac:dyDescent="0.45">
      <c r="A413" s="253" t="str">
        <f t="shared" si="37"/>
        <v>&lt;ct3388&gt;0&lt;/ct3388&gt;</v>
      </c>
      <c r="B413" s="450" t="s">
        <v>1660</v>
      </c>
      <c r="C413" s="244">
        <f t="shared" si="38"/>
        <v>2</v>
      </c>
      <c r="D413" s="244">
        <f t="shared" si="39"/>
        <v>8</v>
      </c>
      <c r="E413" s="244">
        <f t="shared" si="40"/>
        <v>10</v>
      </c>
      <c r="G413" s="259" t="str">
        <f t="shared" si="41"/>
        <v>&lt;ct3388&gt;</v>
      </c>
      <c r="H413" s="260">
        <f>VLOOKUP(O413,BCDTK!$E$9:$L$132,3,0)</f>
        <v>0</v>
      </c>
      <c r="I413" s="261" t="str">
        <f t="shared" si="42"/>
        <v>&lt;/ct3388&gt;</v>
      </c>
      <c r="J413" s="262"/>
      <c r="K413" s="262"/>
      <c r="L413" s="262"/>
      <c r="M413" s="263"/>
      <c r="N413" s="265"/>
      <c r="O413" s="265">
        <v>3388</v>
      </c>
    </row>
    <row r="414" spans="1:15" x14ac:dyDescent="0.45">
      <c r="A414" s="253" t="str">
        <f t="shared" si="37"/>
        <v>&lt;ct341&gt;0&lt;/ct341&gt;</v>
      </c>
      <c r="B414" s="450" t="s">
        <v>1661</v>
      </c>
      <c r="C414" s="244">
        <f t="shared" si="38"/>
        <v>2</v>
      </c>
      <c r="D414" s="244">
        <f t="shared" si="39"/>
        <v>7</v>
      </c>
      <c r="E414" s="244">
        <f t="shared" si="40"/>
        <v>9</v>
      </c>
      <c r="G414" s="259" t="str">
        <f t="shared" si="41"/>
        <v>&lt;ct341&gt;</v>
      </c>
      <c r="H414" s="260">
        <f>VLOOKUP(O414,BCDTK!$E$9:$L$132,3,0)</f>
        <v>0</v>
      </c>
      <c r="I414" s="261" t="str">
        <f t="shared" si="42"/>
        <v>&lt;/ct341&gt;</v>
      </c>
      <c r="J414" s="262"/>
      <c r="K414" s="262"/>
      <c r="L414" s="262"/>
      <c r="M414" s="263"/>
      <c r="N414" s="265"/>
      <c r="O414" s="265">
        <v>341</v>
      </c>
    </row>
    <row r="415" spans="1:15" x14ac:dyDescent="0.45">
      <c r="A415" s="253" t="str">
        <f t="shared" si="37"/>
        <v>&lt;ct3411&gt;0&lt;/ct3411&gt;</v>
      </c>
      <c r="B415" s="450" t="s">
        <v>1662</v>
      </c>
      <c r="C415" s="244">
        <f t="shared" si="38"/>
        <v>2</v>
      </c>
      <c r="D415" s="244">
        <f t="shared" si="39"/>
        <v>8</v>
      </c>
      <c r="E415" s="244">
        <f t="shared" si="40"/>
        <v>10</v>
      </c>
      <c r="G415" s="259" t="str">
        <f t="shared" si="41"/>
        <v>&lt;ct3411&gt;</v>
      </c>
      <c r="H415" s="260">
        <f>VLOOKUP(O415,BCDTK!$E$9:$L$132,3,0)</f>
        <v>0</v>
      </c>
      <c r="I415" s="261" t="str">
        <f t="shared" si="42"/>
        <v>&lt;/ct3411&gt;</v>
      </c>
      <c r="J415" s="262"/>
      <c r="K415" s="262"/>
      <c r="L415" s="262"/>
      <c r="M415" s="263"/>
      <c r="N415" s="265"/>
      <c r="O415" s="265">
        <v>3411</v>
      </c>
    </row>
    <row r="416" spans="1:15" x14ac:dyDescent="0.45">
      <c r="A416" s="253" t="str">
        <f t="shared" si="37"/>
        <v>&lt;ct3412&gt;0&lt;/ct3412&gt;</v>
      </c>
      <c r="B416" s="450" t="s">
        <v>1663</v>
      </c>
      <c r="C416" s="244">
        <f t="shared" si="38"/>
        <v>2</v>
      </c>
      <c r="D416" s="244">
        <f t="shared" si="39"/>
        <v>8</v>
      </c>
      <c r="E416" s="244">
        <f t="shared" si="40"/>
        <v>10</v>
      </c>
      <c r="G416" s="259" t="str">
        <f t="shared" si="41"/>
        <v>&lt;ct3412&gt;</v>
      </c>
      <c r="H416" s="260">
        <f>VLOOKUP(O416,BCDTK!$E$9:$L$132,3,0)</f>
        <v>0</v>
      </c>
      <c r="I416" s="261" t="str">
        <f t="shared" si="42"/>
        <v>&lt;/ct3412&gt;</v>
      </c>
      <c r="J416" s="262"/>
      <c r="K416" s="262"/>
      <c r="L416" s="262"/>
      <c r="M416" s="263"/>
      <c r="N416" s="265"/>
      <c r="O416" s="265">
        <v>3412</v>
      </c>
    </row>
    <row r="417" spans="1:15" x14ac:dyDescent="0.45">
      <c r="A417" s="253" t="str">
        <f t="shared" si="37"/>
        <v>&lt;ct352&gt;0&lt;/ct352&gt;</v>
      </c>
      <c r="B417" s="450" t="s">
        <v>1664</v>
      </c>
      <c r="C417" s="244">
        <f t="shared" si="38"/>
        <v>2</v>
      </c>
      <c r="D417" s="244">
        <f t="shared" si="39"/>
        <v>7</v>
      </c>
      <c r="E417" s="244">
        <f t="shared" si="40"/>
        <v>9</v>
      </c>
      <c r="G417" s="259" t="str">
        <f t="shared" si="41"/>
        <v>&lt;ct352&gt;</v>
      </c>
      <c r="H417" s="260">
        <f>VLOOKUP(O417,BCDTK!$E$9:$L$132,3,0)</f>
        <v>0</v>
      </c>
      <c r="I417" s="261" t="str">
        <f t="shared" si="42"/>
        <v>&lt;/ct352&gt;</v>
      </c>
      <c r="J417" s="262"/>
      <c r="K417" s="262"/>
      <c r="L417" s="262"/>
      <c r="M417" s="263"/>
      <c r="N417" s="265"/>
      <c r="O417" s="265">
        <v>352</v>
      </c>
    </row>
    <row r="418" spans="1:15" x14ac:dyDescent="0.45">
      <c r="A418" s="253" t="str">
        <f t="shared" si="37"/>
        <v>&lt;ct3521&gt;0&lt;/ct3521&gt;</v>
      </c>
      <c r="B418" s="450" t="s">
        <v>1665</v>
      </c>
      <c r="C418" s="244">
        <f t="shared" si="38"/>
        <v>2</v>
      </c>
      <c r="D418" s="244">
        <f t="shared" si="39"/>
        <v>8</v>
      </c>
      <c r="E418" s="244">
        <f t="shared" si="40"/>
        <v>10</v>
      </c>
      <c r="G418" s="259" t="str">
        <f t="shared" si="41"/>
        <v>&lt;ct3521&gt;</v>
      </c>
      <c r="H418" s="260">
        <f>VLOOKUP(O418,BCDTK!$E$9:$L$132,3,0)</f>
        <v>0</v>
      </c>
      <c r="I418" s="261" t="str">
        <f t="shared" si="42"/>
        <v>&lt;/ct3521&gt;</v>
      </c>
      <c r="J418" s="262"/>
      <c r="K418" s="262"/>
      <c r="L418" s="262"/>
      <c r="M418" s="263"/>
      <c r="N418" s="265"/>
      <c r="O418" s="265">
        <v>3521</v>
      </c>
    </row>
    <row r="419" spans="1:15" x14ac:dyDescent="0.45">
      <c r="A419" s="253" t="str">
        <f t="shared" si="37"/>
        <v>&lt;ct3522&gt;0&lt;/ct3522&gt;</v>
      </c>
      <c r="B419" s="450" t="s">
        <v>1666</v>
      </c>
      <c r="C419" s="244">
        <f t="shared" si="38"/>
        <v>2</v>
      </c>
      <c r="D419" s="244">
        <f t="shared" si="39"/>
        <v>8</v>
      </c>
      <c r="E419" s="244">
        <f t="shared" si="40"/>
        <v>10</v>
      </c>
      <c r="G419" s="259" t="str">
        <f t="shared" si="41"/>
        <v>&lt;ct3522&gt;</v>
      </c>
      <c r="H419" s="260">
        <f>VLOOKUP(O419,BCDTK!$E$9:$L$132,3,0)</f>
        <v>0</v>
      </c>
      <c r="I419" s="261" t="str">
        <f t="shared" si="42"/>
        <v>&lt;/ct3522&gt;</v>
      </c>
      <c r="J419" s="262"/>
      <c r="K419" s="262"/>
      <c r="L419" s="262"/>
      <c r="M419" s="263"/>
      <c r="N419" s="265"/>
      <c r="O419" s="265">
        <v>3522</v>
      </c>
    </row>
    <row r="420" spans="1:15" x14ac:dyDescent="0.45">
      <c r="A420" s="253" t="str">
        <f t="shared" si="37"/>
        <v>&lt;ct3524&gt;0&lt;/ct3524&gt;</v>
      </c>
      <c r="B420" s="450" t="s">
        <v>1667</v>
      </c>
      <c r="C420" s="244">
        <f t="shared" si="38"/>
        <v>2</v>
      </c>
      <c r="D420" s="244">
        <f t="shared" si="39"/>
        <v>8</v>
      </c>
      <c r="E420" s="244">
        <f t="shared" si="40"/>
        <v>10</v>
      </c>
      <c r="G420" s="259" t="str">
        <f t="shared" si="41"/>
        <v>&lt;ct3524&gt;</v>
      </c>
      <c r="H420" s="260">
        <f>VLOOKUP(O420,BCDTK!$E$9:$L$132,3,0)</f>
        <v>0</v>
      </c>
      <c r="I420" s="261" t="str">
        <f t="shared" si="42"/>
        <v>&lt;/ct3524&gt;</v>
      </c>
      <c r="J420" s="262"/>
      <c r="K420" s="262"/>
      <c r="L420" s="262"/>
      <c r="M420" s="263"/>
      <c r="N420" s="265"/>
      <c r="O420" s="265">
        <v>3524</v>
      </c>
    </row>
    <row r="421" spans="1:15" x14ac:dyDescent="0.45">
      <c r="A421" s="253" t="str">
        <f t="shared" si="37"/>
        <v>&lt;ct353&gt;0&lt;/ct353&gt;</v>
      </c>
      <c r="B421" s="450" t="s">
        <v>1668</v>
      </c>
      <c r="C421" s="244">
        <f t="shared" si="38"/>
        <v>2</v>
      </c>
      <c r="D421" s="244">
        <f t="shared" si="39"/>
        <v>7</v>
      </c>
      <c r="E421" s="244">
        <f t="shared" si="40"/>
        <v>9</v>
      </c>
      <c r="G421" s="259" t="str">
        <f t="shared" si="41"/>
        <v>&lt;ct353&gt;</v>
      </c>
      <c r="H421" s="260">
        <f>VLOOKUP(O421,BCDTK!$E$9:$L$132,3,0)</f>
        <v>0</v>
      </c>
      <c r="I421" s="261" t="str">
        <f t="shared" si="42"/>
        <v>&lt;/ct353&gt;</v>
      </c>
      <c r="J421" s="262"/>
      <c r="K421" s="262"/>
      <c r="L421" s="262"/>
      <c r="M421" s="263"/>
      <c r="N421" s="265"/>
      <c r="O421" s="265">
        <v>353</v>
      </c>
    </row>
    <row r="422" spans="1:15" x14ac:dyDescent="0.45">
      <c r="A422" s="253" t="str">
        <f t="shared" si="37"/>
        <v>&lt;ct3531&gt;0&lt;/ct3531&gt;</v>
      </c>
      <c r="B422" s="450" t="s">
        <v>1669</v>
      </c>
      <c r="C422" s="244">
        <f t="shared" si="38"/>
        <v>2</v>
      </c>
      <c r="D422" s="244">
        <f t="shared" si="39"/>
        <v>8</v>
      </c>
      <c r="E422" s="244">
        <f t="shared" si="40"/>
        <v>10</v>
      </c>
      <c r="G422" s="259" t="str">
        <f t="shared" si="41"/>
        <v>&lt;ct3531&gt;</v>
      </c>
      <c r="H422" s="260">
        <f>VLOOKUP(O422,BCDTK!$E$9:$L$132,3,0)</f>
        <v>0</v>
      </c>
      <c r="I422" s="261" t="str">
        <f t="shared" si="42"/>
        <v>&lt;/ct3531&gt;</v>
      </c>
      <c r="J422" s="262"/>
      <c r="K422" s="262"/>
      <c r="L422" s="262"/>
      <c r="M422" s="263"/>
      <c r="N422" s="265"/>
      <c r="O422" s="265">
        <v>3531</v>
      </c>
    </row>
    <row r="423" spans="1:15" x14ac:dyDescent="0.45">
      <c r="A423" s="253" t="str">
        <f t="shared" si="37"/>
        <v>&lt;ct3532&gt;0&lt;/ct3532&gt;</v>
      </c>
      <c r="B423" s="450" t="s">
        <v>1670</v>
      </c>
      <c r="C423" s="244">
        <f t="shared" si="38"/>
        <v>2</v>
      </c>
      <c r="D423" s="244">
        <f t="shared" si="39"/>
        <v>8</v>
      </c>
      <c r="E423" s="244">
        <f t="shared" si="40"/>
        <v>10</v>
      </c>
      <c r="G423" s="259" t="str">
        <f t="shared" si="41"/>
        <v>&lt;ct3532&gt;</v>
      </c>
      <c r="H423" s="260">
        <f>VLOOKUP(O423,BCDTK!$E$9:$L$132,3,0)</f>
        <v>0</v>
      </c>
      <c r="I423" s="261" t="str">
        <f t="shared" si="42"/>
        <v>&lt;/ct3532&gt;</v>
      </c>
      <c r="J423" s="262"/>
      <c r="K423" s="262"/>
      <c r="L423" s="262"/>
      <c r="M423" s="263"/>
      <c r="N423" s="265"/>
      <c r="O423" s="265">
        <v>3532</v>
      </c>
    </row>
    <row r="424" spans="1:15" x14ac:dyDescent="0.45">
      <c r="A424" s="253" t="str">
        <f t="shared" si="37"/>
        <v>&lt;ct3533&gt;0&lt;/ct3533&gt;</v>
      </c>
      <c r="B424" s="450" t="s">
        <v>1671</v>
      </c>
      <c r="C424" s="244">
        <f t="shared" si="38"/>
        <v>2</v>
      </c>
      <c r="D424" s="244">
        <f t="shared" si="39"/>
        <v>8</v>
      </c>
      <c r="E424" s="244">
        <f t="shared" si="40"/>
        <v>10</v>
      </c>
      <c r="G424" s="259" t="str">
        <f t="shared" si="41"/>
        <v>&lt;ct3533&gt;</v>
      </c>
      <c r="H424" s="260">
        <f>VLOOKUP(O424,BCDTK!$E$9:$L$132,3,0)</f>
        <v>0</v>
      </c>
      <c r="I424" s="261" t="str">
        <f t="shared" si="42"/>
        <v>&lt;/ct3533&gt;</v>
      </c>
      <c r="J424" s="262"/>
      <c r="K424" s="262"/>
      <c r="L424" s="262"/>
      <c r="M424" s="263"/>
      <c r="N424" s="265"/>
      <c r="O424" s="265">
        <v>3533</v>
      </c>
    </row>
    <row r="425" spans="1:15" x14ac:dyDescent="0.45">
      <c r="A425" s="253" t="str">
        <f t="shared" si="37"/>
        <v>&lt;ct3534&gt;0&lt;/ct3534&gt;</v>
      </c>
      <c r="B425" s="450" t="s">
        <v>1672</v>
      </c>
      <c r="C425" s="244">
        <f t="shared" si="38"/>
        <v>2</v>
      </c>
      <c r="D425" s="244">
        <f t="shared" si="39"/>
        <v>8</v>
      </c>
      <c r="E425" s="244">
        <f t="shared" si="40"/>
        <v>10</v>
      </c>
      <c r="G425" s="259" t="str">
        <f t="shared" si="41"/>
        <v>&lt;ct3534&gt;</v>
      </c>
      <c r="H425" s="260">
        <f>VLOOKUP(O425,BCDTK!$E$9:$L$132,3,0)</f>
        <v>0</v>
      </c>
      <c r="I425" s="261" t="str">
        <f t="shared" si="42"/>
        <v>&lt;/ct3534&gt;</v>
      </c>
      <c r="J425" s="262"/>
      <c r="K425" s="262"/>
      <c r="L425" s="262"/>
      <c r="M425" s="263"/>
      <c r="N425" s="265"/>
      <c r="O425" s="265">
        <v>3534</v>
      </c>
    </row>
    <row r="426" spans="1:15" x14ac:dyDescent="0.45">
      <c r="A426" s="253" t="str">
        <f t="shared" si="37"/>
        <v>&lt;ct356&gt;0&lt;/ct356&gt;</v>
      </c>
      <c r="B426" s="450" t="s">
        <v>1673</v>
      </c>
      <c r="C426" s="244">
        <f t="shared" si="38"/>
        <v>2</v>
      </c>
      <c r="D426" s="244">
        <f t="shared" si="39"/>
        <v>7</v>
      </c>
      <c r="E426" s="244">
        <f t="shared" si="40"/>
        <v>9</v>
      </c>
      <c r="G426" s="259" t="str">
        <f t="shared" si="41"/>
        <v>&lt;ct356&gt;</v>
      </c>
      <c r="H426" s="260">
        <f>VLOOKUP(O426,BCDTK!$E$9:$L$132,3,0)</f>
        <v>0</v>
      </c>
      <c r="I426" s="261" t="str">
        <f t="shared" si="42"/>
        <v>&lt;/ct356&gt;</v>
      </c>
      <c r="J426" s="262"/>
      <c r="K426" s="262"/>
      <c r="L426" s="262"/>
      <c r="M426" s="263"/>
      <c r="N426" s="265"/>
      <c r="O426" s="265">
        <v>356</v>
      </c>
    </row>
    <row r="427" spans="1:15" x14ac:dyDescent="0.45">
      <c r="A427" s="253" t="str">
        <f t="shared" si="37"/>
        <v>&lt;ct3561&gt;0&lt;/ct3561&gt;</v>
      </c>
      <c r="B427" s="450" t="s">
        <v>1674</v>
      </c>
      <c r="C427" s="244">
        <f t="shared" si="38"/>
        <v>2</v>
      </c>
      <c r="D427" s="244">
        <f t="shared" si="39"/>
        <v>8</v>
      </c>
      <c r="E427" s="244">
        <f t="shared" si="40"/>
        <v>10</v>
      </c>
      <c r="G427" s="259" t="str">
        <f t="shared" si="41"/>
        <v>&lt;ct3561&gt;</v>
      </c>
      <c r="H427" s="260">
        <f>VLOOKUP(O427,BCDTK!$E$9:$L$132,3,0)</f>
        <v>0</v>
      </c>
      <c r="I427" s="261" t="str">
        <f t="shared" si="42"/>
        <v>&lt;/ct3561&gt;</v>
      </c>
      <c r="J427" s="262"/>
      <c r="K427" s="262"/>
      <c r="L427" s="262"/>
      <c r="M427" s="263"/>
      <c r="N427" s="265"/>
      <c r="O427" s="265">
        <v>3561</v>
      </c>
    </row>
    <row r="428" spans="1:15" x14ac:dyDescent="0.45">
      <c r="A428" s="253" t="str">
        <f t="shared" si="37"/>
        <v>&lt;ct3562&gt;0&lt;/ct3562&gt;</v>
      </c>
      <c r="B428" s="450" t="s">
        <v>1675</v>
      </c>
      <c r="C428" s="244">
        <f t="shared" si="38"/>
        <v>2</v>
      </c>
      <c r="D428" s="244">
        <f t="shared" si="39"/>
        <v>8</v>
      </c>
      <c r="E428" s="244">
        <f t="shared" si="40"/>
        <v>10</v>
      </c>
      <c r="G428" s="259" t="str">
        <f t="shared" si="41"/>
        <v>&lt;ct3562&gt;</v>
      </c>
      <c r="H428" s="260">
        <f>VLOOKUP(O428,BCDTK!$E$9:$L$132,3,0)</f>
        <v>0</v>
      </c>
      <c r="I428" s="261" t="str">
        <f t="shared" si="42"/>
        <v>&lt;/ct3562&gt;</v>
      </c>
      <c r="J428" s="262"/>
      <c r="K428" s="262"/>
      <c r="L428" s="262"/>
      <c r="M428" s="263"/>
      <c r="N428" s="265"/>
      <c r="O428" s="265">
        <v>3562</v>
      </c>
    </row>
    <row r="429" spans="1:15" x14ac:dyDescent="0.45">
      <c r="A429" s="253" t="str">
        <f t="shared" si="37"/>
        <v>&lt;ct411&gt;0&lt;/ct411&gt;</v>
      </c>
      <c r="B429" s="450" t="s">
        <v>1525</v>
      </c>
      <c r="C429" s="244">
        <f t="shared" si="38"/>
        <v>2</v>
      </c>
      <c r="D429" s="244">
        <f t="shared" si="39"/>
        <v>7</v>
      </c>
      <c r="E429" s="244">
        <f t="shared" si="40"/>
        <v>9</v>
      </c>
      <c r="G429" s="259" t="str">
        <f t="shared" si="41"/>
        <v>&lt;ct411&gt;</v>
      </c>
      <c r="H429" s="260">
        <f>VLOOKUP(O429,BCDTK!$E$9:$L$132,3,0)</f>
        <v>0</v>
      </c>
      <c r="I429" s="261" t="str">
        <f t="shared" si="42"/>
        <v>&lt;/ct411&gt;</v>
      </c>
      <c r="J429" s="262"/>
      <c r="K429" s="262"/>
      <c r="L429" s="262"/>
      <c r="M429" s="263"/>
      <c r="N429" s="265"/>
      <c r="O429" s="265">
        <v>411</v>
      </c>
    </row>
    <row r="430" spans="1:15" x14ac:dyDescent="0.45">
      <c r="A430" s="253" t="str">
        <f t="shared" si="37"/>
        <v>&lt;ct4111&gt;0&lt;/ct4111&gt;</v>
      </c>
      <c r="B430" s="450" t="s">
        <v>1676</v>
      </c>
      <c r="C430" s="244">
        <f t="shared" si="38"/>
        <v>2</v>
      </c>
      <c r="D430" s="244">
        <f t="shared" si="39"/>
        <v>8</v>
      </c>
      <c r="E430" s="244">
        <f t="shared" si="40"/>
        <v>10</v>
      </c>
      <c r="G430" s="259" t="str">
        <f t="shared" si="41"/>
        <v>&lt;ct4111&gt;</v>
      </c>
      <c r="H430" s="260">
        <f>VLOOKUP(O430,BCDTK!$E$9:$L$132,3,0)</f>
        <v>0</v>
      </c>
      <c r="I430" s="261" t="str">
        <f t="shared" si="42"/>
        <v>&lt;/ct4111&gt;</v>
      </c>
      <c r="J430" s="262"/>
      <c r="K430" s="262"/>
      <c r="L430" s="262"/>
      <c r="M430" s="263"/>
      <c r="N430" s="265"/>
      <c r="O430" s="265">
        <v>4111</v>
      </c>
    </row>
    <row r="431" spans="1:15" x14ac:dyDescent="0.45">
      <c r="A431" s="253" t="str">
        <f t="shared" si="37"/>
        <v>&lt;ct4112&gt;0&lt;/ct4112&gt;</v>
      </c>
      <c r="B431" s="450" t="s">
        <v>1677</v>
      </c>
      <c r="C431" s="244">
        <f t="shared" si="38"/>
        <v>2</v>
      </c>
      <c r="D431" s="244">
        <f t="shared" si="39"/>
        <v>8</v>
      </c>
      <c r="E431" s="244">
        <f t="shared" si="40"/>
        <v>10</v>
      </c>
      <c r="G431" s="259" t="str">
        <f t="shared" si="41"/>
        <v>&lt;ct4112&gt;</v>
      </c>
      <c r="H431" s="260">
        <f>VLOOKUP(O431,BCDTK!$E$9:$L$132,3,0)</f>
        <v>0</v>
      </c>
      <c r="I431" s="261" t="str">
        <f t="shared" si="42"/>
        <v>&lt;/ct4112&gt;</v>
      </c>
      <c r="J431" s="262"/>
      <c r="K431" s="262"/>
      <c r="L431" s="262"/>
      <c r="M431" s="263"/>
      <c r="N431" s="265"/>
      <c r="O431" s="265">
        <v>4112</v>
      </c>
    </row>
    <row r="432" spans="1:15" x14ac:dyDescent="0.45">
      <c r="A432" s="253" t="str">
        <f t="shared" si="37"/>
        <v>&lt;ct4118&gt;0&lt;/ct4118&gt;</v>
      </c>
      <c r="B432" s="450" t="s">
        <v>1678</v>
      </c>
      <c r="C432" s="244">
        <f t="shared" si="38"/>
        <v>2</v>
      </c>
      <c r="D432" s="244">
        <f t="shared" si="39"/>
        <v>8</v>
      </c>
      <c r="E432" s="244">
        <f t="shared" si="40"/>
        <v>10</v>
      </c>
      <c r="G432" s="259" t="str">
        <f t="shared" si="41"/>
        <v>&lt;ct4118&gt;</v>
      </c>
      <c r="H432" s="260">
        <f>VLOOKUP(O432,BCDTK!$E$9:$L$132,3,0)</f>
        <v>0</v>
      </c>
      <c r="I432" s="261" t="str">
        <f t="shared" si="42"/>
        <v>&lt;/ct4118&gt;</v>
      </c>
      <c r="J432" s="262"/>
      <c r="K432" s="262"/>
      <c r="L432" s="262"/>
      <c r="M432" s="263"/>
      <c r="N432" s="265"/>
      <c r="O432" s="265">
        <v>4118</v>
      </c>
    </row>
    <row r="433" spans="1:15" x14ac:dyDescent="0.45">
      <c r="A433" s="253" t="str">
        <f t="shared" si="37"/>
        <v>&lt;ct413&gt;0&lt;/ct413&gt;</v>
      </c>
      <c r="B433" s="450" t="s">
        <v>1500</v>
      </c>
      <c r="C433" s="244">
        <f t="shared" si="38"/>
        <v>2</v>
      </c>
      <c r="D433" s="244">
        <f t="shared" si="39"/>
        <v>7</v>
      </c>
      <c r="E433" s="244">
        <f t="shared" si="40"/>
        <v>9</v>
      </c>
      <c r="G433" s="259" t="str">
        <f t="shared" si="41"/>
        <v>&lt;ct413&gt;</v>
      </c>
      <c r="H433" s="260">
        <f>VLOOKUP(O433,BCDTK!$E$9:$L$132,3,0)</f>
        <v>0</v>
      </c>
      <c r="I433" s="261" t="str">
        <f t="shared" si="42"/>
        <v>&lt;/ct413&gt;</v>
      </c>
      <c r="J433" s="262"/>
      <c r="K433" s="262"/>
      <c r="L433" s="262"/>
      <c r="M433" s="263"/>
      <c r="N433" s="265"/>
      <c r="O433" s="265">
        <v>413</v>
      </c>
    </row>
    <row r="434" spans="1:15" x14ac:dyDescent="0.45">
      <c r="A434" s="253" t="str">
        <f t="shared" si="37"/>
        <v>&lt;ct418&gt;0&lt;/ct418&gt;</v>
      </c>
      <c r="B434" s="450" t="s">
        <v>1679</v>
      </c>
      <c r="C434" s="244">
        <f t="shared" si="38"/>
        <v>2</v>
      </c>
      <c r="D434" s="244">
        <f t="shared" si="39"/>
        <v>7</v>
      </c>
      <c r="E434" s="244">
        <f t="shared" si="40"/>
        <v>9</v>
      </c>
      <c r="G434" s="259" t="str">
        <f t="shared" si="41"/>
        <v>&lt;ct418&gt;</v>
      </c>
      <c r="H434" s="260">
        <f>VLOOKUP(O434,BCDTK!$E$9:$L$132,3,0)</f>
        <v>0</v>
      </c>
      <c r="I434" s="261" t="str">
        <f t="shared" si="42"/>
        <v>&lt;/ct418&gt;</v>
      </c>
      <c r="J434" s="262"/>
      <c r="K434" s="262"/>
      <c r="L434" s="262"/>
      <c r="M434" s="263"/>
      <c r="N434" s="265"/>
      <c r="O434" s="265">
        <v>418</v>
      </c>
    </row>
    <row r="435" spans="1:15" x14ac:dyDescent="0.45">
      <c r="A435" s="253" t="str">
        <f t="shared" si="37"/>
        <v>&lt;ct419&gt;0&lt;/ct419&gt;</v>
      </c>
      <c r="B435" s="450" t="s">
        <v>1680</v>
      </c>
      <c r="C435" s="244">
        <f t="shared" si="38"/>
        <v>2</v>
      </c>
      <c r="D435" s="244">
        <f t="shared" si="39"/>
        <v>7</v>
      </c>
      <c r="E435" s="244">
        <f t="shared" si="40"/>
        <v>9</v>
      </c>
      <c r="G435" s="259" t="str">
        <f t="shared" si="41"/>
        <v>&lt;ct419&gt;</v>
      </c>
      <c r="H435" s="260">
        <f>VLOOKUP(O435,BCDTK!$E$9:$L$132,3,0)</f>
        <v>0</v>
      </c>
      <c r="I435" s="261" t="str">
        <f t="shared" si="42"/>
        <v>&lt;/ct419&gt;</v>
      </c>
      <c r="J435" s="262"/>
      <c r="K435" s="262"/>
      <c r="L435" s="262"/>
      <c r="M435" s="263"/>
      <c r="N435" s="265"/>
      <c r="O435" s="265">
        <v>419</v>
      </c>
    </row>
    <row r="436" spans="1:15" x14ac:dyDescent="0.45">
      <c r="A436" s="253" t="str">
        <f t="shared" si="37"/>
        <v>&lt;ct421&gt;7320482&lt;/ct421&gt;</v>
      </c>
      <c r="B436" s="450" t="s">
        <v>1681</v>
      </c>
      <c r="C436" s="244">
        <f t="shared" si="38"/>
        <v>2</v>
      </c>
      <c r="D436" s="244">
        <f t="shared" si="39"/>
        <v>7</v>
      </c>
      <c r="E436" s="244">
        <f t="shared" si="40"/>
        <v>9</v>
      </c>
      <c r="G436" s="259" t="str">
        <f t="shared" si="41"/>
        <v>&lt;ct421&gt;</v>
      </c>
      <c r="H436" s="260">
        <f>VLOOKUP(O436,BCDTK!$E$9:$L$132,3,0)</f>
        <v>7320482</v>
      </c>
      <c r="I436" s="261" t="str">
        <f t="shared" si="42"/>
        <v>&lt;/ct421&gt;</v>
      </c>
      <c r="J436" s="262"/>
      <c r="K436" s="262"/>
      <c r="L436" s="262"/>
      <c r="M436" s="263"/>
      <c r="N436" s="265"/>
      <c r="O436" s="265">
        <v>421</v>
      </c>
    </row>
    <row r="437" spans="1:15" x14ac:dyDescent="0.45">
      <c r="A437" s="253" t="str">
        <f t="shared" si="37"/>
        <v>&lt;ct4211&gt;0&lt;/ct4211&gt;</v>
      </c>
      <c r="B437" s="450" t="s">
        <v>1682</v>
      </c>
      <c r="C437" s="244">
        <f t="shared" si="38"/>
        <v>2</v>
      </c>
      <c r="D437" s="244">
        <f t="shared" si="39"/>
        <v>8</v>
      </c>
      <c r="E437" s="244">
        <f t="shared" si="40"/>
        <v>10</v>
      </c>
      <c r="G437" s="259" t="str">
        <f t="shared" si="41"/>
        <v>&lt;ct4211&gt;</v>
      </c>
      <c r="H437" s="260">
        <f>VLOOKUP(O437,BCDTK!$E$9:$L$132,3,0)</f>
        <v>0</v>
      </c>
      <c r="I437" s="261" t="str">
        <f t="shared" si="42"/>
        <v>&lt;/ct4211&gt;</v>
      </c>
      <c r="J437" s="262"/>
      <c r="K437" s="262"/>
      <c r="L437" s="262"/>
      <c r="M437" s="263"/>
      <c r="N437" s="265"/>
      <c r="O437" s="265">
        <v>4211</v>
      </c>
    </row>
    <row r="438" spans="1:15" x14ac:dyDescent="0.45">
      <c r="A438" s="253" t="str">
        <f t="shared" si="37"/>
        <v>&lt;ct4212&gt;7320482&lt;/ct4212&gt;</v>
      </c>
      <c r="B438" s="450" t="s">
        <v>1683</v>
      </c>
      <c r="C438" s="244">
        <f t="shared" si="38"/>
        <v>2</v>
      </c>
      <c r="D438" s="244">
        <f t="shared" si="39"/>
        <v>8</v>
      </c>
      <c r="E438" s="244">
        <f t="shared" si="40"/>
        <v>10</v>
      </c>
      <c r="G438" s="259" t="str">
        <f t="shared" si="41"/>
        <v>&lt;ct4212&gt;</v>
      </c>
      <c r="H438" s="260">
        <f>VLOOKUP(O438,BCDTK!$E$9:$L$132,3,0)</f>
        <v>7320482</v>
      </c>
      <c r="I438" s="261" t="str">
        <f t="shared" si="42"/>
        <v>&lt;/ct4212&gt;</v>
      </c>
      <c r="J438" s="262"/>
      <c r="K438" s="262"/>
      <c r="L438" s="262"/>
      <c r="M438" s="263"/>
      <c r="N438" s="265"/>
      <c r="O438" s="265">
        <v>4212</v>
      </c>
    </row>
    <row r="439" spans="1:15" x14ac:dyDescent="0.45">
      <c r="A439" s="253" t="str">
        <f t="shared" si="37"/>
        <v>&lt;ct511&gt;0&lt;/ct511&gt;</v>
      </c>
      <c r="B439" s="450" t="s">
        <v>1684</v>
      </c>
      <c r="C439" s="244">
        <f t="shared" si="38"/>
        <v>2</v>
      </c>
      <c r="D439" s="244">
        <f t="shared" si="39"/>
        <v>7</v>
      </c>
      <c r="E439" s="244">
        <f t="shared" si="40"/>
        <v>9</v>
      </c>
      <c r="G439" s="259" t="str">
        <f t="shared" si="41"/>
        <v>&lt;ct511&gt;</v>
      </c>
      <c r="H439" s="260">
        <f>VLOOKUP(O439,BCDTK!$E$9:$L$132,3,0)</f>
        <v>0</v>
      </c>
      <c r="I439" s="261" t="str">
        <f t="shared" si="42"/>
        <v>&lt;/ct511&gt;</v>
      </c>
      <c r="J439" s="262"/>
      <c r="K439" s="262"/>
      <c r="L439" s="262"/>
      <c r="M439" s="263"/>
      <c r="N439" s="265"/>
      <c r="O439" s="265">
        <v>511</v>
      </c>
    </row>
    <row r="440" spans="1:15" x14ac:dyDescent="0.45">
      <c r="A440" s="253" t="str">
        <f t="shared" si="37"/>
        <v>&lt;ct5111&gt;0&lt;/ct5111&gt;</v>
      </c>
      <c r="B440" s="450" t="s">
        <v>1685</v>
      </c>
      <c r="C440" s="244">
        <f t="shared" si="38"/>
        <v>2</v>
      </c>
      <c r="D440" s="244">
        <f t="shared" si="39"/>
        <v>8</v>
      </c>
      <c r="E440" s="244">
        <f t="shared" si="40"/>
        <v>10</v>
      </c>
      <c r="G440" s="259" t="str">
        <f t="shared" si="41"/>
        <v>&lt;ct5111&gt;</v>
      </c>
      <c r="H440" s="260">
        <f>VLOOKUP(O440,BCDTK!$E$9:$L$132,3,0)</f>
        <v>0</v>
      </c>
      <c r="I440" s="261" t="str">
        <f t="shared" si="42"/>
        <v>&lt;/ct5111&gt;</v>
      </c>
      <c r="J440" s="262"/>
      <c r="K440" s="262"/>
      <c r="L440" s="262"/>
      <c r="M440" s="263"/>
      <c r="N440" s="265"/>
      <c r="O440" s="265">
        <v>5111</v>
      </c>
    </row>
    <row r="441" spans="1:15" x14ac:dyDescent="0.45">
      <c r="A441" s="253" t="str">
        <f t="shared" si="37"/>
        <v>&lt;ct5112&gt;0&lt;/ct5112&gt;</v>
      </c>
      <c r="B441" s="450" t="s">
        <v>1686</v>
      </c>
      <c r="C441" s="244">
        <f t="shared" si="38"/>
        <v>2</v>
      </c>
      <c r="D441" s="244">
        <f t="shared" si="39"/>
        <v>8</v>
      </c>
      <c r="E441" s="244">
        <f t="shared" si="40"/>
        <v>10</v>
      </c>
      <c r="G441" s="259" t="str">
        <f t="shared" si="41"/>
        <v>&lt;ct5112&gt;</v>
      </c>
      <c r="H441" s="260">
        <f>VLOOKUP(O441,BCDTK!$E$9:$L$132,3,0)</f>
        <v>0</v>
      </c>
      <c r="I441" s="261" t="str">
        <f t="shared" si="42"/>
        <v>&lt;/ct5112&gt;</v>
      </c>
      <c r="J441" s="262"/>
      <c r="K441" s="262"/>
      <c r="L441" s="262"/>
      <c r="M441" s="263"/>
      <c r="N441" s="265"/>
      <c r="O441" s="265">
        <v>5112</v>
      </c>
    </row>
    <row r="442" spans="1:15" x14ac:dyDescent="0.45">
      <c r="A442" s="253" t="str">
        <f t="shared" si="37"/>
        <v>&lt;ct5113&gt;0&lt;/ct5113&gt;</v>
      </c>
      <c r="B442" s="450" t="s">
        <v>1687</v>
      </c>
      <c r="C442" s="244">
        <f t="shared" si="38"/>
        <v>2</v>
      </c>
      <c r="D442" s="244">
        <f t="shared" si="39"/>
        <v>8</v>
      </c>
      <c r="E442" s="244">
        <f t="shared" si="40"/>
        <v>10</v>
      </c>
      <c r="G442" s="259" t="str">
        <f t="shared" si="41"/>
        <v>&lt;ct5113&gt;</v>
      </c>
      <c r="H442" s="260">
        <f>VLOOKUP(O442,BCDTK!$E$9:$L$132,3,0)</f>
        <v>0</v>
      </c>
      <c r="I442" s="261" t="str">
        <f t="shared" si="42"/>
        <v>&lt;/ct5113&gt;</v>
      </c>
      <c r="J442" s="262"/>
      <c r="K442" s="262"/>
      <c r="L442" s="262"/>
      <c r="M442" s="263"/>
      <c r="N442" s="265"/>
      <c r="O442" s="265">
        <v>5113</v>
      </c>
    </row>
    <row r="443" spans="1:15" x14ac:dyDescent="0.45">
      <c r="A443" s="253" t="str">
        <f t="shared" si="37"/>
        <v>&lt;ct5118&gt;0&lt;/ct5118&gt;</v>
      </c>
      <c r="B443" s="450" t="s">
        <v>1688</v>
      </c>
      <c r="C443" s="244">
        <f t="shared" si="38"/>
        <v>2</v>
      </c>
      <c r="D443" s="244">
        <f t="shared" si="39"/>
        <v>8</v>
      </c>
      <c r="E443" s="244">
        <f t="shared" si="40"/>
        <v>10</v>
      </c>
      <c r="G443" s="259" t="str">
        <f t="shared" si="41"/>
        <v>&lt;ct5118&gt;</v>
      </c>
      <c r="H443" s="260">
        <f>VLOOKUP(O443,BCDTK!$E$9:$L$132,3,0)</f>
        <v>0</v>
      </c>
      <c r="I443" s="261" t="str">
        <f t="shared" si="42"/>
        <v>&lt;/ct5118&gt;</v>
      </c>
      <c r="J443" s="262"/>
      <c r="K443" s="262"/>
      <c r="L443" s="262"/>
      <c r="M443" s="263"/>
      <c r="N443" s="265"/>
      <c r="O443" s="265">
        <v>5118</v>
      </c>
    </row>
    <row r="444" spans="1:15" x14ac:dyDescent="0.45">
      <c r="A444" s="253" t="str">
        <f t="shared" si="37"/>
        <v>&lt;ct515&gt;0&lt;/ct515&gt;</v>
      </c>
      <c r="B444" s="450" t="s">
        <v>1689</v>
      </c>
      <c r="C444" s="244">
        <f t="shared" si="38"/>
        <v>2</v>
      </c>
      <c r="D444" s="244">
        <f t="shared" si="39"/>
        <v>7</v>
      </c>
      <c r="E444" s="244">
        <f t="shared" si="40"/>
        <v>9</v>
      </c>
      <c r="G444" s="259" t="str">
        <f t="shared" si="41"/>
        <v>&lt;ct515&gt;</v>
      </c>
      <c r="H444" s="260">
        <f>VLOOKUP(O444,BCDTK!$E$9:$L$132,3,0)</f>
        <v>0</v>
      </c>
      <c r="I444" s="261" t="str">
        <f t="shared" si="42"/>
        <v>&lt;/ct515&gt;</v>
      </c>
      <c r="J444" s="262"/>
      <c r="K444" s="262"/>
      <c r="L444" s="262"/>
      <c r="M444" s="263"/>
      <c r="N444" s="265"/>
      <c r="O444" s="265">
        <v>515</v>
      </c>
    </row>
    <row r="445" spans="1:15" x14ac:dyDescent="0.45">
      <c r="A445" s="253" t="str">
        <f t="shared" si="37"/>
        <v>&lt;ct611&gt;0&lt;/ct611&gt;</v>
      </c>
      <c r="B445" s="450" t="s">
        <v>1690</v>
      </c>
      <c r="C445" s="244">
        <f t="shared" si="38"/>
        <v>2</v>
      </c>
      <c r="D445" s="244">
        <f t="shared" si="39"/>
        <v>7</v>
      </c>
      <c r="E445" s="244">
        <f t="shared" si="40"/>
        <v>9</v>
      </c>
      <c r="G445" s="259" t="str">
        <f t="shared" si="41"/>
        <v>&lt;ct611&gt;</v>
      </c>
      <c r="H445" s="260">
        <f>VLOOKUP(O445,BCDTK!$E$9:$L$132,3,0)</f>
        <v>0</v>
      </c>
      <c r="I445" s="261" t="str">
        <f t="shared" si="42"/>
        <v>&lt;/ct611&gt;</v>
      </c>
      <c r="J445" s="262"/>
      <c r="K445" s="262"/>
      <c r="L445" s="262"/>
      <c r="M445" s="263"/>
      <c r="N445" s="265"/>
      <c r="O445" s="265">
        <v>611</v>
      </c>
    </row>
    <row r="446" spans="1:15" x14ac:dyDescent="0.45">
      <c r="A446" s="253" t="str">
        <f t="shared" si="37"/>
        <v>&lt;ct631&gt;0&lt;/ct631&gt;</v>
      </c>
      <c r="B446" s="450" t="s">
        <v>1691</v>
      </c>
      <c r="C446" s="244">
        <f t="shared" si="38"/>
        <v>2</v>
      </c>
      <c r="D446" s="244">
        <f t="shared" si="39"/>
        <v>7</v>
      </c>
      <c r="E446" s="244">
        <f t="shared" si="40"/>
        <v>9</v>
      </c>
      <c r="G446" s="259" t="str">
        <f t="shared" si="41"/>
        <v>&lt;ct631&gt;</v>
      </c>
      <c r="H446" s="260">
        <f>VLOOKUP(O446,BCDTK!$E$9:$L$132,3,0)</f>
        <v>0</v>
      </c>
      <c r="I446" s="261" t="str">
        <f t="shared" si="42"/>
        <v>&lt;/ct631&gt;</v>
      </c>
      <c r="J446" s="262"/>
      <c r="K446" s="262"/>
      <c r="L446" s="262"/>
      <c r="M446" s="263"/>
      <c r="N446" s="265"/>
      <c r="O446" s="265">
        <v>631</v>
      </c>
    </row>
    <row r="447" spans="1:15" x14ac:dyDescent="0.45">
      <c r="A447" s="253" t="str">
        <f t="shared" si="37"/>
        <v>&lt;ct632&gt;0&lt;/ct632&gt;</v>
      </c>
      <c r="B447" s="450" t="s">
        <v>1692</v>
      </c>
      <c r="C447" s="244">
        <f t="shared" si="38"/>
        <v>2</v>
      </c>
      <c r="D447" s="244">
        <f t="shared" si="39"/>
        <v>7</v>
      </c>
      <c r="E447" s="244">
        <f t="shared" si="40"/>
        <v>9</v>
      </c>
      <c r="G447" s="259" t="str">
        <f t="shared" si="41"/>
        <v>&lt;ct632&gt;</v>
      </c>
      <c r="H447" s="260">
        <f>VLOOKUP(O447,BCDTK!$E$9:$L$132,3,0)</f>
        <v>0</v>
      </c>
      <c r="I447" s="261" t="str">
        <f t="shared" si="42"/>
        <v>&lt;/ct632&gt;</v>
      </c>
      <c r="J447" s="262"/>
      <c r="K447" s="262"/>
      <c r="L447" s="262"/>
      <c r="M447" s="263"/>
      <c r="N447" s="265"/>
      <c r="O447" s="265">
        <v>632</v>
      </c>
    </row>
    <row r="448" spans="1:15" x14ac:dyDescent="0.45">
      <c r="A448" s="253" t="str">
        <f t="shared" si="37"/>
        <v>&lt;ct635&gt;0&lt;/ct635&gt;</v>
      </c>
      <c r="B448" s="450" t="s">
        <v>1693</v>
      </c>
      <c r="C448" s="244">
        <f t="shared" si="38"/>
        <v>2</v>
      </c>
      <c r="D448" s="244">
        <f t="shared" si="39"/>
        <v>7</v>
      </c>
      <c r="E448" s="244">
        <f t="shared" si="40"/>
        <v>9</v>
      </c>
      <c r="G448" s="259" t="str">
        <f t="shared" si="41"/>
        <v>&lt;ct635&gt;</v>
      </c>
      <c r="H448" s="260">
        <f>VLOOKUP(O448,BCDTK!$E$9:$L$132,3,0)</f>
        <v>0</v>
      </c>
      <c r="I448" s="261" t="str">
        <f t="shared" si="42"/>
        <v>&lt;/ct635&gt;</v>
      </c>
      <c r="J448" s="262"/>
      <c r="K448" s="262"/>
      <c r="L448" s="262"/>
      <c r="M448" s="263"/>
      <c r="N448" s="265"/>
      <c r="O448" s="265">
        <v>635</v>
      </c>
    </row>
    <row r="449" spans="1:15" x14ac:dyDescent="0.45">
      <c r="A449" s="253" t="str">
        <f t="shared" si="37"/>
        <v>&lt;ct642&gt;0&lt;/ct642&gt;</v>
      </c>
      <c r="B449" s="450" t="s">
        <v>1694</v>
      </c>
      <c r="C449" s="244">
        <f t="shared" si="38"/>
        <v>2</v>
      </c>
      <c r="D449" s="244">
        <f t="shared" si="39"/>
        <v>7</v>
      </c>
      <c r="E449" s="244">
        <f t="shared" si="40"/>
        <v>9</v>
      </c>
      <c r="G449" s="259" t="str">
        <f t="shared" si="41"/>
        <v>&lt;ct642&gt;</v>
      </c>
      <c r="H449" s="260">
        <f>VLOOKUP(O449,BCDTK!$E$9:$L$132,3,0)</f>
        <v>0</v>
      </c>
      <c r="I449" s="261" t="str">
        <f t="shared" si="42"/>
        <v>&lt;/ct642&gt;</v>
      </c>
      <c r="J449" s="262"/>
      <c r="K449" s="262"/>
      <c r="L449" s="262"/>
      <c r="M449" s="263"/>
      <c r="N449" s="265"/>
      <c r="O449" s="265">
        <v>642</v>
      </c>
    </row>
    <row r="450" spans="1:15" x14ac:dyDescent="0.45">
      <c r="A450" s="253" t="str">
        <f t="shared" si="37"/>
        <v>&lt;ct6421&gt;0&lt;/ct6421&gt;</v>
      </c>
      <c r="B450" s="450" t="s">
        <v>1695</v>
      </c>
      <c r="C450" s="244">
        <f t="shared" si="38"/>
        <v>2</v>
      </c>
      <c r="D450" s="244">
        <f t="shared" si="39"/>
        <v>8</v>
      </c>
      <c r="E450" s="244">
        <f t="shared" si="40"/>
        <v>10</v>
      </c>
      <c r="G450" s="259" t="str">
        <f t="shared" si="41"/>
        <v>&lt;ct6421&gt;</v>
      </c>
      <c r="H450" s="260">
        <f>VLOOKUP(O450,BCDTK!$E$9:$L$132,3,0)</f>
        <v>0</v>
      </c>
      <c r="I450" s="261" t="str">
        <f t="shared" si="42"/>
        <v>&lt;/ct6421&gt;</v>
      </c>
      <c r="J450" s="262"/>
      <c r="K450" s="262"/>
      <c r="L450" s="262"/>
      <c r="M450" s="263"/>
      <c r="N450" s="265"/>
      <c r="O450" s="265">
        <v>6421</v>
      </c>
    </row>
    <row r="451" spans="1:15" x14ac:dyDescent="0.45">
      <c r="A451" s="253" t="str">
        <f t="shared" si="37"/>
        <v>&lt;ct6422&gt;0&lt;/ct6422&gt;</v>
      </c>
      <c r="B451" s="450" t="s">
        <v>1696</v>
      </c>
      <c r="C451" s="244">
        <f t="shared" si="38"/>
        <v>2</v>
      </c>
      <c r="D451" s="244">
        <f t="shared" si="39"/>
        <v>8</v>
      </c>
      <c r="E451" s="244">
        <f t="shared" si="40"/>
        <v>10</v>
      </c>
      <c r="G451" s="259" t="str">
        <f t="shared" si="41"/>
        <v>&lt;ct6422&gt;</v>
      </c>
      <c r="H451" s="260">
        <f>VLOOKUP(O451,BCDTK!$E$9:$L$132,3,0)</f>
        <v>0</v>
      </c>
      <c r="I451" s="261" t="str">
        <f t="shared" si="42"/>
        <v>&lt;/ct6422&gt;</v>
      </c>
      <c r="J451" s="262"/>
      <c r="K451" s="262"/>
      <c r="L451" s="262"/>
      <c r="M451" s="263"/>
      <c r="N451" s="265"/>
      <c r="O451" s="265">
        <v>6422</v>
      </c>
    </row>
    <row r="452" spans="1:15" x14ac:dyDescent="0.45">
      <c r="A452" s="253" t="str">
        <f t="shared" ref="A452:A515" si="43">CONCATENATE(G452,H452,I452)</f>
        <v>&lt;ct711&gt;0&lt;/ct711&gt;</v>
      </c>
      <c r="B452" s="450" t="s">
        <v>1697</v>
      </c>
      <c r="C452" s="244">
        <f t="shared" si="38"/>
        <v>2</v>
      </c>
      <c r="D452" s="244">
        <f t="shared" si="39"/>
        <v>7</v>
      </c>
      <c r="E452" s="244">
        <f t="shared" si="40"/>
        <v>9</v>
      </c>
      <c r="G452" s="259" t="str">
        <f t="shared" si="41"/>
        <v>&lt;ct711&gt;</v>
      </c>
      <c r="H452" s="260">
        <f>VLOOKUP(O452,BCDTK!$E$9:$L$132,3,0)</f>
        <v>0</v>
      </c>
      <c r="I452" s="261" t="str">
        <f t="shared" si="42"/>
        <v>&lt;/ct711&gt;</v>
      </c>
      <c r="J452" s="262"/>
      <c r="K452" s="262"/>
      <c r="L452" s="262"/>
      <c r="M452" s="263"/>
      <c r="N452" s="265"/>
      <c r="O452" s="265">
        <v>711</v>
      </c>
    </row>
    <row r="453" spans="1:15" x14ac:dyDescent="0.45">
      <c r="A453" s="253" t="str">
        <f t="shared" si="43"/>
        <v>&lt;ct811&gt;0&lt;/ct811&gt;</v>
      </c>
      <c r="B453" s="450" t="s">
        <v>1698</v>
      </c>
      <c r="C453" s="244">
        <f t="shared" si="38"/>
        <v>2</v>
      </c>
      <c r="D453" s="244">
        <f t="shared" si="39"/>
        <v>7</v>
      </c>
      <c r="E453" s="244">
        <f t="shared" si="40"/>
        <v>9</v>
      </c>
      <c r="G453" s="259" t="str">
        <f t="shared" si="41"/>
        <v>&lt;ct811&gt;</v>
      </c>
      <c r="H453" s="260">
        <f>VLOOKUP(O453,BCDTK!$E$9:$L$132,3,0)</f>
        <v>0</v>
      </c>
      <c r="I453" s="261" t="str">
        <f t="shared" si="42"/>
        <v>&lt;/ct811&gt;</v>
      </c>
      <c r="J453" s="262"/>
      <c r="K453" s="262"/>
      <c r="L453" s="262"/>
      <c r="M453" s="263"/>
      <c r="N453" s="265"/>
      <c r="O453" s="265">
        <v>811</v>
      </c>
    </row>
    <row r="454" spans="1:15" x14ac:dyDescent="0.45">
      <c r="A454" s="253" t="str">
        <f t="shared" si="43"/>
        <v>&lt;ct821&gt;0&lt;/ct821&gt;</v>
      </c>
      <c r="B454" s="450" t="s">
        <v>1699</v>
      </c>
      <c r="C454" s="244">
        <f t="shared" si="38"/>
        <v>2</v>
      </c>
      <c r="D454" s="244">
        <f t="shared" si="39"/>
        <v>7</v>
      </c>
      <c r="E454" s="244">
        <f t="shared" si="40"/>
        <v>9</v>
      </c>
      <c r="G454" s="259" t="str">
        <f t="shared" si="41"/>
        <v>&lt;ct821&gt;</v>
      </c>
      <c r="H454" s="260">
        <f>VLOOKUP(O454,BCDTK!$E$9:$L$132,3,0)</f>
        <v>0</v>
      </c>
      <c r="I454" s="261" t="str">
        <f t="shared" si="42"/>
        <v>&lt;/ct821&gt;</v>
      </c>
      <c r="J454" s="262"/>
      <c r="K454" s="262"/>
      <c r="L454" s="262"/>
      <c r="M454" s="263"/>
      <c r="N454" s="265"/>
      <c r="O454" s="265">
        <v>821</v>
      </c>
    </row>
    <row r="455" spans="1:15" x14ac:dyDescent="0.45">
      <c r="A455" s="253" t="str">
        <f t="shared" si="43"/>
        <v>&lt;ct911&gt;0&lt;/ct911&gt;</v>
      </c>
      <c r="B455" s="450" t="s">
        <v>1700</v>
      </c>
      <c r="C455" s="244">
        <f t="shared" si="38"/>
        <v>2</v>
      </c>
      <c r="D455" s="244">
        <f t="shared" si="39"/>
        <v>7</v>
      </c>
      <c r="E455" s="244">
        <f t="shared" si="40"/>
        <v>9</v>
      </c>
      <c r="G455" s="259" t="str">
        <f t="shared" si="41"/>
        <v>&lt;ct911&gt;</v>
      </c>
      <c r="H455" s="260">
        <f>VLOOKUP(O455,BCDTK!$E$9:$L$132,3,0)</f>
        <v>0</v>
      </c>
      <c r="I455" s="261" t="str">
        <f t="shared" si="42"/>
        <v>&lt;/ct911&gt;</v>
      </c>
      <c r="J455" s="262"/>
      <c r="K455" s="262"/>
      <c r="L455" s="262"/>
      <c r="M455" s="263"/>
      <c r="N455" s="265"/>
      <c r="O455" s="265">
        <v>911</v>
      </c>
    </row>
    <row r="456" spans="1:15" x14ac:dyDescent="0.45">
      <c r="A456" s="253" t="str">
        <f t="shared" si="43"/>
        <v>&lt;tongCong&gt;505015463&lt;/tongCong&gt;</v>
      </c>
      <c r="B456" s="450" t="s">
        <v>1701</v>
      </c>
      <c r="C456" s="244">
        <f t="shared" si="38"/>
        <v>2</v>
      </c>
      <c r="D456" s="244">
        <f t="shared" si="39"/>
        <v>10</v>
      </c>
      <c r="E456" s="244">
        <f t="shared" si="40"/>
        <v>12</v>
      </c>
      <c r="G456" s="259" t="str">
        <f t="shared" si="41"/>
        <v>&lt;tongCong&gt;</v>
      </c>
      <c r="H456" s="260">
        <f>VLOOKUP(O456,BCDTK!$E$9:$L$132,3,0)</f>
        <v>505015463</v>
      </c>
      <c r="I456" s="261" t="str">
        <f t="shared" si="42"/>
        <v>&lt;/tongCong&gt;</v>
      </c>
      <c r="J456" s="262"/>
      <c r="K456" s="262"/>
      <c r="L456" s="262"/>
      <c r="M456" s="263"/>
      <c r="N456" s="265"/>
      <c r="O456" s="265" t="s">
        <v>1794</v>
      </c>
    </row>
    <row r="457" spans="1:15" x14ac:dyDescent="0.45">
      <c r="A457" s="253" t="str">
        <f t="shared" si="43"/>
        <v>&lt;/No&gt;</v>
      </c>
      <c r="B457" s="450" t="s">
        <v>1702</v>
      </c>
      <c r="C457" s="244">
        <f t="shared" ref="C457:C520" si="44">LEN(B457)-LEN(SUBSTITUTE(B457,"&lt;",""))</f>
        <v>1</v>
      </c>
      <c r="D457" s="244">
        <f t="shared" ref="D457:D520" si="45">SEARCH("&gt;",B457)</f>
        <v>5</v>
      </c>
      <c r="E457" s="244">
        <f t="shared" ref="E457:E520" si="46">IFERROR(SEARCH("&lt;/",B457),"")</f>
        <v>1</v>
      </c>
      <c r="G457" s="259" t="str">
        <f t="shared" ref="G457:G520" si="47">LEFT(B457,D457)</f>
        <v>&lt;/No&gt;</v>
      </c>
      <c r="H457" s="260"/>
      <c r="I457" s="261" t="str">
        <f t="shared" ref="I457:I520" si="48">IF(C457=2,RIGHT(B457,LEN(B457)-E457+1),"")</f>
        <v/>
      </c>
      <c r="J457" s="262"/>
      <c r="K457" s="262"/>
      <c r="L457" s="262"/>
      <c r="M457" s="263"/>
      <c r="N457" s="265"/>
      <c r="O457" s="265"/>
    </row>
    <row r="458" spans="1:15" x14ac:dyDescent="0.45">
      <c r="A458" s="253" t="str">
        <f t="shared" si="43"/>
        <v>&lt;Co&gt;</v>
      </c>
      <c r="B458" s="450" t="s">
        <v>1703</v>
      </c>
      <c r="C458" s="244">
        <f t="shared" si="44"/>
        <v>1</v>
      </c>
      <c r="D458" s="244">
        <f t="shared" si="45"/>
        <v>4</v>
      </c>
      <c r="E458" s="244" t="str">
        <f t="shared" si="46"/>
        <v/>
      </c>
      <c r="G458" s="259" t="str">
        <f t="shared" si="47"/>
        <v>&lt;Co&gt;</v>
      </c>
      <c r="H458" s="260"/>
      <c r="I458" s="261" t="str">
        <f t="shared" si="48"/>
        <v/>
      </c>
      <c r="J458" s="262"/>
      <c r="K458" s="262"/>
      <c r="L458" s="262"/>
      <c r="M458" s="263"/>
      <c r="N458" s="265"/>
      <c r="O458" s="265"/>
    </row>
    <row r="459" spans="1:15" x14ac:dyDescent="0.45">
      <c r="A459" s="253" t="str">
        <f t="shared" si="43"/>
        <v>&lt;ct111&gt;0&lt;/ct111&gt;</v>
      </c>
      <c r="B459" s="450" t="s">
        <v>1587</v>
      </c>
      <c r="C459" s="244">
        <f t="shared" si="44"/>
        <v>2</v>
      </c>
      <c r="D459" s="244">
        <f t="shared" si="45"/>
        <v>7</v>
      </c>
      <c r="E459" s="244">
        <f t="shared" si="46"/>
        <v>9</v>
      </c>
      <c r="G459" s="259" t="str">
        <f t="shared" si="47"/>
        <v>&lt;ct111&gt;</v>
      </c>
      <c r="H459" s="260">
        <f>VLOOKUP(O459,BCDTK!$E$9:$L$132,4,0)</f>
        <v>0</v>
      </c>
      <c r="I459" s="261" t="str">
        <f t="shared" si="48"/>
        <v>&lt;/ct111&gt;</v>
      </c>
      <c r="J459" s="262"/>
      <c r="K459" s="262"/>
      <c r="L459" s="262"/>
      <c r="M459" s="263"/>
      <c r="N459" s="265"/>
      <c r="O459" s="265">
        <v>111</v>
      </c>
    </row>
    <row r="460" spans="1:15" x14ac:dyDescent="0.45">
      <c r="A460" s="253" t="str">
        <f t="shared" si="43"/>
        <v>&lt;ct1111&gt;0&lt;/ct1111&gt;</v>
      </c>
      <c r="B460" s="450" t="s">
        <v>1588</v>
      </c>
      <c r="C460" s="244">
        <f t="shared" si="44"/>
        <v>2</v>
      </c>
      <c r="D460" s="244">
        <f t="shared" si="45"/>
        <v>8</v>
      </c>
      <c r="E460" s="244">
        <f t="shared" si="46"/>
        <v>10</v>
      </c>
      <c r="G460" s="259" t="str">
        <f t="shared" si="47"/>
        <v>&lt;ct1111&gt;</v>
      </c>
      <c r="H460" s="260">
        <f>VLOOKUP(O460,BCDTK!$E$9:$L$132,4,0)</f>
        <v>0</v>
      </c>
      <c r="I460" s="261" t="str">
        <f t="shared" si="48"/>
        <v>&lt;/ct1111&gt;</v>
      </c>
      <c r="J460" s="262"/>
      <c r="K460" s="262"/>
      <c r="L460" s="262"/>
      <c r="M460" s="263"/>
      <c r="N460" s="265"/>
      <c r="O460" s="265">
        <v>1111</v>
      </c>
    </row>
    <row r="461" spans="1:15" x14ac:dyDescent="0.45">
      <c r="A461" s="253" t="str">
        <f t="shared" si="43"/>
        <v>&lt;ct1112&gt;0&lt;/ct1112&gt;</v>
      </c>
      <c r="B461" s="450" t="s">
        <v>1589</v>
      </c>
      <c r="C461" s="244">
        <f t="shared" si="44"/>
        <v>2</v>
      </c>
      <c r="D461" s="244">
        <f t="shared" si="45"/>
        <v>8</v>
      </c>
      <c r="E461" s="244">
        <f t="shared" si="46"/>
        <v>10</v>
      </c>
      <c r="G461" s="259" t="str">
        <f t="shared" si="47"/>
        <v>&lt;ct1112&gt;</v>
      </c>
      <c r="H461" s="260">
        <f>VLOOKUP(O461,BCDTK!$E$9:$L$132,4,0)</f>
        <v>0</v>
      </c>
      <c r="I461" s="261" t="str">
        <f t="shared" si="48"/>
        <v>&lt;/ct1112&gt;</v>
      </c>
      <c r="J461" s="262"/>
      <c r="K461" s="262"/>
      <c r="L461" s="262"/>
      <c r="M461" s="263"/>
      <c r="N461" s="265"/>
      <c r="O461" s="265">
        <v>1112</v>
      </c>
    </row>
    <row r="462" spans="1:15" x14ac:dyDescent="0.45">
      <c r="A462" s="253" t="str">
        <f t="shared" si="43"/>
        <v>&lt;ct112&gt;0&lt;/ct112&gt;</v>
      </c>
      <c r="B462" s="450" t="s">
        <v>1590</v>
      </c>
      <c r="C462" s="244">
        <f t="shared" si="44"/>
        <v>2</v>
      </c>
      <c r="D462" s="244">
        <f t="shared" si="45"/>
        <v>7</v>
      </c>
      <c r="E462" s="244">
        <f t="shared" si="46"/>
        <v>9</v>
      </c>
      <c r="G462" s="259" t="str">
        <f t="shared" si="47"/>
        <v>&lt;ct112&gt;</v>
      </c>
      <c r="H462" s="260">
        <f>VLOOKUP(O462,BCDTK!$E$9:$L$132,4,0)</f>
        <v>0</v>
      </c>
      <c r="I462" s="261" t="str">
        <f t="shared" si="48"/>
        <v>&lt;/ct112&gt;</v>
      </c>
      <c r="J462" s="262"/>
      <c r="K462" s="262"/>
      <c r="L462" s="262"/>
      <c r="M462" s="263"/>
      <c r="N462" s="265"/>
      <c r="O462" s="265">
        <v>112</v>
      </c>
    </row>
    <row r="463" spans="1:15" x14ac:dyDescent="0.45">
      <c r="A463" s="253" t="str">
        <f t="shared" si="43"/>
        <v>&lt;ct1121&gt;0&lt;/ct1121&gt;</v>
      </c>
      <c r="B463" s="450" t="s">
        <v>1591</v>
      </c>
      <c r="C463" s="244">
        <f t="shared" si="44"/>
        <v>2</v>
      </c>
      <c r="D463" s="244">
        <f t="shared" si="45"/>
        <v>8</v>
      </c>
      <c r="E463" s="244">
        <f t="shared" si="46"/>
        <v>10</v>
      </c>
      <c r="G463" s="259" t="str">
        <f t="shared" si="47"/>
        <v>&lt;ct1121&gt;</v>
      </c>
      <c r="H463" s="260">
        <f>VLOOKUP(O463,BCDTK!$E$9:$L$132,4,0)</f>
        <v>0</v>
      </c>
      <c r="I463" s="261" t="str">
        <f t="shared" si="48"/>
        <v>&lt;/ct1121&gt;</v>
      </c>
      <c r="J463" s="262"/>
      <c r="K463" s="262"/>
      <c r="L463" s="262"/>
      <c r="M463" s="263"/>
      <c r="N463" s="265"/>
      <c r="O463" s="265">
        <v>1121</v>
      </c>
    </row>
    <row r="464" spans="1:15" x14ac:dyDescent="0.45">
      <c r="A464" s="253" t="str">
        <f t="shared" si="43"/>
        <v>&lt;ct1122&gt;0&lt;/ct1122&gt;</v>
      </c>
      <c r="B464" s="450" t="s">
        <v>1592</v>
      </c>
      <c r="C464" s="244">
        <f t="shared" si="44"/>
        <v>2</v>
      </c>
      <c r="D464" s="244">
        <f t="shared" si="45"/>
        <v>8</v>
      </c>
      <c r="E464" s="244">
        <f t="shared" si="46"/>
        <v>10</v>
      </c>
      <c r="G464" s="259" t="str">
        <f t="shared" si="47"/>
        <v>&lt;ct1122&gt;</v>
      </c>
      <c r="H464" s="260">
        <f>VLOOKUP(O464,BCDTK!$E$9:$L$132,4,0)</f>
        <v>0</v>
      </c>
      <c r="I464" s="261" t="str">
        <f t="shared" si="48"/>
        <v>&lt;/ct1122&gt;</v>
      </c>
      <c r="J464" s="262"/>
      <c r="K464" s="262"/>
      <c r="L464" s="262"/>
      <c r="M464" s="263"/>
      <c r="N464" s="265"/>
      <c r="O464" s="265">
        <v>1122</v>
      </c>
    </row>
    <row r="465" spans="1:15" x14ac:dyDescent="0.45">
      <c r="A465" s="253" t="str">
        <f t="shared" si="43"/>
        <v>&lt;ct121&gt;0&lt;/ct121&gt;</v>
      </c>
      <c r="B465" s="450" t="s">
        <v>1461</v>
      </c>
      <c r="C465" s="244">
        <f t="shared" si="44"/>
        <v>2</v>
      </c>
      <c r="D465" s="244">
        <f t="shared" si="45"/>
        <v>7</v>
      </c>
      <c r="E465" s="244">
        <f t="shared" si="46"/>
        <v>9</v>
      </c>
      <c r="G465" s="259" t="str">
        <f t="shared" si="47"/>
        <v>&lt;ct121&gt;</v>
      </c>
      <c r="H465" s="260">
        <f>VLOOKUP(O465,BCDTK!$E$9:$L$132,4,0)</f>
        <v>0</v>
      </c>
      <c r="I465" s="261" t="str">
        <f t="shared" si="48"/>
        <v>&lt;/ct121&gt;</v>
      </c>
      <c r="J465" s="262"/>
      <c r="K465" s="262"/>
      <c r="L465" s="262"/>
      <c r="M465" s="263"/>
      <c r="N465" s="265"/>
      <c r="O465" s="265">
        <v>121</v>
      </c>
    </row>
    <row r="466" spans="1:15" x14ac:dyDescent="0.45">
      <c r="A466" s="253" t="str">
        <f t="shared" si="43"/>
        <v>&lt;ct128&gt;0&lt;/ct128&gt;</v>
      </c>
      <c r="B466" s="450" t="s">
        <v>1593</v>
      </c>
      <c r="C466" s="244">
        <f t="shared" si="44"/>
        <v>2</v>
      </c>
      <c r="D466" s="244">
        <f t="shared" si="45"/>
        <v>7</v>
      </c>
      <c r="E466" s="244">
        <f t="shared" si="46"/>
        <v>9</v>
      </c>
      <c r="G466" s="259" t="str">
        <f t="shared" si="47"/>
        <v>&lt;ct128&gt;</v>
      </c>
      <c r="H466" s="260">
        <f>VLOOKUP(O466,BCDTK!$E$9:$L$132,4,0)</f>
        <v>0</v>
      </c>
      <c r="I466" s="261" t="str">
        <f t="shared" si="48"/>
        <v>&lt;/ct128&gt;</v>
      </c>
      <c r="J466" s="262"/>
      <c r="K466" s="262"/>
      <c r="L466" s="262"/>
      <c r="M466" s="263"/>
      <c r="N466" s="265"/>
      <c r="O466" s="265">
        <v>128</v>
      </c>
    </row>
    <row r="467" spans="1:15" x14ac:dyDescent="0.45">
      <c r="A467" s="253" t="str">
        <f t="shared" si="43"/>
        <v>&lt;ct1281&gt;0&lt;/ct1281&gt;</v>
      </c>
      <c r="B467" s="450" t="s">
        <v>1594</v>
      </c>
      <c r="C467" s="244">
        <f t="shared" si="44"/>
        <v>2</v>
      </c>
      <c r="D467" s="244">
        <f t="shared" si="45"/>
        <v>8</v>
      </c>
      <c r="E467" s="244">
        <f t="shared" si="46"/>
        <v>10</v>
      </c>
      <c r="G467" s="259" t="str">
        <f t="shared" si="47"/>
        <v>&lt;ct1281&gt;</v>
      </c>
      <c r="H467" s="260">
        <f>VLOOKUP(O467,BCDTK!$E$9:$L$132,4,0)</f>
        <v>0</v>
      </c>
      <c r="I467" s="261" t="str">
        <f t="shared" si="48"/>
        <v>&lt;/ct1281&gt;</v>
      </c>
      <c r="J467" s="262"/>
      <c r="K467" s="262"/>
      <c r="L467" s="262"/>
      <c r="M467" s="263"/>
      <c r="N467" s="265"/>
      <c r="O467" s="265">
        <v>1281</v>
      </c>
    </row>
    <row r="468" spans="1:15" x14ac:dyDescent="0.45">
      <c r="A468" s="253" t="str">
        <f t="shared" si="43"/>
        <v>&lt;ct1288&gt;0&lt;/ct1288&gt;</v>
      </c>
      <c r="B468" s="450" t="s">
        <v>1595</v>
      </c>
      <c r="C468" s="244">
        <f t="shared" si="44"/>
        <v>2</v>
      </c>
      <c r="D468" s="244">
        <f t="shared" si="45"/>
        <v>8</v>
      </c>
      <c r="E468" s="244">
        <f t="shared" si="46"/>
        <v>10</v>
      </c>
      <c r="G468" s="259" t="str">
        <f t="shared" si="47"/>
        <v>&lt;ct1288&gt;</v>
      </c>
      <c r="H468" s="260">
        <f>VLOOKUP(O468,BCDTK!$E$9:$L$132,4,0)</f>
        <v>0</v>
      </c>
      <c r="I468" s="261" t="str">
        <f t="shared" si="48"/>
        <v>&lt;/ct1288&gt;</v>
      </c>
      <c r="J468" s="262"/>
      <c r="K468" s="262"/>
      <c r="L468" s="262"/>
      <c r="M468" s="263"/>
      <c r="N468" s="265"/>
      <c r="O468" s="265">
        <v>1288</v>
      </c>
    </row>
    <row r="469" spans="1:15" x14ac:dyDescent="0.45">
      <c r="A469" s="253" t="str">
        <f t="shared" si="43"/>
        <v>&lt;ct131&gt;0&lt;/ct131&gt;</v>
      </c>
      <c r="B469" s="450" t="s">
        <v>1510</v>
      </c>
      <c r="C469" s="244">
        <f t="shared" si="44"/>
        <v>2</v>
      </c>
      <c r="D469" s="244">
        <f t="shared" si="45"/>
        <v>7</v>
      </c>
      <c r="E469" s="244">
        <f t="shared" si="46"/>
        <v>9</v>
      </c>
      <c r="G469" s="259" t="str">
        <f t="shared" si="47"/>
        <v>&lt;ct131&gt;</v>
      </c>
      <c r="H469" s="260">
        <f>VLOOKUP(O469,BCDTK!$E$9:$L$132,4,0)</f>
        <v>0</v>
      </c>
      <c r="I469" s="261" t="str">
        <f t="shared" si="48"/>
        <v>&lt;/ct131&gt;</v>
      </c>
      <c r="J469" s="262"/>
      <c r="K469" s="262"/>
      <c r="L469" s="262"/>
      <c r="M469" s="263"/>
      <c r="N469" s="265"/>
      <c r="O469" s="265">
        <v>131</v>
      </c>
    </row>
    <row r="470" spans="1:15" x14ac:dyDescent="0.45">
      <c r="A470" s="253" t="str">
        <f t="shared" si="43"/>
        <v>&lt;ct133&gt;0&lt;/ct133&gt;</v>
      </c>
      <c r="B470" s="450" t="s">
        <v>1468</v>
      </c>
      <c r="C470" s="244">
        <f t="shared" si="44"/>
        <v>2</v>
      </c>
      <c r="D470" s="244">
        <f t="shared" si="45"/>
        <v>7</v>
      </c>
      <c r="E470" s="244">
        <f t="shared" si="46"/>
        <v>9</v>
      </c>
      <c r="G470" s="259" t="str">
        <f t="shared" si="47"/>
        <v>&lt;ct133&gt;</v>
      </c>
      <c r="H470" s="260">
        <f>VLOOKUP(O470,BCDTK!$E$9:$L$132,4,0)</f>
        <v>0</v>
      </c>
      <c r="I470" s="261" t="str">
        <f t="shared" si="48"/>
        <v>&lt;/ct133&gt;</v>
      </c>
      <c r="J470" s="262"/>
      <c r="K470" s="262"/>
      <c r="L470" s="262"/>
      <c r="M470" s="263"/>
      <c r="N470" s="265"/>
      <c r="O470" s="265">
        <v>133</v>
      </c>
    </row>
    <row r="471" spans="1:15" x14ac:dyDescent="0.45">
      <c r="A471" s="253" t="str">
        <f t="shared" si="43"/>
        <v>&lt;ct1331&gt;0&lt;/ct1331&gt;</v>
      </c>
      <c r="B471" s="450" t="s">
        <v>1596</v>
      </c>
      <c r="C471" s="244">
        <f t="shared" si="44"/>
        <v>2</v>
      </c>
      <c r="D471" s="244">
        <f t="shared" si="45"/>
        <v>8</v>
      </c>
      <c r="E471" s="244">
        <f t="shared" si="46"/>
        <v>10</v>
      </c>
      <c r="G471" s="259" t="str">
        <f t="shared" si="47"/>
        <v>&lt;ct1331&gt;</v>
      </c>
      <c r="H471" s="260">
        <f>VLOOKUP(O471,BCDTK!$E$9:$L$132,4,0)</f>
        <v>0</v>
      </c>
      <c r="I471" s="261" t="str">
        <f t="shared" si="48"/>
        <v>&lt;/ct1331&gt;</v>
      </c>
      <c r="J471" s="262"/>
      <c r="K471" s="262"/>
      <c r="L471" s="262"/>
      <c r="M471" s="263"/>
      <c r="N471" s="265"/>
      <c r="O471" s="265">
        <v>1331</v>
      </c>
    </row>
    <row r="472" spans="1:15" x14ac:dyDescent="0.45">
      <c r="A472" s="253" t="str">
        <f t="shared" si="43"/>
        <v>&lt;ct1332&gt;0&lt;/ct1332&gt;</v>
      </c>
      <c r="B472" s="450" t="s">
        <v>1597</v>
      </c>
      <c r="C472" s="244">
        <f t="shared" si="44"/>
        <v>2</v>
      </c>
      <c r="D472" s="244">
        <f t="shared" si="45"/>
        <v>8</v>
      </c>
      <c r="E472" s="244">
        <f t="shared" si="46"/>
        <v>10</v>
      </c>
      <c r="G472" s="259" t="str">
        <f t="shared" si="47"/>
        <v>&lt;ct1332&gt;</v>
      </c>
      <c r="H472" s="260">
        <f>VLOOKUP(O472,BCDTK!$E$9:$L$132,4,0)</f>
        <v>0</v>
      </c>
      <c r="I472" s="261" t="str">
        <f t="shared" si="48"/>
        <v>&lt;/ct1332&gt;</v>
      </c>
      <c r="J472" s="262"/>
      <c r="K472" s="262"/>
      <c r="L472" s="262"/>
      <c r="M472" s="263"/>
      <c r="N472" s="265"/>
      <c r="O472" s="265">
        <v>1332</v>
      </c>
    </row>
    <row r="473" spans="1:15" x14ac:dyDescent="0.45">
      <c r="A473" s="253" t="str">
        <f t="shared" si="43"/>
        <v>&lt;ct136&gt;0&lt;/ct136&gt;</v>
      </c>
      <c r="B473" s="450" t="s">
        <v>1471</v>
      </c>
      <c r="C473" s="244">
        <f t="shared" si="44"/>
        <v>2</v>
      </c>
      <c r="D473" s="244">
        <f t="shared" si="45"/>
        <v>7</v>
      </c>
      <c r="E473" s="244">
        <f t="shared" si="46"/>
        <v>9</v>
      </c>
      <c r="G473" s="259" t="str">
        <f t="shared" si="47"/>
        <v>&lt;ct136&gt;</v>
      </c>
      <c r="H473" s="260">
        <f>VLOOKUP(O473,BCDTK!$E$9:$L$132,4,0)</f>
        <v>0</v>
      </c>
      <c r="I473" s="261" t="str">
        <f t="shared" si="48"/>
        <v>&lt;/ct136&gt;</v>
      </c>
      <c r="J473" s="262"/>
      <c r="K473" s="262"/>
      <c r="L473" s="262"/>
      <c r="M473" s="263"/>
      <c r="N473" s="265"/>
      <c r="O473" s="265">
        <v>136</v>
      </c>
    </row>
    <row r="474" spans="1:15" x14ac:dyDescent="0.45">
      <c r="A474" s="253" t="str">
        <f t="shared" si="43"/>
        <v>&lt;ct1361&gt;0&lt;/ct1361&gt;</v>
      </c>
      <c r="B474" s="450" t="s">
        <v>1598</v>
      </c>
      <c r="C474" s="244">
        <f t="shared" si="44"/>
        <v>2</v>
      </c>
      <c r="D474" s="244">
        <f t="shared" si="45"/>
        <v>8</v>
      </c>
      <c r="E474" s="244">
        <f t="shared" si="46"/>
        <v>10</v>
      </c>
      <c r="G474" s="259" t="str">
        <f t="shared" si="47"/>
        <v>&lt;ct1361&gt;</v>
      </c>
      <c r="H474" s="260">
        <f>VLOOKUP(O474,BCDTK!$E$9:$L$132,4,0)</f>
        <v>0</v>
      </c>
      <c r="I474" s="261" t="str">
        <f t="shared" si="48"/>
        <v>&lt;/ct1361&gt;</v>
      </c>
      <c r="J474" s="262"/>
      <c r="K474" s="262"/>
      <c r="L474" s="262"/>
      <c r="M474" s="263"/>
      <c r="N474" s="265"/>
      <c r="O474" s="265">
        <v>1361</v>
      </c>
    </row>
    <row r="475" spans="1:15" x14ac:dyDescent="0.45">
      <c r="A475" s="253" t="str">
        <f t="shared" si="43"/>
        <v>&lt;ct1368&gt;0&lt;/ct1368&gt;</v>
      </c>
      <c r="B475" s="450" t="s">
        <v>1599</v>
      </c>
      <c r="C475" s="244">
        <f t="shared" si="44"/>
        <v>2</v>
      </c>
      <c r="D475" s="244">
        <f t="shared" si="45"/>
        <v>8</v>
      </c>
      <c r="E475" s="244">
        <f t="shared" si="46"/>
        <v>10</v>
      </c>
      <c r="G475" s="259" t="str">
        <f t="shared" si="47"/>
        <v>&lt;ct1368&gt;</v>
      </c>
      <c r="H475" s="260">
        <f>VLOOKUP(O475,BCDTK!$E$9:$L$132,4,0)</f>
        <v>0</v>
      </c>
      <c r="I475" s="261" t="str">
        <f t="shared" si="48"/>
        <v>&lt;/ct1368&gt;</v>
      </c>
      <c r="J475" s="262"/>
      <c r="K475" s="262"/>
      <c r="L475" s="262"/>
      <c r="M475" s="263"/>
      <c r="N475" s="265"/>
      <c r="O475" s="265">
        <v>1368</v>
      </c>
    </row>
    <row r="476" spans="1:15" x14ac:dyDescent="0.45">
      <c r="A476" s="253" t="str">
        <f t="shared" si="43"/>
        <v>&lt;ct138&gt;0&lt;/ct138&gt;</v>
      </c>
      <c r="B476" s="450" t="s">
        <v>1600</v>
      </c>
      <c r="C476" s="244">
        <f t="shared" si="44"/>
        <v>2</v>
      </c>
      <c r="D476" s="244">
        <f t="shared" si="45"/>
        <v>7</v>
      </c>
      <c r="E476" s="244">
        <f t="shared" si="46"/>
        <v>9</v>
      </c>
      <c r="G476" s="259" t="str">
        <f t="shared" si="47"/>
        <v>&lt;ct138&gt;</v>
      </c>
      <c r="H476" s="260">
        <f>VLOOKUP(O476,BCDTK!$E$9:$L$132,4,0)</f>
        <v>0</v>
      </c>
      <c r="I476" s="261" t="str">
        <f t="shared" si="48"/>
        <v>&lt;/ct138&gt;</v>
      </c>
      <c r="J476" s="262"/>
      <c r="K476" s="262"/>
      <c r="L476" s="262"/>
      <c r="M476" s="263"/>
      <c r="N476" s="265"/>
      <c r="O476" s="265">
        <v>138</v>
      </c>
    </row>
    <row r="477" spans="1:15" x14ac:dyDescent="0.45">
      <c r="A477" s="253" t="str">
        <f t="shared" si="43"/>
        <v>&lt;ct1381&gt;0&lt;/ct1381&gt;</v>
      </c>
      <c r="B477" s="450" t="s">
        <v>1601</v>
      </c>
      <c r="C477" s="244">
        <f t="shared" si="44"/>
        <v>2</v>
      </c>
      <c r="D477" s="244">
        <f t="shared" si="45"/>
        <v>8</v>
      </c>
      <c r="E477" s="244">
        <f t="shared" si="46"/>
        <v>10</v>
      </c>
      <c r="G477" s="259" t="str">
        <f t="shared" si="47"/>
        <v>&lt;ct1381&gt;</v>
      </c>
      <c r="H477" s="260">
        <f>VLOOKUP(O477,BCDTK!$E$9:$L$132,4,0)</f>
        <v>0</v>
      </c>
      <c r="I477" s="261" t="str">
        <f t="shared" si="48"/>
        <v>&lt;/ct1381&gt;</v>
      </c>
      <c r="J477" s="262"/>
      <c r="K477" s="262"/>
      <c r="L477" s="262"/>
      <c r="M477" s="263"/>
      <c r="N477" s="265"/>
      <c r="O477" s="265">
        <v>1381</v>
      </c>
    </row>
    <row r="478" spans="1:15" x14ac:dyDescent="0.45">
      <c r="A478" s="253" t="str">
        <f t="shared" si="43"/>
        <v>&lt;ct1386&gt;0&lt;/ct1386&gt;</v>
      </c>
      <c r="B478" s="450" t="s">
        <v>1602</v>
      </c>
      <c r="C478" s="244">
        <f t="shared" si="44"/>
        <v>2</v>
      </c>
      <c r="D478" s="244">
        <f t="shared" si="45"/>
        <v>8</v>
      </c>
      <c r="E478" s="244">
        <f t="shared" si="46"/>
        <v>10</v>
      </c>
      <c r="G478" s="259" t="str">
        <f t="shared" si="47"/>
        <v>&lt;ct1386&gt;</v>
      </c>
      <c r="H478" s="260">
        <f>VLOOKUP(O478,BCDTK!$E$9:$L$132,4,0)</f>
        <v>0</v>
      </c>
      <c r="I478" s="261" t="str">
        <f t="shared" si="48"/>
        <v>&lt;/ct1386&gt;</v>
      </c>
      <c r="J478" s="262"/>
      <c r="K478" s="262"/>
      <c r="L478" s="262"/>
      <c r="M478" s="263"/>
      <c r="N478" s="265"/>
      <c r="O478" s="265">
        <v>1386</v>
      </c>
    </row>
    <row r="479" spans="1:15" x14ac:dyDescent="0.45">
      <c r="A479" s="253" t="str">
        <f t="shared" si="43"/>
        <v>&lt;ct1388&gt;0&lt;/ct1388&gt;</v>
      </c>
      <c r="B479" s="450" t="s">
        <v>1603</v>
      </c>
      <c r="C479" s="244">
        <f t="shared" si="44"/>
        <v>2</v>
      </c>
      <c r="D479" s="244">
        <f t="shared" si="45"/>
        <v>8</v>
      </c>
      <c r="E479" s="244">
        <f t="shared" si="46"/>
        <v>10</v>
      </c>
      <c r="G479" s="259" t="str">
        <f t="shared" si="47"/>
        <v>&lt;ct1388&gt;</v>
      </c>
      <c r="H479" s="260">
        <f>VLOOKUP(O479,BCDTK!$E$9:$L$132,4,0)</f>
        <v>0</v>
      </c>
      <c r="I479" s="261" t="str">
        <f t="shared" si="48"/>
        <v>&lt;/ct1388&gt;</v>
      </c>
      <c r="J479" s="262"/>
      <c r="K479" s="262"/>
      <c r="L479" s="262"/>
      <c r="M479" s="263"/>
      <c r="N479" s="265"/>
      <c r="O479" s="265">
        <v>1388</v>
      </c>
    </row>
    <row r="480" spans="1:15" x14ac:dyDescent="0.45">
      <c r="A480" s="253" t="str">
        <f t="shared" si="43"/>
        <v>&lt;ct141&gt;0&lt;/ct141&gt;</v>
      </c>
      <c r="B480" s="450" t="s">
        <v>1513</v>
      </c>
      <c r="C480" s="244">
        <f t="shared" si="44"/>
        <v>2</v>
      </c>
      <c r="D480" s="244">
        <f t="shared" si="45"/>
        <v>7</v>
      </c>
      <c r="E480" s="244">
        <f t="shared" si="46"/>
        <v>9</v>
      </c>
      <c r="G480" s="259" t="str">
        <f t="shared" si="47"/>
        <v>&lt;ct141&gt;</v>
      </c>
      <c r="H480" s="260">
        <f>VLOOKUP(O480,BCDTK!$E$9:$L$132,4,0)</f>
        <v>0</v>
      </c>
      <c r="I480" s="261" t="str">
        <f t="shared" si="48"/>
        <v>&lt;/ct141&gt;</v>
      </c>
      <c r="J480" s="262"/>
      <c r="K480" s="262"/>
      <c r="L480" s="262"/>
      <c r="M480" s="263"/>
      <c r="N480" s="265"/>
      <c r="O480" s="265">
        <v>141</v>
      </c>
    </row>
    <row r="481" spans="1:15" x14ac:dyDescent="0.45">
      <c r="A481" s="253" t="str">
        <f t="shared" si="43"/>
        <v>&lt;ct151&gt;0&lt;/ct151&gt;</v>
      </c>
      <c r="B481" s="450" t="s">
        <v>1476</v>
      </c>
      <c r="C481" s="244">
        <f t="shared" si="44"/>
        <v>2</v>
      </c>
      <c r="D481" s="244">
        <f t="shared" si="45"/>
        <v>7</v>
      </c>
      <c r="E481" s="244">
        <f t="shared" si="46"/>
        <v>9</v>
      </c>
      <c r="G481" s="259" t="str">
        <f t="shared" si="47"/>
        <v>&lt;ct151&gt;</v>
      </c>
      <c r="H481" s="260">
        <f>VLOOKUP(O481,BCDTK!$E$9:$L$132,4,0)</f>
        <v>0</v>
      </c>
      <c r="I481" s="261" t="str">
        <f t="shared" si="48"/>
        <v>&lt;/ct151&gt;</v>
      </c>
      <c r="J481" s="262"/>
      <c r="K481" s="262"/>
      <c r="L481" s="262"/>
      <c r="M481" s="263"/>
      <c r="N481" s="265"/>
      <c r="O481" s="265">
        <v>151</v>
      </c>
    </row>
    <row r="482" spans="1:15" x14ac:dyDescent="0.45">
      <c r="A482" s="253" t="str">
        <f t="shared" si="43"/>
        <v>&lt;ct152&gt;0&lt;/ct152&gt;</v>
      </c>
      <c r="B482" s="450" t="s">
        <v>1477</v>
      </c>
      <c r="C482" s="244">
        <f t="shared" si="44"/>
        <v>2</v>
      </c>
      <c r="D482" s="244">
        <f t="shared" si="45"/>
        <v>7</v>
      </c>
      <c r="E482" s="244">
        <f t="shared" si="46"/>
        <v>9</v>
      </c>
      <c r="G482" s="259" t="str">
        <f t="shared" si="47"/>
        <v>&lt;ct152&gt;</v>
      </c>
      <c r="H482" s="260">
        <f>VLOOKUP(O482,BCDTK!$E$9:$L$132,4,0)</f>
        <v>0</v>
      </c>
      <c r="I482" s="261" t="str">
        <f t="shared" si="48"/>
        <v>&lt;/ct152&gt;</v>
      </c>
      <c r="J482" s="262"/>
      <c r="K482" s="262"/>
      <c r="L482" s="262"/>
      <c r="M482" s="263"/>
      <c r="N482" s="265"/>
      <c r="O482" s="265">
        <v>152</v>
      </c>
    </row>
    <row r="483" spans="1:15" x14ac:dyDescent="0.45">
      <c r="A483" s="253" t="str">
        <f t="shared" si="43"/>
        <v>&lt;ct153&gt;0&lt;/ct153&gt;</v>
      </c>
      <c r="B483" s="450" t="s">
        <v>1604</v>
      </c>
      <c r="C483" s="244">
        <f t="shared" si="44"/>
        <v>2</v>
      </c>
      <c r="D483" s="244">
        <f t="shared" si="45"/>
        <v>7</v>
      </c>
      <c r="E483" s="244">
        <f t="shared" si="46"/>
        <v>9</v>
      </c>
      <c r="G483" s="259" t="str">
        <f t="shared" si="47"/>
        <v>&lt;ct153&gt;</v>
      </c>
      <c r="H483" s="260">
        <f>VLOOKUP(O483,BCDTK!$E$9:$L$132,4,0)</f>
        <v>0</v>
      </c>
      <c r="I483" s="261" t="str">
        <f t="shared" si="48"/>
        <v>&lt;/ct153&gt;</v>
      </c>
      <c r="J483" s="262"/>
      <c r="K483" s="262"/>
      <c r="L483" s="262"/>
      <c r="M483" s="263"/>
      <c r="N483" s="265"/>
      <c r="O483" s="265">
        <v>153</v>
      </c>
    </row>
    <row r="484" spans="1:15" x14ac:dyDescent="0.45">
      <c r="A484" s="253" t="str">
        <f t="shared" si="43"/>
        <v>&lt;ct154&gt;0&lt;/ct154&gt;</v>
      </c>
      <c r="B484" s="450" t="s">
        <v>1605</v>
      </c>
      <c r="C484" s="244">
        <f t="shared" si="44"/>
        <v>2</v>
      </c>
      <c r="D484" s="244">
        <f t="shared" si="45"/>
        <v>7</v>
      </c>
      <c r="E484" s="244">
        <f t="shared" si="46"/>
        <v>9</v>
      </c>
      <c r="G484" s="259" t="str">
        <f t="shared" si="47"/>
        <v>&lt;ct154&gt;</v>
      </c>
      <c r="H484" s="260">
        <f>VLOOKUP(O484,BCDTK!$E$9:$L$132,4,0)</f>
        <v>0</v>
      </c>
      <c r="I484" s="261" t="str">
        <f t="shared" si="48"/>
        <v>&lt;/ct154&gt;</v>
      </c>
      <c r="J484" s="262"/>
      <c r="K484" s="262"/>
      <c r="L484" s="262"/>
      <c r="M484" s="263"/>
      <c r="N484" s="265"/>
      <c r="O484" s="265">
        <v>154</v>
      </c>
    </row>
    <row r="485" spans="1:15" x14ac:dyDescent="0.45">
      <c r="A485" s="253" t="str">
        <f t="shared" si="43"/>
        <v>&lt;ct155&gt;0&lt;/ct155&gt;</v>
      </c>
      <c r="B485" s="450" t="s">
        <v>1606</v>
      </c>
      <c r="C485" s="244">
        <f t="shared" si="44"/>
        <v>2</v>
      </c>
      <c r="D485" s="244">
        <f t="shared" si="45"/>
        <v>7</v>
      </c>
      <c r="E485" s="244">
        <f t="shared" si="46"/>
        <v>9</v>
      </c>
      <c r="G485" s="259" t="str">
        <f t="shared" si="47"/>
        <v>&lt;ct155&gt;</v>
      </c>
      <c r="H485" s="260">
        <f>VLOOKUP(O485,BCDTK!$E$9:$L$132,4,0)</f>
        <v>0</v>
      </c>
      <c r="I485" s="261" t="str">
        <f t="shared" si="48"/>
        <v>&lt;/ct155&gt;</v>
      </c>
      <c r="J485" s="262"/>
      <c r="K485" s="262"/>
      <c r="L485" s="262"/>
      <c r="M485" s="263"/>
      <c r="N485" s="265"/>
      <c r="O485" s="265">
        <v>155</v>
      </c>
    </row>
    <row r="486" spans="1:15" x14ac:dyDescent="0.45">
      <c r="A486" s="253" t="str">
        <f t="shared" si="43"/>
        <v>&lt;ct156&gt;0&lt;/ct156&gt;</v>
      </c>
      <c r="B486" s="450" t="s">
        <v>1607</v>
      </c>
      <c r="C486" s="244">
        <f t="shared" si="44"/>
        <v>2</v>
      </c>
      <c r="D486" s="244">
        <f t="shared" si="45"/>
        <v>7</v>
      </c>
      <c r="E486" s="244">
        <f t="shared" si="46"/>
        <v>9</v>
      </c>
      <c r="G486" s="259" t="str">
        <f t="shared" si="47"/>
        <v>&lt;ct156&gt;</v>
      </c>
      <c r="H486" s="260">
        <f>VLOOKUP(O486,BCDTK!$E$9:$L$132,4,0)</f>
        <v>0</v>
      </c>
      <c r="I486" s="261" t="str">
        <f t="shared" si="48"/>
        <v>&lt;/ct156&gt;</v>
      </c>
      <c r="J486" s="262"/>
      <c r="K486" s="262"/>
      <c r="L486" s="262"/>
      <c r="M486" s="263"/>
      <c r="N486" s="265"/>
      <c r="O486" s="265">
        <v>156</v>
      </c>
    </row>
    <row r="487" spans="1:15" x14ac:dyDescent="0.45">
      <c r="A487" s="253" t="str">
        <f t="shared" si="43"/>
        <v>&lt;ct157&gt;0&lt;/ct157&gt;</v>
      </c>
      <c r="B487" s="450" t="s">
        <v>1608</v>
      </c>
      <c r="C487" s="244">
        <f t="shared" si="44"/>
        <v>2</v>
      </c>
      <c r="D487" s="244">
        <f t="shared" si="45"/>
        <v>7</v>
      </c>
      <c r="E487" s="244">
        <f t="shared" si="46"/>
        <v>9</v>
      </c>
      <c r="G487" s="259" t="str">
        <f t="shared" si="47"/>
        <v>&lt;ct157&gt;</v>
      </c>
      <c r="H487" s="260">
        <f>VLOOKUP(O487,BCDTK!$E$9:$L$132,4,0)</f>
        <v>0</v>
      </c>
      <c r="I487" s="261" t="str">
        <f t="shared" si="48"/>
        <v>&lt;/ct157&gt;</v>
      </c>
      <c r="J487" s="262"/>
      <c r="K487" s="262"/>
      <c r="L487" s="262"/>
      <c r="M487" s="263"/>
      <c r="N487" s="265"/>
      <c r="O487" s="265">
        <v>157</v>
      </c>
    </row>
    <row r="488" spans="1:15" x14ac:dyDescent="0.45">
      <c r="A488" s="253" t="str">
        <f t="shared" si="43"/>
        <v>&lt;ct211&gt;0&lt;/ct211&gt;</v>
      </c>
      <c r="B488" s="450" t="s">
        <v>1609</v>
      </c>
      <c r="C488" s="244">
        <f t="shared" si="44"/>
        <v>2</v>
      </c>
      <c r="D488" s="244">
        <f t="shared" si="45"/>
        <v>7</v>
      </c>
      <c r="E488" s="244">
        <f t="shared" si="46"/>
        <v>9</v>
      </c>
      <c r="G488" s="259" t="str">
        <f t="shared" si="47"/>
        <v>&lt;ct211&gt;</v>
      </c>
      <c r="H488" s="260">
        <f>VLOOKUP(O488,BCDTK!$E$9:$L$132,4,0)</f>
        <v>0</v>
      </c>
      <c r="I488" s="261" t="str">
        <f t="shared" si="48"/>
        <v>&lt;/ct211&gt;</v>
      </c>
      <c r="J488" s="262"/>
      <c r="K488" s="262"/>
      <c r="L488" s="262"/>
      <c r="M488" s="263"/>
      <c r="N488" s="265"/>
      <c r="O488" s="265">
        <v>211</v>
      </c>
    </row>
    <row r="489" spans="1:15" x14ac:dyDescent="0.45">
      <c r="A489" s="253" t="str">
        <f t="shared" si="43"/>
        <v>&lt;ct2111&gt;0&lt;/ct2111&gt;</v>
      </c>
      <c r="B489" s="450" t="s">
        <v>1610</v>
      </c>
      <c r="C489" s="244">
        <f t="shared" si="44"/>
        <v>2</v>
      </c>
      <c r="D489" s="244">
        <f t="shared" si="45"/>
        <v>8</v>
      </c>
      <c r="E489" s="244">
        <f t="shared" si="46"/>
        <v>10</v>
      </c>
      <c r="G489" s="259" t="str">
        <f t="shared" si="47"/>
        <v>&lt;ct2111&gt;</v>
      </c>
      <c r="H489" s="260">
        <f>VLOOKUP(O489,BCDTK!$E$9:$L$132,4,0)</f>
        <v>0</v>
      </c>
      <c r="I489" s="261" t="str">
        <f t="shared" si="48"/>
        <v>&lt;/ct2111&gt;</v>
      </c>
      <c r="J489" s="262"/>
      <c r="K489" s="262"/>
      <c r="L489" s="262"/>
      <c r="M489" s="263"/>
      <c r="N489" s="265"/>
      <c r="O489" s="265">
        <v>2111</v>
      </c>
    </row>
    <row r="490" spans="1:15" x14ac:dyDescent="0.45">
      <c r="A490" s="253" t="str">
        <f t="shared" si="43"/>
        <v>&lt;ct2112&gt;0&lt;/ct2112&gt;</v>
      </c>
      <c r="B490" s="450" t="s">
        <v>1611</v>
      </c>
      <c r="C490" s="244">
        <f t="shared" si="44"/>
        <v>2</v>
      </c>
      <c r="D490" s="244">
        <f t="shared" si="45"/>
        <v>8</v>
      </c>
      <c r="E490" s="244">
        <f t="shared" si="46"/>
        <v>10</v>
      </c>
      <c r="G490" s="259" t="str">
        <f t="shared" si="47"/>
        <v>&lt;ct2112&gt;</v>
      </c>
      <c r="H490" s="260">
        <f>VLOOKUP(O490,BCDTK!$E$9:$L$132,4,0)</f>
        <v>0</v>
      </c>
      <c r="I490" s="261" t="str">
        <f t="shared" si="48"/>
        <v>&lt;/ct2112&gt;</v>
      </c>
      <c r="J490" s="262"/>
      <c r="K490" s="262"/>
      <c r="L490" s="262"/>
      <c r="M490" s="263"/>
      <c r="N490" s="265"/>
      <c r="O490" s="265">
        <v>2112</v>
      </c>
    </row>
    <row r="491" spans="1:15" x14ac:dyDescent="0.45">
      <c r="A491" s="253" t="str">
        <f t="shared" si="43"/>
        <v>&lt;ct2113&gt;0&lt;/ct2113&gt;</v>
      </c>
      <c r="B491" s="450" t="s">
        <v>1612</v>
      </c>
      <c r="C491" s="244">
        <f t="shared" si="44"/>
        <v>2</v>
      </c>
      <c r="D491" s="244">
        <f t="shared" si="45"/>
        <v>8</v>
      </c>
      <c r="E491" s="244">
        <f t="shared" si="46"/>
        <v>10</v>
      </c>
      <c r="G491" s="259" t="str">
        <f t="shared" si="47"/>
        <v>&lt;ct2113&gt;</v>
      </c>
      <c r="H491" s="260">
        <f>VLOOKUP(O491,BCDTK!$E$9:$L$132,4,0)</f>
        <v>0</v>
      </c>
      <c r="I491" s="261" t="str">
        <f t="shared" si="48"/>
        <v>&lt;/ct2113&gt;</v>
      </c>
      <c r="J491" s="262"/>
      <c r="K491" s="262"/>
      <c r="L491" s="262"/>
      <c r="M491" s="263"/>
      <c r="N491" s="265"/>
      <c r="O491" s="265">
        <v>2113</v>
      </c>
    </row>
    <row r="492" spans="1:15" x14ac:dyDescent="0.45">
      <c r="A492" s="253" t="str">
        <f t="shared" si="43"/>
        <v>&lt;ct214&gt;0&lt;/ct214&gt;</v>
      </c>
      <c r="B492" s="450" t="s">
        <v>1613</v>
      </c>
      <c r="C492" s="244">
        <f t="shared" si="44"/>
        <v>2</v>
      </c>
      <c r="D492" s="244">
        <f t="shared" si="45"/>
        <v>7</v>
      </c>
      <c r="E492" s="244">
        <f t="shared" si="46"/>
        <v>9</v>
      </c>
      <c r="G492" s="259" t="str">
        <f t="shared" si="47"/>
        <v>&lt;ct214&gt;</v>
      </c>
      <c r="H492" s="260">
        <f>VLOOKUP(O492,BCDTK!$E$9:$L$132,4,0)</f>
        <v>0</v>
      </c>
      <c r="I492" s="261" t="str">
        <f t="shared" si="48"/>
        <v>&lt;/ct214&gt;</v>
      </c>
      <c r="J492" s="262"/>
      <c r="K492" s="262"/>
      <c r="L492" s="262"/>
      <c r="M492" s="263"/>
      <c r="N492" s="265"/>
      <c r="O492" s="265">
        <v>214</v>
      </c>
    </row>
    <row r="493" spans="1:15" x14ac:dyDescent="0.45">
      <c r="A493" s="253" t="str">
        <f t="shared" si="43"/>
        <v>&lt;ct2141&gt;0&lt;/ct2141&gt;</v>
      </c>
      <c r="B493" s="450" t="s">
        <v>1614</v>
      </c>
      <c r="C493" s="244">
        <f t="shared" si="44"/>
        <v>2</v>
      </c>
      <c r="D493" s="244">
        <f t="shared" si="45"/>
        <v>8</v>
      </c>
      <c r="E493" s="244">
        <f t="shared" si="46"/>
        <v>10</v>
      </c>
      <c r="G493" s="259" t="str">
        <f t="shared" si="47"/>
        <v>&lt;ct2141&gt;</v>
      </c>
      <c r="H493" s="260">
        <f>VLOOKUP(O493,BCDTK!$E$9:$L$132,4,0)</f>
        <v>0</v>
      </c>
      <c r="I493" s="261" t="str">
        <f t="shared" si="48"/>
        <v>&lt;/ct2141&gt;</v>
      </c>
      <c r="J493" s="262"/>
      <c r="K493" s="262"/>
      <c r="L493" s="262"/>
      <c r="M493" s="263"/>
      <c r="N493" s="265"/>
      <c r="O493" s="265">
        <v>2141</v>
      </c>
    </row>
    <row r="494" spans="1:15" x14ac:dyDescent="0.45">
      <c r="A494" s="253" t="str">
        <f t="shared" si="43"/>
        <v>&lt;ct2142&gt;0&lt;/ct2142&gt;</v>
      </c>
      <c r="B494" s="450" t="s">
        <v>1615</v>
      </c>
      <c r="C494" s="244">
        <f t="shared" si="44"/>
        <v>2</v>
      </c>
      <c r="D494" s="244">
        <f t="shared" si="45"/>
        <v>8</v>
      </c>
      <c r="E494" s="244">
        <f t="shared" si="46"/>
        <v>10</v>
      </c>
      <c r="G494" s="259" t="str">
        <f t="shared" si="47"/>
        <v>&lt;ct2142&gt;</v>
      </c>
      <c r="H494" s="260">
        <f>VLOOKUP(O494,BCDTK!$E$9:$L$132,4,0)</f>
        <v>0</v>
      </c>
      <c r="I494" s="261" t="str">
        <f t="shared" si="48"/>
        <v>&lt;/ct2142&gt;</v>
      </c>
      <c r="J494" s="262"/>
      <c r="K494" s="262"/>
      <c r="L494" s="262"/>
      <c r="M494" s="263"/>
      <c r="N494" s="265"/>
      <c r="O494" s="265">
        <v>2142</v>
      </c>
    </row>
    <row r="495" spans="1:15" x14ac:dyDescent="0.45">
      <c r="A495" s="253" t="str">
        <f t="shared" si="43"/>
        <v>&lt;ct2143&gt;0&lt;/ct2143&gt;</v>
      </c>
      <c r="B495" s="450" t="s">
        <v>1616</v>
      </c>
      <c r="C495" s="244">
        <f t="shared" si="44"/>
        <v>2</v>
      </c>
      <c r="D495" s="244">
        <f t="shared" si="45"/>
        <v>8</v>
      </c>
      <c r="E495" s="244">
        <f t="shared" si="46"/>
        <v>10</v>
      </c>
      <c r="G495" s="259" t="str">
        <f t="shared" si="47"/>
        <v>&lt;ct2143&gt;</v>
      </c>
      <c r="H495" s="260">
        <f>VLOOKUP(O495,BCDTK!$E$9:$L$132,4,0)</f>
        <v>0</v>
      </c>
      <c r="I495" s="261" t="str">
        <f t="shared" si="48"/>
        <v>&lt;/ct2143&gt;</v>
      </c>
      <c r="J495" s="262"/>
      <c r="K495" s="262"/>
      <c r="L495" s="262"/>
      <c r="M495" s="263"/>
      <c r="N495" s="265"/>
      <c r="O495" s="265">
        <v>2143</v>
      </c>
    </row>
    <row r="496" spans="1:15" x14ac:dyDescent="0.45">
      <c r="A496" s="253" t="str">
        <f t="shared" si="43"/>
        <v>&lt;ct2147&gt;0&lt;/ct2147&gt;</v>
      </c>
      <c r="B496" s="450" t="s">
        <v>1617</v>
      </c>
      <c r="C496" s="244">
        <f t="shared" si="44"/>
        <v>2</v>
      </c>
      <c r="D496" s="244">
        <f t="shared" si="45"/>
        <v>8</v>
      </c>
      <c r="E496" s="244">
        <f t="shared" si="46"/>
        <v>10</v>
      </c>
      <c r="G496" s="259" t="str">
        <f t="shared" si="47"/>
        <v>&lt;ct2147&gt;</v>
      </c>
      <c r="H496" s="260">
        <f>VLOOKUP(O496,BCDTK!$E$9:$L$132,4,0)</f>
        <v>0</v>
      </c>
      <c r="I496" s="261" t="str">
        <f t="shared" si="48"/>
        <v>&lt;/ct2147&gt;</v>
      </c>
      <c r="J496" s="262"/>
      <c r="K496" s="262"/>
      <c r="L496" s="262"/>
      <c r="M496" s="263"/>
      <c r="N496" s="265"/>
      <c r="O496" s="265">
        <v>2147</v>
      </c>
    </row>
    <row r="497" spans="1:15" x14ac:dyDescent="0.45">
      <c r="A497" s="253" t="str">
        <f t="shared" si="43"/>
        <v>&lt;ct217&gt;0&lt;/ct217&gt;</v>
      </c>
      <c r="B497" s="450" t="s">
        <v>1618</v>
      </c>
      <c r="C497" s="244">
        <f t="shared" si="44"/>
        <v>2</v>
      </c>
      <c r="D497" s="244">
        <f t="shared" si="45"/>
        <v>7</v>
      </c>
      <c r="E497" s="244">
        <f t="shared" si="46"/>
        <v>9</v>
      </c>
      <c r="G497" s="259" t="str">
        <f t="shared" si="47"/>
        <v>&lt;ct217&gt;</v>
      </c>
      <c r="H497" s="260">
        <f>VLOOKUP(O497,BCDTK!$E$9:$L$132,4,0)</f>
        <v>0</v>
      </c>
      <c r="I497" s="261" t="str">
        <f t="shared" si="48"/>
        <v>&lt;/ct217&gt;</v>
      </c>
      <c r="J497" s="262"/>
      <c r="K497" s="262"/>
      <c r="L497" s="262"/>
      <c r="M497" s="263"/>
      <c r="N497" s="265"/>
      <c r="O497" s="265">
        <v>217</v>
      </c>
    </row>
    <row r="498" spans="1:15" x14ac:dyDescent="0.45">
      <c r="A498" s="253" t="str">
        <f t="shared" si="43"/>
        <v>&lt;ct228&gt;0&lt;/ct228&gt;</v>
      </c>
      <c r="B498" s="450" t="s">
        <v>1619</v>
      </c>
      <c r="C498" s="244">
        <f t="shared" si="44"/>
        <v>2</v>
      </c>
      <c r="D498" s="244">
        <f t="shared" si="45"/>
        <v>7</v>
      </c>
      <c r="E498" s="244">
        <f t="shared" si="46"/>
        <v>9</v>
      </c>
      <c r="G498" s="259" t="str">
        <f t="shared" si="47"/>
        <v>&lt;ct228&gt;</v>
      </c>
      <c r="H498" s="260">
        <f>VLOOKUP(O498,BCDTK!$E$9:$L$132,4,0)</f>
        <v>0</v>
      </c>
      <c r="I498" s="261" t="str">
        <f t="shared" si="48"/>
        <v>&lt;/ct228&gt;</v>
      </c>
      <c r="J498" s="262"/>
      <c r="K498" s="262"/>
      <c r="L498" s="262"/>
      <c r="M498" s="263"/>
      <c r="N498" s="265"/>
      <c r="O498" s="265">
        <v>228</v>
      </c>
    </row>
    <row r="499" spans="1:15" x14ac:dyDescent="0.45">
      <c r="A499" s="253" t="str">
        <f t="shared" si="43"/>
        <v>&lt;ct2281&gt;0&lt;/ct2281&gt;</v>
      </c>
      <c r="B499" s="450" t="s">
        <v>1620</v>
      </c>
      <c r="C499" s="244">
        <f t="shared" si="44"/>
        <v>2</v>
      </c>
      <c r="D499" s="244">
        <f t="shared" si="45"/>
        <v>8</v>
      </c>
      <c r="E499" s="244">
        <f t="shared" si="46"/>
        <v>10</v>
      </c>
      <c r="G499" s="259" t="str">
        <f t="shared" si="47"/>
        <v>&lt;ct2281&gt;</v>
      </c>
      <c r="H499" s="260">
        <f>VLOOKUP(O499,BCDTK!$E$9:$L$132,4,0)</f>
        <v>0</v>
      </c>
      <c r="I499" s="261" t="str">
        <f t="shared" si="48"/>
        <v>&lt;/ct2281&gt;</v>
      </c>
      <c r="J499" s="262"/>
      <c r="K499" s="262"/>
      <c r="L499" s="262"/>
      <c r="M499" s="263"/>
      <c r="N499" s="265"/>
      <c r="O499" s="265">
        <v>2281</v>
      </c>
    </row>
    <row r="500" spans="1:15" x14ac:dyDescent="0.45">
      <c r="A500" s="253" t="str">
        <f t="shared" si="43"/>
        <v>&lt;ct2288&gt;0&lt;/ct2288&gt;</v>
      </c>
      <c r="B500" s="450" t="s">
        <v>1621</v>
      </c>
      <c r="C500" s="244">
        <f t="shared" si="44"/>
        <v>2</v>
      </c>
      <c r="D500" s="244">
        <f t="shared" si="45"/>
        <v>8</v>
      </c>
      <c r="E500" s="244">
        <f t="shared" si="46"/>
        <v>10</v>
      </c>
      <c r="G500" s="259" t="str">
        <f t="shared" si="47"/>
        <v>&lt;ct2288&gt;</v>
      </c>
      <c r="H500" s="260">
        <f>VLOOKUP(O500,BCDTK!$E$9:$L$132,4,0)</f>
        <v>0</v>
      </c>
      <c r="I500" s="261" t="str">
        <f t="shared" si="48"/>
        <v>&lt;/ct2288&gt;</v>
      </c>
      <c r="J500" s="262"/>
      <c r="K500" s="262"/>
      <c r="L500" s="262"/>
      <c r="M500" s="263"/>
      <c r="N500" s="265"/>
      <c r="O500" s="265">
        <v>2288</v>
      </c>
    </row>
    <row r="501" spans="1:15" x14ac:dyDescent="0.45">
      <c r="A501" s="253" t="str">
        <f t="shared" si="43"/>
        <v>&lt;ct229&gt;0&lt;/ct229&gt;</v>
      </c>
      <c r="B501" s="450" t="s">
        <v>1622</v>
      </c>
      <c r="C501" s="244">
        <f t="shared" si="44"/>
        <v>2</v>
      </c>
      <c r="D501" s="244">
        <f t="shared" si="45"/>
        <v>7</v>
      </c>
      <c r="E501" s="244">
        <f t="shared" si="46"/>
        <v>9</v>
      </c>
      <c r="G501" s="259" t="str">
        <f t="shared" si="47"/>
        <v>&lt;ct229&gt;</v>
      </c>
      <c r="H501" s="260">
        <f>VLOOKUP(O501,BCDTK!$E$9:$L$132,4,0)</f>
        <v>0</v>
      </c>
      <c r="I501" s="261" t="str">
        <f t="shared" si="48"/>
        <v>&lt;/ct229&gt;</v>
      </c>
      <c r="J501" s="262"/>
      <c r="K501" s="262"/>
      <c r="L501" s="262"/>
      <c r="M501" s="263"/>
      <c r="N501" s="265"/>
      <c r="O501" s="265">
        <v>229</v>
      </c>
    </row>
    <row r="502" spans="1:15" x14ac:dyDescent="0.45">
      <c r="A502" s="253" t="str">
        <f t="shared" si="43"/>
        <v>&lt;ct2291&gt;0&lt;/ct2291&gt;</v>
      </c>
      <c r="B502" s="450" t="s">
        <v>1623</v>
      </c>
      <c r="C502" s="244">
        <f t="shared" si="44"/>
        <v>2</v>
      </c>
      <c r="D502" s="244">
        <f t="shared" si="45"/>
        <v>8</v>
      </c>
      <c r="E502" s="244">
        <f t="shared" si="46"/>
        <v>10</v>
      </c>
      <c r="G502" s="259" t="str">
        <f t="shared" si="47"/>
        <v>&lt;ct2291&gt;</v>
      </c>
      <c r="H502" s="260">
        <f>VLOOKUP(O502,BCDTK!$E$9:$L$132,4,0)</f>
        <v>0</v>
      </c>
      <c r="I502" s="261" t="str">
        <f t="shared" si="48"/>
        <v>&lt;/ct2291&gt;</v>
      </c>
      <c r="J502" s="262"/>
      <c r="K502" s="262"/>
      <c r="L502" s="262"/>
      <c r="M502" s="263"/>
      <c r="N502" s="265"/>
      <c r="O502" s="265">
        <v>2291</v>
      </c>
    </row>
    <row r="503" spans="1:15" x14ac:dyDescent="0.45">
      <c r="A503" s="253" t="str">
        <f t="shared" si="43"/>
        <v>&lt;ct2292&gt;0&lt;/ct2292&gt;</v>
      </c>
      <c r="B503" s="450" t="s">
        <v>1624</v>
      </c>
      <c r="C503" s="244">
        <f t="shared" si="44"/>
        <v>2</v>
      </c>
      <c r="D503" s="244">
        <f t="shared" si="45"/>
        <v>8</v>
      </c>
      <c r="E503" s="244">
        <f t="shared" si="46"/>
        <v>10</v>
      </c>
      <c r="G503" s="259" t="str">
        <f t="shared" si="47"/>
        <v>&lt;ct2292&gt;</v>
      </c>
      <c r="H503" s="260">
        <f>VLOOKUP(O503,BCDTK!$E$9:$L$132,4,0)</f>
        <v>0</v>
      </c>
      <c r="I503" s="261" t="str">
        <f t="shared" si="48"/>
        <v>&lt;/ct2292&gt;</v>
      </c>
      <c r="J503" s="262"/>
      <c r="K503" s="262"/>
      <c r="L503" s="262"/>
      <c r="M503" s="263"/>
      <c r="N503" s="265"/>
      <c r="O503" s="265">
        <v>2292</v>
      </c>
    </row>
    <row r="504" spans="1:15" x14ac:dyDescent="0.45">
      <c r="A504" s="253" t="str">
        <f t="shared" si="43"/>
        <v>&lt;ct2293&gt;0&lt;/ct2293&gt;</v>
      </c>
      <c r="B504" s="450" t="s">
        <v>1625</v>
      </c>
      <c r="C504" s="244">
        <f t="shared" si="44"/>
        <v>2</v>
      </c>
      <c r="D504" s="244">
        <f t="shared" si="45"/>
        <v>8</v>
      </c>
      <c r="E504" s="244">
        <f t="shared" si="46"/>
        <v>10</v>
      </c>
      <c r="G504" s="259" t="str">
        <f t="shared" si="47"/>
        <v>&lt;ct2293&gt;</v>
      </c>
      <c r="H504" s="260">
        <f>VLOOKUP(O504,BCDTK!$E$9:$L$132,4,0)</f>
        <v>0</v>
      </c>
      <c r="I504" s="261" t="str">
        <f t="shared" si="48"/>
        <v>&lt;/ct2293&gt;</v>
      </c>
      <c r="J504" s="262"/>
      <c r="K504" s="262"/>
      <c r="L504" s="262"/>
      <c r="M504" s="263"/>
      <c r="N504" s="265"/>
      <c r="O504" s="265">
        <v>2293</v>
      </c>
    </row>
    <row r="505" spans="1:15" x14ac:dyDescent="0.45">
      <c r="A505" s="253" t="str">
        <f t="shared" si="43"/>
        <v>&lt;ct2294&gt;0&lt;/ct2294&gt;</v>
      </c>
      <c r="B505" s="450" t="s">
        <v>1626</v>
      </c>
      <c r="C505" s="244">
        <f t="shared" si="44"/>
        <v>2</v>
      </c>
      <c r="D505" s="244">
        <f t="shared" si="45"/>
        <v>8</v>
      </c>
      <c r="E505" s="244">
        <f t="shared" si="46"/>
        <v>10</v>
      </c>
      <c r="G505" s="259" t="str">
        <f t="shared" si="47"/>
        <v>&lt;ct2294&gt;</v>
      </c>
      <c r="H505" s="260">
        <f>VLOOKUP(O505,BCDTK!$E$9:$L$132,4,0)</f>
        <v>0</v>
      </c>
      <c r="I505" s="261" t="str">
        <f t="shared" si="48"/>
        <v>&lt;/ct2294&gt;</v>
      </c>
      <c r="J505" s="262"/>
      <c r="K505" s="262"/>
      <c r="L505" s="262"/>
      <c r="M505" s="263"/>
      <c r="N505" s="265"/>
      <c r="O505" s="265">
        <v>2294</v>
      </c>
    </row>
    <row r="506" spans="1:15" x14ac:dyDescent="0.45">
      <c r="A506" s="253" t="str">
        <f t="shared" si="43"/>
        <v>&lt;ct241&gt;0&lt;/ct241&gt;</v>
      </c>
      <c r="B506" s="450" t="s">
        <v>1627</v>
      </c>
      <c r="C506" s="244">
        <f t="shared" si="44"/>
        <v>2</v>
      </c>
      <c r="D506" s="244">
        <f t="shared" si="45"/>
        <v>7</v>
      </c>
      <c r="E506" s="244">
        <f t="shared" si="46"/>
        <v>9</v>
      </c>
      <c r="G506" s="259" t="str">
        <f t="shared" si="47"/>
        <v>&lt;ct241&gt;</v>
      </c>
      <c r="H506" s="260">
        <f>VLOOKUP(O506,BCDTK!$E$9:$L$132,4,0)</f>
        <v>0</v>
      </c>
      <c r="I506" s="261" t="str">
        <f t="shared" si="48"/>
        <v>&lt;/ct241&gt;</v>
      </c>
      <c r="J506" s="262"/>
      <c r="K506" s="262"/>
      <c r="L506" s="262"/>
      <c r="M506" s="263"/>
      <c r="N506" s="265"/>
      <c r="O506" s="265">
        <v>241</v>
      </c>
    </row>
    <row r="507" spans="1:15" x14ac:dyDescent="0.45">
      <c r="A507" s="253" t="str">
        <f t="shared" si="43"/>
        <v>&lt;ct2411&gt;0&lt;/ct2411&gt;</v>
      </c>
      <c r="B507" s="450" t="s">
        <v>1628</v>
      </c>
      <c r="C507" s="244">
        <f t="shared" si="44"/>
        <v>2</v>
      </c>
      <c r="D507" s="244">
        <f t="shared" si="45"/>
        <v>8</v>
      </c>
      <c r="E507" s="244">
        <f t="shared" si="46"/>
        <v>10</v>
      </c>
      <c r="G507" s="259" t="str">
        <f t="shared" si="47"/>
        <v>&lt;ct2411&gt;</v>
      </c>
      <c r="H507" s="260">
        <f>VLOOKUP(O507,BCDTK!$E$9:$L$132,4,0)</f>
        <v>0</v>
      </c>
      <c r="I507" s="261" t="str">
        <f t="shared" si="48"/>
        <v>&lt;/ct2411&gt;</v>
      </c>
      <c r="J507" s="262"/>
      <c r="K507" s="262"/>
      <c r="L507" s="262"/>
      <c r="M507" s="263"/>
      <c r="N507" s="265"/>
      <c r="O507" s="265">
        <v>2411</v>
      </c>
    </row>
    <row r="508" spans="1:15" x14ac:dyDescent="0.45">
      <c r="A508" s="253" t="str">
        <f t="shared" si="43"/>
        <v>&lt;ct2412&gt;0&lt;/ct2412&gt;</v>
      </c>
      <c r="B508" s="450" t="s">
        <v>1629</v>
      </c>
      <c r="C508" s="244">
        <f t="shared" si="44"/>
        <v>2</v>
      </c>
      <c r="D508" s="244">
        <f t="shared" si="45"/>
        <v>8</v>
      </c>
      <c r="E508" s="244">
        <f t="shared" si="46"/>
        <v>10</v>
      </c>
      <c r="G508" s="259" t="str">
        <f t="shared" si="47"/>
        <v>&lt;ct2412&gt;</v>
      </c>
      <c r="H508" s="260">
        <f>VLOOKUP(O508,BCDTK!$E$9:$L$132,4,0)</f>
        <v>0</v>
      </c>
      <c r="I508" s="261" t="str">
        <f t="shared" si="48"/>
        <v>&lt;/ct2412&gt;</v>
      </c>
      <c r="J508" s="262"/>
      <c r="K508" s="262"/>
      <c r="L508" s="262"/>
      <c r="M508" s="263"/>
      <c r="N508" s="265"/>
      <c r="O508" s="265">
        <v>2412</v>
      </c>
    </row>
    <row r="509" spans="1:15" x14ac:dyDescent="0.45">
      <c r="A509" s="253" t="str">
        <f t="shared" si="43"/>
        <v>&lt;ct2413&gt;0&lt;/ct2413&gt;</v>
      </c>
      <c r="B509" s="450" t="s">
        <v>1630</v>
      </c>
      <c r="C509" s="244">
        <f t="shared" si="44"/>
        <v>2</v>
      </c>
      <c r="D509" s="244">
        <f t="shared" si="45"/>
        <v>8</v>
      </c>
      <c r="E509" s="244">
        <f t="shared" si="46"/>
        <v>10</v>
      </c>
      <c r="G509" s="259" t="str">
        <f t="shared" si="47"/>
        <v>&lt;ct2413&gt;</v>
      </c>
      <c r="H509" s="260">
        <f>VLOOKUP(O509,BCDTK!$E$9:$L$132,4,0)</f>
        <v>0</v>
      </c>
      <c r="I509" s="261" t="str">
        <f t="shared" si="48"/>
        <v>&lt;/ct2413&gt;</v>
      </c>
      <c r="J509" s="262"/>
      <c r="K509" s="262"/>
      <c r="L509" s="262"/>
      <c r="M509" s="263"/>
      <c r="N509" s="265"/>
      <c r="O509" s="265">
        <v>2413</v>
      </c>
    </row>
    <row r="510" spans="1:15" x14ac:dyDescent="0.45">
      <c r="A510" s="253" t="str">
        <f t="shared" si="43"/>
        <v>&lt;ct242&gt;0&lt;/ct242&gt;</v>
      </c>
      <c r="B510" s="450" t="s">
        <v>1631</v>
      </c>
      <c r="C510" s="244">
        <f t="shared" si="44"/>
        <v>2</v>
      </c>
      <c r="D510" s="244">
        <f t="shared" si="45"/>
        <v>7</v>
      </c>
      <c r="E510" s="244">
        <f t="shared" si="46"/>
        <v>9</v>
      </c>
      <c r="G510" s="259" t="str">
        <f t="shared" si="47"/>
        <v>&lt;ct242&gt;</v>
      </c>
      <c r="H510" s="260">
        <f>VLOOKUP(O510,BCDTK!$E$9:$L$132,4,0)</f>
        <v>0</v>
      </c>
      <c r="I510" s="261" t="str">
        <f t="shared" si="48"/>
        <v>&lt;/ct242&gt;</v>
      </c>
      <c r="J510" s="262"/>
      <c r="K510" s="262"/>
      <c r="L510" s="262"/>
      <c r="M510" s="263"/>
      <c r="N510" s="265"/>
      <c r="O510" s="265">
        <v>242</v>
      </c>
    </row>
    <row r="511" spans="1:15" x14ac:dyDescent="0.45">
      <c r="A511" s="253" t="str">
        <f t="shared" si="43"/>
        <v>&lt;ct331&gt;0&lt;/ct331&gt;</v>
      </c>
      <c r="B511" s="450" t="s">
        <v>1632</v>
      </c>
      <c r="C511" s="244">
        <f t="shared" si="44"/>
        <v>2</v>
      </c>
      <c r="D511" s="244">
        <f t="shared" si="45"/>
        <v>7</v>
      </c>
      <c r="E511" s="244">
        <f t="shared" si="46"/>
        <v>9</v>
      </c>
      <c r="G511" s="259" t="str">
        <f t="shared" si="47"/>
        <v>&lt;ct331&gt;</v>
      </c>
      <c r="H511" s="260">
        <f>VLOOKUP(O511,BCDTK!$E$9:$L$132,4,0)</f>
        <v>0</v>
      </c>
      <c r="I511" s="261" t="str">
        <f t="shared" si="48"/>
        <v>&lt;/ct331&gt;</v>
      </c>
      <c r="J511" s="262"/>
      <c r="K511" s="262"/>
      <c r="L511" s="262"/>
      <c r="M511" s="263"/>
      <c r="N511" s="265"/>
      <c r="O511" s="265">
        <v>331</v>
      </c>
    </row>
    <row r="512" spans="1:15" x14ac:dyDescent="0.45">
      <c r="A512" s="253" t="str">
        <f t="shared" si="43"/>
        <v>&lt;ct333&gt;5015463&lt;/ct333&gt;</v>
      </c>
      <c r="B512" s="450" t="s">
        <v>1633</v>
      </c>
      <c r="C512" s="244">
        <f t="shared" si="44"/>
        <v>2</v>
      </c>
      <c r="D512" s="244">
        <f t="shared" si="45"/>
        <v>7</v>
      </c>
      <c r="E512" s="244">
        <f t="shared" si="46"/>
        <v>9</v>
      </c>
      <c r="G512" s="259" t="str">
        <f t="shared" si="47"/>
        <v>&lt;ct333&gt;</v>
      </c>
      <c r="H512" s="260">
        <f>VLOOKUP(O512,BCDTK!$E$9:$L$132,4,0)</f>
        <v>5015463</v>
      </c>
      <c r="I512" s="261" t="str">
        <f t="shared" si="48"/>
        <v>&lt;/ct333&gt;</v>
      </c>
      <c r="J512" s="262"/>
      <c r="K512" s="262"/>
      <c r="L512" s="262"/>
      <c r="M512" s="263"/>
      <c r="N512" s="265"/>
      <c r="O512" s="265">
        <v>333</v>
      </c>
    </row>
    <row r="513" spans="1:15" x14ac:dyDescent="0.45">
      <c r="A513" s="253" t="str">
        <f t="shared" si="43"/>
        <v>&lt;ct3331&gt;5015463&lt;/ct3331&gt;</v>
      </c>
      <c r="B513" s="450" t="s">
        <v>1634</v>
      </c>
      <c r="C513" s="244">
        <f t="shared" si="44"/>
        <v>2</v>
      </c>
      <c r="D513" s="244">
        <f t="shared" si="45"/>
        <v>8</v>
      </c>
      <c r="E513" s="244">
        <f t="shared" si="46"/>
        <v>10</v>
      </c>
      <c r="G513" s="259" t="str">
        <f t="shared" si="47"/>
        <v>&lt;ct3331&gt;</v>
      </c>
      <c r="H513" s="260">
        <f>VLOOKUP(O513,BCDTK!$E$9:$L$132,4,0)</f>
        <v>5015463</v>
      </c>
      <c r="I513" s="261" t="str">
        <f t="shared" si="48"/>
        <v>&lt;/ct3331&gt;</v>
      </c>
      <c r="J513" s="262"/>
      <c r="K513" s="262"/>
      <c r="L513" s="262"/>
      <c r="M513" s="263"/>
      <c r="N513" s="265"/>
      <c r="O513" s="265">
        <v>3331</v>
      </c>
    </row>
    <row r="514" spans="1:15" x14ac:dyDescent="0.45">
      <c r="A514" s="253" t="str">
        <f t="shared" si="43"/>
        <v>&lt;ct33311&gt;5015463&lt;/ct33311&gt;</v>
      </c>
      <c r="B514" s="450" t="s">
        <v>1635</v>
      </c>
      <c r="C514" s="244">
        <f t="shared" si="44"/>
        <v>2</v>
      </c>
      <c r="D514" s="244">
        <f t="shared" si="45"/>
        <v>9</v>
      </c>
      <c r="E514" s="244">
        <f t="shared" si="46"/>
        <v>11</v>
      </c>
      <c r="G514" s="259" t="str">
        <f t="shared" si="47"/>
        <v>&lt;ct33311&gt;</v>
      </c>
      <c r="H514" s="260">
        <f>VLOOKUP(O514,BCDTK!$E$9:$L$132,4,0)</f>
        <v>5015463</v>
      </c>
      <c r="I514" s="261" t="str">
        <f t="shared" si="48"/>
        <v>&lt;/ct33311&gt;</v>
      </c>
      <c r="J514" s="262"/>
      <c r="K514" s="262"/>
      <c r="L514" s="262"/>
      <c r="M514" s="263"/>
      <c r="N514" s="265"/>
      <c r="O514" s="265">
        <v>33311</v>
      </c>
    </row>
    <row r="515" spans="1:15" x14ac:dyDescent="0.45">
      <c r="A515" s="253" t="str">
        <f t="shared" si="43"/>
        <v>&lt;ct33312&gt;0&lt;/ct33312&gt;</v>
      </c>
      <c r="B515" s="450" t="s">
        <v>1636</v>
      </c>
      <c r="C515" s="244">
        <f t="shared" si="44"/>
        <v>2</v>
      </c>
      <c r="D515" s="244">
        <f t="shared" si="45"/>
        <v>9</v>
      </c>
      <c r="E515" s="244">
        <f t="shared" si="46"/>
        <v>11</v>
      </c>
      <c r="G515" s="259" t="str">
        <f t="shared" si="47"/>
        <v>&lt;ct33312&gt;</v>
      </c>
      <c r="H515" s="260">
        <f>VLOOKUP(O515,BCDTK!$E$9:$L$132,4,0)</f>
        <v>0</v>
      </c>
      <c r="I515" s="261" t="str">
        <f t="shared" si="48"/>
        <v>&lt;/ct33312&gt;</v>
      </c>
      <c r="J515" s="262"/>
      <c r="K515" s="262"/>
      <c r="L515" s="262"/>
      <c r="M515" s="263"/>
      <c r="N515" s="265"/>
      <c r="O515" s="265">
        <v>33312</v>
      </c>
    </row>
    <row r="516" spans="1:15" x14ac:dyDescent="0.45">
      <c r="A516" s="253" t="str">
        <f t="shared" ref="A516:A579" si="49">CONCATENATE(G516,H516,I516)</f>
        <v>&lt;ct3332&gt;0&lt;/ct3332&gt;</v>
      </c>
      <c r="B516" s="450" t="s">
        <v>1637</v>
      </c>
      <c r="C516" s="244">
        <f t="shared" si="44"/>
        <v>2</v>
      </c>
      <c r="D516" s="244">
        <f t="shared" si="45"/>
        <v>8</v>
      </c>
      <c r="E516" s="244">
        <f t="shared" si="46"/>
        <v>10</v>
      </c>
      <c r="G516" s="259" t="str">
        <f t="shared" si="47"/>
        <v>&lt;ct3332&gt;</v>
      </c>
      <c r="H516" s="260">
        <f>VLOOKUP(O516,BCDTK!$E$9:$L$132,4,0)</f>
        <v>0</v>
      </c>
      <c r="I516" s="261" t="str">
        <f t="shared" si="48"/>
        <v>&lt;/ct3332&gt;</v>
      </c>
      <c r="J516" s="262"/>
      <c r="K516" s="262"/>
      <c r="L516" s="262"/>
      <c r="M516" s="263"/>
      <c r="N516" s="265"/>
      <c r="O516" s="265">
        <v>3332</v>
      </c>
    </row>
    <row r="517" spans="1:15" x14ac:dyDescent="0.45">
      <c r="A517" s="253" t="str">
        <f t="shared" si="49"/>
        <v>&lt;ct3333&gt;0&lt;/ct3333&gt;</v>
      </c>
      <c r="B517" s="450" t="s">
        <v>1638</v>
      </c>
      <c r="C517" s="244">
        <f t="shared" si="44"/>
        <v>2</v>
      </c>
      <c r="D517" s="244">
        <f t="shared" si="45"/>
        <v>8</v>
      </c>
      <c r="E517" s="244">
        <f t="shared" si="46"/>
        <v>10</v>
      </c>
      <c r="G517" s="259" t="str">
        <f t="shared" si="47"/>
        <v>&lt;ct3333&gt;</v>
      </c>
      <c r="H517" s="260">
        <f>VLOOKUP(O517,BCDTK!$E$9:$L$132,4,0)</f>
        <v>0</v>
      </c>
      <c r="I517" s="261" t="str">
        <f t="shared" si="48"/>
        <v>&lt;/ct3333&gt;</v>
      </c>
      <c r="J517" s="262"/>
      <c r="K517" s="262"/>
      <c r="L517" s="262"/>
      <c r="M517" s="263"/>
      <c r="N517" s="265"/>
      <c r="O517" s="265">
        <v>3333</v>
      </c>
    </row>
    <row r="518" spans="1:15" x14ac:dyDescent="0.45">
      <c r="A518" s="253" t="str">
        <f t="shared" si="49"/>
        <v>&lt;ct3334&gt;0&lt;/ct3334&gt;</v>
      </c>
      <c r="B518" s="450" t="s">
        <v>1639</v>
      </c>
      <c r="C518" s="244">
        <f t="shared" si="44"/>
        <v>2</v>
      </c>
      <c r="D518" s="244">
        <f t="shared" si="45"/>
        <v>8</v>
      </c>
      <c r="E518" s="244">
        <f t="shared" si="46"/>
        <v>10</v>
      </c>
      <c r="G518" s="259" t="str">
        <f t="shared" si="47"/>
        <v>&lt;ct3334&gt;</v>
      </c>
      <c r="H518" s="260">
        <f>VLOOKUP(O518,BCDTK!$E$9:$L$132,4,0)</f>
        <v>0</v>
      </c>
      <c r="I518" s="261" t="str">
        <f t="shared" si="48"/>
        <v>&lt;/ct3334&gt;</v>
      </c>
      <c r="J518" s="262"/>
      <c r="K518" s="262"/>
      <c r="L518" s="262"/>
      <c r="M518" s="263"/>
      <c r="N518" s="265"/>
      <c r="O518" s="265">
        <v>3334</v>
      </c>
    </row>
    <row r="519" spans="1:15" x14ac:dyDescent="0.45">
      <c r="A519" s="253" t="str">
        <f t="shared" si="49"/>
        <v>&lt;ct3335&gt;0&lt;/ct3335&gt;</v>
      </c>
      <c r="B519" s="450" t="s">
        <v>1640</v>
      </c>
      <c r="C519" s="244">
        <f t="shared" si="44"/>
        <v>2</v>
      </c>
      <c r="D519" s="244">
        <f t="shared" si="45"/>
        <v>8</v>
      </c>
      <c r="E519" s="244">
        <f t="shared" si="46"/>
        <v>10</v>
      </c>
      <c r="G519" s="259" t="str">
        <f t="shared" si="47"/>
        <v>&lt;ct3335&gt;</v>
      </c>
      <c r="H519" s="260">
        <f>VLOOKUP(O519,BCDTK!$E$9:$L$132,4,0)</f>
        <v>0</v>
      </c>
      <c r="I519" s="261" t="str">
        <f t="shared" si="48"/>
        <v>&lt;/ct3335&gt;</v>
      </c>
      <c r="J519" s="262"/>
      <c r="K519" s="262"/>
      <c r="L519" s="262"/>
      <c r="M519" s="263"/>
      <c r="N519" s="265"/>
      <c r="O519" s="265">
        <v>3335</v>
      </c>
    </row>
    <row r="520" spans="1:15" x14ac:dyDescent="0.45">
      <c r="A520" s="253" t="str">
        <f t="shared" si="49"/>
        <v>&lt;ct3336&gt;0&lt;/ct3336&gt;</v>
      </c>
      <c r="B520" s="450" t="s">
        <v>1641</v>
      </c>
      <c r="C520" s="244">
        <f t="shared" si="44"/>
        <v>2</v>
      </c>
      <c r="D520" s="244">
        <f t="shared" si="45"/>
        <v>8</v>
      </c>
      <c r="E520" s="244">
        <f t="shared" si="46"/>
        <v>10</v>
      </c>
      <c r="G520" s="259" t="str">
        <f t="shared" si="47"/>
        <v>&lt;ct3336&gt;</v>
      </c>
      <c r="H520" s="260">
        <f>VLOOKUP(O520,BCDTK!$E$9:$L$132,4,0)</f>
        <v>0</v>
      </c>
      <c r="I520" s="261" t="str">
        <f t="shared" si="48"/>
        <v>&lt;/ct3336&gt;</v>
      </c>
      <c r="J520" s="262"/>
      <c r="K520" s="262"/>
      <c r="L520" s="262"/>
      <c r="M520" s="263"/>
      <c r="N520" s="265"/>
      <c r="O520" s="265">
        <v>3336</v>
      </c>
    </row>
    <row r="521" spans="1:15" x14ac:dyDescent="0.45">
      <c r="A521" s="253" t="str">
        <f t="shared" si="49"/>
        <v>&lt;ct3337&gt;0&lt;/ct3337&gt;</v>
      </c>
      <c r="B521" s="450" t="s">
        <v>1642</v>
      </c>
      <c r="C521" s="244">
        <f t="shared" ref="C521:C584" si="50">LEN(B521)-LEN(SUBSTITUTE(B521,"&lt;",""))</f>
        <v>2</v>
      </c>
      <c r="D521" s="244">
        <f t="shared" ref="D521:D584" si="51">SEARCH("&gt;",B521)</f>
        <v>8</v>
      </c>
      <c r="E521" s="244">
        <f t="shared" ref="E521:E584" si="52">IFERROR(SEARCH("&lt;/",B521),"")</f>
        <v>10</v>
      </c>
      <c r="G521" s="259" t="str">
        <f t="shared" ref="G521:G584" si="53">LEFT(B521,D521)</f>
        <v>&lt;ct3337&gt;</v>
      </c>
      <c r="H521" s="260">
        <f>VLOOKUP(O521,BCDTK!$E$9:$L$132,4,0)</f>
        <v>0</v>
      </c>
      <c r="I521" s="261" t="str">
        <f t="shared" ref="I521:I584" si="54">IF(C521=2,RIGHT(B521,LEN(B521)-E521+1),"")</f>
        <v>&lt;/ct3337&gt;</v>
      </c>
      <c r="J521" s="262"/>
      <c r="K521" s="262"/>
      <c r="L521" s="262"/>
      <c r="M521" s="263"/>
      <c r="N521" s="265"/>
      <c r="O521" s="265">
        <v>3337</v>
      </c>
    </row>
    <row r="522" spans="1:15" x14ac:dyDescent="0.45">
      <c r="A522" s="253" t="str">
        <f t="shared" si="49"/>
        <v>&lt;ct3338&gt;0&lt;/ct3338&gt;</v>
      </c>
      <c r="B522" s="450" t="s">
        <v>1643</v>
      </c>
      <c r="C522" s="244">
        <f t="shared" si="50"/>
        <v>2</v>
      </c>
      <c r="D522" s="244">
        <f t="shared" si="51"/>
        <v>8</v>
      </c>
      <c r="E522" s="244">
        <f t="shared" si="52"/>
        <v>10</v>
      </c>
      <c r="G522" s="259" t="str">
        <f t="shared" si="53"/>
        <v>&lt;ct3338&gt;</v>
      </c>
      <c r="H522" s="260">
        <f>VLOOKUP(O522,BCDTK!$E$9:$L$132,4,0)</f>
        <v>0</v>
      </c>
      <c r="I522" s="261" t="str">
        <f t="shared" si="54"/>
        <v>&lt;/ct3338&gt;</v>
      </c>
      <c r="J522" s="262"/>
      <c r="K522" s="262"/>
      <c r="L522" s="262"/>
      <c r="M522" s="263"/>
      <c r="N522" s="265"/>
      <c r="O522" s="265">
        <v>3338</v>
      </c>
    </row>
    <row r="523" spans="1:15" x14ac:dyDescent="0.45">
      <c r="A523" s="253" t="str">
        <f t="shared" si="49"/>
        <v>&lt;ct33381&gt;0&lt;/ct33381&gt;</v>
      </c>
      <c r="B523" s="450" t="s">
        <v>1644</v>
      </c>
      <c r="C523" s="244">
        <f t="shared" si="50"/>
        <v>2</v>
      </c>
      <c r="D523" s="244">
        <f t="shared" si="51"/>
        <v>9</v>
      </c>
      <c r="E523" s="244">
        <f t="shared" si="52"/>
        <v>11</v>
      </c>
      <c r="G523" s="259" t="str">
        <f t="shared" si="53"/>
        <v>&lt;ct33381&gt;</v>
      </c>
      <c r="H523" s="260">
        <f>VLOOKUP(O523,BCDTK!$E$9:$L$132,4,0)</f>
        <v>0</v>
      </c>
      <c r="I523" s="261" t="str">
        <f t="shared" si="54"/>
        <v>&lt;/ct33381&gt;</v>
      </c>
      <c r="J523" s="262"/>
      <c r="K523" s="262"/>
      <c r="L523" s="262"/>
      <c r="M523" s="263"/>
      <c r="N523" s="265"/>
      <c r="O523" s="265">
        <v>33381</v>
      </c>
    </row>
    <row r="524" spans="1:15" x14ac:dyDescent="0.45">
      <c r="A524" s="253" t="str">
        <f t="shared" si="49"/>
        <v>&lt;ct33382&gt;0&lt;/ct33382&gt;</v>
      </c>
      <c r="B524" s="450" t="s">
        <v>1645</v>
      </c>
      <c r="C524" s="244">
        <f t="shared" si="50"/>
        <v>2</v>
      </c>
      <c r="D524" s="244">
        <f t="shared" si="51"/>
        <v>9</v>
      </c>
      <c r="E524" s="244">
        <f t="shared" si="52"/>
        <v>11</v>
      </c>
      <c r="G524" s="259" t="str">
        <f t="shared" si="53"/>
        <v>&lt;ct33382&gt;</v>
      </c>
      <c r="H524" s="260">
        <f>VLOOKUP(O524,BCDTK!$E$9:$L$132,4,0)</f>
        <v>0</v>
      </c>
      <c r="I524" s="261" t="str">
        <f t="shared" si="54"/>
        <v>&lt;/ct33382&gt;</v>
      </c>
      <c r="J524" s="262"/>
      <c r="K524" s="262"/>
      <c r="L524" s="262"/>
      <c r="M524" s="263"/>
      <c r="N524" s="265"/>
      <c r="O524" s="265">
        <v>33382</v>
      </c>
    </row>
    <row r="525" spans="1:15" x14ac:dyDescent="0.45">
      <c r="A525" s="253" t="str">
        <f t="shared" si="49"/>
        <v>&lt;ct3339&gt;0&lt;/ct3339&gt;</v>
      </c>
      <c r="B525" s="450" t="s">
        <v>1646</v>
      </c>
      <c r="C525" s="244">
        <f t="shared" si="50"/>
        <v>2</v>
      </c>
      <c r="D525" s="244">
        <f t="shared" si="51"/>
        <v>8</v>
      </c>
      <c r="E525" s="244">
        <f t="shared" si="52"/>
        <v>10</v>
      </c>
      <c r="G525" s="259" t="str">
        <f t="shared" si="53"/>
        <v>&lt;ct3339&gt;</v>
      </c>
      <c r="H525" s="260">
        <f>VLOOKUP(O525,BCDTK!$E$9:$L$132,4,0)</f>
        <v>0</v>
      </c>
      <c r="I525" s="261" t="str">
        <f t="shared" si="54"/>
        <v>&lt;/ct3339&gt;</v>
      </c>
      <c r="J525" s="262"/>
      <c r="K525" s="262"/>
      <c r="L525" s="262"/>
      <c r="M525" s="263"/>
      <c r="N525" s="265"/>
      <c r="O525" s="265">
        <v>3339</v>
      </c>
    </row>
    <row r="526" spans="1:15" x14ac:dyDescent="0.45">
      <c r="A526" s="253" t="str">
        <f t="shared" si="49"/>
        <v>&lt;ct334&gt;0&lt;/ct334&gt;</v>
      </c>
      <c r="B526" s="450" t="s">
        <v>1647</v>
      </c>
      <c r="C526" s="244">
        <f t="shared" si="50"/>
        <v>2</v>
      </c>
      <c r="D526" s="244">
        <f t="shared" si="51"/>
        <v>7</v>
      </c>
      <c r="E526" s="244">
        <f t="shared" si="52"/>
        <v>9</v>
      </c>
      <c r="G526" s="259" t="str">
        <f t="shared" si="53"/>
        <v>&lt;ct334&gt;</v>
      </c>
      <c r="H526" s="260">
        <f>VLOOKUP(O526,BCDTK!$E$9:$L$132,4,0)</f>
        <v>0</v>
      </c>
      <c r="I526" s="261" t="str">
        <f t="shared" si="54"/>
        <v>&lt;/ct334&gt;</v>
      </c>
      <c r="J526" s="262"/>
      <c r="K526" s="262"/>
      <c r="L526" s="262"/>
      <c r="M526" s="263"/>
      <c r="N526" s="265"/>
      <c r="O526" s="265">
        <v>334</v>
      </c>
    </row>
    <row r="527" spans="1:15" x14ac:dyDescent="0.45">
      <c r="A527" s="253" t="str">
        <f t="shared" si="49"/>
        <v>&lt;ct335&gt;0&lt;/ct335&gt;</v>
      </c>
      <c r="B527" s="450" t="s">
        <v>1648</v>
      </c>
      <c r="C527" s="244">
        <f t="shared" si="50"/>
        <v>2</v>
      </c>
      <c r="D527" s="244">
        <f t="shared" si="51"/>
        <v>7</v>
      </c>
      <c r="E527" s="244">
        <f t="shared" si="52"/>
        <v>9</v>
      </c>
      <c r="G527" s="259" t="str">
        <f t="shared" si="53"/>
        <v>&lt;ct335&gt;</v>
      </c>
      <c r="H527" s="260">
        <f>VLOOKUP(O527,BCDTK!$E$9:$L$132,4,0)</f>
        <v>0</v>
      </c>
      <c r="I527" s="261" t="str">
        <f t="shared" si="54"/>
        <v>&lt;/ct335&gt;</v>
      </c>
      <c r="J527" s="262"/>
      <c r="K527" s="262"/>
      <c r="L527" s="262"/>
      <c r="M527" s="263"/>
      <c r="N527" s="265"/>
      <c r="O527" s="265">
        <v>335</v>
      </c>
    </row>
    <row r="528" spans="1:15" x14ac:dyDescent="0.45">
      <c r="A528" s="253" t="str">
        <f t="shared" si="49"/>
        <v>&lt;ct336&gt;0&lt;/ct336&gt;</v>
      </c>
      <c r="B528" s="450" t="s">
        <v>1649</v>
      </c>
      <c r="C528" s="244">
        <f t="shared" si="50"/>
        <v>2</v>
      </c>
      <c r="D528" s="244">
        <f t="shared" si="51"/>
        <v>7</v>
      </c>
      <c r="E528" s="244">
        <f t="shared" si="52"/>
        <v>9</v>
      </c>
      <c r="G528" s="259" t="str">
        <f t="shared" si="53"/>
        <v>&lt;ct336&gt;</v>
      </c>
      <c r="H528" s="260">
        <f>VLOOKUP(O528,BCDTK!$E$9:$L$132,4,0)</f>
        <v>0</v>
      </c>
      <c r="I528" s="261" t="str">
        <f t="shared" si="54"/>
        <v>&lt;/ct336&gt;</v>
      </c>
      <c r="J528" s="262"/>
      <c r="K528" s="262"/>
      <c r="L528" s="262"/>
      <c r="M528" s="263"/>
      <c r="N528" s="265"/>
      <c r="O528" s="265">
        <v>336</v>
      </c>
    </row>
    <row r="529" spans="1:15" x14ac:dyDescent="0.45">
      <c r="A529" s="253" t="str">
        <f t="shared" si="49"/>
        <v>&lt;ct3361&gt;0&lt;/ct3361&gt;</v>
      </c>
      <c r="B529" s="450" t="s">
        <v>1650</v>
      </c>
      <c r="C529" s="244">
        <f t="shared" si="50"/>
        <v>2</v>
      </c>
      <c r="D529" s="244">
        <f t="shared" si="51"/>
        <v>8</v>
      </c>
      <c r="E529" s="244">
        <f t="shared" si="52"/>
        <v>10</v>
      </c>
      <c r="G529" s="259" t="str">
        <f t="shared" si="53"/>
        <v>&lt;ct3361&gt;</v>
      </c>
      <c r="H529" s="260">
        <f>VLOOKUP(O529,BCDTK!$E$9:$L$132,4,0)</f>
        <v>0</v>
      </c>
      <c r="I529" s="261" t="str">
        <f t="shared" si="54"/>
        <v>&lt;/ct3361&gt;</v>
      </c>
      <c r="J529" s="262"/>
      <c r="K529" s="262"/>
      <c r="L529" s="262"/>
      <c r="M529" s="263"/>
      <c r="N529" s="265"/>
      <c r="O529" s="265">
        <v>3361</v>
      </c>
    </row>
    <row r="530" spans="1:15" x14ac:dyDescent="0.45">
      <c r="A530" s="253" t="str">
        <f t="shared" si="49"/>
        <v>&lt;ct3368&gt;0&lt;/ct3368&gt;</v>
      </c>
      <c r="B530" s="450" t="s">
        <v>1651</v>
      </c>
      <c r="C530" s="244">
        <f t="shared" si="50"/>
        <v>2</v>
      </c>
      <c r="D530" s="244">
        <f t="shared" si="51"/>
        <v>8</v>
      </c>
      <c r="E530" s="244">
        <f t="shared" si="52"/>
        <v>10</v>
      </c>
      <c r="G530" s="259" t="str">
        <f t="shared" si="53"/>
        <v>&lt;ct3368&gt;</v>
      </c>
      <c r="H530" s="260">
        <f>VLOOKUP(O530,BCDTK!$E$9:$L$132,4,0)</f>
        <v>0</v>
      </c>
      <c r="I530" s="261" t="str">
        <f t="shared" si="54"/>
        <v>&lt;/ct3368&gt;</v>
      </c>
      <c r="J530" s="262"/>
      <c r="K530" s="262"/>
      <c r="L530" s="262"/>
      <c r="M530" s="263"/>
      <c r="N530" s="265"/>
      <c r="O530" s="265">
        <v>3368</v>
      </c>
    </row>
    <row r="531" spans="1:15" x14ac:dyDescent="0.45">
      <c r="A531" s="253" t="str">
        <f t="shared" si="49"/>
        <v>&lt;ct338&gt;0&lt;/ct338&gt;</v>
      </c>
      <c r="B531" s="450" t="s">
        <v>1652</v>
      </c>
      <c r="C531" s="244">
        <f t="shared" si="50"/>
        <v>2</v>
      </c>
      <c r="D531" s="244">
        <f t="shared" si="51"/>
        <v>7</v>
      </c>
      <c r="E531" s="244">
        <f t="shared" si="52"/>
        <v>9</v>
      </c>
      <c r="G531" s="259" t="str">
        <f t="shared" si="53"/>
        <v>&lt;ct338&gt;</v>
      </c>
      <c r="H531" s="260">
        <f>VLOOKUP(O531,BCDTK!$E$9:$L$132,4,0)</f>
        <v>0</v>
      </c>
      <c r="I531" s="261" t="str">
        <f t="shared" si="54"/>
        <v>&lt;/ct338&gt;</v>
      </c>
      <c r="J531" s="262"/>
      <c r="K531" s="262"/>
      <c r="L531" s="262"/>
      <c r="M531" s="263"/>
      <c r="N531" s="265"/>
      <c r="O531" s="265">
        <v>338</v>
      </c>
    </row>
    <row r="532" spans="1:15" x14ac:dyDescent="0.45">
      <c r="A532" s="253" t="str">
        <f t="shared" si="49"/>
        <v>&lt;ct3381&gt;0&lt;/ct3381&gt;</v>
      </c>
      <c r="B532" s="450" t="s">
        <v>1653</v>
      </c>
      <c r="C532" s="244">
        <f t="shared" si="50"/>
        <v>2</v>
      </c>
      <c r="D532" s="244">
        <f t="shared" si="51"/>
        <v>8</v>
      </c>
      <c r="E532" s="244">
        <f t="shared" si="52"/>
        <v>10</v>
      </c>
      <c r="G532" s="259" t="str">
        <f t="shared" si="53"/>
        <v>&lt;ct3381&gt;</v>
      </c>
      <c r="H532" s="260">
        <f>VLOOKUP(O532,BCDTK!$E$9:$L$132,4,0)</f>
        <v>0</v>
      </c>
      <c r="I532" s="261" t="str">
        <f t="shared" si="54"/>
        <v>&lt;/ct3381&gt;</v>
      </c>
      <c r="J532" s="262"/>
      <c r="K532" s="262"/>
      <c r="L532" s="262"/>
      <c r="M532" s="263"/>
      <c r="N532" s="265"/>
      <c r="O532" s="265">
        <v>3381</v>
      </c>
    </row>
    <row r="533" spans="1:15" x14ac:dyDescent="0.45">
      <c r="A533" s="253" t="str">
        <f t="shared" si="49"/>
        <v>&lt;ct3382&gt;0&lt;/ct3382&gt;</v>
      </c>
      <c r="B533" s="450" t="s">
        <v>1654</v>
      </c>
      <c r="C533" s="244">
        <f t="shared" si="50"/>
        <v>2</v>
      </c>
      <c r="D533" s="244">
        <f t="shared" si="51"/>
        <v>8</v>
      </c>
      <c r="E533" s="244">
        <f t="shared" si="52"/>
        <v>10</v>
      </c>
      <c r="G533" s="259" t="str">
        <f t="shared" si="53"/>
        <v>&lt;ct3382&gt;</v>
      </c>
      <c r="H533" s="260">
        <f>VLOOKUP(O533,BCDTK!$E$9:$L$132,4,0)</f>
        <v>0</v>
      </c>
      <c r="I533" s="261" t="str">
        <f t="shared" si="54"/>
        <v>&lt;/ct3382&gt;</v>
      </c>
      <c r="J533" s="262"/>
      <c r="K533" s="262"/>
      <c r="L533" s="262"/>
      <c r="M533" s="263"/>
      <c r="N533" s="265"/>
      <c r="O533" s="265">
        <v>3382</v>
      </c>
    </row>
    <row r="534" spans="1:15" x14ac:dyDescent="0.45">
      <c r="A534" s="253" t="str">
        <f t="shared" si="49"/>
        <v>&lt;ct3383&gt;0&lt;/ct3383&gt;</v>
      </c>
      <c r="B534" s="450" t="s">
        <v>1655</v>
      </c>
      <c r="C534" s="244">
        <f t="shared" si="50"/>
        <v>2</v>
      </c>
      <c r="D534" s="244">
        <f t="shared" si="51"/>
        <v>8</v>
      </c>
      <c r="E534" s="244">
        <f t="shared" si="52"/>
        <v>10</v>
      </c>
      <c r="G534" s="259" t="str">
        <f t="shared" si="53"/>
        <v>&lt;ct3383&gt;</v>
      </c>
      <c r="H534" s="260">
        <f>VLOOKUP(O534,BCDTK!$E$9:$L$132,4,0)</f>
        <v>0</v>
      </c>
      <c r="I534" s="261" t="str">
        <f t="shared" si="54"/>
        <v>&lt;/ct3383&gt;</v>
      </c>
      <c r="J534" s="262"/>
      <c r="K534" s="262"/>
      <c r="L534" s="262"/>
      <c r="M534" s="263"/>
      <c r="N534" s="265"/>
      <c r="O534" s="265">
        <v>3383</v>
      </c>
    </row>
    <row r="535" spans="1:15" x14ac:dyDescent="0.45">
      <c r="A535" s="253" t="str">
        <f t="shared" si="49"/>
        <v>&lt;ct3384&gt;0&lt;/ct3384&gt;</v>
      </c>
      <c r="B535" s="450" t="s">
        <v>1656</v>
      </c>
      <c r="C535" s="244">
        <f t="shared" si="50"/>
        <v>2</v>
      </c>
      <c r="D535" s="244">
        <f t="shared" si="51"/>
        <v>8</v>
      </c>
      <c r="E535" s="244">
        <f t="shared" si="52"/>
        <v>10</v>
      </c>
      <c r="G535" s="259" t="str">
        <f t="shared" si="53"/>
        <v>&lt;ct3384&gt;</v>
      </c>
      <c r="H535" s="260">
        <f>VLOOKUP(O535,BCDTK!$E$9:$L$132,4,0)</f>
        <v>0</v>
      </c>
      <c r="I535" s="261" t="str">
        <f t="shared" si="54"/>
        <v>&lt;/ct3384&gt;</v>
      </c>
      <c r="J535" s="262"/>
      <c r="K535" s="262"/>
      <c r="L535" s="262"/>
      <c r="M535" s="263"/>
      <c r="N535" s="265"/>
      <c r="O535" s="265">
        <v>3384</v>
      </c>
    </row>
    <row r="536" spans="1:15" x14ac:dyDescent="0.45">
      <c r="A536" s="253" t="str">
        <f t="shared" si="49"/>
        <v>&lt;ct3385&gt;0&lt;/ct3385&gt;</v>
      </c>
      <c r="B536" s="450" t="s">
        <v>1657</v>
      </c>
      <c r="C536" s="244">
        <f t="shared" si="50"/>
        <v>2</v>
      </c>
      <c r="D536" s="244">
        <f t="shared" si="51"/>
        <v>8</v>
      </c>
      <c r="E536" s="244">
        <f t="shared" si="52"/>
        <v>10</v>
      </c>
      <c r="G536" s="259" t="str">
        <f t="shared" si="53"/>
        <v>&lt;ct3385&gt;</v>
      </c>
      <c r="H536" s="260">
        <f>VLOOKUP(O536,BCDTK!$E$9:$L$132,4,0)</f>
        <v>0</v>
      </c>
      <c r="I536" s="261" t="str">
        <f t="shared" si="54"/>
        <v>&lt;/ct3385&gt;</v>
      </c>
      <c r="J536" s="262"/>
      <c r="K536" s="262"/>
      <c r="L536" s="262"/>
      <c r="M536" s="263"/>
      <c r="N536" s="265"/>
      <c r="O536" s="265">
        <v>3385</v>
      </c>
    </row>
    <row r="537" spans="1:15" x14ac:dyDescent="0.45">
      <c r="A537" s="253" t="str">
        <f t="shared" si="49"/>
        <v>&lt;ct3386&gt;0&lt;/ct3386&gt;</v>
      </c>
      <c r="B537" s="450" t="s">
        <v>1658</v>
      </c>
      <c r="C537" s="244">
        <f t="shared" si="50"/>
        <v>2</v>
      </c>
      <c r="D537" s="244">
        <f t="shared" si="51"/>
        <v>8</v>
      </c>
      <c r="E537" s="244">
        <f t="shared" si="52"/>
        <v>10</v>
      </c>
      <c r="G537" s="259" t="str">
        <f t="shared" si="53"/>
        <v>&lt;ct3386&gt;</v>
      </c>
      <c r="H537" s="260">
        <f>VLOOKUP(O537,BCDTK!$E$9:$L$132,4,0)</f>
        <v>0</v>
      </c>
      <c r="I537" s="261" t="str">
        <f t="shared" si="54"/>
        <v>&lt;/ct3386&gt;</v>
      </c>
      <c r="J537" s="262"/>
      <c r="K537" s="262"/>
      <c r="L537" s="262"/>
      <c r="M537" s="263"/>
      <c r="N537" s="265"/>
      <c r="O537" s="265">
        <v>3386</v>
      </c>
    </row>
    <row r="538" spans="1:15" x14ac:dyDescent="0.45">
      <c r="A538" s="253" t="str">
        <f t="shared" si="49"/>
        <v>&lt;ct3387&gt;0&lt;/ct3387&gt;</v>
      </c>
      <c r="B538" s="450" t="s">
        <v>1659</v>
      </c>
      <c r="C538" s="244">
        <f t="shared" si="50"/>
        <v>2</v>
      </c>
      <c r="D538" s="244">
        <f t="shared" si="51"/>
        <v>8</v>
      </c>
      <c r="E538" s="244">
        <f t="shared" si="52"/>
        <v>10</v>
      </c>
      <c r="G538" s="259" t="str">
        <f t="shared" si="53"/>
        <v>&lt;ct3387&gt;</v>
      </c>
      <c r="H538" s="260">
        <f>VLOOKUP(O538,BCDTK!$E$9:$L$132,4,0)</f>
        <v>0</v>
      </c>
      <c r="I538" s="261" t="str">
        <f t="shared" si="54"/>
        <v>&lt;/ct3387&gt;</v>
      </c>
      <c r="J538" s="262"/>
      <c r="K538" s="262"/>
      <c r="L538" s="262"/>
      <c r="M538" s="263"/>
      <c r="N538" s="265"/>
      <c r="O538" s="265">
        <v>3387</v>
      </c>
    </row>
    <row r="539" spans="1:15" x14ac:dyDescent="0.45">
      <c r="A539" s="253" t="str">
        <f t="shared" si="49"/>
        <v>&lt;ct3388&gt;0&lt;/ct3388&gt;</v>
      </c>
      <c r="B539" s="450" t="s">
        <v>1660</v>
      </c>
      <c r="C539" s="244">
        <f t="shared" si="50"/>
        <v>2</v>
      </c>
      <c r="D539" s="244">
        <f t="shared" si="51"/>
        <v>8</v>
      </c>
      <c r="E539" s="244">
        <f t="shared" si="52"/>
        <v>10</v>
      </c>
      <c r="G539" s="259" t="str">
        <f t="shared" si="53"/>
        <v>&lt;ct3388&gt;</v>
      </c>
      <c r="H539" s="260">
        <f>VLOOKUP(O539,BCDTK!$E$9:$L$132,4,0)</f>
        <v>0</v>
      </c>
      <c r="I539" s="261" t="str">
        <f t="shared" si="54"/>
        <v>&lt;/ct3388&gt;</v>
      </c>
      <c r="J539" s="262"/>
      <c r="K539" s="262"/>
      <c r="L539" s="262"/>
      <c r="M539" s="263"/>
      <c r="N539" s="265"/>
      <c r="O539" s="265">
        <v>3388</v>
      </c>
    </row>
    <row r="540" spans="1:15" x14ac:dyDescent="0.45">
      <c r="A540" s="253" t="str">
        <f t="shared" si="49"/>
        <v>&lt;ct341&gt;0&lt;/ct341&gt;</v>
      </c>
      <c r="B540" s="450" t="s">
        <v>1661</v>
      </c>
      <c r="C540" s="244">
        <f t="shared" si="50"/>
        <v>2</v>
      </c>
      <c r="D540" s="244">
        <f t="shared" si="51"/>
        <v>7</v>
      </c>
      <c r="E540" s="244">
        <f t="shared" si="52"/>
        <v>9</v>
      </c>
      <c r="G540" s="259" t="str">
        <f t="shared" si="53"/>
        <v>&lt;ct341&gt;</v>
      </c>
      <c r="H540" s="260">
        <f>VLOOKUP(O540,BCDTK!$E$9:$L$132,4,0)</f>
        <v>0</v>
      </c>
      <c r="I540" s="261" t="str">
        <f t="shared" si="54"/>
        <v>&lt;/ct341&gt;</v>
      </c>
      <c r="J540" s="262"/>
      <c r="K540" s="262"/>
      <c r="L540" s="262"/>
      <c r="M540" s="263"/>
      <c r="N540" s="265"/>
      <c r="O540" s="265">
        <v>341</v>
      </c>
    </row>
    <row r="541" spans="1:15" x14ac:dyDescent="0.45">
      <c r="A541" s="253" t="str">
        <f t="shared" si="49"/>
        <v>&lt;ct3411&gt;0&lt;/ct3411&gt;</v>
      </c>
      <c r="B541" s="450" t="s">
        <v>1662</v>
      </c>
      <c r="C541" s="244">
        <f t="shared" si="50"/>
        <v>2</v>
      </c>
      <c r="D541" s="244">
        <f t="shared" si="51"/>
        <v>8</v>
      </c>
      <c r="E541" s="244">
        <f t="shared" si="52"/>
        <v>10</v>
      </c>
      <c r="G541" s="259" t="str">
        <f t="shared" si="53"/>
        <v>&lt;ct3411&gt;</v>
      </c>
      <c r="H541" s="260">
        <f>VLOOKUP(O541,BCDTK!$E$9:$L$132,4,0)</f>
        <v>0</v>
      </c>
      <c r="I541" s="261" t="str">
        <f t="shared" si="54"/>
        <v>&lt;/ct3411&gt;</v>
      </c>
      <c r="J541" s="262"/>
      <c r="K541" s="262"/>
      <c r="L541" s="262"/>
      <c r="M541" s="263"/>
      <c r="N541" s="265"/>
      <c r="O541" s="265">
        <v>3411</v>
      </c>
    </row>
    <row r="542" spans="1:15" x14ac:dyDescent="0.45">
      <c r="A542" s="253" t="str">
        <f t="shared" si="49"/>
        <v>&lt;ct3412&gt;0&lt;/ct3412&gt;</v>
      </c>
      <c r="B542" s="450" t="s">
        <v>1663</v>
      </c>
      <c r="C542" s="244">
        <f t="shared" si="50"/>
        <v>2</v>
      </c>
      <c r="D542" s="244">
        <f t="shared" si="51"/>
        <v>8</v>
      </c>
      <c r="E542" s="244">
        <f t="shared" si="52"/>
        <v>10</v>
      </c>
      <c r="G542" s="259" t="str">
        <f t="shared" si="53"/>
        <v>&lt;ct3412&gt;</v>
      </c>
      <c r="H542" s="260">
        <f>VLOOKUP(O542,BCDTK!$E$9:$L$132,4,0)</f>
        <v>0</v>
      </c>
      <c r="I542" s="261" t="str">
        <f t="shared" si="54"/>
        <v>&lt;/ct3412&gt;</v>
      </c>
      <c r="J542" s="262"/>
      <c r="K542" s="262"/>
      <c r="L542" s="262"/>
      <c r="M542" s="263"/>
      <c r="N542" s="265"/>
      <c r="O542" s="265">
        <v>3412</v>
      </c>
    </row>
    <row r="543" spans="1:15" x14ac:dyDescent="0.45">
      <c r="A543" s="253" t="str">
        <f t="shared" si="49"/>
        <v>&lt;ct352&gt;0&lt;/ct352&gt;</v>
      </c>
      <c r="B543" s="450" t="s">
        <v>1664</v>
      </c>
      <c r="C543" s="244">
        <f t="shared" si="50"/>
        <v>2</v>
      </c>
      <c r="D543" s="244">
        <f t="shared" si="51"/>
        <v>7</v>
      </c>
      <c r="E543" s="244">
        <f t="shared" si="52"/>
        <v>9</v>
      </c>
      <c r="G543" s="259" t="str">
        <f t="shared" si="53"/>
        <v>&lt;ct352&gt;</v>
      </c>
      <c r="H543" s="260">
        <f>VLOOKUP(O543,BCDTK!$E$9:$L$132,4,0)</f>
        <v>0</v>
      </c>
      <c r="I543" s="261" t="str">
        <f t="shared" si="54"/>
        <v>&lt;/ct352&gt;</v>
      </c>
      <c r="J543" s="262"/>
      <c r="K543" s="262"/>
      <c r="L543" s="262"/>
      <c r="M543" s="263"/>
      <c r="N543" s="265"/>
      <c r="O543" s="265">
        <v>352</v>
      </c>
    </row>
    <row r="544" spans="1:15" x14ac:dyDescent="0.45">
      <c r="A544" s="253" t="str">
        <f t="shared" si="49"/>
        <v>&lt;ct3521&gt;0&lt;/ct3521&gt;</v>
      </c>
      <c r="B544" s="450" t="s">
        <v>1665</v>
      </c>
      <c r="C544" s="244">
        <f t="shared" si="50"/>
        <v>2</v>
      </c>
      <c r="D544" s="244">
        <f t="shared" si="51"/>
        <v>8</v>
      </c>
      <c r="E544" s="244">
        <f t="shared" si="52"/>
        <v>10</v>
      </c>
      <c r="G544" s="259" t="str">
        <f t="shared" si="53"/>
        <v>&lt;ct3521&gt;</v>
      </c>
      <c r="H544" s="260">
        <f>VLOOKUP(O544,BCDTK!$E$9:$L$132,4,0)</f>
        <v>0</v>
      </c>
      <c r="I544" s="261" t="str">
        <f t="shared" si="54"/>
        <v>&lt;/ct3521&gt;</v>
      </c>
      <c r="J544" s="262"/>
      <c r="K544" s="262"/>
      <c r="L544" s="262"/>
      <c r="M544" s="263"/>
      <c r="N544" s="265"/>
      <c r="O544" s="265">
        <v>3521</v>
      </c>
    </row>
    <row r="545" spans="1:15" x14ac:dyDescent="0.45">
      <c r="A545" s="253" t="str">
        <f t="shared" si="49"/>
        <v>&lt;ct3522&gt;0&lt;/ct3522&gt;</v>
      </c>
      <c r="B545" s="450" t="s">
        <v>1666</v>
      </c>
      <c r="C545" s="244">
        <f t="shared" si="50"/>
        <v>2</v>
      </c>
      <c r="D545" s="244">
        <f t="shared" si="51"/>
        <v>8</v>
      </c>
      <c r="E545" s="244">
        <f t="shared" si="52"/>
        <v>10</v>
      </c>
      <c r="G545" s="259" t="str">
        <f t="shared" si="53"/>
        <v>&lt;ct3522&gt;</v>
      </c>
      <c r="H545" s="260">
        <f>VLOOKUP(O545,BCDTK!$E$9:$L$132,4,0)</f>
        <v>0</v>
      </c>
      <c r="I545" s="261" t="str">
        <f t="shared" si="54"/>
        <v>&lt;/ct3522&gt;</v>
      </c>
      <c r="J545" s="262"/>
      <c r="K545" s="262"/>
      <c r="L545" s="262"/>
      <c r="M545" s="263"/>
      <c r="N545" s="265"/>
      <c r="O545" s="265">
        <v>3522</v>
      </c>
    </row>
    <row r="546" spans="1:15" x14ac:dyDescent="0.45">
      <c r="A546" s="253" t="str">
        <f t="shared" si="49"/>
        <v>&lt;ct3524&gt;0&lt;/ct3524&gt;</v>
      </c>
      <c r="B546" s="450" t="s">
        <v>1667</v>
      </c>
      <c r="C546" s="244">
        <f t="shared" si="50"/>
        <v>2</v>
      </c>
      <c r="D546" s="244">
        <f t="shared" si="51"/>
        <v>8</v>
      </c>
      <c r="E546" s="244">
        <f t="shared" si="52"/>
        <v>10</v>
      </c>
      <c r="G546" s="259" t="str">
        <f t="shared" si="53"/>
        <v>&lt;ct3524&gt;</v>
      </c>
      <c r="H546" s="260">
        <f>VLOOKUP(O546,BCDTK!$E$9:$L$132,4,0)</f>
        <v>0</v>
      </c>
      <c r="I546" s="261" t="str">
        <f t="shared" si="54"/>
        <v>&lt;/ct3524&gt;</v>
      </c>
      <c r="J546" s="262"/>
      <c r="K546" s="262"/>
      <c r="L546" s="262"/>
      <c r="M546" s="263"/>
      <c r="N546" s="265"/>
      <c r="O546" s="265">
        <v>3524</v>
      </c>
    </row>
    <row r="547" spans="1:15" x14ac:dyDescent="0.45">
      <c r="A547" s="253" t="str">
        <f t="shared" si="49"/>
        <v>&lt;ct353&gt;0&lt;/ct353&gt;</v>
      </c>
      <c r="B547" s="450" t="s">
        <v>1668</v>
      </c>
      <c r="C547" s="244">
        <f t="shared" si="50"/>
        <v>2</v>
      </c>
      <c r="D547" s="244">
        <f t="shared" si="51"/>
        <v>7</v>
      </c>
      <c r="E547" s="244">
        <f t="shared" si="52"/>
        <v>9</v>
      </c>
      <c r="G547" s="259" t="str">
        <f t="shared" si="53"/>
        <v>&lt;ct353&gt;</v>
      </c>
      <c r="H547" s="260">
        <f>VLOOKUP(O547,BCDTK!$E$9:$L$132,4,0)</f>
        <v>0</v>
      </c>
      <c r="I547" s="261" t="str">
        <f t="shared" si="54"/>
        <v>&lt;/ct353&gt;</v>
      </c>
      <c r="J547" s="262"/>
      <c r="K547" s="262"/>
      <c r="L547" s="262"/>
      <c r="M547" s="263"/>
      <c r="N547" s="265"/>
      <c r="O547" s="265">
        <v>353</v>
      </c>
    </row>
    <row r="548" spans="1:15" x14ac:dyDescent="0.45">
      <c r="A548" s="253" t="str">
        <f t="shared" si="49"/>
        <v>&lt;ct3531&gt;0&lt;/ct3531&gt;</v>
      </c>
      <c r="B548" s="450" t="s">
        <v>1669</v>
      </c>
      <c r="C548" s="244">
        <f t="shared" si="50"/>
        <v>2</v>
      </c>
      <c r="D548" s="244">
        <f t="shared" si="51"/>
        <v>8</v>
      </c>
      <c r="E548" s="244">
        <f t="shared" si="52"/>
        <v>10</v>
      </c>
      <c r="G548" s="259" t="str">
        <f t="shared" si="53"/>
        <v>&lt;ct3531&gt;</v>
      </c>
      <c r="H548" s="260">
        <f>VLOOKUP(O548,BCDTK!$E$9:$L$132,4,0)</f>
        <v>0</v>
      </c>
      <c r="I548" s="261" t="str">
        <f t="shared" si="54"/>
        <v>&lt;/ct3531&gt;</v>
      </c>
      <c r="J548" s="262"/>
      <c r="K548" s="262"/>
      <c r="L548" s="262"/>
      <c r="M548" s="263"/>
      <c r="N548" s="265"/>
      <c r="O548" s="265">
        <v>3531</v>
      </c>
    </row>
    <row r="549" spans="1:15" x14ac:dyDescent="0.45">
      <c r="A549" s="253" t="str">
        <f t="shared" si="49"/>
        <v>&lt;ct3532&gt;0&lt;/ct3532&gt;</v>
      </c>
      <c r="B549" s="450" t="s">
        <v>1670</v>
      </c>
      <c r="C549" s="244">
        <f t="shared" si="50"/>
        <v>2</v>
      </c>
      <c r="D549" s="244">
        <f t="shared" si="51"/>
        <v>8</v>
      </c>
      <c r="E549" s="244">
        <f t="shared" si="52"/>
        <v>10</v>
      </c>
      <c r="G549" s="259" t="str">
        <f t="shared" si="53"/>
        <v>&lt;ct3532&gt;</v>
      </c>
      <c r="H549" s="260">
        <f>VLOOKUP(O549,BCDTK!$E$9:$L$132,4,0)</f>
        <v>0</v>
      </c>
      <c r="I549" s="261" t="str">
        <f t="shared" si="54"/>
        <v>&lt;/ct3532&gt;</v>
      </c>
      <c r="J549" s="262"/>
      <c r="K549" s="262"/>
      <c r="L549" s="262"/>
      <c r="M549" s="263"/>
      <c r="N549" s="265"/>
      <c r="O549" s="265">
        <v>3532</v>
      </c>
    </row>
    <row r="550" spans="1:15" x14ac:dyDescent="0.45">
      <c r="A550" s="253" t="str">
        <f t="shared" si="49"/>
        <v>&lt;ct3533&gt;0&lt;/ct3533&gt;</v>
      </c>
      <c r="B550" s="450" t="s">
        <v>1671</v>
      </c>
      <c r="C550" s="244">
        <f t="shared" si="50"/>
        <v>2</v>
      </c>
      <c r="D550" s="244">
        <f t="shared" si="51"/>
        <v>8</v>
      </c>
      <c r="E550" s="244">
        <f t="shared" si="52"/>
        <v>10</v>
      </c>
      <c r="G550" s="259" t="str">
        <f t="shared" si="53"/>
        <v>&lt;ct3533&gt;</v>
      </c>
      <c r="H550" s="260">
        <f>VLOOKUP(O550,BCDTK!$E$9:$L$132,4,0)</f>
        <v>0</v>
      </c>
      <c r="I550" s="261" t="str">
        <f t="shared" si="54"/>
        <v>&lt;/ct3533&gt;</v>
      </c>
      <c r="J550" s="262"/>
      <c r="K550" s="262"/>
      <c r="L550" s="262"/>
      <c r="M550" s="263"/>
      <c r="N550" s="265"/>
      <c r="O550" s="265">
        <v>3533</v>
      </c>
    </row>
    <row r="551" spans="1:15" x14ac:dyDescent="0.45">
      <c r="A551" s="253" t="str">
        <f t="shared" si="49"/>
        <v>&lt;ct3534&gt;0&lt;/ct3534&gt;</v>
      </c>
      <c r="B551" s="450" t="s">
        <v>1672</v>
      </c>
      <c r="C551" s="244">
        <f t="shared" si="50"/>
        <v>2</v>
      </c>
      <c r="D551" s="244">
        <f t="shared" si="51"/>
        <v>8</v>
      </c>
      <c r="E551" s="244">
        <f t="shared" si="52"/>
        <v>10</v>
      </c>
      <c r="G551" s="259" t="str">
        <f t="shared" si="53"/>
        <v>&lt;ct3534&gt;</v>
      </c>
      <c r="H551" s="260">
        <f>VLOOKUP(O551,BCDTK!$E$9:$L$132,4,0)</f>
        <v>0</v>
      </c>
      <c r="I551" s="261" t="str">
        <f t="shared" si="54"/>
        <v>&lt;/ct3534&gt;</v>
      </c>
      <c r="J551" s="262"/>
      <c r="K551" s="262"/>
      <c r="L551" s="262"/>
      <c r="M551" s="263"/>
      <c r="N551" s="265"/>
      <c r="O551" s="265">
        <v>3534</v>
      </c>
    </row>
    <row r="552" spans="1:15" x14ac:dyDescent="0.45">
      <c r="A552" s="253" t="str">
        <f t="shared" si="49"/>
        <v>&lt;ct356&gt;0&lt;/ct356&gt;</v>
      </c>
      <c r="B552" s="450" t="s">
        <v>1673</v>
      </c>
      <c r="C552" s="244">
        <f t="shared" si="50"/>
        <v>2</v>
      </c>
      <c r="D552" s="244">
        <f t="shared" si="51"/>
        <v>7</v>
      </c>
      <c r="E552" s="244">
        <f t="shared" si="52"/>
        <v>9</v>
      </c>
      <c r="G552" s="259" t="str">
        <f t="shared" si="53"/>
        <v>&lt;ct356&gt;</v>
      </c>
      <c r="H552" s="260">
        <f>VLOOKUP(O552,BCDTK!$E$9:$L$132,4,0)</f>
        <v>0</v>
      </c>
      <c r="I552" s="261" t="str">
        <f t="shared" si="54"/>
        <v>&lt;/ct356&gt;</v>
      </c>
      <c r="J552" s="262"/>
      <c r="K552" s="262"/>
      <c r="L552" s="262"/>
      <c r="M552" s="263"/>
      <c r="N552" s="265"/>
      <c r="O552" s="265">
        <v>356</v>
      </c>
    </row>
    <row r="553" spans="1:15" x14ac:dyDescent="0.45">
      <c r="A553" s="253" t="str">
        <f t="shared" si="49"/>
        <v>&lt;ct3561&gt;0&lt;/ct3561&gt;</v>
      </c>
      <c r="B553" s="450" t="s">
        <v>1674</v>
      </c>
      <c r="C553" s="244">
        <f t="shared" si="50"/>
        <v>2</v>
      </c>
      <c r="D553" s="244">
        <f t="shared" si="51"/>
        <v>8</v>
      </c>
      <c r="E553" s="244">
        <f t="shared" si="52"/>
        <v>10</v>
      </c>
      <c r="G553" s="259" t="str">
        <f t="shared" si="53"/>
        <v>&lt;ct3561&gt;</v>
      </c>
      <c r="H553" s="260">
        <f>VLOOKUP(O553,BCDTK!$E$9:$L$132,4,0)</f>
        <v>0</v>
      </c>
      <c r="I553" s="261" t="str">
        <f t="shared" si="54"/>
        <v>&lt;/ct3561&gt;</v>
      </c>
      <c r="J553" s="262"/>
      <c r="K553" s="262"/>
      <c r="L553" s="262"/>
      <c r="M553" s="263"/>
      <c r="N553" s="265"/>
      <c r="O553" s="265">
        <v>3561</v>
      </c>
    </row>
    <row r="554" spans="1:15" x14ac:dyDescent="0.45">
      <c r="A554" s="253" t="str">
        <f t="shared" si="49"/>
        <v>&lt;ct3562&gt;0&lt;/ct3562&gt;</v>
      </c>
      <c r="B554" s="450" t="s">
        <v>1675</v>
      </c>
      <c r="C554" s="244">
        <f t="shared" si="50"/>
        <v>2</v>
      </c>
      <c r="D554" s="244">
        <f t="shared" si="51"/>
        <v>8</v>
      </c>
      <c r="E554" s="244">
        <f t="shared" si="52"/>
        <v>10</v>
      </c>
      <c r="G554" s="259" t="str">
        <f t="shared" si="53"/>
        <v>&lt;ct3562&gt;</v>
      </c>
      <c r="H554" s="260">
        <f>VLOOKUP(O554,BCDTK!$E$9:$L$132,4,0)</f>
        <v>0</v>
      </c>
      <c r="I554" s="261" t="str">
        <f t="shared" si="54"/>
        <v>&lt;/ct3562&gt;</v>
      </c>
      <c r="J554" s="262"/>
      <c r="K554" s="262"/>
      <c r="L554" s="262"/>
      <c r="M554" s="263"/>
      <c r="N554" s="265"/>
      <c r="O554" s="265">
        <v>3562</v>
      </c>
    </row>
    <row r="555" spans="1:15" x14ac:dyDescent="0.45">
      <c r="A555" s="253" t="str">
        <f t="shared" si="49"/>
        <v>&lt;ct411&gt;500000000&lt;/ct411&gt;</v>
      </c>
      <c r="B555" s="450" t="s">
        <v>1525</v>
      </c>
      <c r="C555" s="244">
        <f t="shared" si="50"/>
        <v>2</v>
      </c>
      <c r="D555" s="244">
        <f t="shared" si="51"/>
        <v>7</v>
      </c>
      <c r="E555" s="244">
        <f t="shared" si="52"/>
        <v>9</v>
      </c>
      <c r="G555" s="259" t="str">
        <f t="shared" si="53"/>
        <v>&lt;ct411&gt;</v>
      </c>
      <c r="H555" s="260">
        <f>VLOOKUP(O555,BCDTK!$E$9:$L$132,4,0)</f>
        <v>500000000</v>
      </c>
      <c r="I555" s="261" t="str">
        <f t="shared" si="54"/>
        <v>&lt;/ct411&gt;</v>
      </c>
      <c r="J555" s="262"/>
      <c r="K555" s="262"/>
      <c r="L555" s="262"/>
      <c r="M555" s="263"/>
      <c r="N555" s="265"/>
      <c r="O555" s="265">
        <v>411</v>
      </c>
    </row>
    <row r="556" spans="1:15" x14ac:dyDescent="0.45">
      <c r="A556" s="253" t="str">
        <f t="shared" si="49"/>
        <v>&lt;ct4111&gt;500000000&lt;/ct4111&gt;</v>
      </c>
      <c r="B556" s="450" t="s">
        <v>1676</v>
      </c>
      <c r="C556" s="244">
        <f t="shared" si="50"/>
        <v>2</v>
      </c>
      <c r="D556" s="244">
        <f t="shared" si="51"/>
        <v>8</v>
      </c>
      <c r="E556" s="244">
        <f t="shared" si="52"/>
        <v>10</v>
      </c>
      <c r="G556" s="259" t="str">
        <f t="shared" si="53"/>
        <v>&lt;ct4111&gt;</v>
      </c>
      <c r="H556" s="260">
        <f>VLOOKUP(O556,BCDTK!$E$9:$L$132,4,0)</f>
        <v>500000000</v>
      </c>
      <c r="I556" s="261" t="str">
        <f t="shared" si="54"/>
        <v>&lt;/ct4111&gt;</v>
      </c>
      <c r="J556" s="262"/>
      <c r="K556" s="262"/>
      <c r="L556" s="262"/>
      <c r="M556" s="263"/>
      <c r="N556" s="265"/>
      <c r="O556" s="265">
        <v>4111</v>
      </c>
    </row>
    <row r="557" spans="1:15" x14ac:dyDescent="0.45">
      <c r="A557" s="253" t="str">
        <f t="shared" si="49"/>
        <v>&lt;ct4112&gt;0&lt;/ct4112&gt;</v>
      </c>
      <c r="B557" s="450" t="s">
        <v>1677</v>
      </c>
      <c r="C557" s="244">
        <f t="shared" si="50"/>
        <v>2</v>
      </c>
      <c r="D557" s="244">
        <f t="shared" si="51"/>
        <v>8</v>
      </c>
      <c r="E557" s="244">
        <f t="shared" si="52"/>
        <v>10</v>
      </c>
      <c r="G557" s="259" t="str">
        <f t="shared" si="53"/>
        <v>&lt;ct4112&gt;</v>
      </c>
      <c r="H557" s="260">
        <f>VLOOKUP(O557,BCDTK!$E$9:$L$132,4,0)</f>
        <v>0</v>
      </c>
      <c r="I557" s="261" t="str">
        <f t="shared" si="54"/>
        <v>&lt;/ct4112&gt;</v>
      </c>
      <c r="J557" s="262"/>
      <c r="K557" s="262"/>
      <c r="L557" s="262"/>
      <c r="M557" s="263"/>
      <c r="N557" s="265"/>
      <c r="O557" s="265">
        <v>4112</v>
      </c>
    </row>
    <row r="558" spans="1:15" x14ac:dyDescent="0.45">
      <c r="A558" s="253" t="str">
        <f t="shared" si="49"/>
        <v>&lt;ct4118&gt;0&lt;/ct4118&gt;</v>
      </c>
      <c r="B558" s="450" t="s">
        <v>1678</v>
      </c>
      <c r="C558" s="244">
        <f t="shared" si="50"/>
        <v>2</v>
      </c>
      <c r="D558" s="244">
        <f t="shared" si="51"/>
        <v>8</v>
      </c>
      <c r="E558" s="244">
        <f t="shared" si="52"/>
        <v>10</v>
      </c>
      <c r="G558" s="259" t="str">
        <f t="shared" si="53"/>
        <v>&lt;ct4118&gt;</v>
      </c>
      <c r="H558" s="260">
        <f>VLOOKUP(O558,BCDTK!$E$9:$L$132,4,0)</f>
        <v>0</v>
      </c>
      <c r="I558" s="261" t="str">
        <f t="shared" si="54"/>
        <v>&lt;/ct4118&gt;</v>
      </c>
      <c r="J558" s="262"/>
      <c r="K558" s="262"/>
      <c r="L558" s="262"/>
      <c r="M558" s="263"/>
      <c r="N558" s="265"/>
      <c r="O558" s="265">
        <v>4118</v>
      </c>
    </row>
    <row r="559" spans="1:15" x14ac:dyDescent="0.45">
      <c r="A559" s="253" t="str">
        <f t="shared" si="49"/>
        <v>&lt;ct413&gt;0&lt;/ct413&gt;</v>
      </c>
      <c r="B559" s="450" t="s">
        <v>1500</v>
      </c>
      <c r="C559" s="244">
        <f t="shared" si="50"/>
        <v>2</v>
      </c>
      <c r="D559" s="244">
        <f t="shared" si="51"/>
        <v>7</v>
      </c>
      <c r="E559" s="244">
        <f t="shared" si="52"/>
        <v>9</v>
      </c>
      <c r="G559" s="259" t="str">
        <f t="shared" si="53"/>
        <v>&lt;ct413&gt;</v>
      </c>
      <c r="H559" s="260">
        <f>VLOOKUP(O559,BCDTK!$E$9:$L$132,4,0)</f>
        <v>0</v>
      </c>
      <c r="I559" s="261" t="str">
        <f t="shared" si="54"/>
        <v>&lt;/ct413&gt;</v>
      </c>
      <c r="J559" s="262"/>
      <c r="K559" s="262"/>
      <c r="L559" s="262"/>
      <c r="M559" s="263"/>
      <c r="N559" s="265"/>
      <c r="O559" s="265">
        <v>413</v>
      </c>
    </row>
    <row r="560" spans="1:15" x14ac:dyDescent="0.45">
      <c r="A560" s="253" t="str">
        <f t="shared" si="49"/>
        <v>&lt;ct418&gt;0&lt;/ct418&gt;</v>
      </c>
      <c r="B560" s="450" t="s">
        <v>1679</v>
      </c>
      <c r="C560" s="244">
        <f t="shared" si="50"/>
        <v>2</v>
      </c>
      <c r="D560" s="244">
        <f t="shared" si="51"/>
        <v>7</v>
      </c>
      <c r="E560" s="244">
        <f t="shared" si="52"/>
        <v>9</v>
      </c>
      <c r="G560" s="259" t="str">
        <f t="shared" si="53"/>
        <v>&lt;ct418&gt;</v>
      </c>
      <c r="H560" s="260">
        <f>VLOOKUP(O560,BCDTK!$E$9:$L$132,4,0)</f>
        <v>0</v>
      </c>
      <c r="I560" s="261" t="str">
        <f t="shared" si="54"/>
        <v>&lt;/ct418&gt;</v>
      </c>
      <c r="J560" s="262"/>
      <c r="K560" s="262"/>
      <c r="L560" s="262"/>
      <c r="M560" s="263"/>
      <c r="N560" s="265"/>
      <c r="O560" s="265">
        <v>418</v>
      </c>
    </row>
    <row r="561" spans="1:15" x14ac:dyDescent="0.45">
      <c r="A561" s="253" t="str">
        <f t="shared" si="49"/>
        <v>&lt;ct419&gt;0&lt;/ct419&gt;</v>
      </c>
      <c r="B561" s="450" t="s">
        <v>1680</v>
      </c>
      <c r="C561" s="244">
        <f t="shared" si="50"/>
        <v>2</v>
      </c>
      <c r="D561" s="244">
        <f t="shared" si="51"/>
        <v>7</v>
      </c>
      <c r="E561" s="244">
        <f t="shared" si="52"/>
        <v>9</v>
      </c>
      <c r="G561" s="259" t="str">
        <f t="shared" si="53"/>
        <v>&lt;ct419&gt;</v>
      </c>
      <c r="H561" s="260">
        <f>VLOOKUP(O561,BCDTK!$E$9:$L$132,4,0)</f>
        <v>0</v>
      </c>
      <c r="I561" s="261" t="str">
        <f t="shared" si="54"/>
        <v>&lt;/ct419&gt;</v>
      </c>
      <c r="J561" s="262"/>
      <c r="K561" s="262"/>
      <c r="L561" s="262"/>
      <c r="M561" s="263"/>
      <c r="N561" s="265"/>
      <c r="O561" s="265">
        <v>419</v>
      </c>
    </row>
    <row r="562" spans="1:15" x14ac:dyDescent="0.45">
      <c r="A562" s="253" t="str">
        <f t="shared" si="49"/>
        <v>&lt;ct421&gt;0&lt;/ct421&gt;</v>
      </c>
      <c r="B562" s="450" t="s">
        <v>1681</v>
      </c>
      <c r="C562" s="244">
        <f t="shared" si="50"/>
        <v>2</v>
      </c>
      <c r="D562" s="244">
        <f t="shared" si="51"/>
        <v>7</v>
      </c>
      <c r="E562" s="244">
        <f t="shared" si="52"/>
        <v>9</v>
      </c>
      <c r="G562" s="259" t="str">
        <f t="shared" si="53"/>
        <v>&lt;ct421&gt;</v>
      </c>
      <c r="H562" s="260">
        <f>VLOOKUP(O562,BCDTK!$E$9:$L$132,4,0)</f>
        <v>0</v>
      </c>
      <c r="I562" s="261" t="str">
        <f t="shared" si="54"/>
        <v>&lt;/ct421&gt;</v>
      </c>
      <c r="J562" s="262"/>
      <c r="K562" s="262"/>
      <c r="L562" s="262"/>
      <c r="M562" s="263"/>
      <c r="N562" s="265"/>
      <c r="O562" s="265">
        <v>421</v>
      </c>
    </row>
    <row r="563" spans="1:15" x14ac:dyDescent="0.45">
      <c r="A563" s="253" t="str">
        <f t="shared" si="49"/>
        <v>&lt;ct4211&gt;0&lt;/ct4211&gt;</v>
      </c>
      <c r="B563" s="450" t="s">
        <v>1682</v>
      </c>
      <c r="C563" s="244">
        <f t="shared" si="50"/>
        <v>2</v>
      </c>
      <c r="D563" s="244">
        <f t="shared" si="51"/>
        <v>8</v>
      </c>
      <c r="E563" s="244">
        <f t="shared" si="52"/>
        <v>10</v>
      </c>
      <c r="G563" s="259" t="str">
        <f t="shared" si="53"/>
        <v>&lt;ct4211&gt;</v>
      </c>
      <c r="H563" s="260">
        <f>VLOOKUP(O563,BCDTK!$E$9:$L$132,4,0)</f>
        <v>0</v>
      </c>
      <c r="I563" s="261" t="str">
        <f t="shared" si="54"/>
        <v>&lt;/ct4211&gt;</v>
      </c>
      <c r="J563" s="262"/>
      <c r="K563" s="262"/>
      <c r="L563" s="262"/>
      <c r="M563" s="263"/>
      <c r="N563" s="265"/>
      <c r="O563" s="265">
        <v>4211</v>
      </c>
    </row>
    <row r="564" spans="1:15" x14ac:dyDescent="0.45">
      <c r="A564" s="253" t="str">
        <f t="shared" si="49"/>
        <v>&lt;ct4212&gt;0&lt;/ct4212&gt;</v>
      </c>
      <c r="B564" s="450" t="s">
        <v>1683</v>
      </c>
      <c r="C564" s="244">
        <f t="shared" si="50"/>
        <v>2</v>
      </c>
      <c r="D564" s="244">
        <f t="shared" si="51"/>
        <v>8</v>
      </c>
      <c r="E564" s="244">
        <f t="shared" si="52"/>
        <v>10</v>
      </c>
      <c r="G564" s="259" t="str">
        <f t="shared" si="53"/>
        <v>&lt;ct4212&gt;</v>
      </c>
      <c r="H564" s="260">
        <f>VLOOKUP(O564,BCDTK!$E$9:$L$132,4,0)</f>
        <v>0</v>
      </c>
      <c r="I564" s="261" t="str">
        <f t="shared" si="54"/>
        <v>&lt;/ct4212&gt;</v>
      </c>
      <c r="J564" s="262"/>
      <c r="K564" s="262"/>
      <c r="L564" s="262"/>
      <c r="M564" s="263"/>
      <c r="N564" s="265"/>
      <c r="O564" s="265">
        <v>4212</v>
      </c>
    </row>
    <row r="565" spans="1:15" x14ac:dyDescent="0.45">
      <c r="A565" s="253" t="str">
        <f t="shared" si="49"/>
        <v>&lt;ct511&gt;0&lt;/ct511&gt;</v>
      </c>
      <c r="B565" s="450" t="s">
        <v>1684</v>
      </c>
      <c r="C565" s="244">
        <f t="shared" si="50"/>
        <v>2</v>
      </c>
      <c r="D565" s="244">
        <f t="shared" si="51"/>
        <v>7</v>
      </c>
      <c r="E565" s="244">
        <f t="shared" si="52"/>
        <v>9</v>
      </c>
      <c r="G565" s="259" t="str">
        <f t="shared" si="53"/>
        <v>&lt;ct511&gt;</v>
      </c>
      <c r="H565" s="260">
        <f>VLOOKUP(O565,BCDTK!$E$9:$L$132,4,0)</f>
        <v>0</v>
      </c>
      <c r="I565" s="261" t="str">
        <f t="shared" si="54"/>
        <v>&lt;/ct511&gt;</v>
      </c>
      <c r="J565" s="262"/>
      <c r="K565" s="262"/>
      <c r="L565" s="262"/>
      <c r="M565" s="263"/>
      <c r="N565" s="265"/>
      <c r="O565" s="265">
        <v>511</v>
      </c>
    </row>
    <row r="566" spans="1:15" x14ac:dyDescent="0.45">
      <c r="A566" s="253" t="str">
        <f t="shared" si="49"/>
        <v>&lt;ct5111&gt;0&lt;/ct5111&gt;</v>
      </c>
      <c r="B566" s="450" t="s">
        <v>1685</v>
      </c>
      <c r="C566" s="244">
        <f t="shared" si="50"/>
        <v>2</v>
      </c>
      <c r="D566" s="244">
        <f t="shared" si="51"/>
        <v>8</v>
      </c>
      <c r="E566" s="244">
        <f t="shared" si="52"/>
        <v>10</v>
      </c>
      <c r="G566" s="259" t="str">
        <f t="shared" si="53"/>
        <v>&lt;ct5111&gt;</v>
      </c>
      <c r="H566" s="260">
        <f>VLOOKUP(O566,BCDTK!$E$9:$L$132,4,0)</f>
        <v>0</v>
      </c>
      <c r="I566" s="261" t="str">
        <f t="shared" si="54"/>
        <v>&lt;/ct5111&gt;</v>
      </c>
      <c r="J566" s="262"/>
      <c r="K566" s="262"/>
      <c r="L566" s="262"/>
      <c r="M566" s="263"/>
      <c r="N566" s="265"/>
      <c r="O566" s="265">
        <v>5111</v>
      </c>
    </row>
    <row r="567" spans="1:15" x14ac:dyDescent="0.45">
      <c r="A567" s="253" t="str">
        <f t="shared" si="49"/>
        <v>&lt;ct5112&gt;0&lt;/ct5112&gt;</v>
      </c>
      <c r="B567" s="450" t="s">
        <v>1686</v>
      </c>
      <c r="C567" s="244">
        <f t="shared" si="50"/>
        <v>2</v>
      </c>
      <c r="D567" s="244">
        <f t="shared" si="51"/>
        <v>8</v>
      </c>
      <c r="E567" s="244">
        <f t="shared" si="52"/>
        <v>10</v>
      </c>
      <c r="G567" s="259" t="str">
        <f t="shared" si="53"/>
        <v>&lt;ct5112&gt;</v>
      </c>
      <c r="H567" s="260">
        <f>VLOOKUP(O567,BCDTK!$E$9:$L$132,4,0)</f>
        <v>0</v>
      </c>
      <c r="I567" s="261" t="str">
        <f t="shared" si="54"/>
        <v>&lt;/ct5112&gt;</v>
      </c>
      <c r="J567" s="262"/>
      <c r="K567" s="262"/>
      <c r="L567" s="262"/>
      <c r="M567" s="263"/>
      <c r="N567" s="265"/>
      <c r="O567" s="265">
        <v>5112</v>
      </c>
    </row>
    <row r="568" spans="1:15" x14ac:dyDescent="0.45">
      <c r="A568" s="253" t="str">
        <f t="shared" si="49"/>
        <v>&lt;ct5113&gt;0&lt;/ct5113&gt;</v>
      </c>
      <c r="B568" s="450" t="s">
        <v>1687</v>
      </c>
      <c r="C568" s="244">
        <f t="shared" si="50"/>
        <v>2</v>
      </c>
      <c r="D568" s="244">
        <f t="shared" si="51"/>
        <v>8</v>
      </c>
      <c r="E568" s="244">
        <f t="shared" si="52"/>
        <v>10</v>
      </c>
      <c r="G568" s="259" t="str">
        <f t="shared" si="53"/>
        <v>&lt;ct5113&gt;</v>
      </c>
      <c r="H568" s="260">
        <f>VLOOKUP(O568,BCDTK!$E$9:$L$132,4,0)</f>
        <v>0</v>
      </c>
      <c r="I568" s="261" t="str">
        <f t="shared" si="54"/>
        <v>&lt;/ct5113&gt;</v>
      </c>
      <c r="J568" s="262"/>
      <c r="K568" s="262"/>
      <c r="L568" s="262"/>
      <c r="M568" s="263"/>
      <c r="O568" s="265">
        <v>5113</v>
      </c>
    </row>
    <row r="569" spans="1:15" x14ac:dyDescent="0.45">
      <c r="A569" s="253" t="str">
        <f t="shared" si="49"/>
        <v>&lt;ct5118&gt;0&lt;/ct5118&gt;</v>
      </c>
      <c r="B569" s="450" t="s">
        <v>1688</v>
      </c>
      <c r="C569" s="244">
        <f t="shared" si="50"/>
        <v>2</v>
      </c>
      <c r="D569" s="244">
        <f t="shared" si="51"/>
        <v>8</v>
      </c>
      <c r="E569" s="244">
        <f t="shared" si="52"/>
        <v>10</v>
      </c>
      <c r="G569" s="259" t="str">
        <f t="shared" si="53"/>
        <v>&lt;ct5118&gt;</v>
      </c>
      <c r="H569" s="260">
        <f>VLOOKUP(O569,BCDTK!$E$9:$L$132,4,0)</f>
        <v>0</v>
      </c>
      <c r="I569" s="261" t="str">
        <f t="shared" si="54"/>
        <v>&lt;/ct5118&gt;</v>
      </c>
      <c r="J569" s="262"/>
      <c r="K569" s="262"/>
      <c r="L569" s="262"/>
      <c r="M569" s="263"/>
      <c r="N569" s="265"/>
      <c r="O569" s="265">
        <v>5118</v>
      </c>
    </row>
    <row r="570" spans="1:15" x14ac:dyDescent="0.45">
      <c r="A570" s="253" t="str">
        <f t="shared" si="49"/>
        <v>&lt;ct515&gt;0&lt;/ct515&gt;</v>
      </c>
      <c r="B570" s="450" t="s">
        <v>1689</v>
      </c>
      <c r="C570" s="244">
        <f t="shared" si="50"/>
        <v>2</v>
      </c>
      <c r="D570" s="244">
        <f t="shared" si="51"/>
        <v>7</v>
      </c>
      <c r="E570" s="244">
        <f t="shared" si="52"/>
        <v>9</v>
      </c>
      <c r="G570" s="259" t="str">
        <f t="shared" si="53"/>
        <v>&lt;ct515&gt;</v>
      </c>
      <c r="H570" s="260">
        <f>VLOOKUP(O570,BCDTK!$E$9:$L$132,4,0)</f>
        <v>0</v>
      </c>
      <c r="I570" s="261" t="str">
        <f t="shared" si="54"/>
        <v>&lt;/ct515&gt;</v>
      </c>
      <c r="J570" s="262"/>
      <c r="K570" s="262"/>
      <c r="L570" s="262"/>
      <c r="M570" s="263"/>
      <c r="N570" s="265"/>
      <c r="O570" s="265">
        <v>515</v>
      </c>
    </row>
    <row r="571" spans="1:15" x14ac:dyDescent="0.45">
      <c r="A571" s="253" t="str">
        <f t="shared" si="49"/>
        <v>&lt;ct611&gt;0&lt;/ct611&gt;</v>
      </c>
      <c r="B571" s="450" t="s">
        <v>1690</v>
      </c>
      <c r="C571" s="244">
        <f t="shared" si="50"/>
        <v>2</v>
      </c>
      <c r="D571" s="244">
        <f t="shared" si="51"/>
        <v>7</v>
      </c>
      <c r="E571" s="244">
        <f t="shared" si="52"/>
        <v>9</v>
      </c>
      <c r="G571" s="259" t="str">
        <f t="shared" si="53"/>
        <v>&lt;ct611&gt;</v>
      </c>
      <c r="H571" s="260">
        <f>VLOOKUP(O571,BCDTK!$E$9:$L$132,4,0)</f>
        <v>0</v>
      </c>
      <c r="I571" s="261" t="str">
        <f t="shared" si="54"/>
        <v>&lt;/ct611&gt;</v>
      </c>
      <c r="J571" s="262"/>
      <c r="K571" s="262"/>
      <c r="L571" s="262"/>
      <c r="M571" s="263"/>
      <c r="N571" s="265"/>
      <c r="O571" s="265">
        <v>611</v>
      </c>
    </row>
    <row r="572" spans="1:15" x14ac:dyDescent="0.45">
      <c r="A572" s="253" t="str">
        <f t="shared" si="49"/>
        <v>&lt;ct631&gt;0&lt;/ct631&gt;</v>
      </c>
      <c r="B572" s="450" t="s">
        <v>1691</v>
      </c>
      <c r="C572" s="244">
        <f t="shared" si="50"/>
        <v>2</v>
      </c>
      <c r="D572" s="244">
        <f t="shared" si="51"/>
        <v>7</v>
      </c>
      <c r="E572" s="244">
        <f t="shared" si="52"/>
        <v>9</v>
      </c>
      <c r="G572" s="259" t="str">
        <f t="shared" si="53"/>
        <v>&lt;ct631&gt;</v>
      </c>
      <c r="H572" s="260">
        <f>VLOOKUP(O572,BCDTK!$E$9:$L$132,4,0)</f>
        <v>0</v>
      </c>
      <c r="I572" s="261" t="str">
        <f t="shared" si="54"/>
        <v>&lt;/ct631&gt;</v>
      </c>
      <c r="J572" s="262"/>
      <c r="K572" s="262"/>
      <c r="L572" s="262"/>
      <c r="M572" s="263"/>
      <c r="N572" s="265"/>
      <c r="O572" s="265">
        <v>631</v>
      </c>
    </row>
    <row r="573" spans="1:15" x14ac:dyDescent="0.45">
      <c r="A573" s="253" t="str">
        <f t="shared" si="49"/>
        <v>&lt;ct632&gt;0&lt;/ct632&gt;</v>
      </c>
      <c r="B573" s="450" t="s">
        <v>1692</v>
      </c>
      <c r="C573" s="244">
        <f t="shared" si="50"/>
        <v>2</v>
      </c>
      <c r="D573" s="244">
        <f t="shared" si="51"/>
        <v>7</v>
      </c>
      <c r="E573" s="244">
        <f t="shared" si="52"/>
        <v>9</v>
      </c>
      <c r="G573" s="259" t="str">
        <f t="shared" si="53"/>
        <v>&lt;ct632&gt;</v>
      </c>
      <c r="H573" s="260">
        <f>VLOOKUP(O573,BCDTK!$E$9:$L$132,4,0)</f>
        <v>0</v>
      </c>
      <c r="I573" s="261" t="str">
        <f t="shared" si="54"/>
        <v>&lt;/ct632&gt;</v>
      </c>
      <c r="J573" s="262"/>
      <c r="K573" s="262"/>
      <c r="L573" s="262"/>
      <c r="M573" s="263"/>
      <c r="N573" s="265"/>
      <c r="O573" s="265">
        <v>632</v>
      </c>
    </row>
    <row r="574" spans="1:15" x14ac:dyDescent="0.45">
      <c r="A574" s="253" t="str">
        <f t="shared" si="49"/>
        <v>&lt;ct635&gt;0&lt;/ct635&gt;</v>
      </c>
      <c r="B574" s="450" t="s">
        <v>1693</v>
      </c>
      <c r="C574" s="244">
        <f t="shared" si="50"/>
        <v>2</v>
      </c>
      <c r="D574" s="244">
        <f t="shared" si="51"/>
        <v>7</v>
      </c>
      <c r="E574" s="244">
        <f t="shared" si="52"/>
        <v>9</v>
      </c>
      <c r="G574" s="259" t="str">
        <f t="shared" si="53"/>
        <v>&lt;ct635&gt;</v>
      </c>
      <c r="H574" s="260">
        <f>VLOOKUP(O574,BCDTK!$E$9:$L$132,4,0)</f>
        <v>0</v>
      </c>
      <c r="I574" s="261" t="str">
        <f t="shared" si="54"/>
        <v>&lt;/ct635&gt;</v>
      </c>
      <c r="J574" s="262"/>
      <c r="K574" s="262"/>
      <c r="L574" s="262"/>
      <c r="M574" s="263"/>
      <c r="N574" s="265"/>
      <c r="O574" s="265">
        <v>635</v>
      </c>
    </row>
    <row r="575" spans="1:15" x14ac:dyDescent="0.45">
      <c r="A575" s="253" t="str">
        <f t="shared" si="49"/>
        <v>&lt;ct642&gt;0&lt;/ct642&gt;</v>
      </c>
      <c r="B575" s="450" t="s">
        <v>1694</v>
      </c>
      <c r="C575" s="244">
        <f t="shared" si="50"/>
        <v>2</v>
      </c>
      <c r="D575" s="244">
        <f t="shared" si="51"/>
        <v>7</v>
      </c>
      <c r="E575" s="244">
        <f t="shared" si="52"/>
        <v>9</v>
      </c>
      <c r="G575" s="259" t="str">
        <f t="shared" si="53"/>
        <v>&lt;ct642&gt;</v>
      </c>
      <c r="H575" s="260">
        <f>VLOOKUP(O575,BCDTK!$E$9:$L$132,4,0)</f>
        <v>0</v>
      </c>
      <c r="I575" s="261" t="str">
        <f t="shared" si="54"/>
        <v>&lt;/ct642&gt;</v>
      </c>
      <c r="J575" s="262"/>
      <c r="K575" s="262"/>
      <c r="L575" s="262"/>
      <c r="M575" s="263"/>
      <c r="N575" s="265"/>
      <c r="O575" s="265">
        <v>642</v>
      </c>
    </row>
    <row r="576" spans="1:15" x14ac:dyDescent="0.45">
      <c r="A576" s="253" t="str">
        <f t="shared" si="49"/>
        <v>&lt;ct6421&gt;0&lt;/ct6421&gt;</v>
      </c>
      <c r="B576" s="450" t="s">
        <v>1695</v>
      </c>
      <c r="C576" s="244">
        <f t="shared" si="50"/>
        <v>2</v>
      </c>
      <c r="D576" s="244">
        <f t="shared" si="51"/>
        <v>8</v>
      </c>
      <c r="E576" s="244">
        <f t="shared" si="52"/>
        <v>10</v>
      </c>
      <c r="G576" s="259" t="str">
        <f t="shared" si="53"/>
        <v>&lt;ct6421&gt;</v>
      </c>
      <c r="H576" s="260">
        <f>VLOOKUP(O576,BCDTK!$E$9:$L$132,4,0)</f>
        <v>0</v>
      </c>
      <c r="I576" s="261" t="str">
        <f t="shared" si="54"/>
        <v>&lt;/ct6421&gt;</v>
      </c>
      <c r="J576" s="262"/>
      <c r="K576" s="262"/>
      <c r="L576" s="262"/>
      <c r="M576" s="263"/>
      <c r="N576" s="265"/>
      <c r="O576" s="265">
        <v>6421</v>
      </c>
    </row>
    <row r="577" spans="1:15" x14ac:dyDescent="0.45">
      <c r="A577" s="253" t="str">
        <f t="shared" si="49"/>
        <v>&lt;ct6422&gt;0&lt;/ct6422&gt;</v>
      </c>
      <c r="B577" s="450" t="s">
        <v>1696</v>
      </c>
      <c r="C577" s="244">
        <f t="shared" si="50"/>
        <v>2</v>
      </c>
      <c r="D577" s="244">
        <f t="shared" si="51"/>
        <v>8</v>
      </c>
      <c r="E577" s="244">
        <f t="shared" si="52"/>
        <v>10</v>
      </c>
      <c r="G577" s="259" t="str">
        <f t="shared" si="53"/>
        <v>&lt;ct6422&gt;</v>
      </c>
      <c r="H577" s="260">
        <f>VLOOKUP(O577,BCDTK!$E$9:$L$132,4,0)</f>
        <v>0</v>
      </c>
      <c r="I577" s="261" t="str">
        <f t="shared" si="54"/>
        <v>&lt;/ct6422&gt;</v>
      </c>
      <c r="J577" s="262"/>
      <c r="K577" s="262"/>
      <c r="L577" s="262"/>
      <c r="M577" s="263"/>
      <c r="N577" s="265"/>
      <c r="O577" s="265">
        <v>6422</v>
      </c>
    </row>
    <row r="578" spans="1:15" x14ac:dyDescent="0.45">
      <c r="A578" s="253" t="str">
        <f t="shared" si="49"/>
        <v>&lt;ct711&gt;0&lt;/ct711&gt;</v>
      </c>
      <c r="B578" s="450" t="s">
        <v>1697</v>
      </c>
      <c r="C578" s="244">
        <f t="shared" si="50"/>
        <v>2</v>
      </c>
      <c r="D578" s="244">
        <f t="shared" si="51"/>
        <v>7</v>
      </c>
      <c r="E578" s="244">
        <f t="shared" si="52"/>
        <v>9</v>
      </c>
      <c r="G578" s="259" t="str">
        <f t="shared" si="53"/>
        <v>&lt;ct711&gt;</v>
      </c>
      <c r="H578" s="260">
        <f>VLOOKUP(O578,BCDTK!$E$9:$L$132,4,0)</f>
        <v>0</v>
      </c>
      <c r="I578" s="261" t="str">
        <f t="shared" si="54"/>
        <v>&lt;/ct711&gt;</v>
      </c>
      <c r="J578" s="262"/>
      <c r="K578" s="262"/>
      <c r="L578" s="262"/>
      <c r="M578" s="263"/>
      <c r="N578" s="265"/>
      <c r="O578" s="265">
        <v>711</v>
      </c>
    </row>
    <row r="579" spans="1:15" x14ac:dyDescent="0.45">
      <c r="A579" s="253" t="str">
        <f t="shared" si="49"/>
        <v>&lt;ct811&gt;0&lt;/ct811&gt;</v>
      </c>
      <c r="B579" s="450" t="s">
        <v>1698</v>
      </c>
      <c r="C579" s="244">
        <f t="shared" si="50"/>
        <v>2</v>
      </c>
      <c r="D579" s="244">
        <f t="shared" si="51"/>
        <v>7</v>
      </c>
      <c r="E579" s="244">
        <f t="shared" si="52"/>
        <v>9</v>
      </c>
      <c r="G579" s="259" t="str">
        <f t="shared" si="53"/>
        <v>&lt;ct811&gt;</v>
      </c>
      <c r="H579" s="260">
        <f>VLOOKUP(O579,BCDTK!$E$9:$L$132,4,0)</f>
        <v>0</v>
      </c>
      <c r="I579" s="261" t="str">
        <f t="shared" si="54"/>
        <v>&lt;/ct811&gt;</v>
      </c>
      <c r="J579" s="262"/>
      <c r="K579" s="262"/>
      <c r="L579" s="262"/>
      <c r="M579" s="263"/>
      <c r="N579" s="265"/>
      <c r="O579" s="265">
        <v>811</v>
      </c>
    </row>
    <row r="580" spans="1:15" x14ac:dyDescent="0.45">
      <c r="A580" s="253" t="str">
        <f t="shared" ref="A580:A643" si="55">CONCATENATE(G580,H580,I580)</f>
        <v>&lt;ct821&gt;0&lt;/ct821&gt;</v>
      </c>
      <c r="B580" s="450" t="s">
        <v>1699</v>
      </c>
      <c r="C580" s="244">
        <f t="shared" si="50"/>
        <v>2</v>
      </c>
      <c r="D580" s="244">
        <f t="shared" si="51"/>
        <v>7</v>
      </c>
      <c r="E580" s="244">
        <f t="shared" si="52"/>
        <v>9</v>
      </c>
      <c r="G580" s="259" t="str">
        <f t="shared" si="53"/>
        <v>&lt;ct821&gt;</v>
      </c>
      <c r="H580" s="260">
        <f>VLOOKUP(O580,BCDTK!$E$9:$L$132,4,0)</f>
        <v>0</v>
      </c>
      <c r="I580" s="261" t="str">
        <f t="shared" si="54"/>
        <v>&lt;/ct821&gt;</v>
      </c>
      <c r="J580" s="262"/>
      <c r="K580" s="262"/>
      <c r="L580" s="262"/>
      <c r="M580" s="263"/>
      <c r="N580" s="265"/>
      <c r="O580" s="265">
        <v>821</v>
      </c>
    </row>
    <row r="581" spans="1:15" x14ac:dyDescent="0.45">
      <c r="A581" s="253" t="str">
        <f t="shared" si="55"/>
        <v>&lt;ct911&gt;0&lt;/ct911&gt;</v>
      </c>
      <c r="B581" s="450" t="s">
        <v>1700</v>
      </c>
      <c r="C581" s="244">
        <f t="shared" si="50"/>
        <v>2</v>
      </c>
      <c r="D581" s="244">
        <f t="shared" si="51"/>
        <v>7</v>
      </c>
      <c r="E581" s="244">
        <f t="shared" si="52"/>
        <v>9</v>
      </c>
      <c r="G581" s="259" t="str">
        <f t="shared" si="53"/>
        <v>&lt;ct911&gt;</v>
      </c>
      <c r="H581" s="260">
        <f>VLOOKUP(O581,BCDTK!$E$9:$L$132,4,0)</f>
        <v>0</v>
      </c>
      <c r="I581" s="261" t="str">
        <f t="shared" si="54"/>
        <v>&lt;/ct911&gt;</v>
      </c>
      <c r="J581" s="262"/>
      <c r="K581" s="262"/>
      <c r="L581" s="262"/>
      <c r="M581" s="263"/>
      <c r="N581" s="265"/>
      <c r="O581" s="265">
        <v>911</v>
      </c>
    </row>
    <row r="582" spans="1:15" x14ac:dyDescent="0.45">
      <c r="A582" s="253" t="str">
        <f t="shared" si="55"/>
        <v>&lt;tongCong&gt;505015463&lt;/tongCong&gt;</v>
      </c>
      <c r="B582" s="450" t="s">
        <v>1701</v>
      </c>
      <c r="C582" s="244">
        <f t="shared" si="50"/>
        <v>2</v>
      </c>
      <c r="D582" s="244">
        <f t="shared" si="51"/>
        <v>10</v>
      </c>
      <c r="E582" s="244">
        <f t="shared" si="52"/>
        <v>12</v>
      </c>
      <c r="G582" s="259" t="str">
        <f t="shared" si="53"/>
        <v>&lt;tongCong&gt;</v>
      </c>
      <c r="H582" s="260">
        <f>VLOOKUP(O582,BCDTK!$E$9:$L$132,4,0)</f>
        <v>505015463</v>
      </c>
      <c r="I582" s="261" t="str">
        <f t="shared" si="54"/>
        <v>&lt;/tongCong&gt;</v>
      </c>
      <c r="J582" s="262"/>
      <c r="K582" s="262"/>
      <c r="L582" s="262"/>
      <c r="M582" s="263"/>
      <c r="N582" s="265"/>
      <c r="O582" s="265" t="s">
        <v>1794</v>
      </c>
    </row>
    <row r="583" spans="1:15" x14ac:dyDescent="0.45">
      <c r="A583" s="253" t="str">
        <f t="shared" si="55"/>
        <v>&lt;/Co&gt;</v>
      </c>
      <c r="B583" s="450" t="s">
        <v>1704</v>
      </c>
      <c r="C583" s="244">
        <f t="shared" si="50"/>
        <v>1</v>
      </c>
      <c r="D583" s="244">
        <f t="shared" si="51"/>
        <v>5</v>
      </c>
      <c r="E583" s="244">
        <f t="shared" si="52"/>
        <v>1</v>
      </c>
      <c r="G583" s="259" t="str">
        <f t="shared" si="53"/>
        <v>&lt;/Co&gt;</v>
      </c>
      <c r="H583" s="260"/>
      <c r="I583" s="261" t="str">
        <f t="shared" si="54"/>
        <v/>
      </c>
      <c r="J583" s="262"/>
      <c r="K583" s="262"/>
      <c r="L583" s="262"/>
      <c r="M583" s="263"/>
      <c r="N583" s="265"/>
    </row>
    <row r="584" spans="1:15" x14ac:dyDescent="0.45">
      <c r="A584" s="253" t="str">
        <f t="shared" si="55"/>
        <v>&lt;/SoDuDauKy&gt;</v>
      </c>
      <c r="B584" s="450" t="s">
        <v>1705</v>
      </c>
      <c r="C584" s="244">
        <f t="shared" si="50"/>
        <v>1</v>
      </c>
      <c r="D584" s="244">
        <f t="shared" si="51"/>
        <v>12</v>
      </c>
      <c r="E584" s="244">
        <f t="shared" si="52"/>
        <v>1</v>
      </c>
      <c r="G584" s="259" t="str">
        <f t="shared" si="53"/>
        <v>&lt;/SoDuDauKy&gt;</v>
      </c>
      <c r="H584" s="260"/>
      <c r="I584" s="261" t="str">
        <f t="shared" si="54"/>
        <v/>
      </c>
      <c r="J584" s="262"/>
      <c r="K584" s="262"/>
      <c r="L584" s="262"/>
      <c r="M584" s="263"/>
      <c r="N584" s="265"/>
    </row>
    <row r="585" spans="1:15" x14ac:dyDescent="0.45">
      <c r="A585" s="253" t="str">
        <f t="shared" si="55"/>
        <v>&lt;SoPhatSinhTrongKy&gt;</v>
      </c>
      <c r="B585" s="450" t="s">
        <v>1706</v>
      </c>
      <c r="C585" s="244">
        <f t="shared" ref="C585:C648" si="56">LEN(B585)-LEN(SUBSTITUTE(B585,"&lt;",""))</f>
        <v>1</v>
      </c>
      <c r="D585" s="244">
        <f t="shared" ref="D585:D648" si="57">SEARCH("&gt;",B585)</f>
        <v>19</v>
      </c>
      <c r="E585" s="244" t="str">
        <f t="shared" ref="E585:E648" si="58">IFERROR(SEARCH("&lt;/",B585),"")</f>
        <v/>
      </c>
      <c r="G585" s="259" t="str">
        <f t="shared" ref="G585:G648" si="59">LEFT(B585,D585)</f>
        <v>&lt;SoPhatSinhTrongKy&gt;</v>
      </c>
      <c r="H585" s="260"/>
      <c r="I585" s="261" t="str">
        <f t="shared" ref="I585:I648" si="60">IF(C585=2,RIGHT(B585,LEN(B585)-E585+1),"")</f>
        <v/>
      </c>
      <c r="J585" s="262"/>
      <c r="K585" s="262"/>
      <c r="L585" s="262"/>
      <c r="M585" s="263"/>
      <c r="N585" s="265"/>
    </row>
    <row r="586" spans="1:15" x14ac:dyDescent="0.45">
      <c r="A586" s="253" t="str">
        <f t="shared" si="55"/>
        <v>&lt;No&gt;</v>
      </c>
      <c r="B586" s="450" t="s">
        <v>1586</v>
      </c>
      <c r="C586" s="244">
        <f t="shared" si="56"/>
        <v>1</v>
      </c>
      <c r="D586" s="244">
        <f t="shared" si="57"/>
        <v>4</v>
      </c>
      <c r="E586" s="244" t="str">
        <f t="shared" si="58"/>
        <v/>
      </c>
      <c r="G586" s="259" t="str">
        <f t="shared" si="59"/>
        <v>&lt;No&gt;</v>
      </c>
      <c r="H586" s="260"/>
      <c r="I586" s="261" t="str">
        <f t="shared" si="60"/>
        <v/>
      </c>
      <c r="J586" s="262"/>
      <c r="K586" s="262"/>
      <c r="L586" s="262"/>
      <c r="M586" s="263"/>
      <c r="N586" s="265"/>
    </row>
    <row r="587" spans="1:15" x14ac:dyDescent="0.45">
      <c r="A587" s="253" t="str">
        <f t="shared" si="55"/>
        <v>&lt;ct111&gt;243367380&lt;/ct111&gt;</v>
      </c>
      <c r="B587" s="450" t="s">
        <v>1587</v>
      </c>
      <c r="C587" s="244">
        <f t="shared" si="56"/>
        <v>2</v>
      </c>
      <c r="D587" s="244">
        <f t="shared" si="57"/>
        <v>7</v>
      </c>
      <c r="E587" s="244">
        <f t="shared" si="58"/>
        <v>9</v>
      </c>
      <c r="G587" s="259" t="str">
        <f t="shared" si="59"/>
        <v>&lt;ct111&gt;</v>
      </c>
      <c r="H587" s="260">
        <f>VLOOKUP(O587,BCDTK!$E$9:$L$132,5,0)</f>
        <v>243367380</v>
      </c>
      <c r="I587" s="261" t="str">
        <f t="shared" si="60"/>
        <v>&lt;/ct111&gt;</v>
      </c>
      <c r="J587" s="262"/>
      <c r="K587" s="262"/>
      <c r="L587" s="262"/>
      <c r="M587" s="263"/>
      <c r="N587" s="265"/>
      <c r="O587" s="265">
        <v>111</v>
      </c>
    </row>
    <row r="588" spans="1:15" x14ac:dyDescent="0.45">
      <c r="A588" s="253" t="str">
        <f t="shared" si="55"/>
        <v>&lt;ct1111&gt;243367380&lt;/ct1111&gt;</v>
      </c>
      <c r="B588" s="450" t="s">
        <v>1588</v>
      </c>
      <c r="C588" s="244">
        <f t="shared" si="56"/>
        <v>2</v>
      </c>
      <c r="D588" s="244">
        <f t="shared" si="57"/>
        <v>8</v>
      </c>
      <c r="E588" s="244">
        <f t="shared" si="58"/>
        <v>10</v>
      </c>
      <c r="G588" s="259" t="str">
        <f t="shared" si="59"/>
        <v>&lt;ct1111&gt;</v>
      </c>
      <c r="H588" s="260">
        <f>VLOOKUP(O588,BCDTK!$E$9:$L$132,5,0)</f>
        <v>243367380</v>
      </c>
      <c r="I588" s="261" t="str">
        <f t="shared" si="60"/>
        <v>&lt;/ct1111&gt;</v>
      </c>
      <c r="J588" s="262"/>
      <c r="K588" s="262"/>
      <c r="L588" s="262"/>
      <c r="M588" s="263"/>
      <c r="N588" s="265"/>
      <c r="O588" s="265">
        <v>1111</v>
      </c>
    </row>
    <row r="589" spans="1:15" x14ac:dyDescent="0.45">
      <c r="A589" s="253" t="str">
        <f t="shared" si="55"/>
        <v>&lt;ct1112&gt;0&lt;/ct1112&gt;</v>
      </c>
      <c r="B589" s="450" t="s">
        <v>1589</v>
      </c>
      <c r="C589" s="244">
        <f t="shared" si="56"/>
        <v>2</v>
      </c>
      <c r="D589" s="244">
        <f t="shared" si="57"/>
        <v>8</v>
      </c>
      <c r="E589" s="244">
        <f t="shared" si="58"/>
        <v>10</v>
      </c>
      <c r="G589" s="259" t="str">
        <f t="shared" si="59"/>
        <v>&lt;ct1112&gt;</v>
      </c>
      <c r="H589" s="260">
        <f>VLOOKUP(O589,BCDTK!$E$9:$L$132,5,0)</f>
        <v>0</v>
      </c>
      <c r="I589" s="261" t="str">
        <f t="shared" si="60"/>
        <v>&lt;/ct1112&gt;</v>
      </c>
      <c r="J589" s="262"/>
      <c r="K589" s="262"/>
      <c r="L589" s="262"/>
      <c r="M589" s="263"/>
      <c r="N589" s="265"/>
      <c r="O589" s="265">
        <v>1112</v>
      </c>
    </row>
    <row r="590" spans="1:15" x14ac:dyDescent="0.45">
      <c r="A590" s="253" t="str">
        <f t="shared" si="55"/>
        <v>&lt;ct112&gt;380885904&lt;/ct112&gt;</v>
      </c>
      <c r="B590" s="450" t="s">
        <v>1590</v>
      </c>
      <c r="C590" s="244">
        <f t="shared" si="56"/>
        <v>2</v>
      </c>
      <c r="D590" s="244">
        <f t="shared" si="57"/>
        <v>7</v>
      </c>
      <c r="E590" s="244">
        <f t="shared" si="58"/>
        <v>9</v>
      </c>
      <c r="G590" s="259" t="str">
        <f t="shared" si="59"/>
        <v>&lt;ct112&gt;</v>
      </c>
      <c r="H590" s="260">
        <f>VLOOKUP(O590,BCDTK!$E$9:$L$132,5,0)</f>
        <v>380885904</v>
      </c>
      <c r="I590" s="261" t="str">
        <f t="shared" si="60"/>
        <v>&lt;/ct112&gt;</v>
      </c>
      <c r="J590" s="262"/>
      <c r="K590" s="262"/>
      <c r="L590" s="262"/>
      <c r="M590" s="263"/>
      <c r="N590" s="265"/>
      <c r="O590" s="265">
        <v>112</v>
      </c>
    </row>
    <row r="591" spans="1:15" x14ac:dyDescent="0.45">
      <c r="A591" s="253" t="str">
        <f t="shared" si="55"/>
        <v>&lt;ct1121&gt;380885904&lt;/ct1121&gt;</v>
      </c>
      <c r="B591" s="450" t="s">
        <v>1591</v>
      </c>
      <c r="C591" s="244">
        <f t="shared" si="56"/>
        <v>2</v>
      </c>
      <c r="D591" s="244">
        <f t="shared" si="57"/>
        <v>8</v>
      </c>
      <c r="E591" s="244">
        <f t="shared" si="58"/>
        <v>10</v>
      </c>
      <c r="G591" s="259" t="str">
        <f t="shared" si="59"/>
        <v>&lt;ct1121&gt;</v>
      </c>
      <c r="H591" s="260">
        <f>VLOOKUP(O591,BCDTK!$E$9:$L$132,5,0)</f>
        <v>380885904</v>
      </c>
      <c r="I591" s="261" t="str">
        <f t="shared" si="60"/>
        <v>&lt;/ct1121&gt;</v>
      </c>
      <c r="J591" s="262"/>
      <c r="K591" s="262"/>
      <c r="L591" s="262"/>
      <c r="M591" s="263"/>
      <c r="N591" s="265"/>
      <c r="O591" s="265">
        <v>1121</v>
      </c>
    </row>
    <row r="592" spans="1:15" x14ac:dyDescent="0.45">
      <c r="A592" s="253" t="str">
        <f t="shared" si="55"/>
        <v>&lt;ct1122&gt;0&lt;/ct1122&gt;</v>
      </c>
      <c r="B592" s="450" t="s">
        <v>1592</v>
      </c>
      <c r="C592" s="244">
        <f t="shared" si="56"/>
        <v>2</v>
      </c>
      <c r="D592" s="244">
        <f t="shared" si="57"/>
        <v>8</v>
      </c>
      <c r="E592" s="244">
        <f t="shared" si="58"/>
        <v>10</v>
      </c>
      <c r="G592" s="259" t="str">
        <f t="shared" si="59"/>
        <v>&lt;ct1122&gt;</v>
      </c>
      <c r="H592" s="260">
        <f>VLOOKUP(O592,BCDTK!$E$9:$L$132,5,0)</f>
        <v>0</v>
      </c>
      <c r="I592" s="261" t="str">
        <f t="shared" si="60"/>
        <v>&lt;/ct1122&gt;</v>
      </c>
      <c r="J592" s="262"/>
      <c r="K592" s="262"/>
      <c r="L592" s="262"/>
      <c r="M592" s="263"/>
      <c r="N592" s="265"/>
      <c r="O592" s="265">
        <v>1122</v>
      </c>
    </row>
    <row r="593" spans="1:15" x14ac:dyDescent="0.45">
      <c r="A593" s="253" t="str">
        <f t="shared" si="55"/>
        <v>&lt;ct121&gt;0&lt;/ct121&gt;</v>
      </c>
      <c r="B593" s="450" t="s">
        <v>1461</v>
      </c>
      <c r="C593" s="244">
        <f t="shared" si="56"/>
        <v>2</v>
      </c>
      <c r="D593" s="244">
        <f t="shared" si="57"/>
        <v>7</v>
      </c>
      <c r="E593" s="244">
        <f t="shared" si="58"/>
        <v>9</v>
      </c>
      <c r="G593" s="259" t="str">
        <f t="shared" si="59"/>
        <v>&lt;ct121&gt;</v>
      </c>
      <c r="H593" s="260">
        <f>VLOOKUP(O593,BCDTK!$E$9:$L$132,5,0)</f>
        <v>0</v>
      </c>
      <c r="I593" s="261" t="str">
        <f t="shared" si="60"/>
        <v>&lt;/ct121&gt;</v>
      </c>
      <c r="J593" s="262"/>
      <c r="K593" s="262"/>
      <c r="L593" s="262"/>
      <c r="M593" s="263"/>
      <c r="N593" s="265"/>
      <c r="O593" s="265">
        <v>121</v>
      </c>
    </row>
    <row r="594" spans="1:15" x14ac:dyDescent="0.45">
      <c r="A594" s="253" t="str">
        <f t="shared" si="55"/>
        <v>&lt;ct128&gt;0&lt;/ct128&gt;</v>
      </c>
      <c r="B594" s="450" t="s">
        <v>1593</v>
      </c>
      <c r="C594" s="244">
        <f t="shared" si="56"/>
        <v>2</v>
      </c>
      <c r="D594" s="244">
        <f t="shared" si="57"/>
        <v>7</v>
      </c>
      <c r="E594" s="244">
        <f t="shared" si="58"/>
        <v>9</v>
      </c>
      <c r="G594" s="259" t="str">
        <f t="shared" si="59"/>
        <v>&lt;ct128&gt;</v>
      </c>
      <c r="H594" s="260">
        <f>VLOOKUP(O594,BCDTK!$E$9:$L$132,5,0)</f>
        <v>0</v>
      </c>
      <c r="I594" s="261" t="str">
        <f t="shared" si="60"/>
        <v>&lt;/ct128&gt;</v>
      </c>
      <c r="J594" s="262"/>
      <c r="K594" s="262"/>
      <c r="L594" s="262"/>
      <c r="M594" s="263"/>
      <c r="N594" s="265"/>
      <c r="O594" s="265">
        <v>128</v>
      </c>
    </row>
    <row r="595" spans="1:15" x14ac:dyDescent="0.45">
      <c r="A595" s="253" t="str">
        <f t="shared" si="55"/>
        <v>&lt;ct1281&gt;0&lt;/ct1281&gt;</v>
      </c>
      <c r="B595" s="450" t="s">
        <v>1594</v>
      </c>
      <c r="C595" s="244">
        <f t="shared" si="56"/>
        <v>2</v>
      </c>
      <c r="D595" s="244">
        <f t="shared" si="57"/>
        <v>8</v>
      </c>
      <c r="E595" s="244">
        <f t="shared" si="58"/>
        <v>10</v>
      </c>
      <c r="G595" s="259" t="str">
        <f t="shared" si="59"/>
        <v>&lt;ct1281&gt;</v>
      </c>
      <c r="H595" s="260">
        <f>VLOOKUP(O595,BCDTK!$E$9:$L$132,5,0)</f>
        <v>0</v>
      </c>
      <c r="I595" s="261" t="str">
        <f t="shared" si="60"/>
        <v>&lt;/ct1281&gt;</v>
      </c>
      <c r="J595" s="262"/>
      <c r="K595" s="262"/>
      <c r="L595" s="262"/>
      <c r="M595" s="263"/>
      <c r="N595" s="265"/>
      <c r="O595" s="265">
        <v>1281</v>
      </c>
    </row>
    <row r="596" spans="1:15" x14ac:dyDescent="0.45">
      <c r="A596" s="253" t="str">
        <f t="shared" si="55"/>
        <v>&lt;ct1288&gt;0&lt;/ct1288&gt;</v>
      </c>
      <c r="B596" s="450" t="s">
        <v>1595</v>
      </c>
      <c r="C596" s="244">
        <f t="shared" si="56"/>
        <v>2</v>
      </c>
      <c r="D596" s="244">
        <f t="shared" si="57"/>
        <v>8</v>
      </c>
      <c r="E596" s="244">
        <f t="shared" si="58"/>
        <v>10</v>
      </c>
      <c r="G596" s="259" t="str">
        <f t="shared" si="59"/>
        <v>&lt;ct1288&gt;</v>
      </c>
      <c r="H596" s="260">
        <f>VLOOKUP(O596,BCDTK!$E$9:$L$132,5,0)</f>
        <v>0</v>
      </c>
      <c r="I596" s="261" t="str">
        <f t="shared" si="60"/>
        <v>&lt;/ct1288&gt;</v>
      </c>
      <c r="J596" s="262"/>
      <c r="K596" s="262"/>
      <c r="L596" s="262"/>
      <c r="M596" s="263"/>
      <c r="N596" s="265"/>
      <c r="O596" s="265">
        <v>1288</v>
      </c>
    </row>
    <row r="597" spans="1:15" x14ac:dyDescent="0.45">
      <c r="A597" s="253" t="str">
        <f t="shared" si="55"/>
        <v>&lt;ct131&gt;54240000&lt;/ct131&gt;</v>
      </c>
      <c r="B597" s="450" t="s">
        <v>1510</v>
      </c>
      <c r="C597" s="244">
        <f t="shared" si="56"/>
        <v>2</v>
      </c>
      <c r="D597" s="244">
        <f t="shared" si="57"/>
        <v>7</v>
      </c>
      <c r="E597" s="244">
        <f t="shared" si="58"/>
        <v>9</v>
      </c>
      <c r="G597" s="259" t="str">
        <f t="shared" si="59"/>
        <v>&lt;ct131&gt;</v>
      </c>
      <c r="H597" s="260">
        <f>VLOOKUP(O597,BCDTK!$E$9:$L$132,5,0)</f>
        <v>54240000</v>
      </c>
      <c r="I597" s="261" t="str">
        <f t="shared" si="60"/>
        <v>&lt;/ct131&gt;</v>
      </c>
      <c r="J597" s="262"/>
      <c r="K597" s="262"/>
      <c r="L597" s="262"/>
      <c r="M597" s="263"/>
      <c r="N597" s="265"/>
      <c r="O597" s="265">
        <v>131</v>
      </c>
    </row>
    <row r="598" spans="1:15" x14ac:dyDescent="0.45">
      <c r="A598" s="253" t="str">
        <f t="shared" si="55"/>
        <v>&lt;ct133&gt;40645620&lt;/ct133&gt;</v>
      </c>
      <c r="B598" s="450" t="s">
        <v>1468</v>
      </c>
      <c r="C598" s="244">
        <f t="shared" si="56"/>
        <v>2</v>
      </c>
      <c r="D598" s="244">
        <f t="shared" si="57"/>
        <v>7</v>
      </c>
      <c r="E598" s="244">
        <f t="shared" si="58"/>
        <v>9</v>
      </c>
      <c r="G598" s="259" t="str">
        <f t="shared" si="59"/>
        <v>&lt;ct133&gt;</v>
      </c>
      <c r="H598" s="260">
        <f>VLOOKUP(O598,BCDTK!$E$9:$L$132,5,0)</f>
        <v>40645620</v>
      </c>
      <c r="I598" s="261" t="str">
        <f t="shared" si="60"/>
        <v>&lt;/ct133&gt;</v>
      </c>
      <c r="J598" s="262"/>
      <c r="K598" s="262"/>
      <c r="L598" s="262"/>
      <c r="M598" s="263"/>
      <c r="N598" s="265"/>
      <c r="O598" s="265">
        <v>133</v>
      </c>
    </row>
    <row r="599" spans="1:15" x14ac:dyDescent="0.45">
      <c r="A599" s="253" t="str">
        <f t="shared" si="55"/>
        <v>&lt;ct1331&gt;40645620&lt;/ct1331&gt;</v>
      </c>
      <c r="B599" s="450" t="s">
        <v>1596</v>
      </c>
      <c r="C599" s="244">
        <f t="shared" si="56"/>
        <v>2</v>
      </c>
      <c r="D599" s="244">
        <f t="shared" si="57"/>
        <v>8</v>
      </c>
      <c r="E599" s="244">
        <f t="shared" si="58"/>
        <v>10</v>
      </c>
      <c r="G599" s="259" t="str">
        <f t="shared" si="59"/>
        <v>&lt;ct1331&gt;</v>
      </c>
      <c r="H599" s="260">
        <f>VLOOKUP(O599,BCDTK!$E$9:$L$132,5,0)</f>
        <v>40645620</v>
      </c>
      <c r="I599" s="261" t="str">
        <f t="shared" si="60"/>
        <v>&lt;/ct1331&gt;</v>
      </c>
      <c r="J599" s="262"/>
      <c r="K599" s="262"/>
      <c r="L599" s="262"/>
      <c r="M599" s="263"/>
      <c r="N599" s="265"/>
      <c r="O599" s="265">
        <v>1331</v>
      </c>
    </row>
    <row r="600" spans="1:15" x14ac:dyDescent="0.45">
      <c r="A600" s="253" t="str">
        <f t="shared" si="55"/>
        <v>&lt;ct1332&gt;0&lt;/ct1332&gt;</v>
      </c>
      <c r="B600" s="450" t="s">
        <v>1597</v>
      </c>
      <c r="C600" s="244">
        <f t="shared" si="56"/>
        <v>2</v>
      </c>
      <c r="D600" s="244">
        <f t="shared" si="57"/>
        <v>8</v>
      </c>
      <c r="E600" s="244">
        <f t="shared" si="58"/>
        <v>10</v>
      </c>
      <c r="G600" s="259" t="str">
        <f t="shared" si="59"/>
        <v>&lt;ct1332&gt;</v>
      </c>
      <c r="H600" s="260">
        <f>VLOOKUP(O600,BCDTK!$E$9:$L$132,5,0)</f>
        <v>0</v>
      </c>
      <c r="I600" s="261" t="str">
        <f t="shared" si="60"/>
        <v>&lt;/ct1332&gt;</v>
      </c>
      <c r="J600" s="262"/>
      <c r="K600" s="262"/>
      <c r="L600" s="262"/>
      <c r="M600" s="263"/>
      <c r="N600" s="265"/>
      <c r="O600" s="265">
        <v>1332</v>
      </c>
    </row>
    <row r="601" spans="1:15" x14ac:dyDescent="0.45">
      <c r="A601" s="253" t="str">
        <f t="shared" si="55"/>
        <v>&lt;ct136&gt;0&lt;/ct136&gt;</v>
      </c>
      <c r="B601" s="450" t="s">
        <v>1471</v>
      </c>
      <c r="C601" s="244">
        <f t="shared" si="56"/>
        <v>2</v>
      </c>
      <c r="D601" s="244">
        <f t="shared" si="57"/>
        <v>7</v>
      </c>
      <c r="E601" s="244">
        <f t="shared" si="58"/>
        <v>9</v>
      </c>
      <c r="G601" s="259" t="str">
        <f t="shared" si="59"/>
        <v>&lt;ct136&gt;</v>
      </c>
      <c r="H601" s="260">
        <f>VLOOKUP(O601,BCDTK!$E$9:$L$132,5,0)</f>
        <v>0</v>
      </c>
      <c r="I601" s="261" t="str">
        <f t="shared" si="60"/>
        <v>&lt;/ct136&gt;</v>
      </c>
      <c r="J601" s="262"/>
      <c r="K601" s="262"/>
      <c r="L601" s="262"/>
      <c r="M601" s="263"/>
      <c r="N601" s="265"/>
      <c r="O601" s="265">
        <v>136</v>
      </c>
    </row>
    <row r="602" spans="1:15" x14ac:dyDescent="0.45">
      <c r="A602" s="253" t="str">
        <f t="shared" si="55"/>
        <v>&lt;ct1361&gt;0&lt;/ct1361&gt;</v>
      </c>
      <c r="B602" s="450" t="s">
        <v>1598</v>
      </c>
      <c r="C602" s="244">
        <f t="shared" si="56"/>
        <v>2</v>
      </c>
      <c r="D602" s="244">
        <f t="shared" si="57"/>
        <v>8</v>
      </c>
      <c r="E602" s="244">
        <f t="shared" si="58"/>
        <v>10</v>
      </c>
      <c r="G602" s="259" t="str">
        <f t="shared" si="59"/>
        <v>&lt;ct1361&gt;</v>
      </c>
      <c r="H602" s="260">
        <f>VLOOKUP(O602,BCDTK!$E$9:$L$132,5,0)</f>
        <v>0</v>
      </c>
      <c r="I602" s="261" t="str">
        <f t="shared" si="60"/>
        <v>&lt;/ct1361&gt;</v>
      </c>
      <c r="J602" s="262"/>
      <c r="K602" s="262"/>
      <c r="L602" s="262"/>
      <c r="M602" s="263"/>
      <c r="N602" s="265"/>
      <c r="O602" s="265">
        <v>1361</v>
      </c>
    </row>
    <row r="603" spans="1:15" x14ac:dyDescent="0.45">
      <c r="A603" s="253" t="str">
        <f t="shared" si="55"/>
        <v>&lt;ct1368&gt;0&lt;/ct1368&gt;</v>
      </c>
      <c r="B603" s="450" t="s">
        <v>1599</v>
      </c>
      <c r="C603" s="244">
        <f t="shared" si="56"/>
        <v>2</v>
      </c>
      <c r="D603" s="244">
        <f t="shared" si="57"/>
        <v>8</v>
      </c>
      <c r="E603" s="244">
        <f t="shared" si="58"/>
        <v>10</v>
      </c>
      <c r="G603" s="259" t="str">
        <f t="shared" si="59"/>
        <v>&lt;ct1368&gt;</v>
      </c>
      <c r="H603" s="260">
        <f>VLOOKUP(O603,BCDTK!$E$9:$L$132,5,0)</f>
        <v>0</v>
      </c>
      <c r="I603" s="261" t="str">
        <f t="shared" si="60"/>
        <v>&lt;/ct1368&gt;</v>
      </c>
      <c r="J603" s="262"/>
      <c r="K603" s="262"/>
      <c r="L603" s="262"/>
      <c r="M603" s="263"/>
      <c r="N603" s="265"/>
      <c r="O603" s="265">
        <v>1368</v>
      </c>
    </row>
    <row r="604" spans="1:15" x14ac:dyDescent="0.45">
      <c r="A604" s="253" t="str">
        <f t="shared" si="55"/>
        <v>&lt;ct138&gt;0&lt;/ct138&gt;</v>
      </c>
      <c r="B604" s="450" t="s">
        <v>1600</v>
      </c>
      <c r="C604" s="244">
        <f t="shared" si="56"/>
        <v>2</v>
      </c>
      <c r="D604" s="244">
        <f t="shared" si="57"/>
        <v>7</v>
      </c>
      <c r="E604" s="244">
        <f t="shared" si="58"/>
        <v>9</v>
      </c>
      <c r="G604" s="259" t="str">
        <f t="shared" si="59"/>
        <v>&lt;ct138&gt;</v>
      </c>
      <c r="H604" s="260">
        <f>VLOOKUP(O604,BCDTK!$E$9:$L$132,5,0)</f>
        <v>0</v>
      </c>
      <c r="I604" s="261" t="str">
        <f t="shared" si="60"/>
        <v>&lt;/ct138&gt;</v>
      </c>
      <c r="J604" s="262"/>
      <c r="K604" s="262"/>
      <c r="L604" s="262"/>
      <c r="M604" s="263"/>
      <c r="N604" s="265"/>
      <c r="O604" s="265">
        <v>138</v>
      </c>
    </row>
    <row r="605" spans="1:15" x14ac:dyDescent="0.45">
      <c r="A605" s="253" t="str">
        <f t="shared" si="55"/>
        <v>&lt;ct1381&gt;0&lt;/ct1381&gt;</v>
      </c>
      <c r="B605" s="450" t="s">
        <v>1601</v>
      </c>
      <c r="C605" s="244">
        <f t="shared" si="56"/>
        <v>2</v>
      </c>
      <c r="D605" s="244">
        <f t="shared" si="57"/>
        <v>8</v>
      </c>
      <c r="E605" s="244">
        <f t="shared" si="58"/>
        <v>10</v>
      </c>
      <c r="G605" s="259" t="str">
        <f t="shared" si="59"/>
        <v>&lt;ct1381&gt;</v>
      </c>
      <c r="H605" s="260">
        <f>VLOOKUP(O605,BCDTK!$E$9:$L$132,5,0)</f>
        <v>0</v>
      </c>
      <c r="I605" s="261" t="str">
        <f t="shared" si="60"/>
        <v>&lt;/ct1381&gt;</v>
      </c>
      <c r="J605" s="262"/>
      <c r="K605" s="262"/>
      <c r="L605" s="262"/>
      <c r="M605" s="263"/>
      <c r="N605" s="265"/>
      <c r="O605" s="265">
        <v>1381</v>
      </c>
    </row>
    <row r="606" spans="1:15" x14ac:dyDescent="0.45">
      <c r="A606" s="253" t="str">
        <f t="shared" si="55"/>
        <v>&lt;ct1386&gt;0&lt;/ct1386&gt;</v>
      </c>
      <c r="B606" s="450" t="s">
        <v>1602</v>
      </c>
      <c r="C606" s="244">
        <f t="shared" si="56"/>
        <v>2</v>
      </c>
      <c r="D606" s="244">
        <f t="shared" si="57"/>
        <v>8</v>
      </c>
      <c r="E606" s="244">
        <f t="shared" si="58"/>
        <v>10</v>
      </c>
      <c r="G606" s="259" t="str">
        <f t="shared" si="59"/>
        <v>&lt;ct1386&gt;</v>
      </c>
      <c r="H606" s="260">
        <f>VLOOKUP(O606,BCDTK!$E$9:$L$132,5,0)</f>
        <v>0</v>
      </c>
      <c r="I606" s="261" t="str">
        <f t="shared" si="60"/>
        <v>&lt;/ct1386&gt;</v>
      </c>
      <c r="J606" s="262"/>
      <c r="K606" s="262"/>
      <c r="L606" s="262"/>
      <c r="M606" s="263"/>
      <c r="N606" s="265"/>
      <c r="O606" s="265">
        <v>1386</v>
      </c>
    </row>
    <row r="607" spans="1:15" x14ac:dyDescent="0.45">
      <c r="A607" s="253" t="str">
        <f t="shared" si="55"/>
        <v>&lt;ct1388&gt;0&lt;/ct1388&gt;</v>
      </c>
      <c r="B607" s="450" t="s">
        <v>1603</v>
      </c>
      <c r="C607" s="244">
        <f t="shared" si="56"/>
        <v>2</v>
      </c>
      <c r="D607" s="244">
        <f t="shared" si="57"/>
        <v>8</v>
      </c>
      <c r="E607" s="244">
        <f t="shared" si="58"/>
        <v>10</v>
      </c>
      <c r="G607" s="259" t="str">
        <f t="shared" si="59"/>
        <v>&lt;ct1388&gt;</v>
      </c>
      <c r="H607" s="260">
        <f>VLOOKUP(O607,BCDTK!$E$9:$L$132,5,0)</f>
        <v>0</v>
      </c>
      <c r="I607" s="261" t="str">
        <f t="shared" si="60"/>
        <v>&lt;/ct1388&gt;</v>
      </c>
      <c r="J607" s="262"/>
      <c r="K607" s="262"/>
      <c r="L607" s="262"/>
      <c r="M607" s="263"/>
      <c r="N607" s="265"/>
      <c r="O607" s="265">
        <v>1388</v>
      </c>
    </row>
    <row r="608" spans="1:15" x14ac:dyDescent="0.45">
      <c r="A608" s="253" t="str">
        <f t="shared" si="55"/>
        <v>&lt;ct141&gt;0&lt;/ct141&gt;</v>
      </c>
      <c r="B608" s="450" t="s">
        <v>1513</v>
      </c>
      <c r="C608" s="244">
        <f t="shared" si="56"/>
        <v>2</v>
      </c>
      <c r="D608" s="244">
        <f t="shared" si="57"/>
        <v>7</v>
      </c>
      <c r="E608" s="244">
        <f t="shared" si="58"/>
        <v>9</v>
      </c>
      <c r="G608" s="259" t="str">
        <f t="shared" si="59"/>
        <v>&lt;ct141&gt;</v>
      </c>
      <c r="H608" s="260">
        <f>VLOOKUP(O608,BCDTK!$E$9:$L$132,5,0)</f>
        <v>0</v>
      </c>
      <c r="I608" s="261" t="str">
        <f t="shared" si="60"/>
        <v>&lt;/ct141&gt;</v>
      </c>
      <c r="J608" s="262"/>
      <c r="K608" s="262"/>
      <c r="L608" s="262"/>
      <c r="M608" s="263"/>
      <c r="N608" s="265"/>
      <c r="O608" s="265">
        <v>141</v>
      </c>
    </row>
    <row r="609" spans="1:15" x14ac:dyDescent="0.45">
      <c r="A609" s="253" t="str">
        <f t="shared" si="55"/>
        <v>&lt;ct151&gt;0&lt;/ct151&gt;</v>
      </c>
      <c r="B609" s="450" t="s">
        <v>1476</v>
      </c>
      <c r="C609" s="244">
        <f t="shared" si="56"/>
        <v>2</v>
      </c>
      <c r="D609" s="244">
        <f t="shared" si="57"/>
        <v>7</v>
      </c>
      <c r="E609" s="244">
        <f t="shared" si="58"/>
        <v>9</v>
      </c>
      <c r="G609" s="259" t="str">
        <f t="shared" si="59"/>
        <v>&lt;ct151&gt;</v>
      </c>
      <c r="H609" s="260">
        <f>VLOOKUP(O609,BCDTK!$E$9:$L$132,5,0)</f>
        <v>0</v>
      </c>
      <c r="I609" s="261" t="str">
        <f t="shared" si="60"/>
        <v>&lt;/ct151&gt;</v>
      </c>
      <c r="J609" s="262"/>
      <c r="K609" s="262"/>
      <c r="L609" s="262"/>
      <c r="M609" s="263"/>
      <c r="N609" s="265"/>
      <c r="O609" s="265">
        <v>151</v>
      </c>
    </row>
    <row r="610" spans="1:15" x14ac:dyDescent="0.45">
      <c r="A610" s="253" t="str">
        <f t="shared" si="55"/>
        <v>&lt;ct152&gt;0&lt;/ct152&gt;</v>
      </c>
      <c r="B610" s="450" t="s">
        <v>1477</v>
      </c>
      <c r="C610" s="244">
        <f t="shared" si="56"/>
        <v>2</v>
      </c>
      <c r="D610" s="244">
        <f t="shared" si="57"/>
        <v>7</v>
      </c>
      <c r="E610" s="244">
        <f t="shared" si="58"/>
        <v>9</v>
      </c>
      <c r="G610" s="259" t="str">
        <f t="shared" si="59"/>
        <v>&lt;ct152&gt;</v>
      </c>
      <c r="H610" s="260">
        <f>VLOOKUP(O610,BCDTK!$E$9:$L$132,5,0)</f>
        <v>0</v>
      </c>
      <c r="I610" s="261" t="str">
        <f t="shared" si="60"/>
        <v>&lt;/ct152&gt;</v>
      </c>
      <c r="J610" s="262"/>
      <c r="K610" s="262"/>
      <c r="L610" s="262"/>
      <c r="M610" s="263"/>
      <c r="N610" s="265"/>
      <c r="O610" s="265">
        <v>152</v>
      </c>
    </row>
    <row r="611" spans="1:15" x14ac:dyDescent="0.45">
      <c r="A611" s="253" t="str">
        <f t="shared" si="55"/>
        <v>&lt;ct153&gt;0&lt;/ct153&gt;</v>
      </c>
      <c r="B611" s="450" t="s">
        <v>1604</v>
      </c>
      <c r="C611" s="244">
        <f t="shared" si="56"/>
        <v>2</v>
      </c>
      <c r="D611" s="244">
        <f t="shared" si="57"/>
        <v>7</v>
      </c>
      <c r="E611" s="244">
        <f t="shared" si="58"/>
        <v>9</v>
      </c>
      <c r="G611" s="259" t="str">
        <f t="shared" si="59"/>
        <v>&lt;ct153&gt;</v>
      </c>
      <c r="H611" s="260">
        <f>VLOOKUP(O611,BCDTK!$E$9:$L$132,5,0)</f>
        <v>0</v>
      </c>
      <c r="I611" s="261" t="str">
        <f t="shared" si="60"/>
        <v>&lt;/ct153&gt;</v>
      </c>
      <c r="J611" s="262"/>
      <c r="K611" s="262"/>
      <c r="L611" s="262"/>
      <c r="M611" s="263"/>
      <c r="N611" s="265"/>
      <c r="O611" s="265">
        <v>153</v>
      </c>
    </row>
    <row r="612" spans="1:15" x14ac:dyDescent="0.45">
      <c r="A612" s="253" t="str">
        <f t="shared" si="55"/>
        <v>&lt;ct154&gt;183572894&lt;/ct154&gt;</v>
      </c>
      <c r="B612" s="450" t="s">
        <v>1605</v>
      </c>
      <c r="C612" s="244">
        <f t="shared" si="56"/>
        <v>2</v>
      </c>
      <c r="D612" s="244">
        <f t="shared" si="57"/>
        <v>7</v>
      </c>
      <c r="E612" s="244">
        <f t="shared" si="58"/>
        <v>9</v>
      </c>
      <c r="G612" s="259" t="str">
        <f t="shared" si="59"/>
        <v>&lt;ct154&gt;</v>
      </c>
      <c r="H612" s="260">
        <f>VLOOKUP(O612,BCDTK!$E$9:$L$132,5,0)</f>
        <v>183572894</v>
      </c>
      <c r="I612" s="261" t="str">
        <f t="shared" si="60"/>
        <v>&lt;/ct154&gt;</v>
      </c>
      <c r="J612" s="262"/>
      <c r="K612" s="262"/>
      <c r="L612" s="262"/>
      <c r="M612" s="263"/>
      <c r="N612" s="265"/>
      <c r="O612" s="265">
        <v>154</v>
      </c>
    </row>
    <row r="613" spans="1:15" x14ac:dyDescent="0.45">
      <c r="A613" s="253" t="str">
        <f t="shared" si="55"/>
        <v>&lt;ct155&gt;0&lt;/ct155&gt;</v>
      </c>
      <c r="B613" s="450" t="s">
        <v>1606</v>
      </c>
      <c r="C613" s="244">
        <f t="shared" si="56"/>
        <v>2</v>
      </c>
      <c r="D613" s="244">
        <f t="shared" si="57"/>
        <v>7</v>
      </c>
      <c r="E613" s="244">
        <f t="shared" si="58"/>
        <v>9</v>
      </c>
      <c r="G613" s="259" t="str">
        <f t="shared" si="59"/>
        <v>&lt;ct155&gt;</v>
      </c>
      <c r="H613" s="260">
        <f>VLOOKUP(O613,BCDTK!$E$9:$L$132,5,0)</f>
        <v>0</v>
      </c>
      <c r="I613" s="261" t="str">
        <f t="shared" si="60"/>
        <v>&lt;/ct155&gt;</v>
      </c>
      <c r="J613" s="262"/>
      <c r="K613" s="262"/>
      <c r="L613" s="262"/>
      <c r="M613" s="263"/>
      <c r="N613" s="265"/>
      <c r="O613" s="265">
        <v>155</v>
      </c>
    </row>
    <row r="614" spans="1:15" x14ac:dyDescent="0.45">
      <c r="A614" s="253" t="str">
        <f t="shared" si="55"/>
        <v>&lt;ct156&gt;0&lt;/ct156&gt;</v>
      </c>
      <c r="B614" s="450" t="s">
        <v>1607</v>
      </c>
      <c r="C614" s="244">
        <f t="shared" si="56"/>
        <v>2</v>
      </c>
      <c r="D614" s="244">
        <f t="shared" si="57"/>
        <v>7</v>
      </c>
      <c r="E614" s="244">
        <f t="shared" si="58"/>
        <v>9</v>
      </c>
      <c r="G614" s="259" t="str">
        <f t="shared" si="59"/>
        <v>&lt;ct156&gt;</v>
      </c>
      <c r="H614" s="260">
        <f>VLOOKUP(O614,BCDTK!$E$9:$L$132,5,0)</f>
        <v>0</v>
      </c>
      <c r="I614" s="261" t="str">
        <f t="shared" si="60"/>
        <v>&lt;/ct156&gt;</v>
      </c>
      <c r="J614" s="262"/>
      <c r="K614" s="262"/>
      <c r="L614" s="262"/>
      <c r="M614" s="263"/>
      <c r="N614" s="265"/>
      <c r="O614" s="265">
        <v>156</v>
      </c>
    </row>
    <row r="615" spans="1:15" x14ac:dyDescent="0.45">
      <c r="A615" s="253" t="str">
        <f t="shared" si="55"/>
        <v>&lt;ct157&gt;0&lt;/ct157&gt;</v>
      </c>
      <c r="B615" s="450" t="s">
        <v>1608</v>
      </c>
      <c r="C615" s="244">
        <f t="shared" si="56"/>
        <v>2</v>
      </c>
      <c r="D615" s="244">
        <f t="shared" si="57"/>
        <v>7</v>
      </c>
      <c r="E615" s="244">
        <f t="shared" si="58"/>
        <v>9</v>
      </c>
      <c r="G615" s="259" t="str">
        <f t="shared" si="59"/>
        <v>&lt;ct157&gt;</v>
      </c>
      <c r="H615" s="260">
        <f>VLOOKUP(O615,BCDTK!$E$9:$L$132,5,0)</f>
        <v>0</v>
      </c>
      <c r="I615" s="261" t="str">
        <f t="shared" si="60"/>
        <v>&lt;/ct157&gt;</v>
      </c>
      <c r="J615" s="262"/>
      <c r="K615" s="262"/>
      <c r="L615" s="262"/>
      <c r="M615" s="263"/>
      <c r="N615" s="265"/>
      <c r="O615" s="265">
        <v>157</v>
      </c>
    </row>
    <row r="616" spans="1:15" x14ac:dyDescent="0.45">
      <c r="A616" s="253" t="str">
        <f t="shared" si="55"/>
        <v>&lt;ct211&gt;423501818&lt;/ct211&gt;</v>
      </c>
      <c r="B616" s="450" t="s">
        <v>1609</v>
      </c>
      <c r="C616" s="244">
        <f t="shared" si="56"/>
        <v>2</v>
      </c>
      <c r="D616" s="244">
        <f t="shared" si="57"/>
        <v>7</v>
      </c>
      <c r="E616" s="244">
        <f t="shared" si="58"/>
        <v>9</v>
      </c>
      <c r="G616" s="259" t="str">
        <f t="shared" si="59"/>
        <v>&lt;ct211&gt;</v>
      </c>
      <c r="H616" s="260">
        <f>VLOOKUP(O616,BCDTK!$E$9:$L$132,5,0)</f>
        <v>423501818</v>
      </c>
      <c r="I616" s="261" t="str">
        <f t="shared" si="60"/>
        <v>&lt;/ct211&gt;</v>
      </c>
      <c r="J616" s="262"/>
      <c r="K616" s="262"/>
      <c r="L616" s="262"/>
      <c r="M616" s="263"/>
      <c r="N616" s="265"/>
      <c r="O616" s="265">
        <v>211</v>
      </c>
    </row>
    <row r="617" spans="1:15" x14ac:dyDescent="0.45">
      <c r="A617" s="253" t="str">
        <f t="shared" si="55"/>
        <v>&lt;ct2111&gt;423501818&lt;/ct2111&gt;</v>
      </c>
      <c r="B617" s="450" t="s">
        <v>1610</v>
      </c>
      <c r="C617" s="244">
        <f t="shared" si="56"/>
        <v>2</v>
      </c>
      <c r="D617" s="244">
        <f t="shared" si="57"/>
        <v>8</v>
      </c>
      <c r="E617" s="244">
        <f t="shared" si="58"/>
        <v>10</v>
      </c>
      <c r="G617" s="259" t="str">
        <f t="shared" si="59"/>
        <v>&lt;ct2111&gt;</v>
      </c>
      <c r="H617" s="260">
        <f>VLOOKUP(O617,BCDTK!$E$9:$L$132,5,0)</f>
        <v>423501818</v>
      </c>
      <c r="I617" s="261" t="str">
        <f t="shared" si="60"/>
        <v>&lt;/ct2111&gt;</v>
      </c>
      <c r="J617" s="262"/>
      <c r="K617" s="262"/>
      <c r="L617" s="262"/>
      <c r="M617" s="263"/>
      <c r="N617" s="265"/>
      <c r="O617" s="265">
        <v>2111</v>
      </c>
    </row>
    <row r="618" spans="1:15" x14ac:dyDescent="0.45">
      <c r="A618" s="253" t="str">
        <f t="shared" si="55"/>
        <v>&lt;ct2112&gt;0&lt;/ct2112&gt;</v>
      </c>
      <c r="B618" s="450" t="s">
        <v>1611</v>
      </c>
      <c r="C618" s="244">
        <f t="shared" si="56"/>
        <v>2</v>
      </c>
      <c r="D618" s="244">
        <f t="shared" si="57"/>
        <v>8</v>
      </c>
      <c r="E618" s="244">
        <f t="shared" si="58"/>
        <v>10</v>
      </c>
      <c r="G618" s="259" t="str">
        <f t="shared" si="59"/>
        <v>&lt;ct2112&gt;</v>
      </c>
      <c r="H618" s="260">
        <f>VLOOKUP(O618,BCDTK!$E$9:$L$132,5,0)</f>
        <v>0</v>
      </c>
      <c r="I618" s="261" t="str">
        <f t="shared" si="60"/>
        <v>&lt;/ct2112&gt;</v>
      </c>
      <c r="J618" s="262"/>
      <c r="K618" s="262"/>
      <c r="L618" s="262"/>
      <c r="M618" s="263"/>
      <c r="N618" s="265"/>
      <c r="O618" s="265">
        <v>2112</v>
      </c>
    </row>
    <row r="619" spans="1:15" x14ac:dyDescent="0.45">
      <c r="A619" s="253" t="str">
        <f t="shared" si="55"/>
        <v>&lt;ct2113&gt;0&lt;/ct2113&gt;</v>
      </c>
      <c r="B619" s="450" t="s">
        <v>1612</v>
      </c>
      <c r="C619" s="244">
        <f t="shared" si="56"/>
        <v>2</v>
      </c>
      <c r="D619" s="244">
        <f t="shared" si="57"/>
        <v>8</v>
      </c>
      <c r="E619" s="244">
        <f t="shared" si="58"/>
        <v>10</v>
      </c>
      <c r="G619" s="259" t="str">
        <f t="shared" si="59"/>
        <v>&lt;ct2113&gt;</v>
      </c>
      <c r="H619" s="260">
        <f>VLOOKUP(O619,BCDTK!$E$9:$L$132,5,0)</f>
        <v>0</v>
      </c>
      <c r="I619" s="261" t="str">
        <f t="shared" si="60"/>
        <v>&lt;/ct2113&gt;</v>
      </c>
      <c r="J619" s="262"/>
      <c r="K619" s="262"/>
      <c r="L619" s="262"/>
      <c r="M619" s="263"/>
      <c r="N619" s="265"/>
      <c r="O619" s="265">
        <v>2113</v>
      </c>
    </row>
    <row r="620" spans="1:15" x14ac:dyDescent="0.45">
      <c r="A620" s="253" t="str">
        <f t="shared" si="55"/>
        <v>&lt;ct214&gt;0&lt;/ct214&gt;</v>
      </c>
      <c r="B620" s="450" t="s">
        <v>1613</v>
      </c>
      <c r="C620" s="244">
        <f t="shared" si="56"/>
        <v>2</v>
      </c>
      <c r="D620" s="244">
        <f t="shared" si="57"/>
        <v>7</v>
      </c>
      <c r="E620" s="244">
        <f t="shared" si="58"/>
        <v>9</v>
      </c>
      <c r="G620" s="259" t="str">
        <f t="shared" si="59"/>
        <v>&lt;ct214&gt;</v>
      </c>
      <c r="H620" s="260">
        <f>VLOOKUP(O620,BCDTK!$E$9:$L$132,5,0)</f>
        <v>0</v>
      </c>
      <c r="I620" s="261" t="str">
        <f t="shared" si="60"/>
        <v>&lt;/ct214&gt;</v>
      </c>
      <c r="J620" s="262"/>
      <c r="K620" s="262"/>
      <c r="L620" s="262"/>
      <c r="M620" s="263"/>
      <c r="N620" s="265"/>
      <c r="O620" s="265">
        <v>214</v>
      </c>
    </row>
    <row r="621" spans="1:15" x14ac:dyDescent="0.45">
      <c r="A621" s="253" t="str">
        <f t="shared" si="55"/>
        <v>&lt;ct2141&gt;0&lt;/ct2141&gt;</v>
      </c>
      <c r="B621" s="450" t="s">
        <v>1614</v>
      </c>
      <c r="C621" s="244">
        <f t="shared" si="56"/>
        <v>2</v>
      </c>
      <c r="D621" s="244">
        <f t="shared" si="57"/>
        <v>8</v>
      </c>
      <c r="E621" s="244">
        <f t="shared" si="58"/>
        <v>10</v>
      </c>
      <c r="G621" s="259" t="str">
        <f t="shared" si="59"/>
        <v>&lt;ct2141&gt;</v>
      </c>
      <c r="H621" s="260">
        <f>VLOOKUP(O621,BCDTK!$E$9:$L$132,5,0)</f>
        <v>0</v>
      </c>
      <c r="I621" s="261" t="str">
        <f t="shared" si="60"/>
        <v>&lt;/ct2141&gt;</v>
      </c>
      <c r="J621" s="262"/>
      <c r="K621" s="262"/>
      <c r="L621" s="262"/>
      <c r="M621" s="263"/>
      <c r="N621" s="265"/>
      <c r="O621" s="265">
        <v>2141</v>
      </c>
    </row>
    <row r="622" spans="1:15" x14ac:dyDescent="0.45">
      <c r="A622" s="253" t="str">
        <f t="shared" si="55"/>
        <v>&lt;ct2142&gt;0&lt;/ct2142&gt;</v>
      </c>
      <c r="B622" s="450" t="s">
        <v>1615</v>
      </c>
      <c r="C622" s="244">
        <f t="shared" si="56"/>
        <v>2</v>
      </c>
      <c r="D622" s="244">
        <f t="shared" si="57"/>
        <v>8</v>
      </c>
      <c r="E622" s="244">
        <f t="shared" si="58"/>
        <v>10</v>
      </c>
      <c r="G622" s="259" t="str">
        <f t="shared" si="59"/>
        <v>&lt;ct2142&gt;</v>
      </c>
      <c r="H622" s="260">
        <f>VLOOKUP(O622,BCDTK!$E$9:$L$132,5,0)</f>
        <v>0</v>
      </c>
      <c r="I622" s="261" t="str">
        <f t="shared" si="60"/>
        <v>&lt;/ct2142&gt;</v>
      </c>
      <c r="J622" s="262"/>
      <c r="K622" s="262"/>
      <c r="L622" s="262"/>
      <c r="M622" s="263"/>
      <c r="N622" s="265"/>
      <c r="O622" s="265">
        <v>2142</v>
      </c>
    </row>
    <row r="623" spans="1:15" x14ac:dyDescent="0.45">
      <c r="A623" s="253" t="str">
        <f t="shared" si="55"/>
        <v>&lt;ct2143&gt;0&lt;/ct2143&gt;</v>
      </c>
      <c r="B623" s="450" t="s">
        <v>1616</v>
      </c>
      <c r="C623" s="244">
        <f t="shared" si="56"/>
        <v>2</v>
      </c>
      <c r="D623" s="244">
        <f t="shared" si="57"/>
        <v>8</v>
      </c>
      <c r="E623" s="244">
        <f t="shared" si="58"/>
        <v>10</v>
      </c>
      <c r="G623" s="259" t="str">
        <f t="shared" si="59"/>
        <v>&lt;ct2143&gt;</v>
      </c>
      <c r="H623" s="260">
        <f>VLOOKUP(O623,BCDTK!$E$9:$L$132,5,0)</f>
        <v>0</v>
      </c>
      <c r="I623" s="261" t="str">
        <f t="shared" si="60"/>
        <v>&lt;/ct2143&gt;</v>
      </c>
      <c r="J623" s="262"/>
      <c r="K623" s="262"/>
      <c r="L623" s="262"/>
      <c r="M623" s="263"/>
      <c r="N623" s="265"/>
      <c r="O623" s="265">
        <v>2143</v>
      </c>
    </row>
    <row r="624" spans="1:15" x14ac:dyDescent="0.45">
      <c r="A624" s="253" t="str">
        <f t="shared" si="55"/>
        <v>&lt;ct2147&gt;0&lt;/ct2147&gt;</v>
      </c>
      <c r="B624" s="450" t="s">
        <v>1617</v>
      </c>
      <c r="C624" s="244">
        <f t="shared" si="56"/>
        <v>2</v>
      </c>
      <c r="D624" s="244">
        <f t="shared" si="57"/>
        <v>8</v>
      </c>
      <c r="E624" s="244">
        <f t="shared" si="58"/>
        <v>10</v>
      </c>
      <c r="G624" s="259" t="str">
        <f t="shared" si="59"/>
        <v>&lt;ct2147&gt;</v>
      </c>
      <c r="H624" s="260">
        <f>VLOOKUP(O624,BCDTK!$E$9:$L$132,5,0)</f>
        <v>0</v>
      </c>
      <c r="I624" s="261" t="str">
        <f t="shared" si="60"/>
        <v>&lt;/ct2147&gt;</v>
      </c>
      <c r="J624" s="262"/>
      <c r="K624" s="262"/>
      <c r="L624" s="262"/>
      <c r="M624" s="263"/>
      <c r="N624" s="265"/>
      <c r="O624" s="265">
        <v>2147</v>
      </c>
    </row>
    <row r="625" spans="1:15" x14ac:dyDescent="0.45">
      <c r="A625" s="253" t="str">
        <f t="shared" si="55"/>
        <v>&lt;ct217&gt;0&lt;/ct217&gt;</v>
      </c>
      <c r="B625" s="450" t="s">
        <v>1618</v>
      </c>
      <c r="C625" s="244">
        <f t="shared" si="56"/>
        <v>2</v>
      </c>
      <c r="D625" s="244">
        <f t="shared" si="57"/>
        <v>7</v>
      </c>
      <c r="E625" s="244">
        <f t="shared" si="58"/>
        <v>9</v>
      </c>
      <c r="G625" s="259" t="str">
        <f t="shared" si="59"/>
        <v>&lt;ct217&gt;</v>
      </c>
      <c r="H625" s="260">
        <f>VLOOKUP(O625,BCDTK!$E$9:$L$132,5,0)</f>
        <v>0</v>
      </c>
      <c r="I625" s="261" t="str">
        <f t="shared" si="60"/>
        <v>&lt;/ct217&gt;</v>
      </c>
      <c r="J625" s="262"/>
      <c r="K625" s="262"/>
      <c r="L625" s="262"/>
      <c r="M625" s="263"/>
      <c r="N625" s="265"/>
      <c r="O625" s="265">
        <v>217</v>
      </c>
    </row>
    <row r="626" spans="1:15" x14ac:dyDescent="0.45">
      <c r="A626" s="253" t="str">
        <f t="shared" si="55"/>
        <v>&lt;ct228&gt;0&lt;/ct228&gt;</v>
      </c>
      <c r="B626" s="450" t="s">
        <v>1619</v>
      </c>
      <c r="C626" s="244">
        <f t="shared" si="56"/>
        <v>2</v>
      </c>
      <c r="D626" s="244">
        <f t="shared" si="57"/>
        <v>7</v>
      </c>
      <c r="E626" s="244">
        <f t="shared" si="58"/>
        <v>9</v>
      </c>
      <c r="G626" s="259" t="str">
        <f t="shared" si="59"/>
        <v>&lt;ct228&gt;</v>
      </c>
      <c r="H626" s="260">
        <f>VLOOKUP(O626,BCDTK!$E$9:$L$132,5,0)</f>
        <v>0</v>
      </c>
      <c r="I626" s="261" t="str">
        <f t="shared" si="60"/>
        <v>&lt;/ct228&gt;</v>
      </c>
      <c r="J626" s="262"/>
      <c r="K626" s="262"/>
      <c r="L626" s="262"/>
      <c r="M626" s="263"/>
      <c r="N626" s="265"/>
      <c r="O626" s="265">
        <v>228</v>
      </c>
    </row>
    <row r="627" spans="1:15" x14ac:dyDescent="0.45">
      <c r="A627" s="253" t="str">
        <f t="shared" si="55"/>
        <v>&lt;ct2281&gt;0&lt;/ct2281&gt;</v>
      </c>
      <c r="B627" s="450" t="s">
        <v>1620</v>
      </c>
      <c r="C627" s="244">
        <f t="shared" si="56"/>
        <v>2</v>
      </c>
      <c r="D627" s="244">
        <f t="shared" si="57"/>
        <v>8</v>
      </c>
      <c r="E627" s="244">
        <f t="shared" si="58"/>
        <v>10</v>
      </c>
      <c r="G627" s="259" t="str">
        <f t="shared" si="59"/>
        <v>&lt;ct2281&gt;</v>
      </c>
      <c r="H627" s="260">
        <f>VLOOKUP(O627,BCDTK!$E$9:$L$132,5,0)</f>
        <v>0</v>
      </c>
      <c r="I627" s="261" t="str">
        <f t="shared" si="60"/>
        <v>&lt;/ct2281&gt;</v>
      </c>
      <c r="J627" s="262"/>
      <c r="K627" s="262"/>
      <c r="L627" s="262"/>
      <c r="M627" s="263"/>
      <c r="N627" s="265"/>
      <c r="O627" s="265">
        <v>2281</v>
      </c>
    </row>
    <row r="628" spans="1:15" x14ac:dyDescent="0.45">
      <c r="A628" s="253" t="str">
        <f t="shared" si="55"/>
        <v>&lt;ct2288&gt;0&lt;/ct2288&gt;</v>
      </c>
      <c r="B628" s="450" t="s">
        <v>1621</v>
      </c>
      <c r="C628" s="244">
        <f t="shared" si="56"/>
        <v>2</v>
      </c>
      <c r="D628" s="244">
        <f t="shared" si="57"/>
        <v>8</v>
      </c>
      <c r="E628" s="244">
        <f t="shared" si="58"/>
        <v>10</v>
      </c>
      <c r="G628" s="259" t="str">
        <f t="shared" si="59"/>
        <v>&lt;ct2288&gt;</v>
      </c>
      <c r="H628" s="260">
        <f>VLOOKUP(O628,BCDTK!$E$9:$L$132,5,0)</f>
        <v>0</v>
      </c>
      <c r="I628" s="261" t="str">
        <f t="shared" si="60"/>
        <v>&lt;/ct2288&gt;</v>
      </c>
      <c r="J628" s="262"/>
      <c r="K628" s="262"/>
      <c r="L628" s="262"/>
      <c r="M628" s="263"/>
      <c r="N628" s="265"/>
      <c r="O628" s="265">
        <v>2288</v>
      </c>
    </row>
    <row r="629" spans="1:15" x14ac:dyDescent="0.45">
      <c r="A629" s="253" t="str">
        <f t="shared" si="55"/>
        <v>&lt;ct229&gt;0&lt;/ct229&gt;</v>
      </c>
      <c r="B629" s="450" t="s">
        <v>1622</v>
      </c>
      <c r="C629" s="244">
        <f t="shared" si="56"/>
        <v>2</v>
      </c>
      <c r="D629" s="244">
        <f t="shared" si="57"/>
        <v>7</v>
      </c>
      <c r="E629" s="244">
        <f t="shared" si="58"/>
        <v>9</v>
      </c>
      <c r="G629" s="259" t="str">
        <f t="shared" si="59"/>
        <v>&lt;ct229&gt;</v>
      </c>
      <c r="H629" s="260">
        <f>VLOOKUP(O629,BCDTK!$E$9:$L$132,5,0)</f>
        <v>0</v>
      </c>
      <c r="I629" s="261" t="str">
        <f t="shared" si="60"/>
        <v>&lt;/ct229&gt;</v>
      </c>
      <c r="J629" s="262"/>
      <c r="K629" s="262"/>
      <c r="L629" s="262"/>
      <c r="M629" s="263"/>
      <c r="N629" s="265"/>
      <c r="O629" s="265">
        <v>229</v>
      </c>
    </row>
    <row r="630" spans="1:15" x14ac:dyDescent="0.45">
      <c r="A630" s="253" t="str">
        <f t="shared" si="55"/>
        <v>&lt;ct2291&gt;0&lt;/ct2291&gt;</v>
      </c>
      <c r="B630" s="450" t="s">
        <v>1623</v>
      </c>
      <c r="C630" s="244">
        <f t="shared" si="56"/>
        <v>2</v>
      </c>
      <c r="D630" s="244">
        <f t="shared" si="57"/>
        <v>8</v>
      </c>
      <c r="E630" s="244">
        <f t="shared" si="58"/>
        <v>10</v>
      </c>
      <c r="G630" s="259" t="str">
        <f t="shared" si="59"/>
        <v>&lt;ct2291&gt;</v>
      </c>
      <c r="H630" s="260">
        <f>VLOOKUP(O630,BCDTK!$E$9:$L$132,5,0)</f>
        <v>0</v>
      </c>
      <c r="I630" s="261" t="str">
        <f t="shared" si="60"/>
        <v>&lt;/ct2291&gt;</v>
      </c>
      <c r="J630" s="262"/>
      <c r="K630" s="262"/>
      <c r="L630" s="262"/>
      <c r="M630" s="263"/>
      <c r="N630" s="265"/>
      <c r="O630" s="265">
        <v>2291</v>
      </c>
    </row>
    <row r="631" spans="1:15" x14ac:dyDescent="0.45">
      <c r="A631" s="253" t="str">
        <f t="shared" si="55"/>
        <v>&lt;ct2292&gt;0&lt;/ct2292&gt;</v>
      </c>
      <c r="B631" s="450" t="s">
        <v>1624</v>
      </c>
      <c r="C631" s="244">
        <f t="shared" si="56"/>
        <v>2</v>
      </c>
      <c r="D631" s="244">
        <f t="shared" si="57"/>
        <v>8</v>
      </c>
      <c r="E631" s="244">
        <f t="shared" si="58"/>
        <v>10</v>
      </c>
      <c r="G631" s="259" t="str">
        <f t="shared" si="59"/>
        <v>&lt;ct2292&gt;</v>
      </c>
      <c r="H631" s="260">
        <f>VLOOKUP(O631,BCDTK!$E$9:$L$132,5,0)</f>
        <v>0</v>
      </c>
      <c r="I631" s="261" t="str">
        <f t="shared" si="60"/>
        <v>&lt;/ct2292&gt;</v>
      </c>
      <c r="J631" s="262"/>
      <c r="K631" s="262"/>
      <c r="L631" s="262"/>
      <c r="M631" s="263"/>
      <c r="N631" s="265"/>
      <c r="O631" s="265">
        <v>2292</v>
      </c>
    </row>
    <row r="632" spans="1:15" x14ac:dyDescent="0.45">
      <c r="A632" s="253" t="str">
        <f t="shared" si="55"/>
        <v>&lt;ct2293&gt;0&lt;/ct2293&gt;</v>
      </c>
      <c r="B632" s="450" t="s">
        <v>1625</v>
      </c>
      <c r="C632" s="244">
        <f t="shared" si="56"/>
        <v>2</v>
      </c>
      <c r="D632" s="244">
        <f t="shared" si="57"/>
        <v>8</v>
      </c>
      <c r="E632" s="244">
        <f t="shared" si="58"/>
        <v>10</v>
      </c>
      <c r="G632" s="259" t="str">
        <f t="shared" si="59"/>
        <v>&lt;ct2293&gt;</v>
      </c>
      <c r="H632" s="260">
        <f>VLOOKUP(O632,BCDTK!$E$9:$L$132,5,0)</f>
        <v>0</v>
      </c>
      <c r="I632" s="261" t="str">
        <f t="shared" si="60"/>
        <v>&lt;/ct2293&gt;</v>
      </c>
      <c r="J632" s="262"/>
      <c r="K632" s="262"/>
      <c r="L632" s="262"/>
      <c r="M632" s="263"/>
      <c r="N632" s="265"/>
      <c r="O632" s="265">
        <v>2293</v>
      </c>
    </row>
    <row r="633" spans="1:15" x14ac:dyDescent="0.45">
      <c r="A633" s="253" t="str">
        <f t="shared" si="55"/>
        <v>&lt;ct2294&gt;0&lt;/ct2294&gt;</v>
      </c>
      <c r="B633" s="450" t="s">
        <v>1626</v>
      </c>
      <c r="C633" s="244">
        <f t="shared" si="56"/>
        <v>2</v>
      </c>
      <c r="D633" s="244">
        <f t="shared" si="57"/>
        <v>8</v>
      </c>
      <c r="E633" s="244">
        <f t="shared" si="58"/>
        <v>10</v>
      </c>
      <c r="G633" s="259" t="str">
        <f t="shared" si="59"/>
        <v>&lt;ct2294&gt;</v>
      </c>
      <c r="H633" s="260">
        <f>VLOOKUP(O633,BCDTK!$E$9:$L$132,5,0)</f>
        <v>0</v>
      </c>
      <c r="I633" s="261" t="str">
        <f t="shared" si="60"/>
        <v>&lt;/ct2294&gt;</v>
      </c>
      <c r="J633" s="262"/>
      <c r="K633" s="262"/>
      <c r="L633" s="262"/>
      <c r="M633" s="263"/>
      <c r="N633" s="265"/>
      <c r="O633" s="265">
        <v>2294</v>
      </c>
    </row>
    <row r="634" spans="1:15" x14ac:dyDescent="0.45">
      <c r="A634" s="253" t="str">
        <f t="shared" si="55"/>
        <v>&lt;ct241&gt;0&lt;/ct241&gt;</v>
      </c>
      <c r="B634" s="450" t="s">
        <v>1627</v>
      </c>
      <c r="C634" s="244">
        <f t="shared" si="56"/>
        <v>2</v>
      </c>
      <c r="D634" s="244">
        <f t="shared" si="57"/>
        <v>7</v>
      </c>
      <c r="E634" s="244">
        <f t="shared" si="58"/>
        <v>9</v>
      </c>
      <c r="G634" s="259" t="str">
        <f t="shared" si="59"/>
        <v>&lt;ct241&gt;</v>
      </c>
      <c r="H634" s="260">
        <f>VLOOKUP(O634,BCDTK!$E$9:$L$132,5,0)</f>
        <v>0</v>
      </c>
      <c r="I634" s="261" t="str">
        <f t="shared" si="60"/>
        <v>&lt;/ct241&gt;</v>
      </c>
      <c r="J634" s="262"/>
      <c r="K634" s="262"/>
      <c r="L634" s="262"/>
      <c r="M634" s="263"/>
      <c r="N634" s="265"/>
      <c r="O634" s="265">
        <v>241</v>
      </c>
    </row>
    <row r="635" spans="1:15" x14ac:dyDescent="0.45">
      <c r="A635" s="253" t="str">
        <f t="shared" si="55"/>
        <v>&lt;ct2411&gt;0&lt;/ct2411&gt;</v>
      </c>
      <c r="B635" s="450" t="s">
        <v>1628</v>
      </c>
      <c r="C635" s="244">
        <f t="shared" si="56"/>
        <v>2</v>
      </c>
      <c r="D635" s="244">
        <f t="shared" si="57"/>
        <v>8</v>
      </c>
      <c r="E635" s="244">
        <f t="shared" si="58"/>
        <v>10</v>
      </c>
      <c r="G635" s="259" t="str">
        <f t="shared" si="59"/>
        <v>&lt;ct2411&gt;</v>
      </c>
      <c r="H635" s="260">
        <f>VLOOKUP(O635,BCDTK!$E$9:$L$132,5,0)</f>
        <v>0</v>
      </c>
      <c r="I635" s="261" t="str">
        <f t="shared" si="60"/>
        <v>&lt;/ct2411&gt;</v>
      </c>
      <c r="J635" s="262"/>
      <c r="K635" s="262"/>
      <c r="L635" s="262"/>
      <c r="M635" s="263"/>
      <c r="N635" s="265"/>
      <c r="O635" s="265">
        <v>2411</v>
      </c>
    </row>
    <row r="636" spans="1:15" x14ac:dyDescent="0.45">
      <c r="A636" s="253" t="str">
        <f t="shared" si="55"/>
        <v>&lt;ct2412&gt;0&lt;/ct2412&gt;</v>
      </c>
      <c r="B636" s="450" t="s">
        <v>1629</v>
      </c>
      <c r="C636" s="244">
        <f t="shared" si="56"/>
        <v>2</v>
      </c>
      <c r="D636" s="244">
        <f t="shared" si="57"/>
        <v>8</v>
      </c>
      <c r="E636" s="244">
        <f t="shared" si="58"/>
        <v>10</v>
      </c>
      <c r="G636" s="259" t="str">
        <f t="shared" si="59"/>
        <v>&lt;ct2412&gt;</v>
      </c>
      <c r="H636" s="260">
        <f>VLOOKUP(O636,BCDTK!$E$9:$L$132,5,0)</f>
        <v>0</v>
      </c>
      <c r="I636" s="261" t="str">
        <f t="shared" si="60"/>
        <v>&lt;/ct2412&gt;</v>
      </c>
      <c r="J636" s="262"/>
      <c r="K636" s="262"/>
      <c r="L636" s="262"/>
      <c r="M636" s="263"/>
      <c r="N636" s="265"/>
      <c r="O636" s="265">
        <v>2412</v>
      </c>
    </row>
    <row r="637" spans="1:15" x14ac:dyDescent="0.45">
      <c r="A637" s="253" t="str">
        <f t="shared" si="55"/>
        <v>&lt;ct2413&gt;0&lt;/ct2413&gt;</v>
      </c>
      <c r="B637" s="450" t="s">
        <v>1630</v>
      </c>
      <c r="C637" s="244">
        <f t="shared" si="56"/>
        <v>2</v>
      </c>
      <c r="D637" s="244">
        <f t="shared" si="57"/>
        <v>8</v>
      </c>
      <c r="E637" s="244">
        <f t="shared" si="58"/>
        <v>10</v>
      </c>
      <c r="G637" s="259" t="str">
        <f t="shared" si="59"/>
        <v>&lt;ct2413&gt;</v>
      </c>
      <c r="H637" s="260">
        <f>VLOOKUP(O637,BCDTK!$E$9:$L$132,5,0)</f>
        <v>0</v>
      </c>
      <c r="I637" s="261" t="str">
        <f t="shared" si="60"/>
        <v>&lt;/ct2413&gt;</v>
      </c>
      <c r="J637" s="262"/>
      <c r="K637" s="262"/>
      <c r="L637" s="262"/>
      <c r="M637" s="263"/>
      <c r="N637" s="265"/>
      <c r="O637" s="265">
        <v>2413</v>
      </c>
    </row>
    <row r="638" spans="1:15" x14ac:dyDescent="0.45">
      <c r="A638" s="253" t="str">
        <f t="shared" si="55"/>
        <v>&lt;ct242&gt;0&lt;/ct242&gt;</v>
      </c>
      <c r="B638" s="450" t="s">
        <v>1631</v>
      </c>
      <c r="C638" s="244">
        <f t="shared" si="56"/>
        <v>2</v>
      </c>
      <c r="D638" s="244">
        <f t="shared" si="57"/>
        <v>7</v>
      </c>
      <c r="E638" s="244">
        <f t="shared" si="58"/>
        <v>9</v>
      </c>
      <c r="G638" s="259" t="str">
        <f t="shared" si="59"/>
        <v>&lt;ct242&gt;</v>
      </c>
      <c r="H638" s="260">
        <f>VLOOKUP(O638,BCDTK!$E$9:$L$132,5,0)</f>
        <v>0</v>
      </c>
      <c r="I638" s="261" t="str">
        <f t="shared" si="60"/>
        <v>&lt;/ct242&gt;</v>
      </c>
      <c r="J638" s="262"/>
      <c r="K638" s="262"/>
      <c r="L638" s="262"/>
      <c r="M638" s="263"/>
      <c r="N638" s="265"/>
      <c r="O638" s="265">
        <v>242</v>
      </c>
    </row>
    <row r="639" spans="1:15" x14ac:dyDescent="0.45">
      <c r="A639" s="253" t="str">
        <f t="shared" si="55"/>
        <v>&lt;ct331&gt;425768000&lt;/ct331&gt;</v>
      </c>
      <c r="B639" s="450" t="s">
        <v>1632</v>
      </c>
      <c r="C639" s="244">
        <f t="shared" si="56"/>
        <v>2</v>
      </c>
      <c r="D639" s="244">
        <f t="shared" si="57"/>
        <v>7</v>
      </c>
      <c r="E639" s="244">
        <f t="shared" si="58"/>
        <v>9</v>
      </c>
      <c r="G639" s="259" t="str">
        <f t="shared" si="59"/>
        <v>&lt;ct331&gt;</v>
      </c>
      <c r="H639" s="260">
        <f>VLOOKUP(O639,BCDTK!$E$9:$L$132,5,0)</f>
        <v>425768000</v>
      </c>
      <c r="I639" s="261" t="str">
        <f t="shared" si="60"/>
        <v>&lt;/ct331&gt;</v>
      </c>
      <c r="J639" s="262"/>
      <c r="K639" s="262"/>
      <c r="L639" s="262"/>
      <c r="M639" s="263"/>
      <c r="N639" s="265"/>
      <c r="O639" s="265">
        <v>331</v>
      </c>
    </row>
    <row r="640" spans="1:15" x14ac:dyDescent="0.45">
      <c r="A640" s="253" t="str">
        <f t="shared" si="55"/>
        <v>&lt;ct333&gt;27021584&lt;/ct333&gt;</v>
      </c>
      <c r="B640" s="450" t="s">
        <v>1633</v>
      </c>
      <c r="C640" s="244">
        <f t="shared" si="56"/>
        <v>2</v>
      </c>
      <c r="D640" s="244">
        <f t="shared" si="57"/>
        <v>7</v>
      </c>
      <c r="E640" s="244">
        <f t="shared" si="58"/>
        <v>9</v>
      </c>
      <c r="G640" s="259" t="str">
        <f t="shared" si="59"/>
        <v>&lt;ct333&gt;</v>
      </c>
      <c r="H640" s="260">
        <f>VLOOKUP(O640,BCDTK!$E$9:$L$132,5,0)</f>
        <v>27021584</v>
      </c>
      <c r="I640" s="261" t="str">
        <f t="shared" si="60"/>
        <v>&lt;/ct333&gt;</v>
      </c>
      <c r="J640" s="262"/>
      <c r="K640" s="262"/>
      <c r="L640" s="262"/>
      <c r="M640" s="263"/>
      <c r="N640" s="265"/>
      <c r="O640" s="265">
        <v>333</v>
      </c>
    </row>
    <row r="641" spans="1:15" x14ac:dyDescent="0.45">
      <c r="A641" s="253" t="str">
        <f t="shared" si="55"/>
        <v>&lt;ct3331&gt;25021584&lt;/ct3331&gt;</v>
      </c>
      <c r="B641" s="450" t="s">
        <v>1634</v>
      </c>
      <c r="C641" s="244">
        <f t="shared" si="56"/>
        <v>2</v>
      </c>
      <c r="D641" s="244">
        <f t="shared" si="57"/>
        <v>8</v>
      </c>
      <c r="E641" s="244">
        <f t="shared" si="58"/>
        <v>10</v>
      </c>
      <c r="G641" s="259" t="str">
        <f t="shared" si="59"/>
        <v>&lt;ct3331&gt;</v>
      </c>
      <c r="H641" s="260">
        <f>VLOOKUP(O641,BCDTK!$E$9:$L$132,5,0)</f>
        <v>25021584</v>
      </c>
      <c r="I641" s="261" t="str">
        <f t="shared" si="60"/>
        <v>&lt;/ct3331&gt;</v>
      </c>
      <c r="J641" s="262"/>
      <c r="K641" s="262"/>
      <c r="L641" s="262"/>
      <c r="M641" s="263"/>
      <c r="N641" s="265"/>
      <c r="O641" s="265">
        <v>3331</v>
      </c>
    </row>
    <row r="642" spans="1:15" x14ac:dyDescent="0.45">
      <c r="A642" s="253" t="str">
        <f t="shared" si="55"/>
        <v>&lt;ct33311&gt;25021584&lt;/ct33311&gt;</v>
      </c>
      <c r="B642" s="450" t="s">
        <v>1635</v>
      </c>
      <c r="C642" s="244">
        <f t="shared" si="56"/>
        <v>2</v>
      </c>
      <c r="D642" s="244">
        <f t="shared" si="57"/>
        <v>9</v>
      </c>
      <c r="E642" s="244">
        <f t="shared" si="58"/>
        <v>11</v>
      </c>
      <c r="G642" s="259" t="str">
        <f t="shared" si="59"/>
        <v>&lt;ct33311&gt;</v>
      </c>
      <c r="H642" s="260">
        <f>VLOOKUP(O642,BCDTK!$E$9:$L$132,5,0)</f>
        <v>25021584</v>
      </c>
      <c r="I642" s="261" t="str">
        <f t="shared" si="60"/>
        <v>&lt;/ct33311&gt;</v>
      </c>
      <c r="J642" s="262"/>
      <c r="K642" s="262"/>
      <c r="L642" s="262"/>
      <c r="M642" s="263"/>
      <c r="N642" s="265"/>
      <c r="O642" s="265">
        <v>33311</v>
      </c>
    </row>
    <row r="643" spans="1:15" x14ac:dyDescent="0.45">
      <c r="A643" s="253" t="str">
        <f t="shared" si="55"/>
        <v>&lt;ct33312&gt;0&lt;/ct33312&gt;</v>
      </c>
      <c r="B643" s="450" t="s">
        <v>1636</v>
      </c>
      <c r="C643" s="244">
        <f t="shared" si="56"/>
        <v>2</v>
      </c>
      <c r="D643" s="244">
        <f t="shared" si="57"/>
        <v>9</v>
      </c>
      <c r="E643" s="244">
        <f t="shared" si="58"/>
        <v>11</v>
      </c>
      <c r="G643" s="259" t="str">
        <f t="shared" si="59"/>
        <v>&lt;ct33312&gt;</v>
      </c>
      <c r="H643" s="260">
        <f>VLOOKUP(O643,BCDTK!$E$9:$L$132,5,0)</f>
        <v>0</v>
      </c>
      <c r="I643" s="261" t="str">
        <f t="shared" si="60"/>
        <v>&lt;/ct33312&gt;</v>
      </c>
      <c r="J643" s="262"/>
      <c r="K643" s="262"/>
      <c r="L643" s="262"/>
      <c r="M643" s="263"/>
      <c r="N643" s="265"/>
      <c r="O643" s="265">
        <v>33312</v>
      </c>
    </row>
    <row r="644" spans="1:15" x14ac:dyDescent="0.45">
      <c r="A644" s="253" t="str">
        <f t="shared" ref="A644:A707" si="61">CONCATENATE(G644,H644,I644)</f>
        <v>&lt;ct3332&gt;0&lt;/ct3332&gt;</v>
      </c>
      <c r="B644" s="450" t="s">
        <v>1637</v>
      </c>
      <c r="C644" s="244">
        <f t="shared" si="56"/>
        <v>2</v>
      </c>
      <c r="D644" s="244">
        <f t="shared" si="57"/>
        <v>8</v>
      </c>
      <c r="E644" s="244">
        <f t="shared" si="58"/>
        <v>10</v>
      </c>
      <c r="G644" s="259" t="str">
        <f t="shared" si="59"/>
        <v>&lt;ct3332&gt;</v>
      </c>
      <c r="H644" s="260">
        <f>VLOOKUP(O644,BCDTK!$E$9:$L$132,5,0)</f>
        <v>0</v>
      </c>
      <c r="I644" s="261" t="str">
        <f t="shared" si="60"/>
        <v>&lt;/ct3332&gt;</v>
      </c>
      <c r="J644" s="262"/>
      <c r="K644" s="262"/>
      <c r="L644" s="262"/>
      <c r="M644" s="263"/>
      <c r="N644" s="265"/>
      <c r="O644" s="265">
        <v>3332</v>
      </c>
    </row>
    <row r="645" spans="1:15" x14ac:dyDescent="0.45">
      <c r="A645" s="253" t="str">
        <f t="shared" si="61"/>
        <v>&lt;ct3333&gt;0&lt;/ct3333&gt;</v>
      </c>
      <c r="B645" s="450" t="s">
        <v>1638</v>
      </c>
      <c r="C645" s="244">
        <f t="shared" si="56"/>
        <v>2</v>
      </c>
      <c r="D645" s="244">
        <f t="shared" si="57"/>
        <v>8</v>
      </c>
      <c r="E645" s="244">
        <f t="shared" si="58"/>
        <v>10</v>
      </c>
      <c r="G645" s="259" t="str">
        <f t="shared" si="59"/>
        <v>&lt;ct3333&gt;</v>
      </c>
      <c r="H645" s="260">
        <f>VLOOKUP(O645,BCDTK!$E$9:$L$132,5,0)</f>
        <v>0</v>
      </c>
      <c r="I645" s="261" t="str">
        <f t="shared" si="60"/>
        <v>&lt;/ct3333&gt;</v>
      </c>
      <c r="J645" s="262"/>
      <c r="K645" s="262"/>
      <c r="L645" s="262"/>
      <c r="M645" s="263"/>
      <c r="N645" s="265"/>
      <c r="O645" s="265">
        <v>3333</v>
      </c>
    </row>
    <row r="646" spans="1:15" x14ac:dyDescent="0.45">
      <c r="A646" s="253" t="str">
        <f t="shared" si="61"/>
        <v>&lt;ct3334&gt;0&lt;/ct3334&gt;</v>
      </c>
      <c r="B646" s="450" t="s">
        <v>1639</v>
      </c>
      <c r="C646" s="244">
        <f t="shared" si="56"/>
        <v>2</v>
      </c>
      <c r="D646" s="244">
        <f t="shared" si="57"/>
        <v>8</v>
      </c>
      <c r="E646" s="244">
        <f t="shared" si="58"/>
        <v>10</v>
      </c>
      <c r="G646" s="259" t="str">
        <f t="shared" si="59"/>
        <v>&lt;ct3334&gt;</v>
      </c>
      <c r="H646" s="260">
        <f>VLOOKUP(O646,BCDTK!$E$9:$L$132,5,0)</f>
        <v>0</v>
      </c>
      <c r="I646" s="261" t="str">
        <f t="shared" si="60"/>
        <v>&lt;/ct3334&gt;</v>
      </c>
      <c r="J646" s="262"/>
      <c r="K646" s="262"/>
      <c r="L646" s="262"/>
      <c r="M646" s="263"/>
      <c r="N646" s="265"/>
      <c r="O646" s="265">
        <v>3334</v>
      </c>
    </row>
    <row r="647" spans="1:15" x14ac:dyDescent="0.45">
      <c r="A647" s="253" t="str">
        <f t="shared" si="61"/>
        <v>&lt;ct3335&gt;0&lt;/ct3335&gt;</v>
      </c>
      <c r="B647" s="450" t="s">
        <v>1640</v>
      </c>
      <c r="C647" s="244">
        <f t="shared" si="56"/>
        <v>2</v>
      </c>
      <c r="D647" s="244">
        <f t="shared" si="57"/>
        <v>8</v>
      </c>
      <c r="E647" s="244">
        <f t="shared" si="58"/>
        <v>10</v>
      </c>
      <c r="G647" s="259" t="str">
        <f t="shared" si="59"/>
        <v>&lt;ct3335&gt;</v>
      </c>
      <c r="H647" s="260">
        <f>VLOOKUP(O647,BCDTK!$E$9:$L$132,5,0)</f>
        <v>0</v>
      </c>
      <c r="I647" s="261" t="str">
        <f t="shared" si="60"/>
        <v>&lt;/ct3335&gt;</v>
      </c>
      <c r="J647" s="262"/>
      <c r="K647" s="262"/>
      <c r="L647" s="262"/>
      <c r="M647" s="263"/>
      <c r="N647" s="265"/>
      <c r="O647" s="265">
        <v>3335</v>
      </c>
    </row>
    <row r="648" spans="1:15" x14ac:dyDescent="0.45">
      <c r="A648" s="253" t="str">
        <f t="shared" si="61"/>
        <v>&lt;ct3336&gt;0&lt;/ct3336&gt;</v>
      </c>
      <c r="B648" s="450" t="s">
        <v>1641</v>
      </c>
      <c r="C648" s="244">
        <f t="shared" si="56"/>
        <v>2</v>
      </c>
      <c r="D648" s="244">
        <f t="shared" si="57"/>
        <v>8</v>
      </c>
      <c r="E648" s="244">
        <f t="shared" si="58"/>
        <v>10</v>
      </c>
      <c r="G648" s="259" t="str">
        <f t="shared" si="59"/>
        <v>&lt;ct3336&gt;</v>
      </c>
      <c r="H648" s="260">
        <f>VLOOKUP(O648,BCDTK!$E$9:$L$132,5,0)</f>
        <v>0</v>
      </c>
      <c r="I648" s="261" t="str">
        <f t="shared" si="60"/>
        <v>&lt;/ct3336&gt;</v>
      </c>
      <c r="J648" s="262"/>
      <c r="K648" s="262"/>
      <c r="L648" s="262"/>
      <c r="M648" s="263"/>
      <c r="N648" s="265"/>
      <c r="O648" s="265">
        <v>3336</v>
      </c>
    </row>
    <row r="649" spans="1:15" x14ac:dyDescent="0.45">
      <c r="A649" s="253" t="str">
        <f t="shared" si="61"/>
        <v>&lt;ct3337&gt;0&lt;/ct3337&gt;</v>
      </c>
      <c r="B649" s="450" t="s">
        <v>1642</v>
      </c>
      <c r="C649" s="244">
        <f t="shared" ref="C649:C712" si="62">LEN(B649)-LEN(SUBSTITUTE(B649,"&lt;",""))</f>
        <v>2</v>
      </c>
      <c r="D649" s="244">
        <f t="shared" ref="D649:D712" si="63">SEARCH("&gt;",B649)</f>
        <v>8</v>
      </c>
      <c r="E649" s="244">
        <f t="shared" ref="E649:E712" si="64">IFERROR(SEARCH("&lt;/",B649),"")</f>
        <v>10</v>
      </c>
      <c r="G649" s="259" t="str">
        <f t="shared" ref="G649:G712" si="65">LEFT(B649,D649)</f>
        <v>&lt;ct3337&gt;</v>
      </c>
      <c r="H649" s="260">
        <f>VLOOKUP(O649,BCDTK!$E$9:$L$132,5,0)</f>
        <v>0</v>
      </c>
      <c r="I649" s="261" t="str">
        <f t="shared" ref="I649:I712" si="66">IF(C649=2,RIGHT(B649,LEN(B649)-E649+1),"")</f>
        <v>&lt;/ct3337&gt;</v>
      </c>
      <c r="J649" s="262"/>
      <c r="K649" s="262"/>
      <c r="L649" s="262"/>
      <c r="M649" s="263"/>
      <c r="N649" s="265"/>
      <c r="O649" s="265">
        <v>3337</v>
      </c>
    </row>
    <row r="650" spans="1:15" x14ac:dyDescent="0.45">
      <c r="A650" s="253" t="str">
        <f t="shared" si="61"/>
        <v>&lt;ct3338&gt;0&lt;/ct3338&gt;</v>
      </c>
      <c r="B650" s="450" t="s">
        <v>1643</v>
      </c>
      <c r="C650" s="244">
        <f t="shared" si="62"/>
        <v>2</v>
      </c>
      <c r="D650" s="244">
        <f t="shared" si="63"/>
        <v>8</v>
      </c>
      <c r="E650" s="244">
        <f t="shared" si="64"/>
        <v>10</v>
      </c>
      <c r="G650" s="259" t="str">
        <f t="shared" si="65"/>
        <v>&lt;ct3338&gt;</v>
      </c>
      <c r="H650" s="260">
        <f>VLOOKUP(O650,BCDTK!$E$9:$L$132,5,0)</f>
        <v>0</v>
      </c>
      <c r="I650" s="261" t="str">
        <f t="shared" si="66"/>
        <v>&lt;/ct3338&gt;</v>
      </c>
      <c r="J650" s="262"/>
      <c r="K650" s="262"/>
      <c r="L650" s="262"/>
      <c r="M650" s="263"/>
      <c r="N650" s="265"/>
      <c r="O650" s="265">
        <v>3338</v>
      </c>
    </row>
    <row r="651" spans="1:15" x14ac:dyDescent="0.45">
      <c r="A651" s="253" t="str">
        <f t="shared" si="61"/>
        <v>&lt;ct33381&gt;0&lt;/ct33381&gt;</v>
      </c>
      <c r="B651" s="450" t="s">
        <v>1644</v>
      </c>
      <c r="C651" s="244">
        <f t="shared" si="62"/>
        <v>2</v>
      </c>
      <c r="D651" s="244">
        <f t="shared" si="63"/>
        <v>9</v>
      </c>
      <c r="E651" s="244">
        <f t="shared" si="64"/>
        <v>11</v>
      </c>
      <c r="G651" s="259" t="str">
        <f t="shared" si="65"/>
        <v>&lt;ct33381&gt;</v>
      </c>
      <c r="H651" s="260">
        <f>VLOOKUP(O651,BCDTK!$E$9:$L$132,5,0)</f>
        <v>0</v>
      </c>
      <c r="I651" s="261" t="str">
        <f t="shared" si="66"/>
        <v>&lt;/ct33381&gt;</v>
      </c>
      <c r="J651" s="262"/>
      <c r="K651" s="262"/>
      <c r="L651" s="262"/>
      <c r="M651" s="263"/>
      <c r="N651" s="265"/>
      <c r="O651" s="265">
        <v>33381</v>
      </c>
    </row>
    <row r="652" spans="1:15" x14ac:dyDescent="0.45">
      <c r="A652" s="253" t="str">
        <f t="shared" si="61"/>
        <v>&lt;ct33382&gt;0&lt;/ct33382&gt;</v>
      </c>
      <c r="B652" s="450" t="s">
        <v>1645</v>
      </c>
      <c r="C652" s="244">
        <f t="shared" si="62"/>
        <v>2</v>
      </c>
      <c r="D652" s="244">
        <f t="shared" si="63"/>
        <v>9</v>
      </c>
      <c r="E652" s="244">
        <f t="shared" si="64"/>
        <v>11</v>
      </c>
      <c r="G652" s="259" t="str">
        <f t="shared" si="65"/>
        <v>&lt;ct33382&gt;</v>
      </c>
      <c r="H652" s="260">
        <f>VLOOKUP(O652,BCDTK!$E$9:$L$132,5,0)</f>
        <v>0</v>
      </c>
      <c r="I652" s="261" t="str">
        <f t="shared" si="66"/>
        <v>&lt;/ct33382&gt;</v>
      </c>
      <c r="J652" s="262"/>
      <c r="K652" s="262"/>
      <c r="L652" s="262"/>
      <c r="M652" s="263"/>
      <c r="N652" s="265"/>
      <c r="O652" s="265">
        <v>33382</v>
      </c>
    </row>
    <row r="653" spans="1:15" x14ac:dyDescent="0.45">
      <c r="A653" s="253" t="str">
        <f t="shared" si="61"/>
        <v>&lt;ct3339&gt;2000000&lt;/ct3339&gt;</v>
      </c>
      <c r="B653" s="450" t="s">
        <v>1646</v>
      </c>
      <c r="C653" s="244">
        <f t="shared" si="62"/>
        <v>2</v>
      </c>
      <c r="D653" s="244">
        <f t="shared" si="63"/>
        <v>8</v>
      </c>
      <c r="E653" s="244">
        <f t="shared" si="64"/>
        <v>10</v>
      </c>
      <c r="G653" s="259" t="str">
        <f t="shared" si="65"/>
        <v>&lt;ct3339&gt;</v>
      </c>
      <c r="H653" s="260">
        <f>VLOOKUP(O653,BCDTK!$E$9:$L$132,5,0)</f>
        <v>2000000</v>
      </c>
      <c r="I653" s="261" t="str">
        <f t="shared" si="66"/>
        <v>&lt;/ct3339&gt;</v>
      </c>
      <c r="J653" s="262"/>
      <c r="K653" s="262"/>
      <c r="L653" s="262"/>
      <c r="M653" s="263"/>
      <c r="N653" s="265"/>
      <c r="O653" s="265">
        <v>3339</v>
      </c>
    </row>
    <row r="654" spans="1:15" x14ac:dyDescent="0.45">
      <c r="A654" s="253" t="str">
        <f t="shared" si="61"/>
        <v>&lt;ct334&gt;172720000&lt;/ct334&gt;</v>
      </c>
      <c r="B654" s="450" t="s">
        <v>1647</v>
      </c>
      <c r="C654" s="244">
        <f t="shared" si="62"/>
        <v>2</v>
      </c>
      <c r="D654" s="244">
        <f t="shared" si="63"/>
        <v>7</v>
      </c>
      <c r="E654" s="244">
        <f t="shared" si="64"/>
        <v>9</v>
      </c>
      <c r="G654" s="259" t="str">
        <f t="shared" si="65"/>
        <v>&lt;ct334&gt;</v>
      </c>
      <c r="H654" s="260">
        <f>VLOOKUP(O654,BCDTK!$E$9:$L$132,5,0)</f>
        <v>172720000</v>
      </c>
      <c r="I654" s="261" t="str">
        <f t="shared" si="66"/>
        <v>&lt;/ct334&gt;</v>
      </c>
      <c r="J654" s="262"/>
      <c r="K654" s="262"/>
      <c r="L654" s="262"/>
      <c r="M654" s="263"/>
      <c r="N654" s="265"/>
      <c r="O654" s="265">
        <v>334</v>
      </c>
    </row>
    <row r="655" spans="1:15" x14ac:dyDescent="0.45">
      <c r="A655" s="253" t="str">
        <f t="shared" si="61"/>
        <v>&lt;ct335&gt;0&lt;/ct335&gt;</v>
      </c>
      <c r="B655" s="450" t="s">
        <v>1648</v>
      </c>
      <c r="C655" s="244">
        <f t="shared" si="62"/>
        <v>2</v>
      </c>
      <c r="D655" s="244">
        <f t="shared" si="63"/>
        <v>7</v>
      </c>
      <c r="E655" s="244">
        <f t="shared" si="64"/>
        <v>9</v>
      </c>
      <c r="G655" s="259" t="str">
        <f t="shared" si="65"/>
        <v>&lt;ct335&gt;</v>
      </c>
      <c r="H655" s="260">
        <f>VLOOKUP(O655,BCDTK!$E$9:$L$132,5,0)</f>
        <v>0</v>
      </c>
      <c r="I655" s="261" t="str">
        <f t="shared" si="66"/>
        <v>&lt;/ct335&gt;</v>
      </c>
      <c r="J655" s="262"/>
      <c r="K655" s="262"/>
      <c r="L655" s="262"/>
      <c r="M655" s="263"/>
      <c r="N655" s="265"/>
      <c r="O655" s="265">
        <v>335</v>
      </c>
    </row>
    <row r="656" spans="1:15" x14ac:dyDescent="0.45">
      <c r="A656" s="253" t="str">
        <f t="shared" si="61"/>
        <v>&lt;ct336&gt;0&lt;/ct336&gt;</v>
      </c>
      <c r="B656" s="450" t="s">
        <v>1649</v>
      </c>
      <c r="C656" s="244">
        <f t="shared" si="62"/>
        <v>2</v>
      </c>
      <c r="D656" s="244">
        <f t="shared" si="63"/>
        <v>7</v>
      </c>
      <c r="E656" s="244">
        <f t="shared" si="64"/>
        <v>9</v>
      </c>
      <c r="G656" s="259" t="str">
        <f t="shared" si="65"/>
        <v>&lt;ct336&gt;</v>
      </c>
      <c r="H656" s="260">
        <f>VLOOKUP(O656,BCDTK!$E$9:$L$132,5,0)</f>
        <v>0</v>
      </c>
      <c r="I656" s="261" t="str">
        <f t="shared" si="66"/>
        <v>&lt;/ct336&gt;</v>
      </c>
      <c r="J656" s="262"/>
      <c r="K656" s="262"/>
      <c r="L656" s="262"/>
      <c r="M656" s="263"/>
      <c r="N656" s="265"/>
      <c r="O656" s="265">
        <v>336</v>
      </c>
    </row>
    <row r="657" spans="1:15" x14ac:dyDescent="0.45">
      <c r="A657" s="253" t="str">
        <f t="shared" si="61"/>
        <v>&lt;ct3361&gt;0&lt;/ct3361&gt;</v>
      </c>
      <c r="B657" s="450" t="s">
        <v>1650</v>
      </c>
      <c r="C657" s="244">
        <f t="shared" si="62"/>
        <v>2</v>
      </c>
      <c r="D657" s="244">
        <f t="shared" si="63"/>
        <v>8</v>
      </c>
      <c r="E657" s="244">
        <f t="shared" si="64"/>
        <v>10</v>
      </c>
      <c r="G657" s="259" t="str">
        <f t="shared" si="65"/>
        <v>&lt;ct3361&gt;</v>
      </c>
      <c r="H657" s="260">
        <f>VLOOKUP(O657,BCDTK!$E$9:$L$132,5,0)</f>
        <v>0</v>
      </c>
      <c r="I657" s="261" t="str">
        <f t="shared" si="66"/>
        <v>&lt;/ct3361&gt;</v>
      </c>
      <c r="J657" s="262"/>
      <c r="K657" s="262"/>
      <c r="L657" s="262"/>
      <c r="M657" s="263"/>
      <c r="N657" s="265"/>
      <c r="O657" s="265">
        <v>3361</v>
      </c>
    </row>
    <row r="658" spans="1:15" x14ac:dyDescent="0.45">
      <c r="A658" s="253" t="str">
        <f t="shared" si="61"/>
        <v>&lt;ct3368&gt;0&lt;/ct3368&gt;</v>
      </c>
      <c r="B658" s="450" t="s">
        <v>1651</v>
      </c>
      <c r="C658" s="244">
        <f t="shared" si="62"/>
        <v>2</v>
      </c>
      <c r="D658" s="244">
        <f t="shared" si="63"/>
        <v>8</v>
      </c>
      <c r="E658" s="244">
        <f t="shared" si="64"/>
        <v>10</v>
      </c>
      <c r="G658" s="259" t="str">
        <f t="shared" si="65"/>
        <v>&lt;ct3368&gt;</v>
      </c>
      <c r="H658" s="260">
        <f>VLOOKUP(O658,BCDTK!$E$9:$L$132,5,0)</f>
        <v>0</v>
      </c>
      <c r="I658" s="261" t="str">
        <f t="shared" si="66"/>
        <v>&lt;/ct3368&gt;</v>
      </c>
      <c r="J658" s="262"/>
      <c r="K658" s="262"/>
      <c r="L658" s="262"/>
      <c r="M658" s="263"/>
      <c r="N658" s="265"/>
      <c r="O658" s="265">
        <v>3368</v>
      </c>
    </row>
    <row r="659" spans="1:15" x14ac:dyDescent="0.45">
      <c r="A659" s="253" t="str">
        <f t="shared" si="61"/>
        <v>&lt;ct338&gt;0&lt;/ct338&gt;</v>
      </c>
      <c r="B659" s="450" t="s">
        <v>1652</v>
      </c>
      <c r="C659" s="244">
        <f t="shared" si="62"/>
        <v>2</v>
      </c>
      <c r="D659" s="244">
        <f t="shared" si="63"/>
        <v>7</v>
      </c>
      <c r="E659" s="244">
        <f t="shared" si="64"/>
        <v>9</v>
      </c>
      <c r="G659" s="259" t="str">
        <f t="shared" si="65"/>
        <v>&lt;ct338&gt;</v>
      </c>
      <c r="H659" s="260">
        <f>VLOOKUP(O659,BCDTK!$E$9:$L$132,5,0)</f>
        <v>0</v>
      </c>
      <c r="I659" s="261" t="str">
        <f t="shared" si="66"/>
        <v>&lt;/ct338&gt;</v>
      </c>
      <c r="J659" s="262"/>
      <c r="K659" s="262"/>
      <c r="L659" s="262"/>
      <c r="M659" s="263"/>
      <c r="N659" s="265"/>
      <c r="O659" s="265">
        <v>338</v>
      </c>
    </row>
    <row r="660" spans="1:15" x14ac:dyDescent="0.45">
      <c r="A660" s="253" t="str">
        <f t="shared" si="61"/>
        <v>&lt;ct3381&gt;0&lt;/ct3381&gt;</v>
      </c>
      <c r="B660" s="450" t="s">
        <v>1653</v>
      </c>
      <c r="C660" s="244">
        <f t="shared" si="62"/>
        <v>2</v>
      </c>
      <c r="D660" s="244">
        <f t="shared" si="63"/>
        <v>8</v>
      </c>
      <c r="E660" s="244">
        <f t="shared" si="64"/>
        <v>10</v>
      </c>
      <c r="G660" s="259" t="str">
        <f t="shared" si="65"/>
        <v>&lt;ct3381&gt;</v>
      </c>
      <c r="H660" s="260">
        <f>VLOOKUP(O660,BCDTK!$E$9:$L$132,5,0)</f>
        <v>0</v>
      </c>
      <c r="I660" s="261" t="str">
        <f t="shared" si="66"/>
        <v>&lt;/ct3381&gt;</v>
      </c>
      <c r="J660" s="262"/>
      <c r="K660" s="262"/>
      <c r="L660" s="262"/>
      <c r="M660" s="263"/>
      <c r="N660" s="265"/>
      <c r="O660" s="265">
        <v>3381</v>
      </c>
    </row>
    <row r="661" spans="1:15" x14ac:dyDescent="0.45">
      <c r="A661" s="253" t="str">
        <f t="shared" si="61"/>
        <v>&lt;ct3382&gt;0&lt;/ct3382&gt;</v>
      </c>
      <c r="B661" s="450" t="s">
        <v>1654</v>
      </c>
      <c r="C661" s="244">
        <f t="shared" si="62"/>
        <v>2</v>
      </c>
      <c r="D661" s="244">
        <f t="shared" si="63"/>
        <v>8</v>
      </c>
      <c r="E661" s="244">
        <f t="shared" si="64"/>
        <v>10</v>
      </c>
      <c r="G661" s="259" t="str">
        <f t="shared" si="65"/>
        <v>&lt;ct3382&gt;</v>
      </c>
      <c r="H661" s="260">
        <f>VLOOKUP(O661,BCDTK!$E$9:$L$132,5,0)</f>
        <v>0</v>
      </c>
      <c r="I661" s="261" t="str">
        <f t="shared" si="66"/>
        <v>&lt;/ct3382&gt;</v>
      </c>
      <c r="J661" s="262"/>
      <c r="K661" s="262"/>
      <c r="L661" s="262"/>
      <c r="M661" s="263"/>
      <c r="N661" s="265"/>
      <c r="O661" s="265">
        <v>3382</v>
      </c>
    </row>
    <row r="662" spans="1:15" x14ac:dyDescent="0.45">
      <c r="A662" s="253" t="str">
        <f t="shared" si="61"/>
        <v>&lt;ct3383&gt;0&lt;/ct3383&gt;</v>
      </c>
      <c r="B662" s="450" t="s">
        <v>1655</v>
      </c>
      <c r="C662" s="244">
        <f t="shared" si="62"/>
        <v>2</v>
      </c>
      <c r="D662" s="244">
        <f t="shared" si="63"/>
        <v>8</v>
      </c>
      <c r="E662" s="244">
        <f t="shared" si="64"/>
        <v>10</v>
      </c>
      <c r="G662" s="259" t="str">
        <f t="shared" si="65"/>
        <v>&lt;ct3383&gt;</v>
      </c>
      <c r="H662" s="260">
        <f>VLOOKUP(O662,BCDTK!$E$9:$L$132,5,0)</f>
        <v>0</v>
      </c>
      <c r="I662" s="261" t="str">
        <f t="shared" si="66"/>
        <v>&lt;/ct3383&gt;</v>
      </c>
      <c r="J662" s="262"/>
      <c r="K662" s="262"/>
      <c r="L662" s="262"/>
      <c r="M662" s="263"/>
      <c r="N662" s="265"/>
      <c r="O662" s="265">
        <v>3383</v>
      </c>
    </row>
    <row r="663" spans="1:15" x14ac:dyDescent="0.45">
      <c r="A663" s="253" t="str">
        <f t="shared" si="61"/>
        <v>&lt;ct3384&gt;0&lt;/ct3384&gt;</v>
      </c>
      <c r="B663" s="450" t="s">
        <v>1656</v>
      </c>
      <c r="C663" s="244">
        <f t="shared" si="62"/>
        <v>2</v>
      </c>
      <c r="D663" s="244">
        <f t="shared" si="63"/>
        <v>8</v>
      </c>
      <c r="E663" s="244">
        <f t="shared" si="64"/>
        <v>10</v>
      </c>
      <c r="G663" s="259" t="str">
        <f t="shared" si="65"/>
        <v>&lt;ct3384&gt;</v>
      </c>
      <c r="H663" s="260">
        <f>VLOOKUP(O663,BCDTK!$E$9:$L$132,5,0)</f>
        <v>0</v>
      </c>
      <c r="I663" s="261" t="str">
        <f t="shared" si="66"/>
        <v>&lt;/ct3384&gt;</v>
      </c>
      <c r="J663" s="262"/>
      <c r="K663" s="262"/>
      <c r="L663" s="262"/>
      <c r="M663" s="263"/>
      <c r="N663" s="265"/>
      <c r="O663" s="265">
        <v>3384</v>
      </c>
    </row>
    <row r="664" spans="1:15" x14ac:dyDescent="0.45">
      <c r="A664" s="253" t="str">
        <f t="shared" si="61"/>
        <v>&lt;ct3385&gt;0&lt;/ct3385&gt;</v>
      </c>
      <c r="B664" s="450" t="s">
        <v>1657</v>
      </c>
      <c r="C664" s="244">
        <f t="shared" si="62"/>
        <v>2</v>
      </c>
      <c r="D664" s="244">
        <f t="shared" si="63"/>
        <v>8</v>
      </c>
      <c r="E664" s="244">
        <f t="shared" si="64"/>
        <v>10</v>
      </c>
      <c r="G664" s="259" t="str">
        <f t="shared" si="65"/>
        <v>&lt;ct3385&gt;</v>
      </c>
      <c r="H664" s="260">
        <f>VLOOKUP(O664,BCDTK!$E$9:$L$132,5,0)</f>
        <v>0</v>
      </c>
      <c r="I664" s="261" t="str">
        <f t="shared" si="66"/>
        <v>&lt;/ct3385&gt;</v>
      </c>
      <c r="J664" s="262"/>
      <c r="K664" s="262"/>
      <c r="L664" s="262"/>
      <c r="M664" s="263"/>
      <c r="N664" s="265"/>
      <c r="O664" s="265">
        <v>3385</v>
      </c>
    </row>
    <row r="665" spans="1:15" x14ac:dyDescent="0.45">
      <c r="A665" s="253" t="str">
        <f t="shared" si="61"/>
        <v>&lt;ct3386&gt;0&lt;/ct3386&gt;</v>
      </c>
      <c r="B665" s="450" t="s">
        <v>1658</v>
      </c>
      <c r="C665" s="244">
        <f t="shared" si="62"/>
        <v>2</v>
      </c>
      <c r="D665" s="244">
        <f t="shared" si="63"/>
        <v>8</v>
      </c>
      <c r="E665" s="244">
        <f t="shared" si="64"/>
        <v>10</v>
      </c>
      <c r="G665" s="259" t="str">
        <f t="shared" si="65"/>
        <v>&lt;ct3386&gt;</v>
      </c>
      <c r="H665" s="260">
        <f>VLOOKUP(O665,BCDTK!$E$9:$L$132,5,0)</f>
        <v>0</v>
      </c>
      <c r="I665" s="261" t="str">
        <f t="shared" si="66"/>
        <v>&lt;/ct3386&gt;</v>
      </c>
      <c r="J665" s="262"/>
      <c r="K665" s="262"/>
      <c r="L665" s="262"/>
      <c r="M665" s="263"/>
      <c r="N665" s="265"/>
      <c r="O665" s="265">
        <v>3386</v>
      </c>
    </row>
    <row r="666" spans="1:15" x14ac:dyDescent="0.45">
      <c r="A666" s="253" t="str">
        <f t="shared" si="61"/>
        <v>&lt;ct3387&gt;0&lt;/ct3387&gt;</v>
      </c>
      <c r="B666" s="450" t="s">
        <v>1659</v>
      </c>
      <c r="C666" s="244">
        <f t="shared" si="62"/>
        <v>2</v>
      </c>
      <c r="D666" s="244">
        <f t="shared" si="63"/>
        <v>8</v>
      </c>
      <c r="E666" s="244">
        <f t="shared" si="64"/>
        <v>10</v>
      </c>
      <c r="G666" s="259" t="str">
        <f t="shared" si="65"/>
        <v>&lt;ct3387&gt;</v>
      </c>
      <c r="H666" s="260">
        <f>VLOOKUP(O666,BCDTK!$E$9:$L$132,5,0)</f>
        <v>0</v>
      </c>
      <c r="I666" s="261" t="str">
        <f t="shared" si="66"/>
        <v>&lt;/ct3387&gt;</v>
      </c>
      <c r="J666" s="262"/>
      <c r="K666" s="262"/>
      <c r="L666" s="262"/>
      <c r="M666" s="263"/>
      <c r="N666" s="265"/>
      <c r="O666" s="265">
        <v>3387</v>
      </c>
    </row>
    <row r="667" spans="1:15" x14ac:dyDescent="0.45">
      <c r="A667" s="253" t="str">
        <f t="shared" si="61"/>
        <v>&lt;ct3388&gt;0&lt;/ct3388&gt;</v>
      </c>
      <c r="B667" s="450" t="s">
        <v>1660</v>
      </c>
      <c r="C667" s="244">
        <f t="shared" si="62"/>
        <v>2</v>
      </c>
      <c r="D667" s="244">
        <f t="shared" si="63"/>
        <v>8</v>
      </c>
      <c r="E667" s="244">
        <f t="shared" si="64"/>
        <v>10</v>
      </c>
      <c r="G667" s="259" t="str">
        <f t="shared" si="65"/>
        <v>&lt;ct3388&gt;</v>
      </c>
      <c r="H667" s="260">
        <f>VLOOKUP(O667,BCDTK!$E$9:$L$132,5,0)</f>
        <v>0</v>
      </c>
      <c r="I667" s="261" t="str">
        <f t="shared" si="66"/>
        <v>&lt;/ct3388&gt;</v>
      </c>
      <c r="J667" s="262"/>
      <c r="K667" s="262"/>
      <c r="L667" s="262"/>
      <c r="M667" s="263"/>
      <c r="N667" s="265"/>
      <c r="O667" s="265">
        <v>3388</v>
      </c>
    </row>
    <row r="668" spans="1:15" x14ac:dyDescent="0.45">
      <c r="A668" s="253" t="str">
        <f t="shared" si="61"/>
        <v>&lt;ct341&gt;4027000&lt;/ct341&gt;</v>
      </c>
      <c r="B668" s="450" t="s">
        <v>1661</v>
      </c>
      <c r="C668" s="244">
        <f t="shared" si="62"/>
        <v>2</v>
      </c>
      <c r="D668" s="244">
        <f t="shared" si="63"/>
        <v>7</v>
      </c>
      <c r="E668" s="244">
        <f t="shared" si="64"/>
        <v>9</v>
      </c>
      <c r="G668" s="259" t="str">
        <f t="shared" si="65"/>
        <v>&lt;ct341&gt;</v>
      </c>
      <c r="H668" s="260">
        <f>VLOOKUP(O668,BCDTK!$E$9:$L$132,5,0)</f>
        <v>4027000</v>
      </c>
      <c r="I668" s="261" t="str">
        <f t="shared" si="66"/>
        <v>&lt;/ct341&gt;</v>
      </c>
      <c r="J668" s="262"/>
      <c r="K668" s="262"/>
      <c r="L668" s="262"/>
      <c r="M668" s="263"/>
      <c r="N668" s="265"/>
      <c r="O668" s="265">
        <v>341</v>
      </c>
    </row>
    <row r="669" spans="1:15" x14ac:dyDescent="0.45">
      <c r="A669" s="253" t="str">
        <f t="shared" si="61"/>
        <v>&lt;ct3411&gt;4027000&lt;/ct3411&gt;</v>
      </c>
      <c r="B669" s="450" t="s">
        <v>1662</v>
      </c>
      <c r="C669" s="244">
        <f t="shared" si="62"/>
        <v>2</v>
      </c>
      <c r="D669" s="244">
        <f t="shared" si="63"/>
        <v>8</v>
      </c>
      <c r="E669" s="244">
        <f t="shared" si="64"/>
        <v>10</v>
      </c>
      <c r="G669" s="259" t="str">
        <f t="shared" si="65"/>
        <v>&lt;ct3411&gt;</v>
      </c>
      <c r="H669" s="260">
        <f>VLOOKUP(O669,BCDTK!$E$9:$L$132,5,0)</f>
        <v>4027000</v>
      </c>
      <c r="I669" s="261" t="str">
        <f t="shared" si="66"/>
        <v>&lt;/ct3411&gt;</v>
      </c>
      <c r="J669" s="262"/>
      <c r="K669" s="262"/>
      <c r="L669" s="262"/>
      <c r="M669" s="263"/>
      <c r="N669" s="265"/>
      <c r="O669" s="265">
        <v>3411</v>
      </c>
    </row>
    <row r="670" spans="1:15" x14ac:dyDescent="0.45">
      <c r="A670" s="253" t="str">
        <f t="shared" si="61"/>
        <v>&lt;ct3412&gt;0&lt;/ct3412&gt;</v>
      </c>
      <c r="B670" s="450" t="s">
        <v>1663</v>
      </c>
      <c r="C670" s="244">
        <f t="shared" si="62"/>
        <v>2</v>
      </c>
      <c r="D670" s="244">
        <f t="shared" si="63"/>
        <v>8</v>
      </c>
      <c r="E670" s="244">
        <f t="shared" si="64"/>
        <v>10</v>
      </c>
      <c r="G670" s="259" t="str">
        <f t="shared" si="65"/>
        <v>&lt;ct3412&gt;</v>
      </c>
      <c r="H670" s="260">
        <f>VLOOKUP(O670,BCDTK!$E$9:$L$132,5,0)</f>
        <v>0</v>
      </c>
      <c r="I670" s="261" t="str">
        <f t="shared" si="66"/>
        <v>&lt;/ct3412&gt;</v>
      </c>
      <c r="J670" s="262"/>
      <c r="K670" s="262"/>
      <c r="L670" s="262"/>
      <c r="M670" s="263"/>
      <c r="N670" s="265"/>
      <c r="O670" s="265">
        <v>3412</v>
      </c>
    </row>
    <row r="671" spans="1:15" x14ac:dyDescent="0.45">
      <c r="A671" s="253" t="str">
        <f t="shared" si="61"/>
        <v>&lt;ct352&gt;0&lt;/ct352&gt;</v>
      </c>
      <c r="B671" s="450" t="s">
        <v>1664</v>
      </c>
      <c r="C671" s="244">
        <f t="shared" si="62"/>
        <v>2</v>
      </c>
      <c r="D671" s="244">
        <f t="shared" si="63"/>
        <v>7</v>
      </c>
      <c r="E671" s="244">
        <f t="shared" si="64"/>
        <v>9</v>
      </c>
      <c r="G671" s="259" t="str">
        <f t="shared" si="65"/>
        <v>&lt;ct352&gt;</v>
      </c>
      <c r="H671" s="260">
        <f>VLOOKUP(O671,BCDTK!$E$9:$L$132,5,0)</f>
        <v>0</v>
      </c>
      <c r="I671" s="261" t="str">
        <f t="shared" si="66"/>
        <v>&lt;/ct352&gt;</v>
      </c>
      <c r="J671" s="262"/>
      <c r="K671" s="262"/>
      <c r="L671" s="262"/>
      <c r="M671" s="263"/>
      <c r="N671" s="265"/>
      <c r="O671" s="265">
        <v>352</v>
      </c>
    </row>
    <row r="672" spans="1:15" x14ac:dyDescent="0.45">
      <c r="A672" s="253" t="str">
        <f t="shared" si="61"/>
        <v>&lt;ct3521&gt;0&lt;/ct3521&gt;</v>
      </c>
      <c r="B672" s="450" t="s">
        <v>1665</v>
      </c>
      <c r="C672" s="244">
        <f t="shared" si="62"/>
        <v>2</v>
      </c>
      <c r="D672" s="244">
        <f t="shared" si="63"/>
        <v>8</v>
      </c>
      <c r="E672" s="244">
        <f t="shared" si="64"/>
        <v>10</v>
      </c>
      <c r="G672" s="259" t="str">
        <f t="shared" si="65"/>
        <v>&lt;ct3521&gt;</v>
      </c>
      <c r="H672" s="260">
        <f>VLOOKUP(O672,BCDTK!$E$9:$L$132,5,0)</f>
        <v>0</v>
      </c>
      <c r="I672" s="261" t="str">
        <f t="shared" si="66"/>
        <v>&lt;/ct3521&gt;</v>
      </c>
      <c r="J672" s="262"/>
      <c r="K672" s="262"/>
      <c r="L672" s="262"/>
      <c r="M672" s="263"/>
      <c r="N672" s="265"/>
      <c r="O672" s="265">
        <v>3521</v>
      </c>
    </row>
    <row r="673" spans="1:15" x14ac:dyDescent="0.45">
      <c r="A673" s="253" t="str">
        <f t="shared" si="61"/>
        <v>&lt;ct3522&gt;0&lt;/ct3522&gt;</v>
      </c>
      <c r="B673" s="450" t="s">
        <v>1666</v>
      </c>
      <c r="C673" s="244">
        <f t="shared" si="62"/>
        <v>2</v>
      </c>
      <c r="D673" s="244">
        <f t="shared" si="63"/>
        <v>8</v>
      </c>
      <c r="E673" s="244">
        <f t="shared" si="64"/>
        <v>10</v>
      </c>
      <c r="G673" s="259" t="str">
        <f t="shared" si="65"/>
        <v>&lt;ct3522&gt;</v>
      </c>
      <c r="H673" s="260">
        <f>VLOOKUP(O673,BCDTK!$E$9:$L$132,5,0)</f>
        <v>0</v>
      </c>
      <c r="I673" s="261" t="str">
        <f t="shared" si="66"/>
        <v>&lt;/ct3522&gt;</v>
      </c>
      <c r="J673" s="262"/>
      <c r="K673" s="262"/>
      <c r="L673" s="262"/>
      <c r="M673" s="263"/>
      <c r="N673" s="265"/>
      <c r="O673" s="265">
        <v>3522</v>
      </c>
    </row>
    <row r="674" spans="1:15" x14ac:dyDescent="0.45">
      <c r="A674" s="253" t="str">
        <f t="shared" si="61"/>
        <v>&lt;ct3524&gt;0&lt;/ct3524&gt;</v>
      </c>
      <c r="B674" s="450" t="s">
        <v>1667</v>
      </c>
      <c r="C674" s="244">
        <f t="shared" si="62"/>
        <v>2</v>
      </c>
      <c r="D674" s="244">
        <f t="shared" si="63"/>
        <v>8</v>
      </c>
      <c r="E674" s="244">
        <f t="shared" si="64"/>
        <v>10</v>
      </c>
      <c r="G674" s="259" t="str">
        <f t="shared" si="65"/>
        <v>&lt;ct3524&gt;</v>
      </c>
      <c r="H674" s="260">
        <f>VLOOKUP(O674,BCDTK!$E$9:$L$132,5,0)</f>
        <v>0</v>
      </c>
      <c r="I674" s="261" t="str">
        <f t="shared" si="66"/>
        <v>&lt;/ct3524&gt;</v>
      </c>
      <c r="J674" s="262"/>
      <c r="K674" s="262"/>
      <c r="L674" s="262"/>
      <c r="M674" s="263"/>
      <c r="N674" s="265"/>
      <c r="O674" s="265">
        <v>3524</v>
      </c>
    </row>
    <row r="675" spans="1:15" x14ac:dyDescent="0.45">
      <c r="A675" s="253" t="str">
        <f t="shared" si="61"/>
        <v>&lt;ct353&gt;0&lt;/ct353&gt;</v>
      </c>
      <c r="B675" s="450" t="s">
        <v>1668</v>
      </c>
      <c r="C675" s="244">
        <f t="shared" si="62"/>
        <v>2</v>
      </c>
      <c r="D675" s="244">
        <f t="shared" si="63"/>
        <v>7</v>
      </c>
      <c r="E675" s="244">
        <f t="shared" si="64"/>
        <v>9</v>
      </c>
      <c r="G675" s="259" t="str">
        <f t="shared" si="65"/>
        <v>&lt;ct353&gt;</v>
      </c>
      <c r="H675" s="260">
        <f>VLOOKUP(O675,BCDTK!$E$9:$L$132,5,0)</f>
        <v>0</v>
      </c>
      <c r="I675" s="261" t="str">
        <f t="shared" si="66"/>
        <v>&lt;/ct353&gt;</v>
      </c>
      <c r="J675" s="262"/>
      <c r="K675" s="262"/>
      <c r="L675" s="262"/>
      <c r="M675" s="263"/>
      <c r="N675" s="265"/>
      <c r="O675" s="265">
        <v>353</v>
      </c>
    </row>
    <row r="676" spans="1:15" x14ac:dyDescent="0.45">
      <c r="A676" s="253" t="str">
        <f t="shared" si="61"/>
        <v>&lt;ct3531&gt;0&lt;/ct3531&gt;</v>
      </c>
      <c r="B676" s="450" t="s">
        <v>1669</v>
      </c>
      <c r="C676" s="244">
        <f t="shared" si="62"/>
        <v>2</v>
      </c>
      <c r="D676" s="244">
        <f t="shared" si="63"/>
        <v>8</v>
      </c>
      <c r="E676" s="244">
        <f t="shared" si="64"/>
        <v>10</v>
      </c>
      <c r="G676" s="259" t="str">
        <f t="shared" si="65"/>
        <v>&lt;ct3531&gt;</v>
      </c>
      <c r="H676" s="260">
        <f>VLOOKUP(O676,BCDTK!$E$9:$L$132,5,0)</f>
        <v>0</v>
      </c>
      <c r="I676" s="261" t="str">
        <f t="shared" si="66"/>
        <v>&lt;/ct3531&gt;</v>
      </c>
      <c r="J676" s="262"/>
      <c r="K676" s="262"/>
      <c r="L676" s="262"/>
      <c r="M676" s="263"/>
      <c r="N676" s="265"/>
      <c r="O676" s="265">
        <v>3531</v>
      </c>
    </row>
    <row r="677" spans="1:15" x14ac:dyDescent="0.45">
      <c r="A677" s="253" t="str">
        <f t="shared" si="61"/>
        <v>&lt;ct3532&gt;0&lt;/ct3532&gt;</v>
      </c>
      <c r="B677" s="450" t="s">
        <v>1670</v>
      </c>
      <c r="C677" s="244">
        <f t="shared" si="62"/>
        <v>2</v>
      </c>
      <c r="D677" s="244">
        <f t="shared" si="63"/>
        <v>8</v>
      </c>
      <c r="E677" s="244">
        <f t="shared" si="64"/>
        <v>10</v>
      </c>
      <c r="G677" s="259" t="str">
        <f t="shared" si="65"/>
        <v>&lt;ct3532&gt;</v>
      </c>
      <c r="H677" s="260">
        <f>VLOOKUP(O677,BCDTK!$E$9:$L$132,5,0)</f>
        <v>0</v>
      </c>
      <c r="I677" s="261" t="str">
        <f t="shared" si="66"/>
        <v>&lt;/ct3532&gt;</v>
      </c>
      <c r="J677" s="262"/>
      <c r="K677" s="262"/>
      <c r="L677" s="262"/>
      <c r="M677" s="263"/>
      <c r="N677" s="265"/>
      <c r="O677" s="265">
        <v>3532</v>
      </c>
    </row>
    <row r="678" spans="1:15" x14ac:dyDescent="0.45">
      <c r="A678" s="253" t="str">
        <f t="shared" si="61"/>
        <v>&lt;ct3533&gt;0&lt;/ct3533&gt;</v>
      </c>
      <c r="B678" s="450" t="s">
        <v>1671</v>
      </c>
      <c r="C678" s="244">
        <f t="shared" si="62"/>
        <v>2</v>
      </c>
      <c r="D678" s="244">
        <f t="shared" si="63"/>
        <v>8</v>
      </c>
      <c r="E678" s="244">
        <f t="shared" si="64"/>
        <v>10</v>
      </c>
      <c r="G678" s="259" t="str">
        <f t="shared" si="65"/>
        <v>&lt;ct3533&gt;</v>
      </c>
      <c r="H678" s="260">
        <f>VLOOKUP(O678,BCDTK!$E$9:$L$132,5,0)</f>
        <v>0</v>
      </c>
      <c r="I678" s="261" t="str">
        <f t="shared" si="66"/>
        <v>&lt;/ct3533&gt;</v>
      </c>
      <c r="J678" s="262"/>
      <c r="K678" s="262"/>
      <c r="L678" s="262"/>
      <c r="M678" s="263"/>
      <c r="N678" s="265"/>
      <c r="O678" s="265">
        <v>3533</v>
      </c>
    </row>
    <row r="679" spans="1:15" x14ac:dyDescent="0.45">
      <c r="A679" s="253" t="str">
        <f t="shared" si="61"/>
        <v>&lt;ct3534&gt;0&lt;/ct3534&gt;</v>
      </c>
      <c r="B679" s="450" t="s">
        <v>1672</v>
      </c>
      <c r="C679" s="244">
        <f t="shared" si="62"/>
        <v>2</v>
      </c>
      <c r="D679" s="244">
        <f t="shared" si="63"/>
        <v>8</v>
      </c>
      <c r="E679" s="244">
        <f t="shared" si="64"/>
        <v>10</v>
      </c>
      <c r="G679" s="259" t="str">
        <f t="shared" si="65"/>
        <v>&lt;ct3534&gt;</v>
      </c>
      <c r="H679" s="260">
        <f>VLOOKUP(O679,BCDTK!$E$9:$L$132,5,0)</f>
        <v>0</v>
      </c>
      <c r="I679" s="261" t="str">
        <f t="shared" si="66"/>
        <v>&lt;/ct3534&gt;</v>
      </c>
      <c r="J679" s="262"/>
      <c r="K679" s="262"/>
      <c r="L679" s="262"/>
      <c r="M679" s="263"/>
      <c r="N679" s="265"/>
      <c r="O679" s="265">
        <v>3534</v>
      </c>
    </row>
    <row r="680" spans="1:15" x14ac:dyDescent="0.45">
      <c r="A680" s="253" t="str">
        <f t="shared" si="61"/>
        <v>&lt;ct356&gt;0&lt;/ct356&gt;</v>
      </c>
      <c r="B680" s="450" t="s">
        <v>1673</v>
      </c>
      <c r="C680" s="244">
        <f t="shared" si="62"/>
        <v>2</v>
      </c>
      <c r="D680" s="244">
        <f t="shared" si="63"/>
        <v>7</v>
      </c>
      <c r="E680" s="244">
        <f t="shared" si="64"/>
        <v>9</v>
      </c>
      <c r="G680" s="259" t="str">
        <f t="shared" si="65"/>
        <v>&lt;ct356&gt;</v>
      </c>
      <c r="H680" s="260">
        <f>VLOOKUP(O680,BCDTK!$E$9:$L$132,5,0)</f>
        <v>0</v>
      </c>
      <c r="I680" s="261" t="str">
        <f t="shared" si="66"/>
        <v>&lt;/ct356&gt;</v>
      </c>
      <c r="J680" s="262"/>
      <c r="K680" s="262"/>
      <c r="L680" s="262"/>
      <c r="M680" s="263"/>
      <c r="N680" s="265"/>
      <c r="O680" s="265">
        <v>356</v>
      </c>
    </row>
    <row r="681" spans="1:15" x14ac:dyDescent="0.45">
      <c r="A681" s="253" t="str">
        <f t="shared" si="61"/>
        <v>&lt;ct3561&gt;0&lt;/ct3561&gt;</v>
      </c>
      <c r="B681" s="450" t="s">
        <v>1674</v>
      </c>
      <c r="C681" s="244">
        <f t="shared" si="62"/>
        <v>2</v>
      </c>
      <c r="D681" s="244">
        <f t="shared" si="63"/>
        <v>8</v>
      </c>
      <c r="E681" s="244">
        <f t="shared" si="64"/>
        <v>10</v>
      </c>
      <c r="G681" s="259" t="str">
        <f t="shared" si="65"/>
        <v>&lt;ct3561&gt;</v>
      </c>
      <c r="H681" s="260">
        <f>VLOOKUP(O681,BCDTK!$E$9:$L$132,5,0)</f>
        <v>0</v>
      </c>
      <c r="I681" s="261" t="str">
        <f t="shared" si="66"/>
        <v>&lt;/ct3561&gt;</v>
      </c>
      <c r="J681" s="262"/>
      <c r="K681" s="262"/>
      <c r="L681" s="262"/>
      <c r="M681" s="263"/>
      <c r="N681" s="265"/>
      <c r="O681" s="265">
        <v>3561</v>
      </c>
    </row>
    <row r="682" spans="1:15" x14ac:dyDescent="0.45">
      <c r="A682" s="253" t="str">
        <f t="shared" si="61"/>
        <v>&lt;ct3562&gt;0&lt;/ct3562&gt;</v>
      </c>
      <c r="B682" s="450" t="s">
        <v>1675</v>
      </c>
      <c r="C682" s="244">
        <f t="shared" si="62"/>
        <v>2</v>
      </c>
      <c r="D682" s="244">
        <f t="shared" si="63"/>
        <v>8</v>
      </c>
      <c r="E682" s="244">
        <f t="shared" si="64"/>
        <v>10</v>
      </c>
      <c r="G682" s="259" t="str">
        <f t="shared" si="65"/>
        <v>&lt;ct3562&gt;</v>
      </c>
      <c r="H682" s="260">
        <f>VLOOKUP(O682,BCDTK!$E$9:$L$132,5,0)</f>
        <v>0</v>
      </c>
      <c r="I682" s="261" t="str">
        <f t="shared" si="66"/>
        <v>&lt;/ct3562&gt;</v>
      </c>
      <c r="J682" s="262"/>
      <c r="K682" s="262"/>
      <c r="L682" s="262"/>
      <c r="M682" s="263"/>
      <c r="N682" s="265"/>
      <c r="O682" s="265">
        <v>3562</v>
      </c>
    </row>
    <row r="683" spans="1:15" x14ac:dyDescent="0.45">
      <c r="A683" s="253" t="str">
        <f t="shared" si="61"/>
        <v>&lt;ct411&gt;0&lt;/ct411&gt;</v>
      </c>
      <c r="B683" s="450" t="s">
        <v>1525</v>
      </c>
      <c r="C683" s="244">
        <f t="shared" si="62"/>
        <v>2</v>
      </c>
      <c r="D683" s="244">
        <f t="shared" si="63"/>
        <v>7</v>
      </c>
      <c r="E683" s="244">
        <f t="shared" si="64"/>
        <v>9</v>
      </c>
      <c r="G683" s="259" t="str">
        <f t="shared" si="65"/>
        <v>&lt;ct411&gt;</v>
      </c>
      <c r="H683" s="260">
        <f>VLOOKUP(O683,BCDTK!$E$9:$L$132,5,0)</f>
        <v>0</v>
      </c>
      <c r="I683" s="261" t="str">
        <f t="shared" si="66"/>
        <v>&lt;/ct411&gt;</v>
      </c>
      <c r="J683" s="262"/>
      <c r="K683" s="262"/>
      <c r="L683" s="262"/>
      <c r="M683" s="263"/>
      <c r="N683" s="265"/>
      <c r="O683" s="265">
        <v>411</v>
      </c>
    </row>
    <row r="684" spans="1:15" x14ac:dyDescent="0.45">
      <c r="A684" s="253" t="str">
        <f t="shared" si="61"/>
        <v>&lt;ct4111&gt;0&lt;/ct4111&gt;</v>
      </c>
      <c r="B684" s="450" t="s">
        <v>1676</v>
      </c>
      <c r="C684" s="244">
        <f t="shared" si="62"/>
        <v>2</v>
      </c>
      <c r="D684" s="244">
        <f t="shared" si="63"/>
        <v>8</v>
      </c>
      <c r="E684" s="244">
        <f t="shared" si="64"/>
        <v>10</v>
      </c>
      <c r="G684" s="259" t="str">
        <f t="shared" si="65"/>
        <v>&lt;ct4111&gt;</v>
      </c>
      <c r="H684" s="260">
        <f>VLOOKUP(O684,BCDTK!$E$9:$L$132,5,0)</f>
        <v>0</v>
      </c>
      <c r="I684" s="261" t="str">
        <f t="shared" si="66"/>
        <v>&lt;/ct4111&gt;</v>
      </c>
      <c r="J684" s="262"/>
      <c r="K684" s="262"/>
      <c r="L684" s="262"/>
      <c r="M684" s="263"/>
      <c r="N684" s="265"/>
      <c r="O684" s="265">
        <v>4111</v>
      </c>
    </row>
    <row r="685" spans="1:15" x14ac:dyDescent="0.45">
      <c r="A685" s="253" t="str">
        <f t="shared" si="61"/>
        <v>&lt;ct4112&gt;0&lt;/ct4112&gt;</v>
      </c>
      <c r="B685" s="450" t="s">
        <v>1677</v>
      </c>
      <c r="C685" s="244">
        <f t="shared" si="62"/>
        <v>2</v>
      </c>
      <c r="D685" s="244">
        <f t="shared" si="63"/>
        <v>8</v>
      </c>
      <c r="E685" s="244">
        <f t="shared" si="64"/>
        <v>10</v>
      </c>
      <c r="G685" s="259" t="str">
        <f t="shared" si="65"/>
        <v>&lt;ct4112&gt;</v>
      </c>
      <c r="H685" s="260">
        <f>VLOOKUP(O685,BCDTK!$E$9:$L$132,5,0)</f>
        <v>0</v>
      </c>
      <c r="I685" s="261" t="str">
        <f t="shared" si="66"/>
        <v>&lt;/ct4112&gt;</v>
      </c>
      <c r="J685" s="262"/>
      <c r="K685" s="262"/>
      <c r="L685" s="262"/>
      <c r="M685" s="263"/>
      <c r="N685" s="265"/>
      <c r="O685" s="265">
        <v>4112</v>
      </c>
    </row>
    <row r="686" spans="1:15" x14ac:dyDescent="0.45">
      <c r="A686" s="253" t="str">
        <f t="shared" si="61"/>
        <v>&lt;ct4118&gt;0&lt;/ct4118&gt;</v>
      </c>
      <c r="B686" s="450" t="s">
        <v>1678</v>
      </c>
      <c r="C686" s="244">
        <f t="shared" si="62"/>
        <v>2</v>
      </c>
      <c r="D686" s="244">
        <f t="shared" si="63"/>
        <v>8</v>
      </c>
      <c r="E686" s="244">
        <f t="shared" si="64"/>
        <v>10</v>
      </c>
      <c r="G686" s="259" t="str">
        <f t="shared" si="65"/>
        <v>&lt;ct4118&gt;</v>
      </c>
      <c r="H686" s="260">
        <f>VLOOKUP(O686,BCDTK!$E$9:$L$132,5,0)</f>
        <v>0</v>
      </c>
      <c r="I686" s="261" t="str">
        <f t="shared" si="66"/>
        <v>&lt;/ct4118&gt;</v>
      </c>
      <c r="J686" s="262"/>
      <c r="K686" s="262"/>
      <c r="L686" s="262"/>
      <c r="M686" s="263"/>
      <c r="N686" s="265"/>
      <c r="O686" s="265">
        <v>4118</v>
      </c>
    </row>
    <row r="687" spans="1:15" x14ac:dyDescent="0.45">
      <c r="A687" s="253" t="str">
        <f t="shared" si="61"/>
        <v>&lt;ct413&gt;0&lt;/ct413&gt;</v>
      </c>
      <c r="B687" s="450" t="s">
        <v>1500</v>
      </c>
      <c r="C687" s="244">
        <f t="shared" si="62"/>
        <v>2</v>
      </c>
      <c r="D687" s="244">
        <f t="shared" si="63"/>
        <v>7</v>
      </c>
      <c r="E687" s="244">
        <f t="shared" si="64"/>
        <v>9</v>
      </c>
      <c r="G687" s="259" t="str">
        <f t="shared" si="65"/>
        <v>&lt;ct413&gt;</v>
      </c>
      <c r="H687" s="260">
        <f>VLOOKUP(O687,BCDTK!$E$9:$L$132,5,0)</f>
        <v>0</v>
      </c>
      <c r="I687" s="261" t="str">
        <f t="shared" si="66"/>
        <v>&lt;/ct413&gt;</v>
      </c>
      <c r="J687" s="262"/>
      <c r="K687" s="262"/>
      <c r="L687" s="262"/>
      <c r="M687" s="263"/>
      <c r="N687" s="265"/>
      <c r="O687" s="265">
        <v>413</v>
      </c>
    </row>
    <row r="688" spans="1:15" x14ac:dyDescent="0.45">
      <c r="A688" s="253" t="str">
        <f t="shared" si="61"/>
        <v>&lt;ct418&gt;0&lt;/ct418&gt;</v>
      </c>
      <c r="B688" s="450" t="s">
        <v>1679</v>
      </c>
      <c r="C688" s="244">
        <f t="shared" si="62"/>
        <v>2</v>
      </c>
      <c r="D688" s="244">
        <f t="shared" si="63"/>
        <v>7</v>
      </c>
      <c r="E688" s="244">
        <f t="shared" si="64"/>
        <v>9</v>
      </c>
      <c r="G688" s="259" t="str">
        <f t="shared" si="65"/>
        <v>&lt;ct418&gt;</v>
      </c>
      <c r="H688" s="260">
        <f>VLOOKUP(O688,BCDTK!$E$9:$L$132,5,0)</f>
        <v>0</v>
      </c>
      <c r="I688" s="261" t="str">
        <f t="shared" si="66"/>
        <v>&lt;/ct418&gt;</v>
      </c>
      <c r="J688" s="262"/>
      <c r="K688" s="262"/>
      <c r="L688" s="262"/>
      <c r="M688" s="263"/>
      <c r="N688" s="265"/>
      <c r="O688" s="265">
        <v>418</v>
      </c>
    </row>
    <row r="689" spans="1:15" x14ac:dyDescent="0.45">
      <c r="A689" s="253" t="str">
        <f t="shared" si="61"/>
        <v>&lt;ct419&gt;0&lt;/ct419&gt;</v>
      </c>
      <c r="B689" s="450" t="s">
        <v>1680</v>
      </c>
      <c r="C689" s="244">
        <f t="shared" si="62"/>
        <v>2</v>
      </c>
      <c r="D689" s="244">
        <f t="shared" si="63"/>
        <v>7</v>
      </c>
      <c r="E689" s="244">
        <f t="shared" si="64"/>
        <v>9</v>
      </c>
      <c r="G689" s="259" t="str">
        <f t="shared" si="65"/>
        <v>&lt;ct419&gt;</v>
      </c>
      <c r="H689" s="260">
        <f>VLOOKUP(O689,BCDTK!$E$9:$L$132,5,0)</f>
        <v>0</v>
      </c>
      <c r="I689" s="261" t="str">
        <f t="shared" si="66"/>
        <v>&lt;/ct419&gt;</v>
      </c>
      <c r="J689" s="262"/>
      <c r="K689" s="262"/>
      <c r="L689" s="262"/>
      <c r="M689" s="263"/>
      <c r="N689" s="265"/>
      <c r="O689" s="265">
        <v>419</v>
      </c>
    </row>
    <row r="690" spans="1:15" x14ac:dyDescent="0.45">
      <c r="A690" s="253" t="str">
        <f t="shared" si="61"/>
        <v>&lt;ct421&gt;0&lt;/ct421&gt;</v>
      </c>
      <c r="B690" s="450" t="s">
        <v>1681</v>
      </c>
      <c r="C690" s="244">
        <f t="shared" si="62"/>
        <v>2</v>
      </c>
      <c r="D690" s="244">
        <f t="shared" si="63"/>
        <v>7</v>
      </c>
      <c r="E690" s="244">
        <f t="shared" si="64"/>
        <v>9</v>
      </c>
      <c r="G690" s="259" t="str">
        <f t="shared" si="65"/>
        <v>&lt;ct421&gt;</v>
      </c>
      <c r="H690" s="260">
        <f>VLOOKUP(O690,BCDTK!$E$9:$L$132,5,0)</f>
        <v>0</v>
      </c>
      <c r="I690" s="261" t="str">
        <f t="shared" si="66"/>
        <v>&lt;/ct421&gt;</v>
      </c>
      <c r="J690" s="262"/>
      <c r="K690" s="262"/>
      <c r="L690" s="262"/>
      <c r="M690" s="263"/>
      <c r="N690" s="265"/>
      <c r="O690" s="265">
        <v>421</v>
      </c>
    </row>
    <row r="691" spans="1:15" x14ac:dyDescent="0.45">
      <c r="A691" s="253" t="str">
        <f t="shared" si="61"/>
        <v>&lt;ct4211&gt;0&lt;/ct4211&gt;</v>
      </c>
      <c r="B691" s="450" t="s">
        <v>1682</v>
      </c>
      <c r="C691" s="244">
        <f t="shared" si="62"/>
        <v>2</v>
      </c>
      <c r="D691" s="244">
        <f t="shared" si="63"/>
        <v>8</v>
      </c>
      <c r="E691" s="244">
        <f t="shared" si="64"/>
        <v>10</v>
      </c>
      <c r="G691" s="259" t="str">
        <f t="shared" si="65"/>
        <v>&lt;ct4211&gt;</v>
      </c>
      <c r="H691" s="260">
        <f>VLOOKUP(O691,BCDTK!$E$9:$L$132,5,0)</f>
        <v>0</v>
      </c>
      <c r="I691" s="261" t="str">
        <f t="shared" si="66"/>
        <v>&lt;/ct4211&gt;</v>
      </c>
      <c r="J691" s="262"/>
      <c r="K691" s="262"/>
      <c r="L691" s="262"/>
      <c r="M691" s="263"/>
      <c r="N691" s="265"/>
      <c r="O691" s="265">
        <v>4211</v>
      </c>
    </row>
    <row r="692" spans="1:15" x14ac:dyDescent="0.45">
      <c r="A692" s="253" t="str">
        <f t="shared" si="61"/>
        <v>&lt;ct4212&gt;0&lt;/ct4212&gt;</v>
      </c>
      <c r="B692" s="450" t="s">
        <v>1683</v>
      </c>
      <c r="C692" s="244">
        <f t="shared" si="62"/>
        <v>2</v>
      </c>
      <c r="D692" s="244">
        <f t="shared" si="63"/>
        <v>8</v>
      </c>
      <c r="E692" s="244">
        <f t="shared" si="64"/>
        <v>10</v>
      </c>
      <c r="G692" s="259" t="str">
        <f t="shared" si="65"/>
        <v>&lt;ct4212&gt;</v>
      </c>
      <c r="H692" s="260">
        <f>VLOOKUP(O692,BCDTK!$E$9:$L$132,5,0)</f>
        <v>0</v>
      </c>
      <c r="I692" s="261" t="str">
        <f t="shared" si="66"/>
        <v>&lt;/ct4212&gt;</v>
      </c>
      <c r="J692" s="262"/>
      <c r="K692" s="262"/>
      <c r="L692" s="262"/>
      <c r="M692" s="263"/>
      <c r="N692" s="265"/>
      <c r="O692" s="265">
        <v>4212</v>
      </c>
    </row>
    <row r="693" spans="1:15" x14ac:dyDescent="0.45">
      <c r="A693" s="253" t="str">
        <f t="shared" si="61"/>
        <v>&lt;ct511&gt;244520964&lt;/ct511&gt;</v>
      </c>
      <c r="B693" s="450" t="s">
        <v>1684</v>
      </c>
      <c r="C693" s="244">
        <f t="shared" si="62"/>
        <v>2</v>
      </c>
      <c r="D693" s="244">
        <f t="shared" si="63"/>
        <v>7</v>
      </c>
      <c r="E693" s="244">
        <f t="shared" si="64"/>
        <v>9</v>
      </c>
      <c r="G693" s="259" t="str">
        <f t="shared" si="65"/>
        <v>&lt;ct511&gt;</v>
      </c>
      <c r="H693" s="260">
        <f>VLOOKUP(O693,BCDTK!$E$9:$L$132,5,0)</f>
        <v>244520964</v>
      </c>
      <c r="I693" s="261" t="str">
        <f t="shared" si="66"/>
        <v>&lt;/ct511&gt;</v>
      </c>
      <c r="J693" s="262"/>
      <c r="K693" s="262"/>
      <c r="L693" s="262"/>
      <c r="M693" s="263"/>
      <c r="N693" s="265"/>
      <c r="O693" s="265">
        <v>511</v>
      </c>
    </row>
    <row r="694" spans="1:15" x14ac:dyDescent="0.45">
      <c r="A694" s="253" t="str">
        <f t="shared" si="61"/>
        <v>&lt;ct5111&gt;0&lt;/ct5111&gt;</v>
      </c>
      <c r="B694" s="450" t="s">
        <v>1685</v>
      </c>
      <c r="C694" s="244">
        <f t="shared" si="62"/>
        <v>2</v>
      </c>
      <c r="D694" s="244">
        <f t="shared" si="63"/>
        <v>8</v>
      </c>
      <c r="E694" s="244">
        <f t="shared" si="64"/>
        <v>10</v>
      </c>
      <c r="G694" s="259" t="str">
        <f t="shared" si="65"/>
        <v>&lt;ct5111&gt;</v>
      </c>
      <c r="H694" s="260">
        <f>VLOOKUP(O694,BCDTK!$E$9:$L$132,5,0)</f>
        <v>0</v>
      </c>
      <c r="I694" s="261" t="str">
        <f t="shared" si="66"/>
        <v>&lt;/ct5111&gt;</v>
      </c>
      <c r="J694" s="262"/>
      <c r="K694" s="262"/>
      <c r="L694" s="262"/>
      <c r="M694" s="263"/>
      <c r="N694" s="265"/>
      <c r="O694" s="265">
        <v>5111</v>
      </c>
    </row>
    <row r="695" spans="1:15" x14ac:dyDescent="0.45">
      <c r="A695" s="253" t="str">
        <f t="shared" si="61"/>
        <v>&lt;ct5112&gt;0&lt;/ct5112&gt;</v>
      </c>
      <c r="B695" s="450" t="s">
        <v>1686</v>
      </c>
      <c r="C695" s="244">
        <f t="shared" si="62"/>
        <v>2</v>
      </c>
      <c r="D695" s="244">
        <f t="shared" si="63"/>
        <v>8</v>
      </c>
      <c r="E695" s="244">
        <f t="shared" si="64"/>
        <v>10</v>
      </c>
      <c r="G695" s="259" t="str">
        <f t="shared" si="65"/>
        <v>&lt;ct5112&gt;</v>
      </c>
      <c r="H695" s="260">
        <f>VLOOKUP(O695,BCDTK!$E$9:$L$132,5,0)</f>
        <v>0</v>
      </c>
      <c r="I695" s="261" t="str">
        <f t="shared" si="66"/>
        <v>&lt;/ct5112&gt;</v>
      </c>
      <c r="J695" s="262"/>
      <c r="K695" s="262"/>
      <c r="L695" s="262"/>
      <c r="M695" s="263"/>
      <c r="N695" s="265"/>
      <c r="O695" s="265">
        <v>5112</v>
      </c>
    </row>
    <row r="696" spans="1:15" x14ac:dyDescent="0.45">
      <c r="A696" s="253" t="str">
        <f t="shared" si="61"/>
        <v>&lt;ct5113&gt;244520964&lt;/ct5113&gt;</v>
      </c>
      <c r="B696" s="450" t="s">
        <v>1687</v>
      </c>
      <c r="C696" s="244">
        <f t="shared" si="62"/>
        <v>2</v>
      </c>
      <c r="D696" s="244">
        <f t="shared" si="63"/>
        <v>8</v>
      </c>
      <c r="E696" s="244">
        <f t="shared" si="64"/>
        <v>10</v>
      </c>
      <c r="G696" s="259" t="str">
        <f t="shared" si="65"/>
        <v>&lt;ct5113&gt;</v>
      </c>
      <c r="H696" s="260">
        <f>VLOOKUP(O696,BCDTK!$E$9:$L$132,5,0)</f>
        <v>244520964</v>
      </c>
      <c r="I696" s="261" t="str">
        <f t="shared" si="66"/>
        <v>&lt;/ct5113&gt;</v>
      </c>
      <c r="J696" s="262"/>
      <c r="K696" s="262"/>
      <c r="L696" s="262"/>
      <c r="M696" s="263"/>
      <c r="N696" s="265"/>
      <c r="O696" s="265">
        <v>5113</v>
      </c>
    </row>
    <row r="697" spans="1:15" x14ac:dyDescent="0.45">
      <c r="A697" s="253" t="str">
        <f t="shared" si="61"/>
        <v>&lt;ct5118&gt;0&lt;/ct5118&gt;</v>
      </c>
      <c r="B697" s="450" t="s">
        <v>1688</v>
      </c>
      <c r="C697" s="244">
        <f t="shared" si="62"/>
        <v>2</v>
      </c>
      <c r="D697" s="244">
        <f t="shared" si="63"/>
        <v>8</v>
      </c>
      <c r="E697" s="244">
        <f t="shared" si="64"/>
        <v>10</v>
      </c>
      <c r="G697" s="259" t="str">
        <f t="shared" si="65"/>
        <v>&lt;ct5118&gt;</v>
      </c>
      <c r="H697" s="260">
        <f>VLOOKUP(O697,BCDTK!$E$9:$L$132,5,0)</f>
        <v>0</v>
      </c>
      <c r="I697" s="261" t="str">
        <f t="shared" si="66"/>
        <v>&lt;/ct5118&gt;</v>
      </c>
      <c r="J697" s="262"/>
      <c r="K697" s="262"/>
      <c r="L697" s="262"/>
      <c r="M697" s="263"/>
      <c r="N697" s="265"/>
      <c r="O697" s="265">
        <v>5118</v>
      </c>
    </row>
    <row r="698" spans="1:15" x14ac:dyDescent="0.45">
      <c r="A698" s="253" t="str">
        <f t="shared" si="61"/>
        <v>&lt;ct515&gt;161&lt;/ct515&gt;</v>
      </c>
      <c r="B698" s="450" t="s">
        <v>1689</v>
      </c>
      <c r="C698" s="244">
        <f t="shared" si="62"/>
        <v>2</v>
      </c>
      <c r="D698" s="244">
        <f t="shared" si="63"/>
        <v>7</v>
      </c>
      <c r="E698" s="244">
        <f t="shared" si="64"/>
        <v>9</v>
      </c>
      <c r="G698" s="259" t="str">
        <f t="shared" si="65"/>
        <v>&lt;ct515&gt;</v>
      </c>
      <c r="H698" s="260">
        <f>VLOOKUP(O698,BCDTK!$E$9:$L$132,5,0)</f>
        <v>161</v>
      </c>
      <c r="I698" s="261" t="str">
        <f t="shared" si="66"/>
        <v>&lt;/ct515&gt;</v>
      </c>
      <c r="J698" s="262"/>
      <c r="K698" s="262"/>
      <c r="L698" s="262"/>
      <c r="M698" s="263"/>
      <c r="N698" s="265"/>
      <c r="O698" s="265">
        <v>515</v>
      </c>
    </row>
    <row r="699" spans="1:15" x14ac:dyDescent="0.45">
      <c r="A699" s="253" t="str">
        <f t="shared" si="61"/>
        <v>&lt;ct611&gt;0&lt;/ct611&gt;</v>
      </c>
      <c r="B699" s="450" t="s">
        <v>1690</v>
      </c>
      <c r="C699" s="244">
        <f t="shared" si="62"/>
        <v>2</v>
      </c>
      <c r="D699" s="244">
        <f t="shared" si="63"/>
        <v>7</v>
      </c>
      <c r="E699" s="244">
        <f t="shared" si="64"/>
        <v>9</v>
      </c>
      <c r="G699" s="259" t="str">
        <f t="shared" si="65"/>
        <v>&lt;ct611&gt;</v>
      </c>
      <c r="H699" s="260">
        <f>VLOOKUP(O699,BCDTK!$E$9:$L$132,5,0)</f>
        <v>0</v>
      </c>
      <c r="I699" s="261" t="str">
        <f t="shared" si="66"/>
        <v>&lt;/ct611&gt;</v>
      </c>
      <c r="J699" s="262"/>
      <c r="K699" s="262"/>
      <c r="L699" s="262"/>
      <c r="M699" s="263"/>
      <c r="N699" s="265"/>
      <c r="O699" s="265">
        <v>611</v>
      </c>
    </row>
    <row r="700" spans="1:15" x14ac:dyDescent="0.45">
      <c r="A700" s="253" t="str">
        <f t="shared" si="61"/>
        <v>&lt;ct631&gt;0&lt;/ct631&gt;</v>
      </c>
      <c r="B700" s="450" t="s">
        <v>1691</v>
      </c>
      <c r="C700" s="244">
        <f t="shared" si="62"/>
        <v>2</v>
      </c>
      <c r="D700" s="244">
        <f t="shared" si="63"/>
        <v>7</v>
      </c>
      <c r="E700" s="244">
        <f t="shared" si="64"/>
        <v>9</v>
      </c>
      <c r="G700" s="259" t="str">
        <f t="shared" si="65"/>
        <v>&lt;ct631&gt;</v>
      </c>
      <c r="H700" s="260">
        <f>VLOOKUP(O700,BCDTK!$E$9:$L$132,5,0)</f>
        <v>0</v>
      </c>
      <c r="I700" s="261" t="str">
        <f t="shared" si="66"/>
        <v>&lt;/ct631&gt;</v>
      </c>
      <c r="J700" s="262"/>
      <c r="K700" s="262"/>
      <c r="L700" s="262"/>
      <c r="M700" s="263"/>
      <c r="N700" s="265"/>
      <c r="O700" s="265">
        <v>631</v>
      </c>
    </row>
    <row r="701" spans="1:15" x14ac:dyDescent="0.45">
      <c r="A701" s="253" t="str">
        <f t="shared" si="61"/>
        <v>&lt;ct632&gt;183572894&lt;/ct632&gt;</v>
      </c>
      <c r="B701" s="450" t="s">
        <v>1692</v>
      </c>
      <c r="C701" s="244">
        <f t="shared" si="62"/>
        <v>2</v>
      </c>
      <c r="D701" s="244">
        <f t="shared" si="63"/>
        <v>7</v>
      </c>
      <c r="E701" s="244">
        <f t="shared" si="64"/>
        <v>9</v>
      </c>
      <c r="G701" s="259" t="str">
        <f t="shared" si="65"/>
        <v>&lt;ct632&gt;</v>
      </c>
      <c r="H701" s="260">
        <f>VLOOKUP(O701,BCDTK!$E$9:$L$132,5,0)</f>
        <v>183572894</v>
      </c>
      <c r="I701" s="261" t="str">
        <f t="shared" si="66"/>
        <v>&lt;/ct632&gt;</v>
      </c>
      <c r="J701" s="262"/>
      <c r="K701" s="262"/>
      <c r="L701" s="262"/>
      <c r="M701" s="263"/>
      <c r="N701" s="265"/>
      <c r="O701" s="265">
        <v>632</v>
      </c>
    </row>
    <row r="702" spans="1:15" x14ac:dyDescent="0.45">
      <c r="A702" s="253" t="str">
        <f t="shared" si="61"/>
        <v>&lt;ct635&gt;2573376&lt;/ct635&gt;</v>
      </c>
      <c r="B702" s="450" t="s">
        <v>1693</v>
      </c>
      <c r="C702" s="244">
        <f t="shared" si="62"/>
        <v>2</v>
      </c>
      <c r="D702" s="244">
        <f t="shared" si="63"/>
        <v>7</v>
      </c>
      <c r="E702" s="244">
        <f t="shared" si="64"/>
        <v>9</v>
      </c>
      <c r="G702" s="259" t="str">
        <f t="shared" si="65"/>
        <v>&lt;ct635&gt;</v>
      </c>
      <c r="H702" s="260">
        <f>VLOOKUP(O702,BCDTK!$E$9:$L$132,5,0)</f>
        <v>2573376</v>
      </c>
      <c r="I702" s="261" t="str">
        <f t="shared" si="66"/>
        <v>&lt;/ct635&gt;</v>
      </c>
      <c r="J702" s="262"/>
      <c r="K702" s="262"/>
      <c r="L702" s="262"/>
      <c r="M702" s="263"/>
      <c r="N702" s="265"/>
      <c r="O702" s="265">
        <v>635</v>
      </c>
    </row>
    <row r="703" spans="1:15" x14ac:dyDescent="0.45">
      <c r="A703" s="253" t="str">
        <f t="shared" si="61"/>
        <v>&lt;ct642&gt;46432205&lt;/ct642&gt;</v>
      </c>
      <c r="B703" s="450" t="s">
        <v>1694</v>
      </c>
      <c r="C703" s="244">
        <f t="shared" si="62"/>
        <v>2</v>
      </c>
      <c r="D703" s="244">
        <f t="shared" si="63"/>
        <v>7</v>
      </c>
      <c r="E703" s="244">
        <f t="shared" si="64"/>
        <v>9</v>
      </c>
      <c r="G703" s="259" t="str">
        <f t="shared" si="65"/>
        <v>&lt;ct642&gt;</v>
      </c>
      <c r="H703" s="260">
        <f>VLOOKUP(O703,BCDTK!$E$9:$L$132,5,0)</f>
        <v>46432205</v>
      </c>
      <c r="I703" s="261" t="str">
        <f t="shared" si="66"/>
        <v>&lt;/ct642&gt;</v>
      </c>
      <c r="J703" s="262"/>
      <c r="K703" s="262"/>
      <c r="L703" s="262"/>
      <c r="M703" s="263"/>
      <c r="N703" s="265"/>
      <c r="O703" s="265">
        <v>642</v>
      </c>
    </row>
    <row r="704" spans="1:15" x14ac:dyDescent="0.45">
      <c r="A704" s="253" t="str">
        <f t="shared" si="61"/>
        <v>&lt;ct6421&gt;46432205&lt;/ct6421&gt;</v>
      </c>
      <c r="B704" s="450" t="s">
        <v>1695</v>
      </c>
      <c r="C704" s="244">
        <f t="shared" si="62"/>
        <v>2</v>
      </c>
      <c r="D704" s="244">
        <f t="shared" si="63"/>
        <v>8</v>
      </c>
      <c r="E704" s="244">
        <f t="shared" si="64"/>
        <v>10</v>
      </c>
      <c r="G704" s="259" t="str">
        <f t="shared" si="65"/>
        <v>&lt;ct6421&gt;</v>
      </c>
      <c r="H704" s="260">
        <f>VLOOKUP(O704,BCDTK!$E$9:$L$132,5,0)</f>
        <v>46432205</v>
      </c>
      <c r="I704" s="261" t="str">
        <f t="shared" si="66"/>
        <v>&lt;/ct6421&gt;</v>
      </c>
      <c r="J704" s="262"/>
      <c r="K704" s="262"/>
      <c r="L704" s="262"/>
      <c r="M704" s="263"/>
      <c r="N704" s="265"/>
      <c r="O704" s="265">
        <v>6421</v>
      </c>
    </row>
    <row r="705" spans="1:15" x14ac:dyDescent="0.45">
      <c r="A705" s="253" t="str">
        <f t="shared" si="61"/>
        <v>&lt;ct6422&gt;0&lt;/ct6422&gt;</v>
      </c>
      <c r="B705" s="450" t="s">
        <v>1696</v>
      </c>
      <c r="C705" s="244">
        <f t="shared" si="62"/>
        <v>2</v>
      </c>
      <c r="D705" s="244">
        <f t="shared" si="63"/>
        <v>8</v>
      </c>
      <c r="E705" s="244">
        <f t="shared" si="64"/>
        <v>10</v>
      </c>
      <c r="G705" s="259" t="str">
        <f t="shared" si="65"/>
        <v>&lt;ct6422&gt;</v>
      </c>
      <c r="H705" s="260">
        <f>VLOOKUP(O705,BCDTK!$E$9:$L$132,5,0)</f>
        <v>0</v>
      </c>
      <c r="I705" s="261" t="str">
        <f t="shared" si="66"/>
        <v>&lt;/ct6422&gt;</v>
      </c>
      <c r="J705" s="262"/>
      <c r="K705" s="262"/>
      <c r="L705" s="262"/>
      <c r="M705" s="263"/>
      <c r="N705" s="265"/>
      <c r="O705" s="265">
        <v>6422</v>
      </c>
    </row>
    <row r="706" spans="1:15" x14ac:dyDescent="0.45">
      <c r="A706" s="253" t="str">
        <f t="shared" si="61"/>
        <v>&lt;ct711&gt;5555556&lt;/ct711&gt;</v>
      </c>
      <c r="B706" s="450" t="s">
        <v>1697</v>
      </c>
      <c r="C706" s="244">
        <f t="shared" si="62"/>
        <v>2</v>
      </c>
      <c r="D706" s="244">
        <f t="shared" si="63"/>
        <v>7</v>
      </c>
      <c r="E706" s="244">
        <f t="shared" si="64"/>
        <v>9</v>
      </c>
      <c r="G706" s="259" t="str">
        <f t="shared" si="65"/>
        <v>&lt;ct711&gt;</v>
      </c>
      <c r="H706" s="260">
        <f>VLOOKUP(O706,BCDTK!$E$9:$L$132,5,0)</f>
        <v>5555556</v>
      </c>
      <c r="I706" s="261" t="str">
        <f t="shared" si="66"/>
        <v>&lt;/ct711&gt;</v>
      </c>
      <c r="J706" s="262"/>
      <c r="K706" s="262"/>
      <c r="L706" s="262"/>
      <c r="M706" s="263"/>
      <c r="N706" s="265"/>
      <c r="O706" s="265">
        <v>711</v>
      </c>
    </row>
    <row r="707" spans="1:15" x14ac:dyDescent="0.45">
      <c r="A707" s="253" t="str">
        <f t="shared" si="61"/>
        <v>&lt;ct811&gt;7540197&lt;/ct811&gt;</v>
      </c>
      <c r="B707" s="450" t="s">
        <v>1698</v>
      </c>
      <c r="C707" s="244">
        <f t="shared" si="62"/>
        <v>2</v>
      </c>
      <c r="D707" s="244">
        <f t="shared" si="63"/>
        <v>7</v>
      </c>
      <c r="E707" s="244">
        <f t="shared" si="64"/>
        <v>9</v>
      </c>
      <c r="G707" s="259" t="str">
        <f t="shared" si="65"/>
        <v>&lt;ct811&gt;</v>
      </c>
      <c r="H707" s="260">
        <f>VLOOKUP(O707,BCDTK!$E$9:$L$132,5,0)</f>
        <v>7540197</v>
      </c>
      <c r="I707" s="261" t="str">
        <f t="shared" si="66"/>
        <v>&lt;/ct811&gt;</v>
      </c>
      <c r="J707" s="262"/>
      <c r="K707" s="262"/>
      <c r="L707" s="262"/>
      <c r="M707" s="263"/>
      <c r="N707" s="265"/>
      <c r="O707" s="265">
        <v>811</v>
      </c>
    </row>
    <row r="708" spans="1:15" x14ac:dyDescent="0.45">
      <c r="A708" s="253" t="str">
        <f t="shared" ref="A708:A771" si="67">CONCATENATE(G708,H708,I708)</f>
        <v>&lt;ct821&gt;2035545&lt;/ct821&gt;</v>
      </c>
      <c r="B708" s="450" t="s">
        <v>1699</v>
      </c>
      <c r="C708" s="244">
        <f t="shared" si="62"/>
        <v>2</v>
      </c>
      <c r="D708" s="244">
        <f t="shared" si="63"/>
        <v>7</v>
      </c>
      <c r="E708" s="244">
        <f t="shared" si="64"/>
        <v>9</v>
      </c>
      <c r="G708" s="259" t="str">
        <f t="shared" si="65"/>
        <v>&lt;ct821&gt;</v>
      </c>
      <c r="H708" s="260">
        <f>VLOOKUP(O708,BCDTK!$E$9:$L$132,5,0)</f>
        <v>2035545</v>
      </c>
      <c r="I708" s="261" t="str">
        <f t="shared" si="66"/>
        <v>&lt;/ct821&gt;</v>
      </c>
      <c r="J708" s="262"/>
      <c r="K708" s="262"/>
      <c r="L708" s="262"/>
      <c r="M708" s="263"/>
      <c r="N708" s="265"/>
      <c r="O708" s="265">
        <v>821</v>
      </c>
    </row>
    <row r="709" spans="1:15" x14ac:dyDescent="0.45">
      <c r="A709" s="253" t="str">
        <f t="shared" si="67"/>
        <v>&lt;ct911&gt;250076681&lt;/ct911&gt;</v>
      </c>
      <c r="B709" s="450" t="s">
        <v>1700</v>
      </c>
      <c r="C709" s="244">
        <f t="shared" si="62"/>
        <v>2</v>
      </c>
      <c r="D709" s="244">
        <f t="shared" si="63"/>
        <v>7</v>
      </c>
      <c r="E709" s="244">
        <f t="shared" si="64"/>
        <v>9</v>
      </c>
      <c r="G709" s="259" t="str">
        <f t="shared" si="65"/>
        <v>&lt;ct911&gt;</v>
      </c>
      <c r="H709" s="260">
        <f>VLOOKUP(O709,BCDTK!$E$9:$L$132,5,0)</f>
        <v>250076681</v>
      </c>
      <c r="I709" s="261" t="str">
        <f t="shared" si="66"/>
        <v>&lt;/ct911&gt;</v>
      </c>
      <c r="J709" s="262"/>
      <c r="K709" s="262"/>
      <c r="L709" s="262"/>
      <c r="M709" s="263"/>
      <c r="N709" s="265"/>
      <c r="O709" s="265">
        <v>911</v>
      </c>
    </row>
    <row r="710" spans="1:15" x14ac:dyDescent="0.45">
      <c r="A710" s="253" t="str">
        <f t="shared" si="67"/>
        <v>&lt;tongCong&gt;2698057779&lt;/tongCong&gt;</v>
      </c>
      <c r="B710" s="450" t="s">
        <v>1701</v>
      </c>
      <c r="C710" s="244">
        <f t="shared" si="62"/>
        <v>2</v>
      </c>
      <c r="D710" s="244">
        <f t="shared" si="63"/>
        <v>10</v>
      </c>
      <c r="E710" s="244">
        <f t="shared" si="64"/>
        <v>12</v>
      </c>
      <c r="G710" s="259" t="str">
        <f t="shared" si="65"/>
        <v>&lt;tongCong&gt;</v>
      </c>
      <c r="H710" s="260">
        <f>VLOOKUP(O710,BCDTK!$E$9:$L$132,5,0)</f>
        <v>2698057779</v>
      </c>
      <c r="I710" s="261" t="str">
        <f t="shared" si="66"/>
        <v>&lt;/tongCong&gt;</v>
      </c>
      <c r="J710" s="262"/>
      <c r="K710" s="262"/>
      <c r="L710" s="262"/>
      <c r="M710" s="263"/>
      <c r="N710" s="265"/>
      <c r="O710" s="265" t="s">
        <v>1794</v>
      </c>
    </row>
    <row r="711" spans="1:15" x14ac:dyDescent="0.45">
      <c r="A711" s="253" t="str">
        <f t="shared" si="67"/>
        <v>&lt;/No&gt;</v>
      </c>
      <c r="B711" s="450" t="s">
        <v>1702</v>
      </c>
      <c r="C711" s="244">
        <f t="shared" si="62"/>
        <v>1</v>
      </c>
      <c r="D711" s="244">
        <f t="shared" si="63"/>
        <v>5</v>
      </c>
      <c r="E711" s="244">
        <f t="shared" si="64"/>
        <v>1</v>
      </c>
      <c r="G711" s="259" t="str">
        <f t="shared" si="65"/>
        <v>&lt;/No&gt;</v>
      </c>
      <c r="H711" s="260"/>
      <c r="I711" s="261" t="str">
        <f t="shared" si="66"/>
        <v/>
      </c>
      <c r="J711" s="262"/>
      <c r="K711" s="262"/>
      <c r="L711" s="262"/>
      <c r="M711" s="263"/>
      <c r="N711" s="265"/>
    </row>
    <row r="712" spans="1:15" x14ac:dyDescent="0.45">
      <c r="A712" s="253" t="str">
        <f t="shared" si="67"/>
        <v>&lt;Co&gt;</v>
      </c>
      <c r="B712" s="450" t="s">
        <v>1703</v>
      </c>
      <c r="C712" s="244">
        <f t="shared" si="62"/>
        <v>1</v>
      </c>
      <c r="D712" s="244">
        <f t="shared" si="63"/>
        <v>4</v>
      </c>
      <c r="E712" s="244" t="str">
        <f t="shared" si="64"/>
        <v/>
      </c>
      <c r="G712" s="259" t="str">
        <f t="shared" si="65"/>
        <v>&lt;Co&gt;</v>
      </c>
      <c r="H712" s="260"/>
      <c r="I712" s="261" t="str">
        <f t="shared" si="66"/>
        <v/>
      </c>
      <c r="J712" s="262"/>
      <c r="K712" s="262"/>
      <c r="L712" s="262"/>
      <c r="M712" s="263"/>
      <c r="N712" s="265"/>
    </row>
    <row r="713" spans="1:15" x14ac:dyDescent="0.45">
      <c r="A713" s="253" t="str">
        <f t="shared" si="67"/>
        <v>&lt;ct111&gt;386127355&lt;/ct111&gt;</v>
      </c>
      <c r="B713" s="450" t="s">
        <v>1587</v>
      </c>
      <c r="C713" s="244">
        <f t="shared" ref="C713:C776" si="68">LEN(B713)-LEN(SUBSTITUTE(B713,"&lt;",""))</f>
        <v>2</v>
      </c>
      <c r="D713" s="244">
        <f t="shared" ref="D713:D776" si="69">SEARCH("&gt;",B713)</f>
        <v>7</v>
      </c>
      <c r="E713" s="244">
        <f t="shared" ref="E713:E776" si="70">IFERROR(SEARCH("&lt;/",B713),"")</f>
        <v>9</v>
      </c>
      <c r="G713" s="259" t="str">
        <f t="shared" ref="G713:G776" si="71">LEFT(B713,D713)</f>
        <v>&lt;ct111&gt;</v>
      </c>
      <c r="H713" s="260">
        <f>VLOOKUP(O713,BCDTK!$E$9:$L$132,6,0)</f>
        <v>386127355</v>
      </c>
      <c r="I713" s="261" t="str">
        <f t="shared" ref="I713:I776" si="72">IF(C713=2,RIGHT(B713,LEN(B713)-E713+1),"")</f>
        <v>&lt;/ct111&gt;</v>
      </c>
      <c r="J713" s="262"/>
      <c r="K713" s="262"/>
      <c r="L713" s="262"/>
      <c r="M713" s="263"/>
      <c r="N713" s="265"/>
      <c r="O713" s="265">
        <v>111</v>
      </c>
    </row>
    <row r="714" spans="1:15" x14ac:dyDescent="0.45">
      <c r="A714" s="253" t="str">
        <f t="shared" si="67"/>
        <v>&lt;ct1111&gt;386127355&lt;/ct1111&gt;</v>
      </c>
      <c r="B714" s="450" t="s">
        <v>1588</v>
      </c>
      <c r="C714" s="244">
        <f t="shared" si="68"/>
        <v>2</v>
      </c>
      <c r="D714" s="244">
        <f t="shared" si="69"/>
        <v>8</v>
      </c>
      <c r="E714" s="244">
        <f t="shared" si="70"/>
        <v>10</v>
      </c>
      <c r="G714" s="259" t="str">
        <f t="shared" si="71"/>
        <v>&lt;ct1111&gt;</v>
      </c>
      <c r="H714" s="260">
        <f>VLOOKUP(O714,BCDTK!$E$9:$L$132,6,0)</f>
        <v>386127355</v>
      </c>
      <c r="I714" s="261" t="str">
        <f t="shared" si="72"/>
        <v>&lt;/ct1111&gt;</v>
      </c>
      <c r="J714" s="262"/>
      <c r="K714" s="262"/>
      <c r="L714" s="262"/>
      <c r="M714" s="263"/>
      <c r="N714" s="265"/>
      <c r="O714" s="265">
        <v>1111</v>
      </c>
    </row>
    <row r="715" spans="1:15" x14ac:dyDescent="0.45">
      <c r="A715" s="253" t="str">
        <f t="shared" si="67"/>
        <v>&lt;ct1112&gt;0&lt;/ct1112&gt;</v>
      </c>
      <c r="B715" s="450" t="s">
        <v>1589</v>
      </c>
      <c r="C715" s="244">
        <f t="shared" si="68"/>
        <v>2</v>
      </c>
      <c r="D715" s="244">
        <f t="shared" si="69"/>
        <v>8</v>
      </c>
      <c r="E715" s="244">
        <f t="shared" si="70"/>
        <v>10</v>
      </c>
      <c r="G715" s="259" t="str">
        <f t="shared" si="71"/>
        <v>&lt;ct1112&gt;</v>
      </c>
      <c r="H715" s="260">
        <f>VLOOKUP(O715,BCDTK!$E$9:$L$132,6,0)</f>
        <v>0</v>
      </c>
      <c r="I715" s="261" t="str">
        <f t="shared" si="72"/>
        <v>&lt;/ct1112&gt;</v>
      </c>
      <c r="J715" s="262"/>
      <c r="K715" s="262"/>
      <c r="L715" s="262"/>
      <c r="M715" s="263"/>
      <c r="N715" s="265"/>
      <c r="O715" s="265">
        <v>1112</v>
      </c>
    </row>
    <row r="716" spans="1:15" x14ac:dyDescent="0.45">
      <c r="A716" s="253" t="str">
        <f t="shared" si="67"/>
        <v>&lt;ct112&gt;380972310&lt;/ct112&gt;</v>
      </c>
      <c r="B716" s="450" t="s">
        <v>1590</v>
      </c>
      <c r="C716" s="244">
        <f t="shared" si="68"/>
        <v>2</v>
      </c>
      <c r="D716" s="244">
        <f t="shared" si="69"/>
        <v>7</v>
      </c>
      <c r="E716" s="244">
        <f t="shared" si="70"/>
        <v>9</v>
      </c>
      <c r="G716" s="259" t="str">
        <f t="shared" si="71"/>
        <v>&lt;ct112&gt;</v>
      </c>
      <c r="H716" s="260">
        <f>VLOOKUP(O716,BCDTK!$E$9:$L$132,6,0)</f>
        <v>380972310</v>
      </c>
      <c r="I716" s="261" t="str">
        <f t="shared" si="72"/>
        <v>&lt;/ct112&gt;</v>
      </c>
      <c r="J716" s="262"/>
      <c r="K716" s="262"/>
      <c r="L716" s="262"/>
      <c r="M716" s="263"/>
      <c r="N716" s="265"/>
      <c r="O716" s="265">
        <v>112</v>
      </c>
    </row>
    <row r="717" spans="1:15" x14ac:dyDescent="0.45">
      <c r="A717" s="253" t="str">
        <f t="shared" si="67"/>
        <v>&lt;ct1121&gt;380972310&lt;/ct1121&gt;</v>
      </c>
      <c r="B717" s="450" t="s">
        <v>1591</v>
      </c>
      <c r="C717" s="244">
        <f t="shared" si="68"/>
        <v>2</v>
      </c>
      <c r="D717" s="244">
        <f t="shared" si="69"/>
        <v>8</v>
      </c>
      <c r="E717" s="244">
        <f t="shared" si="70"/>
        <v>10</v>
      </c>
      <c r="G717" s="259" t="str">
        <f t="shared" si="71"/>
        <v>&lt;ct1121&gt;</v>
      </c>
      <c r="H717" s="260">
        <f>VLOOKUP(O717,BCDTK!$E$9:$L$132,6,0)</f>
        <v>380972310</v>
      </c>
      <c r="I717" s="261" t="str">
        <f t="shared" si="72"/>
        <v>&lt;/ct1121&gt;</v>
      </c>
      <c r="J717" s="262"/>
      <c r="K717" s="262"/>
      <c r="L717" s="262"/>
      <c r="M717" s="263"/>
      <c r="N717" s="265"/>
      <c r="O717" s="265">
        <v>1121</v>
      </c>
    </row>
    <row r="718" spans="1:15" x14ac:dyDescent="0.45">
      <c r="A718" s="253" t="str">
        <f t="shared" si="67"/>
        <v>&lt;ct1122&gt;0&lt;/ct1122&gt;</v>
      </c>
      <c r="B718" s="450" t="s">
        <v>1592</v>
      </c>
      <c r="C718" s="244">
        <f t="shared" si="68"/>
        <v>2</v>
      </c>
      <c r="D718" s="244">
        <f t="shared" si="69"/>
        <v>8</v>
      </c>
      <c r="E718" s="244">
        <f t="shared" si="70"/>
        <v>10</v>
      </c>
      <c r="G718" s="259" t="str">
        <f t="shared" si="71"/>
        <v>&lt;ct1122&gt;</v>
      </c>
      <c r="H718" s="260">
        <f>VLOOKUP(O718,BCDTK!$E$9:$L$132,6,0)</f>
        <v>0</v>
      </c>
      <c r="I718" s="261" t="str">
        <f t="shared" si="72"/>
        <v>&lt;/ct1122&gt;</v>
      </c>
      <c r="J718" s="262"/>
      <c r="K718" s="262"/>
      <c r="L718" s="262"/>
      <c r="M718" s="263"/>
      <c r="N718" s="265"/>
      <c r="O718" s="265">
        <v>1122</v>
      </c>
    </row>
    <row r="719" spans="1:15" x14ac:dyDescent="0.45">
      <c r="A719" s="253" t="str">
        <f t="shared" si="67"/>
        <v>&lt;ct121&gt;0&lt;/ct121&gt;</v>
      </c>
      <c r="B719" s="450" t="s">
        <v>1461</v>
      </c>
      <c r="C719" s="244">
        <f t="shared" si="68"/>
        <v>2</v>
      </c>
      <c r="D719" s="244">
        <f t="shared" si="69"/>
        <v>7</v>
      </c>
      <c r="E719" s="244">
        <f t="shared" si="70"/>
        <v>9</v>
      </c>
      <c r="G719" s="259" t="str">
        <f t="shared" si="71"/>
        <v>&lt;ct121&gt;</v>
      </c>
      <c r="H719" s="260">
        <f>VLOOKUP(O719,BCDTK!$E$9:$L$132,6,0)</f>
        <v>0</v>
      </c>
      <c r="I719" s="261" t="str">
        <f t="shared" si="72"/>
        <v>&lt;/ct121&gt;</v>
      </c>
      <c r="J719" s="262"/>
      <c r="K719" s="262"/>
      <c r="L719" s="262"/>
      <c r="M719" s="263"/>
      <c r="N719" s="265"/>
      <c r="O719" s="265">
        <v>121</v>
      </c>
    </row>
    <row r="720" spans="1:15" x14ac:dyDescent="0.45">
      <c r="A720" s="253" t="str">
        <f t="shared" si="67"/>
        <v>&lt;ct128&gt;0&lt;/ct128&gt;</v>
      </c>
      <c r="B720" s="450" t="s">
        <v>1593</v>
      </c>
      <c r="C720" s="244">
        <f t="shared" si="68"/>
        <v>2</v>
      </c>
      <c r="D720" s="244">
        <f t="shared" si="69"/>
        <v>7</v>
      </c>
      <c r="E720" s="244">
        <f t="shared" si="70"/>
        <v>9</v>
      </c>
      <c r="G720" s="259" t="str">
        <f t="shared" si="71"/>
        <v>&lt;ct128&gt;</v>
      </c>
      <c r="H720" s="260">
        <f>VLOOKUP(O720,BCDTK!$E$9:$L$132,6,0)</f>
        <v>0</v>
      </c>
      <c r="I720" s="261" t="str">
        <f t="shared" si="72"/>
        <v>&lt;/ct128&gt;</v>
      </c>
      <c r="J720" s="262"/>
      <c r="K720" s="262"/>
      <c r="L720" s="262"/>
      <c r="M720" s="263"/>
      <c r="N720" s="265"/>
      <c r="O720" s="265">
        <v>128</v>
      </c>
    </row>
    <row r="721" spans="1:15" x14ac:dyDescent="0.45">
      <c r="A721" s="253" t="str">
        <f t="shared" si="67"/>
        <v>&lt;ct1281&gt;0&lt;/ct1281&gt;</v>
      </c>
      <c r="B721" s="450" t="s">
        <v>1594</v>
      </c>
      <c r="C721" s="244">
        <f t="shared" si="68"/>
        <v>2</v>
      </c>
      <c r="D721" s="244">
        <f t="shared" si="69"/>
        <v>8</v>
      </c>
      <c r="E721" s="244">
        <f t="shared" si="70"/>
        <v>10</v>
      </c>
      <c r="G721" s="259" t="str">
        <f t="shared" si="71"/>
        <v>&lt;ct1281&gt;</v>
      </c>
      <c r="H721" s="260">
        <f>VLOOKUP(O721,BCDTK!$E$9:$L$132,6,0)</f>
        <v>0</v>
      </c>
      <c r="I721" s="261" t="str">
        <f t="shared" si="72"/>
        <v>&lt;/ct1281&gt;</v>
      </c>
      <c r="J721" s="262"/>
      <c r="K721" s="262"/>
      <c r="L721" s="262"/>
      <c r="M721" s="263"/>
      <c r="N721" s="265"/>
      <c r="O721" s="265">
        <v>1281</v>
      </c>
    </row>
    <row r="722" spans="1:15" x14ac:dyDescent="0.45">
      <c r="A722" s="253" t="str">
        <f t="shared" si="67"/>
        <v>&lt;ct1288&gt;0&lt;/ct1288&gt;</v>
      </c>
      <c r="B722" s="450" t="s">
        <v>1595</v>
      </c>
      <c r="C722" s="244">
        <f t="shared" si="68"/>
        <v>2</v>
      </c>
      <c r="D722" s="244">
        <f t="shared" si="69"/>
        <v>8</v>
      </c>
      <c r="E722" s="244">
        <f t="shared" si="70"/>
        <v>10</v>
      </c>
      <c r="G722" s="259" t="str">
        <f t="shared" si="71"/>
        <v>&lt;ct1288&gt;</v>
      </c>
      <c r="H722" s="260">
        <f>VLOOKUP(O722,BCDTK!$E$9:$L$132,6,0)</f>
        <v>0</v>
      </c>
      <c r="I722" s="261" t="str">
        <f t="shared" si="72"/>
        <v>&lt;/ct1288&gt;</v>
      </c>
      <c r="J722" s="262"/>
      <c r="K722" s="262"/>
      <c r="L722" s="262"/>
      <c r="M722" s="263"/>
      <c r="N722" s="265"/>
      <c r="O722" s="265">
        <v>1288</v>
      </c>
    </row>
    <row r="723" spans="1:15" x14ac:dyDescent="0.45">
      <c r="A723" s="253" t="str">
        <f t="shared" si="67"/>
        <v>&lt;ct131&gt;53040000&lt;/ct131&gt;</v>
      </c>
      <c r="B723" s="450" t="s">
        <v>1510</v>
      </c>
      <c r="C723" s="244">
        <f t="shared" si="68"/>
        <v>2</v>
      </c>
      <c r="D723" s="244">
        <f t="shared" si="69"/>
        <v>7</v>
      </c>
      <c r="E723" s="244">
        <f t="shared" si="70"/>
        <v>9</v>
      </c>
      <c r="G723" s="259" t="str">
        <f t="shared" si="71"/>
        <v>&lt;ct131&gt;</v>
      </c>
      <c r="H723" s="260">
        <f>VLOOKUP(O723,BCDTK!$E$9:$L$132,6,0)</f>
        <v>53040000</v>
      </c>
      <c r="I723" s="261" t="str">
        <f t="shared" si="72"/>
        <v>&lt;/ct131&gt;</v>
      </c>
      <c r="J723" s="262"/>
      <c r="K723" s="262"/>
      <c r="L723" s="262"/>
      <c r="M723" s="263"/>
      <c r="N723" s="265"/>
      <c r="O723" s="265">
        <v>131</v>
      </c>
    </row>
    <row r="724" spans="1:15" x14ac:dyDescent="0.45">
      <c r="A724" s="253" t="str">
        <f t="shared" si="67"/>
        <v>&lt;ct133&gt;1611989&lt;/ct133&gt;</v>
      </c>
      <c r="B724" s="450" t="s">
        <v>1468</v>
      </c>
      <c r="C724" s="244">
        <f t="shared" si="68"/>
        <v>2</v>
      </c>
      <c r="D724" s="244">
        <f t="shared" si="69"/>
        <v>7</v>
      </c>
      <c r="E724" s="244">
        <f t="shared" si="70"/>
        <v>9</v>
      </c>
      <c r="G724" s="259" t="str">
        <f t="shared" si="71"/>
        <v>&lt;ct133&gt;</v>
      </c>
      <c r="H724" s="260">
        <f>VLOOKUP(O724,BCDTK!$E$9:$L$132,6,0)</f>
        <v>1611989</v>
      </c>
      <c r="I724" s="261" t="str">
        <f t="shared" si="72"/>
        <v>&lt;/ct133&gt;</v>
      </c>
      <c r="J724" s="262"/>
      <c r="K724" s="262"/>
      <c r="L724" s="262"/>
      <c r="M724" s="263"/>
      <c r="N724" s="265"/>
      <c r="O724" s="265">
        <v>133</v>
      </c>
    </row>
    <row r="725" spans="1:15" x14ac:dyDescent="0.45">
      <c r="A725" s="253" t="str">
        <f t="shared" si="67"/>
        <v>&lt;ct1331&gt;1611989&lt;/ct1331&gt;</v>
      </c>
      <c r="B725" s="450" t="s">
        <v>1596</v>
      </c>
      <c r="C725" s="244">
        <f t="shared" si="68"/>
        <v>2</v>
      </c>
      <c r="D725" s="244">
        <f t="shared" si="69"/>
        <v>8</v>
      </c>
      <c r="E725" s="244">
        <f t="shared" si="70"/>
        <v>10</v>
      </c>
      <c r="G725" s="259" t="str">
        <f t="shared" si="71"/>
        <v>&lt;ct1331&gt;</v>
      </c>
      <c r="H725" s="260">
        <f>VLOOKUP(O725,BCDTK!$E$9:$L$132,6,0)</f>
        <v>1611989</v>
      </c>
      <c r="I725" s="261" t="str">
        <f t="shared" si="72"/>
        <v>&lt;/ct1331&gt;</v>
      </c>
      <c r="J725" s="262"/>
      <c r="K725" s="262"/>
      <c r="L725" s="262"/>
      <c r="M725" s="263"/>
      <c r="N725" s="265"/>
      <c r="O725" s="265">
        <v>1331</v>
      </c>
    </row>
    <row r="726" spans="1:15" x14ac:dyDescent="0.45">
      <c r="A726" s="253" t="str">
        <f t="shared" si="67"/>
        <v>&lt;ct1332&gt;0&lt;/ct1332&gt;</v>
      </c>
      <c r="B726" s="450" t="s">
        <v>1597</v>
      </c>
      <c r="C726" s="244">
        <f t="shared" si="68"/>
        <v>2</v>
      </c>
      <c r="D726" s="244">
        <f t="shared" si="69"/>
        <v>8</v>
      </c>
      <c r="E726" s="244">
        <f t="shared" si="70"/>
        <v>10</v>
      </c>
      <c r="G726" s="259" t="str">
        <f t="shared" si="71"/>
        <v>&lt;ct1332&gt;</v>
      </c>
      <c r="H726" s="260">
        <f>VLOOKUP(O726,BCDTK!$E$9:$L$132,6,0)</f>
        <v>0</v>
      </c>
      <c r="I726" s="261" t="str">
        <f t="shared" si="72"/>
        <v>&lt;/ct1332&gt;</v>
      </c>
      <c r="J726" s="262"/>
      <c r="K726" s="262"/>
      <c r="L726" s="262"/>
      <c r="M726" s="263"/>
      <c r="N726" s="265"/>
      <c r="O726" s="265">
        <v>1332</v>
      </c>
    </row>
    <row r="727" spans="1:15" x14ac:dyDescent="0.45">
      <c r="A727" s="253" t="str">
        <f t="shared" si="67"/>
        <v>&lt;ct136&gt;0&lt;/ct136&gt;</v>
      </c>
      <c r="B727" s="450" t="s">
        <v>1471</v>
      </c>
      <c r="C727" s="244">
        <f t="shared" si="68"/>
        <v>2</v>
      </c>
      <c r="D727" s="244">
        <f t="shared" si="69"/>
        <v>7</v>
      </c>
      <c r="E727" s="244">
        <f t="shared" si="70"/>
        <v>9</v>
      </c>
      <c r="G727" s="259" t="str">
        <f t="shared" si="71"/>
        <v>&lt;ct136&gt;</v>
      </c>
      <c r="H727" s="260">
        <f>VLOOKUP(O727,BCDTK!$E$9:$L$132,6,0)</f>
        <v>0</v>
      </c>
      <c r="I727" s="261" t="str">
        <f t="shared" si="72"/>
        <v>&lt;/ct136&gt;</v>
      </c>
      <c r="J727" s="262"/>
      <c r="K727" s="262"/>
      <c r="L727" s="262"/>
      <c r="M727" s="263"/>
      <c r="N727" s="265"/>
      <c r="O727" s="265">
        <v>136</v>
      </c>
    </row>
    <row r="728" spans="1:15" x14ac:dyDescent="0.45">
      <c r="A728" s="253" t="str">
        <f t="shared" si="67"/>
        <v>&lt;ct1361&gt;0&lt;/ct1361&gt;</v>
      </c>
      <c r="B728" s="450" t="s">
        <v>1598</v>
      </c>
      <c r="C728" s="244">
        <f t="shared" si="68"/>
        <v>2</v>
      </c>
      <c r="D728" s="244">
        <f t="shared" si="69"/>
        <v>8</v>
      </c>
      <c r="E728" s="244">
        <f t="shared" si="70"/>
        <v>10</v>
      </c>
      <c r="G728" s="259" t="str">
        <f t="shared" si="71"/>
        <v>&lt;ct1361&gt;</v>
      </c>
      <c r="H728" s="260">
        <f>VLOOKUP(O728,BCDTK!$E$9:$L$132,6,0)</f>
        <v>0</v>
      </c>
      <c r="I728" s="261" t="str">
        <f t="shared" si="72"/>
        <v>&lt;/ct1361&gt;</v>
      </c>
      <c r="J728" s="262"/>
      <c r="K728" s="262"/>
      <c r="L728" s="262"/>
      <c r="M728" s="263"/>
      <c r="N728" s="265"/>
      <c r="O728" s="265">
        <v>1361</v>
      </c>
    </row>
    <row r="729" spans="1:15" x14ac:dyDescent="0.45">
      <c r="A729" s="253" t="str">
        <f t="shared" si="67"/>
        <v>&lt;ct1368&gt;0&lt;/ct1368&gt;</v>
      </c>
      <c r="B729" s="450" t="s">
        <v>1599</v>
      </c>
      <c r="C729" s="244">
        <f t="shared" si="68"/>
        <v>2</v>
      </c>
      <c r="D729" s="244">
        <f t="shared" si="69"/>
        <v>8</v>
      </c>
      <c r="E729" s="244">
        <f t="shared" si="70"/>
        <v>10</v>
      </c>
      <c r="G729" s="259" t="str">
        <f t="shared" si="71"/>
        <v>&lt;ct1368&gt;</v>
      </c>
      <c r="H729" s="260">
        <f>VLOOKUP(O729,BCDTK!$E$9:$L$132,6,0)</f>
        <v>0</v>
      </c>
      <c r="I729" s="261" t="str">
        <f t="shared" si="72"/>
        <v>&lt;/ct1368&gt;</v>
      </c>
      <c r="J729" s="262"/>
      <c r="K729" s="262"/>
      <c r="L729" s="262"/>
      <c r="M729" s="263"/>
      <c r="N729" s="265"/>
      <c r="O729" s="265">
        <v>1368</v>
      </c>
    </row>
    <row r="730" spans="1:15" x14ac:dyDescent="0.45">
      <c r="A730" s="253" t="str">
        <f t="shared" si="67"/>
        <v>&lt;ct138&gt;0&lt;/ct138&gt;</v>
      </c>
      <c r="B730" s="450" t="s">
        <v>1600</v>
      </c>
      <c r="C730" s="244">
        <f t="shared" si="68"/>
        <v>2</v>
      </c>
      <c r="D730" s="244">
        <f t="shared" si="69"/>
        <v>7</v>
      </c>
      <c r="E730" s="244">
        <f t="shared" si="70"/>
        <v>9</v>
      </c>
      <c r="G730" s="259" t="str">
        <f t="shared" si="71"/>
        <v>&lt;ct138&gt;</v>
      </c>
      <c r="H730" s="260">
        <f>VLOOKUP(O730,BCDTK!$E$9:$L$132,6,0)</f>
        <v>0</v>
      </c>
      <c r="I730" s="261" t="str">
        <f t="shared" si="72"/>
        <v>&lt;/ct138&gt;</v>
      </c>
      <c r="J730" s="262"/>
      <c r="K730" s="262"/>
      <c r="L730" s="262"/>
      <c r="M730" s="263"/>
      <c r="N730" s="265"/>
      <c r="O730" s="265">
        <v>138</v>
      </c>
    </row>
    <row r="731" spans="1:15" x14ac:dyDescent="0.45">
      <c r="A731" s="253" t="str">
        <f t="shared" si="67"/>
        <v>&lt;ct1381&gt;0&lt;/ct1381&gt;</v>
      </c>
      <c r="B731" s="450" t="s">
        <v>1601</v>
      </c>
      <c r="C731" s="244">
        <f t="shared" si="68"/>
        <v>2</v>
      </c>
      <c r="D731" s="244">
        <f t="shared" si="69"/>
        <v>8</v>
      </c>
      <c r="E731" s="244">
        <f t="shared" si="70"/>
        <v>10</v>
      </c>
      <c r="G731" s="259" t="str">
        <f t="shared" si="71"/>
        <v>&lt;ct1381&gt;</v>
      </c>
      <c r="H731" s="260">
        <f>VLOOKUP(O731,BCDTK!$E$9:$L$132,6,0)</f>
        <v>0</v>
      </c>
      <c r="I731" s="261" t="str">
        <f t="shared" si="72"/>
        <v>&lt;/ct1381&gt;</v>
      </c>
      <c r="J731" s="262"/>
      <c r="K731" s="262"/>
      <c r="L731" s="262"/>
      <c r="M731" s="263"/>
      <c r="N731" s="265"/>
      <c r="O731" s="265">
        <v>1381</v>
      </c>
    </row>
    <row r="732" spans="1:15" x14ac:dyDescent="0.45">
      <c r="A732" s="253" t="str">
        <f t="shared" si="67"/>
        <v>&lt;ct1386&gt;0&lt;/ct1386&gt;</v>
      </c>
      <c r="B732" s="450" t="s">
        <v>1602</v>
      </c>
      <c r="C732" s="244">
        <f t="shared" si="68"/>
        <v>2</v>
      </c>
      <c r="D732" s="244">
        <f t="shared" si="69"/>
        <v>8</v>
      </c>
      <c r="E732" s="244">
        <f t="shared" si="70"/>
        <v>10</v>
      </c>
      <c r="G732" s="259" t="str">
        <f t="shared" si="71"/>
        <v>&lt;ct1386&gt;</v>
      </c>
      <c r="H732" s="260">
        <f>VLOOKUP(O732,BCDTK!$E$9:$L$132,6,0)</f>
        <v>0</v>
      </c>
      <c r="I732" s="261" t="str">
        <f t="shared" si="72"/>
        <v>&lt;/ct1386&gt;</v>
      </c>
      <c r="J732" s="262"/>
      <c r="K732" s="262"/>
      <c r="L732" s="262"/>
      <c r="M732" s="263"/>
      <c r="N732" s="265"/>
      <c r="O732" s="265">
        <v>1386</v>
      </c>
    </row>
    <row r="733" spans="1:15" x14ac:dyDescent="0.45">
      <c r="A733" s="253" t="str">
        <f t="shared" si="67"/>
        <v>&lt;ct1388&gt;0&lt;/ct1388&gt;</v>
      </c>
      <c r="B733" s="450" t="s">
        <v>1603</v>
      </c>
      <c r="C733" s="244">
        <f t="shared" si="68"/>
        <v>2</v>
      </c>
      <c r="D733" s="244">
        <f t="shared" si="69"/>
        <v>8</v>
      </c>
      <c r="E733" s="244">
        <f t="shared" si="70"/>
        <v>10</v>
      </c>
      <c r="G733" s="259" t="str">
        <f t="shared" si="71"/>
        <v>&lt;ct1388&gt;</v>
      </c>
      <c r="H733" s="260">
        <f>VLOOKUP(O733,BCDTK!$E$9:$L$132,6,0)</f>
        <v>0</v>
      </c>
      <c r="I733" s="261" t="str">
        <f t="shared" si="72"/>
        <v>&lt;/ct1388&gt;</v>
      </c>
      <c r="J733" s="262"/>
      <c r="K733" s="262"/>
      <c r="L733" s="262"/>
      <c r="M733" s="263"/>
      <c r="N733" s="265"/>
      <c r="O733" s="265">
        <v>1388</v>
      </c>
    </row>
    <row r="734" spans="1:15" x14ac:dyDescent="0.45">
      <c r="A734" s="253" t="str">
        <f t="shared" si="67"/>
        <v>&lt;ct141&gt;0&lt;/ct141&gt;</v>
      </c>
      <c r="B734" s="450" t="s">
        <v>1513</v>
      </c>
      <c r="C734" s="244">
        <f t="shared" si="68"/>
        <v>2</v>
      </c>
      <c r="D734" s="244">
        <f t="shared" si="69"/>
        <v>7</v>
      </c>
      <c r="E734" s="244">
        <f t="shared" si="70"/>
        <v>9</v>
      </c>
      <c r="G734" s="259" t="str">
        <f t="shared" si="71"/>
        <v>&lt;ct141&gt;</v>
      </c>
      <c r="H734" s="260">
        <f>VLOOKUP(O734,BCDTK!$E$9:$L$132,6,0)</f>
        <v>0</v>
      </c>
      <c r="I734" s="261" t="str">
        <f t="shared" si="72"/>
        <v>&lt;/ct141&gt;</v>
      </c>
      <c r="J734" s="262"/>
      <c r="K734" s="262"/>
      <c r="L734" s="262"/>
      <c r="M734" s="263"/>
      <c r="N734" s="265"/>
      <c r="O734" s="265">
        <v>141</v>
      </c>
    </row>
    <row r="735" spans="1:15" x14ac:dyDescent="0.45">
      <c r="A735" s="253" t="str">
        <f t="shared" si="67"/>
        <v>&lt;ct151&gt;0&lt;/ct151&gt;</v>
      </c>
      <c r="B735" s="450" t="s">
        <v>1476</v>
      </c>
      <c r="C735" s="244">
        <f t="shared" si="68"/>
        <v>2</v>
      </c>
      <c r="D735" s="244">
        <f t="shared" si="69"/>
        <v>7</v>
      </c>
      <c r="E735" s="244">
        <f t="shared" si="70"/>
        <v>9</v>
      </c>
      <c r="G735" s="259" t="str">
        <f t="shared" si="71"/>
        <v>&lt;ct151&gt;</v>
      </c>
      <c r="H735" s="260">
        <f>VLOOKUP(O735,BCDTK!$E$9:$L$132,6,0)</f>
        <v>0</v>
      </c>
      <c r="I735" s="261" t="str">
        <f t="shared" si="72"/>
        <v>&lt;/ct151&gt;</v>
      </c>
      <c r="J735" s="262"/>
      <c r="K735" s="262"/>
      <c r="L735" s="262"/>
      <c r="M735" s="263"/>
      <c r="N735" s="265"/>
      <c r="O735" s="265">
        <v>151</v>
      </c>
    </row>
    <row r="736" spans="1:15" x14ac:dyDescent="0.45">
      <c r="A736" s="253" t="str">
        <f t="shared" si="67"/>
        <v>&lt;ct152&gt;0&lt;/ct152&gt;</v>
      </c>
      <c r="B736" s="450" t="s">
        <v>1477</v>
      </c>
      <c r="C736" s="244">
        <f t="shared" si="68"/>
        <v>2</v>
      </c>
      <c r="D736" s="244">
        <f t="shared" si="69"/>
        <v>7</v>
      </c>
      <c r="E736" s="244">
        <f t="shared" si="70"/>
        <v>9</v>
      </c>
      <c r="G736" s="259" t="str">
        <f t="shared" si="71"/>
        <v>&lt;ct152&gt;</v>
      </c>
      <c r="H736" s="260">
        <f>VLOOKUP(O736,BCDTK!$E$9:$L$132,6,0)</f>
        <v>0</v>
      </c>
      <c r="I736" s="261" t="str">
        <f t="shared" si="72"/>
        <v>&lt;/ct152&gt;</v>
      </c>
      <c r="J736" s="262"/>
      <c r="K736" s="262"/>
      <c r="L736" s="262"/>
      <c r="M736" s="263"/>
      <c r="N736" s="265"/>
      <c r="O736" s="265">
        <v>152</v>
      </c>
    </row>
    <row r="737" spans="1:15" x14ac:dyDescent="0.45">
      <c r="A737" s="253" t="str">
        <f t="shared" si="67"/>
        <v>&lt;ct153&gt;0&lt;/ct153&gt;</v>
      </c>
      <c r="B737" s="450" t="s">
        <v>1604</v>
      </c>
      <c r="C737" s="244">
        <f t="shared" si="68"/>
        <v>2</v>
      </c>
      <c r="D737" s="244">
        <f t="shared" si="69"/>
        <v>7</v>
      </c>
      <c r="E737" s="244">
        <f t="shared" si="70"/>
        <v>9</v>
      </c>
      <c r="G737" s="259" t="str">
        <f t="shared" si="71"/>
        <v>&lt;ct153&gt;</v>
      </c>
      <c r="H737" s="260">
        <f>VLOOKUP(O737,BCDTK!$E$9:$L$132,6,0)</f>
        <v>0</v>
      </c>
      <c r="I737" s="261" t="str">
        <f t="shared" si="72"/>
        <v>&lt;/ct153&gt;</v>
      </c>
      <c r="J737" s="262"/>
      <c r="K737" s="262"/>
      <c r="L737" s="262"/>
      <c r="M737" s="263"/>
      <c r="N737" s="265"/>
      <c r="O737" s="265">
        <v>153</v>
      </c>
    </row>
    <row r="738" spans="1:15" x14ac:dyDescent="0.45">
      <c r="A738" s="253" t="str">
        <f t="shared" si="67"/>
        <v>&lt;ct154&gt;183572894&lt;/ct154&gt;</v>
      </c>
      <c r="B738" s="450" t="s">
        <v>1605</v>
      </c>
      <c r="C738" s="244">
        <f t="shared" si="68"/>
        <v>2</v>
      </c>
      <c r="D738" s="244">
        <f t="shared" si="69"/>
        <v>7</v>
      </c>
      <c r="E738" s="244">
        <f t="shared" si="70"/>
        <v>9</v>
      </c>
      <c r="G738" s="259" t="str">
        <f t="shared" si="71"/>
        <v>&lt;ct154&gt;</v>
      </c>
      <c r="H738" s="260">
        <f>VLOOKUP(O738,BCDTK!$E$9:$L$132,6,0)</f>
        <v>183572894</v>
      </c>
      <c r="I738" s="261" t="str">
        <f t="shared" si="72"/>
        <v>&lt;/ct154&gt;</v>
      </c>
      <c r="J738" s="262"/>
      <c r="K738" s="262"/>
      <c r="L738" s="262"/>
      <c r="M738" s="263"/>
      <c r="N738" s="265"/>
      <c r="O738" s="265">
        <v>154</v>
      </c>
    </row>
    <row r="739" spans="1:15" x14ac:dyDescent="0.45">
      <c r="A739" s="253" t="str">
        <f t="shared" si="67"/>
        <v>&lt;ct155&gt;0&lt;/ct155&gt;</v>
      </c>
      <c r="B739" s="450" t="s">
        <v>1606</v>
      </c>
      <c r="C739" s="244">
        <f t="shared" si="68"/>
        <v>2</v>
      </c>
      <c r="D739" s="244">
        <f t="shared" si="69"/>
        <v>7</v>
      </c>
      <c r="E739" s="244">
        <f t="shared" si="70"/>
        <v>9</v>
      </c>
      <c r="G739" s="259" t="str">
        <f t="shared" si="71"/>
        <v>&lt;ct155&gt;</v>
      </c>
      <c r="H739" s="260">
        <f>VLOOKUP(O739,BCDTK!$E$9:$L$132,6,0)</f>
        <v>0</v>
      </c>
      <c r="I739" s="261" t="str">
        <f t="shared" si="72"/>
        <v>&lt;/ct155&gt;</v>
      </c>
      <c r="J739" s="262"/>
      <c r="K739" s="262"/>
      <c r="L739" s="262"/>
      <c r="M739" s="263"/>
      <c r="N739" s="265"/>
      <c r="O739" s="265">
        <v>155</v>
      </c>
    </row>
    <row r="740" spans="1:15" x14ac:dyDescent="0.45">
      <c r="A740" s="253" t="str">
        <f t="shared" si="67"/>
        <v>&lt;ct156&gt;0&lt;/ct156&gt;</v>
      </c>
      <c r="B740" s="450" t="s">
        <v>1607</v>
      </c>
      <c r="C740" s="244">
        <f t="shared" si="68"/>
        <v>2</v>
      </c>
      <c r="D740" s="244">
        <f t="shared" si="69"/>
        <v>7</v>
      </c>
      <c r="E740" s="244">
        <f t="shared" si="70"/>
        <v>9</v>
      </c>
      <c r="G740" s="259" t="str">
        <f t="shared" si="71"/>
        <v>&lt;ct156&gt;</v>
      </c>
      <c r="H740" s="260">
        <f>VLOOKUP(O740,BCDTK!$E$9:$L$132,6,0)</f>
        <v>0</v>
      </c>
      <c r="I740" s="261" t="str">
        <f t="shared" si="72"/>
        <v>&lt;/ct156&gt;</v>
      </c>
      <c r="J740" s="262"/>
      <c r="K740" s="262"/>
      <c r="L740" s="262"/>
      <c r="M740" s="263"/>
      <c r="N740" s="265"/>
      <c r="O740" s="265">
        <v>156</v>
      </c>
    </row>
    <row r="741" spans="1:15" x14ac:dyDescent="0.45">
      <c r="A741" s="253" t="str">
        <f t="shared" si="67"/>
        <v>&lt;ct157&gt;0&lt;/ct157&gt;</v>
      </c>
      <c r="B741" s="450" t="s">
        <v>1608</v>
      </c>
      <c r="C741" s="244">
        <f t="shared" si="68"/>
        <v>2</v>
      </c>
      <c r="D741" s="244">
        <f t="shared" si="69"/>
        <v>7</v>
      </c>
      <c r="E741" s="244">
        <f t="shared" si="70"/>
        <v>9</v>
      </c>
      <c r="G741" s="259" t="str">
        <f t="shared" si="71"/>
        <v>&lt;ct157&gt;</v>
      </c>
      <c r="H741" s="260">
        <f>VLOOKUP(O741,BCDTK!$E$9:$L$132,6,0)</f>
        <v>0</v>
      </c>
      <c r="I741" s="261" t="str">
        <f t="shared" si="72"/>
        <v>&lt;/ct157&gt;</v>
      </c>
      <c r="J741" s="262"/>
      <c r="K741" s="262"/>
      <c r="L741" s="262"/>
      <c r="M741" s="263"/>
      <c r="N741" s="265"/>
      <c r="O741" s="265">
        <v>157</v>
      </c>
    </row>
    <row r="742" spans="1:15" x14ac:dyDescent="0.45">
      <c r="A742" s="253" t="str">
        <f t="shared" si="67"/>
        <v>&lt;ct211&gt;0&lt;/ct211&gt;</v>
      </c>
      <c r="B742" s="450" t="s">
        <v>1609</v>
      </c>
      <c r="C742" s="244">
        <f t="shared" si="68"/>
        <v>2</v>
      </c>
      <c r="D742" s="244">
        <f t="shared" si="69"/>
        <v>7</v>
      </c>
      <c r="E742" s="244">
        <f t="shared" si="70"/>
        <v>9</v>
      </c>
      <c r="G742" s="259" t="str">
        <f t="shared" si="71"/>
        <v>&lt;ct211&gt;</v>
      </c>
      <c r="H742" s="260">
        <f>VLOOKUP(O742,BCDTK!$E$9:$L$132,6,0)</f>
        <v>0</v>
      </c>
      <c r="I742" s="261" t="str">
        <f t="shared" si="72"/>
        <v>&lt;/ct211&gt;</v>
      </c>
      <c r="J742" s="262"/>
      <c r="K742" s="262"/>
      <c r="L742" s="262"/>
      <c r="M742" s="263"/>
      <c r="N742" s="265"/>
      <c r="O742" s="265">
        <v>211</v>
      </c>
    </row>
    <row r="743" spans="1:15" x14ac:dyDescent="0.45">
      <c r="A743" s="253" t="str">
        <f t="shared" si="67"/>
        <v>&lt;ct2111&gt;0&lt;/ct2111&gt;</v>
      </c>
      <c r="B743" s="450" t="s">
        <v>1610</v>
      </c>
      <c r="C743" s="244">
        <f t="shared" si="68"/>
        <v>2</v>
      </c>
      <c r="D743" s="244">
        <f t="shared" si="69"/>
        <v>8</v>
      </c>
      <c r="E743" s="244">
        <f t="shared" si="70"/>
        <v>10</v>
      </c>
      <c r="G743" s="259" t="str">
        <f t="shared" si="71"/>
        <v>&lt;ct2111&gt;</v>
      </c>
      <c r="H743" s="260">
        <f>VLOOKUP(O743,BCDTK!$E$9:$L$132,6,0)</f>
        <v>0</v>
      </c>
      <c r="I743" s="261" t="str">
        <f t="shared" si="72"/>
        <v>&lt;/ct2111&gt;</v>
      </c>
      <c r="J743" s="262"/>
      <c r="K743" s="262"/>
      <c r="L743" s="262"/>
      <c r="M743" s="263"/>
      <c r="N743" s="265"/>
      <c r="O743" s="265">
        <v>2111</v>
      </c>
    </row>
    <row r="744" spans="1:15" x14ac:dyDescent="0.45">
      <c r="A744" s="253" t="str">
        <f t="shared" si="67"/>
        <v>&lt;ct2112&gt;0&lt;/ct2112&gt;</v>
      </c>
      <c r="B744" s="450" t="s">
        <v>1611</v>
      </c>
      <c r="C744" s="244">
        <f t="shared" si="68"/>
        <v>2</v>
      </c>
      <c r="D744" s="244">
        <f t="shared" si="69"/>
        <v>8</v>
      </c>
      <c r="E744" s="244">
        <f t="shared" si="70"/>
        <v>10</v>
      </c>
      <c r="G744" s="259" t="str">
        <f t="shared" si="71"/>
        <v>&lt;ct2112&gt;</v>
      </c>
      <c r="H744" s="260">
        <f>VLOOKUP(O744,BCDTK!$E$9:$L$132,6,0)</f>
        <v>0</v>
      </c>
      <c r="I744" s="261" t="str">
        <f t="shared" si="72"/>
        <v>&lt;/ct2112&gt;</v>
      </c>
      <c r="J744" s="262"/>
      <c r="K744" s="262"/>
      <c r="L744" s="262"/>
      <c r="M744" s="263"/>
      <c r="N744" s="265"/>
      <c r="O744" s="265">
        <v>2112</v>
      </c>
    </row>
    <row r="745" spans="1:15" x14ac:dyDescent="0.45">
      <c r="A745" s="253" t="str">
        <f t="shared" si="67"/>
        <v>&lt;ct2113&gt;0&lt;/ct2113&gt;</v>
      </c>
      <c r="B745" s="450" t="s">
        <v>1612</v>
      </c>
      <c r="C745" s="244">
        <f t="shared" si="68"/>
        <v>2</v>
      </c>
      <c r="D745" s="244">
        <f t="shared" si="69"/>
        <v>8</v>
      </c>
      <c r="E745" s="244">
        <f t="shared" si="70"/>
        <v>10</v>
      </c>
      <c r="G745" s="259" t="str">
        <f t="shared" si="71"/>
        <v>&lt;ct2113&gt;</v>
      </c>
      <c r="H745" s="260">
        <f>VLOOKUP(O745,BCDTK!$E$9:$L$132,6,0)</f>
        <v>0</v>
      </c>
      <c r="I745" s="261" t="str">
        <f t="shared" si="72"/>
        <v>&lt;/ct2113&gt;</v>
      </c>
      <c r="J745" s="262"/>
      <c r="K745" s="262"/>
      <c r="L745" s="262"/>
      <c r="M745" s="263"/>
      <c r="N745" s="265"/>
      <c r="O745" s="265">
        <v>2113</v>
      </c>
    </row>
    <row r="746" spans="1:15" x14ac:dyDescent="0.45">
      <c r="A746" s="253" t="str">
        <f t="shared" si="67"/>
        <v>&lt;ct214&gt;10083376&lt;/ct214&gt;</v>
      </c>
      <c r="B746" s="450" t="s">
        <v>1613</v>
      </c>
      <c r="C746" s="244">
        <f t="shared" si="68"/>
        <v>2</v>
      </c>
      <c r="D746" s="244">
        <f t="shared" si="69"/>
        <v>7</v>
      </c>
      <c r="E746" s="244">
        <f t="shared" si="70"/>
        <v>9</v>
      </c>
      <c r="G746" s="259" t="str">
        <f t="shared" si="71"/>
        <v>&lt;ct214&gt;</v>
      </c>
      <c r="H746" s="260">
        <f>VLOOKUP(O746,BCDTK!$E$9:$L$132,6,0)</f>
        <v>10083376</v>
      </c>
      <c r="I746" s="261" t="str">
        <f t="shared" si="72"/>
        <v>&lt;/ct214&gt;</v>
      </c>
      <c r="J746" s="262"/>
      <c r="K746" s="262"/>
      <c r="L746" s="262"/>
      <c r="M746" s="263"/>
      <c r="N746" s="265"/>
      <c r="O746" s="265">
        <v>214</v>
      </c>
    </row>
    <row r="747" spans="1:15" x14ac:dyDescent="0.45">
      <c r="A747" s="253" t="str">
        <f t="shared" si="67"/>
        <v>&lt;ct2141&gt;10083376&lt;/ct2141&gt;</v>
      </c>
      <c r="B747" s="450" t="s">
        <v>1614</v>
      </c>
      <c r="C747" s="244">
        <f t="shared" si="68"/>
        <v>2</v>
      </c>
      <c r="D747" s="244">
        <f t="shared" si="69"/>
        <v>8</v>
      </c>
      <c r="E747" s="244">
        <f t="shared" si="70"/>
        <v>10</v>
      </c>
      <c r="G747" s="259" t="str">
        <f t="shared" si="71"/>
        <v>&lt;ct2141&gt;</v>
      </c>
      <c r="H747" s="260">
        <f>VLOOKUP(O747,BCDTK!$E$9:$L$132,6,0)</f>
        <v>10083376</v>
      </c>
      <c r="I747" s="261" t="str">
        <f t="shared" si="72"/>
        <v>&lt;/ct2141&gt;</v>
      </c>
      <c r="J747" s="262"/>
      <c r="K747" s="262"/>
      <c r="L747" s="262"/>
      <c r="M747" s="263"/>
      <c r="N747" s="265"/>
      <c r="O747" s="265">
        <v>2141</v>
      </c>
    </row>
    <row r="748" spans="1:15" x14ac:dyDescent="0.45">
      <c r="A748" s="253" t="str">
        <f t="shared" si="67"/>
        <v>&lt;ct2142&gt;0&lt;/ct2142&gt;</v>
      </c>
      <c r="B748" s="450" t="s">
        <v>1615</v>
      </c>
      <c r="C748" s="244">
        <f t="shared" si="68"/>
        <v>2</v>
      </c>
      <c r="D748" s="244">
        <f t="shared" si="69"/>
        <v>8</v>
      </c>
      <c r="E748" s="244">
        <f t="shared" si="70"/>
        <v>10</v>
      </c>
      <c r="G748" s="259" t="str">
        <f t="shared" si="71"/>
        <v>&lt;ct2142&gt;</v>
      </c>
      <c r="H748" s="260">
        <f>VLOOKUP(O748,BCDTK!$E$9:$L$132,6,0)</f>
        <v>0</v>
      </c>
      <c r="I748" s="261" t="str">
        <f t="shared" si="72"/>
        <v>&lt;/ct2142&gt;</v>
      </c>
      <c r="J748" s="262"/>
      <c r="K748" s="262"/>
      <c r="L748" s="262"/>
      <c r="M748" s="263"/>
      <c r="N748" s="265"/>
      <c r="O748" s="265">
        <v>2142</v>
      </c>
    </row>
    <row r="749" spans="1:15" x14ac:dyDescent="0.45">
      <c r="A749" s="253" t="str">
        <f t="shared" si="67"/>
        <v>&lt;ct2143&gt;0&lt;/ct2143&gt;</v>
      </c>
      <c r="B749" s="450" t="s">
        <v>1616</v>
      </c>
      <c r="C749" s="244">
        <f t="shared" si="68"/>
        <v>2</v>
      </c>
      <c r="D749" s="244">
        <f t="shared" si="69"/>
        <v>8</v>
      </c>
      <c r="E749" s="244">
        <f t="shared" si="70"/>
        <v>10</v>
      </c>
      <c r="G749" s="259" t="str">
        <f t="shared" si="71"/>
        <v>&lt;ct2143&gt;</v>
      </c>
      <c r="H749" s="260">
        <f>VLOOKUP(O749,BCDTK!$E$9:$L$132,6,0)</f>
        <v>0</v>
      </c>
      <c r="I749" s="261" t="str">
        <f t="shared" si="72"/>
        <v>&lt;/ct2143&gt;</v>
      </c>
      <c r="J749" s="262"/>
      <c r="K749" s="262"/>
      <c r="L749" s="262"/>
      <c r="M749" s="263"/>
      <c r="N749" s="265"/>
      <c r="O749" s="265">
        <v>2143</v>
      </c>
    </row>
    <row r="750" spans="1:15" x14ac:dyDescent="0.45">
      <c r="A750" s="253" t="str">
        <f t="shared" si="67"/>
        <v>&lt;ct2147&gt;0&lt;/ct2147&gt;</v>
      </c>
      <c r="B750" s="450" t="s">
        <v>1617</v>
      </c>
      <c r="C750" s="244">
        <f t="shared" si="68"/>
        <v>2</v>
      </c>
      <c r="D750" s="244">
        <f t="shared" si="69"/>
        <v>8</v>
      </c>
      <c r="E750" s="244">
        <f t="shared" si="70"/>
        <v>10</v>
      </c>
      <c r="G750" s="259" t="str">
        <f t="shared" si="71"/>
        <v>&lt;ct2147&gt;</v>
      </c>
      <c r="H750" s="260">
        <f>VLOOKUP(O750,BCDTK!$E$9:$L$132,6,0)</f>
        <v>0</v>
      </c>
      <c r="I750" s="261" t="str">
        <f t="shared" si="72"/>
        <v>&lt;/ct2147&gt;</v>
      </c>
      <c r="J750" s="262"/>
      <c r="K750" s="262"/>
      <c r="L750" s="262"/>
      <c r="M750" s="263"/>
      <c r="N750" s="265"/>
      <c r="O750" s="265">
        <v>2147</v>
      </c>
    </row>
    <row r="751" spans="1:15" x14ac:dyDescent="0.45">
      <c r="A751" s="253" t="str">
        <f t="shared" si="67"/>
        <v>&lt;ct217&gt;0&lt;/ct217&gt;</v>
      </c>
      <c r="B751" s="450" t="s">
        <v>1618</v>
      </c>
      <c r="C751" s="244">
        <f t="shared" si="68"/>
        <v>2</v>
      </c>
      <c r="D751" s="244">
        <f t="shared" si="69"/>
        <v>7</v>
      </c>
      <c r="E751" s="244">
        <f t="shared" si="70"/>
        <v>9</v>
      </c>
      <c r="G751" s="259" t="str">
        <f t="shared" si="71"/>
        <v>&lt;ct217&gt;</v>
      </c>
      <c r="H751" s="260">
        <f>VLOOKUP(O751,BCDTK!$E$9:$L$132,6,0)</f>
        <v>0</v>
      </c>
      <c r="I751" s="261" t="str">
        <f t="shared" si="72"/>
        <v>&lt;/ct217&gt;</v>
      </c>
      <c r="J751" s="262"/>
      <c r="K751" s="262"/>
      <c r="L751" s="262"/>
      <c r="M751" s="263"/>
      <c r="N751" s="265"/>
      <c r="O751" s="265">
        <v>217</v>
      </c>
    </row>
    <row r="752" spans="1:15" x14ac:dyDescent="0.45">
      <c r="A752" s="253" t="str">
        <f t="shared" si="67"/>
        <v>&lt;ct228&gt;0&lt;/ct228&gt;</v>
      </c>
      <c r="B752" s="450" t="s">
        <v>1619</v>
      </c>
      <c r="C752" s="244">
        <f t="shared" si="68"/>
        <v>2</v>
      </c>
      <c r="D752" s="244">
        <f t="shared" si="69"/>
        <v>7</v>
      </c>
      <c r="E752" s="244">
        <f t="shared" si="70"/>
        <v>9</v>
      </c>
      <c r="G752" s="259" t="str">
        <f t="shared" si="71"/>
        <v>&lt;ct228&gt;</v>
      </c>
      <c r="H752" s="260">
        <f>VLOOKUP(O752,BCDTK!$E$9:$L$132,6,0)</f>
        <v>0</v>
      </c>
      <c r="I752" s="261" t="str">
        <f t="shared" si="72"/>
        <v>&lt;/ct228&gt;</v>
      </c>
      <c r="J752" s="262"/>
      <c r="K752" s="262"/>
      <c r="L752" s="262"/>
      <c r="M752" s="263"/>
      <c r="N752" s="265"/>
      <c r="O752" s="265">
        <v>228</v>
      </c>
    </row>
    <row r="753" spans="1:15" x14ac:dyDescent="0.45">
      <c r="A753" s="253" t="str">
        <f t="shared" si="67"/>
        <v>&lt;ct2281&gt;0&lt;/ct2281&gt;</v>
      </c>
      <c r="B753" s="450" t="s">
        <v>1620</v>
      </c>
      <c r="C753" s="244">
        <f t="shared" si="68"/>
        <v>2</v>
      </c>
      <c r="D753" s="244">
        <f t="shared" si="69"/>
        <v>8</v>
      </c>
      <c r="E753" s="244">
        <f t="shared" si="70"/>
        <v>10</v>
      </c>
      <c r="G753" s="259" t="str">
        <f t="shared" si="71"/>
        <v>&lt;ct2281&gt;</v>
      </c>
      <c r="H753" s="260">
        <f>VLOOKUP(O753,BCDTK!$E$9:$L$132,6,0)</f>
        <v>0</v>
      </c>
      <c r="I753" s="261" t="str">
        <f t="shared" si="72"/>
        <v>&lt;/ct2281&gt;</v>
      </c>
      <c r="J753" s="262"/>
      <c r="K753" s="262"/>
      <c r="L753" s="262"/>
      <c r="M753" s="263"/>
      <c r="N753" s="265"/>
      <c r="O753" s="265">
        <v>2281</v>
      </c>
    </row>
    <row r="754" spans="1:15" x14ac:dyDescent="0.45">
      <c r="A754" s="253" t="str">
        <f t="shared" si="67"/>
        <v>&lt;ct2288&gt;0&lt;/ct2288&gt;</v>
      </c>
      <c r="B754" s="450" t="s">
        <v>1621</v>
      </c>
      <c r="C754" s="244">
        <f t="shared" si="68"/>
        <v>2</v>
      </c>
      <c r="D754" s="244">
        <f t="shared" si="69"/>
        <v>8</v>
      </c>
      <c r="E754" s="244">
        <f t="shared" si="70"/>
        <v>10</v>
      </c>
      <c r="G754" s="259" t="str">
        <f t="shared" si="71"/>
        <v>&lt;ct2288&gt;</v>
      </c>
      <c r="H754" s="260">
        <f>VLOOKUP(O754,BCDTK!$E$9:$L$132,6,0)</f>
        <v>0</v>
      </c>
      <c r="I754" s="261" t="str">
        <f t="shared" si="72"/>
        <v>&lt;/ct2288&gt;</v>
      </c>
      <c r="J754" s="262"/>
      <c r="K754" s="262"/>
      <c r="L754" s="262"/>
      <c r="M754" s="263"/>
      <c r="N754" s="265"/>
      <c r="O754" s="265">
        <v>2288</v>
      </c>
    </row>
    <row r="755" spans="1:15" x14ac:dyDescent="0.45">
      <c r="A755" s="253" t="str">
        <f t="shared" si="67"/>
        <v>&lt;ct229&gt;0&lt;/ct229&gt;</v>
      </c>
      <c r="B755" s="450" t="s">
        <v>1622</v>
      </c>
      <c r="C755" s="244">
        <f t="shared" si="68"/>
        <v>2</v>
      </c>
      <c r="D755" s="244">
        <f t="shared" si="69"/>
        <v>7</v>
      </c>
      <c r="E755" s="244">
        <f t="shared" si="70"/>
        <v>9</v>
      </c>
      <c r="G755" s="259" t="str">
        <f t="shared" si="71"/>
        <v>&lt;ct229&gt;</v>
      </c>
      <c r="H755" s="260">
        <f>VLOOKUP(O755,BCDTK!$E$9:$L$132,6,0)</f>
        <v>0</v>
      </c>
      <c r="I755" s="261" t="str">
        <f t="shared" si="72"/>
        <v>&lt;/ct229&gt;</v>
      </c>
      <c r="J755" s="262"/>
      <c r="K755" s="262"/>
      <c r="L755" s="262"/>
      <c r="M755" s="263"/>
      <c r="N755" s="265"/>
      <c r="O755" s="265">
        <v>229</v>
      </c>
    </row>
    <row r="756" spans="1:15" x14ac:dyDescent="0.45">
      <c r="A756" s="253" t="str">
        <f t="shared" si="67"/>
        <v>&lt;ct2291&gt;0&lt;/ct2291&gt;</v>
      </c>
      <c r="B756" s="450" t="s">
        <v>1623</v>
      </c>
      <c r="C756" s="244">
        <f t="shared" si="68"/>
        <v>2</v>
      </c>
      <c r="D756" s="244">
        <f t="shared" si="69"/>
        <v>8</v>
      </c>
      <c r="E756" s="244">
        <f t="shared" si="70"/>
        <v>10</v>
      </c>
      <c r="G756" s="259" t="str">
        <f t="shared" si="71"/>
        <v>&lt;ct2291&gt;</v>
      </c>
      <c r="H756" s="260">
        <f>VLOOKUP(O756,BCDTK!$E$9:$L$132,6,0)</f>
        <v>0</v>
      </c>
      <c r="I756" s="261" t="str">
        <f t="shared" si="72"/>
        <v>&lt;/ct2291&gt;</v>
      </c>
      <c r="J756" s="262"/>
      <c r="K756" s="262"/>
      <c r="L756" s="262"/>
      <c r="M756" s="263"/>
      <c r="N756" s="265"/>
      <c r="O756" s="265">
        <v>2291</v>
      </c>
    </row>
    <row r="757" spans="1:15" x14ac:dyDescent="0.45">
      <c r="A757" s="253" t="str">
        <f t="shared" si="67"/>
        <v>&lt;ct2292&gt;0&lt;/ct2292&gt;</v>
      </c>
      <c r="B757" s="450" t="s">
        <v>1624</v>
      </c>
      <c r="C757" s="244">
        <f t="shared" si="68"/>
        <v>2</v>
      </c>
      <c r="D757" s="244">
        <f t="shared" si="69"/>
        <v>8</v>
      </c>
      <c r="E757" s="244">
        <f t="shared" si="70"/>
        <v>10</v>
      </c>
      <c r="G757" s="259" t="str">
        <f t="shared" si="71"/>
        <v>&lt;ct2292&gt;</v>
      </c>
      <c r="H757" s="260">
        <f>VLOOKUP(O757,BCDTK!$E$9:$L$132,6,0)</f>
        <v>0</v>
      </c>
      <c r="I757" s="261" t="str">
        <f t="shared" si="72"/>
        <v>&lt;/ct2292&gt;</v>
      </c>
      <c r="J757" s="262"/>
      <c r="K757" s="262"/>
      <c r="L757" s="262"/>
      <c r="M757" s="263"/>
      <c r="N757" s="265"/>
      <c r="O757" s="265">
        <v>2292</v>
      </c>
    </row>
    <row r="758" spans="1:15" x14ac:dyDescent="0.45">
      <c r="A758" s="253" t="str">
        <f t="shared" si="67"/>
        <v>&lt;ct2293&gt;0&lt;/ct2293&gt;</v>
      </c>
      <c r="B758" s="450" t="s">
        <v>1625</v>
      </c>
      <c r="C758" s="244">
        <f t="shared" si="68"/>
        <v>2</v>
      </c>
      <c r="D758" s="244">
        <f t="shared" si="69"/>
        <v>8</v>
      </c>
      <c r="E758" s="244">
        <f t="shared" si="70"/>
        <v>10</v>
      </c>
      <c r="G758" s="259" t="str">
        <f t="shared" si="71"/>
        <v>&lt;ct2293&gt;</v>
      </c>
      <c r="H758" s="260">
        <f>VLOOKUP(O758,BCDTK!$E$9:$L$132,6,0)</f>
        <v>0</v>
      </c>
      <c r="I758" s="261" t="str">
        <f t="shared" si="72"/>
        <v>&lt;/ct2293&gt;</v>
      </c>
      <c r="J758" s="262"/>
      <c r="K758" s="262"/>
      <c r="L758" s="262"/>
      <c r="M758" s="263"/>
      <c r="N758" s="265"/>
      <c r="O758" s="265">
        <v>2293</v>
      </c>
    </row>
    <row r="759" spans="1:15" x14ac:dyDescent="0.45">
      <c r="A759" s="253" t="str">
        <f t="shared" si="67"/>
        <v>&lt;ct2294&gt;0&lt;/ct2294&gt;</v>
      </c>
      <c r="B759" s="450" t="s">
        <v>1626</v>
      </c>
      <c r="C759" s="244">
        <f t="shared" si="68"/>
        <v>2</v>
      </c>
      <c r="D759" s="244">
        <f t="shared" si="69"/>
        <v>8</v>
      </c>
      <c r="E759" s="244">
        <f t="shared" si="70"/>
        <v>10</v>
      </c>
      <c r="G759" s="259" t="str">
        <f t="shared" si="71"/>
        <v>&lt;ct2294&gt;</v>
      </c>
      <c r="H759" s="260">
        <f>VLOOKUP(O759,BCDTK!$E$9:$L$132,6,0)</f>
        <v>0</v>
      </c>
      <c r="I759" s="261" t="str">
        <f t="shared" si="72"/>
        <v>&lt;/ct2294&gt;</v>
      </c>
      <c r="J759" s="262"/>
      <c r="K759" s="262"/>
      <c r="L759" s="262"/>
      <c r="M759" s="263"/>
      <c r="N759" s="265"/>
      <c r="O759" s="265">
        <v>2294</v>
      </c>
    </row>
    <row r="760" spans="1:15" x14ac:dyDescent="0.45">
      <c r="A760" s="253" t="str">
        <f t="shared" si="67"/>
        <v>&lt;ct241&gt;0&lt;/ct241&gt;</v>
      </c>
      <c r="B760" s="450" t="s">
        <v>1627</v>
      </c>
      <c r="C760" s="244">
        <f t="shared" si="68"/>
        <v>2</v>
      </c>
      <c r="D760" s="244">
        <f t="shared" si="69"/>
        <v>7</v>
      </c>
      <c r="E760" s="244">
        <f t="shared" si="70"/>
        <v>9</v>
      </c>
      <c r="G760" s="259" t="str">
        <f t="shared" si="71"/>
        <v>&lt;ct241&gt;</v>
      </c>
      <c r="H760" s="260">
        <f>VLOOKUP(O760,BCDTK!$E$9:$L$132,6,0)</f>
        <v>0</v>
      </c>
      <c r="I760" s="261" t="str">
        <f t="shared" si="72"/>
        <v>&lt;/ct241&gt;</v>
      </c>
      <c r="J760" s="262"/>
      <c r="K760" s="262"/>
      <c r="L760" s="262"/>
      <c r="M760" s="263"/>
      <c r="N760" s="265"/>
      <c r="O760" s="265">
        <v>241</v>
      </c>
    </row>
    <row r="761" spans="1:15" x14ac:dyDescent="0.45">
      <c r="A761" s="253" t="str">
        <f t="shared" si="67"/>
        <v>&lt;ct2411&gt;0&lt;/ct2411&gt;</v>
      </c>
      <c r="B761" s="450" t="s">
        <v>1628</v>
      </c>
      <c r="C761" s="244">
        <f t="shared" si="68"/>
        <v>2</v>
      </c>
      <c r="D761" s="244">
        <f t="shared" si="69"/>
        <v>8</v>
      </c>
      <c r="E761" s="244">
        <f t="shared" si="70"/>
        <v>10</v>
      </c>
      <c r="G761" s="259" t="str">
        <f t="shared" si="71"/>
        <v>&lt;ct2411&gt;</v>
      </c>
      <c r="H761" s="260">
        <f>VLOOKUP(O761,BCDTK!$E$9:$L$132,6,0)</f>
        <v>0</v>
      </c>
      <c r="I761" s="261" t="str">
        <f t="shared" si="72"/>
        <v>&lt;/ct2411&gt;</v>
      </c>
      <c r="J761" s="262"/>
      <c r="K761" s="262"/>
      <c r="L761" s="262"/>
      <c r="M761" s="263"/>
      <c r="N761" s="265"/>
      <c r="O761" s="265">
        <v>2411</v>
      </c>
    </row>
    <row r="762" spans="1:15" x14ac:dyDescent="0.45">
      <c r="A762" s="253" t="str">
        <f t="shared" si="67"/>
        <v>&lt;ct2412&gt;0&lt;/ct2412&gt;</v>
      </c>
      <c r="B762" s="450" t="s">
        <v>1629</v>
      </c>
      <c r="C762" s="244">
        <f t="shared" si="68"/>
        <v>2</v>
      </c>
      <c r="D762" s="244">
        <f t="shared" si="69"/>
        <v>8</v>
      </c>
      <c r="E762" s="244">
        <f t="shared" si="70"/>
        <v>10</v>
      </c>
      <c r="G762" s="259" t="str">
        <f t="shared" si="71"/>
        <v>&lt;ct2412&gt;</v>
      </c>
      <c r="H762" s="260">
        <f>VLOOKUP(O762,BCDTK!$E$9:$L$132,6,0)</f>
        <v>0</v>
      </c>
      <c r="I762" s="261" t="str">
        <f t="shared" si="72"/>
        <v>&lt;/ct2412&gt;</v>
      </c>
      <c r="J762" s="262"/>
      <c r="K762" s="262"/>
      <c r="L762" s="262"/>
      <c r="M762" s="263"/>
      <c r="N762" s="265"/>
      <c r="O762" s="265">
        <v>2412</v>
      </c>
    </row>
    <row r="763" spans="1:15" x14ac:dyDescent="0.45">
      <c r="A763" s="253" t="str">
        <f t="shared" si="67"/>
        <v>&lt;ct2413&gt;0&lt;/ct2413&gt;</v>
      </c>
      <c r="B763" s="450" t="s">
        <v>1630</v>
      </c>
      <c r="C763" s="244">
        <f t="shared" si="68"/>
        <v>2</v>
      </c>
      <c r="D763" s="244">
        <f t="shared" si="69"/>
        <v>8</v>
      </c>
      <c r="E763" s="244">
        <f t="shared" si="70"/>
        <v>10</v>
      </c>
      <c r="G763" s="259" t="str">
        <f t="shared" si="71"/>
        <v>&lt;ct2413&gt;</v>
      </c>
      <c r="H763" s="260">
        <f>VLOOKUP(O763,BCDTK!$E$9:$L$132,6,0)</f>
        <v>0</v>
      </c>
      <c r="I763" s="261" t="str">
        <f t="shared" si="72"/>
        <v>&lt;/ct2413&gt;</v>
      </c>
      <c r="J763" s="262"/>
      <c r="K763" s="262"/>
      <c r="L763" s="262"/>
      <c r="M763" s="263"/>
      <c r="N763" s="265"/>
      <c r="O763" s="265">
        <v>2413</v>
      </c>
    </row>
    <row r="764" spans="1:15" x14ac:dyDescent="0.45">
      <c r="A764" s="253" t="str">
        <f t="shared" si="67"/>
        <v>&lt;ct242&gt;12349949&lt;/ct242&gt;</v>
      </c>
      <c r="B764" s="450" t="s">
        <v>1631</v>
      </c>
      <c r="C764" s="244">
        <f t="shared" si="68"/>
        <v>2</v>
      </c>
      <c r="D764" s="244">
        <f t="shared" si="69"/>
        <v>7</v>
      </c>
      <c r="E764" s="244">
        <f t="shared" si="70"/>
        <v>9</v>
      </c>
      <c r="G764" s="259" t="str">
        <f t="shared" si="71"/>
        <v>&lt;ct242&gt;</v>
      </c>
      <c r="H764" s="260">
        <f>VLOOKUP(O764,BCDTK!$E$9:$L$132,6,0)</f>
        <v>12349949</v>
      </c>
      <c r="I764" s="261" t="str">
        <f t="shared" si="72"/>
        <v>&lt;/ct242&gt;</v>
      </c>
      <c r="J764" s="262"/>
      <c r="K764" s="262"/>
      <c r="L764" s="262"/>
      <c r="M764" s="263"/>
      <c r="N764" s="265"/>
      <c r="O764" s="265">
        <v>242</v>
      </c>
    </row>
    <row r="765" spans="1:15" x14ac:dyDescent="0.45">
      <c r="A765" s="253" t="str">
        <f t="shared" si="67"/>
        <v>&lt;ct331&gt;425768000&lt;/ct331&gt;</v>
      </c>
      <c r="B765" s="450" t="s">
        <v>1632</v>
      </c>
      <c r="C765" s="244">
        <f t="shared" si="68"/>
        <v>2</v>
      </c>
      <c r="D765" s="244">
        <f t="shared" si="69"/>
        <v>7</v>
      </c>
      <c r="E765" s="244">
        <f t="shared" si="70"/>
        <v>9</v>
      </c>
      <c r="G765" s="259" t="str">
        <f t="shared" si="71"/>
        <v>&lt;ct331&gt;</v>
      </c>
      <c r="H765" s="260">
        <f>VLOOKUP(O765,BCDTK!$E$9:$L$132,6,0)</f>
        <v>425768000</v>
      </c>
      <c r="I765" s="261" t="str">
        <f t="shared" si="72"/>
        <v>&lt;/ct331&gt;</v>
      </c>
      <c r="J765" s="262"/>
      <c r="K765" s="262"/>
      <c r="L765" s="262"/>
      <c r="M765" s="263"/>
      <c r="N765" s="265"/>
      <c r="O765" s="265">
        <v>331</v>
      </c>
    </row>
    <row r="766" spans="1:15" x14ac:dyDescent="0.45">
      <c r="A766" s="253" t="str">
        <f t="shared" si="67"/>
        <v>&lt;ct333&gt;24041666&lt;/ct333&gt;</v>
      </c>
      <c r="B766" s="450" t="s">
        <v>1633</v>
      </c>
      <c r="C766" s="244">
        <f t="shared" si="68"/>
        <v>2</v>
      </c>
      <c r="D766" s="244">
        <f t="shared" si="69"/>
        <v>7</v>
      </c>
      <c r="E766" s="244">
        <f t="shared" si="70"/>
        <v>9</v>
      </c>
      <c r="G766" s="259" t="str">
        <f t="shared" si="71"/>
        <v>&lt;ct333&gt;</v>
      </c>
      <c r="H766" s="260">
        <f>VLOOKUP(O766,BCDTK!$E$9:$L$132,6,0)</f>
        <v>24041666</v>
      </c>
      <c r="I766" s="261" t="str">
        <f t="shared" si="72"/>
        <v>&lt;/ct333&gt;</v>
      </c>
      <c r="J766" s="262"/>
      <c r="K766" s="262"/>
      <c r="L766" s="262"/>
      <c r="M766" s="263"/>
      <c r="N766" s="265"/>
      <c r="O766" s="265">
        <v>333</v>
      </c>
    </row>
    <row r="767" spans="1:15" x14ac:dyDescent="0.45">
      <c r="A767" s="253" t="str">
        <f t="shared" si="67"/>
        <v>&lt;ct3331&gt;20006121&lt;/ct3331&gt;</v>
      </c>
      <c r="B767" s="450" t="s">
        <v>1634</v>
      </c>
      <c r="C767" s="244">
        <f t="shared" si="68"/>
        <v>2</v>
      </c>
      <c r="D767" s="244">
        <f t="shared" si="69"/>
        <v>8</v>
      </c>
      <c r="E767" s="244">
        <f t="shared" si="70"/>
        <v>10</v>
      </c>
      <c r="G767" s="259" t="str">
        <f t="shared" si="71"/>
        <v>&lt;ct3331&gt;</v>
      </c>
      <c r="H767" s="260">
        <f>VLOOKUP(O767,BCDTK!$E$9:$L$132,6,0)</f>
        <v>20006121</v>
      </c>
      <c r="I767" s="261" t="str">
        <f t="shared" si="72"/>
        <v>&lt;/ct3331&gt;</v>
      </c>
      <c r="J767" s="262"/>
      <c r="K767" s="262"/>
      <c r="L767" s="262"/>
      <c r="M767" s="263"/>
      <c r="N767" s="265"/>
      <c r="O767" s="265">
        <v>3331</v>
      </c>
    </row>
    <row r="768" spans="1:15" x14ac:dyDescent="0.45">
      <c r="A768" s="253" t="str">
        <f t="shared" si="67"/>
        <v>&lt;ct33311&gt;20006121&lt;/ct33311&gt;</v>
      </c>
      <c r="B768" s="450" t="s">
        <v>1635</v>
      </c>
      <c r="C768" s="244">
        <f t="shared" si="68"/>
        <v>2</v>
      </c>
      <c r="D768" s="244">
        <f t="shared" si="69"/>
        <v>9</v>
      </c>
      <c r="E768" s="244">
        <f t="shared" si="70"/>
        <v>11</v>
      </c>
      <c r="G768" s="259" t="str">
        <f t="shared" si="71"/>
        <v>&lt;ct33311&gt;</v>
      </c>
      <c r="H768" s="260">
        <f>VLOOKUP(O768,BCDTK!$E$9:$L$132,6,0)</f>
        <v>20006121</v>
      </c>
      <c r="I768" s="261" t="str">
        <f t="shared" si="72"/>
        <v>&lt;/ct33311&gt;</v>
      </c>
      <c r="J768" s="262"/>
      <c r="K768" s="262"/>
      <c r="L768" s="262"/>
      <c r="M768" s="263"/>
      <c r="N768" s="265"/>
      <c r="O768" s="265">
        <v>33311</v>
      </c>
    </row>
    <row r="769" spans="1:15" x14ac:dyDescent="0.45">
      <c r="A769" s="253" t="str">
        <f t="shared" si="67"/>
        <v>&lt;ct33312&gt;0&lt;/ct33312&gt;</v>
      </c>
      <c r="B769" s="450" t="s">
        <v>1636</v>
      </c>
      <c r="C769" s="244">
        <f t="shared" si="68"/>
        <v>2</v>
      </c>
      <c r="D769" s="244">
        <f t="shared" si="69"/>
        <v>9</v>
      </c>
      <c r="E769" s="244">
        <f t="shared" si="70"/>
        <v>11</v>
      </c>
      <c r="G769" s="259" t="str">
        <f t="shared" si="71"/>
        <v>&lt;ct33312&gt;</v>
      </c>
      <c r="H769" s="260">
        <f>VLOOKUP(O769,BCDTK!$E$9:$L$132,6,0)</f>
        <v>0</v>
      </c>
      <c r="I769" s="261" t="str">
        <f t="shared" si="72"/>
        <v>&lt;/ct33312&gt;</v>
      </c>
      <c r="J769" s="262"/>
      <c r="K769" s="262"/>
      <c r="L769" s="262"/>
      <c r="M769" s="263"/>
      <c r="N769" s="265"/>
      <c r="O769" s="265">
        <v>33312</v>
      </c>
    </row>
    <row r="770" spans="1:15" x14ac:dyDescent="0.45">
      <c r="A770" s="253" t="str">
        <f t="shared" si="67"/>
        <v>&lt;ct3332&gt;0&lt;/ct3332&gt;</v>
      </c>
      <c r="B770" s="450" t="s">
        <v>1637</v>
      </c>
      <c r="C770" s="244">
        <f t="shared" si="68"/>
        <v>2</v>
      </c>
      <c r="D770" s="244">
        <f t="shared" si="69"/>
        <v>8</v>
      </c>
      <c r="E770" s="244">
        <f t="shared" si="70"/>
        <v>10</v>
      </c>
      <c r="G770" s="259" t="str">
        <f t="shared" si="71"/>
        <v>&lt;ct3332&gt;</v>
      </c>
      <c r="H770" s="260">
        <f>VLOOKUP(O770,BCDTK!$E$9:$L$132,6,0)</f>
        <v>0</v>
      </c>
      <c r="I770" s="261" t="str">
        <f t="shared" si="72"/>
        <v>&lt;/ct3332&gt;</v>
      </c>
      <c r="J770" s="262"/>
      <c r="K770" s="262"/>
      <c r="L770" s="262"/>
      <c r="M770" s="263"/>
      <c r="N770" s="265"/>
      <c r="O770" s="265">
        <v>3332</v>
      </c>
    </row>
    <row r="771" spans="1:15" x14ac:dyDescent="0.45">
      <c r="A771" s="253" t="str">
        <f t="shared" si="67"/>
        <v>&lt;ct3333&gt;0&lt;/ct3333&gt;</v>
      </c>
      <c r="B771" s="450" t="s">
        <v>1638</v>
      </c>
      <c r="C771" s="244">
        <f t="shared" si="68"/>
        <v>2</v>
      </c>
      <c r="D771" s="244">
        <f t="shared" si="69"/>
        <v>8</v>
      </c>
      <c r="E771" s="244">
        <f t="shared" si="70"/>
        <v>10</v>
      </c>
      <c r="G771" s="259" t="str">
        <f t="shared" si="71"/>
        <v>&lt;ct3333&gt;</v>
      </c>
      <c r="H771" s="260">
        <f>VLOOKUP(O771,BCDTK!$E$9:$L$132,6,0)</f>
        <v>0</v>
      </c>
      <c r="I771" s="261" t="str">
        <f t="shared" si="72"/>
        <v>&lt;/ct3333&gt;</v>
      </c>
      <c r="J771" s="262"/>
      <c r="K771" s="262"/>
      <c r="L771" s="262"/>
      <c r="M771" s="263"/>
      <c r="N771" s="265"/>
      <c r="O771" s="265">
        <v>3333</v>
      </c>
    </row>
    <row r="772" spans="1:15" x14ac:dyDescent="0.45">
      <c r="A772" s="253" t="str">
        <f t="shared" ref="A772:A835" si="73">CONCATENATE(G772,H772,I772)</f>
        <v>&lt;ct3334&gt;2035545&lt;/ct3334&gt;</v>
      </c>
      <c r="B772" s="450" t="s">
        <v>1639</v>
      </c>
      <c r="C772" s="244">
        <f t="shared" si="68"/>
        <v>2</v>
      </c>
      <c r="D772" s="244">
        <f t="shared" si="69"/>
        <v>8</v>
      </c>
      <c r="E772" s="244">
        <f t="shared" si="70"/>
        <v>10</v>
      </c>
      <c r="G772" s="259" t="str">
        <f t="shared" si="71"/>
        <v>&lt;ct3334&gt;</v>
      </c>
      <c r="H772" s="260">
        <f>VLOOKUP(O772,BCDTK!$E$9:$L$132,6,0)</f>
        <v>2035545</v>
      </c>
      <c r="I772" s="261" t="str">
        <f t="shared" si="72"/>
        <v>&lt;/ct3334&gt;</v>
      </c>
      <c r="J772" s="262"/>
      <c r="K772" s="262"/>
      <c r="L772" s="262"/>
      <c r="M772" s="263"/>
      <c r="N772" s="265"/>
      <c r="O772" s="265">
        <v>3334</v>
      </c>
    </row>
    <row r="773" spans="1:15" x14ac:dyDescent="0.45">
      <c r="A773" s="253" t="str">
        <f t="shared" si="73"/>
        <v>&lt;ct3335&gt;0&lt;/ct3335&gt;</v>
      </c>
      <c r="B773" s="450" t="s">
        <v>1640</v>
      </c>
      <c r="C773" s="244">
        <f t="shared" si="68"/>
        <v>2</v>
      </c>
      <c r="D773" s="244">
        <f t="shared" si="69"/>
        <v>8</v>
      </c>
      <c r="E773" s="244">
        <f t="shared" si="70"/>
        <v>10</v>
      </c>
      <c r="G773" s="259" t="str">
        <f t="shared" si="71"/>
        <v>&lt;ct3335&gt;</v>
      </c>
      <c r="H773" s="260">
        <f>VLOOKUP(O773,BCDTK!$E$9:$L$132,6,0)</f>
        <v>0</v>
      </c>
      <c r="I773" s="261" t="str">
        <f t="shared" si="72"/>
        <v>&lt;/ct3335&gt;</v>
      </c>
      <c r="J773" s="262"/>
      <c r="K773" s="262"/>
      <c r="L773" s="262"/>
      <c r="M773" s="263"/>
      <c r="N773" s="265"/>
      <c r="O773" s="265">
        <v>3335</v>
      </c>
    </row>
    <row r="774" spans="1:15" x14ac:dyDescent="0.45">
      <c r="A774" s="253" t="str">
        <f t="shared" si="73"/>
        <v>&lt;ct3336&gt;0&lt;/ct3336&gt;</v>
      </c>
      <c r="B774" s="450" t="s">
        <v>1641</v>
      </c>
      <c r="C774" s="244">
        <f t="shared" si="68"/>
        <v>2</v>
      </c>
      <c r="D774" s="244">
        <f t="shared" si="69"/>
        <v>8</v>
      </c>
      <c r="E774" s="244">
        <f t="shared" si="70"/>
        <v>10</v>
      </c>
      <c r="G774" s="259" t="str">
        <f t="shared" si="71"/>
        <v>&lt;ct3336&gt;</v>
      </c>
      <c r="H774" s="260">
        <f>VLOOKUP(O774,BCDTK!$E$9:$L$132,6,0)</f>
        <v>0</v>
      </c>
      <c r="I774" s="261" t="str">
        <f t="shared" si="72"/>
        <v>&lt;/ct3336&gt;</v>
      </c>
      <c r="J774" s="262"/>
      <c r="K774" s="262"/>
      <c r="L774" s="262"/>
      <c r="M774" s="263"/>
      <c r="N774" s="265"/>
      <c r="O774" s="265">
        <v>3336</v>
      </c>
    </row>
    <row r="775" spans="1:15" x14ac:dyDescent="0.45">
      <c r="A775" s="253" t="str">
        <f t="shared" si="73"/>
        <v>&lt;ct3337&gt;0&lt;/ct3337&gt;</v>
      </c>
      <c r="B775" s="450" t="s">
        <v>1642</v>
      </c>
      <c r="C775" s="244">
        <f t="shared" si="68"/>
        <v>2</v>
      </c>
      <c r="D775" s="244">
        <f t="shared" si="69"/>
        <v>8</v>
      </c>
      <c r="E775" s="244">
        <f t="shared" si="70"/>
        <v>10</v>
      </c>
      <c r="G775" s="259" t="str">
        <f t="shared" si="71"/>
        <v>&lt;ct3337&gt;</v>
      </c>
      <c r="H775" s="260">
        <f>VLOOKUP(O775,BCDTK!$E$9:$L$132,6,0)</f>
        <v>0</v>
      </c>
      <c r="I775" s="261" t="str">
        <f t="shared" si="72"/>
        <v>&lt;/ct3337&gt;</v>
      </c>
      <c r="J775" s="262"/>
      <c r="K775" s="262"/>
      <c r="L775" s="262"/>
      <c r="M775" s="263"/>
      <c r="N775" s="265"/>
      <c r="O775" s="265">
        <v>3337</v>
      </c>
    </row>
    <row r="776" spans="1:15" x14ac:dyDescent="0.45">
      <c r="A776" s="253" t="str">
        <f t="shared" si="73"/>
        <v>&lt;ct3338&gt;0&lt;/ct3338&gt;</v>
      </c>
      <c r="B776" s="450" t="s">
        <v>1643</v>
      </c>
      <c r="C776" s="244">
        <f t="shared" si="68"/>
        <v>2</v>
      </c>
      <c r="D776" s="244">
        <f t="shared" si="69"/>
        <v>8</v>
      </c>
      <c r="E776" s="244">
        <f t="shared" si="70"/>
        <v>10</v>
      </c>
      <c r="G776" s="259" t="str">
        <f t="shared" si="71"/>
        <v>&lt;ct3338&gt;</v>
      </c>
      <c r="H776" s="260">
        <f>VLOOKUP(O776,BCDTK!$E$9:$L$132,6,0)</f>
        <v>0</v>
      </c>
      <c r="I776" s="261" t="str">
        <f t="shared" si="72"/>
        <v>&lt;/ct3338&gt;</v>
      </c>
      <c r="J776" s="262"/>
      <c r="K776" s="262"/>
      <c r="L776" s="262"/>
      <c r="M776" s="263"/>
      <c r="N776" s="265"/>
      <c r="O776" s="265">
        <v>3338</v>
      </c>
    </row>
    <row r="777" spans="1:15" x14ac:dyDescent="0.45">
      <c r="A777" s="253" t="str">
        <f t="shared" si="73"/>
        <v>&lt;ct33381&gt;0&lt;/ct33381&gt;</v>
      </c>
      <c r="B777" s="450" t="s">
        <v>1644</v>
      </c>
      <c r="C777" s="244">
        <f t="shared" ref="C777:C840" si="74">LEN(B777)-LEN(SUBSTITUTE(B777,"&lt;",""))</f>
        <v>2</v>
      </c>
      <c r="D777" s="244">
        <f t="shared" ref="D777:D840" si="75">SEARCH("&gt;",B777)</f>
        <v>9</v>
      </c>
      <c r="E777" s="244">
        <f t="shared" ref="E777:E840" si="76">IFERROR(SEARCH("&lt;/",B777),"")</f>
        <v>11</v>
      </c>
      <c r="G777" s="259" t="str">
        <f t="shared" ref="G777:G840" si="77">LEFT(B777,D777)</f>
        <v>&lt;ct33381&gt;</v>
      </c>
      <c r="H777" s="260">
        <f>VLOOKUP(O777,BCDTK!$E$9:$L$132,6,0)</f>
        <v>0</v>
      </c>
      <c r="I777" s="261" t="str">
        <f t="shared" ref="I777:I840" si="78">IF(C777=2,RIGHT(B777,LEN(B777)-E777+1),"")</f>
        <v>&lt;/ct33381&gt;</v>
      </c>
      <c r="J777" s="262"/>
      <c r="K777" s="262"/>
      <c r="L777" s="262"/>
      <c r="M777" s="263"/>
      <c r="N777" s="265"/>
      <c r="O777" s="265">
        <v>33381</v>
      </c>
    </row>
    <row r="778" spans="1:15" x14ac:dyDescent="0.45">
      <c r="A778" s="253" t="str">
        <f t="shared" si="73"/>
        <v>&lt;ct33382&gt;0&lt;/ct33382&gt;</v>
      </c>
      <c r="B778" s="450" t="s">
        <v>1645</v>
      </c>
      <c r="C778" s="244">
        <f t="shared" si="74"/>
        <v>2</v>
      </c>
      <c r="D778" s="244">
        <f t="shared" si="75"/>
        <v>9</v>
      </c>
      <c r="E778" s="244">
        <f t="shared" si="76"/>
        <v>11</v>
      </c>
      <c r="G778" s="259" t="str">
        <f t="shared" si="77"/>
        <v>&lt;ct33382&gt;</v>
      </c>
      <c r="H778" s="260">
        <f>VLOOKUP(O778,BCDTK!$E$9:$L$132,6,0)</f>
        <v>0</v>
      </c>
      <c r="I778" s="261" t="str">
        <f t="shared" si="78"/>
        <v>&lt;/ct33382&gt;</v>
      </c>
      <c r="J778" s="262"/>
      <c r="K778" s="262"/>
      <c r="L778" s="262"/>
      <c r="M778" s="263"/>
      <c r="N778" s="265"/>
      <c r="O778" s="265">
        <v>33382</v>
      </c>
    </row>
    <row r="779" spans="1:15" x14ac:dyDescent="0.45">
      <c r="A779" s="253" t="str">
        <f t="shared" si="73"/>
        <v>&lt;ct3339&gt;2000000&lt;/ct3339&gt;</v>
      </c>
      <c r="B779" s="450" t="s">
        <v>1646</v>
      </c>
      <c r="C779" s="244">
        <f t="shared" si="74"/>
        <v>2</v>
      </c>
      <c r="D779" s="244">
        <f t="shared" si="75"/>
        <v>8</v>
      </c>
      <c r="E779" s="244">
        <f t="shared" si="76"/>
        <v>10</v>
      </c>
      <c r="G779" s="259" t="str">
        <f t="shared" si="77"/>
        <v>&lt;ct3339&gt;</v>
      </c>
      <c r="H779" s="260">
        <f>VLOOKUP(O779,BCDTK!$E$9:$L$132,6,0)</f>
        <v>2000000</v>
      </c>
      <c r="I779" s="261" t="str">
        <f t="shared" si="78"/>
        <v>&lt;/ct3339&gt;</v>
      </c>
      <c r="J779" s="262"/>
      <c r="K779" s="262"/>
      <c r="L779" s="262"/>
      <c r="M779" s="263"/>
      <c r="N779" s="265"/>
      <c r="O779" s="265">
        <v>3339</v>
      </c>
    </row>
    <row r="780" spans="1:15" x14ac:dyDescent="0.45">
      <c r="A780" s="253" t="str">
        <f t="shared" si="73"/>
        <v>&lt;ct334&gt;172720000&lt;/ct334&gt;</v>
      </c>
      <c r="B780" s="450" t="s">
        <v>1647</v>
      </c>
      <c r="C780" s="244">
        <f t="shared" si="74"/>
        <v>2</v>
      </c>
      <c r="D780" s="244">
        <f t="shared" si="75"/>
        <v>7</v>
      </c>
      <c r="E780" s="244">
        <f t="shared" si="76"/>
        <v>9</v>
      </c>
      <c r="G780" s="259" t="str">
        <f t="shared" si="77"/>
        <v>&lt;ct334&gt;</v>
      </c>
      <c r="H780" s="260">
        <f>VLOOKUP(O780,BCDTK!$E$9:$L$132,6,0)</f>
        <v>172720000</v>
      </c>
      <c r="I780" s="261" t="str">
        <f t="shared" si="78"/>
        <v>&lt;/ct334&gt;</v>
      </c>
      <c r="J780" s="262"/>
      <c r="K780" s="262"/>
      <c r="L780" s="262"/>
      <c r="M780" s="263"/>
      <c r="N780" s="265"/>
      <c r="O780" s="265">
        <v>334</v>
      </c>
    </row>
    <row r="781" spans="1:15" x14ac:dyDescent="0.45">
      <c r="A781" s="253" t="str">
        <f t="shared" si="73"/>
        <v>&lt;ct335&gt;0&lt;/ct335&gt;</v>
      </c>
      <c r="B781" s="450" t="s">
        <v>1648</v>
      </c>
      <c r="C781" s="244">
        <f t="shared" si="74"/>
        <v>2</v>
      </c>
      <c r="D781" s="244">
        <f t="shared" si="75"/>
        <v>7</v>
      </c>
      <c r="E781" s="244">
        <f t="shared" si="76"/>
        <v>9</v>
      </c>
      <c r="G781" s="259" t="str">
        <f t="shared" si="77"/>
        <v>&lt;ct335&gt;</v>
      </c>
      <c r="H781" s="260">
        <f>VLOOKUP(O781,BCDTK!$E$9:$L$132,6,0)</f>
        <v>0</v>
      </c>
      <c r="I781" s="261" t="str">
        <f t="shared" si="78"/>
        <v>&lt;/ct335&gt;</v>
      </c>
      <c r="J781" s="262"/>
      <c r="K781" s="262"/>
      <c r="L781" s="262"/>
      <c r="M781" s="263"/>
      <c r="N781" s="265"/>
      <c r="O781" s="265">
        <v>335</v>
      </c>
    </row>
    <row r="782" spans="1:15" x14ac:dyDescent="0.45">
      <c r="A782" s="253" t="str">
        <f t="shared" si="73"/>
        <v>&lt;ct336&gt;0&lt;/ct336&gt;</v>
      </c>
      <c r="B782" s="450" t="s">
        <v>1649</v>
      </c>
      <c r="C782" s="244">
        <f t="shared" si="74"/>
        <v>2</v>
      </c>
      <c r="D782" s="244">
        <f t="shared" si="75"/>
        <v>7</v>
      </c>
      <c r="E782" s="244">
        <f t="shared" si="76"/>
        <v>9</v>
      </c>
      <c r="G782" s="259" t="str">
        <f t="shared" si="77"/>
        <v>&lt;ct336&gt;</v>
      </c>
      <c r="H782" s="260">
        <f>VLOOKUP(O782,BCDTK!$E$9:$L$132,6,0)</f>
        <v>0</v>
      </c>
      <c r="I782" s="261" t="str">
        <f t="shared" si="78"/>
        <v>&lt;/ct336&gt;</v>
      </c>
      <c r="J782" s="262"/>
      <c r="K782" s="262"/>
      <c r="L782" s="262"/>
      <c r="M782" s="263"/>
      <c r="N782" s="265"/>
      <c r="O782" s="265">
        <v>336</v>
      </c>
    </row>
    <row r="783" spans="1:15" x14ac:dyDescent="0.45">
      <c r="A783" s="253" t="str">
        <f t="shared" si="73"/>
        <v>&lt;ct3361&gt;0&lt;/ct3361&gt;</v>
      </c>
      <c r="B783" s="450" t="s">
        <v>1650</v>
      </c>
      <c r="C783" s="244">
        <f t="shared" si="74"/>
        <v>2</v>
      </c>
      <c r="D783" s="244">
        <f t="shared" si="75"/>
        <v>8</v>
      </c>
      <c r="E783" s="244">
        <f t="shared" si="76"/>
        <v>10</v>
      </c>
      <c r="G783" s="259" t="str">
        <f t="shared" si="77"/>
        <v>&lt;ct3361&gt;</v>
      </c>
      <c r="H783" s="260">
        <f>VLOOKUP(O783,BCDTK!$E$9:$L$132,6,0)</f>
        <v>0</v>
      </c>
      <c r="I783" s="261" t="str">
        <f t="shared" si="78"/>
        <v>&lt;/ct3361&gt;</v>
      </c>
      <c r="J783" s="262"/>
      <c r="K783" s="262"/>
      <c r="L783" s="262"/>
      <c r="M783" s="263"/>
      <c r="N783" s="265"/>
      <c r="O783" s="265">
        <v>3361</v>
      </c>
    </row>
    <row r="784" spans="1:15" x14ac:dyDescent="0.45">
      <c r="A784" s="253" t="str">
        <f t="shared" si="73"/>
        <v>&lt;ct3368&gt;0&lt;/ct3368&gt;</v>
      </c>
      <c r="B784" s="450" t="s">
        <v>1651</v>
      </c>
      <c r="C784" s="244">
        <f t="shared" si="74"/>
        <v>2</v>
      </c>
      <c r="D784" s="244">
        <f t="shared" si="75"/>
        <v>8</v>
      </c>
      <c r="E784" s="244">
        <f t="shared" si="76"/>
        <v>10</v>
      </c>
      <c r="G784" s="259" t="str">
        <f t="shared" si="77"/>
        <v>&lt;ct3368&gt;</v>
      </c>
      <c r="H784" s="260">
        <f>VLOOKUP(O784,BCDTK!$E$9:$L$132,6,0)</f>
        <v>0</v>
      </c>
      <c r="I784" s="261" t="str">
        <f t="shared" si="78"/>
        <v>&lt;/ct3368&gt;</v>
      </c>
      <c r="J784" s="262"/>
      <c r="K784" s="262"/>
      <c r="L784" s="262"/>
      <c r="M784" s="263"/>
      <c r="N784" s="265"/>
      <c r="O784" s="265">
        <v>3368</v>
      </c>
    </row>
    <row r="785" spans="1:15" x14ac:dyDescent="0.45">
      <c r="A785" s="253" t="str">
        <f t="shared" si="73"/>
        <v>&lt;ct338&gt;0&lt;/ct338&gt;</v>
      </c>
      <c r="B785" s="450" t="s">
        <v>1652</v>
      </c>
      <c r="C785" s="244">
        <f t="shared" si="74"/>
        <v>2</v>
      </c>
      <c r="D785" s="244">
        <f t="shared" si="75"/>
        <v>7</v>
      </c>
      <c r="E785" s="244">
        <f t="shared" si="76"/>
        <v>9</v>
      </c>
      <c r="G785" s="259" t="str">
        <f t="shared" si="77"/>
        <v>&lt;ct338&gt;</v>
      </c>
      <c r="H785" s="260">
        <f>VLOOKUP(O785,BCDTK!$E$9:$L$132,6,0)</f>
        <v>0</v>
      </c>
      <c r="I785" s="261" t="str">
        <f t="shared" si="78"/>
        <v>&lt;/ct338&gt;</v>
      </c>
      <c r="J785" s="262"/>
      <c r="K785" s="262"/>
      <c r="L785" s="262"/>
      <c r="M785" s="263"/>
      <c r="N785" s="265"/>
      <c r="O785" s="265">
        <v>338</v>
      </c>
    </row>
    <row r="786" spans="1:15" x14ac:dyDescent="0.45">
      <c r="A786" s="253" t="str">
        <f t="shared" si="73"/>
        <v>&lt;ct3381&gt;0&lt;/ct3381&gt;</v>
      </c>
      <c r="B786" s="450" t="s">
        <v>1653</v>
      </c>
      <c r="C786" s="244">
        <f t="shared" si="74"/>
        <v>2</v>
      </c>
      <c r="D786" s="244">
        <f t="shared" si="75"/>
        <v>8</v>
      </c>
      <c r="E786" s="244">
        <f t="shared" si="76"/>
        <v>10</v>
      </c>
      <c r="G786" s="259" t="str">
        <f t="shared" si="77"/>
        <v>&lt;ct3381&gt;</v>
      </c>
      <c r="H786" s="260">
        <f>VLOOKUP(O786,BCDTK!$E$9:$L$132,6,0)</f>
        <v>0</v>
      </c>
      <c r="I786" s="261" t="str">
        <f t="shared" si="78"/>
        <v>&lt;/ct3381&gt;</v>
      </c>
      <c r="J786" s="262"/>
      <c r="K786" s="262"/>
      <c r="L786" s="262"/>
      <c r="M786" s="263"/>
      <c r="N786" s="265"/>
      <c r="O786" s="265">
        <v>3381</v>
      </c>
    </row>
    <row r="787" spans="1:15" x14ac:dyDescent="0.45">
      <c r="A787" s="253" t="str">
        <f t="shared" si="73"/>
        <v>&lt;ct3382&gt;0&lt;/ct3382&gt;</v>
      </c>
      <c r="B787" s="450" t="s">
        <v>1654</v>
      </c>
      <c r="C787" s="244">
        <f t="shared" si="74"/>
        <v>2</v>
      </c>
      <c r="D787" s="244">
        <f t="shared" si="75"/>
        <v>8</v>
      </c>
      <c r="E787" s="244">
        <f t="shared" si="76"/>
        <v>10</v>
      </c>
      <c r="G787" s="259" t="str">
        <f t="shared" si="77"/>
        <v>&lt;ct3382&gt;</v>
      </c>
      <c r="H787" s="260">
        <f>VLOOKUP(O787,BCDTK!$E$9:$L$132,6,0)</f>
        <v>0</v>
      </c>
      <c r="I787" s="261" t="str">
        <f t="shared" si="78"/>
        <v>&lt;/ct3382&gt;</v>
      </c>
      <c r="J787" s="262"/>
      <c r="K787" s="262"/>
      <c r="L787" s="262"/>
      <c r="M787" s="263"/>
      <c r="N787" s="265"/>
      <c r="O787" s="265">
        <v>3382</v>
      </c>
    </row>
    <row r="788" spans="1:15" x14ac:dyDescent="0.45">
      <c r="A788" s="253" t="str">
        <f t="shared" si="73"/>
        <v>&lt;ct3383&gt;0&lt;/ct3383&gt;</v>
      </c>
      <c r="B788" s="450" t="s">
        <v>1655</v>
      </c>
      <c r="C788" s="244">
        <f t="shared" si="74"/>
        <v>2</v>
      </c>
      <c r="D788" s="244">
        <f t="shared" si="75"/>
        <v>8</v>
      </c>
      <c r="E788" s="244">
        <f t="shared" si="76"/>
        <v>10</v>
      </c>
      <c r="G788" s="259" t="str">
        <f t="shared" si="77"/>
        <v>&lt;ct3383&gt;</v>
      </c>
      <c r="H788" s="260">
        <f>VLOOKUP(O788,BCDTK!$E$9:$L$132,6,0)</f>
        <v>0</v>
      </c>
      <c r="I788" s="261" t="str">
        <f t="shared" si="78"/>
        <v>&lt;/ct3383&gt;</v>
      </c>
      <c r="J788" s="262"/>
      <c r="K788" s="262"/>
      <c r="L788" s="262"/>
      <c r="M788" s="263"/>
      <c r="N788" s="265"/>
      <c r="O788" s="265">
        <v>3383</v>
      </c>
    </row>
    <row r="789" spans="1:15" x14ac:dyDescent="0.45">
      <c r="A789" s="253" t="str">
        <f t="shared" si="73"/>
        <v>&lt;ct3384&gt;0&lt;/ct3384&gt;</v>
      </c>
      <c r="B789" s="450" t="s">
        <v>1656</v>
      </c>
      <c r="C789" s="244">
        <f t="shared" si="74"/>
        <v>2</v>
      </c>
      <c r="D789" s="244">
        <f t="shared" si="75"/>
        <v>8</v>
      </c>
      <c r="E789" s="244">
        <f t="shared" si="76"/>
        <v>10</v>
      </c>
      <c r="G789" s="259" t="str">
        <f t="shared" si="77"/>
        <v>&lt;ct3384&gt;</v>
      </c>
      <c r="H789" s="260">
        <f>VLOOKUP(O789,BCDTK!$E$9:$L$132,6,0)</f>
        <v>0</v>
      </c>
      <c r="I789" s="261" t="str">
        <f t="shared" si="78"/>
        <v>&lt;/ct3384&gt;</v>
      </c>
      <c r="J789" s="262"/>
      <c r="K789" s="262"/>
      <c r="L789" s="262"/>
      <c r="M789" s="263"/>
      <c r="N789" s="265"/>
      <c r="O789" s="265">
        <v>3384</v>
      </c>
    </row>
    <row r="790" spans="1:15" x14ac:dyDescent="0.45">
      <c r="A790" s="253" t="str">
        <f t="shared" si="73"/>
        <v>&lt;ct3385&gt;0&lt;/ct3385&gt;</v>
      </c>
      <c r="B790" s="450" t="s">
        <v>1657</v>
      </c>
      <c r="C790" s="244">
        <f t="shared" si="74"/>
        <v>2</v>
      </c>
      <c r="D790" s="244">
        <f t="shared" si="75"/>
        <v>8</v>
      </c>
      <c r="E790" s="244">
        <f t="shared" si="76"/>
        <v>10</v>
      </c>
      <c r="G790" s="259" t="str">
        <f t="shared" si="77"/>
        <v>&lt;ct3385&gt;</v>
      </c>
      <c r="H790" s="260">
        <f>VLOOKUP(O790,BCDTK!$E$9:$L$132,6,0)</f>
        <v>0</v>
      </c>
      <c r="I790" s="261" t="str">
        <f t="shared" si="78"/>
        <v>&lt;/ct3385&gt;</v>
      </c>
      <c r="J790" s="262"/>
      <c r="K790" s="262"/>
      <c r="L790" s="262"/>
      <c r="M790" s="263"/>
      <c r="N790" s="265"/>
      <c r="O790" s="265">
        <v>3385</v>
      </c>
    </row>
    <row r="791" spans="1:15" x14ac:dyDescent="0.45">
      <c r="A791" s="253" t="str">
        <f t="shared" si="73"/>
        <v>&lt;ct3386&gt;0&lt;/ct3386&gt;</v>
      </c>
      <c r="B791" s="450" t="s">
        <v>1658</v>
      </c>
      <c r="C791" s="244">
        <f t="shared" si="74"/>
        <v>2</v>
      </c>
      <c r="D791" s="244">
        <f t="shared" si="75"/>
        <v>8</v>
      </c>
      <c r="E791" s="244">
        <f t="shared" si="76"/>
        <v>10</v>
      </c>
      <c r="G791" s="259" t="str">
        <f t="shared" si="77"/>
        <v>&lt;ct3386&gt;</v>
      </c>
      <c r="H791" s="260">
        <f>VLOOKUP(O791,BCDTK!$E$9:$L$132,6,0)</f>
        <v>0</v>
      </c>
      <c r="I791" s="261" t="str">
        <f t="shared" si="78"/>
        <v>&lt;/ct3386&gt;</v>
      </c>
      <c r="J791" s="262"/>
      <c r="K791" s="262"/>
      <c r="L791" s="262"/>
      <c r="M791" s="263"/>
      <c r="N791" s="265"/>
      <c r="O791" s="265">
        <v>3386</v>
      </c>
    </row>
    <row r="792" spans="1:15" x14ac:dyDescent="0.45">
      <c r="A792" s="253" t="str">
        <f t="shared" si="73"/>
        <v>&lt;ct3387&gt;0&lt;/ct3387&gt;</v>
      </c>
      <c r="B792" s="450" t="s">
        <v>1659</v>
      </c>
      <c r="C792" s="244">
        <f t="shared" si="74"/>
        <v>2</v>
      </c>
      <c r="D792" s="244">
        <f t="shared" si="75"/>
        <v>8</v>
      </c>
      <c r="E792" s="244">
        <f t="shared" si="76"/>
        <v>10</v>
      </c>
      <c r="G792" s="259" t="str">
        <f t="shared" si="77"/>
        <v>&lt;ct3387&gt;</v>
      </c>
      <c r="H792" s="260">
        <f>VLOOKUP(O792,BCDTK!$E$9:$L$132,6,0)</f>
        <v>0</v>
      </c>
      <c r="I792" s="261" t="str">
        <f t="shared" si="78"/>
        <v>&lt;/ct3387&gt;</v>
      </c>
      <c r="J792" s="262"/>
      <c r="K792" s="262"/>
      <c r="L792" s="262"/>
      <c r="M792" s="263"/>
      <c r="N792" s="265"/>
      <c r="O792" s="265">
        <v>3387</v>
      </c>
    </row>
    <row r="793" spans="1:15" x14ac:dyDescent="0.45">
      <c r="A793" s="253" t="str">
        <f t="shared" si="73"/>
        <v>&lt;ct3388&gt;0&lt;/ct3388&gt;</v>
      </c>
      <c r="B793" s="450" t="s">
        <v>1660</v>
      </c>
      <c r="C793" s="244">
        <f t="shared" si="74"/>
        <v>2</v>
      </c>
      <c r="D793" s="244">
        <f t="shared" si="75"/>
        <v>8</v>
      </c>
      <c r="E793" s="244">
        <f t="shared" si="76"/>
        <v>10</v>
      </c>
      <c r="G793" s="259" t="str">
        <f t="shared" si="77"/>
        <v>&lt;ct3388&gt;</v>
      </c>
      <c r="H793" s="260">
        <f>VLOOKUP(O793,BCDTK!$E$9:$L$132,6,0)</f>
        <v>0</v>
      </c>
      <c r="I793" s="261" t="str">
        <f t="shared" si="78"/>
        <v>&lt;/ct3388&gt;</v>
      </c>
      <c r="J793" s="262"/>
      <c r="K793" s="262"/>
      <c r="L793" s="262"/>
      <c r="M793" s="263"/>
      <c r="N793" s="265"/>
      <c r="O793" s="265">
        <v>3388</v>
      </c>
    </row>
    <row r="794" spans="1:15" x14ac:dyDescent="0.45">
      <c r="A794" s="253" t="str">
        <f t="shared" si="73"/>
        <v>&lt;ct341&gt;290000000&lt;/ct341&gt;</v>
      </c>
      <c r="B794" s="450" t="s">
        <v>1661</v>
      </c>
      <c r="C794" s="244">
        <f t="shared" si="74"/>
        <v>2</v>
      </c>
      <c r="D794" s="244">
        <f t="shared" si="75"/>
        <v>7</v>
      </c>
      <c r="E794" s="244">
        <f t="shared" si="76"/>
        <v>9</v>
      </c>
      <c r="G794" s="259" t="str">
        <f t="shared" si="77"/>
        <v>&lt;ct341&gt;</v>
      </c>
      <c r="H794" s="260">
        <f>VLOOKUP(O794,BCDTK!$E$9:$L$132,6,0)</f>
        <v>290000000</v>
      </c>
      <c r="I794" s="261" t="str">
        <f t="shared" si="78"/>
        <v>&lt;/ct341&gt;</v>
      </c>
      <c r="J794" s="262"/>
      <c r="K794" s="262"/>
      <c r="L794" s="262"/>
      <c r="M794" s="263"/>
      <c r="N794" s="265"/>
      <c r="O794" s="265">
        <v>341</v>
      </c>
    </row>
    <row r="795" spans="1:15" x14ac:dyDescent="0.45">
      <c r="A795" s="253" t="str">
        <f t="shared" si="73"/>
        <v>&lt;ct3411&gt;290000000&lt;/ct3411&gt;</v>
      </c>
      <c r="B795" s="450" t="s">
        <v>1662</v>
      </c>
      <c r="C795" s="244">
        <f t="shared" si="74"/>
        <v>2</v>
      </c>
      <c r="D795" s="244">
        <f t="shared" si="75"/>
        <v>8</v>
      </c>
      <c r="E795" s="244">
        <f t="shared" si="76"/>
        <v>10</v>
      </c>
      <c r="G795" s="259" t="str">
        <f t="shared" si="77"/>
        <v>&lt;ct3411&gt;</v>
      </c>
      <c r="H795" s="260">
        <f>VLOOKUP(O795,BCDTK!$E$9:$L$132,6,0)</f>
        <v>290000000</v>
      </c>
      <c r="I795" s="261" t="str">
        <f t="shared" si="78"/>
        <v>&lt;/ct3411&gt;</v>
      </c>
      <c r="J795" s="262"/>
      <c r="K795" s="262"/>
      <c r="L795" s="262"/>
      <c r="M795" s="263"/>
      <c r="N795" s="265"/>
      <c r="O795" s="265">
        <v>3411</v>
      </c>
    </row>
    <row r="796" spans="1:15" x14ac:dyDescent="0.45">
      <c r="A796" s="253" t="str">
        <f t="shared" si="73"/>
        <v>&lt;ct3412&gt;0&lt;/ct3412&gt;</v>
      </c>
      <c r="B796" s="450" t="s">
        <v>1663</v>
      </c>
      <c r="C796" s="244">
        <f t="shared" si="74"/>
        <v>2</v>
      </c>
      <c r="D796" s="244">
        <f t="shared" si="75"/>
        <v>8</v>
      </c>
      <c r="E796" s="244">
        <f t="shared" si="76"/>
        <v>10</v>
      </c>
      <c r="G796" s="259" t="str">
        <f t="shared" si="77"/>
        <v>&lt;ct3412&gt;</v>
      </c>
      <c r="H796" s="260">
        <f>VLOOKUP(O796,BCDTK!$E$9:$L$132,6,0)</f>
        <v>0</v>
      </c>
      <c r="I796" s="261" t="str">
        <f t="shared" si="78"/>
        <v>&lt;/ct3412&gt;</v>
      </c>
      <c r="J796" s="262"/>
      <c r="K796" s="262"/>
      <c r="L796" s="262"/>
      <c r="M796" s="263"/>
      <c r="N796" s="265"/>
      <c r="O796" s="265">
        <v>3412</v>
      </c>
    </row>
    <row r="797" spans="1:15" x14ac:dyDescent="0.45">
      <c r="A797" s="253" t="str">
        <f t="shared" si="73"/>
        <v>&lt;ct352&gt;0&lt;/ct352&gt;</v>
      </c>
      <c r="B797" s="450" t="s">
        <v>1664</v>
      </c>
      <c r="C797" s="244">
        <f t="shared" si="74"/>
        <v>2</v>
      </c>
      <c r="D797" s="244">
        <f t="shared" si="75"/>
        <v>7</v>
      </c>
      <c r="E797" s="244">
        <f t="shared" si="76"/>
        <v>9</v>
      </c>
      <c r="G797" s="259" t="str">
        <f t="shared" si="77"/>
        <v>&lt;ct352&gt;</v>
      </c>
      <c r="H797" s="260">
        <f>VLOOKUP(O797,BCDTK!$E$9:$L$132,6,0)</f>
        <v>0</v>
      </c>
      <c r="I797" s="261" t="str">
        <f t="shared" si="78"/>
        <v>&lt;/ct352&gt;</v>
      </c>
      <c r="J797" s="262"/>
      <c r="K797" s="262"/>
      <c r="L797" s="262"/>
      <c r="M797" s="263"/>
      <c r="N797" s="265"/>
      <c r="O797" s="265">
        <v>352</v>
      </c>
    </row>
    <row r="798" spans="1:15" x14ac:dyDescent="0.45">
      <c r="A798" s="253" t="str">
        <f t="shared" si="73"/>
        <v>&lt;ct3521&gt;0&lt;/ct3521&gt;</v>
      </c>
      <c r="B798" s="450" t="s">
        <v>1665</v>
      </c>
      <c r="C798" s="244">
        <f t="shared" si="74"/>
        <v>2</v>
      </c>
      <c r="D798" s="244">
        <f t="shared" si="75"/>
        <v>8</v>
      </c>
      <c r="E798" s="244">
        <f t="shared" si="76"/>
        <v>10</v>
      </c>
      <c r="G798" s="259" t="str">
        <f t="shared" si="77"/>
        <v>&lt;ct3521&gt;</v>
      </c>
      <c r="H798" s="260">
        <f>VLOOKUP(O798,BCDTK!$E$9:$L$132,6,0)</f>
        <v>0</v>
      </c>
      <c r="I798" s="261" t="str">
        <f t="shared" si="78"/>
        <v>&lt;/ct3521&gt;</v>
      </c>
      <c r="J798" s="262"/>
      <c r="K798" s="262"/>
      <c r="L798" s="262"/>
      <c r="M798" s="263"/>
      <c r="N798" s="265"/>
      <c r="O798" s="265">
        <v>3521</v>
      </c>
    </row>
    <row r="799" spans="1:15" x14ac:dyDescent="0.45">
      <c r="A799" s="253" t="str">
        <f t="shared" si="73"/>
        <v>&lt;ct3522&gt;0&lt;/ct3522&gt;</v>
      </c>
      <c r="B799" s="450" t="s">
        <v>1666</v>
      </c>
      <c r="C799" s="244">
        <f t="shared" si="74"/>
        <v>2</v>
      </c>
      <c r="D799" s="244">
        <f t="shared" si="75"/>
        <v>8</v>
      </c>
      <c r="E799" s="244">
        <f t="shared" si="76"/>
        <v>10</v>
      </c>
      <c r="G799" s="259" t="str">
        <f t="shared" si="77"/>
        <v>&lt;ct3522&gt;</v>
      </c>
      <c r="H799" s="260">
        <f>VLOOKUP(O799,BCDTK!$E$9:$L$132,6,0)</f>
        <v>0</v>
      </c>
      <c r="I799" s="261" t="str">
        <f t="shared" si="78"/>
        <v>&lt;/ct3522&gt;</v>
      </c>
      <c r="J799" s="262"/>
      <c r="K799" s="262"/>
      <c r="L799" s="262"/>
      <c r="M799" s="263"/>
      <c r="N799" s="265"/>
      <c r="O799" s="265">
        <v>3522</v>
      </c>
    </row>
    <row r="800" spans="1:15" x14ac:dyDescent="0.45">
      <c r="A800" s="253" t="str">
        <f t="shared" si="73"/>
        <v>&lt;ct3524&gt;0&lt;/ct3524&gt;</v>
      </c>
      <c r="B800" s="450" t="s">
        <v>1667</v>
      </c>
      <c r="C800" s="244">
        <f t="shared" si="74"/>
        <v>2</v>
      </c>
      <c r="D800" s="244">
        <f t="shared" si="75"/>
        <v>8</v>
      </c>
      <c r="E800" s="244">
        <f t="shared" si="76"/>
        <v>10</v>
      </c>
      <c r="G800" s="259" t="str">
        <f t="shared" si="77"/>
        <v>&lt;ct3524&gt;</v>
      </c>
      <c r="H800" s="260">
        <f>VLOOKUP(O800,BCDTK!$E$9:$L$132,6,0)</f>
        <v>0</v>
      </c>
      <c r="I800" s="261" t="str">
        <f t="shared" si="78"/>
        <v>&lt;/ct3524&gt;</v>
      </c>
      <c r="J800" s="262"/>
      <c r="K800" s="262"/>
      <c r="L800" s="262"/>
      <c r="M800" s="263"/>
      <c r="N800" s="265"/>
      <c r="O800" s="265">
        <v>3524</v>
      </c>
    </row>
    <row r="801" spans="1:15" x14ac:dyDescent="0.45">
      <c r="A801" s="253" t="str">
        <f t="shared" si="73"/>
        <v>&lt;ct353&gt;0&lt;/ct353&gt;</v>
      </c>
      <c r="B801" s="450" t="s">
        <v>1668</v>
      </c>
      <c r="C801" s="244">
        <f t="shared" si="74"/>
        <v>2</v>
      </c>
      <c r="D801" s="244">
        <f t="shared" si="75"/>
        <v>7</v>
      </c>
      <c r="E801" s="244">
        <f t="shared" si="76"/>
        <v>9</v>
      </c>
      <c r="G801" s="259" t="str">
        <f t="shared" si="77"/>
        <v>&lt;ct353&gt;</v>
      </c>
      <c r="H801" s="260">
        <f>VLOOKUP(O801,BCDTK!$E$9:$L$132,6,0)</f>
        <v>0</v>
      </c>
      <c r="I801" s="261" t="str">
        <f t="shared" si="78"/>
        <v>&lt;/ct353&gt;</v>
      </c>
      <c r="J801" s="262"/>
      <c r="K801" s="262"/>
      <c r="L801" s="262"/>
      <c r="M801" s="263"/>
      <c r="N801" s="265"/>
      <c r="O801" s="265">
        <v>353</v>
      </c>
    </row>
    <row r="802" spans="1:15" x14ac:dyDescent="0.45">
      <c r="A802" s="253" t="str">
        <f t="shared" si="73"/>
        <v>&lt;ct3531&gt;0&lt;/ct3531&gt;</v>
      </c>
      <c r="B802" s="450" t="s">
        <v>1669</v>
      </c>
      <c r="C802" s="244">
        <f t="shared" si="74"/>
        <v>2</v>
      </c>
      <c r="D802" s="244">
        <f t="shared" si="75"/>
        <v>8</v>
      </c>
      <c r="E802" s="244">
        <f t="shared" si="76"/>
        <v>10</v>
      </c>
      <c r="G802" s="259" t="str">
        <f t="shared" si="77"/>
        <v>&lt;ct3531&gt;</v>
      </c>
      <c r="H802" s="260">
        <f>VLOOKUP(O802,BCDTK!$E$9:$L$132,6,0)</f>
        <v>0</v>
      </c>
      <c r="I802" s="261" t="str">
        <f t="shared" si="78"/>
        <v>&lt;/ct3531&gt;</v>
      </c>
      <c r="J802" s="262"/>
      <c r="K802" s="262"/>
      <c r="L802" s="262"/>
      <c r="M802" s="263"/>
      <c r="N802" s="265"/>
      <c r="O802" s="265">
        <v>3531</v>
      </c>
    </row>
    <row r="803" spans="1:15" x14ac:dyDescent="0.45">
      <c r="A803" s="253" t="str">
        <f t="shared" si="73"/>
        <v>&lt;ct3532&gt;0&lt;/ct3532&gt;</v>
      </c>
      <c r="B803" s="450" t="s">
        <v>1670</v>
      </c>
      <c r="C803" s="244">
        <f t="shared" si="74"/>
        <v>2</v>
      </c>
      <c r="D803" s="244">
        <f t="shared" si="75"/>
        <v>8</v>
      </c>
      <c r="E803" s="244">
        <f t="shared" si="76"/>
        <v>10</v>
      </c>
      <c r="G803" s="259" t="str">
        <f t="shared" si="77"/>
        <v>&lt;ct3532&gt;</v>
      </c>
      <c r="H803" s="260">
        <f>VLOOKUP(O803,BCDTK!$E$9:$L$132,6,0)</f>
        <v>0</v>
      </c>
      <c r="I803" s="261" t="str">
        <f t="shared" si="78"/>
        <v>&lt;/ct3532&gt;</v>
      </c>
      <c r="J803" s="262"/>
      <c r="K803" s="262"/>
      <c r="L803" s="262"/>
      <c r="M803" s="263"/>
      <c r="N803" s="265"/>
      <c r="O803" s="265">
        <v>3532</v>
      </c>
    </row>
    <row r="804" spans="1:15" x14ac:dyDescent="0.45">
      <c r="A804" s="253" t="str">
        <f t="shared" si="73"/>
        <v>&lt;ct3533&gt;0&lt;/ct3533&gt;</v>
      </c>
      <c r="B804" s="450" t="s">
        <v>1671</v>
      </c>
      <c r="C804" s="244">
        <f t="shared" si="74"/>
        <v>2</v>
      </c>
      <c r="D804" s="244">
        <f t="shared" si="75"/>
        <v>8</v>
      </c>
      <c r="E804" s="244">
        <f t="shared" si="76"/>
        <v>10</v>
      </c>
      <c r="G804" s="259" t="str">
        <f t="shared" si="77"/>
        <v>&lt;ct3533&gt;</v>
      </c>
      <c r="H804" s="260">
        <f>VLOOKUP(O804,BCDTK!$E$9:$L$132,6,0)</f>
        <v>0</v>
      </c>
      <c r="I804" s="261" t="str">
        <f t="shared" si="78"/>
        <v>&lt;/ct3533&gt;</v>
      </c>
      <c r="J804" s="262"/>
      <c r="K804" s="262"/>
      <c r="L804" s="262"/>
      <c r="M804" s="263"/>
      <c r="N804" s="265"/>
      <c r="O804" s="265">
        <v>3533</v>
      </c>
    </row>
    <row r="805" spans="1:15" x14ac:dyDescent="0.45">
      <c r="A805" s="253" t="str">
        <f t="shared" si="73"/>
        <v>&lt;ct3534&gt;0&lt;/ct3534&gt;</v>
      </c>
      <c r="B805" s="450" t="s">
        <v>1672</v>
      </c>
      <c r="C805" s="244">
        <f t="shared" si="74"/>
        <v>2</v>
      </c>
      <c r="D805" s="244">
        <f t="shared" si="75"/>
        <v>8</v>
      </c>
      <c r="E805" s="244">
        <f t="shared" si="76"/>
        <v>10</v>
      </c>
      <c r="G805" s="259" t="str">
        <f t="shared" si="77"/>
        <v>&lt;ct3534&gt;</v>
      </c>
      <c r="H805" s="260">
        <f>VLOOKUP(O805,BCDTK!$E$9:$L$132,6,0)</f>
        <v>0</v>
      </c>
      <c r="I805" s="261" t="str">
        <f t="shared" si="78"/>
        <v>&lt;/ct3534&gt;</v>
      </c>
      <c r="J805" s="262"/>
      <c r="K805" s="262"/>
      <c r="L805" s="262"/>
      <c r="M805" s="263"/>
      <c r="N805" s="265"/>
      <c r="O805" s="265">
        <v>3534</v>
      </c>
    </row>
    <row r="806" spans="1:15" x14ac:dyDescent="0.45">
      <c r="A806" s="253" t="str">
        <f t="shared" si="73"/>
        <v>&lt;ct356&gt;0&lt;/ct356&gt;</v>
      </c>
      <c r="B806" s="450" t="s">
        <v>1673</v>
      </c>
      <c r="C806" s="244">
        <f t="shared" si="74"/>
        <v>2</v>
      </c>
      <c r="D806" s="244">
        <f t="shared" si="75"/>
        <v>7</v>
      </c>
      <c r="E806" s="244">
        <f t="shared" si="76"/>
        <v>9</v>
      </c>
      <c r="G806" s="259" t="str">
        <f t="shared" si="77"/>
        <v>&lt;ct356&gt;</v>
      </c>
      <c r="H806" s="260">
        <f>VLOOKUP(O806,BCDTK!$E$9:$L$132,6,0)</f>
        <v>0</v>
      </c>
      <c r="I806" s="261" t="str">
        <f t="shared" si="78"/>
        <v>&lt;/ct356&gt;</v>
      </c>
      <c r="J806" s="262"/>
      <c r="K806" s="262"/>
      <c r="L806" s="262"/>
      <c r="M806" s="263"/>
      <c r="N806" s="265"/>
      <c r="O806" s="265">
        <v>356</v>
      </c>
    </row>
    <row r="807" spans="1:15" x14ac:dyDescent="0.45">
      <c r="A807" s="253" t="str">
        <f t="shared" si="73"/>
        <v>&lt;ct3561&gt;0&lt;/ct3561&gt;</v>
      </c>
      <c r="B807" s="450" t="s">
        <v>1674</v>
      </c>
      <c r="C807" s="244">
        <f t="shared" si="74"/>
        <v>2</v>
      </c>
      <c r="D807" s="244">
        <f t="shared" si="75"/>
        <v>8</v>
      </c>
      <c r="E807" s="244">
        <f t="shared" si="76"/>
        <v>10</v>
      </c>
      <c r="G807" s="259" t="str">
        <f t="shared" si="77"/>
        <v>&lt;ct3561&gt;</v>
      </c>
      <c r="H807" s="260">
        <f>VLOOKUP(O807,BCDTK!$E$9:$L$132,6,0)</f>
        <v>0</v>
      </c>
      <c r="I807" s="261" t="str">
        <f t="shared" si="78"/>
        <v>&lt;/ct3561&gt;</v>
      </c>
      <c r="J807" s="262"/>
      <c r="K807" s="262"/>
      <c r="L807" s="262"/>
      <c r="M807" s="263"/>
      <c r="N807" s="265"/>
      <c r="O807" s="265">
        <v>3561</v>
      </c>
    </row>
    <row r="808" spans="1:15" x14ac:dyDescent="0.45">
      <c r="A808" s="253" t="str">
        <f t="shared" si="73"/>
        <v>&lt;ct3562&gt;0&lt;/ct3562&gt;</v>
      </c>
      <c r="B808" s="450" t="s">
        <v>1675</v>
      </c>
      <c r="C808" s="244">
        <f t="shared" si="74"/>
        <v>2</v>
      </c>
      <c r="D808" s="244">
        <f t="shared" si="75"/>
        <v>8</v>
      </c>
      <c r="E808" s="244">
        <f t="shared" si="76"/>
        <v>10</v>
      </c>
      <c r="G808" s="259" t="str">
        <f t="shared" si="77"/>
        <v>&lt;ct3562&gt;</v>
      </c>
      <c r="H808" s="260">
        <f>VLOOKUP(O808,BCDTK!$E$9:$L$132,6,0)</f>
        <v>0</v>
      </c>
      <c r="I808" s="261" t="str">
        <f t="shared" si="78"/>
        <v>&lt;/ct3562&gt;</v>
      </c>
      <c r="J808" s="262"/>
      <c r="K808" s="262"/>
      <c r="L808" s="262"/>
      <c r="M808" s="263"/>
      <c r="N808" s="265"/>
      <c r="O808" s="265">
        <v>3562</v>
      </c>
    </row>
    <row r="809" spans="1:15" x14ac:dyDescent="0.45">
      <c r="A809" s="253" t="str">
        <f t="shared" si="73"/>
        <v>&lt;ct411&gt;0&lt;/ct411&gt;</v>
      </c>
      <c r="B809" s="450" t="s">
        <v>1525</v>
      </c>
      <c r="C809" s="244">
        <f t="shared" si="74"/>
        <v>2</v>
      </c>
      <c r="D809" s="244">
        <f t="shared" si="75"/>
        <v>7</v>
      </c>
      <c r="E809" s="244">
        <f t="shared" si="76"/>
        <v>9</v>
      </c>
      <c r="G809" s="259" t="str">
        <f t="shared" si="77"/>
        <v>&lt;ct411&gt;</v>
      </c>
      <c r="H809" s="260">
        <f>VLOOKUP(O809,BCDTK!$E$9:$L$132,6,0)</f>
        <v>0</v>
      </c>
      <c r="I809" s="261" t="str">
        <f t="shared" si="78"/>
        <v>&lt;/ct411&gt;</v>
      </c>
      <c r="J809" s="262"/>
      <c r="K809" s="262"/>
      <c r="L809" s="262"/>
      <c r="M809" s="263"/>
      <c r="N809" s="265"/>
      <c r="O809" s="265">
        <v>411</v>
      </c>
    </row>
    <row r="810" spans="1:15" x14ac:dyDescent="0.45">
      <c r="A810" s="253" t="str">
        <f t="shared" si="73"/>
        <v>&lt;ct4111&gt;0&lt;/ct4111&gt;</v>
      </c>
      <c r="B810" s="450" t="s">
        <v>1676</v>
      </c>
      <c r="C810" s="244">
        <f t="shared" si="74"/>
        <v>2</v>
      </c>
      <c r="D810" s="244">
        <f t="shared" si="75"/>
        <v>8</v>
      </c>
      <c r="E810" s="244">
        <f t="shared" si="76"/>
        <v>10</v>
      </c>
      <c r="G810" s="259" t="str">
        <f t="shared" si="77"/>
        <v>&lt;ct4111&gt;</v>
      </c>
      <c r="H810" s="260">
        <f>VLOOKUP(O810,BCDTK!$E$9:$L$132,6,0)</f>
        <v>0</v>
      </c>
      <c r="I810" s="261" t="str">
        <f t="shared" si="78"/>
        <v>&lt;/ct4111&gt;</v>
      </c>
      <c r="J810" s="262"/>
      <c r="K810" s="262"/>
      <c r="L810" s="262"/>
      <c r="M810" s="263"/>
      <c r="N810" s="265"/>
      <c r="O810" s="265">
        <v>4111</v>
      </c>
    </row>
    <row r="811" spans="1:15" x14ac:dyDescent="0.45">
      <c r="A811" s="253" t="str">
        <f t="shared" si="73"/>
        <v>&lt;ct4112&gt;0&lt;/ct4112&gt;</v>
      </c>
      <c r="B811" s="450" t="s">
        <v>1677</v>
      </c>
      <c r="C811" s="244">
        <f t="shared" si="74"/>
        <v>2</v>
      </c>
      <c r="D811" s="244">
        <f t="shared" si="75"/>
        <v>8</v>
      </c>
      <c r="E811" s="244">
        <f t="shared" si="76"/>
        <v>10</v>
      </c>
      <c r="G811" s="259" t="str">
        <f t="shared" si="77"/>
        <v>&lt;ct4112&gt;</v>
      </c>
      <c r="H811" s="260">
        <f>VLOOKUP(O811,BCDTK!$E$9:$L$132,6,0)</f>
        <v>0</v>
      </c>
      <c r="I811" s="261" t="str">
        <f t="shared" si="78"/>
        <v>&lt;/ct4112&gt;</v>
      </c>
      <c r="J811" s="262"/>
      <c r="K811" s="262"/>
      <c r="L811" s="262"/>
      <c r="M811" s="263"/>
      <c r="N811" s="265"/>
      <c r="O811" s="265">
        <v>4112</v>
      </c>
    </row>
    <row r="812" spans="1:15" x14ac:dyDescent="0.45">
      <c r="A812" s="253" t="str">
        <f t="shared" si="73"/>
        <v>&lt;ct4118&gt;0&lt;/ct4118&gt;</v>
      </c>
      <c r="B812" s="450" t="s">
        <v>1678</v>
      </c>
      <c r="C812" s="244">
        <f t="shared" si="74"/>
        <v>2</v>
      </c>
      <c r="D812" s="244">
        <f t="shared" si="75"/>
        <v>8</v>
      </c>
      <c r="E812" s="244">
        <f t="shared" si="76"/>
        <v>10</v>
      </c>
      <c r="G812" s="259" t="str">
        <f t="shared" si="77"/>
        <v>&lt;ct4118&gt;</v>
      </c>
      <c r="H812" s="260">
        <f>VLOOKUP(O812,BCDTK!$E$9:$L$132,6,0)</f>
        <v>0</v>
      </c>
      <c r="I812" s="261" t="str">
        <f t="shared" si="78"/>
        <v>&lt;/ct4118&gt;</v>
      </c>
      <c r="J812" s="262"/>
      <c r="K812" s="262"/>
      <c r="L812" s="262"/>
      <c r="M812" s="263"/>
      <c r="N812" s="265"/>
      <c r="O812" s="265">
        <v>4118</v>
      </c>
    </row>
    <row r="813" spans="1:15" x14ac:dyDescent="0.45">
      <c r="A813" s="253" t="str">
        <f t="shared" si="73"/>
        <v>&lt;ct413&gt;0&lt;/ct413&gt;</v>
      </c>
      <c r="B813" s="450" t="s">
        <v>1500</v>
      </c>
      <c r="C813" s="244">
        <f t="shared" si="74"/>
        <v>2</v>
      </c>
      <c r="D813" s="244">
        <f t="shared" si="75"/>
        <v>7</v>
      </c>
      <c r="E813" s="244">
        <f t="shared" si="76"/>
        <v>9</v>
      </c>
      <c r="G813" s="259" t="str">
        <f t="shared" si="77"/>
        <v>&lt;ct413&gt;</v>
      </c>
      <c r="H813" s="260">
        <f>VLOOKUP(O813,BCDTK!$E$9:$L$132,6,0)</f>
        <v>0</v>
      </c>
      <c r="I813" s="261" t="str">
        <f t="shared" si="78"/>
        <v>&lt;/ct413&gt;</v>
      </c>
      <c r="J813" s="262"/>
      <c r="K813" s="262"/>
      <c r="L813" s="262"/>
      <c r="M813" s="263"/>
      <c r="N813" s="265"/>
      <c r="O813" s="265">
        <v>413</v>
      </c>
    </row>
    <row r="814" spans="1:15" x14ac:dyDescent="0.45">
      <c r="A814" s="253" t="str">
        <f t="shared" si="73"/>
        <v>&lt;ct418&gt;0&lt;/ct418&gt;</v>
      </c>
      <c r="B814" s="450" t="s">
        <v>1679</v>
      </c>
      <c r="C814" s="244">
        <f t="shared" si="74"/>
        <v>2</v>
      </c>
      <c r="D814" s="244">
        <f t="shared" si="75"/>
        <v>7</v>
      </c>
      <c r="E814" s="244">
        <f t="shared" si="76"/>
        <v>9</v>
      </c>
      <c r="G814" s="259" t="str">
        <f t="shared" si="77"/>
        <v>&lt;ct418&gt;</v>
      </c>
      <c r="H814" s="260">
        <f>VLOOKUP(O814,BCDTK!$E$9:$L$132,6,0)</f>
        <v>0</v>
      </c>
      <c r="I814" s="261" t="str">
        <f t="shared" si="78"/>
        <v>&lt;/ct418&gt;</v>
      </c>
      <c r="J814" s="262"/>
      <c r="K814" s="262"/>
      <c r="L814" s="262"/>
      <c r="M814" s="263"/>
      <c r="N814" s="265"/>
      <c r="O814" s="265">
        <v>418</v>
      </c>
    </row>
    <row r="815" spans="1:15" x14ac:dyDescent="0.45">
      <c r="A815" s="253" t="str">
        <f t="shared" si="73"/>
        <v>&lt;ct419&gt;0&lt;/ct419&gt;</v>
      </c>
      <c r="B815" s="450" t="s">
        <v>1680</v>
      </c>
      <c r="C815" s="244">
        <f t="shared" si="74"/>
        <v>2</v>
      </c>
      <c r="D815" s="244">
        <f t="shared" si="75"/>
        <v>7</v>
      </c>
      <c r="E815" s="244">
        <f t="shared" si="76"/>
        <v>9</v>
      </c>
      <c r="G815" s="259" t="str">
        <f t="shared" si="77"/>
        <v>&lt;ct419&gt;</v>
      </c>
      <c r="H815" s="260">
        <f>VLOOKUP(O815,BCDTK!$E$9:$L$132,6,0)</f>
        <v>0</v>
      </c>
      <c r="I815" s="261" t="str">
        <f t="shared" si="78"/>
        <v>&lt;/ct419&gt;</v>
      </c>
      <c r="J815" s="262"/>
      <c r="K815" s="262"/>
      <c r="L815" s="262"/>
      <c r="M815" s="263"/>
      <c r="N815" s="265"/>
      <c r="O815" s="265">
        <v>419</v>
      </c>
    </row>
    <row r="816" spans="1:15" x14ac:dyDescent="0.45">
      <c r="A816" s="253" t="str">
        <f t="shared" si="73"/>
        <v>&lt;ct421&gt;15462661&lt;/ct421&gt;</v>
      </c>
      <c r="B816" s="450" t="s">
        <v>1681</v>
      </c>
      <c r="C816" s="244">
        <f t="shared" si="74"/>
        <v>2</v>
      </c>
      <c r="D816" s="244">
        <f t="shared" si="75"/>
        <v>7</v>
      </c>
      <c r="E816" s="244">
        <f t="shared" si="76"/>
        <v>9</v>
      </c>
      <c r="G816" s="259" t="str">
        <f t="shared" si="77"/>
        <v>&lt;ct421&gt;</v>
      </c>
      <c r="H816" s="260">
        <f>VLOOKUP(O816,BCDTK!$E$9:$L$132,6,0)</f>
        <v>15462661</v>
      </c>
      <c r="I816" s="261" t="str">
        <f t="shared" si="78"/>
        <v>&lt;/ct421&gt;</v>
      </c>
      <c r="J816" s="262"/>
      <c r="K816" s="262"/>
      <c r="L816" s="262"/>
      <c r="M816" s="263"/>
      <c r="N816" s="265"/>
      <c r="O816" s="265">
        <v>421</v>
      </c>
    </row>
    <row r="817" spans="1:15" x14ac:dyDescent="0.45">
      <c r="A817" s="253" t="str">
        <f t="shared" si="73"/>
        <v>&lt;ct4211&gt;0&lt;/ct4211&gt;</v>
      </c>
      <c r="B817" s="450" t="s">
        <v>1682</v>
      </c>
      <c r="C817" s="244">
        <f t="shared" si="74"/>
        <v>2</v>
      </c>
      <c r="D817" s="244">
        <f t="shared" si="75"/>
        <v>8</v>
      </c>
      <c r="E817" s="244">
        <f t="shared" si="76"/>
        <v>10</v>
      </c>
      <c r="G817" s="259" t="str">
        <f t="shared" si="77"/>
        <v>&lt;ct4211&gt;</v>
      </c>
      <c r="H817" s="260">
        <f>VLOOKUP(O817,BCDTK!$E$9:$L$132,6,0)</f>
        <v>0</v>
      </c>
      <c r="I817" s="261" t="str">
        <f t="shared" si="78"/>
        <v>&lt;/ct4211&gt;</v>
      </c>
      <c r="J817" s="262"/>
      <c r="K817" s="262"/>
      <c r="L817" s="262"/>
      <c r="M817" s="263"/>
      <c r="N817" s="265"/>
      <c r="O817" s="265">
        <v>4211</v>
      </c>
    </row>
    <row r="818" spans="1:15" x14ac:dyDescent="0.45">
      <c r="A818" s="253" t="str">
        <f t="shared" si="73"/>
        <v>&lt;ct4212&gt;15462661&lt;/ct4212&gt;</v>
      </c>
      <c r="B818" s="450" t="s">
        <v>1683</v>
      </c>
      <c r="C818" s="244">
        <f t="shared" si="74"/>
        <v>2</v>
      </c>
      <c r="D818" s="244">
        <f t="shared" si="75"/>
        <v>8</v>
      </c>
      <c r="E818" s="244">
        <f t="shared" si="76"/>
        <v>10</v>
      </c>
      <c r="G818" s="259" t="str">
        <f t="shared" si="77"/>
        <v>&lt;ct4212&gt;</v>
      </c>
      <c r="H818" s="260">
        <f>VLOOKUP(O818,BCDTK!$E$9:$L$132,6,0)</f>
        <v>15462661</v>
      </c>
      <c r="I818" s="261" t="str">
        <f t="shared" si="78"/>
        <v>&lt;/ct4212&gt;</v>
      </c>
      <c r="J818" s="262"/>
      <c r="K818" s="262"/>
      <c r="L818" s="262"/>
      <c r="M818" s="263"/>
      <c r="N818" s="265"/>
      <c r="O818" s="265">
        <v>4212</v>
      </c>
    </row>
    <row r="819" spans="1:15" x14ac:dyDescent="0.45">
      <c r="A819" s="253" t="str">
        <f t="shared" si="73"/>
        <v>&lt;ct511&gt;244520964&lt;/ct511&gt;</v>
      </c>
      <c r="B819" s="450" t="s">
        <v>1684</v>
      </c>
      <c r="C819" s="244">
        <f t="shared" si="74"/>
        <v>2</v>
      </c>
      <c r="D819" s="244">
        <f t="shared" si="75"/>
        <v>7</v>
      </c>
      <c r="E819" s="244">
        <f t="shared" si="76"/>
        <v>9</v>
      </c>
      <c r="G819" s="259" t="str">
        <f t="shared" si="77"/>
        <v>&lt;ct511&gt;</v>
      </c>
      <c r="H819" s="260">
        <f>VLOOKUP(O819,BCDTK!$E$9:$L$132,6,0)</f>
        <v>244520964</v>
      </c>
      <c r="I819" s="261" t="str">
        <f t="shared" si="78"/>
        <v>&lt;/ct511&gt;</v>
      </c>
      <c r="J819" s="262"/>
      <c r="K819" s="262"/>
      <c r="L819" s="262"/>
      <c r="M819" s="263"/>
      <c r="N819" s="265"/>
      <c r="O819" s="265">
        <v>511</v>
      </c>
    </row>
    <row r="820" spans="1:15" x14ac:dyDescent="0.45">
      <c r="A820" s="253" t="str">
        <f t="shared" si="73"/>
        <v>&lt;ct5111&gt;0&lt;/ct5111&gt;</v>
      </c>
      <c r="B820" s="450" t="s">
        <v>1685</v>
      </c>
      <c r="C820" s="244">
        <f t="shared" si="74"/>
        <v>2</v>
      </c>
      <c r="D820" s="244">
        <f t="shared" si="75"/>
        <v>8</v>
      </c>
      <c r="E820" s="244">
        <f t="shared" si="76"/>
        <v>10</v>
      </c>
      <c r="G820" s="259" t="str">
        <f t="shared" si="77"/>
        <v>&lt;ct5111&gt;</v>
      </c>
      <c r="H820" s="260">
        <f>VLOOKUP(O820,BCDTK!$E$9:$L$132,6,0)</f>
        <v>0</v>
      </c>
      <c r="I820" s="261" t="str">
        <f t="shared" si="78"/>
        <v>&lt;/ct5111&gt;</v>
      </c>
      <c r="J820" s="262"/>
      <c r="K820" s="262"/>
      <c r="L820" s="262"/>
      <c r="M820" s="263"/>
      <c r="N820" s="265"/>
      <c r="O820" s="265">
        <v>5111</v>
      </c>
    </row>
    <row r="821" spans="1:15" x14ac:dyDescent="0.45">
      <c r="A821" s="253" t="str">
        <f t="shared" si="73"/>
        <v>&lt;ct5112&gt;0&lt;/ct5112&gt;</v>
      </c>
      <c r="B821" s="450" t="s">
        <v>1686</v>
      </c>
      <c r="C821" s="244">
        <f t="shared" si="74"/>
        <v>2</v>
      </c>
      <c r="D821" s="244">
        <f t="shared" si="75"/>
        <v>8</v>
      </c>
      <c r="E821" s="244">
        <f t="shared" si="76"/>
        <v>10</v>
      </c>
      <c r="G821" s="259" t="str">
        <f t="shared" si="77"/>
        <v>&lt;ct5112&gt;</v>
      </c>
      <c r="H821" s="260">
        <f>VLOOKUP(O821,BCDTK!$E$9:$L$132,6,0)</f>
        <v>0</v>
      </c>
      <c r="I821" s="261" t="str">
        <f t="shared" si="78"/>
        <v>&lt;/ct5112&gt;</v>
      </c>
      <c r="J821" s="262"/>
      <c r="K821" s="262"/>
      <c r="L821" s="262"/>
      <c r="M821" s="263"/>
      <c r="N821" s="265"/>
      <c r="O821" s="265">
        <v>5112</v>
      </c>
    </row>
    <row r="822" spans="1:15" x14ac:dyDescent="0.45">
      <c r="A822" s="253" t="str">
        <f t="shared" si="73"/>
        <v>&lt;ct5113&gt;244520964&lt;/ct5113&gt;</v>
      </c>
      <c r="B822" s="450" t="s">
        <v>1687</v>
      </c>
      <c r="C822" s="244">
        <f t="shared" si="74"/>
        <v>2</v>
      </c>
      <c r="D822" s="244">
        <f t="shared" si="75"/>
        <v>8</v>
      </c>
      <c r="E822" s="244">
        <f t="shared" si="76"/>
        <v>10</v>
      </c>
      <c r="G822" s="259" t="str">
        <f t="shared" si="77"/>
        <v>&lt;ct5113&gt;</v>
      </c>
      <c r="H822" s="260">
        <f>VLOOKUP(O822,BCDTK!$E$9:$L$132,6,0)</f>
        <v>244520964</v>
      </c>
      <c r="I822" s="261" t="str">
        <f t="shared" si="78"/>
        <v>&lt;/ct5113&gt;</v>
      </c>
      <c r="J822" s="262"/>
      <c r="K822" s="262"/>
      <c r="L822" s="262"/>
      <c r="M822" s="263"/>
      <c r="N822" s="265"/>
      <c r="O822" s="265">
        <v>5113</v>
      </c>
    </row>
    <row r="823" spans="1:15" x14ac:dyDescent="0.45">
      <c r="A823" s="253" t="str">
        <f t="shared" si="73"/>
        <v>&lt;ct5118&gt;0&lt;/ct5118&gt;</v>
      </c>
      <c r="B823" s="450" t="s">
        <v>1688</v>
      </c>
      <c r="C823" s="244">
        <f t="shared" si="74"/>
        <v>2</v>
      </c>
      <c r="D823" s="244">
        <f t="shared" si="75"/>
        <v>8</v>
      </c>
      <c r="E823" s="244">
        <f t="shared" si="76"/>
        <v>10</v>
      </c>
      <c r="G823" s="259" t="str">
        <f t="shared" si="77"/>
        <v>&lt;ct5118&gt;</v>
      </c>
      <c r="H823" s="260">
        <f>VLOOKUP(O823,BCDTK!$E$9:$L$132,6,0)</f>
        <v>0</v>
      </c>
      <c r="I823" s="261" t="str">
        <f t="shared" si="78"/>
        <v>&lt;/ct5118&gt;</v>
      </c>
      <c r="J823" s="262"/>
      <c r="K823" s="262"/>
      <c r="L823" s="262"/>
      <c r="M823" s="263"/>
      <c r="N823" s="265"/>
      <c r="O823" s="265">
        <v>5118</v>
      </c>
    </row>
    <row r="824" spans="1:15" x14ac:dyDescent="0.45">
      <c r="A824" s="253" t="str">
        <f t="shared" si="73"/>
        <v>&lt;ct515&gt;161&lt;/ct515&gt;</v>
      </c>
      <c r="B824" s="450" t="s">
        <v>1689</v>
      </c>
      <c r="C824" s="244">
        <f t="shared" si="74"/>
        <v>2</v>
      </c>
      <c r="D824" s="244">
        <f t="shared" si="75"/>
        <v>7</v>
      </c>
      <c r="E824" s="244">
        <f t="shared" si="76"/>
        <v>9</v>
      </c>
      <c r="G824" s="259" t="str">
        <f t="shared" si="77"/>
        <v>&lt;ct515&gt;</v>
      </c>
      <c r="H824" s="260">
        <f>VLOOKUP(O824,BCDTK!$E$9:$L$132,6,0)</f>
        <v>161</v>
      </c>
      <c r="I824" s="261" t="str">
        <f t="shared" si="78"/>
        <v>&lt;/ct515&gt;</v>
      </c>
      <c r="J824" s="262"/>
      <c r="K824" s="262"/>
      <c r="L824" s="262"/>
      <c r="M824" s="263"/>
      <c r="N824" s="265"/>
      <c r="O824" s="265">
        <v>515</v>
      </c>
    </row>
    <row r="825" spans="1:15" x14ac:dyDescent="0.45">
      <c r="A825" s="253" t="str">
        <f t="shared" si="73"/>
        <v>&lt;ct611&gt;0&lt;/ct611&gt;</v>
      </c>
      <c r="B825" s="450" t="s">
        <v>1690</v>
      </c>
      <c r="C825" s="244">
        <f t="shared" si="74"/>
        <v>2</v>
      </c>
      <c r="D825" s="244">
        <f t="shared" si="75"/>
        <v>7</v>
      </c>
      <c r="E825" s="244">
        <f t="shared" si="76"/>
        <v>9</v>
      </c>
      <c r="G825" s="259" t="str">
        <f t="shared" si="77"/>
        <v>&lt;ct611&gt;</v>
      </c>
      <c r="H825" s="260">
        <f>VLOOKUP(O825,BCDTK!$E$9:$L$132,6,0)</f>
        <v>0</v>
      </c>
      <c r="I825" s="261" t="str">
        <f t="shared" si="78"/>
        <v>&lt;/ct611&gt;</v>
      </c>
      <c r="J825" s="262"/>
      <c r="K825" s="262"/>
      <c r="L825" s="262"/>
      <c r="M825" s="263"/>
      <c r="N825" s="265"/>
      <c r="O825" s="265">
        <v>611</v>
      </c>
    </row>
    <row r="826" spans="1:15" x14ac:dyDescent="0.45">
      <c r="A826" s="253" t="str">
        <f t="shared" si="73"/>
        <v>&lt;ct631&gt;0&lt;/ct631&gt;</v>
      </c>
      <c r="B826" s="450" t="s">
        <v>1691</v>
      </c>
      <c r="C826" s="244">
        <f t="shared" si="74"/>
        <v>2</v>
      </c>
      <c r="D826" s="244">
        <f t="shared" si="75"/>
        <v>7</v>
      </c>
      <c r="E826" s="244">
        <f t="shared" si="76"/>
        <v>9</v>
      </c>
      <c r="G826" s="259" t="str">
        <f t="shared" si="77"/>
        <v>&lt;ct631&gt;</v>
      </c>
      <c r="H826" s="260">
        <f>VLOOKUP(O826,BCDTK!$E$9:$L$132,6,0)</f>
        <v>0</v>
      </c>
      <c r="I826" s="261" t="str">
        <f t="shared" si="78"/>
        <v>&lt;/ct631&gt;</v>
      </c>
      <c r="J826" s="262"/>
      <c r="K826" s="262"/>
      <c r="L826" s="262"/>
      <c r="M826" s="263"/>
      <c r="N826" s="265"/>
      <c r="O826" s="265">
        <v>631</v>
      </c>
    </row>
    <row r="827" spans="1:15" x14ac:dyDescent="0.45">
      <c r="A827" s="253" t="str">
        <f t="shared" si="73"/>
        <v>&lt;ct632&gt;183572894&lt;/ct632&gt;</v>
      </c>
      <c r="B827" s="450" t="s">
        <v>1692</v>
      </c>
      <c r="C827" s="244">
        <f t="shared" si="74"/>
        <v>2</v>
      </c>
      <c r="D827" s="244">
        <f t="shared" si="75"/>
        <v>7</v>
      </c>
      <c r="E827" s="244">
        <f t="shared" si="76"/>
        <v>9</v>
      </c>
      <c r="G827" s="259" t="str">
        <f t="shared" si="77"/>
        <v>&lt;ct632&gt;</v>
      </c>
      <c r="H827" s="260">
        <f>VLOOKUP(O827,BCDTK!$E$9:$L$132,6,0)</f>
        <v>183572894</v>
      </c>
      <c r="I827" s="261" t="str">
        <f t="shared" si="78"/>
        <v>&lt;/ct632&gt;</v>
      </c>
      <c r="J827" s="262"/>
      <c r="K827" s="262"/>
      <c r="L827" s="262"/>
      <c r="M827" s="263"/>
      <c r="N827" s="265"/>
      <c r="O827" s="265">
        <v>632</v>
      </c>
    </row>
    <row r="828" spans="1:15" x14ac:dyDescent="0.45">
      <c r="A828" s="253" t="str">
        <f t="shared" si="73"/>
        <v>&lt;ct635&gt;2573376&lt;/ct635&gt;</v>
      </c>
      <c r="B828" s="450" t="s">
        <v>1693</v>
      </c>
      <c r="C828" s="244">
        <f t="shared" si="74"/>
        <v>2</v>
      </c>
      <c r="D828" s="244">
        <f t="shared" si="75"/>
        <v>7</v>
      </c>
      <c r="E828" s="244">
        <f t="shared" si="76"/>
        <v>9</v>
      </c>
      <c r="G828" s="259" t="str">
        <f t="shared" si="77"/>
        <v>&lt;ct635&gt;</v>
      </c>
      <c r="H828" s="260">
        <f>VLOOKUP(O828,BCDTK!$E$9:$L$132,6,0)</f>
        <v>2573376</v>
      </c>
      <c r="I828" s="261" t="str">
        <f t="shared" si="78"/>
        <v>&lt;/ct635&gt;</v>
      </c>
      <c r="J828" s="262"/>
      <c r="K828" s="262"/>
      <c r="L828" s="262"/>
      <c r="M828" s="263"/>
      <c r="N828" s="265"/>
      <c r="O828" s="265">
        <v>635</v>
      </c>
    </row>
    <row r="829" spans="1:15" x14ac:dyDescent="0.45">
      <c r="A829" s="253" t="str">
        <f t="shared" si="73"/>
        <v>&lt;ct642&gt;46432205&lt;/ct642&gt;</v>
      </c>
      <c r="B829" s="450" t="s">
        <v>1694</v>
      </c>
      <c r="C829" s="244">
        <f t="shared" si="74"/>
        <v>2</v>
      </c>
      <c r="D829" s="244">
        <f t="shared" si="75"/>
        <v>7</v>
      </c>
      <c r="E829" s="244">
        <f t="shared" si="76"/>
        <v>9</v>
      </c>
      <c r="G829" s="259" t="str">
        <f t="shared" si="77"/>
        <v>&lt;ct642&gt;</v>
      </c>
      <c r="H829" s="260">
        <f>VLOOKUP(O829,BCDTK!$E$9:$L$132,6,0)</f>
        <v>46432205</v>
      </c>
      <c r="I829" s="261" t="str">
        <f t="shared" si="78"/>
        <v>&lt;/ct642&gt;</v>
      </c>
      <c r="J829" s="262"/>
      <c r="K829" s="262"/>
      <c r="L829" s="262"/>
      <c r="M829" s="263"/>
      <c r="N829" s="265"/>
      <c r="O829" s="265">
        <v>642</v>
      </c>
    </row>
    <row r="830" spans="1:15" x14ac:dyDescent="0.45">
      <c r="A830" s="253" t="str">
        <f t="shared" si="73"/>
        <v>&lt;ct6421&gt;46432205&lt;/ct6421&gt;</v>
      </c>
      <c r="B830" s="450" t="s">
        <v>1695</v>
      </c>
      <c r="C830" s="244">
        <f t="shared" si="74"/>
        <v>2</v>
      </c>
      <c r="D830" s="244">
        <f t="shared" si="75"/>
        <v>8</v>
      </c>
      <c r="E830" s="244">
        <f t="shared" si="76"/>
        <v>10</v>
      </c>
      <c r="G830" s="259" t="str">
        <f t="shared" si="77"/>
        <v>&lt;ct6421&gt;</v>
      </c>
      <c r="H830" s="260">
        <f>VLOOKUP(O830,BCDTK!$E$9:$L$132,6,0)</f>
        <v>46432205</v>
      </c>
      <c r="I830" s="261" t="str">
        <f t="shared" si="78"/>
        <v>&lt;/ct6421&gt;</v>
      </c>
      <c r="J830" s="262"/>
      <c r="K830" s="262"/>
      <c r="L830" s="262"/>
      <c r="M830" s="263"/>
      <c r="N830" s="265"/>
      <c r="O830" s="265">
        <v>6421</v>
      </c>
    </row>
    <row r="831" spans="1:15" x14ac:dyDescent="0.45">
      <c r="A831" s="253" t="str">
        <f t="shared" si="73"/>
        <v>&lt;ct6422&gt;0&lt;/ct6422&gt;</v>
      </c>
      <c r="B831" s="450" t="s">
        <v>1696</v>
      </c>
      <c r="C831" s="244">
        <f t="shared" si="74"/>
        <v>2</v>
      </c>
      <c r="D831" s="244">
        <f t="shared" si="75"/>
        <v>8</v>
      </c>
      <c r="E831" s="244">
        <f t="shared" si="76"/>
        <v>10</v>
      </c>
      <c r="G831" s="259" t="str">
        <f t="shared" si="77"/>
        <v>&lt;ct6422&gt;</v>
      </c>
      <c r="H831" s="260">
        <f>VLOOKUP(O831,BCDTK!$E$9:$L$132,6,0)</f>
        <v>0</v>
      </c>
      <c r="I831" s="261" t="str">
        <f t="shared" si="78"/>
        <v>&lt;/ct6422&gt;</v>
      </c>
      <c r="J831" s="262"/>
      <c r="K831" s="262"/>
      <c r="L831" s="262"/>
      <c r="M831" s="263"/>
      <c r="N831" s="265"/>
      <c r="O831" s="265">
        <v>6422</v>
      </c>
    </row>
    <row r="832" spans="1:15" x14ac:dyDescent="0.45">
      <c r="A832" s="253" t="str">
        <f t="shared" si="73"/>
        <v>&lt;ct711&gt;5555556&lt;/ct711&gt;</v>
      </c>
      <c r="B832" s="450" t="s">
        <v>1697</v>
      </c>
      <c r="C832" s="244">
        <f t="shared" si="74"/>
        <v>2</v>
      </c>
      <c r="D832" s="244">
        <f t="shared" si="75"/>
        <v>7</v>
      </c>
      <c r="E832" s="244">
        <f t="shared" si="76"/>
        <v>9</v>
      </c>
      <c r="G832" s="259" t="str">
        <f t="shared" si="77"/>
        <v>&lt;ct711&gt;</v>
      </c>
      <c r="H832" s="260">
        <f>VLOOKUP(O832,BCDTK!$E$9:$L$132,6,0)</f>
        <v>5555556</v>
      </c>
      <c r="I832" s="261" t="str">
        <f t="shared" si="78"/>
        <v>&lt;/ct711&gt;</v>
      </c>
      <c r="J832" s="262"/>
      <c r="K832" s="262"/>
      <c r="L832" s="262"/>
      <c r="M832" s="263"/>
      <c r="N832" s="265"/>
      <c r="O832" s="265">
        <v>711</v>
      </c>
    </row>
    <row r="833" spans="1:15" x14ac:dyDescent="0.45">
      <c r="A833" s="253" t="str">
        <f t="shared" si="73"/>
        <v>&lt;ct811&gt;7540197&lt;/ct811&gt;</v>
      </c>
      <c r="B833" s="450" t="s">
        <v>1698</v>
      </c>
      <c r="C833" s="244">
        <f t="shared" si="74"/>
        <v>2</v>
      </c>
      <c r="D833" s="244">
        <f t="shared" si="75"/>
        <v>7</v>
      </c>
      <c r="E833" s="244">
        <f t="shared" si="76"/>
        <v>9</v>
      </c>
      <c r="G833" s="259" t="str">
        <f t="shared" si="77"/>
        <v>&lt;ct811&gt;</v>
      </c>
      <c r="H833" s="260">
        <f>VLOOKUP(O833,BCDTK!$E$9:$L$132,6,0)</f>
        <v>7540197</v>
      </c>
      <c r="I833" s="261" t="str">
        <f t="shared" si="78"/>
        <v>&lt;/ct811&gt;</v>
      </c>
      <c r="J833" s="262"/>
      <c r="K833" s="262"/>
      <c r="L833" s="262"/>
      <c r="M833" s="263"/>
      <c r="N833" s="265"/>
      <c r="O833" s="265">
        <v>811</v>
      </c>
    </row>
    <row r="834" spans="1:15" x14ac:dyDescent="0.45">
      <c r="A834" s="253" t="str">
        <f t="shared" si="73"/>
        <v>&lt;ct821&gt;2035545&lt;/ct821&gt;</v>
      </c>
      <c r="B834" s="450" t="s">
        <v>1699</v>
      </c>
      <c r="C834" s="244">
        <f t="shared" si="74"/>
        <v>2</v>
      </c>
      <c r="D834" s="244">
        <f t="shared" si="75"/>
        <v>7</v>
      </c>
      <c r="E834" s="244">
        <f t="shared" si="76"/>
        <v>9</v>
      </c>
      <c r="G834" s="259" t="str">
        <f t="shared" si="77"/>
        <v>&lt;ct821&gt;</v>
      </c>
      <c r="H834" s="260">
        <f>VLOOKUP(O834,BCDTK!$E$9:$L$132,6,0)</f>
        <v>2035545</v>
      </c>
      <c r="I834" s="261" t="str">
        <f t="shared" si="78"/>
        <v>&lt;/ct821&gt;</v>
      </c>
      <c r="J834" s="262"/>
      <c r="K834" s="262"/>
      <c r="L834" s="262"/>
      <c r="M834" s="263"/>
      <c r="N834" s="265"/>
      <c r="O834" s="265">
        <v>821</v>
      </c>
    </row>
    <row r="835" spans="1:15" x14ac:dyDescent="0.45">
      <c r="A835" s="253" t="str">
        <f t="shared" si="73"/>
        <v>&lt;ct911&gt;250076681&lt;/ct911&gt;</v>
      </c>
      <c r="B835" s="450" t="s">
        <v>1700</v>
      </c>
      <c r="C835" s="244">
        <f t="shared" si="74"/>
        <v>2</v>
      </c>
      <c r="D835" s="244">
        <f t="shared" si="75"/>
        <v>7</v>
      </c>
      <c r="E835" s="244">
        <f t="shared" si="76"/>
        <v>9</v>
      </c>
      <c r="G835" s="259" t="str">
        <f t="shared" si="77"/>
        <v>&lt;ct911&gt;</v>
      </c>
      <c r="H835" s="260">
        <f>VLOOKUP(O835,BCDTK!$E$9:$L$132,6,0)</f>
        <v>250076681</v>
      </c>
      <c r="I835" s="261" t="str">
        <f t="shared" si="78"/>
        <v>&lt;/ct911&gt;</v>
      </c>
      <c r="J835" s="262"/>
      <c r="K835" s="262"/>
      <c r="L835" s="262"/>
      <c r="M835" s="263"/>
      <c r="N835" s="265"/>
      <c r="O835" s="265">
        <v>911</v>
      </c>
    </row>
    <row r="836" spans="1:15" x14ac:dyDescent="0.45">
      <c r="A836" s="253" t="str">
        <f t="shared" ref="A836:A899" si="79">CONCATENATE(G836,H836,I836)</f>
        <v>&lt;tongCong&gt;2698057779&lt;/tongCong&gt;</v>
      </c>
      <c r="B836" s="450" t="s">
        <v>1701</v>
      </c>
      <c r="C836" s="244">
        <f t="shared" si="74"/>
        <v>2</v>
      </c>
      <c r="D836" s="244">
        <f t="shared" si="75"/>
        <v>10</v>
      </c>
      <c r="E836" s="244">
        <f t="shared" si="76"/>
        <v>12</v>
      </c>
      <c r="G836" s="259" t="str">
        <f t="shared" si="77"/>
        <v>&lt;tongCong&gt;</v>
      </c>
      <c r="H836" s="260">
        <f>VLOOKUP(O836,BCDTK!$E$9:$L$132,6,0)</f>
        <v>2698057779</v>
      </c>
      <c r="I836" s="261" t="str">
        <f t="shared" si="78"/>
        <v>&lt;/tongCong&gt;</v>
      </c>
      <c r="J836" s="262"/>
      <c r="K836" s="262"/>
      <c r="L836" s="262"/>
      <c r="M836" s="263"/>
      <c r="N836" s="265"/>
      <c r="O836" s="265" t="s">
        <v>1794</v>
      </c>
    </row>
    <row r="837" spans="1:15" x14ac:dyDescent="0.45">
      <c r="A837" s="253" t="str">
        <f t="shared" si="79"/>
        <v>&lt;/Co&gt;</v>
      </c>
      <c r="B837" s="450" t="s">
        <v>1704</v>
      </c>
      <c r="C837" s="244">
        <f t="shared" si="74"/>
        <v>1</v>
      </c>
      <c r="D837" s="244">
        <f t="shared" si="75"/>
        <v>5</v>
      </c>
      <c r="E837" s="244">
        <f t="shared" si="76"/>
        <v>1</v>
      </c>
      <c r="G837" s="259" t="str">
        <f t="shared" si="77"/>
        <v>&lt;/Co&gt;</v>
      </c>
      <c r="H837" s="260"/>
      <c r="I837" s="261" t="str">
        <f t="shared" si="78"/>
        <v/>
      </c>
      <c r="J837" s="262"/>
      <c r="K837" s="262"/>
      <c r="L837" s="262"/>
      <c r="M837" s="263"/>
      <c r="N837" s="265"/>
    </row>
    <row r="838" spans="1:15" x14ac:dyDescent="0.45">
      <c r="A838" s="253" t="str">
        <f t="shared" si="79"/>
        <v>&lt;/SoPhatSinhTrongKy&gt;</v>
      </c>
      <c r="B838" s="450" t="s">
        <v>1770</v>
      </c>
      <c r="C838" s="244">
        <f t="shared" si="74"/>
        <v>1</v>
      </c>
      <c r="D838" s="244">
        <f t="shared" si="75"/>
        <v>20</v>
      </c>
      <c r="E838" s="244">
        <f t="shared" si="76"/>
        <v>1</v>
      </c>
      <c r="G838" s="259" t="str">
        <f t="shared" si="77"/>
        <v>&lt;/SoPhatSinhTrongKy&gt;</v>
      </c>
      <c r="H838" s="260"/>
      <c r="I838" s="261" t="str">
        <f t="shared" si="78"/>
        <v/>
      </c>
      <c r="J838" s="262"/>
      <c r="K838" s="262"/>
      <c r="L838" s="262"/>
      <c r="M838" s="263"/>
      <c r="N838" s="265"/>
    </row>
    <row r="839" spans="1:15" x14ac:dyDescent="0.45">
      <c r="A839" s="253" t="str">
        <f t="shared" si="79"/>
        <v>&lt;SoDuCuoiKy&gt;</v>
      </c>
      <c r="B839" s="450" t="s">
        <v>1771</v>
      </c>
      <c r="C839" s="244">
        <f t="shared" si="74"/>
        <v>1</v>
      </c>
      <c r="D839" s="244">
        <f t="shared" si="75"/>
        <v>12</v>
      </c>
      <c r="E839" s="244" t="str">
        <f t="shared" si="76"/>
        <v/>
      </c>
      <c r="G839" s="259" t="str">
        <f t="shared" si="77"/>
        <v>&lt;SoDuCuoiKy&gt;</v>
      </c>
      <c r="H839" s="260"/>
      <c r="I839" s="261" t="str">
        <f t="shared" si="78"/>
        <v/>
      </c>
      <c r="J839" s="262"/>
      <c r="K839" s="262"/>
      <c r="L839" s="262"/>
      <c r="M839" s="263"/>
      <c r="N839" s="265"/>
    </row>
    <row r="840" spans="1:15" x14ac:dyDescent="0.45">
      <c r="A840" s="253" t="str">
        <f t="shared" si="79"/>
        <v>&lt;No&gt;</v>
      </c>
      <c r="B840" s="450" t="s">
        <v>1586</v>
      </c>
      <c r="C840" s="244">
        <f t="shared" si="74"/>
        <v>1</v>
      </c>
      <c r="D840" s="244">
        <f t="shared" si="75"/>
        <v>4</v>
      </c>
      <c r="E840" s="244" t="str">
        <f t="shared" si="76"/>
        <v/>
      </c>
      <c r="G840" s="259" t="str">
        <f t="shared" si="77"/>
        <v>&lt;No&gt;</v>
      </c>
      <c r="H840" s="260"/>
      <c r="I840" s="261" t="str">
        <f t="shared" si="78"/>
        <v/>
      </c>
      <c r="J840" s="262"/>
      <c r="K840" s="262"/>
      <c r="L840" s="262"/>
      <c r="M840" s="263"/>
      <c r="N840" s="265"/>
    </row>
    <row r="841" spans="1:15" x14ac:dyDescent="0.45">
      <c r="A841" s="253" t="str">
        <f t="shared" si="79"/>
        <v>&lt;ct111&gt;297125444&lt;/ct111&gt;</v>
      </c>
      <c r="B841" s="450" t="s">
        <v>1587</v>
      </c>
      <c r="C841" s="244">
        <f t="shared" ref="C841:C904" si="80">LEN(B841)-LEN(SUBSTITUTE(B841,"&lt;",""))</f>
        <v>2</v>
      </c>
      <c r="D841" s="244">
        <f t="shared" ref="D841:D904" si="81">SEARCH("&gt;",B841)</f>
        <v>7</v>
      </c>
      <c r="E841" s="244">
        <f t="shared" ref="E841:E904" si="82">IFERROR(SEARCH("&lt;/",B841),"")</f>
        <v>9</v>
      </c>
      <c r="G841" s="259" t="str">
        <f t="shared" ref="G841:G904" si="83">LEFT(B841,D841)</f>
        <v>&lt;ct111&gt;</v>
      </c>
      <c r="H841" s="260">
        <f>VLOOKUP(O841,BCDTK!$E$9:$L$132,7,0)</f>
        <v>297125444</v>
      </c>
      <c r="I841" s="261" t="str">
        <f t="shared" ref="I841:I904" si="84">IF(C841=2,RIGHT(B841,LEN(B841)-E841+1),"")</f>
        <v>&lt;/ct111&gt;</v>
      </c>
      <c r="J841" s="262"/>
      <c r="K841" s="262"/>
      <c r="L841" s="262"/>
      <c r="M841" s="263"/>
      <c r="N841" s="265"/>
      <c r="O841" s="265">
        <v>111</v>
      </c>
    </row>
    <row r="842" spans="1:15" x14ac:dyDescent="0.45">
      <c r="A842" s="253" t="str">
        <f t="shared" si="79"/>
        <v>&lt;ct1111&gt;297125444&lt;/ct1111&gt;</v>
      </c>
      <c r="B842" s="450" t="s">
        <v>1588</v>
      </c>
      <c r="C842" s="244">
        <f t="shared" si="80"/>
        <v>2</v>
      </c>
      <c r="D842" s="244">
        <f t="shared" si="81"/>
        <v>8</v>
      </c>
      <c r="E842" s="244">
        <f t="shared" si="82"/>
        <v>10</v>
      </c>
      <c r="G842" s="259" t="str">
        <f t="shared" si="83"/>
        <v>&lt;ct1111&gt;</v>
      </c>
      <c r="H842" s="260">
        <f>VLOOKUP(O842,BCDTK!$E$9:$L$132,7,0)</f>
        <v>297125444</v>
      </c>
      <c r="I842" s="261" t="str">
        <f t="shared" si="84"/>
        <v>&lt;/ct1111&gt;</v>
      </c>
      <c r="J842" s="262"/>
      <c r="K842" s="262"/>
      <c r="L842" s="262"/>
      <c r="M842" s="263"/>
      <c r="N842" s="265"/>
      <c r="O842" s="265">
        <v>1111</v>
      </c>
    </row>
    <row r="843" spans="1:15" x14ac:dyDescent="0.45">
      <c r="A843" s="253" t="str">
        <f t="shared" si="79"/>
        <v>&lt;ct1112&gt;0&lt;/ct1112&gt;</v>
      </c>
      <c r="B843" s="450" t="s">
        <v>1589</v>
      </c>
      <c r="C843" s="244">
        <f t="shared" si="80"/>
        <v>2</v>
      </c>
      <c r="D843" s="244">
        <f t="shared" si="81"/>
        <v>8</v>
      </c>
      <c r="E843" s="244">
        <f t="shared" si="82"/>
        <v>10</v>
      </c>
      <c r="G843" s="259" t="str">
        <f t="shared" si="83"/>
        <v>&lt;ct1112&gt;</v>
      </c>
      <c r="H843" s="260">
        <f>VLOOKUP(O843,BCDTK!$E$9:$L$132,7,0)</f>
        <v>0</v>
      </c>
      <c r="I843" s="261" t="str">
        <f t="shared" si="84"/>
        <v>&lt;/ct1112&gt;</v>
      </c>
      <c r="J843" s="262"/>
      <c r="K843" s="262"/>
      <c r="L843" s="262"/>
      <c r="M843" s="263"/>
      <c r="N843" s="265"/>
      <c r="O843" s="265">
        <v>1112</v>
      </c>
    </row>
    <row r="844" spans="1:15" x14ac:dyDescent="0.45">
      <c r="A844" s="253" t="str">
        <f t="shared" si="79"/>
        <v>&lt;ct112&gt;143106&lt;/ct112&gt;</v>
      </c>
      <c r="B844" s="450" t="s">
        <v>1590</v>
      </c>
      <c r="C844" s="244">
        <f t="shared" si="80"/>
        <v>2</v>
      </c>
      <c r="D844" s="244">
        <f t="shared" si="81"/>
        <v>7</v>
      </c>
      <c r="E844" s="244">
        <f t="shared" si="82"/>
        <v>9</v>
      </c>
      <c r="G844" s="259" t="str">
        <f t="shared" si="83"/>
        <v>&lt;ct112&gt;</v>
      </c>
      <c r="H844" s="260">
        <f>VLOOKUP(O844,BCDTK!$E$9:$L$132,7,0)</f>
        <v>143106</v>
      </c>
      <c r="I844" s="261" t="str">
        <f t="shared" si="84"/>
        <v>&lt;/ct112&gt;</v>
      </c>
      <c r="J844" s="262"/>
      <c r="K844" s="262"/>
      <c r="L844" s="262"/>
      <c r="M844" s="263"/>
      <c r="N844" s="265"/>
      <c r="O844" s="265">
        <v>112</v>
      </c>
    </row>
    <row r="845" spans="1:15" x14ac:dyDescent="0.45">
      <c r="A845" s="253" t="str">
        <f t="shared" si="79"/>
        <v>&lt;ct1121&gt;143106&lt;/ct1121&gt;</v>
      </c>
      <c r="B845" s="450" t="s">
        <v>1591</v>
      </c>
      <c r="C845" s="244">
        <f t="shared" si="80"/>
        <v>2</v>
      </c>
      <c r="D845" s="244">
        <f t="shared" si="81"/>
        <v>8</v>
      </c>
      <c r="E845" s="244">
        <f t="shared" si="82"/>
        <v>10</v>
      </c>
      <c r="G845" s="259" t="str">
        <f t="shared" si="83"/>
        <v>&lt;ct1121&gt;</v>
      </c>
      <c r="H845" s="260">
        <f>VLOOKUP(O845,BCDTK!$E$9:$L$132,7,0)</f>
        <v>143106</v>
      </c>
      <c r="I845" s="261" t="str">
        <f t="shared" si="84"/>
        <v>&lt;/ct1121&gt;</v>
      </c>
      <c r="J845" s="262"/>
      <c r="K845" s="262"/>
      <c r="L845" s="262"/>
      <c r="M845" s="263"/>
      <c r="N845" s="265"/>
      <c r="O845" s="265">
        <v>1121</v>
      </c>
    </row>
    <row r="846" spans="1:15" x14ac:dyDescent="0.45">
      <c r="A846" s="253" t="str">
        <f t="shared" si="79"/>
        <v>&lt;ct1122&gt;0&lt;/ct1122&gt;</v>
      </c>
      <c r="B846" s="450" t="s">
        <v>1592</v>
      </c>
      <c r="C846" s="244">
        <f t="shared" si="80"/>
        <v>2</v>
      </c>
      <c r="D846" s="244">
        <f t="shared" si="81"/>
        <v>8</v>
      </c>
      <c r="E846" s="244">
        <f t="shared" si="82"/>
        <v>10</v>
      </c>
      <c r="G846" s="259" t="str">
        <f t="shared" si="83"/>
        <v>&lt;ct1122&gt;</v>
      </c>
      <c r="H846" s="260">
        <f>VLOOKUP(O846,BCDTK!$E$9:$L$132,7,0)</f>
        <v>0</v>
      </c>
      <c r="I846" s="261" t="str">
        <f t="shared" si="84"/>
        <v>&lt;/ct1122&gt;</v>
      </c>
      <c r="J846" s="262"/>
      <c r="K846" s="262"/>
      <c r="L846" s="262"/>
      <c r="M846" s="263"/>
      <c r="N846" s="265"/>
      <c r="O846" s="265">
        <v>1122</v>
      </c>
    </row>
    <row r="847" spans="1:15" x14ac:dyDescent="0.45">
      <c r="A847" s="253" t="str">
        <f t="shared" si="79"/>
        <v>&lt;ct121&gt;0&lt;/ct121&gt;</v>
      </c>
      <c r="B847" s="450" t="s">
        <v>1461</v>
      </c>
      <c r="C847" s="244">
        <f t="shared" si="80"/>
        <v>2</v>
      </c>
      <c r="D847" s="244">
        <f t="shared" si="81"/>
        <v>7</v>
      </c>
      <c r="E847" s="244">
        <f t="shared" si="82"/>
        <v>9</v>
      </c>
      <c r="G847" s="259" t="str">
        <f t="shared" si="83"/>
        <v>&lt;ct121&gt;</v>
      </c>
      <c r="H847" s="260">
        <f>VLOOKUP(O847,BCDTK!$E$9:$L$132,7,0)</f>
        <v>0</v>
      </c>
      <c r="I847" s="261" t="str">
        <f t="shared" si="84"/>
        <v>&lt;/ct121&gt;</v>
      </c>
      <c r="J847" s="262"/>
      <c r="K847" s="262"/>
      <c r="L847" s="262"/>
      <c r="M847" s="263"/>
      <c r="N847" s="265"/>
      <c r="O847" s="265">
        <v>121</v>
      </c>
    </row>
    <row r="848" spans="1:15" x14ac:dyDescent="0.45">
      <c r="A848" s="253" t="str">
        <f t="shared" si="79"/>
        <v>&lt;ct128&gt;0&lt;/ct128&gt;</v>
      </c>
      <c r="B848" s="450" t="s">
        <v>1593</v>
      </c>
      <c r="C848" s="244">
        <f t="shared" si="80"/>
        <v>2</v>
      </c>
      <c r="D848" s="244">
        <f t="shared" si="81"/>
        <v>7</v>
      </c>
      <c r="E848" s="244">
        <f t="shared" si="82"/>
        <v>9</v>
      </c>
      <c r="G848" s="259" t="str">
        <f t="shared" si="83"/>
        <v>&lt;ct128&gt;</v>
      </c>
      <c r="H848" s="260">
        <f>VLOOKUP(O848,BCDTK!$E$9:$L$132,7,0)</f>
        <v>0</v>
      </c>
      <c r="I848" s="261" t="str">
        <f t="shared" si="84"/>
        <v>&lt;/ct128&gt;</v>
      </c>
      <c r="J848" s="262"/>
      <c r="K848" s="262"/>
      <c r="L848" s="262"/>
      <c r="M848" s="263"/>
      <c r="N848" s="265"/>
      <c r="O848" s="265">
        <v>128</v>
      </c>
    </row>
    <row r="849" spans="1:15" x14ac:dyDescent="0.45">
      <c r="A849" s="253" t="str">
        <f t="shared" si="79"/>
        <v>&lt;ct1281&gt;0&lt;/ct1281&gt;</v>
      </c>
      <c r="B849" s="450" t="s">
        <v>1594</v>
      </c>
      <c r="C849" s="244">
        <f t="shared" si="80"/>
        <v>2</v>
      </c>
      <c r="D849" s="244">
        <f t="shared" si="81"/>
        <v>8</v>
      </c>
      <c r="E849" s="244">
        <f t="shared" si="82"/>
        <v>10</v>
      </c>
      <c r="G849" s="259" t="str">
        <f t="shared" si="83"/>
        <v>&lt;ct1281&gt;</v>
      </c>
      <c r="H849" s="260">
        <f>VLOOKUP(O849,BCDTK!$E$9:$L$132,7,0)</f>
        <v>0</v>
      </c>
      <c r="I849" s="261" t="str">
        <f t="shared" si="84"/>
        <v>&lt;/ct1281&gt;</v>
      </c>
      <c r="J849" s="262"/>
      <c r="K849" s="262"/>
      <c r="L849" s="262"/>
      <c r="M849" s="263"/>
      <c r="N849" s="265"/>
      <c r="O849" s="265">
        <v>1281</v>
      </c>
    </row>
    <row r="850" spans="1:15" x14ac:dyDescent="0.45">
      <c r="A850" s="253" t="str">
        <f t="shared" si="79"/>
        <v>&lt;ct1288&gt;0&lt;/ct1288&gt;</v>
      </c>
      <c r="B850" s="450" t="s">
        <v>1595</v>
      </c>
      <c r="C850" s="244">
        <f t="shared" si="80"/>
        <v>2</v>
      </c>
      <c r="D850" s="244">
        <f t="shared" si="81"/>
        <v>8</v>
      </c>
      <c r="E850" s="244">
        <f t="shared" si="82"/>
        <v>10</v>
      </c>
      <c r="G850" s="259" t="str">
        <f t="shared" si="83"/>
        <v>&lt;ct1288&gt;</v>
      </c>
      <c r="H850" s="260">
        <f>VLOOKUP(O850,BCDTK!$E$9:$L$132,7,0)</f>
        <v>0</v>
      </c>
      <c r="I850" s="261" t="str">
        <f t="shared" si="84"/>
        <v>&lt;/ct1288&gt;</v>
      </c>
      <c r="J850" s="262"/>
      <c r="K850" s="262"/>
      <c r="L850" s="262"/>
      <c r="M850" s="263"/>
      <c r="N850" s="265"/>
      <c r="O850" s="265">
        <v>1288</v>
      </c>
    </row>
    <row r="851" spans="1:15" x14ac:dyDescent="0.45">
      <c r="A851" s="253" t="str">
        <f t="shared" si="79"/>
        <v>&lt;ct131&gt;23880000&lt;/ct131&gt;</v>
      </c>
      <c r="B851" s="450" t="s">
        <v>1510</v>
      </c>
      <c r="C851" s="244">
        <f t="shared" si="80"/>
        <v>2</v>
      </c>
      <c r="D851" s="244">
        <f t="shared" si="81"/>
        <v>7</v>
      </c>
      <c r="E851" s="244">
        <f t="shared" si="82"/>
        <v>9</v>
      </c>
      <c r="G851" s="259" t="str">
        <f t="shared" si="83"/>
        <v>&lt;ct131&gt;</v>
      </c>
      <c r="H851" s="260">
        <f>VLOOKUP(O851,BCDTK!$E$9:$L$132,7,0)</f>
        <v>23880000</v>
      </c>
      <c r="I851" s="261" t="str">
        <f t="shared" si="84"/>
        <v>&lt;/ct131&gt;</v>
      </c>
      <c r="J851" s="262"/>
      <c r="K851" s="262"/>
      <c r="L851" s="262"/>
      <c r="M851" s="263"/>
      <c r="N851" s="265"/>
      <c r="O851" s="265">
        <v>131</v>
      </c>
    </row>
    <row r="852" spans="1:15" x14ac:dyDescent="0.45">
      <c r="A852" s="253" t="str">
        <f t="shared" si="79"/>
        <v>&lt;ct133&gt;39033631&lt;/ct133&gt;</v>
      </c>
      <c r="B852" s="450" t="s">
        <v>1468</v>
      </c>
      <c r="C852" s="244">
        <f t="shared" si="80"/>
        <v>2</v>
      </c>
      <c r="D852" s="244">
        <f t="shared" si="81"/>
        <v>7</v>
      </c>
      <c r="E852" s="244">
        <f t="shared" si="82"/>
        <v>9</v>
      </c>
      <c r="G852" s="259" t="str">
        <f t="shared" si="83"/>
        <v>&lt;ct133&gt;</v>
      </c>
      <c r="H852" s="260">
        <f>VLOOKUP(O852,BCDTK!$E$9:$L$132,7,0)</f>
        <v>39033631</v>
      </c>
      <c r="I852" s="261" t="str">
        <f t="shared" si="84"/>
        <v>&lt;/ct133&gt;</v>
      </c>
      <c r="J852" s="262"/>
      <c r="K852" s="262"/>
      <c r="L852" s="262"/>
      <c r="M852" s="263"/>
      <c r="N852" s="265"/>
      <c r="O852" s="265">
        <v>133</v>
      </c>
    </row>
    <row r="853" spans="1:15" x14ac:dyDescent="0.45">
      <c r="A853" s="253" t="str">
        <f t="shared" si="79"/>
        <v>&lt;ct1331&gt;39033631&lt;/ct1331&gt;</v>
      </c>
      <c r="B853" s="450" t="s">
        <v>1596</v>
      </c>
      <c r="C853" s="244">
        <f t="shared" si="80"/>
        <v>2</v>
      </c>
      <c r="D853" s="244">
        <f t="shared" si="81"/>
        <v>8</v>
      </c>
      <c r="E853" s="244">
        <f t="shared" si="82"/>
        <v>10</v>
      </c>
      <c r="G853" s="259" t="str">
        <f t="shared" si="83"/>
        <v>&lt;ct1331&gt;</v>
      </c>
      <c r="H853" s="260">
        <f>VLOOKUP(O853,BCDTK!$E$9:$L$132,7,0)</f>
        <v>39033631</v>
      </c>
      <c r="I853" s="261" t="str">
        <f t="shared" si="84"/>
        <v>&lt;/ct1331&gt;</v>
      </c>
      <c r="J853" s="262"/>
      <c r="K853" s="262"/>
      <c r="L853" s="262"/>
      <c r="M853" s="263"/>
      <c r="N853" s="265"/>
      <c r="O853" s="265">
        <v>1331</v>
      </c>
    </row>
    <row r="854" spans="1:15" x14ac:dyDescent="0.45">
      <c r="A854" s="253" t="str">
        <f t="shared" si="79"/>
        <v>&lt;ct1332&gt;0&lt;/ct1332&gt;</v>
      </c>
      <c r="B854" s="450" t="s">
        <v>1597</v>
      </c>
      <c r="C854" s="244">
        <f t="shared" si="80"/>
        <v>2</v>
      </c>
      <c r="D854" s="244">
        <f t="shared" si="81"/>
        <v>8</v>
      </c>
      <c r="E854" s="244">
        <f t="shared" si="82"/>
        <v>10</v>
      </c>
      <c r="G854" s="259" t="str">
        <f t="shared" si="83"/>
        <v>&lt;ct1332&gt;</v>
      </c>
      <c r="H854" s="260">
        <f>VLOOKUP(O854,BCDTK!$E$9:$L$132,7,0)</f>
        <v>0</v>
      </c>
      <c r="I854" s="261" t="str">
        <f t="shared" si="84"/>
        <v>&lt;/ct1332&gt;</v>
      </c>
      <c r="J854" s="262"/>
      <c r="K854" s="262"/>
      <c r="L854" s="262"/>
      <c r="M854" s="263"/>
      <c r="N854" s="265"/>
      <c r="O854" s="265">
        <v>1332</v>
      </c>
    </row>
    <row r="855" spans="1:15" x14ac:dyDescent="0.45">
      <c r="A855" s="253" t="str">
        <f t="shared" si="79"/>
        <v>&lt;ct136&gt;0&lt;/ct136&gt;</v>
      </c>
      <c r="B855" s="450" t="s">
        <v>1471</v>
      </c>
      <c r="C855" s="244">
        <f t="shared" si="80"/>
        <v>2</v>
      </c>
      <c r="D855" s="244">
        <f t="shared" si="81"/>
        <v>7</v>
      </c>
      <c r="E855" s="244">
        <f t="shared" si="82"/>
        <v>9</v>
      </c>
      <c r="G855" s="259" t="str">
        <f t="shared" si="83"/>
        <v>&lt;ct136&gt;</v>
      </c>
      <c r="H855" s="260">
        <f>VLOOKUP(O855,BCDTK!$E$9:$L$132,7,0)</f>
        <v>0</v>
      </c>
      <c r="I855" s="261" t="str">
        <f t="shared" si="84"/>
        <v>&lt;/ct136&gt;</v>
      </c>
      <c r="J855" s="262"/>
      <c r="K855" s="262"/>
      <c r="L855" s="262"/>
      <c r="M855" s="263"/>
      <c r="N855" s="265"/>
      <c r="O855" s="265">
        <v>136</v>
      </c>
    </row>
    <row r="856" spans="1:15" x14ac:dyDescent="0.45">
      <c r="A856" s="253" t="str">
        <f t="shared" si="79"/>
        <v>&lt;ct1361&gt;0&lt;/ct1361&gt;</v>
      </c>
      <c r="B856" s="450" t="s">
        <v>1598</v>
      </c>
      <c r="C856" s="244">
        <f t="shared" si="80"/>
        <v>2</v>
      </c>
      <c r="D856" s="244">
        <f t="shared" si="81"/>
        <v>8</v>
      </c>
      <c r="E856" s="244">
        <f t="shared" si="82"/>
        <v>10</v>
      </c>
      <c r="G856" s="259" t="str">
        <f t="shared" si="83"/>
        <v>&lt;ct1361&gt;</v>
      </c>
      <c r="H856" s="260">
        <f>VLOOKUP(O856,BCDTK!$E$9:$L$132,7,0)</f>
        <v>0</v>
      </c>
      <c r="I856" s="261" t="str">
        <f t="shared" si="84"/>
        <v>&lt;/ct1361&gt;</v>
      </c>
      <c r="J856" s="262"/>
      <c r="K856" s="262"/>
      <c r="L856" s="262"/>
      <c r="M856" s="263"/>
      <c r="N856" s="265"/>
      <c r="O856" s="265">
        <v>1361</v>
      </c>
    </row>
    <row r="857" spans="1:15" x14ac:dyDescent="0.45">
      <c r="A857" s="253" t="str">
        <f t="shared" si="79"/>
        <v>&lt;ct1368&gt;0&lt;/ct1368&gt;</v>
      </c>
      <c r="B857" s="450" t="s">
        <v>1599</v>
      </c>
      <c r="C857" s="244">
        <f t="shared" si="80"/>
        <v>2</v>
      </c>
      <c r="D857" s="244">
        <f t="shared" si="81"/>
        <v>8</v>
      </c>
      <c r="E857" s="244">
        <f t="shared" si="82"/>
        <v>10</v>
      </c>
      <c r="G857" s="259" t="str">
        <f t="shared" si="83"/>
        <v>&lt;ct1368&gt;</v>
      </c>
      <c r="H857" s="260">
        <f>VLOOKUP(O857,BCDTK!$E$9:$L$132,7,0)</f>
        <v>0</v>
      </c>
      <c r="I857" s="261" t="str">
        <f t="shared" si="84"/>
        <v>&lt;/ct1368&gt;</v>
      </c>
      <c r="J857" s="262"/>
      <c r="K857" s="262"/>
      <c r="L857" s="262"/>
      <c r="M857" s="263"/>
      <c r="N857" s="265"/>
      <c r="O857" s="265">
        <v>1368</v>
      </c>
    </row>
    <row r="858" spans="1:15" x14ac:dyDescent="0.45">
      <c r="A858" s="253" t="str">
        <f t="shared" si="79"/>
        <v>&lt;ct138&gt;0&lt;/ct138&gt;</v>
      </c>
      <c r="B858" s="450" t="s">
        <v>1600</v>
      </c>
      <c r="C858" s="244">
        <f t="shared" si="80"/>
        <v>2</v>
      </c>
      <c r="D858" s="244">
        <f t="shared" si="81"/>
        <v>7</v>
      </c>
      <c r="E858" s="244">
        <f t="shared" si="82"/>
        <v>9</v>
      </c>
      <c r="G858" s="259" t="str">
        <f t="shared" si="83"/>
        <v>&lt;ct138&gt;</v>
      </c>
      <c r="H858" s="260">
        <f>VLOOKUP(O858,BCDTK!$E$9:$L$132,7,0)</f>
        <v>0</v>
      </c>
      <c r="I858" s="261" t="str">
        <f t="shared" si="84"/>
        <v>&lt;/ct138&gt;</v>
      </c>
      <c r="J858" s="262"/>
      <c r="K858" s="262"/>
      <c r="L858" s="262"/>
      <c r="M858" s="263"/>
      <c r="N858" s="265"/>
      <c r="O858" s="265">
        <v>138</v>
      </c>
    </row>
    <row r="859" spans="1:15" x14ac:dyDescent="0.45">
      <c r="A859" s="253" t="str">
        <f t="shared" si="79"/>
        <v>&lt;ct1381&gt;0&lt;/ct1381&gt;</v>
      </c>
      <c r="B859" s="450" t="s">
        <v>1601</v>
      </c>
      <c r="C859" s="244">
        <f t="shared" si="80"/>
        <v>2</v>
      </c>
      <c r="D859" s="244">
        <f t="shared" si="81"/>
        <v>8</v>
      </c>
      <c r="E859" s="244">
        <f t="shared" si="82"/>
        <v>10</v>
      </c>
      <c r="G859" s="259" t="str">
        <f t="shared" si="83"/>
        <v>&lt;ct1381&gt;</v>
      </c>
      <c r="H859" s="260">
        <f>VLOOKUP(O859,BCDTK!$E$9:$L$132,7,0)</f>
        <v>0</v>
      </c>
      <c r="I859" s="261" t="str">
        <f t="shared" si="84"/>
        <v>&lt;/ct1381&gt;</v>
      </c>
      <c r="J859" s="262"/>
      <c r="K859" s="262"/>
      <c r="L859" s="262"/>
      <c r="M859" s="263"/>
      <c r="N859" s="265"/>
      <c r="O859" s="265">
        <v>1381</v>
      </c>
    </row>
    <row r="860" spans="1:15" x14ac:dyDescent="0.45">
      <c r="A860" s="253" t="str">
        <f t="shared" si="79"/>
        <v>&lt;ct1386&gt;0&lt;/ct1386&gt;</v>
      </c>
      <c r="B860" s="450" t="s">
        <v>1602</v>
      </c>
      <c r="C860" s="244">
        <f t="shared" si="80"/>
        <v>2</v>
      </c>
      <c r="D860" s="244">
        <f t="shared" si="81"/>
        <v>8</v>
      </c>
      <c r="E860" s="244">
        <f t="shared" si="82"/>
        <v>10</v>
      </c>
      <c r="G860" s="259" t="str">
        <f t="shared" si="83"/>
        <v>&lt;ct1386&gt;</v>
      </c>
      <c r="H860" s="260">
        <f>VLOOKUP(O860,BCDTK!$E$9:$L$132,7,0)</f>
        <v>0</v>
      </c>
      <c r="I860" s="261" t="str">
        <f t="shared" si="84"/>
        <v>&lt;/ct1386&gt;</v>
      </c>
      <c r="J860" s="262"/>
      <c r="K860" s="262"/>
      <c r="L860" s="262"/>
      <c r="M860" s="263"/>
      <c r="N860" s="265"/>
      <c r="O860" s="265">
        <v>1386</v>
      </c>
    </row>
    <row r="861" spans="1:15" x14ac:dyDescent="0.45">
      <c r="A861" s="253" t="str">
        <f t="shared" si="79"/>
        <v>&lt;ct1388&gt;0&lt;/ct1388&gt;</v>
      </c>
      <c r="B861" s="450" t="s">
        <v>1603</v>
      </c>
      <c r="C861" s="244">
        <f t="shared" si="80"/>
        <v>2</v>
      </c>
      <c r="D861" s="244">
        <f t="shared" si="81"/>
        <v>8</v>
      </c>
      <c r="E861" s="244">
        <f t="shared" si="82"/>
        <v>10</v>
      </c>
      <c r="G861" s="259" t="str">
        <f t="shared" si="83"/>
        <v>&lt;ct1388&gt;</v>
      </c>
      <c r="H861" s="260">
        <f>VLOOKUP(O861,BCDTK!$E$9:$L$132,7,0)</f>
        <v>0</v>
      </c>
      <c r="I861" s="261" t="str">
        <f t="shared" si="84"/>
        <v>&lt;/ct1388&gt;</v>
      </c>
      <c r="J861" s="262"/>
      <c r="K861" s="262"/>
      <c r="L861" s="262"/>
      <c r="M861" s="263"/>
      <c r="N861" s="265"/>
      <c r="O861" s="265">
        <v>1388</v>
      </c>
    </row>
    <row r="862" spans="1:15" x14ac:dyDescent="0.45">
      <c r="A862" s="253" t="str">
        <f t="shared" si="79"/>
        <v>&lt;ct141&gt;0&lt;/ct141&gt;</v>
      </c>
      <c r="B862" s="450" t="s">
        <v>1513</v>
      </c>
      <c r="C862" s="244">
        <f t="shared" si="80"/>
        <v>2</v>
      </c>
      <c r="D862" s="244">
        <f t="shared" si="81"/>
        <v>7</v>
      </c>
      <c r="E862" s="244">
        <f t="shared" si="82"/>
        <v>9</v>
      </c>
      <c r="G862" s="259" t="str">
        <f t="shared" si="83"/>
        <v>&lt;ct141&gt;</v>
      </c>
      <c r="H862" s="260">
        <f>VLOOKUP(O862,BCDTK!$E$9:$L$132,7,0)</f>
        <v>0</v>
      </c>
      <c r="I862" s="261" t="str">
        <f t="shared" si="84"/>
        <v>&lt;/ct141&gt;</v>
      </c>
      <c r="J862" s="262"/>
      <c r="K862" s="262"/>
      <c r="L862" s="262"/>
      <c r="M862" s="263"/>
      <c r="N862" s="265"/>
      <c r="O862" s="265">
        <v>141</v>
      </c>
    </row>
    <row r="863" spans="1:15" x14ac:dyDescent="0.45">
      <c r="A863" s="253" t="str">
        <f t="shared" si="79"/>
        <v>&lt;ct151&gt;0&lt;/ct151&gt;</v>
      </c>
      <c r="B863" s="450" t="s">
        <v>1476</v>
      </c>
      <c r="C863" s="244">
        <f t="shared" si="80"/>
        <v>2</v>
      </c>
      <c r="D863" s="244">
        <f t="shared" si="81"/>
        <v>7</v>
      </c>
      <c r="E863" s="244">
        <f t="shared" si="82"/>
        <v>9</v>
      </c>
      <c r="G863" s="259" t="str">
        <f t="shared" si="83"/>
        <v>&lt;ct151&gt;</v>
      </c>
      <c r="H863" s="260">
        <f>VLOOKUP(O863,BCDTK!$E$9:$L$132,7,0)</f>
        <v>0</v>
      </c>
      <c r="I863" s="261" t="str">
        <f t="shared" si="84"/>
        <v>&lt;/ct151&gt;</v>
      </c>
      <c r="J863" s="262"/>
      <c r="K863" s="262"/>
      <c r="L863" s="262"/>
      <c r="M863" s="263"/>
      <c r="N863" s="265"/>
      <c r="O863" s="265">
        <v>151</v>
      </c>
    </row>
    <row r="864" spans="1:15" x14ac:dyDescent="0.45">
      <c r="A864" s="253" t="str">
        <f t="shared" si="79"/>
        <v>&lt;ct152&gt;0&lt;/ct152&gt;</v>
      </c>
      <c r="B864" s="450" t="s">
        <v>1477</v>
      </c>
      <c r="C864" s="244">
        <f t="shared" si="80"/>
        <v>2</v>
      </c>
      <c r="D864" s="244">
        <f t="shared" si="81"/>
        <v>7</v>
      </c>
      <c r="E864" s="244">
        <f t="shared" si="82"/>
        <v>9</v>
      </c>
      <c r="G864" s="259" t="str">
        <f t="shared" si="83"/>
        <v>&lt;ct152&gt;</v>
      </c>
      <c r="H864" s="260">
        <f>VLOOKUP(O864,BCDTK!$E$9:$L$132,7,0)</f>
        <v>0</v>
      </c>
      <c r="I864" s="261" t="str">
        <f t="shared" si="84"/>
        <v>&lt;/ct152&gt;</v>
      </c>
      <c r="J864" s="262"/>
      <c r="K864" s="262"/>
      <c r="L864" s="262"/>
      <c r="M864" s="263"/>
      <c r="N864" s="265"/>
      <c r="O864" s="265">
        <v>152</v>
      </c>
    </row>
    <row r="865" spans="1:15" x14ac:dyDescent="0.45">
      <c r="A865" s="253" t="str">
        <f t="shared" si="79"/>
        <v>&lt;ct153&gt;0&lt;/ct153&gt;</v>
      </c>
      <c r="B865" s="450" t="s">
        <v>1604</v>
      </c>
      <c r="C865" s="244">
        <f t="shared" si="80"/>
        <v>2</v>
      </c>
      <c r="D865" s="244">
        <f t="shared" si="81"/>
        <v>7</v>
      </c>
      <c r="E865" s="244">
        <f t="shared" si="82"/>
        <v>9</v>
      </c>
      <c r="G865" s="259" t="str">
        <f t="shared" si="83"/>
        <v>&lt;ct153&gt;</v>
      </c>
      <c r="H865" s="260">
        <f>VLOOKUP(O865,BCDTK!$E$9:$L$132,7,0)</f>
        <v>0</v>
      </c>
      <c r="I865" s="261" t="str">
        <f t="shared" si="84"/>
        <v>&lt;/ct153&gt;</v>
      </c>
      <c r="J865" s="262"/>
      <c r="K865" s="262"/>
      <c r="L865" s="262"/>
      <c r="M865" s="263"/>
      <c r="N865" s="265"/>
      <c r="O865" s="265">
        <v>153</v>
      </c>
    </row>
    <row r="866" spans="1:15" x14ac:dyDescent="0.45">
      <c r="A866" s="253" t="str">
        <f t="shared" si="79"/>
        <v>&lt;ct154&gt;0&lt;/ct154&gt;</v>
      </c>
      <c r="B866" s="450" t="s">
        <v>1605</v>
      </c>
      <c r="C866" s="244">
        <f t="shared" si="80"/>
        <v>2</v>
      </c>
      <c r="D866" s="244">
        <f t="shared" si="81"/>
        <v>7</v>
      </c>
      <c r="E866" s="244">
        <f t="shared" si="82"/>
        <v>9</v>
      </c>
      <c r="G866" s="259" t="str">
        <f t="shared" si="83"/>
        <v>&lt;ct154&gt;</v>
      </c>
      <c r="H866" s="260">
        <f>VLOOKUP(O866,BCDTK!$E$9:$L$132,7,0)</f>
        <v>0</v>
      </c>
      <c r="I866" s="261" t="str">
        <f t="shared" si="84"/>
        <v>&lt;/ct154&gt;</v>
      </c>
      <c r="J866" s="262"/>
      <c r="K866" s="262"/>
      <c r="L866" s="262"/>
      <c r="M866" s="263"/>
      <c r="N866" s="265"/>
      <c r="O866" s="265">
        <v>154</v>
      </c>
    </row>
    <row r="867" spans="1:15" x14ac:dyDescent="0.45">
      <c r="A867" s="253" t="str">
        <f t="shared" si="79"/>
        <v>&lt;ct155&gt;0&lt;/ct155&gt;</v>
      </c>
      <c r="B867" s="450" t="s">
        <v>1606</v>
      </c>
      <c r="C867" s="244">
        <f t="shared" si="80"/>
        <v>2</v>
      </c>
      <c r="D867" s="244">
        <f t="shared" si="81"/>
        <v>7</v>
      </c>
      <c r="E867" s="244">
        <f t="shared" si="82"/>
        <v>9</v>
      </c>
      <c r="G867" s="259" t="str">
        <f t="shared" si="83"/>
        <v>&lt;ct155&gt;</v>
      </c>
      <c r="H867" s="260">
        <f>VLOOKUP(O867,BCDTK!$E$9:$L$132,7,0)</f>
        <v>0</v>
      </c>
      <c r="I867" s="261" t="str">
        <f t="shared" si="84"/>
        <v>&lt;/ct155&gt;</v>
      </c>
      <c r="J867" s="262"/>
      <c r="K867" s="262"/>
      <c r="L867" s="262"/>
      <c r="M867" s="263"/>
      <c r="N867" s="265"/>
      <c r="O867" s="265">
        <v>155</v>
      </c>
    </row>
    <row r="868" spans="1:15" x14ac:dyDescent="0.45">
      <c r="A868" s="253" t="str">
        <f t="shared" si="79"/>
        <v>&lt;ct156&gt;0&lt;/ct156&gt;</v>
      </c>
      <c r="B868" s="450" t="s">
        <v>1607</v>
      </c>
      <c r="C868" s="244">
        <f t="shared" si="80"/>
        <v>2</v>
      </c>
      <c r="D868" s="244">
        <f t="shared" si="81"/>
        <v>7</v>
      </c>
      <c r="E868" s="244">
        <f t="shared" si="82"/>
        <v>9</v>
      </c>
      <c r="G868" s="259" t="str">
        <f t="shared" si="83"/>
        <v>&lt;ct156&gt;</v>
      </c>
      <c r="H868" s="260">
        <f>VLOOKUP(O868,BCDTK!$E$9:$L$132,7,0)</f>
        <v>0</v>
      </c>
      <c r="I868" s="261" t="str">
        <f t="shared" si="84"/>
        <v>&lt;/ct156&gt;</v>
      </c>
      <c r="J868" s="262"/>
      <c r="K868" s="262"/>
      <c r="L868" s="262"/>
      <c r="M868" s="263"/>
      <c r="N868" s="265"/>
      <c r="O868" s="265">
        <v>156</v>
      </c>
    </row>
    <row r="869" spans="1:15" x14ac:dyDescent="0.45">
      <c r="A869" s="253" t="str">
        <f t="shared" si="79"/>
        <v>&lt;ct157&gt;0&lt;/ct157&gt;</v>
      </c>
      <c r="B869" s="450" t="s">
        <v>1608</v>
      </c>
      <c r="C869" s="244">
        <f t="shared" si="80"/>
        <v>2</v>
      </c>
      <c r="D869" s="244">
        <f t="shared" si="81"/>
        <v>7</v>
      </c>
      <c r="E869" s="244">
        <f t="shared" si="82"/>
        <v>9</v>
      </c>
      <c r="G869" s="259" t="str">
        <f t="shared" si="83"/>
        <v>&lt;ct157&gt;</v>
      </c>
      <c r="H869" s="260">
        <f>VLOOKUP(O869,BCDTK!$E$9:$L$132,7,0)</f>
        <v>0</v>
      </c>
      <c r="I869" s="261" t="str">
        <f t="shared" si="84"/>
        <v>&lt;/ct157&gt;</v>
      </c>
      <c r="J869" s="262"/>
      <c r="K869" s="262"/>
      <c r="L869" s="262"/>
      <c r="M869" s="263"/>
      <c r="N869" s="265"/>
      <c r="O869" s="265">
        <v>157</v>
      </c>
    </row>
    <row r="870" spans="1:15" x14ac:dyDescent="0.45">
      <c r="A870" s="253" t="str">
        <f t="shared" si="79"/>
        <v>&lt;ct211&gt;423501818&lt;/ct211&gt;</v>
      </c>
      <c r="B870" s="450" t="s">
        <v>1609</v>
      </c>
      <c r="C870" s="244">
        <f t="shared" si="80"/>
        <v>2</v>
      </c>
      <c r="D870" s="244">
        <f t="shared" si="81"/>
        <v>7</v>
      </c>
      <c r="E870" s="244">
        <f t="shared" si="82"/>
        <v>9</v>
      </c>
      <c r="G870" s="259" t="str">
        <f t="shared" si="83"/>
        <v>&lt;ct211&gt;</v>
      </c>
      <c r="H870" s="260">
        <f>VLOOKUP(O870,BCDTK!$E$9:$L$132,7,0)</f>
        <v>423501818</v>
      </c>
      <c r="I870" s="261" t="str">
        <f t="shared" si="84"/>
        <v>&lt;/ct211&gt;</v>
      </c>
      <c r="J870" s="262"/>
      <c r="K870" s="262"/>
      <c r="L870" s="262"/>
      <c r="M870" s="263"/>
      <c r="N870" s="265"/>
      <c r="O870" s="265">
        <v>211</v>
      </c>
    </row>
    <row r="871" spans="1:15" x14ac:dyDescent="0.45">
      <c r="A871" s="253" t="str">
        <f t="shared" si="79"/>
        <v>&lt;ct2111&gt;423501818&lt;/ct2111&gt;</v>
      </c>
      <c r="B871" s="450" t="s">
        <v>1610</v>
      </c>
      <c r="C871" s="244">
        <f t="shared" si="80"/>
        <v>2</v>
      </c>
      <c r="D871" s="244">
        <f t="shared" si="81"/>
        <v>8</v>
      </c>
      <c r="E871" s="244">
        <f t="shared" si="82"/>
        <v>10</v>
      </c>
      <c r="G871" s="259" t="str">
        <f t="shared" si="83"/>
        <v>&lt;ct2111&gt;</v>
      </c>
      <c r="H871" s="260">
        <f>VLOOKUP(O871,BCDTK!$E$9:$L$132,7,0)</f>
        <v>423501818</v>
      </c>
      <c r="I871" s="261" t="str">
        <f t="shared" si="84"/>
        <v>&lt;/ct2111&gt;</v>
      </c>
      <c r="J871" s="262"/>
      <c r="K871" s="262"/>
      <c r="L871" s="262"/>
      <c r="M871" s="263"/>
      <c r="N871" s="265"/>
      <c r="O871" s="265">
        <v>2111</v>
      </c>
    </row>
    <row r="872" spans="1:15" x14ac:dyDescent="0.45">
      <c r="A872" s="253" t="str">
        <f t="shared" si="79"/>
        <v>&lt;ct2112&gt;0&lt;/ct2112&gt;</v>
      </c>
      <c r="B872" s="450" t="s">
        <v>1611</v>
      </c>
      <c r="C872" s="244">
        <f t="shared" si="80"/>
        <v>2</v>
      </c>
      <c r="D872" s="244">
        <f t="shared" si="81"/>
        <v>8</v>
      </c>
      <c r="E872" s="244">
        <f t="shared" si="82"/>
        <v>10</v>
      </c>
      <c r="G872" s="259" t="str">
        <f t="shared" si="83"/>
        <v>&lt;ct2112&gt;</v>
      </c>
      <c r="H872" s="260">
        <f>VLOOKUP(O872,BCDTK!$E$9:$L$132,7,0)</f>
        <v>0</v>
      </c>
      <c r="I872" s="261" t="str">
        <f t="shared" si="84"/>
        <v>&lt;/ct2112&gt;</v>
      </c>
      <c r="J872" s="262"/>
      <c r="K872" s="262"/>
      <c r="L872" s="262"/>
      <c r="M872" s="263"/>
      <c r="N872" s="265"/>
      <c r="O872" s="265">
        <v>2112</v>
      </c>
    </row>
    <row r="873" spans="1:15" x14ac:dyDescent="0.45">
      <c r="A873" s="253" t="str">
        <f t="shared" si="79"/>
        <v>&lt;ct2113&gt;0&lt;/ct2113&gt;</v>
      </c>
      <c r="B873" s="450" t="s">
        <v>1612</v>
      </c>
      <c r="C873" s="244">
        <f t="shared" si="80"/>
        <v>2</v>
      </c>
      <c r="D873" s="244">
        <f t="shared" si="81"/>
        <v>8</v>
      </c>
      <c r="E873" s="244">
        <f t="shared" si="82"/>
        <v>10</v>
      </c>
      <c r="G873" s="259" t="str">
        <f t="shared" si="83"/>
        <v>&lt;ct2113&gt;</v>
      </c>
      <c r="H873" s="260">
        <f>VLOOKUP(O873,BCDTK!$E$9:$L$132,7,0)</f>
        <v>0</v>
      </c>
      <c r="I873" s="261" t="str">
        <f t="shared" si="84"/>
        <v>&lt;/ct2113&gt;</v>
      </c>
      <c r="J873" s="262"/>
      <c r="K873" s="262"/>
      <c r="L873" s="262"/>
      <c r="M873" s="263"/>
      <c r="N873" s="265"/>
      <c r="O873" s="265">
        <v>2113</v>
      </c>
    </row>
    <row r="874" spans="1:15" x14ac:dyDescent="0.45">
      <c r="A874" s="253" t="str">
        <f t="shared" si="79"/>
        <v>&lt;ct214&gt;0&lt;/ct214&gt;</v>
      </c>
      <c r="B874" s="450" t="s">
        <v>1613</v>
      </c>
      <c r="C874" s="244">
        <f t="shared" si="80"/>
        <v>2</v>
      </c>
      <c r="D874" s="244">
        <f t="shared" si="81"/>
        <v>7</v>
      </c>
      <c r="E874" s="244">
        <f t="shared" si="82"/>
        <v>9</v>
      </c>
      <c r="G874" s="259" t="str">
        <f t="shared" si="83"/>
        <v>&lt;ct214&gt;</v>
      </c>
      <c r="H874" s="260">
        <f>VLOOKUP(O874,BCDTK!$E$9:$L$132,7,0)</f>
        <v>0</v>
      </c>
      <c r="I874" s="261" t="str">
        <f t="shared" si="84"/>
        <v>&lt;/ct214&gt;</v>
      </c>
      <c r="J874" s="262"/>
      <c r="K874" s="262"/>
      <c r="L874" s="262"/>
      <c r="M874" s="263"/>
      <c r="N874" s="265"/>
      <c r="O874" s="265">
        <v>214</v>
      </c>
    </row>
    <row r="875" spans="1:15" x14ac:dyDescent="0.45">
      <c r="A875" s="253" t="str">
        <f t="shared" si="79"/>
        <v>&lt;ct2141&gt;0&lt;/ct2141&gt;</v>
      </c>
      <c r="B875" s="450" t="s">
        <v>1614</v>
      </c>
      <c r="C875" s="244">
        <f t="shared" si="80"/>
        <v>2</v>
      </c>
      <c r="D875" s="244">
        <f t="shared" si="81"/>
        <v>8</v>
      </c>
      <c r="E875" s="244">
        <f t="shared" si="82"/>
        <v>10</v>
      </c>
      <c r="G875" s="259" t="str">
        <f t="shared" si="83"/>
        <v>&lt;ct2141&gt;</v>
      </c>
      <c r="H875" s="260">
        <f>VLOOKUP(O875,BCDTK!$E$9:$L$132,7,0)</f>
        <v>0</v>
      </c>
      <c r="I875" s="261" t="str">
        <f t="shared" si="84"/>
        <v>&lt;/ct2141&gt;</v>
      </c>
      <c r="J875" s="262"/>
      <c r="K875" s="262"/>
      <c r="L875" s="262"/>
      <c r="M875" s="263"/>
      <c r="N875" s="265"/>
      <c r="O875" s="265">
        <v>2141</v>
      </c>
    </row>
    <row r="876" spans="1:15" x14ac:dyDescent="0.45">
      <c r="A876" s="253" t="str">
        <f t="shared" si="79"/>
        <v>&lt;ct2142&gt;0&lt;/ct2142&gt;</v>
      </c>
      <c r="B876" s="450" t="s">
        <v>1615</v>
      </c>
      <c r="C876" s="244">
        <f t="shared" si="80"/>
        <v>2</v>
      </c>
      <c r="D876" s="244">
        <f t="shared" si="81"/>
        <v>8</v>
      </c>
      <c r="E876" s="244">
        <f t="shared" si="82"/>
        <v>10</v>
      </c>
      <c r="G876" s="259" t="str">
        <f t="shared" si="83"/>
        <v>&lt;ct2142&gt;</v>
      </c>
      <c r="H876" s="260">
        <f>VLOOKUP(O876,BCDTK!$E$9:$L$132,7,0)</f>
        <v>0</v>
      </c>
      <c r="I876" s="261" t="str">
        <f t="shared" si="84"/>
        <v>&lt;/ct2142&gt;</v>
      </c>
      <c r="J876" s="262"/>
      <c r="K876" s="262"/>
      <c r="L876" s="262"/>
      <c r="M876" s="263"/>
      <c r="N876" s="265"/>
      <c r="O876" s="265">
        <v>2142</v>
      </c>
    </row>
    <row r="877" spans="1:15" x14ac:dyDescent="0.45">
      <c r="A877" s="253" t="str">
        <f t="shared" si="79"/>
        <v>&lt;ct2143&gt;0&lt;/ct2143&gt;</v>
      </c>
      <c r="B877" s="450" t="s">
        <v>1616</v>
      </c>
      <c r="C877" s="244">
        <f t="shared" si="80"/>
        <v>2</v>
      </c>
      <c r="D877" s="244">
        <f t="shared" si="81"/>
        <v>8</v>
      </c>
      <c r="E877" s="244">
        <f t="shared" si="82"/>
        <v>10</v>
      </c>
      <c r="G877" s="259" t="str">
        <f t="shared" si="83"/>
        <v>&lt;ct2143&gt;</v>
      </c>
      <c r="H877" s="260">
        <f>VLOOKUP(O877,BCDTK!$E$9:$L$132,7,0)</f>
        <v>0</v>
      </c>
      <c r="I877" s="261" t="str">
        <f t="shared" si="84"/>
        <v>&lt;/ct2143&gt;</v>
      </c>
      <c r="J877" s="262"/>
      <c r="K877" s="262"/>
      <c r="L877" s="262"/>
      <c r="M877" s="263"/>
      <c r="N877" s="265"/>
      <c r="O877" s="265">
        <v>2143</v>
      </c>
    </row>
    <row r="878" spans="1:15" x14ac:dyDescent="0.45">
      <c r="A878" s="253" t="str">
        <f t="shared" si="79"/>
        <v>&lt;ct2147&gt;0&lt;/ct2147&gt;</v>
      </c>
      <c r="B878" s="450" t="s">
        <v>1617</v>
      </c>
      <c r="C878" s="244">
        <f t="shared" si="80"/>
        <v>2</v>
      </c>
      <c r="D878" s="244">
        <f t="shared" si="81"/>
        <v>8</v>
      </c>
      <c r="E878" s="244">
        <f t="shared" si="82"/>
        <v>10</v>
      </c>
      <c r="G878" s="259" t="str">
        <f t="shared" si="83"/>
        <v>&lt;ct2147&gt;</v>
      </c>
      <c r="H878" s="260">
        <f>VLOOKUP(O878,BCDTK!$E$9:$L$132,7,0)</f>
        <v>0</v>
      </c>
      <c r="I878" s="261" t="str">
        <f t="shared" si="84"/>
        <v>&lt;/ct2147&gt;</v>
      </c>
      <c r="J878" s="262"/>
      <c r="K878" s="262"/>
      <c r="L878" s="262"/>
      <c r="M878" s="263"/>
      <c r="N878" s="265"/>
      <c r="O878" s="265">
        <v>2147</v>
      </c>
    </row>
    <row r="879" spans="1:15" x14ac:dyDescent="0.45">
      <c r="A879" s="253" t="str">
        <f t="shared" si="79"/>
        <v>&lt;ct217&gt;0&lt;/ct217&gt;</v>
      </c>
      <c r="B879" s="450" t="s">
        <v>1618</v>
      </c>
      <c r="C879" s="244">
        <f t="shared" si="80"/>
        <v>2</v>
      </c>
      <c r="D879" s="244">
        <f t="shared" si="81"/>
        <v>7</v>
      </c>
      <c r="E879" s="244">
        <f t="shared" si="82"/>
        <v>9</v>
      </c>
      <c r="G879" s="259" t="str">
        <f t="shared" si="83"/>
        <v>&lt;ct217&gt;</v>
      </c>
      <c r="H879" s="260">
        <f>VLOOKUP(O879,BCDTK!$E$9:$L$132,7,0)</f>
        <v>0</v>
      </c>
      <c r="I879" s="261" t="str">
        <f t="shared" si="84"/>
        <v>&lt;/ct217&gt;</v>
      </c>
      <c r="J879" s="262"/>
      <c r="K879" s="262"/>
      <c r="L879" s="262"/>
      <c r="M879" s="263"/>
      <c r="N879" s="265"/>
      <c r="O879" s="265">
        <v>217</v>
      </c>
    </row>
    <row r="880" spans="1:15" x14ac:dyDescent="0.45">
      <c r="A880" s="253" t="str">
        <f t="shared" si="79"/>
        <v>&lt;ct228&gt;0&lt;/ct228&gt;</v>
      </c>
      <c r="B880" s="450" t="s">
        <v>1619</v>
      </c>
      <c r="C880" s="244">
        <f t="shared" si="80"/>
        <v>2</v>
      </c>
      <c r="D880" s="244">
        <f t="shared" si="81"/>
        <v>7</v>
      </c>
      <c r="E880" s="244">
        <f t="shared" si="82"/>
        <v>9</v>
      </c>
      <c r="G880" s="259" t="str">
        <f t="shared" si="83"/>
        <v>&lt;ct228&gt;</v>
      </c>
      <c r="H880" s="260">
        <f>VLOOKUP(O880,BCDTK!$E$9:$L$132,7,0)</f>
        <v>0</v>
      </c>
      <c r="I880" s="261" t="str">
        <f t="shared" si="84"/>
        <v>&lt;/ct228&gt;</v>
      </c>
      <c r="J880" s="262"/>
      <c r="K880" s="262"/>
      <c r="L880" s="262"/>
      <c r="M880" s="263"/>
      <c r="N880" s="265"/>
      <c r="O880" s="265">
        <v>228</v>
      </c>
    </row>
    <row r="881" spans="1:15" x14ac:dyDescent="0.45">
      <c r="A881" s="253" t="str">
        <f t="shared" si="79"/>
        <v>&lt;ct2281&gt;0&lt;/ct2281&gt;</v>
      </c>
      <c r="B881" s="450" t="s">
        <v>1620</v>
      </c>
      <c r="C881" s="244">
        <f t="shared" si="80"/>
        <v>2</v>
      </c>
      <c r="D881" s="244">
        <f t="shared" si="81"/>
        <v>8</v>
      </c>
      <c r="E881" s="244">
        <f t="shared" si="82"/>
        <v>10</v>
      </c>
      <c r="G881" s="259" t="str">
        <f t="shared" si="83"/>
        <v>&lt;ct2281&gt;</v>
      </c>
      <c r="H881" s="260">
        <f>VLOOKUP(O881,BCDTK!$E$9:$L$132,7,0)</f>
        <v>0</v>
      </c>
      <c r="I881" s="261" t="str">
        <f t="shared" si="84"/>
        <v>&lt;/ct2281&gt;</v>
      </c>
      <c r="J881" s="262"/>
      <c r="K881" s="262"/>
      <c r="L881" s="262"/>
      <c r="M881" s="263"/>
      <c r="N881" s="265"/>
      <c r="O881" s="265">
        <v>2281</v>
      </c>
    </row>
    <row r="882" spans="1:15" x14ac:dyDescent="0.45">
      <c r="A882" s="253" t="str">
        <f t="shared" si="79"/>
        <v>&lt;ct2288&gt;0&lt;/ct2288&gt;</v>
      </c>
      <c r="B882" s="450" t="s">
        <v>1621</v>
      </c>
      <c r="C882" s="244">
        <f t="shared" si="80"/>
        <v>2</v>
      </c>
      <c r="D882" s="244">
        <f t="shared" si="81"/>
        <v>8</v>
      </c>
      <c r="E882" s="244">
        <f t="shared" si="82"/>
        <v>10</v>
      </c>
      <c r="G882" s="259" t="str">
        <f t="shared" si="83"/>
        <v>&lt;ct2288&gt;</v>
      </c>
      <c r="H882" s="260">
        <f>VLOOKUP(O882,BCDTK!$E$9:$L$132,7,0)</f>
        <v>0</v>
      </c>
      <c r="I882" s="261" t="str">
        <f t="shared" si="84"/>
        <v>&lt;/ct2288&gt;</v>
      </c>
      <c r="J882" s="262"/>
      <c r="K882" s="262"/>
      <c r="L882" s="262"/>
      <c r="M882" s="263"/>
      <c r="N882" s="265"/>
      <c r="O882" s="265">
        <v>2288</v>
      </c>
    </row>
    <row r="883" spans="1:15" x14ac:dyDescent="0.45">
      <c r="A883" s="253" t="str">
        <f t="shared" si="79"/>
        <v>&lt;ct229&gt;0&lt;/ct229&gt;</v>
      </c>
      <c r="B883" s="450" t="s">
        <v>1622</v>
      </c>
      <c r="C883" s="244">
        <f t="shared" si="80"/>
        <v>2</v>
      </c>
      <c r="D883" s="244">
        <f t="shared" si="81"/>
        <v>7</v>
      </c>
      <c r="E883" s="244">
        <f t="shared" si="82"/>
        <v>9</v>
      </c>
      <c r="G883" s="259" t="str">
        <f t="shared" si="83"/>
        <v>&lt;ct229&gt;</v>
      </c>
      <c r="H883" s="260">
        <f>VLOOKUP(O883,BCDTK!$E$9:$L$132,7,0)</f>
        <v>0</v>
      </c>
      <c r="I883" s="261" t="str">
        <f t="shared" si="84"/>
        <v>&lt;/ct229&gt;</v>
      </c>
      <c r="J883" s="262"/>
      <c r="K883" s="262"/>
      <c r="L883" s="262"/>
      <c r="M883" s="263"/>
      <c r="N883" s="265"/>
      <c r="O883" s="265">
        <v>229</v>
      </c>
    </row>
    <row r="884" spans="1:15" x14ac:dyDescent="0.45">
      <c r="A884" s="253" t="str">
        <f t="shared" si="79"/>
        <v>&lt;ct2291&gt;0&lt;/ct2291&gt;</v>
      </c>
      <c r="B884" s="450" t="s">
        <v>1623</v>
      </c>
      <c r="C884" s="244">
        <f t="shared" si="80"/>
        <v>2</v>
      </c>
      <c r="D884" s="244">
        <f t="shared" si="81"/>
        <v>8</v>
      </c>
      <c r="E884" s="244">
        <f t="shared" si="82"/>
        <v>10</v>
      </c>
      <c r="G884" s="259" t="str">
        <f t="shared" si="83"/>
        <v>&lt;ct2291&gt;</v>
      </c>
      <c r="H884" s="260">
        <f>VLOOKUP(O884,BCDTK!$E$9:$L$132,7,0)</f>
        <v>0</v>
      </c>
      <c r="I884" s="261" t="str">
        <f t="shared" si="84"/>
        <v>&lt;/ct2291&gt;</v>
      </c>
      <c r="J884" s="262"/>
      <c r="K884" s="262"/>
      <c r="L884" s="262"/>
      <c r="M884" s="263"/>
      <c r="N884" s="265"/>
      <c r="O884" s="265">
        <v>2291</v>
      </c>
    </row>
    <row r="885" spans="1:15" x14ac:dyDescent="0.45">
      <c r="A885" s="253" t="str">
        <f t="shared" si="79"/>
        <v>&lt;ct2292&gt;0&lt;/ct2292&gt;</v>
      </c>
      <c r="B885" s="450" t="s">
        <v>1624</v>
      </c>
      <c r="C885" s="244">
        <f t="shared" si="80"/>
        <v>2</v>
      </c>
      <c r="D885" s="244">
        <f t="shared" si="81"/>
        <v>8</v>
      </c>
      <c r="E885" s="244">
        <f t="shared" si="82"/>
        <v>10</v>
      </c>
      <c r="G885" s="259" t="str">
        <f t="shared" si="83"/>
        <v>&lt;ct2292&gt;</v>
      </c>
      <c r="H885" s="260">
        <f>VLOOKUP(O885,BCDTK!$E$9:$L$132,7,0)</f>
        <v>0</v>
      </c>
      <c r="I885" s="261" t="str">
        <f t="shared" si="84"/>
        <v>&lt;/ct2292&gt;</v>
      </c>
      <c r="J885" s="262"/>
      <c r="K885" s="262"/>
      <c r="L885" s="262"/>
      <c r="M885" s="263"/>
      <c r="N885" s="265"/>
      <c r="O885" s="265">
        <v>2292</v>
      </c>
    </row>
    <row r="886" spans="1:15" x14ac:dyDescent="0.45">
      <c r="A886" s="253" t="str">
        <f t="shared" si="79"/>
        <v>&lt;ct2293&gt;0&lt;/ct2293&gt;</v>
      </c>
      <c r="B886" s="450" t="s">
        <v>1625</v>
      </c>
      <c r="C886" s="244">
        <f t="shared" si="80"/>
        <v>2</v>
      </c>
      <c r="D886" s="244">
        <f t="shared" si="81"/>
        <v>8</v>
      </c>
      <c r="E886" s="244">
        <f t="shared" si="82"/>
        <v>10</v>
      </c>
      <c r="G886" s="259" t="str">
        <f t="shared" si="83"/>
        <v>&lt;ct2293&gt;</v>
      </c>
      <c r="H886" s="260">
        <f>VLOOKUP(O886,BCDTK!$E$9:$L$132,7,0)</f>
        <v>0</v>
      </c>
      <c r="I886" s="261" t="str">
        <f t="shared" si="84"/>
        <v>&lt;/ct2293&gt;</v>
      </c>
      <c r="J886" s="262"/>
      <c r="K886" s="262"/>
      <c r="L886" s="262"/>
      <c r="M886" s="263"/>
      <c r="N886" s="265"/>
      <c r="O886" s="265">
        <v>2293</v>
      </c>
    </row>
    <row r="887" spans="1:15" x14ac:dyDescent="0.45">
      <c r="A887" s="253" t="str">
        <f t="shared" si="79"/>
        <v>&lt;ct2294&gt;0&lt;/ct2294&gt;</v>
      </c>
      <c r="B887" s="450" t="s">
        <v>1626</v>
      </c>
      <c r="C887" s="244">
        <f t="shared" si="80"/>
        <v>2</v>
      </c>
      <c r="D887" s="244">
        <f t="shared" si="81"/>
        <v>8</v>
      </c>
      <c r="E887" s="244">
        <f t="shared" si="82"/>
        <v>10</v>
      </c>
      <c r="G887" s="259" t="str">
        <f t="shared" si="83"/>
        <v>&lt;ct2294&gt;</v>
      </c>
      <c r="H887" s="260">
        <f>VLOOKUP(O887,BCDTK!$E$9:$L$132,7,0)</f>
        <v>0</v>
      </c>
      <c r="I887" s="261" t="str">
        <f t="shared" si="84"/>
        <v>&lt;/ct2294&gt;</v>
      </c>
      <c r="J887" s="262"/>
      <c r="K887" s="262"/>
      <c r="L887" s="262"/>
      <c r="M887" s="263"/>
      <c r="N887" s="265"/>
      <c r="O887" s="265">
        <v>2294</v>
      </c>
    </row>
    <row r="888" spans="1:15" x14ac:dyDescent="0.45">
      <c r="A888" s="253" t="str">
        <f t="shared" si="79"/>
        <v>&lt;ct241&gt;0&lt;/ct241&gt;</v>
      </c>
      <c r="B888" s="450" t="s">
        <v>1627</v>
      </c>
      <c r="C888" s="244">
        <f t="shared" si="80"/>
        <v>2</v>
      </c>
      <c r="D888" s="244">
        <f t="shared" si="81"/>
        <v>7</v>
      </c>
      <c r="E888" s="244">
        <f t="shared" si="82"/>
        <v>9</v>
      </c>
      <c r="G888" s="259" t="str">
        <f t="shared" si="83"/>
        <v>&lt;ct241&gt;</v>
      </c>
      <c r="H888" s="260">
        <f>VLOOKUP(O888,BCDTK!$E$9:$L$132,7,0)</f>
        <v>0</v>
      </c>
      <c r="I888" s="261" t="str">
        <f t="shared" si="84"/>
        <v>&lt;/ct241&gt;</v>
      </c>
      <c r="J888" s="262"/>
      <c r="K888" s="262"/>
      <c r="L888" s="262"/>
      <c r="M888" s="263"/>
      <c r="N888" s="265"/>
      <c r="O888" s="265">
        <v>241</v>
      </c>
    </row>
    <row r="889" spans="1:15" x14ac:dyDescent="0.45">
      <c r="A889" s="253" t="str">
        <f t="shared" si="79"/>
        <v>&lt;ct2411&gt;0&lt;/ct2411&gt;</v>
      </c>
      <c r="B889" s="450" t="s">
        <v>1628</v>
      </c>
      <c r="C889" s="244">
        <f t="shared" si="80"/>
        <v>2</v>
      </c>
      <c r="D889" s="244">
        <f t="shared" si="81"/>
        <v>8</v>
      </c>
      <c r="E889" s="244">
        <f t="shared" si="82"/>
        <v>10</v>
      </c>
      <c r="G889" s="259" t="str">
        <f t="shared" si="83"/>
        <v>&lt;ct2411&gt;</v>
      </c>
      <c r="H889" s="260">
        <f>VLOOKUP(O889,BCDTK!$E$9:$L$132,7,0)</f>
        <v>0</v>
      </c>
      <c r="I889" s="261" t="str">
        <f t="shared" si="84"/>
        <v>&lt;/ct2411&gt;</v>
      </c>
      <c r="J889" s="262"/>
      <c r="K889" s="262"/>
      <c r="L889" s="262"/>
      <c r="M889" s="263"/>
      <c r="N889" s="265"/>
      <c r="O889" s="265">
        <v>2411</v>
      </c>
    </row>
    <row r="890" spans="1:15" x14ac:dyDescent="0.45">
      <c r="A890" s="253" t="str">
        <f t="shared" si="79"/>
        <v>&lt;ct2412&gt;0&lt;/ct2412&gt;</v>
      </c>
      <c r="B890" s="450" t="s">
        <v>1629</v>
      </c>
      <c r="C890" s="244">
        <f t="shared" si="80"/>
        <v>2</v>
      </c>
      <c r="D890" s="244">
        <f t="shared" si="81"/>
        <v>8</v>
      </c>
      <c r="E890" s="244">
        <f t="shared" si="82"/>
        <v>10</v>
      </c>
      <c r="G890" s="259" t="str">
        <f t="shared" si="83"/>
        <v>&lt;ct2412&gt;</v>
      </c>
      <c r="H890" s="260">
        <f>VLOOKUP(O890,BCDTK!$E$9:$L$132,7,0)</f>
        <v>0</v>
      </c>
      <c r="I890" s="261" t="str">
        <f t="shared" si="84"/>
        <v>&lt;/ct2412&gt;</v>
      </c>
      <c r="J890" s="262"/>
      <c r="K890" s="262"/>
      <c r="L890" s="262"/>
      <c r="M890" s="263"/>
      <c r="N890" s="265"/>
      <c r="O890" s="265">
        <v>2412</v>
      </c>
    </row>
    <row r="891" spans="1:15" x14ac:dyDescent="0.45">
      <c r="A891" s="253" t="str">
        <f t="shared" si="79"/>
        <v>&lt;ct2413&gt;0&lt;/ct2413&gt;</v>
      </c>
      <c r="B891" s="450" t="s">
        <v>1630</v>
      </c>
      <c r="C891" s="244">
        <f t="shared" si="80"/>
        <v>2</v>
      </c>
      <c r="D891" s="244">
        <f t="shared" si="81"/>
        <v>8</v>
      </c>
      <c r="E891" s="244">
        <f t="shared" si="82"/>
        <v>10</v>
      </c>
      <c r="G891" s="259" t="str">
        <f t="shared" si="83"/>
        <v>&lt;ct2413&gt;</v>
      </c>
      <c r="H891" s="260">
        <f>VLOOKUP(O891,BCDTK!$E$9:$L$132,7,0)</f>
        <v>0</v>
      </c>
      <c r="I891" s="261" t="str">
        <f t="shared" si="84"/>
        <v>&lt;/ct2413&gt;</v>
      </c>
      <c r="J891" s="262"/>
      <c r="K891" s="262"/>
      <c r="L891" s="262"/>
      <c r="M891" s="263"/>
      <c r="N891" s="265"/>
      <c r="O891" s="265">
        <v>2413</v>
      </c>
    </row>
    <row r="892" spans="1:15" x14ac:dyDescent="0.45">
      <c r="A892" s="253" t="str">
        <f t="shared" si="79"/>
        <v>&lt;ct242&gt;22550101&lt;/ct242&gt;</v>
      </c>
      <c r="B892" s="450" t="s">
        <v>1631</v>
      </c>
      <c r="C892" s="244">
        <f t="shared" si="80"/>
        <v>2</v>
      </c>
      <c r="D892" s="244">
        <f t="shared" si="81"/>
        <v>7</v>
      </c>
      <c r="E892" s="244">
        <f t="shared" si="82"/>
        <v>9</v>
      </c>
      <c r="G892" s="259" t="str">
        <f t="shared" si="83"/>
        <v>&lt;ct242&gt;</v>
      </c>
      <c r="H892" s="260">
        <f>VLOOKUP(O892,BCDTK!$E$9:$L$132,7,0)</f>
        <v>22550101</v>
      </c>
      <c r="I892" s="261" t="str">
        <f t="shared" si="84"/>
        <v>&lt;/ct242&gt;</v>
      </c>
      <c r="J892" s="262"/>
      <c r="K892" s="262"/>
      <c r="L892" s="262"/>
      <c r="M892" s="263"/>
      <c r="N892" s="265"/>
      <c r="O892" s="265">
        <v>242</v>
      </c>
    </row>
    <row r="893" spans="1:15" x14ac:dyDescent="0.45">
      <c r="A893" s="253" t="str">
        <f t="shared" si="79"/>
        <v>&lt;ct331&gt;0&lt;/ct331&gt;</v>
      </c>
      <c r="B893" s="450" t="s">
        <v>1632</v>
      </c>
      <c r="C893" s="244">
        <f t="shared" si="80"/>
        <v>2</v>
      </c>
      <c r="D893" s="244">
        <f t="shared" si="81"/>
        <v>7</v>
      </c>
      <c r="E893" s="244">
        <f t="shared" si="82"/>
        <v>9</v>
      </c>
      <c r="G893" s="259" t="str">
        <f t="shared" si="83"/>
        <v>&lt;ct331&gt;</v>
      </c>
      <c r="H893" s="260">
        <f>VLOOKUP(O893,BCDTK!$E$9:$L$132,7,0)</f>
        <v>0</v>
      </c>
      <c r="I893" s="261" t="str">
        <f t="shared" si="84"/>
        <v>&lt;/ct331&gt;</v>
      </c>
      <c r="J893" s="262"/>
      <c r="K893" s="262"/>
      <c r="L893" s="262"/>
      <c r="M893" s="263"/>
      <c r="N893" s="265"/>
      <c r="O893" s="265">
        <v>331</v>
      </c>
    </row>
    <row r="894" spans="1:15" x14ac:dyDescent="0.45">
      <c r="A894" s="253" t="str">
        <f t="shared" si="79"/>
        <v>&lt;ct333&gt;0&lt;/ct333&gt;</v>
      </c>
      <c r="B894" s="450" t="s">
        <v>1633</v>
      </c>
      <c r="C894" s="244">
        <f t="shared" si="80"/>
        <v>2</v>
      </c>
      <c r="D894" s="244">
        <f t="shared" si="81"/>
        <v>7</v>
      </c>
      <c r="E894" s="244">
        <f t="shared" si="82"/>
        <v>9</v>
      </c>
      <c r="G894" s="259" t="str">
        <f t="shared" si="83"/>
        <v>&lt;ct333&gt;</v>
      </c>
      <c r="H894" s="260">
        <f>VLOOKUP(O894,BCDTK!$E$9:$L$132,7,0)</f>
        <v>0</v>
      </c>
      <c r="I894" s="261" t="str">
        <f t="shared" si="84"/>
        <v>&lt;/ct333&gt;</v>
      </c>
      <c r="J894" s="262"/>
      <c r="K894" s="262"/>
      <c r="L894" s="262"/>
      <c r="M894" s="263"/>
      <c r="N894" s="265"/>
      <c r="O894" s="265">
        <v>333</v>
      </c>
    </row>
    <row r="895" spans="1:15" x14ac:dyDescent="0.45">
      <c r="A895" s="253" t="str">
        <f t="shared" si="79"/>
        <v>&lt;ct3331&gt;0&lt;/ct3331&gt;</v>
      </c>
      <c r="B895" s="450" t="s">
        <v>1634</v>
      </c>
      <c r="C895" s="244">
        <f t="shared" si="80"/>
        <v>2</v>
      </c>
      <c r="D895" s="244">
        <f t="shared" si="81"/>
        <v>8</v>
      </c>
      <c r="E895" s="244">
        <f t="shared" si="82"/>
        <v>10</v>
      </c>
      <c r="G895" s="259" t="str">
        <f t="shared" si="83"/>
        <v>&lt;ct3331&gt;</v>
      </c>
      <c r="H895" s="260">
        <f>VLOOKUP(O895,BCDTK!$E$9:$L$132,7,0)</f>
        <v>0</v>
      </c>
      <c r="I895" s="261" t="str">
        <f t="shared" si="84"/>
        <v>&lt;/ct3331&gt;</v>
      </c>
      <c r="J895" s="262"/>
      <c r="K895" s="262"/>
      <c r="L895" s="262"/>
      <c r="M895" s="263"/>
      <c r="N895" s="265"/>
      <c r="O895" s="265">
        <v>3331</v>
      </c>
    </row>
    <row r="896" spans="1:15" x14ac:dyDescent="0.45">
      <c r="A896" s="253" t="str">
        <f t="shared" si="79"/>
        <v>&lt;ct33311&gt;0&lt;/ct33311&gt;</v>
      </c>
      <c r="B896" s="450" t="s">
        <v>1635</v>
      </c>
      <c r="C896" s="244">
        <f t="shared" si="80"/>
        <v>2</v>
      </c>
      <c r="D896" s="244">
        <f t="shared" si="81"/>
        <v>9</v>
      </c>
      <c r="E896" s="244">
        <f t="shared" si="82"/>
        <v>11</v>
      </c>
      <c r="G896" s="259" t="str">
        <f t="shared" si="83"/>
        <v>&lt;ct33311&gt;</v>
      </c>
      <c r="H896" s="260">
        <f>VLOOKUP(O896,BCDTK!$E$9:$L$132,7,0)</f>
        <v>0</v>
      </c>
      <c r="I896" s="261" t="str">
        <f t="shared" si="84"/>
        <v>&lt;/ct33311&gt;</v>
      </c>
      <c r="J896" s="262"/>
      <c r="K896" s="262"/>
      <c r="L896" s="262"/>
      <c r="M896" s="263"/>
      <c r="N896" s="265"/>
      <c r="O896" s="265">
        <v>33311</v>
      </c>
    </row>
    <row r="897" spans="1:15" x14ac:dyDescent="0.45">
      <c r="A897" s="253" t="str">
        <f t="shared" si="79"/>
        <v>&lt;ct33312&gt;0&lt;/ct33312&gt;</v>
      </c>
      <c r="B897" s="450" t="s">
        <v>1636</v>
      </c>
      <c r="C897" s="244">
        <f t="shared" si="80"/>
        <v>2</v>
      </c>
      <c r="D897" s="244">
        <f t="shared" si="81"/>
        <v>9</v>
      </c>
      <c r="E897" s="244">
        <f t="shared" si="82"/>
        <v>11</v>
      </c>
      <c r="G897" s="259" t="str">
        <f t="shared" si="83"/>
        <v>&lt;ct33312&gt;</v>
      </c>
      <c r="H897" s="260">
        <f>VLOOKUP(O897,BCDTK!$E$9:$L$132,7,0)</f>
        <v>0</v>
      </c>
      <c r="I897" s="261" t="str">
        <f t="shared" si="84"/>
        <v>&lt;/ct33312&gt;</v>
      </c>
      <c r="J897" s="262"/>
      <c r="K897" s="262"/>
      <c r="L897" s="262"/>
      <c r="M897" s="263"/>
      <c r="N897" s="265"/>
      <c r="O897" s="265">
        <v>33312</v>
      </c>
    </row>
    <row r="898" spans="1:15" x14ac:dyDescent="0.45">
      <c r="A898" s="253" t="str">
        <f t="shared" si="79"/>
        <v>&lt;ct3332&gt;0&lt;/ct3332&gt;</v>
      </c>
      <c r="B898" s="450" t="s">
        <v>1637</v>
      </c>
      <c r="C898" s="244">
        <f t="shared" si="80"/>
        <v>2</v>
      </c>
      <c r="D898" s="244">
        <f t="shared" si="81"/>
        <v>8</v>
      </c>
      <c r="E898" s="244">
        <f t="shared" si="82"/>
        <v>10</v>
      </c>
      <c r="G898" s="259" t="str">
        <f t="shared" si="83"/>
        <v>&lt;ct3332&gt;</v>
      </c>
      <c r="H898" s="260">
        <f>VLOOKUP(O898,BCDTK!$E$9:$L$132,7,0)</f>
        <v>0</v>
      </c>
      <c r="I898" s="261" t="str">
        <f t="shared" si="84"/>
        <v>&lt;/ct3332&gt;</v>
      </c>
      <c r="J898" s="262"/>
      <c r="K898" s="262"/>
      <c r="L898" s="262"/>
      <c r="M898" s="263"/>
      <c r="N898" s="265"/>
      <c r="O898" s="265">
        <v>3332</v>
      </c>
    </row>
    <row r="899" spans="1:15" x14ac:dyDescent="0.45">
      <c r="A899" s="253" t="str">
        <f t="shared" si="79"/>
        <v>&lt;ct3333&gt;0&lt;/ct3333&gt;</v>
      </c>
      <c r="B899" s="450" t="s">
        <v>1638</v>
      </c>
      <c r="C899" s="244">
        <f t="shared" si="80"/>
        <v>2</v>
      </c>
      <c r="D899" s="244">
        <f t="shared" si="81"/>
        <v>8</v>
      </c>
      <c r="E899" s="244">
        <f t="shared" si="82"/>
        <v>10</v>
      </c>
      <c r="G899" s="259" t="str">
        <f t="shared" si="83"/>
        <v>&lt;ct3333&gt;</v>
      </c>
      <c r="H899" s="260">
        <f>VLOOKUP(O899,BCDTK!$E$9:$L$132,7,0)</f>
        <v>0</v>
      </c>
      <c r="I899" s="261" t="str">
        <f t="shared" si="84"/>
        <v>&lt;/ct3333&gt;</v>
      </c>
      <c r="J899" s="262"/>
      <c r="K899" s="262"/>
      <c r="L899" s="262"/>
      <c r="M899" s="263"/>
      <c r="N899" s="265"/>
      <c r="O899" s="265">
        <v>3333</v>
      </c>
    </row>
    <row r="900" spans="1:15" x14ac:dyDescent="0.45">
      <c r="A900" s="253" t="str">
        <f t="shared" ref="A900:A963" si="85">CONCATENATE(G900,H900,I900)</f>
        <v>&lt;ct3334&gt;0&lt;/ct3334&gt;</v>
      </c>
      <c r="B900" s="450" t="s">
        <v>1639</v>
      </c>
      <c r="C900" s="244">
        <f t="shared" si="80"/>
        <v>2</v>
      </c>
      <c r="D900" s="244">
        <f t="shared" si="81"/>
        <v>8</v>
      </c>
      <c r="E900" s="244">
        <f t="shared" si="82"/>
        <v>10</v>
      </c>
      <c r="G900" s="259" t="str">
        <f t="shared" si="83"/>
        <v>&lt;ct3334&gt;</v>
      </c>
      <c r="H900" s="260">
        <f>VLOOKUP(O900,BCDTK!$E$9:$L$132,7,0)</f>
        <v>0</v>
      </c>
      <c r="I900" s="261" t="str">
        <f t="shared" si="84"/>
        <v>&lt;/ct3334&gt;</v>
      </c>
      <c r="J900" s="262"/>
      <c r="K900" s="262"/>
      <c r="L900" s="262"/>
      <c r="M900" s="263"/>
      <c r="N900" s="265"/>
      <c r="O900" s="265">
        <v>3334</v>
      </c>
    </row>
    <row r="901" spans="1:15" x14ac:dyDescent="0.45">
      <c r="A901" s="253" t="str">
        <f t="shared" si="85"/>
        <v>&lt;ct3335&gt;0&lt;/ct3335&gt;</v>
      </c>
      <c r="B901" s="450" t="s">
        <v>1640</v>
      </c>
      <c r="C901" s="244">
        <f t="shared" si="80"/>
        <v>2</v>
      </c>
      <c r="D901" s="244">
        <f t="shared" si="81"/>
        <v>8</v>
      </c>
      <c r="E901" s="244">
        <f t="shared" si="82"/>
        <v>10</v>
      </c>
      <c r="G901" s="259" t="str">
        <f t="shared" si="83"/>
        <v>&lt;ct3335&gt;</v>
      </c>
      <c r="H901" s="260">
        <f>VLOOKUP(O901,BCDTK!$E$9:$L$132,7,0)</f>
        <v>0</v>
      </c>
      <c r="I901" s="261" t="str">
        <f t="shared" si="84"/>
        <v>&lt;/ct3335&gt;</v>
      </c>
      <c r="J901" s="262"/>
      <c r="K901" s="262"/>
      <c r="L901" s="262"/>
      <c r="M901" s="263"/>
      <c r="N901" s="265"/>
      <c r="O901" s="265">
        <v>3335</v>
      </c>
    </row>
    <row r="902" spans="1:15" x14ac:dyDescent="0.45">
      <c r="A902" s="253" t="str">
        <f t="shared" si="85"/>
        <v>&lt;ct3336&gt;0&lt;/ct3336&gt;</v>
      </c>
      <c r="B902" s="450" t="s">
        <v>1641</v>
      </c>
      <c r="C902" s="244">
        <f t="shared" si="80"/>
        <v>2</v>
      </c>
      <c r="D902" s="244">
        <f t="shared" si="81"/>
        <v>8</v>
      </c>
      <c r="E902" s="244">
        <f t="shared" si="82"/>
        <v>10</v>
      </c>
      <c r="G902" s="259" t="str">
        <f t="shared" si="83"/>
        <v>&lt;ct3336&gt;</v>
      </c>
      <c r="H902" s="260">
        <f>VLOOKUP(O902,BCDTK!$E$9:$L$132,7,0)</f>
        <v>0</v>
      </c>
      <c r="I902" s="261" t="str">
        <f t="shared" si="84"/>
        <v>&lt;/ct3336&gt;</v>
      </c>
      <c r="J902" s="262"/>
      <c r="K902" s="262"/>
      <c r="L902" s="262"/>
      <c r="M902" s="263"/>
      <c r="N902" s="265"/>
      <c r="O902" s="265">
        <v>3336</v>
      </c>
    </row>
    <row r="903" spans="1:15" x14ac:dyDescent="0.45">
      <c r="A903" s="253" t="str">
        <f t="shared" si="85"/>
        <v>&lt;ct3337&gt;0&lt;/ct3337&gt;</v>
      </c>
      <c r="B903" s="450" t="s">
        <v>1642</v>
      </c>
      <c r="C903" s="244">
        <f t="shared" si="80"/>
        <v>2</v>
      </c>
      <c r="D903" s="244">
        <f t="shared" si="81"/>
        <v>8</v>
      </c>
      <c r="E903" s="244">
        <f t="shared" si="82"/>
        <v>10</v>
      </c>
      <c r="G903" s="259" t="str">
        <f t="shared" si="83"/>
        <v>&lt;ct3337&gt;</v>
      </c>
      <c r="H903" s="260">
        <f>VLOOKUP(O903,BCDTK!$E$9:$L$132,7,0)</f>
        <v>0</v>
      </c>
      <c r="I903" s="261" t="str">
        <f t="shared" si="84"/>
        <v>&lt;/ct3337&gt;</v>
      </c>
      <c r="J903" s="262"/>
      <c r="K903" s="262"/>
      <c r="L903" s="262"/>
      <c r="M903" s="263"/>
      <c r="N903" s="265"/>
      <c r="O903" s="265">
        <v>3337</v>
      </c>
    </row>
    <row r="904" spans="1:15" x14ac:dyDescent="0.45">
      <c r="A904" s="253" t="str">
        <f t="shared" si="85"/>
        <v>&lt;ct3338&gt;0&lt;/ct3338&gt;</v>
      </c>
      <c r="B904" s="450" t="s">
        <v>1643</v>
      </c>
      <c r="C904" s="244">
        <f t="shared" si="80"/>
        <v>2</v>
      </c>
      <c r="D904" s="244">
        <f t="shared" si="81"/>
        <v>8</v>
      </c>
      <c r="E904" s="244">
        <f t="shared" si="82"/>
        <v>10</v>
      </c>
      <c r="G904" s="259" t="str">
        <f t="shared" si="83"/>
        <v>&lt;ct3338&gt;</v>
      </c>
      <c r="H904" s="260">
        <f>VLOOKUP(O904,BCDTK!$E$9:$L$132,7,0)</f>
        <v>0</v>
      </c>
      <c r="I904" s="261" t="str">
        <f t="shared" si="84"/>
        <v>&lt;/ct3338&gt;</v>
      </c>
      <c r="J904" s="262"/>
      <c r="K904" s="262"/>
      <c r="L904" s="262"/>
      <c r="M904" s="263"/>
      <c r="N904" s="265"/>
      <c r="O904" s="265">
        <v>3338</v>
      </c>
    </row>
    <row r="905" spans="1:15" x14ac:dyDescent="0.45">
      <c r="A905" s="253" t="str">
        <f t="shared" si="85"/>
        <v>&lt;ct33381&gt;0&lt;/ct33381&gt;</v>
      </c>
      <c r="B905" s="450" t="s">
        <v>1644</v>
      </c>
      <c r="C905" s="244">
        <f t="shared" ref="C905:C952" si="86">LEN(B905)-LEN(SUBSTITUTE(B905,"&lt;",""))</f>
        <v>2</v>
      </c>
      <c r="D905" s="244">
        <f t="shared" ref="D905:D952" si="87">SEARCH("&gt;",B905)</f>
        <v>9</v>
      </c>
      <c r="E905" s="244">
        <f t="shared" ref="E905:E952" si="88">IFERROR(SEARCH("&lt;/",B905),"")</f>
        <v>11</v>
      </c>
      <c r="G905" s="259" t="str">
        <f t="shared" ref="G905:G968" si="89">LEFT(B905,D905)</f>
        <v>&lt;ct33381&gt;</v>
      </c>
      <c r="H905" s="260">
        <f>VLOOKUP(O905,BCDTK!$E$9:$L$132,7,0)</f>
        <v>0</v>
      </c>
      <c r="I905" s="261" t="str">
        <f t="shared" ref="I905:I968" si="90">IF(C905=2,RIGHT(B905,LEN(B905)-E905+1),"")</f>
        <v>&lt;/ct33381&gt;</v>
      </c>
      <c r="J905" s="262"/>
      <c r="K905" s="262"/>
      <c r="L905" s="262"/>
      <c r="M905" s="263"/>
      <c r="N905" s="265"/>
      <c r="O905" s="265">
        <v>33381</v>
      </c>
    </row>
    <row r="906" spans="1:15" x14ac:dyDescent="0.45">
      <c r="A906" s="253" t="str">
        <f t="shared" si="85"/>
        <v>&lt;ct33382&gt;0&lt;/ct33382&gt;</v>
      </c>
      <c r="B906" s="450" t="s">
        <v>1645</v>
      </c>
      <c r="C906" s="244">
        <f t="shared" si="86"/>
        <v>2</v>
      </c>
      <c r="D906" s="244">
        <f t="shared" si="87"/>
        <v>9</v>
      </c>
      <c r="E906" s="244">
        <f t="shared" si="88"/>
        <v>11</v>
      </c>
      <c r="G906" s="259" t="str">
        <f t="shared" si="89"/>
        <v>&lt;ct33382&gt;</v>
      </c>
      <c r="H906" s="260">
        <f>VLOOKUP(O906,BCDTK!$E$9:$L$132,7,0)</f>
        <v>0</v>
      </c>
      <c r="I906" s="261" t="str">
        <f t="shared" si="90"/>
        <v>&lt;/ct33382&gt;</v>
      </c>
      <c r="J906" s="262"/>
      <c r="K906" s="262"/>
      <c r="L906" s="262"/>
      <c r="M906" s="263"/>
      <c r="N906" s="265"/>
      <c r="O906" s="265">
        <v>33382</v>
      </c>
    </row>
    <row r="907" spans="1:15" x14ac:dyDescent="0.45">
      <c r="A907" s="253" t="str">
        <f t="shared" si="85"/>
        <v>&lt;ct3339&gt;0&lt;/ct3339&gt;</v>
      </c>
      <c r="B907" s="450" t="s">
        <v>1646</v>
      </c>
      <c r="C907" s="244">
        <f t="shared" si="86"/>
        <v>2</v>
      </c>
      <c r="D907" s="244">
        <f t="shared" si="87"/>
        <v>8</v>
      </c>
      <c r="E907" s="244">
        <f t="shared" si="88"/>
        <v>10</v>
      </c>
      <c r="G907" s="259" t="str">
        <f t="shared" si="89"/>
        <v>&lt;ct3339&gt;</v>
      </c>
      <c r="H907" s="260">
        <f>VLOOKUP(O907,BCDTK!$E$9:$L$132,7,0)</f>
        <v>0</v>
      </c>
      <c r="I907" s="261" t="str">
        <f t="shared" si="90"/>
        <v>&lt;/ct3339&gt;</v>
      </c>
      <c r="J907" s="262"/>
      <c r="K907" s="262"/>
      <c r="L907" s="262"/>
      <c r="M907" s="263"/>
      <c r="N907" s="265"/>
      <c r="O907" s="265">
        <v>3339</v>
      </c>
    </row>
    <row r="908" spans="1:15" x14ac:dyDescent="0.45">
      <c r="A908" s="253" t="str">
        <f t="shared" si="85"/>
        <v>&lt;ct334&gt;0&lt;/ct334&gt;</v>
      </c>
      <c r="B908" s="450" t="s">
        <v>1647</v>
      </c>
      <c r="C908" s="244">
        <f t="shared" si="86"/>
        <v>2</v>
      </c>
      <c r="D908" s="244">
        <f t="shared" si="87"/>
        <v>7</v>
      </c>
      <c r="E908" s="244">
        <f t="shared" si="88"/>
        <v>9</v>
      </c>
      <c r="G908" s="259" t="str">
        <f t="shared" si="89"/>
        <v>&lt;ct334&gt;</v>
      </c>
      <c r="H908" s="260">
        <f>VLOOKUP(O908,BCDTK!$E$9:$L$132,7,0)</f>
        <v>0</v>
      </c>
      <c r="I908" s="261" t="str">
        <f t="shared" si="90"/>
        <v>&lt;/ct334&gt;</v>
      </c>
      <c r="J908" s="262"/>
      <c r="K908" s="262"/>
      <c r="L908" s="262"/>
      <c r="M908" s="263"/>
      <c r="N908" s="265"/>
      <c r="O908" s="265">
        <v>334</v>
      </c>
    </row>
    <row r="909" spans="1:15" x14ac:dyDescent="0.45">
      <c r="A909" s="253" t="str">
        <f t="shared" si="85"/>
        <v>&lt;ct335&gt;0&lt;/ct335&gt;</v>
      </c>
      <c r="B909" s="450" t="s">
        <v>1648</v>
      </c>
      <c r="C909" s="244">
        <f t="shared" si="86"/>
        <v>2</v>
      </c>
      <c r="D909" s="244">
        <f t="shared" si="87"/>
        <v>7</v>
      </c>
      <c r="E909" s="244">
        <f t="shared" si="88"/>
        <v>9</v>
      </c>
      <c r="G909" s="259" t="str">
        <f t="shared" si="89"/>
        <v>&lt;ct335&gt;</v>
      </c>
      <c r="H909" s="260">
        <f>VLOOKUP(O909,BCDTK!$E$9:$L$132,7,0)</f>
        <v>0</v>
      </c>
      <c r="I909" s="261" t="str">
        <f t="shared" si="90"/>
        <v>&lt;/ct335&gt;</v>
      </c>
      <c r="J909" s="262"/>
      <c r="K909" s="262"/>
      <c r="L909" s="262"/>
      <c r="M909" s="263"/>
      <c r="N909" s="265"/>
      <c r="O909" s="265">
        <v>335</v>
      </c>
    </row>
    <row r="910" spans="1:15" x14ac:dyDescent="0.45">
      <c r="A910" s="253" t="str">
        <f t="shared" si="85"/>
        <v>&lt;ct336&gt;0&lt;/ct336&gt;</v>
      </c>
      <c r="B910" s="450" t="s">
        <v>1649</v>
      </c>
      <c r="C910" s="244">
        <f t="shared" si="86"/>
        <v>2</v>
      </c>
      <c r="D910" s="244">
        <f t="shared" si="87"/>
        <v>7</v>
      </c>
      <c r="E910" s="244">
        <f t="shared" si="88"/>
        <v>9</v>
      </c>
      <c r="G910" s="259" t="str">
        <f t="shared" si="89"/>
        <v>&lt;ct336&gt;</v>
      </c>
      <c r="H910" s="260">
        <f>VLOOKUP(O910,BCDTK!$E$9:$L$132,7,0)</f>
        <v>0</v>
      </c>
      <c r="I910" s="261" t="str">
        <f t="shared" si="90"/>
        <v>&lt;/ct336&gt;</v>
      </c>
      <c r="J910" s="262"/>
      <c r="K910" s="262"/>
      <c r="L910" s="262"/>
      <c r="M910" s="263"/>
      <c r="N910" s="265"/>
      <c r="O910" s="265">
        <v>336</v>
      </c>
    </row>
    <row r="911" spans="1:15" x14ac:dyDescent="0.45">
      <c r="A911" s="253" t="str">
        <f t="shared" si="85"/>
        <v>&lt;ct3361&gt;0&lt;/ct3361&gt;</v>
      </c>
      <c r="B911" s="450" t="s">
        <v>1650</v>
      </c>
      <c r="C911" s="244">
        <f t="shared" si="86"/>
        <v>2</v>
      </c>
      <c r="D911" s="244">
        <f t="shared" si="87"/>
        <v>8</v>
      </c>
      <c r="E911" s="244">
        <f t="shared" si="88"/>
        <v>10</v>
      </c>
      <c r="G911" s="259" t="str">
        <f t="shared" si="89"/>
        <v>&lt;ct3361&gt;</v>
      </c>
      <c r="H911" s="260">
        <f>VLOOKUP(O911,BCDTK!$E$9:$L$132,7,0)</f>
        <v>0</v>
      </c>
      <c r="I911" s="261" t="str">
        <f t="shared" si="90"/>
        <v>&lt;/ct3361&gt;</v>
      </c>
      <c r="J911" s="262"/>
      <c r="K911" s="262"/>
      <c r="L911" s="262"/>
      <c r="M911" s="263"/>
      <c r="N911" s="265"/>
      <c r="O911" s="265">
        <v>3361</v>
      </c>
    </row>
    <row r="912" spans="1:15" x14ac:dyDescent="0.45">
      <c r="A912" s="253" t="str">
        <f t="shared" si="85"/>
        <v>&lt;ct3368&gt;0&lt;/ct3368&gt;</v>
      </c>
      <c r="B912" s="450" t="s">
        <v>1651</v>
      </c>
      <c r="C912" s="244">
        <f t="shared" si="86"/>
        <v>2</v>
      </c>
      <c r="D912" s="244">
        <f t="shared" si="87"/>
        <v>8</v>
      </c>
      <c r="E912" s="244">
        <f t="shared" si="88"/>
        <v>10</v>
      </c>
      <c r="G912" s="259" t="str">
        <f t="shared" si="89"/>
        <v>&lt;ct3368&gt;</v>
      </c>
      <c r="H912" s="260">
        <f>VLOOKUP(O912,BCDTK!$E$9:$L$132,7,0)</f>
        <v>0</v>
      </c>
      <c r="I912" s="261" t="str">
        <f t="shared" si="90"/>
        <v>&lt;/ct3368&gt;</v>
      </c>
      <c r="J912" s="262"/>
      <c r="K912" s="262"/>
      <c r="L912" s="262"/>
      <c r="M912" s="263"/>
      <c r="N912" s="265"/>
      <c r="O912" s="265">
        <v>3368</v>
      </c>
    </row>
    <row r="913" spans="1:15" x14ac:dyDescent="0.45">
      <c r="A913" s="253" t="str">
        <f t="shared" si="85"/>
        <v>&lt;ct338&gt;0&lt;/ct338&gt;</v>
      </c>
      <c r="B913" s="450" t="s">
        <v>1652</v>
      </c>
      <c r="C913" s="244">
        <f t="shared" si="86"/>
        <v>2</v>
      </c>
      <c r="D913" s="244">
        <f t="shared" si="87"/>
        <v>7</v>
      </c>
      <c r="E913" s="244">
        <f t="shared" si="88"/>
        <v>9</v>
      </c>
      <c r="G913" s="259" t="str">
        <f t="shared" si="89"/>
        <v>&lt;ct338&gt;</v>
      </c>
      <c r="H913" s="260">
        <f>VLOOKUP(O913,BCDTK!$E$9:$L$132,7,0)</f>
        <v>0</v>
      </c>
      <c r="I913" s="261" t="str">
        <f t="shared" si="90"/>
        <v>&lt;/ct338&gt;</v>
      </c>
      <c r="J913" s="262"/>
      <c r="K913" s="262"/>
      <c r="L913" s="262"/>
      <c r="M913" s="263"/>
      <c r="N913" s="265"/>
      <c r="O913" s="265">
        <v>338</v>
      </c>
    </row>
    <row r="914" spans="1:15" x14ac:dyDescent="0.45">
      <c r="A914" s="253" t="str">
        <f t="shared" si="85"/>
        <v>&lt;ct3381&gt;0&lt;/ct3381&gt;</v>
      </c>
      <c r="B914" s="450" t="s">
        <v>1653</v>
      </c>
      <c r="C914" s="244">
        <f t="shared" si="86"/>
        <v>2</v>
      </c>
      <c r="D914" s="244">
        <f t="shared" si="87"/>
        <v>8</v>
      </c>
      <c r="E914" s="244">
        <f t="shared" si="88"/>
        <v>10</v>
      </c>
      <c r="G914" s="259" t="str">
        <f t="shared" si="89"/>
        <v>&lt;ct3381&gt;</v>
      </c>
      <c r="H914" s="260">
        <f>VLOOKUP(O914,BCDTK!$E$9:$L$132,7,0)</f>
        <v>0</v>
      </c>
      <c r="I914" s="261" t="str">
        <f t="shared" si="90"/>
        <v>&lt;/ct3381&gt;</v>
      </c>
      <c r="J914" s="262"/>
      <c r="K914" s="262"/>
      <c r="L914" s="262"/>
      <c r="M914" s="263"/>
      <c r="N914" s="265"/>
      <c r="O914" s="265">
        <v>3381</v>
      </c>
    </row>
    <row r="915" spans="1:15" x14ac:dyDescent="0.45">
      <c r="A915" s="253" t="str">
        <f t="shared" si="85"/>
        <v>&lt;ct3382&gt;0&lt;/ct3382&gt;</v>
      </c>
      <c r="B915" s="450" t="s">
        <v>1654</v>
      </c>
      <c r="C915" s="244">
        <f t="shared" si="86"/>
        <v>2</v>
      </c>
      <c r="D915" s="244">
        <f t="shared" si="87"/>
        <v>8</v>
      </c>
      <c r="E915" s="244">
        <f t="shared" si="88"/>
        <v>10</v>
      </c>
      <c r="G915" s="259" t="str">
        <f t="shared" si="89"/>
        <v>&lt;ct3382&gt;</v>
      </c>
      <c r="H915" s="260">
        <f>VLOOKUP(O915,BCDTK!$E$9:$L$132,7,0)</f>
        <v>0</v>
      </c>
      <c r="I915" s="261" t="str">
        <f t="shared" si="90"/>
        <v>&lt;/ct3382&gt;</v>
      </c>
      <c r="J915" s="262"/>
      <c r="K915" s="262"/>
      <c r="L915" s="262"/>
      <c r="M915" s="263"/>
      <c r="N915" s="265"/>
      <c r="O915" s="265">
        <v>3382</v>
      </c>
    </row>
    <row r="916" spans="1:15" x14ac:dyDescent="0.45">
      <c r="A916" s="253" t="str">
        <f t="shared" si="85"/>
        <v>&lt;ct3383&gt;0&lt;/ct3383&gt;</v>
      </c>
      <c r="B916" s="450" t="s">
        <v>1655</v>
      </c>
      <c r="C916" s="244">
        <f t="shared" si="86"/>
        <v>2</v>
      </c>
      <c r="D916" s="244">
        <f t="shared" si="87"/>
        <v>8</v>
      </c>
      <c r="E916" s="244">
        <f t="shared" si="88"/>
        <v>10</v>
      </c>
      <c r="G916" s="259" t="str">
        <f t="shared" si="89"/>
        <v>&lt;ct3383&gt;</v>
      </c>
      <c r="H916" s="260">
        <f>VLOOKUP(O916,BCDTK!$E$9:$L$132,7,0)</f>
        <v>0</v>
      </c>
      <c r="I916" s="261" t="str">
        <f t="shared" si="90"/>
        <v>&lt;/ct3383&gt;</v>
      </c>
      <c r="J916" s="262"/>
      <c r="K916" s="262"/>
      <c r="L916" s="262"/>
      <c r="M916" s="263"/>
      <c r="N916" s="265"/>
      <c r="O916" s="265">
        <v>3383</v>
      </c>
    </row>
    <row r="917" spans="1:15" x14ac:dyDescent="0.45">
      <c r="A917" s="253" t="str">
        <f t="shared" si="85"/>
        <v>&lt;ct3384&gt;0&lt;/ct3384&gt;</v>
      </c>
      <c r="B917" s="450" t="s">
        <v>1656</v>
      </c>
      <c r="C917" s="244">
        <f t="shared" si="86"/>
        <v>2</v>
      </c>
      <c r="D917" s="244">
        <f t="shared" si="87"/>
        <v>8</v>
      </c>
      <c r="E917" s="244">
        <f t="shared" si="88"/>
        <v>10</v>
      </c>
      <c r="G917" s="259" t="str">
        <f t="shared" si="89"/>
        <v>&lt;ct3384&gt;</v>
      </c>
      <c r="H917" s="260">
        <f>VLOOKUP(O917,BCDTK!$E$9:$L$132,7,0)</f>
        <v>0</v>
      </c>
      <c r="I917" s="261" t="str">
        <f t="shared" si="90"/>
        <v>&lt;/ct3384&gt;</v>
      </c>
      <c r="J917" s="262"/>
      <c r="K917" s="262"/>
      <c r="L917" s="262"/>
      <c r="M917" s="263"/>
      <c r="N917" s="265"/>
      <c r="O917" s="265">
        <v>3384</v>
      </c>
    </row>
    <row r="918" spans="1:15" x14ac:dyDescent="0.45">
      <c r="A918" s="253" t="str">
        <f t="shared" si="85"/>
        <v>&lt;ct3385&gt;0&lt;/ct3385&gt;</v>
      </c>
      <c r="B918" s="450" t="s">
        <v>1657</v>
      </c>
      <c r="C918" s="244">
        <f t="shared" si="86"/>
        <v>2</v>
      </c>
      <c r="D918" s="244">
        <f t="shared" si="87"/>
        <v>8</v>
      </c>
      <c r="E918" s="244">
        <f t="shared" si="88"/>
        <v>10</v>
      </c>
      <c r="G918" s="259" t="str">
        <f t="shared" si="89"/>
        <v>&lt;ct3385&gt;</v>
      </c>
      <c r="H918" s="260">
        <f>VLOOKUP(O918,BCDTK!$E$9:$L$132,7,0)</f>
        <v>0</v>
      </c>
      <c r="I918" s="261" t="str">
        <f t="shared" si="90"/>
        <v>&lt;/ct3385&gt;</v>
      </c>
      <c r="J918" s="262"/>
      <c r="K918" s="262"/>
      <c r="L918" s="262"/>
      <c r="M918" s="263"/>
      <c r="N918" s="265"/>
      <c r="O918" s="265">
        <v>3385</v>
      </c>
    </row>
    <row r="919" spans="1:15" x14ac:dyDescent="0.45">
      <c r="A919" s="253" t="str">
        <f t="shared" si="85"/>
        <v>&lt;ct3386&gt;0&lt;/ct3386&gt;</v>
      </c>
      <c r="B919" s="450" t="s">
        <v>1658</v>
      </c>
      <c r="C919" s="244">
        <f t="shared" si="86"/>
        <v>2</v>
      </c>
      <c r="D919" s="244">
        <f t="shared" si="87"/>
        <v>8</v>
      </c>
      <c r="E919" s="244">
        <f t="shared" si="88"/>
        <v>10</v>
      </c>
      <c r="G919" s="259" t="str">
        <f t="shared" si="89"/>
        <v>&lt;ct3386&gt;</v>
      </c>
      <c r="H919" s="260">
        <f>VLOOKUP(O919,BCDTK!$E$9:$L$132,7,0)</f>
        <v>0</v>
      </c>
      <c r="I919" s="261" t="str">
        <f t="shared" si="90"/>
        <v>&lt;/ct3386&gt;</v>
      </c>
      <c r="J919" s="262"/>
      <c r="K919" s="262"/>
      <c r="L919" s="262"/>
      <c r="M919" s="263"/>
      <c r="N919" s="265"/>
      <c r="O919" s="265">
        <v>3386</v>
      </c>
    </row>
    <row r="920" spans="1:15" x14ac:dyDescent="0.45">
      <c r="A920" s="253" t="str">
        <f t="shared" si="85"/>
        <v>&lt;ct3387&gt;0&lt;/ct3387&gt;</v>
      </c>
      <c r="B920" s="450" t="s">
        <v>1659</v>
      </c>
      <c r="C920" s="244">
        <f t="shared" si="86"/>
        <v>2</v>
      </c>
      <c r="D920" s="244">
        <f t="shared" si="87"/>
        <v>8</v>
      </c>
      <c r="E920" s="244">
        <f t="shared" si="88"/>
        <v>10</v>
      </c>
      <c r="G920" s="259" t="str">
        <f t="shared" si="89"/>
        <v>&lt;ct3387&gt;</v>
      </c>
      <c r="H920" s="260">
        <f>VLOOKUP(O920,BCDTK!$E$9:$L$132,7,0)</f>
        <v>0</v>
      </c>
      <c r="I920" s="261" t="str">
        <f t="shared" si="90"/>
        <v>&lt;/ct3387&gt;</v>
      </c>
      <c r="J920" s="262"/>
      <c r="K920" s="262"/>
      <c r="L920" s="262"/>
      <c r="M920" s="263"/>
      <c r="N920" s="265"/>
      <c r="O920" s="265">
        <v>3387</v>
      </c>
    </row>
    <row r="921" spans="1:15" x14ac:dyDescent="0.45">
      <c r="A921" s="253" t="str">
        <f t="shared" si="85"/>
        <v>&lt;ct3388&gt;0&lt;/ct3388&gt;</v>
      </c>
      <c r="B921" s="450" t="s">
        <v>1660</v>
      </c>
      <c r="C921" s="244">
        <f t="shared" si="86"/>
        <v>2</v>
      </c>
      <c r="D921" s="244">
        <f t="shared" si="87"/>
        <v>8</v>
      </c>
      <c r="E921" s="244">
        <f t="shared" si="88"/>
        <v>10</v>
      </c>
      <c r="G921" s="259" t="str">
        <f t="shared" si="89"/>
        <v>&lt;ct3388&gt;</v>
      </c>
      <c r="H921" s="260">
        <f>VLOOKUP(O921,BCDTK!$E$9:$L$132,7,0)</f>
        <v>0</v>
      </c>
      <c r="I921" s="261" t="str">
        <f t="shared" si="90"/>
        <v>&lt;/ct3388&gt;</v>
      </c>
      <c r="J921" s="262"/>
      <c r="K921" s="262"/>
      <c r="L921" s="262"/>
      <c r="M921" s="263"/>
      <c r="N921" s="265"/>
      <c r="O921" s="265">
        <v>3388</v>
      </c>
    </row>
    <row r="922" spans="1:15" x14ac:dyDescent="0.45">
      <c r="A922" s="253" t="str">
        <f t="shared" si="85"/>
        <v>&lt;ct341&gt;0&lt;/ct341&gt;</v>
      </c>
      <c r="B922" s="450" t="s">
        <v>1661</v>
      </c>
      <c r="C922" s="244">
        <f t="shared" si="86"/>
        <v>2</v>
      </c>
      <c r="D922" s="244">
        <f t="shared" si="87"/>
        <v>7</v>
      </c>
      <c r="E922" s="244">
        <f t="shared" si="88"/>
        <v>9</v>
      </c>
      <c r="G922" s="259" t="str">
        <f t="shared" si="89"/>
        <v>&lt;ct341&gt;</v>
      </c>
      <c r="H922" s="260">
        <f>VLOOKUP(O922,BCDTK!$E$9:$L$132,7,0)</f>
        <v>0</v>
      </c>
      <c r="I922" s="261" t="str">
        <f t="shared" si="90"/>
        <v>&lt;/ct341&gt;</v>
      </c>
      <c r="J922" s="262"/>
      <c r="K922" s="262"/>
      <c r="L922" s="262"/>
      <c r="M922" s="263"/>
      <c r="N922" s="265"/>
      <c r="O922" s="265">
        <v>341</v>
      </c>
    </row>
    <row r="923" spans="1:15" x14ac:dyDescent="0.45">
      <c r="A923" s="253" t="str">
        <f t="shared" si="85"/>
        <v>&lt;ct3411&gt;0&lt;/ct3411&gt;</v>
      </c>
      <c r="B923" s="450" t="s">
        <v>1662</v>
      </c>
      <c r="C923" s="244">
        <f t="shared" si="86"/>
        <v>2</v>
      </c>
      <c r="D923" s="244">
        <f t="shared" si="87"/>
        <v>8</v>
      </c>
      <c r="E923" s="244">
        <f t="shared" si="88"/>
        <v>10</v>
      </c>
      <c r="G923" s="259" t="str">
        <f t="shared" si="89"/>
        <v>&lt;ct3411&gt;</v>
      </c>
      <c r="H923" s="260">
        <f>VLOOKUP(O923,BCDTK!$E$9:$L$132,7,0)</f>
        <v>0</v>
      </c>
      <c r="I923" s="261" t="str">
        <f t="shared" si="90"/>
        <v>&lt;/ct3411&gt;</v>
      </c>
      <c r="J923" s="262"/>
      <c r="K923" s="262"/>
      <c r="L923" s="262"/>
      <c r="M923" s="263"/>
      <c r="N923" s="265"/>
      <c r="O923" s="265">
        <v>3411</v>
      </c>
    </row>
    <row r="924" spans="1:15" x14ac:dyDescent="0.45">
      <c r="A924" s="253" t="str">
        <f t="shared" si="85"/>
        <v>&lt;ct3412&gt;0&lt;/ct3412&gt;</v>
      </c>
      <c r="B924" s="450" t="s">
        <v>1663</v>
      </c>
      <c r="C924" s="244">
        <f t="shared" si="86"/>
        <v>2</v>
      </c>
      <c r="D924" s="244">
        <f t="shared" si="87"/>
        <v>8</v>
      </c>
      <c r="E924" s="244">
        <f t="shared" si="88"/>
        <v>10</v>
      </c>
      <c r="G924" s="259" t="str">
        <f t="shared" si="89"/>
        <v>&lt;ct3412&gt;</v>
      </c>
      <c r="H924" s="260">
        <f>VLOOKUP(O924,BCDTK!$E$9:$L$132,7,0)</f>
        <v>0</v>
      </c>
      <c r="I924" s="261" t="str">
        <f t="shared" si="90"/>
        <v>&lt;/ct3412&gt;</v>
      </c>
      <c r="J924" s="262"/>
      <c r="K924" s="262"/>
      <c r="L924" s="262"/>
      <c r="M924" s="263"/>
      <c r="N924" s="265"/>
      <c r="O924" s="265">
        <v>3412</v>
      </c>
    </row>
    <row r="925" spans="1:15" x14ac:dyDescent="0.45">
      <c r="A925" s="253" t="str">
        <f t="shared" si="85"/>
        <v>&lt;ct352&gt;0&lt;/ct352&gt;</v>
      </c>
      <c r="B925" s="450" t="s">
        <v>1664</v>
      </c>
      <c r="C925" s="244">
        <f t="shared" si="86"/>
        <v>2</v>
      </c>
      <c r="D925" s="244">
        <f t="shared" si="87"/>
        <v>7</v>
      </c>
      <c r="E925" s="244">
        <f t="shared" si="88"/>
        <v>9</v>
      </c>
      <c r="G925" s="259" t="str">
        <f t="shared" si="89"/>
        <v>&lt;ct352&gt;</v>
      </c>
      <c r="H925" s="260">
        <f>VLOOKUP(O925,BCDTK!$E$9:$L$132,7,0)</f>
        <v>0</v>
      </c>
      <c r="I925" s="261" t="str">
        <f t="shared" si="90"/>
        <v>&lt;/ct352&gt;</v>
      </c>
      <c r="J925" s="262"/>
      <c r="K925" s="262"/>
      <c r="L925" s="262"/>
      <c r="M925" s="263"/>
      <c r="N925" s="265"/>
      <c r="O925" s="265">
        <v>352</v>
      </c>
    </row>
    <row r="926" spans="1:15" x14ac:dyDescent="0.45">
      <c r="A926" s="253" t="str">
        <f t="shared" si="85"/>
        <v>&lt;ct3521&gt;0&lt;/ct3521&gt;</v>
      </c>
      <c r="B926" s="450" t="s">
        <v>1665</v>
      </c>
      <c r="C926" s="244">
        <f t="shared" si="86"/>
        <v>2</v>
      </c>
      <c r="D926" s="244">
        <f t="shared" si="87"/>
        <v>8</v>
      </c>
      <c r="E926" s="244">
        <f t="shared" si="88"/>
        <v>10</v>
      </c>
      <c r="G926" s="259" t="str">
        <f t="shared" si="89"/>
        <v>&lt;ct3521&gt;</v>
      </c>
      <c r="H926" s="260">
        <f>VLOOKUP(O926,BCDTK!$E$9:$L$132,7,0)</f>
        <v>0</v>
      </c>
      <c r="I926" s="261" t="str">
        <f t="shared" si="90"/>
        <v>&lt;/ct3521&gt;</v>
      </c>
      <c r="J926" s="262"/>
      <c r="K926" s="262"/>
      <c r="L926" s="262"/>
      <c r="M926" s="263"/>
      <c r="N926" s="265"/>
      <c r="O926" s="265">
        <v>3521</v>
      </c>
    </row>
    <row r="927" spans="1:15" x14ac:dyDescent="0.45">
      <c r="A927" s="253" t="str">
        <f t="shared" si="85"/>
        <v>&lt;ct3522&gt;0&lt;/ct3522&gt;</v>
      </c>
      <c r="B927" s="450" t="s">
        <v>1666</v>
      </c>
      <c r="C927" s="244">
        <f t="shared" si="86"/>
        <v>2</v>
      </c>
      <c r="D927" s="244">
        <f t="shared" si="87"/>
        <v>8</v>
      </c>
      <c r="E927" s="244">
        <f t="shared" si="88"/>
        <v>10</v>
      </c>
      <c r="G927" s="259" t="str">
        <f t="shared" si="89"/>
        <v>&lt;ct3522&gt;</v>
      </c>
      <c r="H927" s="260">
        <f>VLOOKUP(O927,BCDTK!$E$9:$L$132,7,0)</f>
        <v>0</v>
      </c>
      <c r="I927" s="261" t="str">
        <f t="shared" si="90"/>
        <v>&lt;/ct3522&gt;</v>
      </c>
      <c r="J927" s="262"/>
      <c r="K927" s="262"/>
      <c r="L927" s="262"/>
      <c r="M927" s="263"/>
      <c r="N927" s="265"/>
      <c r="O927" s="265">
        <v>3522</v>
      </c>
    </row>
    <row r="928" spans="1:15" x14ac:dyDescent="0.45">
      <c r="A928" s="253" t="str">
        <f t="shared" si="85"/>
        <v>&lt;ct3524&gt;0&lt;/ct3524&gt;</v>
      </c>
      <c r="B928" s="450" t="s">
        <v>1667</v>
      </c>
      <c r="C928" s="244">
        <f t="shared" si="86"/>
        <v>2</v>
      </c>
      <c r="D928" s="244">
        <f t="shared" si="87"/>
        <v>8</v>
      </c>
      <c r="E928" s="244">
        <f t="shared" si="88"/>
        <v>10</v>
      </c>
      <c r="G928" s="259" t="str">
        <f t="shared" si="89"/>
        <v>&lt;ct3524&gt;</v>
      </c>
      <c r="H928" s="260">
        <f>VLOOKUP(O928,BCDTK!$E$9:$L$132,7,0)</f>
        <v>0</v>
      </c>
      <c r="I928" s="261" t="str">
        <f t="shared" si="90"/>
        <v>&lt;/ct3524&gt;</v>
      </c>
      <c r="J928" s="262"/>
      <c r="K928" s="262"/>
      <c r="L928" s="262"/>
      <c r="M928" s="263"/>
      <c r="N928" s="265"/>
      <c r="O928" s="265">
        <v>3524</v>
      </c>
    </row>
    <row r="929" spans="1:15" x14ac:dyDescent="0.45">
      <c r="A929" s="253" t="str">
        <f t="shared" si="85"/>
        <v>&lt;ct353&gt;0&lt;/ct353&gt;</v>
      </c>
      <c r="B929" s="450" t="s">
        <v>1668</v>
      </c>
      <c r="C929" s="244">
        <f t="shared" si="86"/>
        <v>2</v>
      </c>
      <c r="D929" s="244">
        <f t="shared" si="87"/>
        <v>7</v>
      </c>
      <c r="E929" s="244">
        <f t="shared" si="88"/>
        <v>9</v>
      </c>
      <c r="G929" s="259" t="str">
        <f t="shared" si="89"/>
        <v>&lt;ct353&gt;</v>
      </c>
      <c r="H929" s="260">
        <f>VLOOKUP(O929,BCDTK!$E$9:$L$132,7,0)</f>
        <v>0</v>
      </c>
      <c r="I929" s="261" t="str">
        <f t="shared" si="90"/>
        <v>&lt;/ct353&gt;</v>
      </c>
      <c r="J929" s="262"/>
      <c r="K929" s="262"/>
      <c r="L929" s="262"/>
      <c r="M929" s="263"/>
      <c r="N929" s="265"/>
      <c r="O929" s="265">
        <v>353</v>
      </c>
    </row>
    <row r="930" spans="1:15" x14ac:dyDescent="0.45">
      <c r="A930" s="253" t="str">
        <f t="shared" si="85"/>
        <v>&lt;ct3531&gt;0&lt;/ct3531&gt;</v>
      </c>
      <c r="B930" s="450" t="s">
        <v>1669</v>
      </c>
      <c r="C930" s="244">
        <f t="shared" si="86"/>
        <v>2</v>
      </c>
      <c r="D930" s="244">
        <f t="shared" si="87"/>
        <v>8</v>
      </c>
      <c r="E930" s="244">
        <f t="shared" si="88"/>
        <v>10</v>
      </c>
      <c r="G930" s="259" t="str">
        <f t="shared" si="89"/>
        <v>&lt;ct3531&gt;</v>
      </c>
      <c r="H930" s="260">
        <f>VLOOKUP(O930,BCDTK!$E$9:$L$132,7,0)</f>
        <v>0</v>
      </c>
      <c r="I930" s="261" t="str">
        <f t="shared" si="90"/>
        <v>&lt;/ct3531&gt;</v>
      </c>
      <c r="J930" s="262"/>
      <c r="K930" s="262"/>
      <c r="L930" s="262"/>
      <c r="M930" s="263"/>
      <c r="N930" s="265"/>
      <c r="O930" s="265">
        <v>3531</v>
      </c>
    </row>
    <row r="931" spans="1:15" x14ac:dyDescent="0.45">
      <c r="A931" s="253" t="str">
        <f t="shared" si="85"/>
        <v>&lt;ct3532&gt;0&lt;/ct3532&gt;</v>
      </c>
      <c r="B931" s="450" t="s">
        <v>1670</v>
      </c>
      <c r="C931" s="244">
        <f t="shared" si="86"/>
        <v>2</v>
      </c>
      <c r="D931" s="244">
        <f t="shared" si="87"/>
        <v>8</v>
      </c>
      <c r="E931" s="244">
        <f t="shared" si="88"/>
        <v>10</v>
      </c>
      <c r="G931" s="259" t="str">
        <f t="shared" si="89"/>
        <v>&lt;ct3532&gt;</v>
      </c>
      <c r="H931" s="260">
        <f>VLOOKUP(O931,BCDTK!$E$9:$L$132,7,0)</f>
        <v>0</v>
      </c>
      <c r="I931" s="261" t="str">
        <f t="shared" si="90"/>
        <v>&lt;/ct3532&gt;</v>
      </c>
      <c r="J931" s="262"/>
      <c r="K931" s="262"/>
      <c r="L931" s="262"/>
      <c r="M931" s="263"/>
      <c r="N931" s="265"/>
      <c r="O931" s="265">
        <v>3532</v>
      </c>
    </row>
    <row r="932" spans="1:15" x14ac:dyDescent="0.45">
      <c r="A932" s="253" t="str">
        <f t="shared" si="85"/>
        <v>&lt;ct3533&gt;0&lt;/ct3533&gt;</v>
      </c>
      <c r="B932" s="450" t="s">
        <v>1671</v>
      </c>
      <c r="C932" s="244">
        <f t="shared" si="86"/>
        <v>2</v>
      </c>
      <c r="D932" s="244">
        <f t="shared" si="87"/>
        <v>8</v>
      </c>
      <c r="E932" s="244">
        <f t="shared" si="88"/>
        <v>10</v>
      </c>
      <c r="G932" s="259" t="str">
        <f t="shared" si="89"/>
        <v>&lt;ct3533&gt;</v>
      </c>
      <c r="H932" s="260">
        <f>VLOOKUP(O932,BCDTK!$E$9:$L$132,7,0)</f>
        <v>0</v>
      </c>
      <c r="I932" s="261" t="str">
        <f t="shared" si="90"/>
        <v>&lt;/ct3533&gt;</v>
      </c>
      <c r="J932" s="262"/>
      <c r="K932" s="262"/>
      <c r="L932" s="262"/>
      <c r="M932" s="263"/>
      <c r="N932" s="265"/>
      <c r="O932" s="265">
        <v>3533</v>
      </c>
    </row>
    <row r="933" spans="1:15" x14ac:dyDescent="0.45">
      <c r="A933" s="253" t="str">
        <f t="shared" si="85"/>
        <v>&lt;ct3534&gt;0&lt;/ct3534&gt;</v>
      </c>
      <c r="B933" s="450" t="s">
        <v>1672</v>
      </c>
      <c r="C933" s="244">
        <f t="shared" si="86"/>
        <v>2</v>
      </c>
      <c r="D933" s="244">
        <f t="shared" si="87"/>
        <v>8</v>
      </c>
      <c r="E933" s="244">
        <f t="shared" si="88"/>
        <v>10</v>
      </c>
      <c r="G933" s="259" t="str">
        <f t="shared" si="89"/>
        <v>&lt;ct3534&gt;</v>
      </c>
      <c r="H933" s="260">
        <f>VLOOKUP(O933,BCDTK!$E$9:$L$132,7,0)</f>
        <v>0</v>
      </c>
      <c r="I933" s="261" t="str">
        <f t="shared" si="90"/>
        <v>&lt;/ct3534&gt;</v>
      </c>
      <c r="J933" s="262"/>
      <c r="K933" s="262"/>
      <c r="L933" s="262"/>
      <c r="M933" s="263"/>
      <c r="N933" s="265"/>
      <c r="O933" s="265">
        <v>3534</v>
      </c>
    </row>
    <row r="934" spans="1:15" x14ac:dyDescent="0.45">
      <c r="A934" s="253" t="str">
        <f t="shared" si="85"/>
        <v>&lt;ct356&gt;0&lt;/ct356&gt;</v>
      </c>
      <c r="B934" s="450" t="s">
        <v>1673</v>
      </c>
      <c r="C934" s="244">
        <f t="shared" si="86"/>
        <v>2</v>
      </c>
      <c r="D934" s="244">
        <f t="shared" si="87"/>
        <v>7</v>
      </c>
      <c r="E934" s="244">
        <f t="shared" si="88"/>
        <v>9</v>
      </c>
      <c r="G934" s="259" t="str">
        <f t="shared" si="89"/>
        <v>&lt;ct356&gt;</v>
      </c>
      <c r="H934" s="260">
        <f>VLOOKUP(O934,BCDTK!$E$9:$L$132,7,0)</f>
        <v>0</v>
      </c>
      <c r="I934" s="261" t="str">
        <f t="shared" si="90"/>
        <v>&lt;/ct356&gt;</v>
      </c>
      <c r="J934" s="262"/>
      <c r="K934" s="262"/>
      <c r="L934" s="262"/>
      <c r="M934" s="263"/>
      <c r="N934" s="265"/>
      <c r="O934" s="265">
        <v>356</v>
      </c>
    </row>
    <row r="935" spans="1:15" x14ac:dyDescent="0.45">
      <c r="A935" s="253" t="str">
        <f t="shared" si="85"/>
        <v>&lt;ct3561&gt;0&lt;/ct3561&gt;</v>
      </c>
      <c r="B935" s="450" t="s">
        <v>1674</v>
      </c>
      <c r="C935" s="244">
        <f t="shared" si="86"/>
        <v>2</v>
      </c>
      <c r="D935" s="244">
        <f t="shared" si="87"/>
        <v>8</v>
      </c>
      <c r="E935" s="244">
        <f t="shared" si="88"/>
        <v>10</v>
      </c>
      <c r="G935" s="259" t="str">
        <f t="shared" si="89"/>
        <v>&lt;ct3561&gt;</v>
      </c>
      <c r="H935" s="260">
        <f>VLOOKUP(O935,BCDTK!$E$9:$L$132,7,0)</f>
        <v>0</v>
      </c>
      <c r="I935" s="261" t="str">
        <f t="shared" si="90"/>
        <v>&lt;/ct3561&gt;</v>
      </c>
      <c r="J935" s="262"/>
      <c r="K935" s="262"/>
      <c r="L935" s="262"/>
      <c r="M935" s="263"/>
      <c r="N935" s="265"/>
      <c r="O935" s="265">
        <v>3561</v>
      </c>
    </row>
    <row r="936" spans="1:15" x14ac:dyDescent="0.45">
      <c r="A936" s="253" t="str">
        <f t="shared" si="85"/>
        <v>&lt;ct3562&gt;0&lt;/ct3562&gt;</v>
      </c>
      <c r="B936" s="450" t="s">
        <v>1675</v>
      </c>
      <c r="C936" s="244">
        <f t="shared" si="86"/>
        <v>2</v>
      </c>
      <c r="D936" s="244">
        <f t="shared" si="87"/>
        <v>8</v>
      </c>
      <c r="E936" s="244">
        <f t="shared" si="88"/>
        <v>10</v>
      </c>
      <c r="G936" s="259" t="str">
        <f t="shared" si="89"/>
        <v>&lt;ct3562&gt;</v>
      </c>
      <c r="H936" s="260">
        <f>VLOOKUP(O936,BCDTK!$E$9:$L$132,7,0)</f>
        <v>0</v>
      </c>
      <c r="I936" s="261" t="str">
        <f t="shared" si="90"/>
        <v>&lt;/ct3562&gt;</v>
      </c>
      <c r="J936" s="262"/>
      <c r="K936" s="262"/>
      <c r="L936" s="262"/>
      <c r="M936" s="263"/>
      <c r="N936" s="265"/>
      <c r="O936" s="265">
        <v>3562</v>
      </c>
    </row>
    <row r="937" spans="1:15" x14ac:dyDescent="0.45">
      <c r="A937" s="253" t="str">
        <f t="shared" si="85"/>
        <v>&lt;ct411&gt;0&lt;/ct411&gt;</v>
      </c>
      <c r="B937" s="450" t="s">
        <v>1525</v>
      </c>
      <c r="C937" s="244">
        <f t="shared" si="86"/>
        <v>2</v>
      </c>
      <c r="D937" s="244">
        <f t="shared" si="87"/>
        <v>7</v>
      </c>
      <c r="E937" s="244">
        <f t="shared" si="88"/>
        <v>9</v>
      </c>
      <c r="G937" s="259" t="str">
        <f t="shared" si="89"/>
        <v>&lt;ct411&gt;</v>
      </c>
      <c r="H937" s="260">
        <f>VLOOKUP(O937,BCDTK!$E$9:$L$132,7,0)</f>
        <v>0</v>
      </c>
      <c r="I937" s="261" t="str">
        <f t="shared" si="90"/>
        <v>&lt;/ct411&gt;</v>
      </c>
      <c r="J937" s="262"/>
      <c r="K937" s="262"/>
      <c r="L937" s="262"/>
      <c r="M937" s="263"/>
      <c r="N937" s="265"/>
      <c r="O937" s="265">
        <v>411</v>
      </c>
    </row>
    <row r="938" spans="1:15" x14ac:dyDescent="0.45">
      <c r="A938" s="253" t="str">
        <f t="shared" si="85"/>
        <v>&lt;ct4111&gt;0&lt;/ct4111&gt;</v>
      </c>
      <c r="B938" s="450" t="s">
        <v>1676</v>
      </c>
      <c r="C938" s="244">
        <f t="shared" si="86"/>
        <v>2</v>
      </c>
      <c r="D938" s="244">
        <f t="shared" si="87"/>
        <v>8</v>
      </c>
      <c r="E938" s="244">
        <f t="shared" si="88"/>
        <v>10</v>
      </c>
      <c r="G938" s="259" t="str">
        <f t="shared" si="89"/>
        <v>&lt;ct4111&gt;</v>
      </c>
      <c r="H938" s="260">
        <f>VLOOKUP(O938,BCDTK!$E$9:$L$132,7,0)</f>
        <v>0</v>
      </c>
      <c r="I938" s="261" t="str">
        <f t="shared" si="90"/>
        <v>&lt;/ct4111&gt;</v>
      </c>
      <c r="J938" s="262"/>
      <c r="K938" s="262"/>
      <c r="L938" s="262"/>
      <c r="M938" s="263"/>
      <c r="N938" s="265"/>
      <c r="O938" s="265">
        <v>4111</v>
      </c>
    </row>
    <row r="939" spans="1:15" x14ac:dyDescent="0.45">
      <c r="A939" s="253" t="str">
        <f t="shared" si="85"/>
        <v>&lt;ct4112&gt;0&lt;/ct4112&gt;</v>
      </c>
      <c r="B939" s="450" t="s">
        <v>1677</v>
      </c>
      <c r="C939" s="244">
        <f t="shared" si="86"/>
        <v>2</v>
      </c>
      <c r="D939" s="244">
        <f t="shared" si="87"/>
        <v>8</v>
      </c>
      <c r="E939" s="244">
        <f t="shared" si="88"/>
        <v>10</v>
      </c>
      <c r="G939" s="259" t="str">
        <f t="shared" si="89"/>
        <v>&lt;ct4112&gt;</v>
      </c>
      <c r="H939" s="260">
        <f>VLOOKUP(O939,BCDTK!$E$9:$L$132,7,0)</f>
        <v>0</v>
      </c>
      <c r="I939" s="261" t="str">
        <f t="shared" si="90"/>
        <v>&lt;/ct4112&gt;</v>
      </c>
      <c r="J939" s="262"/>
      <c r="K939" s="262"/>
      <c r="L939" s="262"/>
      <c r="M939" s="263"/>
      <c r="N939" s="265"/>
      <c r="O939" s="265">
        <v>4112</v>
      </c>
    </row>
    <row r="940" spans="1:15" x14ac:dyDescent="0.45">
      <c r="A940" s="253" t="str">
        <f t="shared" si="85"/>
        <v>&lt;ct4118&gt;0&lt;/ct4118&gt;</v>
      </c>
      <c r="B940" s="450" t="s">
        <v>1678</v>
      </c>
      <c r="C940" s="244">
        <f t="shared" si="86"/>
        <v>2</v>
      </c>
      <c r="D940" s="244">
        <f t="shared" si="87"/>
        <v>8</v>
      </c>
      <c r="E940" s="244">
        <f t="shared" si="88"/>
        <v>10</v>
      </c>
      <c r="G940" s="259" t="str">
        <f t="shared" si="89"/>
        <v>&lt;ct4118&gt;</v>
      </c>
      <c r="H940" s="260">
        <f>VLOOKUP(O940,BCDTK!$E$9:$L$132,7,0)</f>
        <v>0</v>
      </c>
      <c r="I940" s="261" t="str">
        <f t="shared" si="90"/>
        <v>&lt;/ct4118&gt;</v>
      </c>
      <c r="J940" s="262"/>
      <c r="K940" s="262"/>
      <c r="L940" s="262"/>
      <c r="M940" s="263"/>
      <c r="N940" s="265"/>
      <c r="O940" s="265">
        <v>4118</v>
      </c>
    </row>
    <row r="941" spans="1:15" x14ac:dyDescent="0.45">
      <c r="A941" s="253" t="str">
        <f t="shared" si="85"/>
        <v>&lt;ct413&gt;0&lt;/ct413&gt;</v>
      </c>
      <c r="B941" s="450" t="s">
        <v>1500</v>
      </c>
      <c r="C941" s="244">
        <f t="shared" si="86"/>
        <v>2</v>
      </c>
      <c r="D941" s="244">
        <f t="shared" si="87"/>
        <v>7</v>
      </c>
      <c r="E941" s="244">
        <f t="shared" si="88"/>
        <v>9</v>
      </c>
      <c r="G941" s="259" t="str">
        <f t="shared" si="89"/>
        <v>&lt;ct413&gt;</v>
      </c>
      <c r="H941" s="260">
        <f>VLOOKUP(O941,BCDTK!$E$9:$L$132,7,0)</f>
        <v>0</v>
      </c>
      <c r="I941" s="261" t="str">
        <f t="shared" si="90"/>
        <v>&lt;/ct413&gt;</v>
      </c>
      <c r="J941" s="262"/>
      <c r="K941" s="262"/>
      <c r="L941" s="262"/>
      <c r="M941" s="263"/>
      <c r="N941" s="265"/>
      <c r="O941" s="265">
        <v>413</v>
      </c>
    </row>
    <row r="942" spans="1:15" x14ac:dyDescent="0.45">
      <c r="A942" s="253" t="str">
        <f t="shared" si="85"/>
        <v>&lt;ct418&gt;0&lt;/ct418&gt;</v>
      </c>
      <c r="B942" s="450" t="s">
        <v>1679</v>
      </c>
      <c r="C942" s="244">
        <f t="shared" si="86"/>
        <v>2</v>
      </c>
      <c r="D942" s="244">
        <f t="shared" si="87"/>
        <v>7</v>
      </c>
      <c r="E942" s="244">
        <f t="shared" si="88"/>
        <v>9</v>
      </c>
      <c r="G942" s="259" t="str">
        <f t="shared" si="89"/>
        <v>&lt;ct418&gt;</v>
      </c>
      <c r="H942" s="260">
        <f>VLOOKUP(O942,BCDTK!$E$9:$L$132,7,0)</f>
        <v>0</v>
      </c>
      <c r="I942" s="261" t="str">
        <f t="shared" si="90"/>
        <v>&lt;/ct418&gt;</v>
      </c>
      <c r="J942" s="262"/>
      <c r="K942" s="262"/>
      <c r="L942" s="262"/>
      <c r="M942" s="263"/>
      <c r="N942" s="265"/>
      <c r="O942" s="265">
        <v>418</v>
      </c>
    </row>
    <row r="943" spans="1:15" x14ac:dyDescent="0.45">
      <c r="A943" s="253" t="str">
        <f t="shared" si="85"/>
        <v>&lt;ct419&gt;0&lt;/ct419&gt;</v>
      </c>
      <c r="B943" s="450" t="s">
        <v>1680</v>
      </c>
      <c r="C943" s="244">
        <f t="shared" si="86"/>
        <v>2</v>
      </c>
      <c r="D943" s="244">
        <f t="shared" si="87"/>
        <v>7</v>
      </c>
      <c r="E943" s="244">
        <f t="shared" si="88"/>
        <v>9</v>
      </c>
      <c r="G943" s="259" t="str">
        <f t="shared" si="89"/>
        <v>&lt;ct419&gt;</v>
      </c>
      <c r="H943" s="260">
        <f>VLOOKUP(O943,BCDTK!$E$9:$L$132,7,0)</f>
        <v>0</v>
      </c>
      <c r="I943" s="261" t="str">
        <f t="shared" si="90"/>
        <v>&lt;/ct419&gt;</v>
      </c>
      <c r="J943" s="262"/>
      <c r="K943" s="262"/>
      <c r="L943" s="262"/>
      <c r="M943" s="263"/>
      <c r="N943" s="265"/>
      <c r="O943" s="265">
        <v>419</v>
      </c>
    </row>
    <row r="944" spans="1:15" x14ac:dyDescent="0.45">
      <c r="A944" s="253" t="str">
        <f t="shared" si="85"/>
        <v>&lt;ct421&gt;0&lt;/ct421&gt;</v>
      </c>
      <c r="B944" s="450" t="s">
        <v>1681</v>
      </c>
      <c r="C944" s="244">
        <f t="shared" si="86"/>
        <v>2</v>
      </c>
      <c r="D944" s="244">
        <f t="shared" si="87"/>
        <v>7</v>
      </c>
      <c r="E944" s="244">
        <f t="shared" si="88"/>
        <v>9</v>
      </c>
      <c r="G944" s="259" t="str">
        <f t="shared" si="89"/>
        <v>&lt;ct421&gt;</v>
      </c>
      <c r="H944" s="260">
        <f>VLOOKUP(O944,BCDTK!$E$9:$L$132,7,0)</f>
        <v>0</v>
      </c>
      <c r="I944" s="261" t="str">
        <f t="shared" si="90"/>
        <v>&lt;/ct421&gt;</v>
      </c>
      <c r="J944" s="262"/>
      <c r="K944" s="262"/>
      <c r="L944" s="262"/>
      <c r="M944" s="263"/>
      <c r="N944" s="265"/>
      <c r="O944" s="265">
        <v>421</v>
      </c>
    </row>
    <row r="945" spans="1:15" x14ac:dyDescent="0.45">
      <c r="A945" s="253" t="str">
        <f t="shared" si="85"/>
        <v>&lt;ct4211&gt;0&lt;/ct4211&gt;</v>
      </c>
      <c r="B945" s="450" t="s">
        <v>1682</v>
      </c>
      <c r="C945" s="244">
        <f t="shared" si="86"/>
        <v>2</v>
      </c>
      <c r="D945" s="244">
        <f t="shared" si="87"/>
        <v>8</v>
      </c>
      <c r="E945" s="244">
        <f t="shared" si="88"/>
        <v>10</v>
      </c>
      <c r="G945" s="259" t="str">
        <f t="shared" si="89"/>
        <v>&lt;ct4211&gt;</v>
      </c>
      <c r="H945" s="260">
        <f>VLOOKUP(O945,BCDTK!$E$9:$L$132,7,0)</f>
        <v>0</v>
      </c>
      <c r="I945" s="261" t="str">
        <f t="shared" si="90"/>
        <v>&lt;/ct4211&gt;</v>
      </c>
      <c r="J945" s="262"/>
      <c r="K945" s="262"/>
      <c r="L945" s="262"/>
      <c r="M945" s="263"/>
      <c r="N945" s="265"/>
      <c r="O945" s="265">
        <v>4211</v>
      </c>
    </row>
    <row r="946" spans="1:15" x14ac:dyDescent="0.45">
      <c r="A946" s="253" t="str">
        <f t="shared" si="85"/>
        <v>&lt;ct4212&gt;0&lt;/ct4212&gt;</v>
      </c>
      <c r="B946" s="450" t="s">
        <v>1683</v>
      </c>
      <c r="C946" s="244">
        <f t="shared" si="86"/>
        <v>2</v>
      </c>
      <c r="D946" s="244">
        <f t="shared" si="87"/>
        <v>8</v>
      </c>
      <c r="E946" s="244">
        <f t="shared" si="88"/>
        <v>10</v>
      </c>
      <c r="G946" s="259" t="str">
        <f t="shared" si="89"/>
        <v>&lt;ct4212&gt;</v>
      </c>
      <c r="H946" s="260">
        <f>VLOOKUP(O946,BCDTK!$E$9:$L$132,7,0)</f>
        <v>0</v>
      </c>
      <c r="I946" s="261" t="str">
        <f t="shared" si="90"/>
        <v>&lt;/ct4212&gt;</v>
      </c>
      <c r="J946" s="262"/>
      <c r="K946" s="262"/>
      <c r="L946" s="262"/>
      <c r="M946" s="263"/>
      <c r="N946" s="265"/>
      <c r="O946" s="265">
        <v>4212</v>
      </c>
    </row>
    <row r="947" spans="1:15" x14ac:dyDescent="0.45">
      <c r="A947" s="253" t="str">
        <f t="shared" si="85"/>
        <v>&lt;ct511&gt;0&lt;/ct511&gt;</v>
      </c>
      <c r="B947" s="450" t="s">
        <v>1684</v>
      </c>
      <c r="C947" s="244">
        <f t="shared" si="86"/>
        <v>2</v>
      </c>
      <c r="D947" s="244">
        <f t="shared" si="87"/>
        <v>7</v>
      </c>
      <c r="E947" s="244">
        <f t="shared" si="88"/>
        <v>9</v>
      </c>
      <c r="G947" s="259" t="str">
        <f t="shared" si="89"/>
        <v>&lt;ct511&gt;</v>
      </c>
      <c r="H947" s="260">
        <f>VLOOKUP(O947,BCDTK!$E$9:$L$132,7,0)</f>
        <v>0</v>
      </c>
      <c r="I947" s="261" t="str">
        <f t="shared" si="90"/>
        <v>&lt;/ct511&gt;</v>
      </c>
      <c r="J947" s="262"/>
      <c r="K947" s="262"/>
      <c r="L947" s="262"/>
      <c r="M947" s="263"/>
      <c r="N947" s="265"/>
      <c r="O947" s="265">
        <v>511</v>
      </c>
    </row>
    <row r="948" spans="1:15" x14ac:dyDescent="0.45">
      <c r="A948" s="253" t="str">
        <f t="shared" si="85"/>
        <v>&lt;ct5111&gt;0&lt;/ct5111&gt;</v>
      </c>
      <c r="B948" s="450" t="s">
        <v>1685</v>
      </c>
      <c r="C948" s="244">
        <f t="shared" si="86"/>
        <v>2</v>
      </c>
      <c r="D948" s="244">
        <f t="shared" si="87"/>
        <v>8</v>
      </c>
      <c r="E948" s="244">
        <f t="shared" si="88"/>
        <v>10</v>
      </c>
      <c r="G948" s="259" t="str">
        <f t="shared" si="89"/>
        <v>&lt;ct5111&gt;</v>
      </c>
      <c r="H948" s="260">
        <f>VLOOKUP(O948,BCDTK!$E$9:$L$132,7,0)</f>
        <v>0</v>
      </c>
      <c r="I948" s="261" t="str">
        <f t="shared" si="90"/>
        <v>&lt;/ct5111&gt;</v>
      </c>
      <c r="J948" s="262"/>
      <c r="K948" s="262"/>
      <c r="L948" s="262"/>
      <c r="M948" s="263"/>
      <c r="N948" s="265"/>
      <c r="O948" s="265">
        <v>5111</v>
      </c>
    </row>
    <row r="949" spans="1:15" x14ac:dyDescent="0.45">
      <c r="A949" s="253" t="str">
        <f t="shared" si="85"/>
        <v>&lt;ct5112&gt;0&lt;/ct5112&gt;</v>
      </c>
      <c r="B949" s="450" t="s">
        <v>1686</v>
      </c>
      <c r="C949" s="244">
        <f t="shared" si="86"/>
        <v>2</v>
      </c>
      <c r="D949" s="244">
        <f t="shared" si="87"/>
        <v>8</v>
      </c>
      <c r="E949" s="244">
        <f t="shared" si="88"/>
        <v>10</v>
      </c>
      <c r="G949" s="259" t="str">
        <f t="shared" si="89"/>
        <v>&lt;ct5112&gt;</v>
      </c>
      <c r="H949" s="260">
        <f>VLOOKUP(O949,BCDTK!$E$9:$L$132,7,0)</f>
        <v>0</v>
      </c>
      <c r="I949" s="261" t="str">
        <f t="shared" si="90"/>
        <v>&lt;/ct5112&gt;</v>
      </c>
      <c r="J949" s="262"/>
      <c r="K949" s="262"/>
      <c r="L949" s="262"/>
      <c r="M949" s="263"/>
      <c r="N949" s="258"/>
      <c r="O949" s="265">
        <v>5112</v>
      </c>
    </row>
    <row r="950" spans="1:15" x14ac:dyDescent="0.45">
      <c r="A950" s="253" t="str">
        <f t="shared" si="85"/>
        <v>&lt;ct5113&gt;0&lt;/ct5113&gt;</v>
      </c>
      <c r="B950" s="450" t="s">
        <v>1687</v>
      </c>
      <c r="C950" s="244">
        <f t="shared" si="86"/>
        <v>2</v>
      </c>
      <c r="D950" s="244">
        <f t="shared" si="87"/>
        <v>8</v>
      </c>
      <c r="E950" s="244">
        <f t="shared" si="88"/>
        <v>10</v>
      </c>
      <c r="G950" s="259" t="str">
        <f t="shared" si="89"/>
        <v>&lt;ct5113&gt;</v>
      </c>
      <c r="H950" s="260">
        <f>VLOOKUP(O950,BCDTK!$E$9:$L$132,7,0)</f>
        <v>0</v>
      </c>
      <c r="I950" s="261" t="str">
        <f t="shared" si="90"/>
        <v>&lt;/ct5113&gt;</v>
      </c>
      <c r="J950" s="262"/>
      <c r="K950" s="262"/>
      <c r="L950" s="262"/>
      <c r="M950" s="263"/>
      <c r="N950" s="264"/>
      <c r="O950" s="265">
        <v>5113</v>
      </c>
    </row>
    <row r="951" spans="1:15" x14ac:dyDescent="0.45">
      <c r="A951" s="253" t="str">
        <f t="shared" si="85"/>
        <v>&lt;ct5118&gt;0&lt;/ct5118&gt;</v>
      </c>
      <c r="B951" s="450" t="s">
        <v>1688</v>
      </c>
      <c r="C951" s="244">
        <f t="shared" si="86"/>
        <v>2</v>
      </c>
      <c r="D951" s="244">
        <f t="shared" si="87"/>
        <v>8</v>
      </c>
      <c r="E951" s="244">
        <f t="shared" si="88"/>
        <v>10</v>
      </c>
      <c r="G951" s="259" t="str">
        <f t="shared" si="89"/>
        <v>&lt;ct5118&gt;</v>
      </c>
      <c r="H951" s="260">
        <f>VLOOKUP(O951,BCDTK!$E$9:$L$132,7,0)</f>
        <v>0</v>
      </c>
      <c r="I951" s="261" t="str">
        <f t="shared" si="90"/>
        <v>&lt;/ct5118&gt;</v>
      </c>
      <c r="J951" s="262"/>
      <c r="K951" s="262"/>
      <c r="L951" s="262"/>
      <c r="M951" s="263"/>
      <c r="N951" s="264"/>
      <c r="O951" s="265">
        <v>5118</v>
      </c>
    </row>
    <row r="952" spans="1:15" x14ac:dyDescent="0.45">
      <c r="A952" s="253" t="str">
        <f t="shared" si="85"/>
        <v>&lt;ct515&gt;0&lt;/ct515&gt;</v>
      </c>
      <c r="B952" s="450" t="s">
        <v>1689</v>
      </c>
      <c r="C952" s="244">
        <f t="shared" si="86"/>
        <v>2</v>
      </c>
      <c r="D952" s="244">
        <f t="shared" si="87"/>
        <v>7</v>
      </c>
      <c r="E952" s="244">
        <f t="shared" si="88"/>
        <v>9</v>
      </c>
      <c r="G952" s="259" t="str">
        <f t="shared" si="89"/>
        <v>&lt;ct515&gt;</v>
      </c>
      <c r="H952" s="260">
        <f>VLOOKUP(O952,BCDTK!$E$9:$L$132,7,0)</f>
        <v>0</v>
      </c>
      <c r="I952" s="261" t="str">
        <f t="shared" si="90"/>
        <v>&lt;/ct515&gt;</v>
      </c>
      <c r="J952" s="262"/>
      <c r="K952" s="262"/>
      <c r="L952" s="262"/>
      <c r="M952" s="263"/>
      <c r="N952" s="264"/>
      <c r="O952" s="265">
        <v>515</v>
      </c>
    </row>
    <row r="953" spans="1:15" x14ac:dyDescent="0.45">
      <c r="A953" s="253" t="str">
        <f t="shared" si="85"/>
        <v>&lt;ct611&gt;0&lt;/ct611&gt;</v>
      </c>
      <c r="B953" t="s">
        <v>1690</v>
      </c>
      <c r="C953" s="244">
        <f t="shared" ref="C953:C1016" si="91">LEN(B953)-LEN(SUBSTITUTE(B953,"&lt;",""))</f>
        <v>2</v>
      </c>
      <c r="D953" s="244">
        <f t="shared" ref="D953:D1016" si="92">SEARCH("&gt;",B953)</f>
        <v>7</v>
      </c>
      <c r="E953" s="244">
        <f t="shared" ref="E953:E1016" si="93">IFERROR(SEARCH("&lt;/",B953),"")</f>
        <v>9</v>
      </c>
      <c r="G953" s="259" t="str">
        <f t="shared" si="89"/>
        <v>&lt;ct611&gt;</v>
      </c>
      <c r="H953" s="260">
        <f>VLOOKUP(O953,BCDTK!$E$9:$L$132,7,0)</f>
        <v>0</v>
      </c>
      <c r="I953" s="261" t="str">
        <f t="shared" si="90"/>
        <v>&lt;/ct611&gt;</v>
      </c>
      <c r="J953" s="262"/>
      <c r="K953" s="262"/>
      <c r="L953" s="262"/>
      <c r="M953" s="263"/>
      <c r="O953" s="265">
        <v>611</v>
      </c>
    </row>
    <row r="954" spans="1:15" x14ac:dyDescent="0.45">
      <c r="A954" s="253" t="str">
        <f t="shared" si="85"/>
        <v>&lt;ct631&gt;0&lt;/ct631&gt;</v>
      </c>
      <c r="B954" t="s">
        <v>1691</v>
      </c>
      <c r="C954" s="244">
        <f t="shared" si="91"/>
        <v>2</v>
      </c>
      <c r="D954" s="244">
        <f t="shared" si="92"/>
        <v>7</v>
      </c>
      <c r="E954" s="244">
        <f t="shared" si="93"/>
        <v>9</v>
      </c>
      <c r="G954" s="259" t="str">
        <f t="shared" si="89"/>
        <v>&lt;ct631&gt;</v>
      </c>
      <c r="H954" s="260">
        <f>VLOOKUP(O954,BCDTK!$E$9:$L$132,7,0)</f>
        <v>0</v>
      </c>
      <c r="I954" s="261" t="str">
        <f t="shared" si="90"/>
        <v>&lt;/ct631&gt;</v>
      </c>
      <c r="J954" s="262"/>
      <c r="K954" s="262"/>
      <c r="L954" s="262"/>
      <c r="M954" s="263"/>
      <c r="O954" s="265">
        <v>631</v>
      </c>
    </row>
    <row r="955" spans="1:15" x14ac:dyDescent="0.45">
      <c r="A955" s="253" t="str">
        <f t="shared" si="85"/>
        <v>&lt;ct632&gt;0&lt;/ct632&gt;</v>
      </c>
      <c r="B955" t="s">
        <v>1692</v>
      </c>
      <c r="C955" s="244">
        <f t="shared" si="91"/>
        <v>2</v>
      </c>
      <c r="D955" s="244">
        <f t="shared" si="92"/>
        <v>7</v>
      </c>
      <c r="E955" s="244">
        <f t="shared" si="93"/>
        <v>9</v>
      </c>
      <c r="G955" s="259" t="str">
        <f t="shared" si="89"/>
        <v>&lt;ct632&gt;</v>
      </c>
      <c r="H955" s="260">
        <f>VLOOKUP(O955,BCDTK!$E$9:$L$132,7,0)</f>
        <v>0</v>
      </c>
      <c r="I955" s="261" t="str">
        <f t="shared" si="90"/>
        <v>&lt;/ct632&gt;</v>
      </c>
      <c r="J955" s="262"/>
      <c r="K955" s="262"/>
      <c r="L955" s="262"/>
      <c r="M955" s="263"/>
      <c r="O955" s="265">
        <v>632</v>
      </c>
    </row>
    <row r="956" spans="1:15" x14ac:dyDescent="0.45">
      <c r="A956" s="253" t="str">
        <f t="shared" si="85"/>
        <v>&lt;ct635&gt;0&lt;/ct635&gt;</v>
      </c>
      <c r="B956" t="s">
        <v>1693</v>
      </c>
      <c r="C956" s="244">
        <f t="shared" si="91"/>
        <v>2</v>
      </c>
      <c r="D956" s="244">
        <f t="shared" si="92"/>
        <v>7</v>
      </c>
      <c r="E956" s="244">
        <f t="shared" si="93"/>
        <v>9</v>
      </c>
      <c r="G956" s="259" t="str">
        <f t="shared" si="89"/>
        <v>&lt;ct635&gt;</v>
      </c>
      <c r="H956" s="260">
        <f>VLOOKUP(O956,BCDTK!$E$9:$L$132,7,0)</f>
        <v>0</v>
      </c>
      <c r="I956" s="261" t="str">
        <f t="shared" si="90"/>
        <v>&lt;/ct635&gt;</v>
      </c>
      <c r="J956" s="262"/>
      <c r="K956" s="262"/>
      <c r="L956" s="262"/>
      <c r="M956" s="263"/>
      <c r="O956" s="265">
        <v>635</v>
      </c>
    </row>
    <row r="957" spans="1:15" x14ac:dyDescent="0.45">
      <c r="A957" s="253" t="str">
        <f t="shared" si="85"/>
        <v>&lt;ct642&gt;0&lt;/ct642&gt;</v>
      </c>
      <c r="B957" t="s">
        <v>1694</v>
      </c>
      <c r="C957" s="244">
        <f t="shared" si="91"/>
        <v>2</v>
      </c>
      <c r="D957" s="244">
        <f t="shared" si="92"/>
        <v>7</v>
      </c>
      <c r="E957" s="244">
        <f t="shared" si="93"/>
        <v>9</v>
      </c>
      <c r="G957" s="259" t="str">
        <f t="shared" si="89"/>
        <v>&lt;ct642&gt;</v>
      </c>
      <c r="H957" s="260">
        <f>VLOOKUP(O957,BCDTK!$E$9:$L$132,7,0)</f>
        <v>0</v>
      </c>
      <c r="I957" s="261" t="str">
        <f t="shared" si="90"/>
        <v>&lt;/ct642&gt;</v>
      </c>
      <c r="J957" s="262"/>
      <c r="K957" s="262"/>
      <c r="L957" s="262"/>
      <c r="M957" s="263"/>
      <c r="O957" s="265">
        <v>642</v>
      </c>
    </row>
    <row r="958" spans="1:15" x14ac:dyDescent="0.45">
      <c r="A958" s="253" t="str">
        <f t="shared" si="85"/>
        <v>&lt;ct6421&gt;0&lt;/ct6421&gt;</v>
      </c>
      <c r="B958" t="s">
        <v>1695</v>
      </c>
      <c r="C958" s="244">
        <f t="shared" si="91"/>
        <v>2</v>
      </c>
      <c r="D958" s="244">
        <f t="shared" si="92"/>
        <v>8</v>
      </c>
      <c r="E958" s="244">
        <f t="shared" si="93"/>
        <v>10</v>
      </c>
      <c r="G958" s="259" t="str">
        <f t="shared" si="89"/>
        <v>&lt;ct6421&gt;</v>
      </c>
      <c r="H958" s="260">
        <f>VLOOKUP(O958,BCDTK!$E$9:$L$132,7,0)</f>
        <v>0</v>
      </c>
      <c r="I958" s="261" t="str">
        <f t="shared" si="90"/>
        <v>&lt;/ct6421&gt;</v>
      </c>
      <c r="J958" s="262"/>
      <c r="K958" s="262"/>
      <c r="L958" s="262"/>
      <c r="M958" s="263"/>
      <c r="O958" s="265">
        <v>6421</v>
      </c>
    </row>
    <row r="959" spans="1:15" x14ac:dyDescent="0.45">
      <c r="A959" s="253" t="str">
        <f t="shared" si="85"/>
        <v>&lt;ct6422&gt;0&lt;/ct6422&gt;</v>
      </c>
      <c r="B959" t="s">
        <v>1696</v>
      </c>
      <c r="C959" s="244">
        <f t="shared" si="91"/>
        <v>2</v>
      </c>
      <c r="D959" s="244">
        <f t="shared" si="92"/>
        <v>8</v>
      </c>
      <c r="E959" s="244">
        <f t="shared" si="93"/>
        <v>10</v>
      </c>
      <c r="G959" s="259" t="str">
        <f t="shared" si="89"/>
        <v>&lt;ct6422&gt;</v>
      </c>
      <c r="H959" s="260">
        <f>VLOOKUP(O959,BCDTK!$E$9:$L$132,7,0)</f>
        <v>0</v>
      </c>
      <c r="I959" s="261" t="str">
        <f t="shared" si="90"/>
        <v>&lt;/ct6422&gt;</v>
      </c>
      <c r="J959" s="262"/>
      <c r="K959" s="262"/>
      <c r="L959" s="262"/>
      <c r="M959" s="263"/>
      <c r="O959" s="265">
        <v>6422</v>
      </c>
    </row>
    <row r="960" spans="1:15" x14ac:dyDescent="0.45">
      <c r="A960" s="253" t="str">
        <f t="shared" si="85"/>
        <v>&lt;ct711&gt;0&lt;/ct711&gt;</v>
      </c>
      <c r="B960" t="s">
        <v>1697</v>
      </c>
      <c r="C960" s="244">
        <f t="shared" si="91"/>
        <v>2</v>
      </c>
      <c r="D960" s="244">
        <f t="shared" si="92"/>
        <v>7</v>
      </c>
      <c r="E960" s="244">
        <f t="shared" si="93"/>
        <v>9</v>
      </c>
      <c r="G960" s="259" t="str">
        <f t="shared" si="89"/>
        <v>&lt;ct711&gt;</v>
      </c>
      <c r="H960" s="260">
        <f>VLOOKUP(O960,BCDTK!$E$9:$L$132,7,0)</f>
        <v>0</v>
      </c>
      <c r="I960" s="261" t="str">
        <f t="shared" si="90"/>
        <v>&lt;/ct711&gt;</v>
      </c>
      <c r="J960" s="262"/>
      <c r="K960" s="262"/>
      <c r="L960" s="262"/>
      <c r="M960" s="263"/>
      <c r="O960" s="265">
        <v>711</v>
      </c>
    </row>
    <row r="961" spans="1:15" x14ac:dyDescent="0.45">
      <c r="A961" s="253" t="str">
        <f t="shared" si="85"/>
        <v>&lt;ct811&gt;0&lt;/ct811&gt;</v>
      </c>
      <c r="B961" t="s">
        <v>1698</v>
      </c>
      <c r="C961" s="244">
        <f t="shared" si="91"/>
        <v>2</v>
      </c>
      <c r="D961" s="244">
        <f t="shared" si="92"/>
        <v>7</v>
      </c>
      <c r="E961" s="244">
        <f t="shared" si="93"/>
        <v>9</v>
      </c>
      <c r="G961" s="259" t="str">
        <f t="shared" si="89"/>
        <v>&lt;ct811&gt;</v>
      </c>
      <c r="H961" s="260">
        <f>VLOOKUP(O961,BCDTK!$E$9:$L$132,7,0)</f>
        <v>0</v>
      </c>
      <c r="I961" s="261" t="str">
        <f t="shared" si="90"/>
        <v>&lt;/ct811&gt;</v>
      </c>
      <c r="J961" s="262"/>
      <c r="K961" s="262"/>
      <c r="L961" s="262"/>
      <c r="M961" s="263"/>
      <c r="O961" s="265">
        <v>811</v>
      </c>
    </row>
    <row r="962" spans="1:15" x14ac:dyDescent="0.45">
      <c r="A962" s="253" t="str">
        <f t="shared" si="85"/>
        <v>&lt;ct821&gt;0&lt;/ct821&gt;</v>
      </c>
      <c r="B962" t="s">
        <v>1699</v>
      </c>
      <c r="C962" s="244">
        <f t="shared" si="91"/>
        <v>2</v>
      </c>
      <c r="D962" s="244">
        <f t="shared" si="92"/>
        <v>7</v>
      </c>
      <c r="E962" s="244">
        <f t="shared" si="93"/>
        <v>9</v>
      </c>
      <c r="G962" s="259" t="str">
        <f t="shared" si="89"/>
        <v>&lt;ct821&gt;</v>
      </c>
      <c r="H962" s="260">
        <f>VLOOKUP(O962,BCDTK!$E$9:$L$132,7,0)</f>
        <v>0</v>
      </c>
      <c r="I962" s="261" t="str">
        <f t="shared" si="90"/>
        <v>&lt;/ct821&gt;</v>
      </c>
      <c r="J962" s="262"/>
      <c r="K962" s="262"/>
      <c r="L962" s="262"/>
      <c r="M962" s="263"/>
      <c r="O962" s="265">
        <v>821</v>
      </c>
    </row>
    <row r="963" spans="1:15" x14ac:dyDescent="0.45">
      <c r="A963" s="253" t="str">
        <f t="shared" si="85"/>
        <v>&lt;ct911&gt;0&lt;/ct911&gt;</v>
      </c>
      <c r="B963" t="s">
        <v>1700</v>
      </c>
      <c r="C963" s="244">
        <f t="shared" si="91"/>
        <v>2</v>
      </c>
      <c r="D963" s="244">
        <f t="shared" si="92"/>
        <v>7</v>
      </c>
      <c r="E963" s="244">
        <f t="shared" si="93"/>
        <v>9</v>
      </c>
      <c r="G963" s="259" t="str">
        <f t="shared" si="89"/>
        <v>&lt;ct911&gt;</v>
      </c>
      <c r="H963" s="260">
        <f>VLOOKUP(O963,BCDTK!$E$9:$L$132,7,0)</f>
        <v>0</v>
      </c>
      <c r="I963" s="261" t="str">
        <f t="shared" si="90"/>
        <v>&lt;/ct911&gt;</v>
      </c>
      <c r="J963" s="262"/>
      <c r="K963" s="262"/>
      <c r="L963" s="262"/>
      <c r="M963" s="263"/>
      <c r="O963" s="265">
        <v>911</v>
      </c>
    </row>
    <row r="964" spans="1:15" x14ac:dyDescent="0.45">
      <c r="A964" s="253" t="str">
        <f t="shared" ref="A964:A1027" si="94">CONCATENATE(G964,H964,I964)</f>
        <v>&lt;tongCong&gt;806234100&lt;/tongCong&gt;</v>
      </c>
      <c r="B964" t="s">
        <v>1701</v>
      </c>
      <c r="C964" s="244">
        <f t="shared" si="91"/>
        <v>2</v>
      </c>
      <c r="D964" s="244">
        <f t="shared" si="92"/>
        <v>10</v>
      </c>
      <c r="E964" s="244">
        <f t="shared" si="93"/>
        <v>12</v>
      </c>
      <c r="G964" s="259" t="str">
        <f t="shared" si="89"/>
        <v>&lt;tongCong&gt;</v>
      </c>
      <c r="H964" s="260">
        <f>VLOOKUP(O964,BCDTK!$E$9:$L$132,7,0)</f>
        <v>806234100</v>
      </c>
      <c r="I964" s="261" t="str">
        <f t="shared" si="90"/>
        <v>&lt;/tongCong&gt;</v>
      </c>
      <c r="J964" s="262"/>
      <c r="K964" s="262"/>
      <c r="L964" s="262"/>
      <c r="M964" s="263"/>
      <c r="O964" s="265" t="s">
        <v>1794</v>
      </c>
    </row>
    <row r="965" spans="1:15" x14ac:dyDescent="0.45">
      <c r="A965" s="253" t="str">
        <f t="shared" si="94"/>
        <v>&lt;/No&gt;</v>
      </c>
      <c r="B965" t="s">
        <v>1702</v>
      </c>
      <c r="C965" s="244">
        <f t="shared" si="91"/>
        <v>1</v>
      </c>
      <c r="D965" s="244">
        <f t="shared" si="92"/>
        <v>5</v>
      </c>
      <c r="E965" s="244">
        <f t="shared" si="93"/>
        <v>1</v>
      </c>
      <c r="G965" s="259" t="str">
        <f t="shared" si="89"/>
        <v>&lt;/No&gt;</v>
      </c>
      <c r="H965" s="260"/>
      <c r="I965" s="261" t="str">
        <f t="shared" si="90"/>
        <v/>
      </c>
      <c r="J965" s="262"/>
      <c r="K965" s="262"/>
      <c r="L965" s="262"/>
      <c r="M965" s="263"/>
    </row>
    <row r="966" spans="1:15" x14ac:dyDescent="0.45">
      <c r="A966" s="253" t="str">
        <f t="shared" si="94"/>
        <v>&lt;Co&gt;</v>
      </c>
      <c r="B966" t="s">
        <v>1703</v>
      </c>
      <c r="C966" s="244">
        <f t="shared" si="91"/>
        <v>1</v>
      </c>
      <c r="D966" s="244">
        <f t="shared" si="92"/>
        <v>4</v>
      </c>
      <c r="E966" s="244" t="str">
        <f t="shared" si="93"/>
        <v/>
      </c>
      <c r="G966" s="259" t="str">
        <f t="shared" si="89"/>
        <v>&lt;Co&gt;</v>
      </c>
      <c r="H966" s="260"/>
      <c r="I966" s="261" t="str">
        <f t="shared" si="90"/>
        <v/>
      </c>
      <c r="J966" s="262"/>
      <c r="K966" s="262"/>
      <c r="L966" s="262"/>
      <c r="M966" s="263"/>
    </row>
    <row r="967" spans="1:15" x14ac:dyDescent="0.45">
      <c r="A967" s="253" t="str">
        <f t="shared" si="94"/>
        <v>&lt;ct111&gt;0&lt;/ct111&gt;</v>
      </c>
      <c r="B967" t="s">
        <v>1587</v>
      </c>
      <c r="C967" s="244">
        <f t="shared" si="91"/>
        <v>2</v>
      </c>
      <c r="D967" s="244">
        <f t="shared" si="92"/>
        <v>7</v>
      </c>
      <c r="E967" s="244">
        <f t="shared" si="93"/>
        <v>9</v>
      </c>
      <c r="G967" s="259" t="str">
        <f t="shared" si="89"/>
        <v>&lt;ct111&gt;</v>
      </c>
      <c r="H967" s="260">
        <f>VLOOKUP(O967,BCDTK!$E$9:$L$132,8,0)</f>
        <v>0</v>
      </c>
      <c r="I967" s="261" t="str">
        <f t="shared" si="90"/>
        <v>&lt;/ct111&gt;</v>
      </c>
      <c r="J967" s="262"/>
      <c r="K967" s="262"/>
      <c r="L967" s="262"/>
      <c r="M967" s="263"/>
      <c r="O967" s="265">
        <v>111</v>
      </c>
    </row>
    <row r="968" spans="1:15" x14ac:dyDescent="0.45">
      <c r="A968" s="253" t="str">
        <f t="shared" si="94"/>
        <v>&lt;ct1111&gt;0&lt;/ct1111&gt;</v>
      </c>
      <c r="B968" t="s">
        <v>1588</v>
      </c>
      <c r="C968" s="244">
        <f t="shared" si="91"/>
        <v>2</v>
      </c>
      <c r="D968" s="244">
        <f t="shared" si="92"/>
        <v>8</v>
      </c>
      <c r="E968" s="244">
        <f t="shared" si="93"/>
        <v>10</v>
      </c>
      <c r="G968" s="259" t="str">
        <f t="shared" si="89"/>
        <v>&lt;ct1111&gt;</v>
      </c>
      <c r="H968" s="260">
        <f>VLOOKUP(O968,BCDTK!$E$9:$L$132,8,0)</f>
        <v>0</v>
      </c>
      <c r="I968" s="261" t="str">
        <f t="shared" si="90"/>
        <v>&lt;/ct1111&gt;</v>
      </c>
      <c r="J968" s="262"/>
      <c r="K968" s="262"/>
      <c r="L968" s="262"/>
      <c r="M968" s="263"/>
      <c r="O968" s="265">
        <v>1111</v>
      </c>
    </row>
    <row r="969" spans="1:15" x14ac:dyDescent="0.45">
      <c r="A969" s="253" t="str">
        <f t="shared" si="94"/>
        <v>&lt;ct1112&gt;0&lt;/ct1112&gt;</v>
      </c>
      <c r="B969" t="s">
        <v>1589</v>
      </c>
      <c r="C969" s="244">
        <f t="shared" si="91"/>
        <v>2</v>
      </c>
      <c r="D969" s="244">
        <f t="shared" si="92"/>
        <v>8</v>
      </c>
      <c r="E969" s="244">
        <f t="shared" si="93"/>
        <v>10</v>
      </c>
      <c r="G969" s="259" t="str">
        <f t="shared" ref="G969:G1032" si="95">LEFT(B969,D969)</f>
        <v>&lt;ct1112&gt;</v>
      </c>
      <c r="H969" s="260">
        <f>VLOOKUP(O969,BCDTK!$E$9:$L$132,8,0)</f>
        <v>0</v>
      </c>
      <c r="I969" s="261" t="str">
        <f t="shared" ref="I969:I1032" si="96">IF(C969=2,RIGHT(B969,LEN(B969)-E969+1),"")</f>
        <v>&lt;/ct1112&gt;</v>
      </c>
      <c r="J969" s="262"/>
      <c r="K969" s="262"/>
      <c r="L969" s="262"/>
      <c r="M969" s="263"/>
      <c r="O969" s="265">
        <v>1112</v>
      </c>
    </row>
    <row r="970" spans="1:15" x14ac:dyDescent="0.45">
      <c r="A970" s="253" t="str">
        <f t="shared" si="94"/>
        <v>&lt;ct112&gt;0&lt;/ct112&gt;</v>
      </c>
      <c r="B970" t="s">
        <v>1590</v>
      </c>
      <c r="C970" s="244">
        <f t="shared" si="91"/>
        <v>2</v>
      </c>
      <c r="D970" s="244">
        <f t="shared" si="92"/>
        <v>7</v>
      </c>
      <c r="E970" s="244">
        <f t="shared" si="93"/>
        <v>9</v>
      </c>
      <c r="G970" s="259" t="str">
        <f t="shared" si="95"/>
        <v>&lt;ct112&gt;</v>
      </c>
      <c r="H970" s="260">
        <f>VLOOKUP(O970,BCDTK!$E$9:$L$132,8,0)</f>
        <v>0</v>
      </c>
      <c r="I970" s="261" t="str">
        <f t="shared" si="96"/>
        <v>&lt;/ct112&gt;</v>
      </c>
      <c r="J970" s="262"/>
      <c r="K970" s="262"/>
      <c r="L970" s="262"/>
      <c r="M970" s="263"/>
      <c r="O970" s="265">
        <v>112</v>
      </c>
    </row>
    <row r="971" spans="1:15" x14ac:dyDescent="0.45">
      <c r="A971" s="253" t="str">
        <f t="shared" si="94"/>
        <v>&lt;ct1121&gt;0&lt;/ct1121&gt;</v>
      </c>
      <c r="B971" t="s">
        <v>1591</v>
      </c>
      <c r="C971" s="244">
        <f t="shared" si="91"/>
        <v>2</v>
      </c>
      <c r="D971" s="244">
        <f t="shared" si="92"/>
        <v>8</v>
      </c>
      <c r="E971" s="244">
        <f t="shared" si="93"/>
        <v>10</v>
      </c>
      <c r="G971" s="259" t="str">
        <f t="shared" si="95"/>
        <v>&lt;ct1121&gt;</v>
      </c>
      <c r="H971" s="260">
        <f>VLOOKUP(O971,BCDTK!$E$9:$L$132,8,0)</f>
        <v>0</v>
      </c>
      <c r="I971" s="261" t="str">
        <f t="shared" si="96"/>
        <v>&lt;/ct1121&gt;</v>
      </c>
      <c r="J971" s="262"/>
      <c r="K971" s="262"/>
      <c r="L971" s="262"/>
      <c r="M971" s="263"/>
      <c r="O971" s="265">
        <v>1121</v>
      </c>
    </row>
    <row r="972" spans="1:15" x14ac:dyDescent="0.45">
      <c r="A972" s="253" t="str">
        <f t="shared" si="94"/>
        <v>&lt;ct1122&gt;0&lt;/ct1122&gt;</v>
      </c>
      <c r="B972" t="s">
        <v>1592</v>
      </c>
      <c r="C972" s="244">
        <f t="shared" si="91"/>
        <v>2</v>
      </c>
      <c r="D972" s="244">
        <f t="shared" si="92"/>
        <v>8</v>
      </c>
      <c r="E972" s="244">
        <f t="shared" si="93"/>
        <v>10</v>
      </c>
      <c r="G972" s="259" t="str">
        <f t="shared" si="95"/>
        <v>&lt;ct1122&gt;</v>
      </c>
      <c r="H972" s="260">
        <f>VLOOKUP(O972,BCDTK!$E$9:$L$132,8,0)</f>
        <v>0</v>
      </c>
      <c r="I972" s="261" t="str">
        <f t="shared" si="96"/>
        <v>&lt;/ct1122&gt;</v>
      </c>
      <c r="J972" s="262"/>
      <c r="K972" s="262"/>
      <c r="L972" s="262"/>
      <c r="M972" s="263"/>
      <c r="O972" s="265">
        <v>1122</v>
      </c>
    </row>
    <row r="973" spans="1:15" x14ac:dyDescent="0.45">
      <c r="A973" s="253" t="str">
        <f t="shared" si="94"/>
        <v>&lt;ct121&gt;0&lt;/ct121&gt;</v>
      </c>
      <c r="B973" t="s">
        <v>1461</v>
      </c>
      <c r="C973" s="244">
        <f t="shared" si="91"/>
        <v>2</v>
      </c>
      <c r="D973" s="244">
        <f t="shared" si="92"/>
        <v>7</v>
      </c>
      <c r="E973" s="244">
        <f t="shared" si="93"/>
        <v>9</v>
      </c>
      <c r="G973" s="259" t="str">
        <f t="shared" si="95"/>
        <v>&lt;ct121&gt;</v>
      </c>
      <c r="H973" s="260">
        <f>VLOOKUP(O973,BCDTK!$E$9:$L$132,8,0)</f>
        <v>0</v>
      </c>
      <c r="I973" s="261" t="str">
        <f t="shared" si="96"/>
        <v>&lt;/ct121&gt;</v>
      </c>
      <c r="J973" s="262"/>
      <c r="K973" s="262"/>
      <c r="L973" s="262"/>
      <c r="M973" s="263"/>
      <c r="O973" s="265">
        <v>121</v>
      </c>
    </row>
    <row r="974" spans="1:15" x14ac:dyDescent="0.45">
      <c r="A974" s="253" t="str">
        <f t="shared" si="94"/>
        <v>&lt;ct128&gt;0&lt;/ct128&gt;</v>
      </c>
      <c r="B974" t="s">
        <v>1593</v>
      </c>
      <c r="C974" s="244">
        <f t="shared" si="91"/>
        <v>2</v>
      </c>
      <c r="D974" s="244">
        <f t="shared" si="92"/>
        <v>7</v>
      </c>
      <c r="E974" s="244">
        <f t="shared" si="93"/>
        <v>9</v>
      </c>
      <c r="G974" s="259" t="str">
        <f t="shared" si="95"/>
        <v>&lt;ct128&gt;</v>
      </c>
      <c r="H974" s="260">
        <f>VLOOKUP(O974,BCDTK!$E$9:$L$132,8,0)</f>
        <v>0</v>
      </c>
      <c r="I974" s="261" t="str">
        <f t="shared" si="96"/>
        <v>&lt;/ct128&gt;</v>
      </c>
      <c r="J974" s="262"/>
      <c r="K974" s="262"/>
      <c r="L974" s="262"/>
      <c r="M974" s="263"/>
      <c r="O974" s="265">
        <v>128</v>
      </c>
    </row>
    <row r="975" spans="1:15" x14ac:dyDescent="0.45">
      <c r="A975" s="253" t="str">
        <f t="shared" si="94"/>
        <v>&lt;ct1281&gt;0&lt;/ct1281&gt;</v>
      </c>
      <c r="B975" t="s">
        <v>1594</v>
      </c>
      <c r="C975" s="244">
        <f t="shared" si="91"/>
        <v>2</v>
      </c>
      <c r="D975" s="244">
        <f t="shared" si="92"/>
        <v>8</v>
      </c>
      <c r="E975" s="244">
        <f t="shared" si="93"/>
        <v>10</v>
      </c>
      <c r="G975" s="259" t="str">
        <f t="shared" si="95"/>
        <v>&lt;ct1281&gt;</v>
      </c>
      <c r="H975" s="260">
        <f>VLOOKUP(O975,BCDTK!$E$9:$L$132,8,0)</f>
        <v>0</v>
      </c>
      <c r="I975" s="261" t="str">
        <f t="shared" si="96"/>
        <v>&lt;/ct1281&gt;</v>
      </c>
      <c r="J975" s="262"/>
      <c r="K975" s="262"/>
      <c r="L975" s="262"/>
      <c r="M975" s="263"/>
      <c r="O975" s="265">
        <v>1281</v>
      </c>
    </row>
    <row r="976" spans="1:15" x14ac:dyDescent="0.45">
      <c r="A976" s="253" t="str">
        <f t="shared" si="94"/>
        <v>&lt;ct1288&gt;0&lt;/ct1288&gt;</v>
      </c>
      <c r="B976" t="s">
        <v>1595</v>
      </c>
      <c r="C976" s="244">
        <f t="shared" si="91"/>
        <v>2</v>
      </c>
      <c r="D976" s="244">
        <f t="shared" si="92"/>
        <v>8</v>
      </c>
      <c r="E976" s="244">
        <f t="shared" si="93"/>
        <v>10</v>
      </c>
      <c r="G976" s="259" t="str">
        <f t="shared" si="95"/>
        <v>&lt;ct1288&gt;</v>
      </c>
      <c r="H976" s="260">
        <f>VLOOKUP(O976,BCDTK!$E$9:$L$132,8,0)</f>
        <v>0</v>
      </c>
      <c r="I976" s="261" t="str">
        <f t="shared" si="96"/>
        <v>&lt;/ct1288&gt;</v>
      </c>
      <c r="J976" s="262"/>
      <c r="K976" s="262"/>
      <c r="L976" s="262"/>
      <c r="M976" s="263"/>
      <c r="O976" s="265">
        <v>1288</v>
      </c>
    </row>
    <row r="977" spans="1:15" x14ac:dyDescent="0.45">
      <c r="A977" s="253" t="str">
        <f t="shared" si="94"/>
        <v>&lt;ct131&gt;0&lt;/ct131&gt;</v>
      </c>
      <c r="B977" t="s">
        <v>1510</v>
      </c>
      <c r="C977" s="244">
        <f t="shared" si="91"/>
        <v>2</v>
      </c>
      <c r="D977" s="244">
        <f t="shared" si="92"/>
        <v>7</v>
      </c>
      <c r="E977" s="244">
        <f t="shared" si="93"/>
        <v>9</v>
      </c>
      <c r="G977" s="259" t="str">
        <f t="shared" si="95"/>
        <v>&lt;ct131&gt;</v>
      </c>
      <c r="H977" s="260">
        <f>VLOOKUP(O977,BCDTK!$E$9:$L$132,8,0)</f>
        <v>0</v>
      </c>
      <c r="I977" s="261" t="str">
        <f t="shared" si="96"/>
        <v>&lt;/ct131&gt;</v>
      </c>
      <c r="J977" s="262"/>
      <c r="K977" s="262"/>
      <c r="L977" s="262"/>
      <c r="M977" s="263"/>
      <c r="O977" s="265">
        <v>131</v>
      </c>
    </row>
    <row r="978" spans="1:15" x14ac:dyDescent="0.45">
      <c r="A978" s="253" t="str">
        <f t="shared" si="94"/>
        <v>&lt;ct133&gt;0&lt;/ct133&gt;</v>
      </c>
      <c r="B978" t="s">
        <v>1468</v>
      </c>
      <c r="C978" s="244">
        <f t="shared" si="91"/>
        <v>2</v>
      </c>
      <c r="D978" s="244">
        <f t="shared" si="92"/>
        <v>7</v>
      </c>
      <c r="E978" s="244">
        <f t="shared" si="93"/>
        <v>9</v>
      </c>
      <c r="G978" s="259" t="str">
        <f t="shared" si="95"/>
        <v>&lt;ct133&gt;</v>
      </c>
      <c r="H978" s="260">
        <f>VLOOKUP(O978,BCDTK!$E$9:$L$132,8,0)</f>
        <v>0</v>
      </c>
      <c r="I978" s="261" t="str">
        <f t="shared" si="96"/>
        <v>&lt;/ct133&gt;</v>
      </c>
      <c r="J978" s="262"/>
      <c r="K978" s="262"/>
      <c r="L978" s="262"/>
      <c r="M978" s="263"/>
      <c r="O978" s="265">
        <v>133</v>
      </c>
    </row>
    <row r="979" spans="1:15" x14ac:dyDescent="0.45">
      <c r="A979" s="253" t="str">
        <f t="shared" si="94"/>
        <v>&lt;ct1331&gt;0&lt;/ct1331&gt;</v>
      </c>
      <c r="B979" t="s">
        <v>1596</v>
      </c>
      <c r="C979" s="244">
        <f t="shared" si="91"/>
        <v>2</v>
      </c>
      <c r="D979" s="244">
        <f t="shared" si="92"/>
        <v>8</v>
      </c>
      <c r="E979" s="244">
        <f t="shared" si="93"/>
        <v>10</v>
      </c>
      <c r="G979" s="259" t="str">
        <f t="shared" si="95"/>
        <v>&lt;ct1331&gt;</v>
      </c>
      <c r="H979" s="260">
        <f>VLOOKUP(O979,BCDTK!$E$9:$L$132,8,0)</f>
        <v>0</v>
      </c>
      <c r="I979" s="261" t="str">
        <f t="shared" si="96"/>
        <v>&lt;/ct1331&gt;</v>
      </c>
      <c r="J979" s="262"/>
      <c r="K979" s="262"/>
      <c r="L979" s="262"/>
      <c r="M979" s="263"/>
      <c r="O979" s="265">
        <v>1331</v>
      </c>
    </row>
    <row r="980" spans="1:15" x14ac:dyDescent="0.45">
      <c r="A980" s="253" t="str">
        <f t="shared" si="94"/>
        <v>&lt;ct1332&gt;0&lt;/ct1332&gt;</v>
      </c>
      <c r="B980" t="s">
        <v>1597</v>
      </c>
      <c r="C980" s="244">
        <f t="shared" si="91"/>
        <v>2</v>
      </c>
      <c r="D980" s="244">
        <f t="shared" si="92"/>
        <v>8</v>
      </c>
      <c r="E980" s="244">
        <f t="shared" si="93"/>
        <v>10</v>
      </c>
      <c r="G980" s="259" t="str">
        <f t="shared" si="95"/>
        <v>&lt;ct1332&gt;</v>
      </c>
      <c r="H980" s="260">
        <f>VLOOKUP(O980,BCDTK!$E$9:$L$132,8,0)</f>
        <v>0</v>
      </c>
      <c r="I980" s="261" t="str">
        <f t="shared" si="96"/>
        <v>&lt;/ct1332&gt;</v>
      </c>
      <c r="J980" s="262"/>
      <c r="K980" s="262"/>
      <c r="L980" s="262"/>
      <c r="M980" s="263"/>
      <c r="O980" s="265">
        <v>1332</v>
      </c>
    </row>
    <row r="981" spans="1:15" x14ac:dyDescent="0.45">
      <c r="A981" s="253" t="str">
        <f t="shared" si="94"/>
        <v>&lt;ct136&gt;0&lt;/ct136&gt;</v>
      </c>
      <c r="B981" t="s">
        <v>1471</v>
      </c>
      <c r="C981" s="244">
        <f t="shared" si="91"/>
        <v>2</v>
      </c>
      <c r="D981" s="244">
        <f t="shared" si="92"/>
        <v>7</v>
      </c>
      <c r="E981" s="244">
        <f t="shared" si="93"/>
        <v>9</v>
      </c>
      <c r="G981" s="259" t="str">
        <f t="shared" si="95"/>
        <v>&lt;ct136&gt;</v>
      </c>
      <c r="H981" s="260">
        <f>VLOOKUP(O981,BCDTK!$E$9:$L$132,8,0)</f>
        <v>0</v>
      </c>
      <c r="I981" s="261" t="str">
        <f t="shared" si="96"/>
        <v>&lt;/ct136&gt;</v>
      </c>
      <c r="J981" s="262"/>
      <c r="K981" s="262"/>
      <c r="L981" s="262"/>
      <c r="M981" s="263"/>
      <c r="O981" s="265">
        <v>136</v>
      </c>
    </row>
    <row r="982" spans="1:15" x14ac:dyDescent="0.45">
      <c r="A982" s="253" t="str">
        <f t="shared" si="94"/>
        <v>&lt;ct1361&gt;0&lt;/ct1361&gt;</v>
      </c>
      <c r="B982" t="s">
        <v>1598</v>
      </c>
      <c r="C982" s="244">
        <f t="shared" si="91"/>
        <v>2</v>
      </c>
      <c r="D982" s="244">
        <f t="shared" si="92"/>
        <v>8</v>
      </c>
      <c r="E982" s="244">
        <f t="shared" si="93"/>
        <v>10</v>
      </c>
      <c r="G982" s="259" t="str">
        <f t="shared" si="95"/>
        <v>&lt;ct1361&gt;</v>
      </c>
      <c r="H982" s="260">
        <f>VLOOKUP(O982,BCDTK!$E$9:$L$132,8,0)</f>
        <v>0</v>
      </c>
      <c r="I982" s="261" t="str">
        <f t="shared" si="96"/>
        <v>&lt;/ct1361&gt;</v>
      </c>
      <c r="J982" s="262"/>
      <c r="K982" s="262"/>
      <c r="L982" s="262"/>
      <c r="M982" s="263"/>
      <c r="O982" s="265">
        <v>1361</v>
      </c>
    </row>
    <row r="983" spans="1:15" x14ac:dyDescent="0.45">
      <c r="A983" s="253" t="str">
        <f t="shared" si="94"/>
        <v>&lt;ct1368&gt;0&lt;/ct1368&gt;</v>
      </c>
      <c r="B983" t="s">
        <v>1599</v>
      </c>
      <c r="C983" s="244">
        <f t="shared" si="91"/>
        <v>2</v>
      </c>
      <c r="D983" s="244">
        <f t="shared" si="92"/>
        <v>8</v>
      </c>
      <c r="E983" s="244">
        <f t="shared" si="93"/>
        <v>10</v>
      </c>
      <c r="G983" s="259" t="str">
        <f t="shared" si="95"/>
        <v>&lt;ct1368&gt;</v>
      </c>
      <c r="H983" s="260">
        <f>VLOOKUP(O983,BCDTK!$E$9:$L$132,8,0)</f>
        <v>0</v>
      </c>
      <c r="I983" s="261" t="str">
        <f t="shared" si="96"/>
        <v>&lt;/ct1368&gt;</v>
      </c>
      <c r="J983" s="262"/>
      <c r="K983" s="262"/>
      <c r="L983" s="262"/>
      <c r="M983" s="263"/>
      <c r="O983" s="265">
        <v>1368</v>
      </c>
    </row>
    <row r="984" spans="1:15" x14ac:dyDescent="0.45">
      <c r="A984" s="253" t="str">
        <f t="shared" si="94"/>
        <v>&lt;ct138&gt;0&lt;/ct138&gt;</v>
      </c>
      <c r="B984" t="s">
        <v>1600</v>
      </c>
      <c r="C984" s="244">
        <f t="shared" si="91"/>
        <v>2</v>
      </c>
      <c r="D984" s="244">
        <f t="shared" si="92"/>
        <v>7</v>
      </c>
      <c r="E984" s="244">
        <f t="shared" si="93"/>
        <v>9</v>
      </c>
      <c r="G984" s="259" t="str">
        <f t="shared" si="95"/>
        <v>&lt;ct138&gt;</v>
      </c>
      <c r="H984" s="260">
        <f>VLOOKUP(O984,BCDTK!$E$9:$L$132,8,0)</f>
        <v>0</v>
      </c>
      <c r="I984" s="261" t="str">
        <f t="shared" si="96"/>
        <v>&lt;/ct138&gt;</v>
      </c>
      <c r="J984" s="262"/>
      <c r="K984" s="262"/>
      <c r="L984" s="262"/>
      <c r="M984" s="263"/>
      <c r="O984" s="265">
        <v>138</v>
      </c>
    </row>
    <row r="985" spans="1:15" x14ac:dyDescent="0.45">
      <c r="A985" s="253" t="str">
        <f t="shared" si="94"/>
        <v>&lt;ct1381&gt;0&lt;/ct1381&gt;</v>
      </c>
      <c r="B985" t="s">
        <v>1601</v>
      </c>
      <c r="C985" s="244">
        <f t="shared" si="91"/>
        <v>2</v>
      </c>
      <c r="D985" s="244">
        <f t="shared" si="92"/>
        <v>8</v>
      </c>
      <c r="E985" s="244">
        <f t="shared" si="93"/>
        <v>10</v>
      </c>
      <c r="G985" s="259" t="str">
        <f t="shared" si="95"/>
        <v>&lt;ct1381&gt;</v>
      </c>
      <c r="H985" s="260">
        <f>VLOOKUP(O985,BCDTK!$E$9:$L$132,8,0)</f>
        <v>0</v>
      </c>
      <c r="I985" s="261" t="str">
        <f t="shared" si="96"/>
        <v>&lt;/ct1381&gt;</v>
      </c>
      <c r="J985" s="262"/>
      <c r="K985" s="262"/>
      <c r="L985" s="262"/>
      <c r="M985" s="263"/>
      <c r="O985" s="265">
        <v>1381</v>
      </c>
    </row>
    <row r="986" spans="1:15" x14ac:dyDescent="0.45">
      <c r="A986" s="253" t="str">
        <f t="shared" si="94"/>
        <v>&lt;ct1386&gt;0&lt;/ct1386&gt;</v>
      </c>
      <c r="B986" t="s">
        <v>1602</v>
      </c>
      <c r="C986" s="244">
        <f t="shared" si="91"/>
        <v>2</v>
      </c>
      <c r="D986" s="244">
        <f t="shared" si="92"/>
        <v>8</v>
      </c>
      <c r="E986" s="244">
        <f t="shared" si="93"/>
        <v>10</v>
      </c>
      <c r="G986" s="259" t="str">
        <f t="shared" si="95"/>
        <v>&lt;ct1386&gt;</v>
      </c>
      <c r="H986" s="260">
        <f>VLOOKUP(O986,BCDTK!$E$9:$L$132,8,0)</f>
        <v>0</v>
      </c>
      <c r="I986" s="261" t="str">
        <f t="shared" si="96"/>
        <v>&lt;/ct1386&gt;</v>
      </c>
      <c r="J986" s="262"/>
      <c r="K986" s="262"/>
      <c r="L986" s="262"/>
      <c r="M986" s="263"/>
      <c r="O986" s="265">
        <v>1386</v>
      </c>
    </row>
    <row r="987" spans="1:15" x14ac:dyDescent="0.45">
      <c r="A987" s="253" t="str">
        <f t="shared" si="94"/>
        <v>&lt;ct1388&gt;0&lt;/ct1388&gt;</v>
      </c>
      <c r="B987" t="s">
        <v>1603</v>
      </c>
      <c r="C987" s="244">
        <f t="shared" si="91"/>
        <v>2</v>
      </c>
      <c r="D987" s="244">
        <f t="shared" si="92"/>
        <v>8</v>
      </c>
      <c r="E987" s="244">
        <f t="shared" si="93"/>
        <v>10</v>
      </c>
      <c r="G987" s="259" t="str">
        <f t="shared" si="95"/>
        <v>&lt;ct1388&gt;</v>
      </c>
      <c r="H987" s="260">
        <f>VLOOKUP(O987,BCDTK!$E$9:$L$132,8,0)</f>
        <v>0</v>
      </c>
      <c r="I987" s="261" t="str">
        <f t="shared" si="96"/>
        <v>&lt;/ct1388&gt;</v>
      </c>
      <c r="J987" s="262"/>
      <c r="K987" s="262"/>
      <c r="L987" s="262"/>
      <c r="M987" s="263"/>
      <c r="O987" s="265">
        <v>1388</v>
      </c>
    </row>
    <row r="988" spans="1:15" x14ac:dyDescent="0.45">
      <c r="A988" s="253" t="str">
        <f t="shared" si="94"/>
        <v>&lt;ct141&gt;0&lt;/ct141&gt;</v>
      </c>
      <c r="B988" t="s">
        <v>1513</v>
      </c>
      <c r="C988" s="244">
        <f t="shared" si="91"/>
        <v>2</v>
      </c>
      <c r="D988" s="244">
        <f t="shared" si="92"/>
        <v>7</v>
      </c>
      <c r="E988" s="244">
        <f t="shared" si="93"/>
        <v>9</v>
      </c>
      <c r="G988" s="259" t="str">
        <f t="shared" si="95"/>
        <v>&lt;ct141&gt;</v>
      </c>
      <c r="H988" s="260">
        <f>VLOOKUP(O988,BCDTK!$E$9:$L$132,8,0)</f>
        <v>0</v>
      </c>
      <c r="I988" s="261" t="str">
        <f t="shared" si="96"/>
        <v>&lt;/ct141&gt;</v>
      </c>
      <c r="J988" s="262"/>
      <c r="K988" s="262"/>
      <c r="L988" s="262"/>
      <c r="M988" s="263"/>
      <c r="O988" s="265">
        <v>141</v>
      </c>
    </row>
    <row r="989" spans="1:15" x14ac:dyDescent="0.45">
      <c r="A989" s="253" t="str">
        <f t="shared" si="94"/>
        <v>&lt;ct151&gt;0&lt;/ct151&gt;</v>
      </c>
      <c r="B989" t="s">
        <v>1476</v>
      </c>
      <c r="C989" s="244">
        <f t="shared" si="91"/>
        <v>2</v>
      </c>
      <c r="D989" s="244">
        <f t="shared" si="92"/>
        <v>7</v>
      </c>
      <c r="E989" s="244">
        <f t="shared" si="93"/>
        <v>9</v>
      </c>
      <c r="G989" s="259" t="str">
        <f t="shared" si="95"/>
        <v>&lt;ct151&gt;</v>
      </c>
      <c r="H989" s="260">
        <f>VLOOKUP(O989,BCDTK!$E$9:$L$132,8,0)</f>
        <v>0</v>
      </c>
      <c r="I989" s="261" t="str">
        <f t="shared" si="96"/>
        <v>&lt;/ct151&gt;</v>
      </c>
      <c r="J989" s="262"/>
      <c r="K989" s="262"/>
      <c r="L989" s="262"/>
      <c r="M989" s="263"/>
      <c r="O989" s="265">
        <v>151</v>
      </c>
    </row>
    <row r="990" spans="1:15" x14ac:dyDescent="0.45">
      <c r="A990" s="253" t="str">
        <f t="shared" si="94"/>
        <v>&lt;ct152&gt;0&lt;/ct152&gt;</v>
      </c>
      <c r="B990" t="s">
        <v>1477</v>
      </c>
      <c r="C990" s="244">
        <f t="shared" si="91"/>
        <v>2</v>
      </c>
      <c r="D990" s="244">
        <f t="shared" si="92"/>
        <v>7</v>
      </c>
      <c r="E990" s="244">
        <f t="shared" si="93"/>
        <v>9</v>
      </c>
      <c r="G990" s="259" t="str">
        <f t="shared" si="95"/>
        <v>&lt;ct152&gt;</v>
      </c>
      <c r="H990" s="260">
        <f>VLOOKUP(O990,BCDTK!$E$9:$L$132,8,0)</f>
        <v>0</v>
      </c>
      <c r="I990" s="261" t="str">
        <f t="shared" si="96"/>
        <v>&lt;/ct152&gt;</v>
      </c>
      <c r="J990" s="262"/>
      <c r="K990" s="262"/>
      <c r="L990" s="262"/>
      <c r="M990" s="263"/>
      <c r="O990" s="265">
        <v>152</v>
      </c>
    </row>
    <row r="991" spans="1:15" x14ac:dyDescent="0.45">
      <c r="A991" s="253" t="str">
        <f t="shared" si="94"/>
        <v>&lt;ct153&gt;0&lt;/ct153&gt;</v>
      </c>
      <c r="B991" t="s">
        <v>1604</v>
      </c>
      <c r="C991" s="244">
        <f t="shared" si="91"/>
        <v>2</v>
      </c>
      <c r="D991" s="244">
        <f t="shared" si="92"/>
        <v>7</v>
      </c>
      <c r="E991" s="244">
        <f t="shared" si="93"/>
        <v>9</v>
      </c>
      <c r="G991" s="259" t="str">
        <f t="shared" si="95"/>
        <v>&lt;ct153&gt;</v>
      </c>
      <c r="H991" s="260">
        <f>VLOOKUP(O991,BCDTK!$E$9:$L$132,8,0)</f>
        <v>0</v>
      </c>
      <c r="I991" s="261" t="str">
        <f t="shared" si="96"/>
        <v>&lt;/ct153&gt;</v>
      </c>
      <c r="J991" s="262"/>
      <c r="K991" s="262"/>
      <c r="L991" s="262"/>
      <c r="M991" s="263"/>
      <c r="O991" s="265">
        <v>153</v>
      </c>
    </row>
    <row r="992" spans="1:15" x14ac:dyDescent="0.45">
      <c r="A992" s="253" t="str">
        <f t="shared" si="94"/>
        <v>&lt;ct154&gt;0&lt;/ct154&gt;</v>
      </c>
      <c r="B992" t="s">
        <v>1605</v>
      </c>
      <c r="C992" s="244">
        <f t="shared" si="91"/>
        <v>2</v>
      </c>
      <c r="D992" s="244">
        <f t="shared" si="92"/>
        <v>7</v>
      </c>
      <c r="E992" s="244">
        <f t="shared" si="93"/>
        <v>9</v>
      </c>
      <c r="G992" s="259" t="str">
        <f t="shared" si="95"/>
        <v>&lt;ct154&gt;</v>
      </c>
      <c r="H992" s="260">
        <f>VLOOKUP(O992,BCDTK!$E$9:$L$132,8,0)</f>
        <v>0</v>
      </c>
      <c r="I992" s="261" t="str">
        <f t="shared" si="96"/>
        <v>&lt;/ct154&gt;</v>
      </c>
      <c r="J992" s="262"/>
      <c r="K992" s="262"/>
      <c r="L992" s="262"/>
      <c r="M992" s="263"/>
      <c r="O992" s="265">
        <v>154</v>
      </c>
    </row>
    <row r="993" spans="1:15" x14ac:dyDescent="0.45">
      <c r="A993" s="253" t="str">
        <f t="shared" si="94"/>
        <v>&lt;ct155&gt;0&lt;/ct155&gt;</v>
      </c>
      <c r="B993" t="s">
        <v>1606</v>
      </c>
      <c r="C993" s="244">
        <f t="shared" si="91"/>
        <v>2</v>
      </c>
      <c r="D993" s="244">
        <f t="shared" si="92"/>
        <v>7</v>
      </c>
      <c r="E993" s="244">
        <f t="shared" si="93"/>
        <v>9</v>
      </c>
      <c r="G993" s="259" t="str">
        <f t="shared" si="95"/>
        <v>&lt;ct155&gt;</v>
      </c>
      <c r="H993" s="260">
        <f>VLOOKUP(O993,BCDTK!$E$9:$L$132,8,0)</f>
        <v>0</v>
      </c>
      <c r="I993" s="261" t="str">
        <f t="shared" si="96"/>
        <v>&lt;/ct155&gt;</v>
      </c>
      <c r="J993" s="262"/>
      <c r="K993" s="262"/>
      <c r="L993" s="262"/>
      <c r="M993" s="263"/>
      <c r="O993" s="265">
        <v>155</v>
      </c>
    </row>
    <row r="994" spans="1:15" x14ac:dyDescent="0.45">
      <c r="A994" s="253" t="str">
        <f t="shared" si="94"/>
        <v>&lt;ct156&gt;0&lt;/ct156&gt;</v>
      </c>
      <c r="B994" t="s">
        <v>1607</v>
      </c>
      <c r="C994" s="244">
        <f t="shared" si="91"/>
        <v>2</v>
      </c>
      <c r="D994" s="244">
        <f t="shared" si="92"/>
        <v>7</v>
      </c>
      <c r="E994" s="244">
        <f t="shared" si="93"/>
        <v>9</v>
      </c>
      <c r="G994" s="259" t="str">
        <f t="shared" si="95"/>
        <v>&lt;ct156&gt;</v>
      </c>
      <c r="H994" s="260">
        <f>VLOOKUP(O994,BCDTK!$E$9:$L$132,8,0)</f>
        <v>0</v>
      </c>
      <c r="I994" s="261" t="str">
        <f t="shared" si="96"/>
        <v>&lt;/ct156&gt;</v>
      </c>
      <c r="J994" s="262"/>
      <c r="K994" s="262"/>
      <c r="L994" s="262"/>
      <c r="M994" s="263"/>
      <c r="O994" s="265">
        <v>156</v>
      </c>
    </row>
    <row r="995" spans="1:15" x14ac:dyDescent="0.45">
      <c r="A995" s="253" t="str">
        <f t="shared" si="94"/>
        <v>&lt;ct157&gt;0&lt;/ct157&gt;</v>
      </c>
      <c r="B995" t="s">
        <v>1608</v>
      </c>
      <c r="C995" s="244">
        <f t="shared" si="91"/>
        <v>2</v>
      </c>
      <c r="D995" s="244">
        <f t="shared" si="92"/>
        <v>7</v>
      </c>
      <c r="E995" s="244">
        <f t="shared" si="93"/>
        <v>9</v>
      </c>
      <c r="G995" s="259" t="str">
        <f t="shared" si="95"/>
        <v>&lt;ct157&gt;</v>
      </c>
      <c r="H995" s="260">
        <f>VLOOKUP(O995,BCDTK!$E$9:$L$132,8,0)</f>
        <v>0</v>
      </c>
      <c r="I995" s="261" t="str">
        <f t="shared" si="96"/>
        <v>&lt;/ct157&gt;</v>
      </c>
      <c r="J995" s="262"/>
      <c r="K995" s="262"/>
      <c r="L995" s="262"/>
      <c r="M995" s="263"/>
      <c r="O995" s="265">
        <v>157</v>
      </c>
    </row>
    <row r="996" spans="1:15" x14ac:dyDescent="0.45">
      <c r="A996" s="253" t="str">
        <f t="shared" si="94"/>
        <v>&lt;ct211&gt;0&lt;/ct211&gt;</v>
      </c>
      <c r="B996" t="s">
        <v>1609</v>
      </c>
      <c r="C996" s="244">
        <f t="shared" si="91"/>
        <v>2</v>
      </c>
      <c r="D996" s="244">
        <f t="shared" si="92"/>
        <v>7</v>
      </c>
      <c r="E996" s="244">
        <f t="shared" si="93"/>
        <v>9</v>
      </c>
      <c r="G996" s="259" t="str">
        <f t="shared" si="95"/>
        <v>&lt;ct211&gt;</v>
      </c>
      <c r="H996" s="260">
        <f>VLOOKUP(O996,BCDTK!$E$9:$L$132,8,0)</f>
        <v>0</v>
      </c>
      <c r="I996" s="261" t="str">
        <f t="shared" si="96"/>
        <v>&lt;/ct211&gt;</v>
      </c>
      <c r="J996" s="262"/>
      <c r="K996" s="262"/>
      <c r="L996" s="262"/>
      <c r="M996" s="263"/>
      <c r="O996" s="265">
        <v>211</v>
      </c>
    </row>
    <row r="997" spans="1:15" x14ac:dyDescent="0.45">
      <c r="A997" s="253" t="str">
        <f t="shared" si="94"/>
        <v>&lt;ct2111&gt;0&lt;/ct2111&gt;</v>
      </c>
      <c r="B997" t="s">
        <v>1610</v>
      </c>
      <c r="C997" s="244">
        <f t="shared" si="91"/>
        <v>2</v>
      </c>
      <c r="D997" s="244">
        <f t="shared" si="92"/>
        <v>8</v>
      </c>
      <c r="E997" s="244">
        <f t="shared" si="93"/>
        <v>10</v>
      </c>
      <c r="G997" s="259" t="str">
        <f t="shared" si="95"/>
        <v>&lt;ct2111&gt;</v>
      </c>
      <c r="H997" s="260">
        <f>VLOOKUP(O997,BCDTK!$E$9:$L$132,8,0)</f>
        <v>0</v>
      </c>
      <c r="I997" s="261" t="str">
        <f t="shared" si="96"/>
        <v>&lt;/ct2111&gt;</v>
      </c>
      <c r="J997" s="262"/>
      <c r="K997" s="262"/>
      <c r="L997" s="262"/>
      <c r="M997" s="263"/>
      <c r="O997" s="265">
        <v>2111</v>
      </c>
    </row>
    <row r="998" spans="1:15" x14ac:dyDescent="0.45">
      <c r="A998" s="253" t="str">
        <f t="shared" si="94"/>
        <v>&lt;ct2112&gt;0&lt;/ct2112&gt;</v>
      </c>
      <c r="B998" t="s">
        <v>1611</v>
      </c>
      <c r="C998" s="244">
        <f t="shared" si="91"/>
        <v>2</v>
      </c>
      <c r="D998" s="244">
        <f t="shared" si="92"/>
        <v>8</v>
      </c>
      <c r="E998" s="244">
        <f t="shared" si="93"/>
        <v>10</v>
      </c>
      <c r="G998" s="259" t="str">
        <f t="shared" si="95"/>
        <v>&lt;ct2112&gt;</v>
      </c>
      <c r="H998" s="260">
        <f>VLOOKUP(O998,BCDTK!$E$9:$L$132,8,0)</f>
        <v>0</v>
      </c>
      <c r="I998" s="261" t="str">
        <f t="shared" si="96"/>
        <v>&lt;/ct2112&gt;</v>
      </c>
      <c r="J998" s="262"/>
      <c r="K998" s="262"/>
      <c r="L998" s="262"/>
      <c r="M998" s="263"/>
      <c r="O998" s="265">
        <v>2112</v>
      </c>
    </row>
    <row r="999" spans="1:15" x14ac:dyDescent="0.45">
      <c r="A999" s="253" t="str">
        <f t="shared" si="94"/>
        <v>&lt;ct2113&gt;0&lt;/ct2113&gt;</v>
      </c>
      <c r="B999" t="s">
        <v>1612</v>
      </c>
      <c r="C999" s="244">
        <f t="shared" si="91"/>
        <v>2</v>
      </c>
      <c r="D999" s="244">
        <f t="shared" si="92"/>
        <v>8</v>
      </c>
      <c r="E999" s="244">
        <f t="shared" si="93"/>
        <v>10</v>
      </c>
      <c r="G999" s="259" t="str">
        <f t="shared" si="95"/>
        <v>&lt;ct2113&gt;</v>
      </c>
      <c r="H999" s="260">
        <f>VLOOKUP(O999,BCDTK!$E$9:$L$132,8,0)</f>
        <v>0</v>
      </c>
      <c r="I999" s="261" t="str">
        <f t="shared" si="96"/>
        <v>&lt;/ct2113&gt;</v>
      </c>
      <c r="J999" s="262"/>
      <c r="K999" s="262"/>
      <c r="L999" s="262"/>
      <c r="M999" s="263"/>
      <c r="O999" s="265">
        <v>2113</v>
      </c>
    </row>
    <row r="1000" spans="1:15" x14ac:dyDescent="0.45">
      <c r="A1000" s="253" t="str">
        <f t="shared" si="94"/>
        <v>&lt;ct214&gt;10083376&lt;/ct214&gt;</v>
      </c>
      <c r="B1000" t="s">
        <v>1613</v>
      </c>
      <c r="C1000" s="244">
        <f t="shared" si="91"/>
        <v>2</v>
      </c>
      <c r="D1000" s="244">
        <f t="shared" si="92"/>
        <v>7</v>
      </c>
      <c r="E1000" s="244">
        <f t="shared" si="93"/>
        <v>9</v>
      </c>
      <c r="G1000" s="259" t="str">
        <f t="shared" si="95"/>
        <v>&lt;ct214&gt;</v>
      </c>
      <c r="H1000" s="260">
        <f>VLOOKUP(O1000,BCDTK!$E$9:$L$132,8,0)</f>
        <v>10083376</v>
      </c>
      <c r="I1000" s="261" t="str">
        <f t="shared" si="96"/>
        <v>&lt;/ct214&gt;</v>
      </c>
      <c r="J1000" s="262"/>
      <c r="K1000" s="262"/>
      <c r="L1000" s="262"/>
      <c r="M1000" s="263"/>
      <c r="O1000" s="265">
        <v>214</v>
      </c>
    </row>
    <row r="1001" spans="1:15" x14ac:dyDescent="0.45">
      <c r="A1001" s="253" t="str">
        <f t="shared" si="94"/>
        <v>&lt;ct2141&gt;10083376&lt;/ct2141&gt;</v>
      </c>
      <c r="B1001" t="s">
        <v>1614</v>
      </c>
      <c r="C1001" s="244">
        <f t="shared" si="91"/>
        <v>2</v>
      </c>
      <c r="D1001" s="244">
        <f t="shared" si="92"/>
        <v>8</v>
      </c>
      <c r="E1001" s="244">
        <f t="shared" si="93"/>
        <v>10</v>
      </c>
      <c r="G1001" s="259" t="str">
        <f t="shared" si="95"/>
        <v>&lt;ct2141&gt;</v>
      </c>
      <c r="H1001" s="260">
        <f>VLOOKUP(O1001,BCDTK!$E$9:$L$132,8,0)</f>
        <v>10083376</v>
      </c>
      <c r="I1001" s="261" t="str">
        <f t="shared" si="96"/>
        <v>&lt;/ct2141&gt;</v>
      </c>
      <c r="J1001" s="262"/>
      <c r="K1001" s="262"/>
      <c r="L1001" s="262"/>
      <c r="M1001" s="263"/>
      <c r="O1001" s="265">
        <v>2141</v>
      </c>
    </row>
    <row r="1002" spans="1:15" x14ac:dyDescent="0.45">
      <c r="A1002" s="253" t="str">
        <f t="shared" si="94"/>
        <v>&lt;ct2142&gt;0&lt;/ct2142&gt;</v>
      </c>
      <c r="B1002" t="s">
        <v>1615</v>
      </c>
      <c r="C1002" s="244">
        <f t="shared" si="91"/>
        <v>2</v>
      </c>
      <c r="D1002" s="244">
        <f t="shared" si="92"/>
        <v>8</v>
      </c>
      <c r="E1002" s="244">
        <f t="shared" si="93"/>
        <v>10</v>
      </c>
      <c r="G1002" s="259" t="str">
        <f t="shared" si="95"/>
        <v>&lt;ct2142&gt;</v>
      </c>
      <c r="H1002" s="260">
        <f>VLOOKUP(O1002,BCDTK!$E$9:$L$132,8,0)</f>
        <v>0</v>
      </c>
      <c r="I1002" s="261" t="str">
        <f t="shared" si="96"/>
        <v>&lt;/ct2142&gt;</v>
      </c>
      <c r="J1002" s="262"/>
      <c r="K1002" s="262"/>
      <c r="L1002" s="262"/>
      <c r="M1002" s="263"/>
      <c r="O1002" s="265">
        <v>2142</v>
      </c>
    </row>
    <row r="1003" spans="1:15" x14ac:dyDescent="0.45">
      <c r="A1003" s="253" t="str">
        <f t="shared" si="94"/>
        <v>&lt;ct2143&gt;0&lt;/ct2143&gt;</v>
      </c>
      <c r="B1003" t="s">
        <v>1616</v>
      </c>
      <c r="C1003" s="244">
        <f t="shared" si="91"/>
        <v>2</v>
      </c>
      <c r="D1003" s="244">
        <f t="shared" si="92"/>
        <v>8</v>
      </c>
      <c r="E1003" s="244">
        <f t="shared" si="93"/>
        <v>10</v>
      </c>
      <c r="G1003" s="259" t="str">
        <f t="shared" si="95"/>
        <v>&lt;ct2143&gt;</v>
      </c>
      <c r="H1003" s="260">
        <f>VLOOKUP(O1003,BCDTK!$E$9:$L$132,8,0)</f>
        <v>0</v>
      </c>
      <c r="I1003" s="261" t="str">
        <f t="shared" si="96"/>
        <v>&lt;/ct2143&gt;</v>
      </c>
      <c r="J1003" s="262"/>
      <c r="K1003" s="262"/>
      <c r="L1003" s="262"/>
      <c r="M1003" s="263"/>
      <c r="O1003" s="265">
        <v>2143</v>
      </c>
    </row>
    <row r="1004" spans="1:15" x14ac:dyDescent="0.45">
      <c r="A1004" s="253" t="str">
        <f t="shared" si="94"/>
        <v>&lt;ct2147&gt;0&lt;/ct2147&gt;</v>
      </c>
      <c r="B1004" t="s">
        <v>1617</v>
      </c>
      <c r="C1004" s="244">
        <f t="shared" si="91"/>
        <v>2</v>
      </c>
      <c r="D1004" s="244">
        <f t="shared" si="92"/>
        <v>8</v>
      </c>
      <c r="E1004" s="244">
        <f t="shared" si="93"/>
        <v>10</v>
      </c>
      <c r="G1004" s="259" t="str">
        <f t="shared" si="95"/>
        <v>&lt;ct2147&gt;</v>
      </c>
      <c r="H1004" s="260">
        <f>VLOOKUP(O1004,BCDTK!$E$9:$L$132,8,0)</f>
        <v>0</v>
      </c>
      <c r="I1004" s="261" t="str">
        <f t="shared" si="96"/>
        <v>&lt;/ct2147&gt;</v>
      </c>
      <c r="J1004" s="262"/>
      <c r="K1004" s="262"/>
      <c r="L1004" s="262"/>
      <c r="M1004" s="263"/>
      <c r="O1004" s="265">
        <v>2147</v>
      </c>
    </row>
    <row r="1005" spans="1:15" x14ac:dyDescent="0.45">
      <c r="A1005" s="253" t="str">
        <f t="shared" si="94"/>
        <v>&lt;ct217&gt;0&lt;/ct217&gt;</v>
      </c>
      <c r="B1005" t="s">
        <v>1618</v>
      </c>
      <c r="C1005" s="244">
        <f t="shared" si="91"/>
        <v>2</v>
      </c>
      <c r="D1005" s="244">
        <f t="shared" si="92"/>
        <v>7</v>
      </c>
      <c r="E1005" s="244">
        <f t="shared" si="93"/>
        <v>9</v>
      </c>
      <c r="G1005" s="259" t="str">
        <f t="shared" si="95"/>
        <v>&lt;ct217&gt;</v>
      </c>
      <c r="H1005" s="260">
        <f>VLOOKUP(O1005,BCDTK!$E$9:$L$132,8,0)</f>
        <v>0</v>
      </c>
      <c r="I1005" s="261" t="str">
        <f t="shared" si="96"/>
        <v>&lt;/ct217&gt;</v>
      </c>
      <c r="J1005" s="262"/>
      <c r="K1005" s="262"/>
      <c r="L1005" s="262"/>
      <c r="M1005" s="263"/>
      <c r="O1005" s="265">
        <v>217</v>
      </c>
    </row>
    <row r="1006" spans="1:15" x14ac:dyDescent="0.45">
      <c r="A1006" s="253" t="str">
        <f t="shared" si="94"/>
        <v>&lt;ct228&gt;0&lt;/ct228&gt;</v>
      </c>
      <c r="B1006" t="s">
        <v>1619</v>
      </c>
      <c r="C1006" s="244">
        <f t="shared" si="91"/>
        <v>2</v>
      </c>
      <c r="D1006" s="244">
        <f t="shared" si="92"/>
        <v>7</v>
      </c>
      <c r="E1006" s="244">
        <f t="shared" si="93"/>
        <v>9</v>
      </c>
      <c r="G1006" s="259" t="str">
        <f t="shared" si="95"/>
        <v>&lt;ct228&gt;</v>
      </c>
      <c r="H1006" s="260">
        <f>VLOOKUP(O1006,BCDTK!$E$9:$L$132,8,0)</f>
        <v>0</v>
      </c>
      <c r="I1006" s="261" t="str">
        <f t="shared" si="96"/>
        <v>&lt;/ct228&gt;</v>
      </c>
      <c r="J1006" s="262"/>
      <c r="K1006" s="262"/>
      <c r="L1006" s="262"/>
      <c r="M1006" s="263"/>
      <c r="O1006" s="265">
        <v>228</v>
      </c>
    </row>
    <row r="1007" spans="1:15" x14ac:dyDescent="0.45">
      <c r="A1007" s="253" t="str">
        <f t="shared" si="94"/>
        <v>&lt;ct2281&gt;0&lt;/ct2281&gt;</v>
      </c>
      <c r="B1007" t="s">
        <v>1620</v>
      </c>
      <c r="C1007" s="244">
        <f t="shared" si="91"/>
        <v>2</v>
      </c>
      <c r="D1007" s="244">
        <f t="shared" si="92"/>
        <v>8</v>
      </c>
      <c r="E1007" s="244">
        <f t="shared" si="93"/>
        <v>10</v>
      </c>
      <c r="G1007" s="259" t="str">
        <f t="shared" si="95"/>
        <v>&lt;ct2281&gt;</v>
      </c>
      <c r="H1007" s="260">
        <f>VLOOKUP(O1007,BCDTK!$E$9:$L$132,8,0)</f>
        <v>0</v>
      </c>
      <c r="I1007" s="261" t="str">
        <f t="shared" si="96"/>
        <v>&lt;/ct2281&gt;</v>
      </c>
      <c r="J1007" s="262"/>
      <c r="K1007" s="262"/>
      <c r="L1007" s="262"/>
      <c r="M1007" s="263"/>
      <c r="O1007" s="265">
        <v>2281</v>
      </c>
    </row>
    <row r="1008" spans="1:15" x14ac:dyDescent="0.45">
      <c r="A1008" s="253" t="str">
        <f t="shared" si="94"/>
        <v>&lt;ct2288&gt;0&lt;/ct2288&gt;</v>
      </c>
      <c r="B1008" t="s">
        <v>1621</v>
      </c>
      <c r="C1008" s="244">
        <f t="shared" si="91"/>
        <v>2</v>
      </c>
      <c r="D1008" s="244">
        <f t="shared" si="92"/>
        <v>8</v>
      </c>
      <c r="E1008" s="244">
        <f t="shared" si="93"/>
        <v>10</v>
      </c>
      <c r="G1008" s="259" t="str">
        <f t="shared" si="95"/>
        <v>&lt;ct2288&gt;</v>
      </c>
      <c r="H1008" s="260">
        <f>VLOOKUP(O1008,BCDTK!$E$9:$L$132,8,0)</f>
        <v>0</v>
      </c>
      <c r="I1008" s="261" t="str">
        <f t="shared" si="96"/>
        <v>&lt;/ct2288&gt;</v>
      </c>
      <c r="J1008" s="262"/>
      <c r="K1008" s="262"/>
      <c r="L1008" s="262"/>
      <c r="M1008" s="263"/>
      <c r="O1008" s="265">
        <v>2288</v>
      </c>
    </row>
    <row r="1009" spans="1:15" x14ac:dyDescent="0.45">
      <c r="A1009" s="253" t="str">
        <f t="shared" si="94"/>
        <v>&lt;ct229&gt;0&lt;/ct229&gt;</v>
      </c>
      <c r="B1009" t="s">
        <v>1622</v>
      </c>
      <c r="C1009" s="244">
        <f t="shared" si="91"/>
        <v>2</v>
      </c>
      <c r="D1009" s="244">
        <f t="shared" si="92"/>
        <v>7</v>
      </c>
      <c r="E1009" s="244">
        <f t="shared" si="93"/>
        <v>9</v>
      </c>
      <c r="G1009" s="259" t="str">
        <f t="shared" si="95"/>
        <v>&lt;ct229&gt;</v>
      </c>
      <c r="H1009" s="260">
        <f>VLOOKUP(O1009,BCDTK!$E$9:$L$132,8,0)</f>
        <v>0</v>
      </c>
      <c r="I1009" s="261" t="str">
        <f t="shared" si="96"/>
        <v>&lt;/ct229&gt;</v>
      </c>
      <c r="J1009" s="262"/>
      <c r="K1009" s="262"/>
      <c r="L1009" s="262"/>
      <c r="M1009" s="263"/>
      <c r="O1009" s="265">
        <v>229</v>
      </c>
    </row>
    <row r="1010" spans="1:15" x14ac:dyDescent="0.45">
      <c r="A1010" s="253" t="str">
        <f t="shared" si="94"/>
        <v>&lt;ct2291&gt;0&lt;/ct2291&gt;</v>
      </c>
      <c r="B1010" t="s">
        <v>1623</v>
      </c>
      <c r="C1010" s="244">
        <f t="shared" si="91"/>
        <v>2</v>
      </c>
      <c r="D1010" s="244">
        <f t="shared" si="92"/>
        <v>8</v>
      </c>
      <c r="E1010" s="244">
        <f t="shared" si="93"/>
        <v>10</v>
      </c>
      <c r="G1010" s="259" t="str">
        <f t="shared" si="95"/>
        <v>&lt;ct2291&gt;</v>
      </c>
      <c r="H1010" s="260">
        <f>VLOOKUP(O1010,BCDTK!$E$9:$L$132,8,0)</f>
        <v>0</v>
      </c>
      <c r="I1010" s="261" t="str">
        <f t="shared" si="96"/>
        <v>&lt;/ct2291&gt;</v>
      </c>
      <c r="J1010" s="262"/>
      <c r="K1010" s="262"/>
      <c r="L1010" s="262"/>
      <c r="M1010" s="263"/>
      <c r="O1010" s="265">
        <v>2291</v>
      </c>
    </row>
    <row r="1011" spans="1:15" x14ac:dyDescent="0.45">
      <c r="A1011" s="253" t="str">
        <f t="shared" si="94"/>
        <v>&lt;ct2292&gt;0&lt;/ct2292&gt;</v>
      </c>
      <c r="B1011" t="s">
        <v>1624</v>
      </c>
      <c r="C1011" s="244">
        <f t="shared" si="91"/>
        <v>2</v>
      </c>
      <c r="D1011" s="244">
        <f t="shared" si="92"/>
        <v>8</v>
      </c>
      <c r="E1011" s="244">
        <f t="shared" si="93"/>
        <v>10</v>
      </c>
      <c r="G1011" s="259" t="str">
        <f t="shared" si="95"/>
        <v>&lt;ct2292&gt;</v>
      </c>
      <c r="H1011" s="260">
        <f>VLOOKUP(O1011,BCDTK!$E$9:$L$132,8,0)</f>
        <v>0</v>
      </c>
      <c r="I1011" s="261" t="str">
        <f t="shared" si="96"/>
        <v>&lt;/ct2292&gt;</v>
      </c>
      <c r="J1011" s="262"/>
      <c r="K1011" s="262"/>
      <c r="L1011" s="262"/>
      <c r="M1011" s="263"/>
      <c r="O1011" s="265">
        <v>2292</v>
      </c>
    </row>
    <row r="1012" spans="1:15" x14ac:dyDescent="0.45">
      <c r="A1012" s="253" t="str">
        <f t="shared" si="94"/>
        <v>&lt;ct2293&gt;0&lt;/ct2293&gt;</v>
      </c>
      <c r="B1012" t="s">
        <v>1625</v>
      </c>
      <c r="C1012" s="244">
        <f t="shared" si="91"/>
        <v>2</v>
      </c>
      <c r="D1012" s="244">
        <f t="shared" si="92"/>
        <v>8</v>
      </c>
      <c r="E1012" s="244">
        <f t="shared" si="93"/>
        <v>10</v>
      </c>
      <c r="G1012" s="259" t="str">
        <f t="shared" si="95"/>
        <v>&lt;ct2293&gt;</v>
      </c>
      <c r="H1012" s="260">
        <f>VLOOKUP(O1012,BCDTK!$E$9:$L$132,8,0)</f>
        <v>0</v>
      </c>
      <c r="I1012" s="261" t="str">
        <f t="shared" si="96"/>
        <v>&lt;/ct2293&gt;</v>
      </c>
      <c r="J1012" s="262"/>
      <c r="K1012" s="262"/>
      <c r="L1012" s="262"/>
      <c r="M1012" s="263"/>
      <c r="O1012" s="265">
        <v>2293</v>
      </c>
    </row>
    <row r="1013" spans="1:15" x14ac:dyDescent="0.45">
      <c r="A1013" s="253" t="str">
        <f t="shared" si="94"/>
        <v>&lt;ct2294&gt;0&lt;/ct2294&gt;</v>
      </c>
      <c r="B1013" t="s">
        <v>1626</v>
      </c>
      <c r="C1013" s="244">
        <f t="shared" si="91"/>
        <v>2</v>
      </c>
      <c r="D1013" s="244">
        <f t="shared" si="92"/>
        <v>8</v>
      </c>
      <c r="E1013" s="244">
        <f t="shared" si="93"/>
        <v>10</v>
      </c>
      <c r="G1013" s="259" t="str">
        <f t="shared" si="95"/>
        <v>&lt;ct2294&gt;</v>
      </c>
      <c r="H1013" s="260">
        <f>VLOOKUP(O1013,BCDTK!$E$9:$L$132,8,0)</f>
        <v>0</v>
      </c>
      <c r="I1013" s="261" t="str">
        <f t="shared" si="96"/>
        <v>&lt;/ct2294&gt;</v>
      </c>
      <c r="J1013" s="262"/>
      <c r="K1013" s="262"/>
      <c r="L1013" s="262"/>
      <c r="M1013" s="263"/>
      <c r="O1013" s="265">
        <v>2294</v>
      </c>
    </row>
    <row r="1014" spans="1:15" x14ac:dyDescent="0.45">
      <c r="A1014" s="253" t="str">
        <f t="shared" si="94"/>
        <v>&lt;ct241&gt;0&lt;/ct241&gt;</v>
      </c>
      <c r="B1014" t="s">
        <v>1627</v>
      </c>
      <c r="C1014" s="244">
        <f t="shared" si="91"/>
        <v>2</v>
      </c>
      <c r="D1014" s="244">
        <f t="shared" si="92"/>
        <v>7</v>
      </c>
      <c r="E1014" s="244">
        <f t="shared" si="93"/>
        <v>9</v>
      </c>
      <c r="G1014" s="259" t="str">
        <f t="shared" si="95"/>
        <v>&lt;ct241&gt;</v>
      </c>
      <c r="H1014" s="260">
        <f>VLOOKUP(O1014,BCDTK!$E$9:$L$132,8,0)</f>
        <v>0</v>
      </c>
      <c r="I1014" s="261" t="str">
        <f t="shared" si="96"/>
        <v>&lt;/ct241&gt;</v>
      </c>
      <c r="J1014" s="262"/>
      <c r="K1014" s="262"/>
      <c r="L1014" s="262"/>
      <c r="M1014" s="263"/>
      <c r="O1014" s="265">
        <v>241</v>
      </c>
    </row>
    <row r="1015" spans="1:15" x14ac:dyDescent="0.45">
      <c r="A1015" s="253" t="str">
        <f t="shared" si="94"/>
        <v>&lt;ct2411&gt;0&lt;/ct2411&gt;</v>
      </c>
      <c r="B1015" t="s">
        <v>1628</v>
      </c>
      <c r="C1015" s="244">
        <f t="shared" si="91"/>
        <v>2</v>
      </c>
      <c r="D1015" s="244">
        <f t="shared" si="92"/>
        <v>8</v>
      </c>
      <c r="E1015" s="244">
        <f t="shared" si="93"/>
        <v>10</v>
      </c>
      <c r="G1015" s="259" t="str">
        <f t="shared" si="95"/>
        <v>&lt;ct2411&gt;</v>
      </c>
      <c r="H1015" s="260">
        <f>VLOOKUP(O1015,BCDTK!$E$9:$L$132,8,0)</f>
        <v>0</v>
      </c>
      <c r="I1015" s="261" t="str">
        <f t="shared" si="96"/>
        <v>&lt;/ct2411&gt;</v>
      </c>
      <c r="J1015" s="262"/>
      <c r="K1015" s="262"/>
      <c r="L1015" s="262"/>
      <c r="M1015" s="263"/>
      <c r="O1015" s="265">
        <v>2411</v>
      </c>
    </row>
    <row r="1016" spans="1:15" x14ac:dyDescent="0.45">
      <c r="A1016" s="253" t="str">
        <f t="shared" si="94"/>
        <v>&lt;ct2412&gt;0&lt;/ct2412&gt;</v>
      </c>
      <c r="B1016" t="s">
        <v>1629</v>
      </c>
      <c r="C1016" s="244">
        <f t="shared" si="91"/>
        <v>2</v>
      </c>
      <c r="D1016" s="244">
        <f t="shared" si="92"/>
        <v>8</v>
      </c>
      <c r="E1016" s="244">
        <f t="shared" si="93"/>
        <v>10</v>
      </c>
      <c r="G1016" s="259" t="str">
        <f t="shared" si="95"/>
        <v>&lt;ct2412&gt;</v>
      </c>
      <c r="H1016" s="260">
        <f>VLOOKUP(O1016,BCDTK!$E$9:$L$132,8,0)</f>
        <v>0</v>
      </c>
      <c r="I1016" s="261" t="str">
        <f t="shared" si="96"/>
        <v>&lt;/ct2412&gt;</v>
      </c>
      <c r="J1016" s="262"/>
      <c r="K1016" s="262"/>
      <c r="L1016" s="262"/>
      <c r="M1016" s="263"/>
      <c r="O1016" s="265">
        <v>2412</v>
      </c>
    </row>
    <row r="1017" spans="1:15" x14ac:dyDescent="0.45">
      <c r="A1017" s="253" t="str">
        <f t="shared" si="94"/>
        <v>&lt;ct2413&gt;0&lt;/ct2413&gt;</v>
      </c>
      <c r="B1017" t="s">
        <v>1630</v>
      </c>
      <c r="C1017" s="244">
        <f t="shared" ref="C1017:C1080" si="97">LEN(B1017)-LEN(SUBSTITUTE(B1017,"&lt;",""))</f>
        <v>2</v>
      </c>
      <c r="D1017" s="244">
        <f t="shared" ref="D1017:D1080" si="98">SEARCH("&gt;",B1017)</f>
        <v>8</v>
      </c>
      <c r="E1017" s="244">
        <f t="shared" ref="E1017:E1080" si="99">IFERROR(SEARCH("&lt;/",B1017),"")</f>
        <v>10</v>
      </c>
      <c r="G1017" s="259" t="str">
        <f t="shared" si="95"/>
        <v>&lt;ct2413&gt;</v>
      </c>
      <c r="H1017" s="260">
        <f>VLOOKUP(O1017,BCDTK!$E$9:$L$132,8,0)</f>
        <v>0</v>
      </c>
      <c r="I1017" s="261" t="str">
        <f t="shared" si="96"/>
        <v>&lt;/ct2413&gt;</v>
      </c>
      <c r="J1017" s="262"/>
      <c r="K1017" s="262"/>
      <c r="L1017" s="262"/>
      <c r="M1017" s="263"/>
      <c r="O1017" s="265">
        <v>2413</v>
      </c>
    </row>
    <row r="1018" spans="1:15" x14ac:dyDescent="0.45">
      <c r="A1018" s="253" t="str">
        <f t="shared" si="94"/>
        <v>&lt;ct242&gt;0&lt;/ct242&gt;</v>
      </c>
      <c r="B1018" t="s">
        <v>1631</v>
      </c>
      <c r="C1018" s="244">
        <f t="shared" si="97"/>
        <v>2</v>
      </c>
      <c r="D1018" s="244">
        <f t="shared" si="98"/>
        <v>7</v>
      </c>
      <c r="E1018" s="244">
        <f t="shared" si="99"/>
        <v>9</v>
      </c>
      <c r="G1018" s="259" t="str">
        <f t="shared" si="95"/>
        <v>&lt;ct242&gt;</v>
      </c>
      <c r="H1018" s="260">
        <f>VLOOKUP(O1018,BCDTK!$E$9:$L$132,8,0)</f>
        <v>0</v>
      </c>
      <c r="I1018" s="261" t="str">
        <f t="shared" si="96"/>
        <v>&lt;/ct242&gt;</v>
      </c>
      <c r="J1018" s="262"/>
      <c r="K1018" s="262"/>
      <c r="L1018" s="262"/>
      <c r="M1018" s="263"/>
      <c r="O1018" s="265">
        <v>242</v>
      </c>
    </row>
    <row r="1019" spans="1:15" x14ac:dyDescent="0.45">
      <c r="A1019" s="253" t="str">
        <f t="shared" si="94"/>
        <v>&lt;ct331&gt;0&lt;/ct331&gt;</v>
      </c>
      <c r="B1019" t="s">
        <v>1632</v>
      </c>
      <c r="C1019" s="244">
        <f t="shared" si="97"/>
        <v>2</v>
      </c>
      <c r="D1019" s="244">
        <f t="shared" si="98"/>
        <v>7</v>
      </c>
      <c r="E1019" s="244">
        <f t="shared" si="99"/>
        <v>9</v>
      </c>
      <c r="G1019" s="259" t="str">
        <f t="shared" si="95"/>
        <v>&lt;ct331&gt;</v>
      </c>
      <c r="H1019" s="260">
        <f>VLOOKUP(O1019,BCDTK!$E$9:$L$132,8,0)</f>
        <v>0</v>
      </c>
      <c r="I1019" s="261" t="str">
        <f t="shared" si="96"/>
        <v>&lt;/ct331&gt;</v>
      </c>
      <c r="J1019" s="262"/>
      <c r="K1019" s="262"/>
      <c r="L1019" s="262"/>
      <c r="M1019" s="263"/>
      <c r="O1019" s="265">
        <v>331</v>
      </c>
    </row>
    <row r="1020" spans="1:15" x14ac:dyDescent="0.45">
      <c r="A1020" s="253" t="str">
        <f t="shared" si="94"/>
        <v>&lt;ct333&gt;2035545&lt;/ct333&gt;</v>
      </c>
      <c r="B1020" t="s">
        <v>1633</v>
      </c>
      <c r="C1020" s="244">
        <f t="shared" si="97"/>
        <v>2</v>
      </c>
      <c r="D1020" s="244">
        <f t="shared" si="98"/>
        <v>7</v>
      </c>
      <c r="E1020" s="244">
        <f t="shared" si="99"/>
        <v>9</v>
      </c>
      <c r="G1020" s="259" t="str">
        <f t="shared" si="95"/>
        <v>&lt;ct333&gt;</v>
      </c>
      <c r="H1020" s="260">
        <f>VLOOKUP(O1020,BCDTK!$E$9:$L$132,8,0)</f>
        <v>2035545</v>
      </c>
      <c r="I1020" s="261" t="str">
        <f t="shared" si="96"/>
        <v>&lt;/ct333&gt;</v>
      </c>
      <c r="J1020" s="262"/>
      <c r="K1020" s="262"/>
      <c r="L1020" s="262"/>
      <c r="M1020" s="263"/>
      <c r="O1020" s="265">
        <v>333</v>
      </c>
    </row>
    <row r="1021" spans="1:15" x14ac:dyDescent="0.45">
      <c r="A1021" s="253" t="str">
        <f t="shared" si="94"/>
        <v>&lt;ct3331&gt;0&lt;/ct3331&gt;</v>
      </c>
      <c r="B1021" t="s">
        <v>1634</v>
      </c>
      <c r="C1021" s="244">
        <f t="shared" si="97"/>
        <v>2</v>
      </c>
      <c r="D1021" s="244">
        <f t="shared" si="98"/>
        <v>8</v>
      </c>
      <c r="E1021" s="244">
        <f t="shared" si="99"/>
        <v>10</v>
      </c>
      <c r="G1021" s="259" t="str">
        <f t="shared" si="95"/>
        <v>&lt;ct3331&gt;</v>
      </c>
      <c r="H1021" s="260">
        <f>VLOOKUP(O1021,BCDTK!$E$9:$L$132,8,0)</f>
        <v>0</v>
      </c>
      <c r="I1021" s="261" t="str">
        <f t="shared" si="96"/>
        <v>&lt;/ct3331&gt;</v>
      </c>
      <c r="J1021" s="262"/>
      <c r="K1021" s="262"/>
      <c r="L1021" s="262"/>
      <c r="M1021" s="263"/>
      <c r="O1021" s="265">
        <v>3331</v>
      </c>
    </row>
    <row r="1022" spans="1:15" x14ac:dyDescent="0.45">
      <c r="A1022" s="253" t="str">
        <f t="shared" si="94"/>
        <v>&lt;ct33311&gt;0&lt;/ct33311&gt;</v>
      </c>
      <c r="B1022" t="s">
        <v>1635</v>
      </c>
      <c r="C1022" s="244">
        <f t="shared" si="97"/>
        <v>2</v>
      </c>
      <c r="D1022" s="244">
        <f t="shared" si="98"/>
        <v>9</v>
      </c>
      <c r="E1022" s="244">
        <f t="shared" si="99"/>
        <v>11</v>
      </c>
      <c r="G1022" s="259" t="str">
        <f t="shared" si="95"/>
        <v>&lt;ct33311&gt;</v>
      </c>
      <c r="H1022" s="260">
        <f>VLOOKUP(O1022,BCDTK!$E$9:$L$132,8,0)</f>
        <v>0</v>
      </c>
      <c r="I1022" s="261" t="str">
        <f t="shared" si="96"/>
        <v>&lt;/ct33311&gt;</v>
      </c>
      <c r="J1022" s="262"/>
      <c r="K1022" s="262"/>
      <c r="L1022" s="262"/>
      <c r="M1022" s="263"/>
      <c r="O1022" s="265">
        <v>33311</v>
      </c>
    </row>
    <row r="1023" spans="1:15" x14ac:dyDescent="0.45">
      <c r="A1023" s="253" t="str">
        <f t="shared" si="94"/>
        <v>&lt;ct33312&gt;0&lt;/ct33312&gt;</v>
      </c>
      <c r="B1023" t="s">
        <v>1636</v>
      </c>
      <c r="C1023" s="244">
        <f t="shared" si="97"/>
        <v>2</v>
      </c>
      <c r="D1023" s="244">
        <f t="shared" si="98"/>
        <v>9</v>
      </c>
      <c r="E1023" s="244">
        <f t="shared" si="99"/>
        <v>11</v>
      </c>
      <c r="G1023" s="259" t="str">
        <f t="shared" si="95"/>
        <v>&lt;ct33312&gt;</v>
      </c>
      <c r="H1023" s="260">
        <f>VLOOKUP(O1023,BCDTK!$E$9:$L$132,8,0)</f>
        <v>0</v>
      </c>
      <c r="I1023" s="261" t="str">
        <f t="shared" si="96"/>
        <v>&lt;/ct33312&gt;</v>
      </c>
      <c r="J1023" s="262"/>
      <c r="K1023" s="262"/>
      <c r="L1023" s="262"/>
      <c r="M1023" s="263"/>
      <c r="O1023" s="265">
        <v>33312</v>
      </c>
    </row>
    <row r="1024" spans="1:15" x14ac:dyDescent="0.45">
      <c r="A1024" s="253" t="str">
        <f t="shared" si="94"/>
        <v>&lt;ct3332&gt;0&lt;/ct3332&gt;</v>
      </c>
      <c r="B1024" t="s">
        <v>1637</v>
      </c>
      <c r="C1024" s="244">
        <f t="shared" si="97"/>
        <v>2</v>
      </c>
      <c r="D1024" s="244">
        <f t="shared" si="98"/>
        <v>8</v>
      </c>
      <c r="E1024" s="244">
        <f t="shared" si="99"/>
        <v>10</v>
      </c>
      <c r="G1024" s="259" t="str">
        <f t="shared" si="95"/>
        <v>&lt;ct3332&gt;</v>
      </c>
      <c r="H1024" s="260">
        <f>VLOOKUP(O1024,BCDTK!$E$9:$L$132,8,0)</f>
        <v>0</v>
      </c>
      <c r="I1024" s="261" t="str">
        <f t="shared" si="96"/>
        <v>&lt;/ct3332&gt;</v>
      </c>
      <c r="J1024" s="262"/>
      <c r="K1024" s="262"/>
      <c r="L1024" s="262"/>
      <c r="M1024" s="263"/>
      <c r="O1024" s="265">
        <v>3332</v>
      </c>
    </row>
    <row r="1025" spans="1:15" x14ac:dyDescent="0.45">
      <c r="A1025" s="253" t="str">
        <f t="shared" si="94"/>
        <v>&lt;ct3333&gt;0&lt;/ct3333&gt;</v>
      </c>
      <c r="B1025" t="s">
        <v>1638</v>
      </c>
      <c r="C1025" s="244">
        <f t="shared" si="97"/>
        <v>2</v>
      </c>
      <c r="D1025" s="244">
        <f t="shared" si="98"/>
        <v>8</v>
      </c>
      <c r="E1025" s="244">
        <f t="shared" si="99"/>
        <v>10</v>
      </c>
      <c r="G1025" s="259" t="str">
        <f t="shared" si="95"/>
        <v>&lt;ct3333&gt;</v>
      </c>
      <c r="H1025" s="260">
        <f>VLOOKUP(O1025,BCDTK!$E$9:$L$132,8,0)</f>
        <v>0</v>
      </c>
      <c r="I1025" s="261" t="str">
        <f t="shared" si="96"/>
        <v>&lt;/ct3333&gt;</v>
      </c>
      <c r="J1025" s="262"/>
      <c r="K1025" s="262"/>
      <c r="L1025" s="262"/>
      <c r="M1025" s="263"/>
      <c r="O1025" s="265">
        <v>3333</v>
      </c>
    </row>
    <row r="1026" spans="1:15" x14ac:dyDescent="0.45">
      <c r="A1026" s="253" t="str">
        <f t="shared" si="94"/>
        <v>&lt;ct3334&gt;2035545&lt;/ct3334&gt;</v>
      </c>
      <c r="B1026" t="s">
        <v>1639</v>
      </c>
      <c r="C1026" s="244">
        <f t="shared" si="97"/>
        <v>2</v>
      </c>
      <c r="D1026" s="244">
        <f t="shared" si="98"/>
        <v>8</v>
      </c>
      <c r="E1026" s="244">
        <f t="shared" si="99"/>
        <v>10</v>
      </c>
      <c r="G1026" s="259" t="str">
        <f t="shared" si="95"/>
        <v>&lt;ct3334&gt;</v>
      </c>
      <c r="H1026" s="260">
        <f>VLOOKUP(O1026,BCDTK!$E$9:$L$132,8,0)</f>
        <v>2035545</v>
      </c>
      <c r="I1026" s="261" t="str">
        <f t="shared" si="96"/>
        <v>&lt;/ct3334&gt;</v>
      </c>
      <c r="J1026" s="262"/>
      <c r="K1026" s="262"/>
      <c r="L1026" s="262"/>
      <c r="M1026" s="263"/>
      <c r="O1026" s="265">
        <v>3334</v>
      </c>
    </row>
    <row r="1027" spans="1:15" x14ac:dyDescent="0.45">
      <c r="A1027" s="253" t="str">
        <f t="shared" si="94"/>
        <v>&lt;ct3335&gt;0&lt;/ct3335&gt;</v>
      </c>
      <c r="B1027" t="s">
        <v>1640</v>
      </c>
      <c r="C1027" s="244">
        <f t="shared" si="97"/>
        <v>2</v>
      </c>
      <c r="D1027" s="244">
        <f t="shared" si="98"/>
        <v>8</v>
      </c>
      <c r="E1027" s="244">
        <f t="shared" si="99"/>
        <v>10</v>
      </c>
      <c r="G1027" s="259" t="str">
        <f t="shared" si="95"/>
        <v>&lt;ct3335&gt;</v>
      </c>
      <c r="H1027" s="260">
        <f>VLOOKUP(O1027,BCDTK!$E$9:$L$132,8,0)</f>
        <v>0</v>
      </c>
      <c r="I1027" s="261" t="str">
        <f t="shared" si="96"/>
        <v>&lt;/ct3335&gt;</v>
      </c>
      <c r="J1027" s="262"/>
      <c r="K1027" s="262"/>
      <c r="L1027" s="262"/>
      <c r="M1027" s="263"/>
      <c r="O1027" s="265">
        <v>3335</v>
      </c>
    </row>
    <row r="1028" spans="1:15" x14ac:dyDescent="0.45">
      <c r="A1028" s="253" t="str">
        <f t="shared" ref="A1028:A1091" si="100">CONCATENATE(G1028,H1028,I1028)</f>
        <v>&lt;ct3336&gt;0&lt;/ct3336&gt;</v>
      </c>
      <c r="B1028" t="s">
        <v>1641</v>
      </c>
      <c r="C1028" s="244">
        <f t="shared" si="97"/>
        <v>2</v>
      </c>
      <c r="D1028" s="244">
        <f t="shared" si="98"/>
        <v>8</v>
      </c>
      <c r="E1028" s="244">
        <f t="shared" si="99"/>
        <v>10</v>
      </c>
      <c r="G1028" s="259" t="str">
        <f t="shared" si="95"/>
        <v>&lt;ct3336&gt;</v>
      </c>
      <c r="H1028" s="260">
        <f>VLOOKUP(O1028,BCDTK!$E$9:$L$132,8,0)</f>
        <v>0</v>
      </c>
      <c r="I1028" s="261" t="str">
        <f t="shared" si="96"/>
        <v>&lt;/ct3336&gt;</v>
      </c>
      <c r="J1028" s="262"/>
      <c r="K1028" s="262"/>
      <c r="L1028" s="262"/>
      <c r="M1028" s="263"/>
      <c r="O1028" s="265">
        <v>3336</v>
      </c>
    </row>
    <row r="1029" spans="1:15" x14ac:dyDescent="0.45">
      <c r="A1029" s="253" t="str">
        <f t="shared" si="100"/>
        <v>&lt;ct3337&gt;0&lt;/ct3337&gt;</v>
      </c>
      <c r="B1029" t="s">
        <v>1642</v>
      </c>
      <c r="C1029" s="244">
        <f t="shared" si="97"/>
        <v>2</v>
      </c>
      <c r="D1029" s="244">
        <f t="shared" si="98"/>
        <v>8</v>
      </c>
      <c r="E1029" s="244">
        <f t="shared" si="99"/>
        <v>10</v>
      </c>
      <c r="G1029" s="259" t="str">
        <f t="shared" si="95"/>
        <v>&lt;ct3337&gt;</v>
      </c>
      <c r="H1029" s="260">
        <f>VLOOKUP(O1029,BCDTK!$E$9:$L$132,8,0)</f>
        <v>0</v>
      </c>
      <c r="I1029" s="261" t="str">
        <f t="shared" si="96"/>
        <v>&lt;/ct3337&gt;</v>
      </c>
      <c r="J1029" s="262"/>
      <c r="K1029" s="262"/>
      <c r="L1029" s="262"/>
      <c r="M1029" s="263"/>
      <c r="O1029" s="265">
        <v>3337</v>
      </c>
    </row>
    <row r="1030" spans="1:15" x14ac:dyDescent="0.45">
      <c r="A1030" s="253" t="str">
        <f t="shared" si="100"/>
        <v>&lt;ct3338&gt;0&lt;/ct3338&gt;</v>
      </c>
      <c r="B1030" t="s">
        <v>1643</v>
      </c>
      <c r="C1030" s="244">
        <f t="shared" si="97"/>
        <v>2</v>
      </c>
      <c r="D1030" s="244">
        <f t="shared" si="98"/>
        <v>8</v>
      </c>
      <c r="E1030" s="244">
        <f t="shared" si="99"/>
        <v>10</v>
      </c>
      <c r="G1030" s="259" t="str">
        <f t="shared" si="95"/>
        <v>&lt;ct3338&gt;</v>
      </c>
      <c r="H1030" s="260">
        <f>VLOOKUP(O1030,BCDTK!$E$9:$L$132,8,0)</f>
        <v>0</v>
      </c>
      <c r="I1030" s="261" t="str">
        <f t="shared" si="96"/>
        <v>&lt;/ct3338&gt;</v>
      </c>
      <c r="J1030" s="262"/>
      <c r="K1030" s="262"/>
      <c r="L1030" s="262"/>
      <c r="M1030" s="263"/>
      <c r="O1030" s="265">
        <v>3338</v>
      </c>
    </row>
    <row r="1031" spans="1:15" x14ac:dyDescent="0.45">
      <c r="A1031" s="253" t="str">
        <f t="shared" si="100"/>
        <v>&lt;ct33381&gt;0&lt;/ct33381&gt;</v>
      </c>
      <c r="B1031" t="s">
        <v>1644</v>
      </c>
      <c r="C1031" s="244">
        <f t="shared" si="97"/>
        <v>2</v>
      </c>
      <c r="D1031" s="244">
        <f t="shared" si="98"/>
        <v>9</v>
      </c>
      <c r="E1031" s="244">
        <f t="shared" si="99"/>
        <v>11</v>
      </c>
      <c r="G1031" s="259" t="str">
        <f t="shared" si="95"/>
        <v>&lt;ct33381&gt;</v>
      </c>
      <c r="H1031" s="260">
        <f>VLOOKUP(O1031,BCDTK!$E$9:$L$132,8,0)</f>
        <v>0</v>
      </c>
      <c r="I1031" s="261" t="str">
        <f t="shared" si="96"/>
        <v>&lt;/ct33381&gt;</v>
      </c>
      <c r="J1031" s="262"/>
      <c r="K1031" s="262"/>
      <c r="L1031" s="262"/>
      <c r="M1031" s="263"/>
      <c r="O1031" s="265">
        <v>33381</v>
      </c>
    </row>
    <row r="1032" spans="1:15" x14ac:dyDescent="0.45">
      <c r="A1032" s="253" t="str">
        <f t="shared" si="100"/>
        <v>&lt;ct33382&gt;0&lt;/ct33382&gt;</v>
      </c>
      <c r="B1032" t="s">
        <v>1645</v>
      </c>
      <c r="C1032" s="244">
        <f t="shared" si="97"/>
        <v>2</v>
      </c>
      <c r="D1032" s="244">
        <f t="shared" si="98"/>
        <v>9</v>
      </c>
      <c r="E1032" s="244">
        <f t="shared" si="99"/>
        <v>11</v>
      </c>
      <c r="G1032" s="259" t="str">
        <f t="shared" si="95"/>
        <v>&lt;ct33382&gt;</v>
      </c>
      <c r="H1032" s="260">
        <f>VLOOKUP(O1032,BCDTK!$E$9:$L$132,8,0)</f>
        <v>0</v>
      </c>
      <c r="I1032" s="261" t="str">
        <f t="shared" si="96"/>
        <v>&lt;/ct33382&gt;</v>
      </c>
      <c r="J1032" s="262"/>
      <c r="K1032" s="262"/>
      <c r="L1032" s="262"/>
      <c r="M1032" s="263"/>
      <c r="O1032" s="265">
        <v>33382</v>
      </c>
    </row>
    <row r="1033" spans="1:15" x14ac:dyDescent="0.45">
      <c r="A1033" s="253" t="str">
        <f t="shared" si="100"/>
        <v>&lt;ct3339&gt;0&lt;/ct3339&gt;</v>
      </c>
      <c r="B1033" t="s">
        <v>1646</v>
      </c>
      <c r="C1033" s="244">
        <f t="shared" si="97"/>
        <v>2</v>
      </c>
      <c r="D1033" s="244">
        <f t="shared" si="98"/>
        <v>8</v>
      </c>
      <c r="E1033" s="244">
        <f t="shared" si="99"/>
        <v>10</v>
      </c>
      <c r="G1033" s="259" t="str">
        <f t="shared" ref="G1033:G1095" si="101">LEFT(B1033,D1033)</f>
        <v>&lt;ct3339&gt;</v>
      </c>
      <c r="H1033" s="260">
        <f>VLOOKUP(O1033,BCDTK!$E$9:$L$132,8,0)</f>
        <v>0</v>
      </c>
      <c r="I1033" s="261" t="str">
        <f t="shared" ref="I1033:I1095" si="102">IF(C1033=2,RIGHT(B1033,LEN(B1033)-E1033+1),"")</f>
        <v>&lt;/ct3339&gt;</v>
      </c>
      <c r="J1033" s="262"/>
      <c r="K1033" s="262"/>
      <c r="L1033" s="262"/>
      <c r="M1033" s="263"/>
      <c r="O1033" s="265">
        <v>3339</v>
      </c>
    </row>
    <row r="1034" spans="1:15" x14ac:dyDescent="0.45">
      <c r="A1034" s="253" t="str">
        <f t="shared" si="100"/>
        <v>&lt;ct334&gt;0&lt;/ct334&gt;</v>
      </c>
      <c r="B1034" t="s">
        <v>1647</v>
      </c>
      <c r="C1034" s="244">
        <f t="shared" si="97"/>
        <v>2</v>
      </c>
      <c r="D1034" s="244">
        <f t="shared" si="98"/>
        <v>7</v>
      </c>
      <c r="E1034" s="244">
        <f t="shared" si="99"/>
        <v>9</v>
      </c>
      <c r="G1034" s="259" t="str">
        <f t="shared" si="101"/>
        <v>&lt;ct334&gt;</v>
      </c>
      <c r="H1034" s="260">
        <f>VLOOKUP(O1034,BCDTK!$E$9:$L$132,8,0)</f>
        <v>0</v>
      </c>
      <c r="I1034" s="261" t="str">
        <f t="shared" si="102"/>
        <v>&lt;/ct334&gt;</v>
      </c>
      <c r="J1034" s="262"/>
      <c r="K1034" s="262"/>
      <c r="L1034" s="262"/>
      <c r="M1034" s="263"/>
      <c r="O1034" s="265">
        <v>334</v>
      </c>
    </row>
    <row r="1035" spans="1:15" x14ac:dyDescent="0.45">
      <c r="A1035" s="253" t="str">
        <f t="shared" si="100"/>
        <v>&lt;ct335&gt;0&lt;/ct335&gt;</v>
      </c>
      <c r="B1035" t="s">
        <v>1648</v>
      </c>
      <c r="C1035" s="244">
        <f t="shared" si="97"/>
        <v>2</v>
      </c>
      <c r="D1035" s="244">
        <f t="shared" si="98"/>
        <v>7</v>
      </c>
      <c r="E1035" s="244">
        <f t="shared" si="99"/>
        <v>9</v>
      </c>
      <c r="G1035" s="259" t="str">
        <f t="shared" si="101"/>
        <v>&lt;ct335&gt;</v>
      </c>
      <c r="H1035" s="260">
        <f>VLOOKUP(O1035,BCDTK!$E$9:$L$132,8,0)</f>
        <v>0</v>
      </c>
      <c r="I1035" s="261" t="str">
        <f t="shared" si="102"/>
        <v>&lt;/ct335&gt;</v>
      </c>
      <c r="J1035" s="262"/>
      <c r="K1035" s="262"/>
      <c r="L1035" s="262"/>
      <c r="M1035" s="263"/>
      <c r="O1035" s="265">
        <v>335</v>
      </c>
    </row>
    <row r="1036" spans="1:15" x14ac:dyDescent="0.45">
      <c r="A1036" s="253" t="str">
        <f t="shared" si="100"/>
        <v>&lt;ct336&gt;0&lt;/ct336&gt;</v>
      </c>
      <c r="B1036" t="s">
        <v>1649</v>
      </c>
      <c r="C1036" s="244">
        <f t="shared" si="97"/>
        <v>2</v>
      </c>
      <c r="D1036" s="244">
        <f t="shared" si="98"/>
        <v>7</v>
      </c>
      <c r="E1036" s="244">
        <f t="shared" si="99"/>
        <v>9</v>
      </c>
      <c r="G1036" s="259" t="str">
        <f t="shared" si="101"/>
        <v>&lt;ct336&gt;</v>
      </c>
      <c r="H1036" s="260">
        <f>VLOOKUP(O1036,BCDTK!$E$9:$L$132,8,0)</f>
        <v>0</v>
      </c>
      <c r="I1036" s="261" t="str">
        <f t="shared" si="102"/>
        <v>&lt;/ct336&gt;</v>
      </c>
      <c r="J1036" s="262"/>
      <c r="K1036" s="262"/>
      <c r="L1036" s="262"/>
      <c r="M1036" s="263"/>
      <c r="O1036" s="265">
        <v>336</v>
      </c>
    </row>
    <row r="1037" spans="1:15" x14ac:dyDescent="0.45">
      <c r="A1037" s="253" t="str">
        <f t="shared" si="100"/>
        <v>&lt;ct3361&gt;0&lt;/ct3361&gt;</v>
      </c>
      <c r="B1037" t="s">
        <v>1650</v>
      </c>
      <c r="C1037" s="244">
        <f t="shared" si="97"/>
        <v>2</v>
      </c>
      <c r="D1037" s="244">
        <f t="shared" si="98"/>
        <v>8</v>
      </c>
      <c r="E1037" s="244">
        <f t="shared" si="99"/>
        <v>10</v>
      </c>
      <c r="G1037" s="259" t="str">
        <f t="shared" si="101"/>
        <v>&lt;ct3361&gt;</v>
      </c>
      <c r="H1037" s="260">
        <f>VLOOKUP(O1037,BCDTK!$E$9:$L$132,8,0)</f>
        <v>0</v>
      </c>
      <c r="I1037" s="261" t="str">
        <f t="shared" si="102"/>
        <v>&lt;/ct3361&gt;</v>
      </c>
      <c r="J1037" s="262"/>
      <c r="K1037" s="262"/>
      <c r="L1037" s="262"/>
      <c r="M1037" s="263"/>
      <c r="O1037" s="265">
        <v>3361</v>
      </c>
    </row>
    <row r="1038" spans="1:15" x14ac:dyDescent="0.45">
      <c r="A1038" s="253" t="str">
        <f t="shared" si="100"/>
        <v>&lt;ct3368&gt;0&lt;/ct3368&gt;</v>
      </c>
      <c r="B1038" t="s">
        <v>1651</v>
      </c>
      <c r="C1038" s="244">
        <f t="shared" si="97"/>
        <v>2</v>
      </c>
      <c r="D1038" s="244">
        <f t="shared" si="98"/>
        <v>8</v>
      </c>
      <c r="E1038" s="244">
        <f t="shared" si="99"/>
        <v>10</v>
      </c>
      <c r="G1038" s="259" t="str">
        <f t="shared" si="101"/>
        <v>&lt;ct3368&gt;</v>
      </c>
      <c r="H1038" s="260">
        <f>VLOOKUP(O1038,BCDTK!$E$9:$L$132,8,0)</f>
        <v>0</v>
      </c>
      <c r="I1038" s="261" t="str">
        <f t="shared" si="102"/>
        <v>&lt;/ct3368&gt;</v>
      </c>
      <c r="J1038" s="262"/>
      <c r="K1038" s="262"/>
      <c r="L1038" s="262"/>
      <c r="M1038" s="263"/>
      <c r="O1038" s="265">
        <v>3368</v>
      </c>
    </row>
    <row r="1039" spans="1:15" x14ac:dyDescent="0.45">
      <c r="A1039" s="253" t="str">
        <f t="shared" si="100"/>
        <v>&lt;ct338&gt;0&lt;/ct338&gt;</v>
      </c>
      <c r="B1039" t="s">
        <v>1652</v>
      </c>
      <c r="C1039" s="244">
        <f t="shared" si="97"/>
        <v>2</v>
      </c>
      <c r="D1039" s="244">
        <f t="shared" si="98"/>
        <v>7</v>
      </c>
      <c r="E1039" s="244">
        <f t="shared" si="99"/>
        <v>9</v>
      </c>
      <c r="G1039" s="259" t="str">
        <f t="shared" si="101"/>
        <v>&lt;ct338&gt;</v>
      </c>
      <c r="H1039" s="260">
        <f>VLOOKUP(O1039,BCDTK!$E$9:$L$132,8,0)</f>
        <v>0</v>
      </c>
      <c r="I1039" s="261" t="str">
        <f t="shared" si="102"/>
        <v>&lt;/ct338&gt;</v>
      </c>
      <c r="J1039" s="262"/>
      <c r="K1039" s="262"/>
      <c r="L1039" s="262"/>
      <c r="M1039" s="263"/>
      <c r="O1039" s="265">
        <v>338</v>
      </c>
    </row>
    <row r="1040" spans="1:15" x14ac:dyDescent="0.45">
      <c r="A1040" s="253" t="str">
        <f t="shared" si="100"/>
        <v>&lt;ct3381&gt;0&lt;/ct3381&gt;</v>
      </c>
      <c r="B1040" t="s">
        <v>1653</v>
      </c>
      <c r="C1040" s="244">
        <f t="shared" si="97"/>
        <v>2</v>
      </c>
      <c r="D1040" s="244">
        <f t="shared" si="98"/>
        <v>8</v>
      </c>
      <c r="E1040" s="244">
        <f t="shared" si="99"/>
        <v>10</v>
      </c>
      <c r="G1040" s="259" t="str">
        <f t="shared" si="101"/>
        <v>&lt;ct3381&gt;</v>
      </c>
      <c r="H1040" s="260">
        <f>VLOOKUP(O1040,BCDTK!$E$9:$L$132,8,0)</f>
        <v>0</v>
      </c>
      <c r="I1040" s="261" t="str">
        <f t="shared" si="102"/>
        <v>&lt;/ct3381&gt;</v>
      </c>
      <c r="J1040" s="262"/>
      <c r="K1040" s="262"/>
      <c r="L1040" s="262"/>
      <c r="M1040" s="263"/>
      <c r="O1040" s="265">
        <v>3381</v>
      </c>
    </row>
    <row r="1041" spans="1:15" x14ac:dyDescent="0.45">
      <c r="A1041" s="253" t="str">
        <f t="shared" si="100"/>
        <v>&lt;ct3382&gt;0&lt;/ct3382&gt;</v>
      </c>
      <c r="B1041" t="s">
        <v>1654</v>
      </c>
      <c r="C1041" s="244">
        <f t="shared" si="97"/>
        <v>2</v>
      </c>
      <c r="D1041" s="244">
        <f t="shared" si="98"/>
        <v>8</v>
      </c>
      <c r="E1041" s="244">
        <f t="shared" si="99"/>
        <v>10</v>
      </c>
      <c r="G1041" s="259" t="str">
        <f t="shared" si="101"/>
        <v>&lt;ct3382&gt;</v>
      </c>
      <c r="H1041" s="260">
        <f>VLOOKUP(O1041,BCDTK!$E$9:$L$132,8,0)</f>
        <v>0</v>
      </c>
      <c r="I1041" s="261" t="str">
        <f t="shared" si="102"/>
        <v>&lt;/ct3382&gt;</v>
      </c>
      <c r="J1041" s="262"/>
      <c r="K1041" s="262"/>
      <c r="L1041" s="262"/>
      <c r="M1041" s="263"/>
      <c r="O1041" s="265">
        <v>3382</v>
      </c>
    </row>
    <row r="1042" spans="1:15" x14ac:dyDescent="0.45">
      <c r="A1042" s="253" t="str">
        <f t="shared" si="100"/>
        <v>&lt;ct3383&gt;0&lt;/ct3383&gt;</v>
      </c>
      <c r="B1042" t="s">
        <v>1655</v>
      </c>
      <c r="C1042" s="244">
        <f t="shared" si="97"/>
        <v>2</v>
      </c>
      <c r="D1042" s="244">
        <f t="shared" si="98"/>
        <v>8</v>
      </c>
      <c r="E1042" s="244">
        <f t="shared" si="99"/>
        <v>10</v>
      </c>
      <c r="G1042" s="259" t="str">
        <f t="shared" si="101"/>
        <v>&lt;ct3383&gt;</v>
      </c>
      <c r="H1042" s="260">
        <f>VLOOKUP(O1042,BCDTK!$E$9:$L$132,8,0)</f>
        <v>0</v>
      </c>
      <c r="I1042" s="261" t="str">
        <f t="shared" si="102"/>
        <v>&lt;/ct3383&gt;</v>
      </c>
      <c r="J1042" s="262"/>
      <c r="K1042" s="262"/>
      <c r="L1042" s="262"/>
      <c r="M1042" s="263"/>
      <c r="O1042" s="265">
        <v>3383</v>
      </c>
    </row>
    <row r="1043" spans="1:15" x14ac:dyDescent="0.45">
      <c r="A1043" s="253" t="str">
        <f t="shared" si="100"/>
        <v>&lt;ct3384&gt;0&lt;/ct3384&gt;</v>
      </c>
      <c r="B1043" t="s">
        <v>1656</v>
      </c>
      <c r="C1043" s="244">
        <f t="shared" si="97"/>
        <v>2</v>
      </c>
      <c r="D1043" s="244">
        <f t="shared" si="98"/>
        <v>8</v>
      </c>
      <c r="E1043" s="244">
        <f t="shared" si="99"/>
        <v>10</v>
      </c>
      <c r="G1043" s="259" t="str">
        <f t="shared" si="101"/>
        <v>&lt;ct3384&gt;</v>
      </c>
      <c r="H1043" s="260">
        <f>VLOOKUP(O1043,BCDTK!$E$9:$L$132,8,0)</f>
        <v>0</v>
      </c>
      <c r="I1043" s="261" t="str">
        <f t="shared" si="102"/>
        <v>&lt;/ct3384&gt;</v>
      </c>
      <c r="J1043" s="262"/>
      <c r="K1043" s="262"/>
      <c r="L1043" s="262"/>
      <c r="M1043" s="263"/>
      <c r="O1043" s="265">
        <v>3384</v>
      </c>
    </row>
    <row r="1044" spans="1:15" x14ac:dyDescent="0.45">
      <c r="A1044" s="253" t="str">
        <f t="shared" si="100"/>
        <v>&lt;ct3385&gt;0&lt;/ct3385&gt;</v>
      </c>
      <c r="B1044" t="s">
        <v>1657</v>
      </c>
      <c r="C1044" s="244">
        <f t="shared" si="97"/>
        <v>2</v>
      </c>
      <c r="D1044" s="244">
        <f t="shared" si="98"/>
        <v>8</v>
      </c>
      <c r="E1044" s="244">
        <f t="shared" si="99"/>
        <v>10</v>
      </c>
      <c r="G1044" s="259" t="str">
        <f t="shared" si="101"/>
        <v>&lt;ct3385&gt;</v>
      </c>
      <c r="H1044" s="260">
        <f>VLOOKUP(O1044,BCDTK!$E$9:$L$132,8,0)</f>
        <v>0</v>
      </c>
      <c r="I1044" s="261" t="str">
        <f t="shared" si="102"/>
        <v>&lt;/ct3385&gt;</v>
      </c>
      <c r="J1044" s="262"/>
      <c r="K1044" s="262"/>
      <c r="L1044" s="262"/>
      <c r="M1044" s="263"/>
      <c r="O1044" s="265">
        <v>3385</v>
      </c>
    </row>
    <row r="1045" spans="1:15" x14ac:dyDescent="0.45">
      <c r="A1045" s="253" t="str">
        <f t="shared" si="100"/>
        <v>&lt;ct3386&gt;0&lt;/ct3386&gt;</v>
      </c>
      <c r="B1045" t="s">
        <v>1658</v>
      </c>
      <c r="C1045" s="244">
        <f t="shared" si="97"/>
        <v>2</v>
      </c>
      <c r="D1045" s="244">
        <f t="shared" si="98"/>
        <v>8</v>
      </c>
      <c r="E1045" s="244">
        <f t="shared" si="99"/>
        <v>10</v>
      </c>
      <c r="G1045" s="259" t="str">
        <f t="shared" si="101"/>
        <v>&lt;ct3386&gt;</v>
      </c>
      <c r="H1045" s="260">
        <f>VLOOKUP(O1045,BCDTK!$E$9:$L$132,8,0)</f>
        <v>0</v>
      </c>
      <c r="I1045" s="261" t="str">
        <f t="shared" si="102"/>
        <v>&lt;/ct3386&gt;</v>
      </c>
      <c r="J1045" s="262"/>
      <c r="K1045" s="262"/>
      <c r="L1045" s="262"/>
      <c r="M1045" s="263"/>
      <c r="O1045" s="265">
        <v>3386</v>
      </c>
    </row>
    <row r="1046" spans="1:15" x14ac:dyDescent="0.45">
      <c r="A1046" s="253" t="str">
        <f t="shared" si="100"/>
        <v>&lt;ct3387&gt;0&lt;/ct3387&gt;</v>
      </c>
      <c r="B1046" t="s">
        <v>1659</v>
      </c>
      <c r="C1046" s="244">
        <f t="shared" si="97"/>
        <v>2</v>
      </c>
      <c r="D1046" s="244">
        <f t="shared" si="98"/>
        <v>8</v>
      </c>
      <c r="E1046" s="244">
        <f t="shared" si="99"/>
        <v>10</v>
      </c>
      <c r="G1046" s="259" t="str">
        <f t="shared" si="101"/>
        <v>&lt;ct3387&gt;</v>
      </c>
      <c r="H1046" s="260">
        <f>VLOOKUP(O1046,BCDTK!$E$9:$L$132,8,0)</f>
        <v>0</v>
      </c>
      <c r="I1046" s="261" t="str">
        <f t="shared" si="102"/>
        <v>&lt;/ct3387&gt;</v>
      </c>
      <c r="J1046" s="262"/>
      <c r="K1046" s="262"/>
      <c r="L1046" s="262"/>
      <c r="M1046" s="263"/>
      <c r="O1046" s="265">
        <v>3387</v>
      </c>
    </row>
    <row r="1047" spans="1:15" x14ac:dyDescent="0.45">
      <c r="A1047" s="253" t="str">
        <f t="shared" si="100"/>
        <v>&lt;ct3388&gt;0&lt;/ct3388&gt;</v>
      </c>
      <c r="B1047" t="s">
        <v>1660</v>
      </c>
      <c r="C1047" s="244">
        <f t="shared" si="97"/>
        <v>2</v>
      </c>
      <c r="D1047" s="244">
        <f t="shared" si="98"/>
        <v>8</v>
      </c>
      <c r="E1047" s="244">
        <f t="shared" si="99"/>
        <v>10</v>
      </c>
      <c r="G1047" s="259" t="str">
        <f t="shared" si="101"/>
        <v>&lt;ct3388&gt;</v>
      </c>
      <c r="H1047" s="260">
        <f>VLOOKUP(O1047,BCDTK!$E$9:$L$132,8,0)</f>
        <v>0</v>
      </c>
      <c r="I1047" s="261" t="str">
        <f t="shared" si="102"/>
        <v>&lt;/ct3388&gt;</v>
      </c>
      <c r="J1047" s="262"/>
      <c r="K1047" s="262"/>
      <c r="L1047" s="262"/>
      <c r="M1047" s="263"/>
      <c r="O1047" s="265">
        <v>3388</v>
      </c>
    </row>
    <row r="1048" spans="1:15" x14ac:dyDescent="0.45">
      <c r="A1048" s="253" t="str">
        <f t="shared" si="100"/>
        <v>&lt;ct341&gt;285973000&lt;/ct341&gt;</v>
      </c>
      <c r="B1048" t="s">
        <v>1661</v>
      </c>
      <c r="C1048" s="244">
        <f t="shared" si="97"/>
        <v>2</v>
      </c>
      <c r="D1048" s="244">
        <f t="shared" si="98"/>
        <v>7</v>
      </c>
      <c r="E1048" s="244">
        <f t="shared" si="99"/>
        <v>9</v>
      </c>
      <c r="G1048" s="259" t="str">
        <f t="shared" si="101"/>
        <v>&lt;ct341&gt;</v>
      </c>
      <c r="H1048" s="260">
        <f>VLOOKUP(O1048,BCDTK!$E$9:$L$132,8,0)</f>
        <v>285973000</v>
      </c>
      <c r="I1048" s="261" t="str">
        <f t="shared" si="102"/>
        <v>&lt;/ct341&gt;</v>
      </c>
      <c r="J1048" s="262"/>
      <c r="K1048" s="262"/>
      <c r="L1048" s="262"/>
      <c r="M1048" s="263"/>
      <c r="O1048" s="265">
        <v>341</v>
      </c>
    </row>
    <row r="1049" spans="1:15" x14ac:dyDescent="0.45">
      <c r="A1049" s="253" t="str">
        <f t="shared" si="100"/>
        <v>&lt;ct3411&gt;285973000&lt;/ct3411&gt;</v>
      </c>
      <c r="B1049" t="s">
        <v>1662</v>
      </c>
      <c r="C1049" s="244">
        <f t="shared" si="97"/>
        <v>2</v>
      </c>
      <c r="D1049" s="244">
        <f t="shared" si="98"/>
        <v>8</v>
      </c>
      <c r="E1049" s="244">
        <f t="shared" si="99"/>
        <v>10</v>
      </c>
      <c r="G1049" s="259" t="str">
        <f t="shared" si="101"/>
        <v>&lt;ct3411&gt;</v>
      </c>
      <c r="H1049" s="260">
        <f>VLOOKUP(O1049,BCDTK!$E$9:$L$132,8,0)</f>
        <v>285973000</v>
      </c>
      <c r="I1049" s="261" t="str">
        <f t="shared" si="102"/>
        <v>&lt;/ct3411&gt;</v>
      </c>
      <c r="J1049" s="262"/>
      <c r="K1049" s="262"/>
      <c r="L1049" s="262"/>
      <c r="M1049" s="263"/>
      <c r="O1049" s="265">
        <v>3411</v>
      </c>
    </row>
    <row r="1050" spans="1:15" x14ac:dyDescent="0.45">
      <c r="A1050" s="253" t="str">
        <f t="shared" si="100"/>
        <v>&lt;ct3412&gt;0&lt;/ct3412&gt;</v>
      </c>
      <c r="B1050" t="s">
        <v>1663</v>
      </c>
      <c r="C1050" s="244">
        <f t="shared" si="97"/>
        <v>2</v>
      </c>
      <c r="D1050" s="244">
        <f t="shared" si="98"/>
        <v>8</v>
      </c>
      <c r="E1050" s="244">
        <f t="shared" si="99"/>
        <v>10</v>
      </c>
      <c r="G1050" s="259" t="str">
        <f t="shared" si="101"/>
        <v>&lt;ct3412&gt;</v>
      </c>
      <c r="H1050" s="260">
        <f>VLOOKUP(O1050,BCDTK!$E$9:$L$132,8,0)</f>
        <v>0</v>
      </c>
      <c r="I1050" s="261" t="str">
        <f t="shared" si="102"/>
        <v>&lt;/ct3412&gt;</v>
      </c>
      <c r="J1050" s="262"/>
      <c r="K1050" s="262"/>
      <c r="L1050" s="262"/>
      <c r="M1050" s="263"/>
      <c r="O1050" s="265">
        <v>3412</v>
      </c>
    </row>
    <row r="1051" spans="1:15" x14ac:dyDescent="0.45">
      <c r="A1051" s="253" t="str">
        <f t="shared" si="100"/>
        <v>&lt;ct352&gt;0&lt;/ct352&gt;</v>
      </c>
      <c r="B1051" t="s">
        <v>1664</v>
      </c>
      <c r="C1051" s="244">
        <f t="shared" si="97"/>
        <v>2</v>
      </c>
      <c r="D1051" s="244">
        <f t="shared" si="98"/>
        <v>7</v>
      </c>
      <c r="E1051" s="244">
        <f t="shared" si="99"/>
        <v>9</v>
      </c>
      <c r="G1051" s="259" t="str">
        <f t="shared" si="101"/>
        <v>&lt;ct352&gt;</v>
      </c>
      <c r="H1051" s="260">
        <f>VLOOKUP(O1051,BCDTK!$E$9:$L$132,8,0)</f>
        <v>0</v>
      </c>
      <c r="I1051" s="261" t="str">
        <f t="shared" si="102"/>
        <v>&lt;/ct352&gt;</v>
      </c>
      <c r="J1051" s="262"/>
      <c r="K1051" s="262"/>
      <c r="L1051" s="262"/>
      <c r="M1051" s="263"/>
      <c r="O1051" s="265">
        <v>352</v>
      </c>
    </row>
    <row r="1052" spans="1:15" x14ac:dyDescent="0.45">
      <c r="A1052" s="253" t="str">
        <f t="shared" si="100"/>
        <v>&lt;ct3521&gt;0&lt;/ct3521&gt;</v>
      </c>
      <c r="B1052" t="s">
        <v>1665</v>
      </c>
      <c r="C1052" s="244">
        <f t="shared" si="97"/>
        <v>2</v>
      </c>
      <c r="D1052" s="244">
        <f t="shared" si="98"/>
        <v>8</v>
      </c>
      <c r="E1052" s="244">
        <f t="shared" si="99"/>
        <v>10</v>
      </c>
      <c r="G1052" s="259" t="str">
        <f t="shared" si="101"/>
        <v>&lt;ct3521&gt;</v>
      </c>
      <c r="H1052" s="260">
        <f>VLOOKUP(O1052,BCDTK!$E$9:$L$132,8,0)</f>
        <v>0</v>
      </c>
      <c r="I1052" s="261" t="str">
        <f t="shared" si="102"/>
        <v>&lt;/ct3521&gt;</v>
      </c>
      <c r="J1052" s="262"/>
      <c r="K1052" s="262"/>
      <c r="L1052" s="262"/>
      <c r="M1052" s="263"/>
      <c r="O1052" s="265">
        <v>3521</v>
      </c>
    </row>
    <row r="1053" spans="1:15" x14ac:dyDescent="0.45">
      <c r="A1053" s="253" t="str">
        <f t="shared" si="100"/>
        <v>&lt;ct3522&gt;0&lt;/ct3522&gt;</v>
      </c>
      <c r="B1053" t="s">
        <v>1666</v>
      </c>
      <c r="C1053" s="244">
        <f t="shared" si="97"/>
        <v>2</v>
      </c>
      <c r="D1053" s="244">
        <f t="shared" si="98"/>
        <v>8</v>
      </c>
      <c r="E1053" s="244">
        <f t="shared" si="99"/>
        <v>10</v>
      </c>
      <c r="G1053" s="259" t="str">
        <f t="shared" si="101"/>
        <v>&lt;ct3522&gt;</v>
      </c>
      <c r="H1053" s="260">
        <f>VLOOKUP(O1053,BCDTK!$E$9:$L$132,8,0)</f>
        <v>0</v>
      </c>
      <c r="I1053" s="261" t="str">
        <f t="shared" si="102"/>
        <v>&lt;/ct3522&gt;</v>
      </c>
      <c r="J1053" s="262"/>
      <c r="K1053" s="262"/>
      <c r="L1053" s="262"/>
      <c r="M1053" s="263"/>
      <c r="O1053" s="265">
        <v>3522</v>
      </c>
    </row>
    <row r="1054" spans="1:15" x14ac:dyDescent="0.45">
      <c r="A1054" s="253" t="str">
        <f t="shared" si="100"/>
        <v>&lt;ct3524&gt;0&lt;/ct3524&gt;</v>
      </c>
      <c r="B1054" t="s">
        <v>1667</v>
      </c>
      <c r="C1054" s="244">
        <f t="shared" si="97"/>
        <v>2</v>
      </c>
      <c r="D1054" s="244">
        <f t="shared" si="98"/>
        <v>8</v>
      </c>
      <c r="E1054" s="244">
        <f t="shared" si="99"/>
        <v>10</v>
      </c>
      <c r="G1054" s="259" t="str">
        <f t="shared" si="101"/>
        <v>&lt;ct3524&gt;</v>
      </c>
      <c r="H1054" s="260">
        <f>VLOOKUP(O1054,BCDTK!$E$9:$L$132,8,0)</f>
        <v>0</v>
      </c>
      <c r="I1054" s="261" t="str">
        <f t="shared" si="102"/>
        <v>&lt;/ct3524&gt;</v>
      </c>
      <c r="J1054" s="262"/>
      <c r="K1054" s="262"/>
      <c r="L1054" s="262"/>
      <c r="M1054" s="263"/>
      <c r="O1054" s="265">
        <v>3524</v>
      </c>
    </row>
    <row r="1055" spans="1:15" x14ac:dyDescent="0.45">
      <c r="A1055" s="253" t="str">
        <f t="shared" si="100"/>
        <v>&lt;ct353&gt;0&lt;/ct353&gt;</v>
      </c>
      <c r="B1055" t="s">
        <v>1668</v>
      </c>
      <c r="C1055" s="244">
        <f t="shared" si="97"/>
        <v>2</v>
      </c>
      <c r="D1055" s="244">
        <f t="shared" si="98"/>
        <v>7</v>
      </c>
      <c r="E1055" s="244">
        <f t="shared" si="99"/>
        <v>9</v>
      </c>
      <c r="G1055" s="259" t="str">
        <f t="shared" si="101"/>
        <v>&lt;ct353&gt;</v>
      </c>
      <c r="H1055" s="260">
        <f>VLOOKUP(O1055,BCDTK!$E$9:$L$132,8,0)</f>
        <v>0</v>
      </c>
      <c r="I1055" s="261" t="str">
        <f t="shared" si="102"/>
        <v>&lt;/ct353&gt;</v>
      </c>
      <c r="J1055" s="262"/>
      <c r="K1055" s="262"/>
      <c r="L1055" s="262"/>
      <c r="M1055" s="263"/>
      <c r="O1055" s="265">
        <v>353</v>
      </c>
    </row>
    <row r="1056" spans="1:15" x14ac:dyDescent="0.45">
      <c r="A1056" s="253" t="str">
        <f t="shared" si="100"/>
        <v>&lt;ct3531&gt;0&lt;/ct3531&gt;</v>
      </c>
      <c r="B1056" t="s">
        <v>1669</v>
      </c>
      <c r="C1056" s="244">
        <f t="shared" si="97"/>
        <v>2</v>
      </c>
      <c r="D1056" s="244">
        <f t="shared" si="98"/>
        <v>8</v>
      </c>
      <c r="E1056" s="244">
        <f t="shared" si="99"/>
        <v>10</v>
      </c>
      <c r="G1056" s="259" t="str">
        <f t="shared" si="101"/>
        <v>&lt;ct3531&gt;</v>
      </c>
      <c r="H1056" s="260">
        <f>VLOOKUP(O1056,BCDTK!$E$9:$L$132,8,0)</f>
        <v>0</v>
      </c>
      <c r="I1056" s="261" t="str">
        <f t="shared" si="102"/>
        <v>&lt;/ct3531&gt;</v>
      </c>
      <c r="J1056" s="262"/>
      <c r="K1056" s="262"/>
      <c r="L1056" s="262"/>
      <c r="M1056" s="263"/>
      <c r="O1056" s="265">
        <v>3531</v>
      </c>
    </row>
    <row r="1057" spans="1:15" x14ac:dyDescent="0.45">
      <c r="A1057" s="253" t="str">
        <f t="shared" si="100"/>
        <v>&lt;ct3532&gt;0&lt;/ct3532&gt;</v>
      </c>
      <c r="B1057" t="s">
        <v>1670</v>
      </c>
      <c r="C1057" s="244">
        <f t="shared" si="97"/>
        <v>2</v>
      </c>
      <c r="D1057" s="244">
        <f t="shared" si="98"/>
        <v>8</v>
      </c>
      <c r="E1057" s="244">
        <f t="shared" si="99"/>
        <v>10</v>
      </c>
      <c r="G1057" s="259" t="str">
        <f t="shared" si="101"/>
        <v>&lt;ct3532&gt;</v>
      </c>
      <c r="H1057" s="260">
        <f>VLOOKUP(O1057,BCDTK!$E$9:$L$132,8,0)</f>
        <v>0</v>
      </c>
      <c r="I1057" s="261" t="str">
        <f t="shared" si="102"/>
        <v>&lt;/ct3532&gt;</v>
      </c>
      <c r="J1057" s="262"/>
      <c r="K1057" s="262"/>
      <c r="L1057" s="262"/>
      <c r="M1057" s="263"/>
      <c r="O1057" s="265">
        <v>3532</v>
      </c>
    </row>
    <row r="1058" spans="1:15" x14ac:dyDescent="0.45">
      <c r="A1058" s="253" t="str">
        <f t="shared" si="100"/>
        <v>&lt;ct3533&gt;0&lt;/ct3533&gt;</v>
      </c>
      <c r="B1058" t="s">
        <v>1671</v>
      </c>
      <c r="C1058" s="244">
        <f t="shared" si="97"/>
        <v>2</v>
      </c>
      <c r="D1058" s="244">
        <f t="shared" si="98"/>
        <v>8</v>
      </c>
      <c r="E1058" s="244">
        <f t="shared" si="99"/>
        <v>10</v>
      </c>
      <c r="G1058" s="259" t="str">
        <f t="shared" si="101"/>
        <v>&lt;ct3533&gt;</v>
      </c>
      <c r="H1058" s="260">
        <f>VLOOKUP(O1058,BCDTK!$E$9:$L$132,8,0)</f>
        <v>0</v>
      </c>
      <c r="I1058" s="261" t="str">
        <f t="shared" si="102"/>
        <v>&lt;/ct3533&gt;</v>
      </c>
      <c r="J1058" s="262"/>
      <c r="K1058" s="262"/>
      <c r="L1058" s="262"/>
      <c r="M1058" s="263"/>
      <c r="O1058" s="265">
        <v>3533</v>
      </c>
    </row>
    <row r="1059" spans="1:15" x14ac:dyDescent="0.45">
      <c r="A1059" s="253" t="str">
        <f t="shared" si="100"/>
        <v>&lt;ct3534&gt;0&lt;/ct3534&gt;</v>
      </c>
      <c r="B1059" t="s">
        <v>1672</v>
      </c>
      <c r="C1059" s="244">
        <f t="shared" si="97"/>
        <v>2</v>
      </c>
      <c r="D1059" s="244">
        <f t="shared" si="98"/>
        <v>8</v>
      </c>
      <c r="E1059" s="244">
        <f t="shared" si="99"/>
        <v>10</v>
      </c>
      <c r="G1059" s="259" t="str">
        <f t="shared" si="101"/>
        <v>&lt;ct3534&gt;</v>
      </c>
      <c r="H1059" s="260">
        <f>VLOOKUP(O1059,BCDTK!$E$9:$L$132,8,0)</f>
        <v>0</v>
      </c>
      <c r="I1059" s="261" t="str">
        <f t="shared" si="102"/>
        <v>&lt;/ct3534&gt;</v>
      </c>
      <c r="J1059" s="262"/>
      <c r="K1059" s="262"/>
      <c r="L1059" s="262"/>
      <c r="M1059" s="263"/>
      <c r="O1059" s="265">
        <v>3534</v>
      </c>
    </row>
    <row r="1060" spans="1:15" x14ac:dyDescent="0.45">
      <c r="A1060" s="253" t="str">
        <f t="shared" si="100"/>
        <v>&lt;ct356&gt;0&lt;/ct356&gt;</v>
      </c>
      <c r="B1060" t="s">
        <v>1673</v>
      </c>
      <c r="C1060" s="244">
        <f t="shared" si="97"/>
        <v>2</v>
      </c>
      <c r="D1060" s="244">
        <f t="shared" si="98"/>
        <v>7</v>
      </c>
      <c r="E1060" s="244">
        <f t="shared" si="99"/>
        <v>9</v>
      </c>
      <c r="G1060" s="259" t="str">
        <f t="shared" si="101"/>
        <v>&lt;ct356&gt;</v>
      </c>
      <c r="H1060" s="260">
        <f>VLOOKUP(O1060,BCDTK!$E$9:$L$132,8,0)</f>
        <v>0</v>
      </c>
      <c r="I1060" s="261" t="str">
        <f t="shared" si="102"/>
        <v>&lt;/ct356&gt;</v>
      </c>
      <c r="J1060" s="262"/>
      <c r="K1060" s="262"/>
      <c r="L1060" s="262"/>
      <c r="M1060" s="263"/>
      <c r="O1060" s="265">
        <v>356</v>
      </c>
    </row>
    <row r="1061" spans="1:15" x14ac:dyDescent="0.45">
      <c r="A1061" s="253" t="str">
        <f t="shared" si="100"/>
        <v>&lt;ct3561&gt;0&lt;/ct3561&gt;</v>
      </c>
      <c r="B1061" t="s">
        <v>1674</v>
      </c>
      <c r="C1061" s="244">
        <f t="shared" si="97"/>
        <v>2</v>
      </c>
      <c r="D1061" s="244">
        <f t="shared" si="98"/>
        <v>8</v>
      </c>
      <c r="E1061" s="244">
        <f t="shared" si="99"/>
        <v>10</v>
      </c>
      <c r="G1061" s="259" t="str">
        <f t="shared" si="101"/>
        <v>&lt;ct3561&gt;</v>
      </c>
      <c r="H1061" s="260">
        <f>VLOOKUP(O1061,BCDTK!$E$9:$L$132,8,0)</f>
        <v>0</v>
      </c>
      <c r="I1061" s="261" t="str">
        <f t="shared" si="102"/>
        <v>&lt;/ct3561&gt;</v>
      </c>
      <c r="J1061" s="262"/>
      <c r="K1061" s="262"/>
      <c r="L1061" s="262"/>
      <c r="M1061" s="263"/>
      <c r="O1061" s="265">
        <v>3561</v>
      </c>
    </row>
    <row r="1062" spans="1:15" x14ac:dyDescent="0.45">
      <c r="A1062" s="253" t="str">
        <f t="shared" si="100"/>
        <v>&lt;ct3562&gt;0&lt;/ct3562&gt;</v>
      </c>
      <c r="B1062" t="s">
        <v>1675</v>
      </c>
      <c r="C1062" s="244">
        <f t="shared" si="97"/>
        <v>2</v>
      </c>
      <c r="D1062" s="244">
        <f t="shared" si="98"/>
        <v>8</v>
      </c>
      <c r="E1062" s="244">
        <f t="shared" si="99"/>
        <v>10</v>
      </c>
      <c r="G1062" s="259" t="str">
        <f t="shared" si="101"/>
        <v>&lt;ct3562&gt;</v>
      </c>
      <c r="H1062" s="260">
        <f>VLOOKUP(O1062,BCDTK!$E$9:$L$132,8,0)</f>
        <v>0</v>
      </c>
      <c r="I1062" s="261" t="str">
        <f t="shared" si="102"/>
        <v>&lt;/ct3562&gt;</v>
      </c>
      <c r="J1062" s="262"/>
      <c r="K1062" s="262"/>
      <c r="L1062" s="262"/>
      <c r="M1062" s="263"/>
      <c r="O1062" s="265">
        <v>3562</v>
      </c>
    </row>
    <row r="1063" spans="1:15" x14ac:dyDescent="0.45">
      <c r="A1063" s="253" t="str">
        <f t="shared" si="100"/>
        <v>&lt;ct411&gt;500000000&lt;/ct411&gt;</v>
      </c>
      <c r="B1063" t="s">
        <v>1525</v>
      </c>
      <c r="C1063" s="244">
        <f t="shared" si="97"/>
        <v>2</v>
      </c>
      <c r="D1063" s="244">
        <f t="shared" si="98"/>
        <v>7</v>
      </c>
      <c r="E1063" s="244">
        <f t="shared" si="99"/>
        <v>9</v>
      </c>
      <c r="G1063" s="259" t="str">
        <f t="shared" si="101"/>
        <v>&lt;ct411&gt;</v>
      </c>
      <c r="H1063" s="260">
        <f>VLOOKUP(O1063,BCDTK!$E$9:$L$132,8,0)</f>
        <v>500000000</v>
      </c>
      <c r="I1063" s="261" t="str">
        <f t="shared" si="102"/>
        <v>&lt;/ct411&gt;</v>
      </c>
      <c r="J1063" s="262"/>
      <c r="K1063" s="262"/>
      <c r="L1063" s="262"/>
      <c r="M1063" s="263"/>
      <c r="O1063" s="265">
        <v>411</v>
      </c>
    </row>
    <row r="1064" spans="1:15" x14ac:dyDescent="0.45">
      <c r="A1064" s="253" t="str">
        <f t="shared" si="100"/>
        <v>&lt;ct4111&gt;500000000&lt;/ct4111&gt;</v>
      </c>
      <c r="B1064" t="s">
        <v>1676</v>
      </c>
      <c r="C1064" s="244">
        <f t="shared" si="97"/>
        <v>2</v>
      </c>
      <c r="D1064" s="244">
        <f t="shared" si="98"/>
        <v>8</v>
      </c>
      <c r="E1064" s="244">
        <f t="shared" si="99"/>
        <v>10</v>
      </c>
      <c r="G1064" s="259" t="str">
        <f t="shared" si="101"/>
        <v>&lt;ct4111&gt;</v>
      </c>
      <c r="H1064" s="260">
        <f>VLOOKUP(O1064,BCDTK!$E$9:$L$132,8,0)</f>
        <v>500000000</v>
      </c>
      <c r="I1064" s="261" t="str">
        <f t="shared" si="102"/>
        <v>&lt;/ct4111&gt;</v>
      </c>
      <c r="J1064" s="262"/>
      <c r="K1064" s="262"/>
      <c r="L1064" s="262"/>
      <c r="M1064" s="263"/>
      <c r="O1064" s="265">
        <v>4111</v>
      </c>
    </row>
    <row r="1065" spans="1:15" x14ac:dyDescent="0.45">
      <c r="A1065" s="253" t="str">
        <f t="shared" si="100"/>
        <v>&lt;ct4112&gt;0&lt;/ct4112&gt;</v>
      </c>
      <c r="B1065" t="s">
        <v>1677</v>
      </c>
      <c r="C1065" s="244">
        <f t="shared" si="97"/>
        <v>2</v>
      </c>
      <c r="D1065" s="244">
        <f t="shared" si="98"/>
        <v>8</v>
      </c>
      <c r="E1065" s="244">
        <f t="shared" si="99"/>
        <v>10</v>
      </c>
      <c r="G1065" s="259" t="str">
        <f t="shared" si="101"/>
        <v>&lt;ct4112&gt;</v>
      </c>
      <c r="H1065" s="260">
        <f>VLOOKUP(O1065,BCDTK!$E$9:$L$132,8,0)</f>
        <v>0</v>
      </c>
      <c r="I1065" s="261" t="str">
        <f t="shared" si="102"/>
        <v>&lt;/ct4112&gt;</v>
      </c>
      <c r="J1065" s="262"/>
      <c r="K1065" s="262"/>
      <c r="L1065" s="262"/>
      <c r="M1065" s="263"/>
      <c r="O1065" s="265">
        <v>4112</v>
      </c>
    </row>
    <row r="1066" spans="1:15" x14ac:dyDescent="0.45">
      <c r="A1066" s="253" t="str">
        <f t="shared" si="100"/>
        <v>&lt;ct4118&gt;0&lt;/ct4118&gt;</v>
      </c>
      <c r="B1066" t="s">
        <v>1678</v>
      </c>
      <c r="C1066" s="244">
        <f t="shared" si="97"/>
        <v>2</v>
      </c>
      <c r="D1066" s="244">
        <f t="shared" si="98"/>
        <v>8</v>
      </c>
      <c r="E1066" s="244">
        <f t="shared" si="99"/>
        <v>10</v>
      </c>
      <c r="G1066" s="259" t="str">
        <f t="shared" si="101"/>
        <v>&lt;ct4118&gt;</v>
      </c>
      <c r="H1066" s="260">
        <f>VLOOKUP(O1066,BCDTK!$E$9:$L$132,8,0)</f>
        <v>0</v>
      </c>
      <c r="I1066" s="261" t="str">
        <f t="shared" si="102"/>
        <v>&lt;/ct4118&gt;</v>
      </c>
      <c r="J1066" s="262"/>
      <c r="K1066" s="262"/>
      <c r="L1066" s="262"/>
      <c r="M1066" s="263"/>
      <c r="O1066" s="265">
        <v>4118</v>
      </c>
    </row>
    <row r="1067" spans="1:15" x14ac:dyDescent="0.45">
      <c r="A1067" s="253" t="str">
        <f t="shared" si="100"/>
        <v>&lt;ct413&gt;0&lt;/ct413&gt;</v>
      </c>
      <c r="B1067" t="s">
        <v>1500</v>
      </c>
      <c r="C1067" s="244">
        <f t="shared" si="97"/>
        <v>2</v>
      </c>
      <c r="D1067" s="244">
        <f t="shared" si="98"/>
        <v>7</v>
      </c>
      <c r="E1067" s="244">
        <f t="shared" si="99"/>
        <v>9</v>
      </c>
      <c r="G1067" s="259" t="str">
        <f t="shared" si="101"/>
        <v>&lt;ct413&gt;</v>
      </c>
      <c r="H1067" s="260">
        <f>VLOOKUP(O1067,BCDTK!$E$9:$L$132,8,0)</f>
        <v>0</v>
      </c>
      <c r="I1067" s="261" t="str">
        <f t="shared" si="102"/>
        <v>&lt;/ct413&gt;</v>
      </c>
      <c r="J1067" s="262"/>
      <c r="K1067" s="262"/>
      <c r="L1067" s="262"/>
      <c r="M1067" s="263"/>
      <c r="O1067" s="265">
        <v>413</v>
      </c>
    </row>
    <row r="1068" spans="1:15" x14ac:dyDescent="0.45">
      <c r="A1068" s="253" t="str">
        <f t="shared" si="100"/>
        <v>&lt;ct418&gt;0&lt;/ct418&gt;</v>
      </c>
      <c r="B1068" t="s">
        <v>1679</v>
      </c>
      <c r="C1068" s="244">
        <f t="shared" si="97"/>
        <v>2</v>
      </c>
      <c r="D1068" s="244">
        <f t="shared" si="98"/>
        <v>7</v>
      </c>
      <c r="E1068" s="244">
        <f t="shared" si="99"/>
        <v>9</v>
      </c>
      <c r="G1068" s="259" t="str">
        <f t="shared" si="101"/>
        <v>&lt;ct418&gt;</v>
      </c>
      <c r="H1068" s="260">
        <f>VLOOKUP(O1068,BCDTK!$E$9:$L$132,8,0)</f>
        <v>0</v>
      </c>
      <c r="I1068" s="261" t="str">
        <f t="shared" si="102"/>
        <v>&lt;/ct418&gt;</v>
      </c>
      <c r="J1068" s="262"/>
      <c r="K1068" s="262"/>
      <c r="L1068" s="262"/>
      <c r="M1068" s="263"/>
      <c r="O1068" s="265">
        <v>418</v>
      </c>
    </row>
    <row r="1069" spans="1:15" x14ac:dyDescent="0.45">
      <c r="A1069" s="253" t="str">
        <f t="shared" si="100"/>
        <v>&lt;ct419&gt;0&lt;/ct419&gt;</v>
      </c>
      <c r="B1069" t="s">
        <v>1680</v>
      </c>
      <c r="C1069" s="244">
        <f t="shared" si="97"/>
        <v>2</v>
      </c>
      <c r="D1069" s="244">
        <f t="shared" si="98"/>
        <v>7</v>
      </c>
      <c r="E1069" s="244">
        <f t="shared" si="99"/>
        <v>9</v>
      </c>
      <c r="G1069" s="259" t="str">
        <f t="shared" si="101"/>
        <v>&lt;ct419&gt;</v>
      </c>
      <c r="H1069" s="260">
        <f>VLOOKUP(O1069,BCDTK!$E$9:$L$132,8,0)</f>
        <v>0</v>
      </c>
      <c r="I1069" s="261" t="str">
        <f t="shared" si="102"/>
        <v>&lt;/ct419&gt;</v>
      </c>
      <c r="J1069" s="262"/>
      <c r="K1069" s="262"/>
      <c r="L1069" s="262"/>
      <c r="M1069" s="263"/>
      <c r="O1069" s="265">
        <v>419</v>
      </c>
    </row>
    <row r="1070" spans="1:15" x14ac:dyDescent="0.45">
      <c r="A1070" s="253" t="str">
        <f t="shared" si="100"/>
        <v>&lt;ct421&gt;8142179&lt;/ct421&gt;</v>
      </c>
      <c r="B1070" t="s">
        <v>1681</v>
      </c>
      <c r="C1070" s="244">
        <f t="shared" si="97"/>
        <v>2</v>
      </c>
      <c r="D1070" s="244">
        <f t="shared" si="98"/>
        <v>7</v>
      </c>
      <c r="E1070" s="244">
        <f t="shared" si="99"/>
        <v>9</v>
      </c>
      <c r="G1070" s="259" t="str">
        <f t="shared" si="101"/>
        <v>&lt;ct421&gt;</v>
      </c>
      <c r="H1070" s="260">
        <f>VLOOKUP(O1070,BCDTK!$E$9:$L$132,8,0)</f>
        <v>8142179</v>
      </c>
      <c r="I1070" s="261" t="str">
        <f t="shared" si="102"/>
        <v>&lt;/ct421&gt;</v>
      </c>
      <c r="J1070" s="262"/>
      <c r="K1070" s="262"/>
      <c r="L1070" s="262"/>
      <c r="M1070" s="263"/>
      <c r="O1070" s="265">
        <v>421</v>
      </c>
    </row>
    <row r="1071" spans="1:15" x14ac:dyDescent="0.45">
      <c r="A1071" s="253" t="str">
        <f t="shared" si="100"/>
        <v>&lt;ct4211&gt;0&lt;/ct4211&gt;</v>
      </c>
      <c r="B1071" t="s">
        <v>1682</v>
      </c>
      <c r="C1071" s="244">
        <f t="shared" si="97"/>
        <v>2</v>
      </c>
      <c r="D1071" s="244">
        <f t="shared" si="98"/>
        <v>8</v>
      </c>
      <c r="E1071" s="244">
        <f t="shared" si="99"/>
        <v>10</v>
      </c>
      <c r="G1071" s="259" t="str">
        <f t="shared" si="101"/>
        <v>&lt;ct4211&gt;</v>
      </c>
      <c r="H1071" s="260">
        <f>VLOOKUP(O1071,BCDTK!$E$9:$L$132,8,0)</f>
        <v>0</v>
      </c>
      <c r="I1071" s="261" t="str">
        <f t="shared" si="102"/>
        <v>&lt;/ct4211&gt;</v>
      </c>
      <c r="J1071" s="262"/>
      <c r="K1071" s="262"/>
      <c r="L1071" s="262"/>
      <c r="M1071" s="263"/>
      <c r="O1071" s="265">
        <v>4211</v>
      </c>
    </row>
    <row r="1072" spans="1:15" x14ac:dyDescent="0.45">
      <c r="A1072" s="253" t="str">
        <f t="shared" si="100"/>
        <v>&lt;ct4212&gt;8142179&lt;/ct4212&gt;</v>
      </c>
      <c r="B1072" t="s">
        <v>1683</v>
      </c>
      <c r="C1072" s="244">
        <f t="shared" si="97"/>
        <v>2</v>
      </c>
      <c r="D1072" s="244">
        <f t="shared" si="98"/>
        <v>8</v>
      </c>
      <c r="E1072" s="244">
        <f t="shared" si="99"/>
        <v>10</v>
      </c>
      <c r="G1072" s="259" t="str">
        <f t="shared" si="101"/>
        <v>&lt;ct4212&gt;</v>
      </c>
      <c r="H1072" s="260">
        <f>VLOOKUP(O1072,BCDTK!$E$9:$L$132,8,0)</f>
        <v>8142179</v>
      </c>
      <c r="I1072" s="261" t="str">
        <f t="shared" si="102"/>
        <v>&lt;/ct4212&gt;</v>
      </c>
      <c r="J1072" s="262"/>
      <c r="K1072" s="262"/>
      <c r="L1072" s="262"/>
      <c r="M1072" s="263"/>
      <c r="O1072" s="265">
        <v>4212</v>
      </c>
    </row>
    <row r="1073" spans="1:15" x14ac:dyDescent="0.45">
      <c r="A1073" s="253" t="str">
        <f t="shared" si="100"/>
        <v>&lt;ct511&gt;0&lt;/ct511&gt;</v>
      </c>
      <c r="B1073" t="s">
        <v>1684</v>
      </c>
      <c r="C1073" s="244">
        <f t="shared" si="97"/>
        <v>2</v>
      </c>
      <c r="D1073" s="244">
        <f t="shared" si="98"/>
        <v>7</v>
      </c>
      <c r="E1073" s="244">
        <f t="shared" si="99"/>
        <v>9</v>
      </c>
      <c r="G1073" s="259" t="str">
        <f t="shared" si="101"/>
        <v>&lt;ct511&gt;</v>
      </c>
      <c r="H1073" s="260">
        <f>VLOOKUP(O1073,BCDTK!$E$9:$L$132,8,0)</f>
        <v>0</v>
      </c>
      <c r="I1073" s="261" t="str">
        <f t="shared" si="102"/>
        <v>&lt;/ct511&gt;</v>
      </c>
      <c r="J1073" s="262"/>
      <c r="K1073" s="262"/>
      <c r="L1073" s="262"/>
      <c r="M1073" s="263"/>
      <c r="O1073" s="265">
        <v>511</v>
      </c>
    </row>
    <row r="1074" spans="1:15" x14ac:dyDescent="0.45">
      <c r="A1074" s="253" t="str">
        <f t="shared" si="100"/>
        <v>&lt;ct5111&gt;0&lt;/ct5111&gt;</v>
      </c>
      <c r="B1074" t="s">
        <v>1685</v>
      </c>
      <c r="C1074" s="244">
        <f t="shared" si="97"/>
        <v>2</v>
      </c>
      <c r="D1074" s="244">
        <f t="shared" si="98"/>
        <v>8</v>
      </c>
      <c r="E1074" s="244">
        <f t="shared" si="99"/>
        <v>10</v>
      </c>
      <c r="G1074" s="259" t="str">
        <f t="shared" si="101"/>
        <v>&lt;ct5111&gt;</v>
      </c>
      <c r="H1074" s="260">
        <f>VLOOKUP(O1074,BCDTK!$E$9:$L$132,8,0)</f>
        <v>0</v>
      </c>
      <c r="I1074" s="261" t="str">
        <f t="shared" si="102"/>
        <v>&lt;/ct5111&gt;</v>
      </c>
      <c r="J1074" s="262"/>
      <c r="K1074" s="262"/>
      <c r="L1074" s="262"/>
      <c r="M1074" s="263"/>
      <c r="O1074" s="265">
        <v>5111</v>
      </c>
    </row>
    <row r="1075" spans="1:15" x14ac:dyDescent="0.45">
      <c r="A1075" s="253" t="str">
        <f t="shared" si="100"/>
        <v>&lt;ct5112&gt;0&lt;/ct5112&gt;</v>
      </c>
      <c r="B1075" t="s">
        <v>1686</v>
      </c>
      <c r="C1075" s="244">
        <f t="shared" si="97"/>
        <v>2</v>
      </c>
      <c r="D1075" s="244">
        <f t="shared" si="98"/>
        <v>8</v>
      </c>
      <c r="E1075" s="244">
        <f t="shared" si="99"/>
        <v>10</v>
      </c>
      <c r="G1075" s="259" t="str">
        <f t="shared" si="101"/>
        <v>&lt;ct5112&gt;</v>
      </c>
      <c r="H1075" s="260">
        <f>VLOOKUP(O1075,BCDTK!$E$9:$L$132,8,0)</f>
        <v>0</v>
      </c>
      <c r="I1075" s="261" t="str">
        <f t="shared" si="102"/>
        <v>&lt;/ct5112&gt;</v>
      </c>
      <c r="J1075" s="262"/>
      <c r="K1075" s="262"/>
      <c r="L1075" s="262"/>
      <c r="M1075" s="263"/>
      <c r="O1075" s="265">
        <v>5112</v>
      </c>
    </row>
    <row r="1076" spans="1:15" x14ac:dyDescent="0.45">
      <c r="A1076" s="253" t="str">
        <f t="shared" si="100"/>
        <v>&lt;ct5113&gt;0&lt;/ct5113&gt;</v>
      </c>
      <c r="B1076" t="s">
        <v>1687</v>
      </c>
      <c r="C1076" s="244">
        <f t="shared" si="97"/>
        <v>2</v>
      </c>
      <c r="D1076" s="244">
        <f t="shared" si="98"/>
        <v>8</v>
      </c>
      <c r="E1076" s="244">
        <f t="shared" si="99"/>
        <v>10</v>
      </c>
      <c r="G1076" s="259" t="str">
        <f t="shared" si="101"/>
        <v>&lt;ct5113&gt;</v>
      </c>
      <c r="H1076" s="260">
        <f>VLOOKUP(O1076,BCDTK!$E$9:$L$132,8,0)</f>
        <v>0</v>
      </c>
      <c r="I1076" s="261" t="str">
        <f t="shared" si="102"/>
        <v>&lt;/ct5113&gt;</v>
      </c>
      <c r="J1076" s="262"/>
      <c r="K1076" s="262"/>
      <c r="L1076" s="262"/>
      <c r="M1076" s="263"/>
      <c r="O1076" s="265">
        <v>5113</v>
      </c>
    </row>
    <row r="1077" spans="1:15" x14ac:dyDescent="0.45">
      <c r="A1077" s="253" t="str">
        <f t="shared" si="100"/>
        <v>&lt;ct5118&gt;0&lt;/ct5118&gt;</v>
      </c>
      <c r="B1077" t="s">
        <v>1688</v>
      </c>
      <c r="C1077" s="244">
        <f t="shared" si="97"/>
        <v>2</v>
      </c>
      <c r="D1077" s="244">
        <f t="shared" si="98"/>
        <v>8</v>
      </c>
      <c r="E1077" s="244">
        <f t="shared" si="99"/>
        <v>10</v>
      </c>
      <c r="G1077" s="259" t="str">
        <f t="shared" si="101"/>
        <v>&lt;ct5118&gt;</v>
      </c>
      <c r="H1077" s="260">
        <f>VLOOKUP(O1077,BCDTK!$E$9:$L$132,8,0)</f>
        <v>0</v>
      </c>
      <c r="I1077" s="261" t="str">
        <f t="shared" si="102"/>
        <v>&lt;/ct5118&gt;</v>
      </c>
      <c r="J1077" s="262"/>
      <c r="K1077" s="262"/>
      <c r="L1077" s="262"/>
      <c r="M1077" s="263"/>
      <c r="O1077" s="265">
        <v>5118</v>
      </c>
    </row>
    <row r="1078" spans="1:15" x14ac:dyDescent="0.45">
      <c r="A1078" s="253" t="str">
        <f t="shared" si="100"/>
        <v>&lt;ct515&gt;0&lt;/ct515&gt;</v>
      </c>
      <c r="B1078" t="s">
        <v>1689</v>
      </c>
      <c r="C1078" s="244">
        <f t="shared" si="97"/>
        <v>2</v>
      </c>
      <c r="D1078" s="244">
        <f t="shared" si="98"/>
        <v>7</v>
      </c>
      <c r="E1078" s="244">
        <f t="shared" si="99"/>
        <v>9</v>
      </c>
      <c r="G1078" s="259" t="str">
        <f t="shared" si="101"/>
        <v>&lt;ct515&gt;</v>
      </c>
      <c r="H1078" s="260">
        <f>VLOOKUP(O1078,BCDTK!$E$9:$L$132,8,0)</f>
        <v>0</v>
      </c>
      <c r="I1078" s="261" t="str">
        <f t="shared" si="102"/>
        <v>&lt;/ct515&gt;</v>
      </c>
      <c r="J1078" s="262"/>
      <c r="K1078" s="262"/>
      <c r="L1078" s="262"/>
      <c r="M1078" s="263"/>
      <c r="O1078" s="265">
        <v>515</v>
      </c>
    </row>
    <row r="1079" spans="1:15" x14ac:dyDescent="0.45">
      <c r="A1079" s="253" t="str">
        <f t="shared" si="100"/>
        <v>&lt;ct611&gt;0&lt;/ct611&gt;</v>
      </c>
      <c r="B1079" t="s">
        <v>1690</v>
      </c>
      <c r="C1079" s="244">
        <f t="shared" si="97"/>
        <v>2</v>
      </c>
      <c r="D1079" s="244">
        <f t="shared" si="98"/>
        <v>7</v>
      </c>
      <c r="E1079" s="244">
        <f t="shared" si="99"/>
        <v>9</v>
      </c>
      <c r="G1079" s="259" t="str">
        <f t="shared" si="101"/>
        <v>&lt;ct611&gt;</v>
      </c>
      <c r="H1079" s="260">
        <f>VLOOKUP(O1079,BCDTK!$E$9:$L$132,8,0)</f>
        <v>0</v>
      </c>
      <c r="I1079" s="261" t="str">
        <f t="shared" si="102"/>
        <v>&lt;/ct611&gt;</v>
      </c>
      <c r="J1079" s="262"/>
      <c r="K1079" s="262"/>
      <c r="L1079" s="262"/>
      <c r="M1079" s="263"/>
      <c r="O1079" s="265">
        <v>611</v>
      </c>
    </row>
    <row r="1080" spans="1:15" x14ac:dyDescent="0.45">
      <c r="A1080" s="253" t="str">
        <f t="shared" si="100"/>
        <v>&lt;ct631&gt;0&lt;/ct631&gt;</v>
      </c>
      <c r="B1080" t="s">
        <v>1691</v>
      </c>
      <c r="C1080" s="244">
        <f t="shared" si="97"/>
        <v>2</v>
      </c>
      <c r="D1080" s="244">
        <f t="shared" si="98"/>
        <v>7</v>
      </c>
      <c r="E1080" s="244">
        <f t="shared" si="99"/>
        <v>9</v>
      </c>
      <c r="G1080" s="259" t="str">
        <f t="shared" si="101"/>
        <v>&lt;ct631&gt;</v>
      </c>
      <c r="H1080" s="260">
        <f>VLOOKUP(O1080,BCDTK!$E$9:$L$132,8,0)</f>
        <v>0</v>
      </c>
      <c r="I1080" s="261" t="str">
        <f t="shared" si="102"/>
        <v>&lt;/ct631&gt;</v>
      </c>
      <c r="J1080" s="262"/>
      <c r="K1080" s="262"/>
      <c r="L1080" s="262"/>
      <c r="M1080" s="263"/>
      <c r="O1080" s="265">
        <v>631</v>
      </c>
    </row>
    <row r="1081" spans="1:15" x14ac:dyDescent="0.45">
      <c r="A1081" s="253" t="str">
        <f t="shared" si="100"/>
        <v>&lt;ct632&gt;0&lt;/ct632&gt;</v>
      </c>
      <c r="B1081" t="s">
        <v>1692</v>
      </c>
      <c r="C1081" s="244">
        <f t="shared" ref="C1081:C1095" si="103">LEN(B1081)-LEN(SUBSTITUTE(B1081,"&lt;",""))</f>
        <v>2</v>
      </c>
      <c r="D1081" s="244">
        <f t="shared" ref="D1081:D1095" si="104">SEARCH("&gt;",B1081)</f>
        <v>7</v>
      </c>
      <c r="E1081" s="244">
        <f t="shared" ref="E1081:E1095" si="105">IFERROR(SEARCH("&lt;/",B1081),"")</f>
        <v>9</v>
      </c>
      <c r="G1081" s="259" t="str">
        <f t="shared" si="101"/>
        <v>&lt;ct632&gt;</v>
      </c>
      <c r="H1081" s="260">
        <f>VLOOKUP(O1081,BCDTK!$E$9:$L$132,8,0)</f>
        <v>0</v>
      </c>
      <c r="I1081" s="261" t="str">
        <f t="shared" si="102"/>
        <v>&lt;/ct632&gt;</v>
      </c>
      <c r="J1081" s="262"/>
      <c r="K1081" s="262"/>
      <c r="L1081" s="262"/>
      <c r="M1081" s="263"/>
      <c r="O1081" s="265">
        <v>632</v>
      </c>
    </row>
    <row r="1082" spans="1:15" x14ac:dyDescent="0.45">
      <c r="A1082" s="253" t="str">
        <f t="shared" si="100"/>
        <v>&lt;ct635&gt;0&lt;/ct635&gt;</v>
      </c>
      <c r="B1082" t="s">
        <v>1693</v>
      </c>
      <c r="C1082" s="244">
        <f t="shared" si="103"/>
        <v>2</v>
      </c>
      <c r="D1082" s="244">
        <f t="shared" si="104"/>
        <v>7</v>
      </c>
      <c r="E1082" s="244">
        <f t="shared" si="105"/>
        <v>9</v>
      </c>
      <c r="G1082" s="259" t="str">
        <f t="shared" si="101"/>
        <v>&lt;ct635&gt;</v>
      </c>
      <c r="H1082" s="260">
        <f>VLOOKUP(O1082,BCDTK!$E$9:$L$132,8,0)</f>
        <v>0</v>
      </c>
      <c r="I1082" s="261" t="str">
        <f t="shared" si="102"/>
        <v>&lt;/ct635&gt;</v>
      </c>
      <c r="J1082" s="262"/>
      <c r="K1082" s="262"/>
      <c r="L1082" s="262"/>
      <c r="M1082" s="263"/>
      <c r="O1082" s="265">
        <v>635</v>
      </c>
    </row>
    <row r="1083" spans="1:15" x14ac:dyDescent="0.45">
      <c r="A1083" s="253" t="str">
        <f t="shared" si="100"/>
        <v>&lt;ct642&gt;0&lt;/ct642&gt;</v>
      </c>
      <c r="B1083" t="s">
        <v>1694</v>
      </c>
      <c r="C1083" s="244">
        <f t="shared" si="103"/>
        <v>2</v>
      </c>
      <c r="D1083" s="244">
        <f t="shared" si="104"/>
        <v>7</v>
      </c>
      <c r="E1083" s="244">
        <f t="shared" si="105"/>
        <v>9</v>
      </c>
      <c r="G1083" s="259" t="str">
        <f t="shared" si="101"/>
        <v>&lt;ct642&gt;</v>
      </c>
      <c r="H1083" s="260">
        <f>VLOOKUP(O1083,BCDTK!$E$9:$L$132,8,0)</f>
        <v>0</v>
      </c>
      <c r="I1083" s="261" t="str">
        <f t="shared" si="102"/>
        <v>&lt;/ct642&gt;</v>
      </c>
      <c r="J1083" s="262"/>
      <c r="K1083" s="262"/>
      <c r="L1083" s="262"/>
      <c r="M1083" s="263"/>
      <c r="O1083" s="265">
        <v>642</v>
      </c>
    </row>
    <row r="1084" spans="1:15" x14ac:dyDescent="0.45">
      <c r="A1084" s="253" t="str">
        <f t="shared" si="100"/>
        <v>&lt;ct6421&gt;0&lt;/ct6421&gt;</v>
      </c>
      <c r="B1084" t="s">
        <v>1695</v>
      </c>
      <c r="C1084" s="244">
        <f t="shared" si="103"/>
        <v>2</v>
      </c>
      <c r="D1084" s="244">
        <f t="shared" si="104"/>
        <v>8</v>
      </c>
      <c r="E1084" s="244">
        <f t="shared" si="105"/>
        <v>10</v>
      </c>
      <c r="G1084" s="259" t="str">
        <f t="shared" si="101"/>
        <v>&lt;ct6421&gt;</v>
      </c>
      <c r="H1084" s="260">
        <f>VLOOKUP(O1084,BCDTK!$E$9:$L$132,8,0)</f>
        <v>0</v>
      </c>
      <c r="I1084" s="261" t="str">
        <f t="shared" si="102"/>
        <v>&lt;/ct6421&gt;</v>
      </c>
      <c r="J1084" s="262"/>
      <c r="K1084" s="262"/>
      <c r="L1084" s="262"/>
      <c r="M1084" s="263"/>
      <c r="O1084" s="265">
        <v>6421</v>
      </c>
    </row>
    <row r="1085" spans="1:15" x14ac:dyDescent="0.45">
      <c r="A1085" s="253" t="str">
        <f t="shared" si="100"/>
        <v>&lt;ct6422&gt;0&lt;/ct6422&gt;</v>
      </c>
      <c r="B1085" t="s">
        <v>1696</v>
      </c>
      <c r="C1085" s="244">
        <f t="shared" si="103"/>
        <v>2</v>
      </c>
      <c r="D1085" s="244">
        <f t="shared" si="104"/>
        <v>8</v>
      </c>
      <c r="E1085" s="244">
        <f t="shared" si="105"/>
        <v>10</v>
      </c>
      <c r="G1085" s="259" t="str">
        <f t="shared" si="101"/>
        <v>&lt;ct6422&gt;</v>
      </c>
      <c r="H1085" s="260">
        <f>VLOOKUP(O1085,BCDTK!$E$9:$L$132,8,0)</f>
        <v>0</v>
      </c>
      <c r="I1085" s="261" t="str">
        <f t="shared" si="102"/>
        <v>&lt;/ct6422&gt;</v>
      </c>
      <c r="J1085" s="262"/>
      <c r="K1085" s="262"/>
      <c r="L1085" s="262"/>
      <c r="M1085" s="263"/>
      <c r="O1085" s="265">
        <v>6422</v>
      </c>
    </row>
    <row r="1086" spans="1:15" x14ac:dyDescent="0.45">
      <c r="A1086" s="253" t="str">
        <f t="shared" si="100"/>
        <v>&lt;ct711&gt;0&lt;/ct711&gt;</v>
      </c>
      <c r="B1086" t="s">
        <v>1697</v>
      </c>
      <c r="C1086" s="244">
        <f t="shared" si="103"/>
        <v>2</v>
      </c>
      <c r="D1086" s="244">
        <f t="shared" si="104"/>
        <v>7</v>
      </c>
      <c r="E1086" s="244">
        <f t="shared" si="105"/>
        <v>9</v>
      </c>
      <c r="G1086" s="259" t="str">
        <f t="shared" si="101"/>
        <v>&lt;ct711&gt;</v>
      </c>
      <c r="H1086" s="260">
        <f>VLOOKUP(O1086,BCDTK!$E$9:$L$132,8,0)</f>
        <v>0</v>
      </c>
      <c r="I1086" s="261" t="str">
        <f t="shared" si="102"/>
        <v>&lt;/ct711&gt;</v>
      </c>
      <c r="J1086" s="262"/>
      <c r="K1086" s="262"/>
      <c r="L1086" s="262"/>
      <c r="M1086" s="263"/>
      <c r="O1086" s="265">
        <v>711</v>
      </c>
    </row>
    <row r="1087" spans="1:15" x14ac:dyDescent="0.45">
      <c r="A1087" s="253" t="str">
        <f t="shared" si="100"/>
        <v>&lt;ct811&gt;0&lt;/ct811&gt;</v>
      </c>
      <c r="B1087" t="s">
        <v>1698</v>
      </c>
      <c r="C1087" s="244">
        <f t="shared" si="103"/>
        <v>2</v>
      </c>
      <c r="D1087" s="244">
        <f t="shared" si="104"/>
        <v>7</v>
      </c>
      <c r="E1087" s="244">
        <f t="shared" si="105"/>
        <v>9</v>
      </c>
      <c r="G1087" s="259" t="str">
        <f t="shared" si="101"/>
        <v>&lt;ct811&gt;</v>
      </c>
      <c r="H1087" s="260">
        <f>VLOOKUP(O1087,BCDTK!$E$9:$L$132,8,0)</f>
        <v>0</v>
      </c>
      <c r="I1087" s="261" t="str">
        <f t="shared" si="102"/>
        <v>&lt;/ct811&gt;</v>
      </c>
      <c r="J1087" s="262"/>
      <c r="K1087" s="262"/>
      <c r="L1087" s="262"/>
      <c r="M1087" s="263"/>
      <c r="O1087" s="265">
        <v>811</v>
      </c>
    </row>
    <row r="1088" spans="1:15" x14ac:dyDescent="0.45">
      <c r="A1088" s="253" t="str">
        <f t="shared" si="100"/>
        <v>&lt;ct821&gt;0&lt;/ct821&gt;</v>
      </c>
      <c r="B1088" t="s">
        <v>1699</v>
      </c>
      <c r="C1088" s="244">
        <f t="shared" si="103"/>
        <v>2</v>
      </c>
      <c r="D1088" s="244">
        <f t="shared" si="104"/>
        <v>7</v>
      </c>
      <c r="E1088" s="244">
        <f t="shared" si="105"/>
        <v>9</v>
      </c>
      <c r="G1088" s="259" t="str">
        <f t="shared" si="101"/>
        <v>&lt;ct821&gt;</v>
      </c>
      <c r="H1088" s="260">
        <f>VLOOKUP(O1088,BCDTK!$E$9:$L$132,8,0)</f>
        <v>0</v>
      </c>
      <c r="I1088" s="261" t="str">
        <f t="shared" si="102"/>
        <v>&lt;/ct821&gt;</v>
      </c>
      <c r="J1088" s="262"/>
      <c r="K1088" s="262"/>
      <c r="L1088" s="262"/>
      <c r="M1088" s="263"/>
      <c r="O1088" s="265">
        <v>821</v>
      </c>
    </row>
    <row r="1089" spans="1:15" x14ac:dyDescent="0.45">
      <c r="A1089" s="253" t="str">
        <f t="shared" si="100"/>
        <v>&lt;ct911&gt;0&lt;/ct911&gt;</v>
      </c>
      <c r="B1089" t="s">
        <v>1700</v>
      </c>
      <c r="C1089" s="244">
        <f t="shared" si="103"/>
        <v>2</v>
      </c>
      <c r="D1089" s="244">
        <f t="shared" si="104"/>
        <v>7</v>
      </c>
      <c r="E1089" s="244">
        <f t="shared" si="105"/>
        <v>9</v>
      </c>
      <c r="G1089" s="259" t="str">
        <f t="shared" si="101"/>
        <v>&lt;ct911&gt;</v>
      </c>
      <c r="H1089" s="260">
        <f>VLOOKUP(O1089,BCDTK!$E$9:$L$132,8,0)</f>
        <v>0</v>
      </c>
      <c r="I1089" s="261" t="str">
        <f t="shared" si="102"/>
        <v>&lt;/ct911&gt;</v>
      </c>
      <c r="J1089" s="262"/>
      <c r="K1089" s="262"/>
      <c r="L1089" s="262"/>
      <c r="M1089" s="263"/>
      <c r="O1089" s="265">
        <v>911</v>
      </c>
    </row>
    <row r="1090" spans="1:15" x14ac:dyDescent="0.45">
      <c r="A1090" s="253" t="str">
        <f t="shared" si="100"/>
        <v>&lt;tongCong&gt;806234100&lt;/tongCong&gt;</v>
      </c>
      <c r="B1090" t="s">
        <v>1701</v>
      </c>
      <c r="C1090" s="244">
        <f t="shared" si="103"/>
        <v>2</v>
      </c>
      <c r="D1090" s="244">
        <f t="shared" si="104"/>
        <v>10</v>
      </c>
      <c r="E1090" s="244">
        <f t="shared" si="105"/>
        <v>12</v>
      </c>
      <c r="G1090" s="259" t="str">
        <f t="shared" si="101"/>
        <v>&lt;tongCong&gt;</v>
      </c>
      <c r="H1090" s="260">
        <f>VLOOKUP(O1090,BCDTK!$E$9:$L$132,8,0)</f>
        <v>806234100</v>
      </c>
      <c r="I1090" s="261" t="str">
        <f t="shared" si="102"/>
        <v>&lt;/tongCong&gt;</v>
      </c>
      <c r="J1090" s="262"/>
      <c r="K1090" s="262"/>
      <c r="L1090" s="262"/>
      <c r="M1090" s="263"/>
      <c r="O1090" s="265" t="s">
        <v>1794</v>
      </c>
    </row>
    <row r="1091" spans="1:15" x14ac:dyDescent="0.45">
      <c r="A1091" s="253" t="str">
        <f t="shared" si="100"/>
        <v>&lt;/Co&gt;</v>
      </c>
      <c r="B1091" t="s">
        <v>1704</v>
      </c>
      <c r="C1091" s="244">
        <f t="shared" si="103"/>
        <v>1</v>
      </c>
      <c r="D1091" s="244">
        <f t="shared" si="104"/>
        <v>5</v>
      </c>
      <c r="E1091" s="244">
        <f t="shared" si="105"/>
        <v>1</v>
      </c>
      <c r="G1091" s="259" t="str">
        <f t="shared" si="101"/>
        <v>&lt;/Co&gt;</v>
      </c>
      <c r="H1091" s="260"/>
      <c r="I1091" s="261" t="str">
        <f t="shared" si="102"/>
        <v/>
      </c>
      <c r="J1091" s="262"/>
      <c r="K1091" s="262"/>
      <c r="L1091" s="262"/>
      <c r="M1091" s="263"/>
    </row>
    <row r="1092" spans="1:15" x14ac:dyDescent="0.45">
      <c r="A1092" s="253" t="str">
        <f t="shared" ref="A1092:A1096" si="106">CONCATENATE(G1092,H1092,I1092)</f>
        <v>&lt;/SoDuCuoiKy&gt;</v>
      </c>
      <c r="B1092" t="s">
        <v>1791</v>
      </c>
      <c r="C1092" s="244">
        <f t="shared" si="103"/>
        <v>1</v>
      </c>
      <c r="D1092" s="244">
        <f t="shared" si="104"/>
        <v>13</v>
      </c>
      <c r="E1092" s="244">
        <f t="shared" si="105"/>
        <v>1</v>
      </c>
      <c r="G1092" s="259" t="str">
        <f t="shared" si="101"/>
        <v>&lt;/SoDuCuoiKy&gt;</v>
      </c>
      <c r="H1092" s="260"/>
      <c r="I1092" s="261" t="str">
        <f t="shared" si="102"/>
        <v/>
      </c>
      <c r="J1092" s="262"/>
      <c r="K1092" s="262"/>
      <c r="L1092" s="262"/>
      <c r="M1092" s="263"/>
    </row>
    <row r="1093" spans="1:15" x14ac:dyDescent="0.45">
      <c r="A1093" s="253" t="str">
        <f t="shared" si="106"/>
        <v>&lt;/PL_CDTK&gt;</v>
      </c>
      <c r="B1093" t="s">
        <v>4536</v>
      </c>
      <c r="C1093" s="244">
        <f t="shared" si="103"/>
        <v>1</v>
      </c>
      <c r="D1093" s="244">
        <f t="shared" si="104"/>
        <v>10</v>
      </c>
      <c r="E1093" s="244">
        <f t="shared" si="105"/>
        <v>1</v>
      </c>
      <c r="G1093" s="259" t="str">
        <f t="shared" si="101"/>
        <v>&lt;/PL_CDTK&gt;</v>
      </c>
      <c r="H1093" s="260"/>
      <c r="I1093" s="261" t="str">
        <f t="shared" si="102"/>
        <v/>
      </c>
      <c r="J1093" s="262"/>
      <c r="K1093" s="262"/>
      <c r="L1093" s="262"/>
      <c r="M1093" s="263"/>
    </row>
    <row r="1094" spans="1:15" x14ac:dyDescent="0.45">
      <c r="A1094" s="253" t="str">
        <f t="shared" si="106"/>
        <v>&lt;/PLuc&gt;</v>
      </c>
      <c r="B1094" t="s">
        <v>4537</v>
      </c>
      <c r="C1094" s="244">
        <f t="shared" si="103"/>
        <v>1</v>
      </c>
      <c r="D1094" s="244">
        <f t="shared" si="104"/>
        <v>7</v>
      </c>
      <c r="E1094" s="244">
        <f t="shared" si="105"/>
        <v>1</v>
      </c>
      <c r="G1094" s="259" t="str">
        <f t="shared" si="101"/>
        <v>&lt;/PLuc&gt;</v>
      </c>
      <c r="H1094" s="260"/>
      <c r="I1094" s="261" t="str">
        <f t="shared" si="102"/>
        <v/>
      </c>
      <c r="J1094" s="262"/>
      <c r="K1094" s="262"/>
      <c r="L1094" s="262"/>
      <c r="M1094" s="263"/>
    </row>
    <row r="1095" spans="1:15" x14ac:dyDescent="0.45">
      <c r="A1095" s="253" t="str">
        <f t="shared" si="106"/>
        <v>&lt;/HSoKhaiThue&gt;</v>
      </c>
      <c r="B1095" t="s">
        <v>1793</v>
      </c>
      <c r="C1095" s="244">
        <f t="shared" si="103"/>
        <v>1</v>
      </c>
      <c r="D1095" s="244">
        <f t="shared" si="104"/>
        <v>14</v>
      </c>
      <c r="E1095" s="244">
        <f t="shared" si="105"/>
        <v>1</v>
      </c>
      <c r="G1095" s="259" t="str">
        <f t="shared" si="101"/>
        <v>&lt;/HSoKhaiThue&gt;</v>
      </c>
      <c r="H1095" s="260"/>
      <c r="I1095" s="261" t="str">
        <f t="shared" si="102"/>
        <v/>
      </c>
      <c r="J1095" s="262"/>
      <c r="K1095" s="262"/>
      <c r="L1095" s="262"/>
      <c r="M1095" s="263"/>
    </row>
    <row r="1096" spans="1:15" x14ac:dyDescent="0.45">
      <c r="A1096" s="253" t="str">
        <f t="shared" si="106"/>
        <v>&lt;/HSoThueDTu&gt;</v>
      </c>
      <c r="B1096" s="241" t="s">
        <v>1352</v>
      </c>
      <c r="C1096" s="244">
        <f t="shared" ref="C1096" si="107">LEN(B1096)-LEN(SUBSTITUTE(B1096,"&lt;",""))</f>
        <v>1</v>
      </c>
      <c r="D1096" s="244">
        <f t="shared" ref="D1096" si="108">SEARCH("&gt;",B1096)</f>
        <v>13</v>
      </c>
      <c r="E1096" s="244">
        <f t="shared" ref="E1096" si="109">IFERROR(SEARCH("&lt;/",B1096),"")</f>
        <v>1</v>
      </c>
      <c r="G1096" s="259" t="str">
        <f t="shared" ref="G1096" si="110">LEFT(B1096,D1096)</f>
        <v>&lt;/HSoThueDTu&gt;</v>
      </c>
      <c r="H1096" s="260"/>
      <c r="I1096" s="261" t="str">
        <f t="shared" ref="I1096" si="111">IF(C1096=2,RIGHT(B1096,LEN(B1096)-E1096+1),"")</f>
        <v/>
      </c>
      <c r="J1096" s="262"/>
      <c r="K1096" s="262"/>
      <c r="L1096" s="262"/>
      <c r="M1096" s="263"/>
    </row>
    <row r="1097" spans="1:15" x14ac:dyDescent="0.45">
      <c r="B1097" s="241" t="s">
        <v>2050</v>
      </c>
      <c r="G1097" s="259" t="str">
        <f t="shared" ref="G1097:G1103" si="112">LEFT(B1097,D1097)</f>
        <v/>
      </c>
      <c r="H1097" s="260"/>
      <c r="I1097" s="261" t="str">
        <f t="shared" ref="I1097:I1103" si="113">IF(C1097=2,RIGHT(B1097,LEN(B1097)-E1097+1),"")</f>
        <v/>
      </c>
      <c r="J1097" s="262"/>
      <c r="K1097" s="262"/>
      <c r="L1097" s="262"/>
      <c r="M1097" s="263"/>
    </row>
    <row r="1098" spans="1:15" x14ac:dyDescent="0.45">
      <c r="B1098" s="241" t="s">
        <v>2050</v>
      </c>
      <c r="G1098" s="259" t="str">
        <f t="shared" si="112"/>
        <v/>
      </c>
      <c r="H1098" s="260"/>
      <c r="I1098" s="261" t="str">
        <f t="shared" si="113"/>
        <v/>
      </c>
      <c r="J1098" s="262"/>
      <c r="K1098" s="262"/>
      <c r="L1098" s="262"/>
      <c r="M1098" s="263"/>
    </row>
    <row r="1099" spans="1:15" x14ac:dyDescent="0.45">
      <c r="B1099" s="241" t="s">
        <v>2050</v>
      </c>
      <c r="G1099" s="259" t="str">
        <f t="shared" si="112"/>
        <v/>
      </c>
      <c r="H1099" s="260"/>
      <c r="I1099" s="261" t="str">
        <f t="shared" si="113"/>
        <v/>
      </c>
      <c r="J1099" s="262"/>
      <c r="K1099" s="262"/>
      <c r="L1099" s="262"/>
      <c r="M1099" s="263"/>
    </row>
    <row r="1100" spans="1:15" x14ac:dyDescent="0.45">
      <c r="B1100" s="241" t="s">
        <v>2050</v>
      </c>
      <c r="G1100" s="259" t="str">
        <f t="shared" si="112"/>
        <v/>
      </c>
      <c r="H1100" s="260"/>
      <c r="I1100" s="261" t="str">
        <f t="shared" si="113"/>
        <v/>
      </c>
      <c r="J1100" s="262"/>
      <c r="K1100" s="262"/>
      <c r="L1100" s="262"/>
      <c r="M1100" s="263"/>
    </row>
    <row r="1101" spans="1:15" x14ac:dyDescent="0.45">
      <c r="B1101" s="241" t="s">
        <v>2050</v>
      </c>
      <c r="G1101" s="259" t="str">
        <f t="shared" si="112"/>
        <v/>
      </c>
      <c r="H1101" s="260"/>
      <c r="I1101" s="261" t="str">
        <f t="shared" si="113"/>
        <v/>
      </c>
      <c r="J1101" s="262"/>
      <c r="K1101" s="262"/>
      <c r="L1101" s="262"/>
      <c r="M1101" s="263"/>
    </row>
    <row r="1102" spans="1:15" x14ac:dyDescent="0.45">
      <c r="B1102" s="241" t="s">
        <v>2050</v>
      </c>
      <c r="G1102" s="259" t="str">
        <f t="shared" si="112"/>
        <v/>
      </c>
      <c r="H1102" s="260"/>
      <c r="I1102" s="261" t="str">
        <f t="shared" si="113"/>
        <v/>
      </c>
      <c r="J1102" s="262"/>
      <c r="K1102" s="262"/>
      <c r="L1102" s="262"/>
      <c r="M1102" s="263"/>
    </row>
    <row r="1103" spans="1:15" x14ac:dyDescent="0.45">
      <c r="B1103" s="241" t="s">
        <v>2050</v>
      </c>
      <c r="G1103" s="259" t="str">
        <f t="shared" si="112"/>
        <v/>
      </c>
      <c r="H1103" s="260"/>
      <c r="I1103" s="261" t="str">
        <f t="shared" si="113"/>
        <v/>
      </c>
      <c r="J1103" s="262"/>
      <c r="K1103" s="262"/>
      <c r="L1103" s="262"/>
      <c r="M1103" s="263"/>
    </row>
  </sheetData>
  <autoFilter ref="A2:O2" xr:uid="{00000000-0009-0000-0000-000011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HuongDan</vt:lpstr>
      <vt:lpstr>MAIN</vt:lpstr>
      <vt:lpstr>INPUT</vt:lpstr>
      <vt:lpstr>KiemTraBCD</vt:lpstr>
      <vt:lpstr>QTTNDN</vt:lpstr>
      <vt:lpstr>BaoCaoTHTC</vt:lpstr>
      <vt:lpstr>BCKQKD</vt:lpstr>
      <vt:lpstr>BCDTK</vt:lpstr>
      <vt:lpstr>LCTT</vt:lpstr>
      <vt:lpstr>111</vt:lpstr>
      <vt:lpstr>112</vt:lpstr>
      <vt:lpstr>TMBCTC</vt:lpstr>
      <vt:lpstr>City</vt:lpstr>
      <vt:lpstr>Draff</vt:lpstr>
      <vt:lpstr>BCTC_XML_Old</vt:lpstr>
      <vt:lpstr>BCTC_XML</vt:lpstr>
      <vt:lpstr>BaoCaoTHTC!Print_Area</vt:lpstr>
      <vt:lpstr>BCDTK!Print_Area</vt:lpstr>
      <vt:lpstr>BCKQKD!Print_Area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 Ha Dao</dc:creator>
  <cp:lastModifiedBy>Thanh Ha Dao</cp:lastModifiedBy>
  <cp:lastPrinted>2021-02-25T04:39:18Z</cp:lastPrinted>
  <dcterms:created xsi:type="dcterms:W3CDTF">2021-02-23T06:47:24Z</dcterms:created>
  <dcterms:modified xsi:type="dcterms:W3CDTF">2025-10-12T04:43:06Z</dcterms:modified>
</cp:coreProperties>
</file>