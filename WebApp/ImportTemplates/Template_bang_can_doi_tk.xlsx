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ersonal\WebApi\WebApp\ImportTemplates\"/>
    </mc:Choice>
  </mc:AlternateContent>
  <xr:revisionPtr revIDLastSave="0" documentId="13_ncr:1_{2C414642-6D30-4C22-BBAC-017E0072A92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C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3" i="2"/>
</calcChain>
</file>

<file path=xl/sharedStrings.xml><?xml version="1.0" encoding="utf-8"?>
<sst xmlns="http://schemas.openxmlformats.org/spreadsheetml/2006/main" count="116" uniqueCount="113">
  <si>
    <t>111</t>
  </si>
  <si>
    <t>Tiền mặt</t>
  </si>
  <si>
    <t>1111</t>
  </si>
  <si>
    <t>Tiền Việt Nam</t>
  </si>
  <si>
    <t>112</t>
  </si>
  <si>
    <t>Tiền gửi Ngân hàng</t>
  </si>
  <si>
    <t>1121</t>
  </si>
  <si>
    <t>11211</t>
  </si>
  <si>
    <t>Tiền VND - MB</t>
  </si>
  <si>
    <t>11212</t>
  </si>
  <si>
    <t>Tiền VND - Sacombank</t>
  </si>
  <si>
    <t>11213</t>
  </si>
  <si>
    <t>Tiền VND - TP bank</t>
  </si>
  <si>
    <t>131</t>
  </si>
  <si>
    <t>Phải thu của khách hàng</t>
  </si>
  <si>
    <t>133</t>
  </si>
  <si>
    <t>Thuế GTGT được khấu trừ</t>
  </si>
  <si>
    <t>1331</t>
  </si>
  <si>
    <t>Thuế GTGT được khấu trừ của hàng hóa, dịch vụ</t>
  </si>
  <si>
    <t>138</t>
  </si>
  <si>
    <t>Phải thu khác</t>
  </si>
  <si>
    <t>1388</t>
  </si>
  <si>
    <t>153</t>
  </si>
  <si>
    <t>Công cụ, dụng cụ</t>
  </si>
  <si>
    <t>156</t>
  </si>
  <si>
    <t>Hàng hóa</t>
  </si>
  <si>
    <t>211</t>
  </si>
  <si>
    <t>Tài sản cố định</t>
  </si>
  <si>
    <t>2111</t>
  </si>
  <si>
    <t>TSCĐ hữu hình</t>
  </si>
  <si>
    <t>21118</t>
  </si>
  <si>
    <t>TSCĐ khác</t>
  </si>
  <si>
    <t>214</t>
  </si>
  <si>
    <t>Hao mòn TSCĐ</t>
  </si>
  <si>
    <t>2141</t>
  </si>
  <si>
    <t>Hao mòn TSCĐ hữu hình</t>
  </si>
  <si>
    <t>331</t>
  </si>
  <si>
    <t>Phải trả cho người bán</t>
  </si>
  <si>
    <t>333</t>
  </si>
  <si>
    <t>Thuế và các khoản phải nộp Nhà nước</t>
  </si>
  <si>
    <t>3331</t>
  </si>
  <si>
    <t>Thuế giá trị gia tăng phải nộp</t>
  </si>
  <si>
    <t>33311</t>
  </si>
  <si>
    <t>Thuế GTGT đầu ra</t>
  </si>
  <si>
    <t>33312</t>
  </si>
  <si>
    <t>Thuế GTGT hàng nhập khẩu</t>
  </si>
  <si>
    <t>3334</t>
  </si>
  <si>
    <t>Thuế thu nhập doanh nghiệp</t>
  </si>
  <si>
    <t>3338</t>
  </si>
  <si>
    <t>Thuế bảo vệ môi trường và các loại thuế khác</t>
  </si>
  <si>
    <t>33382</t>
  </si>
  <si>
    <t>Các loại thuế khác</t>
  </si>
  <si>
    <t>Phí, lệ phí và các khoản phải nộp khác</t>
  </si>
  <si>
    <t>334</t>
  </si>
  <si>
    <t>Phải trả người lao động</t>
  </si>
  <si>
    <t>338</t>
  </si>
  <si>
    <t>Phải trả, phải nộp khác</t>
  </si>
  <si>
    <t>3383</t>
  </si>
  <si>
    <t>Bảo hiểm xã hội</t>
  </si>
  <si>
    <t>3384</t>
  </si>
  <si>
    <t>Bảo hiểm y tế</t>
  </si>
  <si>
    <t>3385</t>
  </si>
  <si>
    <t>Bảo hiểm thất nghiệp</t>
  </si>
  <si>
    <t>411</t>
  </si>
  <si>
    <t>Vốn đầu tư của chủ sở hữu</t>
  </si>
  <si>
    <t>4111</t>
  </si>
  <si>
    <t>Vốn góp của chủ sở hữu</t>
  </si>
  <si>
    <t>4118</t>
  </si>
  <si>
    <t>Vốn khác</t>
  </si>
  <si>
    <t>421</t>
  </si>
  <si>
    <t>Lợi nhuận sau thuế chưa phân phối</t>
  </si>
  <si>
    <t>4211</t>
  </si>
  <si>
    <t>Lợi nhuận sau thuế chưa phân phối năm trước</t>
  </si>
  <si>
    <t>4212</t>
  </si>
  <si>
    <t>Lợi nhuận sau thuế chưa phân phối năm nay</t>
  </si>
  <si>
    <t>511</t>
  </si>
  <si>
    <t>Doanh thu bán hàng và cung cấp dịch vụ</t>
  </si>
  <si>
    <t>5111</t>
  </si>
  <si>
    <t>Doanh thu bán hàng hóa</t>
  </si>
  <si>
    <t>515</t>
  </si>
  <si>
    <t>Doanh thu hoạt động tài chính</t>
  </si>
  <si>
    <t>632</t>
  </si>
  <si>
    <t>Giá vốn hàng bán</t>
  </si>
  <si>
    <t>635</t>
  </si>
  <si>
    <t>Chi phí tài chính</t>
  </si>
  <si>
    <t>642</t>
  </si>
  <si>
    <t>Chi phí quản lý kinh doanh</t>
  </si>
  <si>
    <t>6421</t>
  </si>
  <si>
    <t>Chi phí bán hàng</t>
  </si>
  <si>
    <t>6422</t>
  </si>
  <si>
    <t>Chi phí quản lý doanh nghiệp</t>
  </si>
  <si>
    <t>811</t>
  </si>
  <si>
    <t>Chi phí khác</t>
  </si>
  <si>
    <t>821</t>
  </si>
  <si>
    <t>Chi phí thuế thu nhập doanh nghiệp</t>
  </si>
  <si>
    <t>911</t>
  </si>
  <si>
    <t>Xác định kết quả kinh doanh</t>
  </si>
  <si>
    <t>account</t>
  </si>
  <si>
    <t>openCredit</t>
  </si>
  <si>
    <t>openDebit</t>
  </si>
  <si>
    <t>ariseCredit</t>
  </si>
  <si>
    <t>ariseDebit</t>
  </si>
  <si>
    <t>closeCredit</t>
  </si>
  <si>
    <t>closeDebit</t>
  </si>
  <si>
    <t>name</t>
  </si>
  <si>
    <t>Mã tài khoản</t>
  </si>
  <si>
    <t>Tên tài khoản</t>
  </si>
  <si>
    <t>Nợ đầu kỳ</t>
  </si>
  <si>
    <t>Có đầu kỳ</t>
  </si>
  <si>
    <t>Nợ trong kỳ</t>
  </si>
  <si>
    <t>Có trong kỳ</t>
  </si>
  <si>
    <t>Nợ cuối kỳ</t>
  </si>
  <si>
    <t>Có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</si>
</sst>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4" fontId="2" fillId="0" borderId="0" xfId="1" applyNumberFormat="1" applyFont="1" applyAlignment="1">
      <alignment horizontal="left"/>
    </xf>
    <xf numFmtId="164" fontId="0" fillId="0" borderId="0" xfId="1" applyNumberFormat="1" applyFont="1"/>
    <xf numFmtId="0" fontId="3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9" sqref="C9"/>
    </sheetView>
  </sheetViews>
  <sheetFormatPr defaultRowHeight="14.25" x14ac:dyDescent="0.45"/>
  <cols>
    <col min="1" max="1" width="15.33203125" customWidth="1"/>
    <col min="2" max="2" width="40.19921875" customWidth="1"/>
    <col min="3" max="8" width="15.3984375" customWidth="1"/>
    <col min="9" max="9" width="17.06640625" customWidth="1"/>
  </cols>
  <sheetData>
    <row r="1" spans="1:9" ht="25.9" customHeight="1" x14ac:dyDescent="0.45">
      <c r="A1" s="4" t="s">
        <v>105</v>
      </c>
      <c r="B1" s="4" t="s">
        <v>106</v>
      </c>
      <c r="C1" s="4" t="s">
        <v>107</v>
      </c>
      <c r="D1" s="4" t="s">
        <v>108</v>
      </c>
      <c r="E1" s="4" t="s">
        <v>109</v>
      </c>
      <c r="F1" s="4" t="s">
        <v>110</v>
      </c>
      <c r="G1" s="4" t="s">
        <v>111</v>
      </c>
      <c r="H1" s="4" t="s">
        <v>112</v>
      </c>
    </row>
    <row r="2" spans="1:9" x14ac:dyDescent="0.45">
      <c r="I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59604-ACA7-43C7-ABC1-6EB3419EA2AC}">
  <dimension ref="A1:I53"/>
  <sheetViews>
    <sheetView workbookViewId="0">
      <selection activeCell="C3" sqref="C3"/>
    </sheetView>
  </sheetViews>
  <sheetFormatPr defaultRowHeight="14.25" x14ac:dyDescent="0.45"/>
  <cols>
    <col min="3" max="3" width="16.9296875" customWidth="1"/>
    <col min="4" max="4" width="20.19921875" customWidth="1"/>
    <col min="5" max="6" width="17.19921875" bestFit="1" customWidth="1"/>
    <col min="7" max="7" width="18.19921875" bestFit="1" customWidth="1"/>
    <col min="8" max="8" width="17.3984375" customWidth="1"/>
  </cols>
  <sheetData>
    <row r="1" spans="1:9" x14ac:dyDescent="0.45">
      <c r="A1" s="1" t="s">
        <v>97</v>
      </c>
      <c r="B1" s="1" t="s">
        <v>104</v>
      </c>
      <c r="C1" s="1" t="s">
        <v>99</v>
      </c>
      <c r="D1" s="1" t="s">
        <v>98</v>
      </c>
      <c r="E1" s="1" t="s">
        <v>101</v>
      </c>
      <c r="F1" s="1" t="s">
        <v>100</v>
      </c>
      <c r="G1" s="1" t="s">
        <v>103</v>
      </c>
      <c r="H1" s="1" t="s">
        <v>102</v>
      </c>
    </row>
    <row r="2" spans="1:9" x14ac:dyDescent="0.45">
      <c r="A2" s="1"/>
      <c r="B2" s="1"/>
      <c r="C2" s="2">
        <f>SUMIFS(C3:C53,$I$3:$I$53,3)</f>
        <v>11152865817</v>
      </c>
      <c r="D2" s="2">
        <f t="shared" ref="D2:H2" si="0">SUMIFS(D3:D53,$I$3:$I$53,3)</f>
        <v>11152865817</v>
      </c>
      <c r="E2" s="2">
        <f t="shared" si="0"/>
        <v>7424844472</v>
      </c>
      <c r="F2" s="2">
        <f t="shared" si="0"/>
        <v>7424844472</v>
      </c>
      <c r="G2" s="2">
        <f t="shared" si="0"/>
        <v>11153659430</v>
      </c>
      <c r="H2" s="2">
        <f t="shared" si="0"/>
        <v>11153659430</v>
      </c>
    </row>
    <row r="3" spans="1:9" x14ac:dyDescent="0.45">
      <c r="A3" t="s">
        <v>0</v>
      </c>
      <c r="B3" t="s">
        <v>1</v>
      </c>
      <c r="C3">
        <v>89893347</v>
      </c>
      <c r="D3">
        <v>0</v>
      </c>
      <c r="E3">
        <v>1068234568</v>
      </c>
      <c r="F3">
        <v>1156256318</v>
      </c>
      <c r="G3">
        <v>1871597</v>
      </c>
      <c r="H3">
        <v>0</v>
      </c>
      <c r="I3">
        <f>LEN(A3)</f>
        <v>3</v>
      </c>
    </row>
    <row r="4" spans="1:9" x14ac:dyDescent="0.45">
      <c r="A4" t="s">
        <v>2</v>
      </c>
      <c r="B4" t="s">
        <v>3</v>
      </c>
      <c r="C4">
        <v>89893347</v>
      </c>
      <c r="D4">
        <v>0</v>
      </c>
      <c r="E4">
        <v>1068234568</v>
      </c>
      <c r="F4">
        <v>1156256318</v>
      </c>
      <c r="G4">
        <v>1871597</v>
      </c>
      <c r="H4">
        <v>0</v>
      </c>
      <c r="I4">
        <f t="shared" ref="I4:I53" si="1">LEN(A4)</f>
        <v>4</v>
      </c>
    </row>
    <row r="5" spans="1:9" x14ac:dyDescent="0.45">
      <c r="A5" t="s">
        <v>4</v>
      </c>
      <c r="B5" t="s">
        <v>5</v>
      </c>
      <c r="C5">
        <v>341373454</v>
      </c>
      <c r="D5">
        <v>0</v>
      </c>
      <c r="E5">
        <v>712846609</v>
      </c>
      <c r="F5">
        <v>1037181947</v>
      </c>
      <c r="G5">
        <v>17038116</v>
      </c>
      <c r="H5">
        <v>0</v>
      </c>
      <c r="I5">
        <f t="shared" si="1"/>
        <v>3</v>
      </c>
    </row>
    <row r="6" spans="1:9" x14ac:dyDescent="0.45">
      <c r="A6" t="s">
        <v>6</v>
      </c>
      <c r="B6" t="s">
        <v>3</v>
      </c>
      <c r="C6">
        <v>341373454</v>
      </c>
      <c r="D6">
        <v>0</v>
      </c>
      <c r="E6">
        <v>712846609</v>
      </c>
      <c r="F6">
        <v>1037181947</v>
      </c>
      <c r="G6">
        <v>17038116</v>
      </c>
      <c r="H6">
        <v>0</v>
      </c>
      <c r="I6">
        <f t="shared" si="1"/>
        <v>4</v>
      </c>
    </row>
    <row r="7" spans="1:9" x14ac:dyDescent="0.45">
      <c r="A7" t="s">
        <v>7</v>
      </c>
      <c r="B7" t="s">
        <v>8</v>
      </c>
      <c r="C7">
        <v>327272091</v>
      </c>
      <c r="D7">
        <v>0</v>
      </c>
      <c r="E7">
        <v>712739215</v>
      </c>
      <c r="F7">
        <v>1036741947</v>
      </c>
      <c r="G7">
        <v>3269359</v>
      </c>
      <c r="H7">
        <v>0</v>
      </c>
      <c r="I7">
        <f t="shared" si="1"/>
        <v>5</v>
      </c>
    </row>
    <row r="8" spans="1:9" x14ac:dyDescent="0.45">
      <c r="A8" t="s">
        <v>9</v>
      </c>
      <c r="B8" t="s">
        <v>10</v>
      </c>
      <c r="C8">
        <v>12920942</v>
      </c>
      <c r="D8">
        <v>0</v>
      </c>
      <c r="E8">
        <v>106268</v>
      </c>
      <c r="F8">
        <v>220000</v>
      </c>
      <c r="G8">
        <v>12807210</v>
      </c>
      <c r="H8">
        <v>0</v>
      </c>
      <c r="I8">
        <f t="shared" si="1"/>
        <v>5</v>
      </c>
    </row>
    <row r="9" spans="1:9" x14ac:dyDescent="0.45">
      <c r="A9" t="s">
        <v>11</v>
      </c>
      <c r="B9" t="s">
        <v>12</v>
      </c>
      <c r="C9">
        <v>1180421</v>
      </c>
      <c r="D9">
        <v>0</v>
      </c>
      <c r="E9">
        <v>1126</v>
      </c>
      <c r="F9">
        <v>220000</v>
      </c>
      <c r="G9">
        <v>961547</v>
      </c>
      <c r="H9">
        <v>0</v>
      </c>
      <c r="I9">
        <f t="shared" si="1"/>
        <v>5</v>
      </c>
    </row>
    <row r="10" spans="1:9" x14ac:dyDescent="0.45">
      <c r="A10" t="s">
        <v>13</v>
      </c>
      <c r="B10" t="s">
        <v>14</v>
      </c>
      <c r="C10">
        <v>788000001</v>
      </c>
      <c r="D10">
        <v>0</v>
      </c>
      <c r="E10">
        <v>613568126</v>
      </c>
      <c r="F10">
        <v>725568125</v>
      </c>
      <c r="G10">
        <v>676000002</v>
      </c>
      <c r="H10">
        <v>0</v>
      </c>
      <c r="I10">
        <f t="shared" si="1"/>
        <v>3</v>
      </c>
    </row>
    <row r="11" spans="1:9" x14ac:dyDescent="0.45">
      <c r="A11" t="s">
        <v>15</v>
      </c>
      <c r="B11" t="s">
        <v>16</v>
      </c>
      <c r="C11">
        <v>780728248</v>
      </c>
      <c r="D11">
        <v>0</v>
      </c>
      <c r="E11">
        <v>108633899</v>
      </c>
      <c r="F11">
        <v>67336461</v>
      </c>
      <c r="G11">
        <v>822025686</v>
      </c>
      <c r="H11">
        <v>0</v>
      </c>
      <c r="I11">
        <f t="shared" si="1"/>
        <v>3</v>
      </c>
    </row>
    <row r="12" spans="1:9" x14ac:dyDescent="0.45">
      <c r="A12" t="s">
        <v>17</v>
      </c>
      <c r="B12" t="s">
        <v>18</v>
      </c>
      <c r="C12">
        <v>780728248</v>
      </c>
      <c r="D12">
        <v>0</v>
      </c>
      <c r="E12">
        <v>108633899</v>
      </c>
      <c r="F12">
        <v>67336461</v>
      </c>
      <c r="G12">
        <v>822025686</v>
      </c>
      <c r="H12">
        <v>0</v>
      </c>
      <c r="I12">
        <f t="shared" si="1"/>
        <v>4</v>
      </c>
    </row>
    <row r="13" spans="1:9" x14ac:dyDescent="0.45">
      <c r="A13" t="s">
        <v>19</v>
      </c>
      <c r="B13" t="s">
        <v>20</v>
      </c>
      <c r="C13">
        <v>30698198</v>
      </c>
      <c r="D13">
        <v>0</v>
      </c>
      <c r="E13">
        <v>0</v>
      </c>
      <c r="F13">
        <v>30698198</v>
      </c>
      <c r="G13">
        <v>0</v>
      </c>
      <c r="H13">
        <v>0</v>
      </c>
      <c r="I13">
        <f t="shared" si="1"/>
        <v>3</v>
      </c>
    </row>
    <row r="14" spans="1:9" x14ac:dyDescent="0.45">
      <c r="A14" t="s">
        <v>21</v>
      </c>
      <c r="B14" t="s">
        <v>20</v>
      </c>
      <c r="C14">
        <v>30698198</v>
      </c>
      <c r="D14">
        <v>0</v>
      </c>
      <c r="E14">
        <v>0</v>
      </c>
      <c r="F14">
        <v>30698198</v>
      </c>
      <c r="G14">
        <v>0</v>
      </c>
      <c r="H14">
        <v>0</v>
      </c>
      <c r="I14">
        <f t="shared" si="1"/>
        <v>4</v>
      </c>
    </row>
    <row r="15" spans="1:9" x14ac:dyDescent="0.45">
      <c r="A15" t="s">
        <v>22</v>
      </c>
      <c r="B15" t="s">
        <v>23</v>
      </c>
      <c r="C15">
        <v>5445455</v>
      </c>
      <c r="D15">
        <v>0</v>
      </c>
      <c r="E15">
        <v>0</v>
      </c>
      <c r="F15">
        <v>1432615</v>
      </c>
      <c r="G15">
        <v>4012840</v>
      </c>
      <c r="H15">
        <v>0</v>
      </c>
      <c r="I15">
        <f t="shared" si="1"/>
        <v>3</v>
      </c>
    </row>
    <row r="16" spans="1:9" x14ac:dyDescent="0.45">
      <c r="A16" t="s">
        <v>24</v>
      </c>
      <c r="B16" t="s">
        <v>25</v>
      </c>
      <c r="C16">
        <v>9040863882</v>
      </c>
      <c r="D16">
        <v>0</v>
      </c>
      <c r="E16">
        <v>1143252412</v>
      </c>
      <c r="F16">
        <v>639333116</v>
      </c>
      <c r="G16">
        <v>9544783178</v>
      </c>
      <c r="H16">
        <v>0</v>
      </c>
      <c r="I16">
        <f t="shared" si="1"/>
        <v>3</v>
      </c>
    </row>
    <row r="17" spans="1:9" x14ac:dyDescent="0.45">
      <c r="A17" t="s">
        <v>26</v>
      </c>
      <c r="B17" t="s">
        <v>27</v>
      </c>
      <c r="C17">
        <v>42000000</v>
      </c>
      <c r="D17">
        <v>0</v>
      </c>
      <c r="E17">
        <v>0</v>
      </c>
      <c r="F17">
        <v>0</v>
      </c>
      <c r="G17">
        <v>42000000</v>
      </c>
      <c r="H17">
        <v>0</v>
      </c>
      <c r="I17">
        <f t="shared" si="1"/>
        <v>3</v>
      </c>
    </row>
    <row r="18" spans="1:9" x14ac:dyDescent="0.45">
      <c r="A18" t="s">
        <v>28</v>
      </c>
      <c r="B18" t="s">
        <v>29</v>
      </c>
      <c r="C18">
        <v>42000000</v>
      </c>
      <c r="D18">
        <v>0</v>
      </c>
      <c r="E18">
        <v>0</v>
      </c>
      <c r="F18">
        <v>0</v>
      </c>
      <c r="G18">
        <v>42000000</v>
      </c>
      <c r="H18">
        <v>0</v>
      </c>
      <c r="I18">
        <f t="shared" si="1"/>
        <v>4</v>
      </c>
    </row>
    <row r="19" spans="1:9" x14ac:dyDescent="0.45">
      <c r="A19" t="s">
        <v>30</v>
      </c>
      <c r="B19" t="s">
        <v>31</v>
      </c>
      <c r="C19">
        <v>42000000</v>
      </c>
      <c r="D19">
        <v>0</v>
      </c>
      <c r="E19">
        <v>0</v>
      </c>
      <c r="F19">
        <v>0</v>
      </c>
      <c r="G19">
        <v>42000000</v>
      </c>
      <c r="H19">
        <v>0</v>
      </c>
      <c r="I19">
        <f t="shared" si="1"/>
        <v>5</v>
      </c>
    </row>
    <row r="20" spans="1:9" x14ac:dyDescent="0.45">
      <c r="A20" t="s">
        <v>32</v>
      </c>
      <c r="B20" t="s">
        <v>33</v>
      </c>
      <c r="C20">
        <v>0</v>
      </c>
      <c r="D20">
        <v>16625000</v>
      </c>
      <c r="E20">
        <v>0</v>
      </c>
      <c r="F20">
        <v>10500000</v>
      </c>
      <c r="G20">
        <v>0</v>
      </c>
      <c r="H20">
        <v>27125000</v>
      </c>
      <c r="I20">
        <f t="shared" si="1"/>
        <v>3</v>
      </c>
    </row>
    <row r="21" spans="1:9" x14ac:dyDescent="0.45">
      <c r="A21" t="s">
        <v>34</v>
      </c>
      <c r="B21" t="s">
        <v>35</v>
      </c>
      <c r="C21">
        <v>0</v>
      </c>
      <c r="D21">
        <v>16625000</v>
      </c>
      <c r="E21">
        <v>0</v>
      </c>
      <c r="F21">
        <v>10500000</v>
      </c>
      <c r="G21">
        <v>0</v>
      </c>
      <c r="H21">
        <v>27125000</v>
      </c>
      <c r="I21">
        <f t="shared" si="1"/>
        <v>4</v>
      </c>
    </row>
    <row r="22" spans="1:9" x14ac:dyDescent="0.45">
      <c r="A22" t="s">
        <v>36</v>
      </c>
      <c r="B22" t="s">
        <v>37</v>
      </c>
      <c r="C22">
        <v>0</v>
      </c>
      <c r="D22">
        <v>1273458749</v>
      </c>
      <c r="E22">
        <v>0</v>
      </c>
      <c r="F22">
        <v>0</v>
      </c>
      <c r="G22">
        <v>0</v>
      </c>
      <c r="H22">
        <v>1273458749</v>
      </c>
      <c r="I22">
        <f t="shared" si="1"/>
        <v>3</v>
      </c>
    </row>
    <row r="23" spans="1:9" x14ac:dyDescent="0.45">
      <c r="A23" t="s">
        <v>38</v>
      </c>
      <c r="B23" t="s">
        <v>39</v>
      </c>
      <c r="C23">
        <v>33863232</v>
      </c>
      <c r="D23">
        <v>5950000</v>
      </c>
      <c r="E23">
        <v>178123418</v>
      </c>
      <c r="F23">
        <v>172173436</v>
      </c>
      <c r="G23">
        <v>33863232</v>
      </c>
      <c r="H23">
        <v>18</v>
      </c>
      <c r="I23">
        <f t="shared" si="1"/>
        <v>3</v>
      </c>
    </row>
    <row r="24" spans="1:9" x14ac:dyDescent="0.45">
      <c r="A24" t="s">
        <v>40</v>
      </c>
      <c r="B24" t="s">
        <v>41</v>
      </c>
      <c r="C24">
        <v>0</v>
      </c>
      <c r="D24">
        <v>18</v>
      </c>
      <c r="E24">
        <v>169173436</v>
      </c>
      <c r="F24">
        <v>169173436</v>
      </c>
      <c r="G24">
        <v>0</v>
      </c>
      <c r="H24">
        <v>18</v>
      </c>
      <c r="I24">
        <f t="shared" si="1"/>
        <v>4</v>
      </c>
    </row>
    <row r="25" spans="1:9" x14ac:dyDescent="0.45">
      <c r="A25" t="s">
        <v>42</v>
      </c>
      <c r="B25" t="s">
        <v>43</v>
      </c>
      <c r="C25">
        <v>0</v>
      </c>
      <c r="D25">
        <v>0</v>
      </c>
      <c r="E25">
        <v>67336461</v>
      </c>
      <c r="F25">
        <v>67336461</v>
      </c>
      <c r="G25">
        <v>0</v>
      </c>
      <c r="H25">
        <v>0</v>
      </c>
      <c r="I25">
        <f t="shared" si="1"/>
        <v>5</v>
      </c>
    </row>
    <row r="26" spans="1:9" x14ac:dyDescent="0.45">
      <c r="A26" t="s">
        <v>44</v>
      </c>
      <c r="B26" t="s">
        <v>45</v>
      </c>
      <c r="C26">
        <v>0</v>
      </c>
      <c r="D26">
        <v>18</v>
      </c>
      <c r="E26">
        <v>101836975</v>
      </c>
      <c r="F26">
        <v>101836975</v>
      </c>
      <c r="G26">
        <v>0</v>
      </c>
      <c r="H26">
        <v>18</v>
      </c>
      <c r="I26">
        <f t="shared" si="1"/>
        <v>5</v>
      </c>
    </row>
    <row r="27" spans="1:9" x14ac:dyDescent="0.45">
      <c r="A27" t="s">
        <v>46</v>
      </c>
      <c r="B27" t="s">
        <v>47</v>
      </c>
      <c r="C27">
        <v>0</v>
      </c>
      <c r="D27">
        <v>5949982</v>
      </c>
      <c r="E27">
        <v>5949982</v>
      </c>
      <c r="F27">
        <v>0</v>
      </c>
      <c r="G27">
        <v>0</v>
      </c>
      <c r="H27">
        <v>0</v>
      </c>
      <c r="I27">
        <f t="shared" si="1"/>
        <v>4</v>
      </c>
    </row>
    <row r="28" spans="1:9" x14ac:dyDescent="0.45">
      <c r="A28" t="s">
        <v>48</v>
      </c>
      <c r="B28" t="s">
        <v>49</v>
      </c>
      <c r="C28">
        <v>33863232</v>
      </c>
      <c r="D28">
        <v>0</v>
      </c>
      <c r="E28">
        <v>0</v>
      </c>
      <c r="F28">
        <v>0</v>
      </c>
      <c r="G28">
        <v>33863232</v>
      </c>
      <c r="H28">
        <v>0</v>
      </c>
      <c r="I28">
        <f t="shared" si="1"/>
        <v>4</v>
      </c>
    </row>
    <row r="29" spans="1:9" x14ac:dyDescent="0.45">
      <c r="A29" t="s">
        <v>50</v>
      </c>
      <c r="B29" t="s">
        <v>51</v>
      </c>
      <c r="C29">
        <v>33863232</v>
      </c>
      <c r="D29">
        <v>0</v>
      </c>
      <c r="E29">
        <v>0</v>
      </c>
      <c r="F29">
        <v>0</v>
      </c>
      <c r="G29">
        <v>33863232</v>
      </c>
      <c r="H29">
        <v>0</v>
      </c>
      <c r="I29">
        <f t="shared" si="1"/>
        <v>5</v>
      </c>
    </row>
    <row r="30" spans="1:9" x14ac:dyDescent="0.45">
      <c r="A30">
        <v>3339</v>
      </c>
      <c r="B30" t="s">
        <v>52</v>
      </c>
      <c r="C30">
        <v>0</v>
      </c>
      <c r="D30">
        <v>0</v>
      </c>
      <c r="E30">
        <v>3000000</v>
      </c>
      <c r="F30">
        <v>3000000</v>
      </c>
      <c r="G30">
        <v>0</v>
      </c>
      <c r="H30">
        <v>0</v>
      </c>
      <c r="I30">
        <f t="shared" si="1"/>
        <v>4</v>
      </c>
    </row>
    <row r="31" spans="1:9" x14ac:dyDescent="0.45">
      <c r="A31" t="s">
        <v>53</v>
      </c>
      <c r="B31" t="s">
        <v>54</v>
      </c>
      <c r="C31">
        <v>0</v>
      </c>
      <c r="D31">
        <v>103969571</v>
      </c>
      <c r="E31">
        <v>240680914</v>
      </c>
      <c r="F31">
        <v>145220400</v>
      </c>
      <c r="G31">
        <v>0</v>
      </c>
      <c r="H31">
        <v>8509057</v>
      </c>
      <c r="I31">
        <f t="shared" si="1"/>
        <v>3</v>
      </c>
    </row>
    <row r="32" spans="1:9" x14ac:dyDescent="0.45">
      <c r="A32" t="s">
        <v>55</v>
      </c>
      <c r="B32" t="s">
        <v>56</v>
      </c>
      <c r="C32">
        <v>0</v>
      </c>
      <c r="D32">
        <v>0</v>
      </c>
      <c r="E32">
        <v>43816914</v>
      </c>
      <c r="F32">
        <v>132385023</v>
      </c>
      <c r="G32">
        <v>3136000</v>
      </c>
      <c r="H32">
        <v>91704109</v>
      </c>
      <c r="I32">
        <f t="shared" si="1"/>
        <v>3</v>
      </c>
    </row>
    <row r="33" spans="1:9" x14ac:dyDescent="0.45">
      <c r="A33" t="s">
        <v>57</v>
      </c>
      <c r="B33" t="s">
        <v>58</v>
      </c>
      <c r="C33">
        <v>0</v>
      </c>
      <c r="D33">
        <v>0</v>
      </c>
      <c r="E33">
        <v>34299529</v>
      </c>
      <c r="F33">
        <v>31800529</v>
      </c>
      <c r="G33">
        <v>2499000</v>
      </c>
      <c r="H33">
        <v>0</v>
      </c>
      <c r="I33">
        <f t="shared" si="1"/>
        <v>4</v>
      </c>
    </row>
    <row r="34" spans="1:9" x14ac:dyDescent="0.45">
      <c r="A34" t="s">
        <v>59</v>
      </c>
      <c r="B34" t="s">
        <v>60</v>
      </c>
      <c r="C34">
        <v>0</v>
      </c>
      <c r="D34">
        <v>0</v>
      </c>
      <c r="E34">
        <v>7230173</v>
      </c>
      <c r="F34">
        <v>6789173</v>
      </c>
      <c r="G34">
        <v>441000</v>
      </c>
      <c r="H34">
        <v>0</v>
      </c>
      <c r="I34">
        <f t="shared" si="1"/>
        <v>4</v>
      </c>
    </row>
    <row r="35" spans="1:9" x14ac:dyDescent="0.45">
      <c r="A35" t="s">
        <v>61</v>
      </c>
      <c r="B35" t="s">
        <v>62</v>
      </c>
      <c r="C35">
        <v>0</v>
      </c>
      <c r="D35">
        <v>0</v>
      </c>
      <c r="E35">
        <v>2287212</v>
      </c>
      <c r="F35">
        <v>2091212</v>
      </c>
      <c r="G35">
        <v>196000</v>
      </c>
      <c r="H35">
        <v>0</v>
      </c>
      <c r="I35">
        <f t="shared" si="1"/>
        <v>4</v>
      </c>
    </row>
    <row r="36" spans="1:9" x14ac:dyDescent="0.45">
      <c r="A36">
        <v>3388</v>
      </c>
      <c r="B36" t="s">
        <v>56</v>
      </c>
      <c r="C36">
        <v>0</v>
      </c>
      <c r="D36">
        <v>0</v>
      </c>
      <c r="E36">
        <v>0</v>
      </c>
      <c r="F36">
        <v>91704109</v>
      </c>
      <c r="G36">
        <v>0</v>
      </c>
      <c r="H36">
        <v>91704109</v>
      </c>
      <c r="I36">
        <f t="shared" si="1"/>
        <v>4</v>
      </c>
    </row>
    <row r="37" spans="1:9" x14ac:dyDescent="0.45">
      <c r="A37" t="s">
        <v>63</v>
      </c>
      <c r="B37" t="s">
        <v>64</v>
      </c>
      <c r="C37">
        <v>0</v>
      </c>
      <c r="D37">
        <v>9688000000</v>
      </c>
      <c r="E37">
        <v>0</v>
      </c>
      <c r="F37">
        <v>0</v>
      </c>
      <c r="G37">
        <v>0</v>
      </c>
      <c r="H37">
        <v>9688000000</v>
      </c>
      <c r="I37">
        <f t="shared" si="1"/>
        <v>3</v>
      </c>
    </row>
    <row r="38" spans="1:9" x14ac:dyDescent="0.45">
      <c r="A38" t="s">
        <v>65</v>
      </c>
      <c r="B38" t="s">
        <v>66</v>
      </c>
      <c r="C38">
        <v>0</v>
      </c>
      <c r="D38">
        <v>6888000000</v>
      </c>
      <c r="E38">
        <v>0</v>
      </c>
      <c r="F38">
        <v>0</v>
      </c>
      <c r="G38">
        <v>0</v>
      </c>
      <c r="H38">
        <v>6888000000</v>
      </c>
      <c r="I38">
        <f t="shared" si="1"/>
        <v>4</v>
      </c>
    </row>
    <row r="39" spans="1:9" x14ac:dyDescent="0.45">
      <c r="A39" t="s">
        <v>67</v>
      </c>
      <c r="B39" t="s">
        <v>68</v>
      </c>
      <c r="C39">
        <v>0</v>
      </c>
      <c r="D39">
        <v>2800000000</v>
      </c>
      <c r="E39">
        <v>0</v>
      </c>
      <c r="F39">
        <v>0</v>
      </c>
      <c r="G39">
        <v>0</v>
      </c>
      <c r="H39">
        <v>2800000000</v>
      </c>
      <c r="I39">
        <f t="shared" si="1"/>
        <v>4</v>
      </c>
    </row>
    <row r="40" spans="1:9" x14ac:dyDescent="0.45">
      <c r="A40" t="s">
        <v>69</v>
      </c>
      <c r="B40" t="s">
        <v>70</v>
      </c>
      <c r="C40">
        <v>0</v>
      </c>
      <c r="D40">
        <v>64862497</v>
      </c>
      <c r="E40">
        <v>32728706</v>
      </c>
      <c r="F40">
        <v>23799927</v>
      </c>
      <c r="G40">
        <v>8928779</v>
      </c>
      <c r="H40">
        <v>64862497</v>
      </c>
      <c r="I40">
        <f t="shared" si="1"/>
        <v>3</v>
      </c>
    </row>
    <row r="41" spans="1:9" x14ac:dyDescent="0.45">
      <c r="A41" t="s">
        <v>71</v>
      </c>
      <c r="B41" t="s">
        <v>72</v>
      </c>
      <c r="C41">
        <v>0</v>
      </c>
      <c r="D41">
        <v>41062570</v>
      </c>
      <c r="E41">
        <v>0</v>
      </c>
      <c r="F41">
        <v>23799927</v>
      </c>
      <c r="H41">
        <v>64862497</v>
      </c>
      <c r="I41">
        <f t="shared" si="1"/>
        <v>4</v>
      </c>
    </row>
    <row r="42" spans="1:9" x14ac:dyDescent="0.45">
      <c r="A42" t="s">
        <v>73</v>
      </c>
      <c r="B42" t="s">
        <v>74</v>
      </c>
      <c r="C42">
        <v>0</v>
      </c>
      <c r="D42">
        <v>23799927</v>
      </c>
      <c r="E42">
        <v>32728706</v>
      </c>
      <c r="F42">
        <v>0</v>
      </c>
      <c r="G42">
        <v>8928779</v>
      </c>
      <c r="H42">
        <v>0</v>
      </c>
      <c r="I42">
        <f t="shared" si="1"/>
        <v>4</v>
      </c>
    </row>
    <row r="43" spans="1:9" x14ac:dyDescent="0.45">
      <c r="A43" t="s">
        <v>75</v>
      </c>
      <c r="B43" t="s">
        <v>76</v>
      </c>
      <c r="C43">
        <v>0</v>
      </c>
      <c r="D43">
        <v>0</v>
      </c>
      <c r="E43">
        <v>815796217</v>
      </c>
      <c r="F43">
        <v>815796217</v>
      </c>
      <c r="G43">
        <v>0</v>
      </c>
      <c r="H43">
        <v>0</v>
      </c>
      <c r="I43">
        <f t="shared" si="1"/>
        <v>3</v>
      </c>
    </row>
    <row r="44" spans="1:9" x14ac:dyDescent="0.45">
      <c r="A44" t="s">
        <v>77</v>
      </c>
      <c r="B44" t="s">
        <v>78</v>
      </c>
      <c r="C44">
        <v>0</v>
      </c>
      <c r="D44">
        <v>0</v>
      </c>
      <c r="E44">
        <v>815796217</v>
      </c>
      <c r="F44">
        <v>815796217</v>
      </c>
      <c r="G44">
        <v>0</v>
      </c>
      <c r="H44">
        <v>0</v>
      </c>
      <c r="I44">
        <f t="shared" si="1"/>
        <v>4</v>
      </c>
    </row>
    <row r="45" spans="1:9" x14ac:dyDescent="0.45">
      <c r="A45" t="s">
        <v>79</v>
      </c>
      <c r="B45" t="s">
        <v>80</v>
      </c>
      <c r="C45">
        <v>0</v>
      </c>
      <c r="D45">
        <v>0</v>
      </c>
      <c r="E45">
        <v>479120</v>
      </c>
      <c r="F45">
        <v>479120</v>
      </c>
      <c r="G45">
        <v>0</v>
      </c>
      <c r="H45">
        <v>0</v>
      </c>
      <c r="I45">
        <f t="shared" si="1"/>
        <v>3</v>
      </c>
    </row>
    <row r="46" spans="1:9" x14ac:dyDescent="0.45">
      <c r="A46" t="s">
        <v>81</v>
      </c>
      <c r="B46" t="s">
        <v>82</v>
      </c>
      <c r="C46">
        <v>0</v>
      </c>
      <c r="D46">
        <v>0</v>
      </c>
      <c r="E46">
        <v>639333116</v>
      </c>
      <c r="F46">
        <v>639333116</v>
      </c>
      <c r="G46">
        <v>0</v>
      </c>
      <c r="H46">
        <v>0</v>
      </c>
      <c r="I46">
        <f t="shared" si="1"/>
        <v>3</v>
      </c>
    </row>
    <row r="47" spans="1:9" x14ac:dyDescent="0.45">
      <c r="A47" t="s">
        <v>83</v>
      </c>
      <c r="B47" t="s">
        <v>84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f t="shared" si="1"/>
        <v>3</v>
      </c>
    </row>
    <row r="48" spans="1:9" x14ac:dyDescent="0.45">
      <c r="A48" t="s">
        <v>85</v>
      </c>
      <c r="B48" t="s">
        <v>86</v>
      </c>
      <c r="C48">
        <v>0</v>
      </c>
      <c r="D48">
        <v>0</v>
      </c>
      <c r="E48">
        <v>185871000</v>
      </c>
      <c r="F48">
        <v>185871000</v>
      </c>
      <c r="G48">
        <v>0</v>
      </c>
      <c r="H48">
        <v>0</v>
      </c>
      <c r="I48">
        <f t="shared" si="1"/>
        <v>3</v>
      </c>
    </row>
    <row r="49" spans="1:9" x14ac:dyDescent="0.45">
      <c r="A49" t="s">
        <v>87</v>
      </c>
      <c r="B49" t="s">
        <v>88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f t="shared" si="1"/>
        <v>4</v>
      </c>
    </row>
    <row r="50" spans="1:9" x14ac:dyDescent="0.45">
      <c r="A50" t="s">
        <v>89</v>
      </c>
      <c r="B50" t="s">
        <v>90</v>
      </c>
      <c r="C50">
        <v>0</v>
      </c>
      <c r="D50">
        <v>0</v>
      </c>
      <c r="E50">
        <v>185871000</v>
      </c>
      <c r="F50">
        <v>185871000</v>
      </c>
      <c r="G50">
        <v>0</v>
      </c>
      <c r="H50">
        <v>0</v>
      </c>
      <c r="I50">
        <f t="shared" si="1"/>
        <v>4</v>
      </c>
    </row>
    <row r="51" spans="1:9" x14ac:dyDescent="0.45">
      <c r="A51" t="s">
        <v>91</v>
      </c>
      <c r="B51" t="s">
        <v>92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f t="shared" si="1"/>
        <v>3</v>
      </c>
    </row>
    <row r="52" spans="1:9" x14ac:dyDescent="0.45">
      <c r="A52" t="s">
        <v>93</v>
      </c>
      <c r="B52" t="s">
        <v>94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f t="shared" si="1"/>
        <v>3</v>
      </c>
    </row>
    <row r="53" spans="1:9" x14ac:dyDescent="0.45">
      <c r="A53" t="s">
        <v>95</v>
      </c>
      <c r="B53" t="s">
        <v>96</v>
      </c>
      <c r="C53">
        <v>0</v>
      </c>
      <c r="D53">
        <v>0</v>
      </c>
      <c r="E53">
        <v>1641479453</v>
      </c>
      <c r="F53">
        <v>1641479453</v>
      </c>
      <c r="G53">
        <v>0</v>
      </c>
      <c r="H53">
        <v>0</v>
      </c>
      <c r="I53">
        <f t="shared" si="1"/>
        <v>3</v>
      </c>
    </row>
  </sheetData>
  <autoFilter ref="A1:I1" xr:uid="{50359604-ACA7-43C7-ABC1-6EB3419EA2A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Ha Dao</dc:creator>
  <cp:lastModifiedBy>Thanh Ha Dao</cp:lastModifiedBy>
  <dcterms:created xsi:type="dcterms:W3CDTF">2015-06-05T18:17:20Z</dcterms:created>
  <dcterms:modified xsi:type="dcterms:W3CDTF">2025-10-10T07:45:21Z</dcterms:modified>
</cp:coreProperties>
</file>